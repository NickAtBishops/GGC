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s>
  <calcPr calcId="191029" calcMode="auto" fullCalcOnLoad="1" calcCompleted="0" calcOnSave="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85">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
  </fonts>
  <fills count="49">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s>
  <borders count="8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
      <left/>
      <right/>
      <top/>
      <bottom/>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1053">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xf numFmtId="0" fontId="0" fillId="0" borderId="1" applyAlignment="1" pivotButton="0" quotePrefix="0" xfId="0">
      <alignment horizontal="center"/>
    </xf>
    <xf numFmtId="2" fontId="0" fillId="0" borderId="26" applyAlignment="1" pivotButton="0" quotePrefix="0" xfId="0">
      <alignment horizontal="center"/>
    </xf>
    <xf numFmtId="165" fontId="0" fillId="0" borderId="17" applyAlignment="1" pivotButton="0" quotePrefix="0" xfId="0">
      <alignment horizontal="center"/>
    </xf>
    <xf numFmtId="165" fontId="0" fillId="0" borderId="11" applyAlignment="1" pivotButton="0" quotePrefix="0" xfId="0">
      <alignment horizontal="center"/>
    </xf>
    <xf numFmtId="165" fontId="0" fillId="0" borderId="25" applyAlignment="1" pivotButton="0" quotePrefix="0" xfId="0">
      <alignment horizontal="center"/>
    </xf>
    <xf numFmtId="0" fontId="4" fillId="0" borderId="40" pivotButton="0" quotePrefix="0" xfId="0"/>
    <xf numFmtId="0" fontId="6" fillId="0" borderId="40" pivotButton="0" quotePrefix="0" xfId="0"/>
    <xf numFmtId="0" fontId="4" fillId="0" borderId="13" pivotButton="0" quotePrefix="0" xfId="0"/>
    <xf numFmtId="165" fontId="0" fillId="0" borderId="22" pivotButton="0" quotePrefix="0" xfId="0"/>
    <xf numFmtId="165" fontId="0" fillId="0" borderId="38" pivotButton="0" quotePrefix="0" xfId="0"/>
    <xf numFmtId="165" fontId="0" fillId="0" borderId="23" pivotButton="0" quotePrefix="0" xfId="0"/>
    <xf numFmtId="0" fontId="0" fillId="0" borderId="38" pivotButton="0" quotePrefix="0" xfId="0"/>
    <xf numFmtId="165" fontId="0" fillId="0" borderId="18" pivotButton="0" quotePrefix="0" xfId="0"/>
    <xf numFmtId="0" fontId="4" fillId="0" borderId="12" pivotButton="0" quotePrefix="0" xfId="0"/>
    <xf numFmtId="0" fontId="6" fillId="0" borderId="12" pivotButton="0" quotePrefix="0" xfId="0"/>
    <xf numFmtId="0" fontId="4" fillId="0" borderId="11" pivotButton="0" quotePrefix="0" xfId="0"/>
    <xf numFmtId="165" fontId="0" fillId="0" borderId="17" pivotButton="0" quotePrefix="0" xfId="0"/>
    <xf numFmtId="0" fontId="1" fillId="0" borderId="1" applyAlignment="1" pivotButton="0" quotePrefix="0" xfId="0">
      <alignment horizontal="center"/>
    </xf>
    <xf numFmtId="2" fontId="1" fillId="0" borderId="26" applyAlignment="1" pivotButton="0" quotePrefix="0" xfId="0">
      <alignment horizontal="center"/>
    </xf>
    <xf numFmtId="165" fontId="1" fillId="0" borderId="17" applyAlignment="1" pivotButton="0" quotePrefix="0" xfId="0">
      <alignment horizontal="center"/>
    </xf>
    <xf numFmtId="165" fontId="1" fillId="0" borderId="11" applyAlignment="1" pivotButton="0" quotePrefix="0" xfId="0">
      <alignment horizontal="center"/>
    </xf>
    <xf numFmtId="165" fontId="1" fillId="0" borderId="26" applyAlignment="1" pivotButton="0" quotePrefix="0" xfId="0">
      <alignment horizontal="center"/>
    </xf>
    <xf numFmtId="165" fontId="10" fillId="0" borderId="36" applyAlignment="1" pivotButton="0" quotePrefix="0" xfId="0">
      <alignment horizontal="center"/>
    </xf>
    <xf numFmtId="165" fontId="10" fillId="0" borderId="5" applyAlignment="1" pivotButton="0" quotePrefix="0" xfId="0">
      <alignment horizontal="center"/>
    </xf>
    <xf numFmtId="165" fontId="10" fillId="0" borderId="33" applyAlignment="1" pivotButton="0" quotePrefix="0" xfId="0">
      <alignment horizontal="center"/>
    </xf>
    <xf numFmtId="0" fontId="84" fillId="0" borderId="83" applyAlignment="1" pivotButton="0" quotePrefix="0" xfId="0">
      <alignment horizontal="center"/>
    </xf>
    <xf numFmtId="2" fontId="84" fillId="0" borderId="83" applyAlignment="1" pivotButton="0" quotePrefix="0" xfId="0">
      <alignment horizontal="center"/>
    </xf>
    <xf numFmtId="165" fontId="84" fillId="0" borderId="83" applyAlignment="1" pivotButton="0" quotePrefix="0" xfId="0">
      <alignment horizontal="center"/>
    </xf>
    <xf numFmtId="0" fontId="84" fillId="0" borderId="83" pivotButton="0" quotePrefix="0" xfId="0"/>
    <xf numFmtId="0" fontId="11" fillId="0" borderId="17" pivotButton="0" quotePrefix="0" xfId="0"/>
    <xf numFmtId="165" fontId="11" fillId="0" borderId="23" applyAlignment="1" pivotButton="0" quotePrefix="0" xfId="0">
      <alignment horizontal="right"/>
    </xf>
    <xf numFmtId="0" fontId="4" fillId="0" borderId="0" pivotButton="0" quotePrefix="0" xfId="0"/>
    <xf numFmtId="0" fontId="11" fillId="0" borderId="19" pivotButton="0" quotePrefix="0" xfId="0"/>
    <xf numFmtId="9" fontId="11" fillId="0" borderId="21" applyAlignment="1" pivotButton="0" quotePrefix="0" xfId="2">
      <alignment horizontal="right"/>
    </xf>
    <xf numFmtId="0" fontId="40" fillId="0" borderId="0" pivotButton="0" quotePrefix="0" xfId="0"/>
    <xf numFmtId="165" fontId="6" fillId="0" borderId="0" pivotButton="0" quotePrefix="0" xfId="0"/>
    <xf numFmtId="0" fontId="11" fillId="0" borderId="22" pivotButton="0" quotePrefix="0" xfId="0"/>
    <xf numFmtId="0" fontId="57" fillId="0" borderId="55" applyAlignment="1" pivotButton="0" quotePrefix="0" xfId="0">
      <alignment horizontal="center"/>
    </xf>
    <xf numFmtId="10" fontId="57" fillId="0" borderId="55" applyAlignment="1" pivotButton="0" quotePrefix="0" xfId="0">
      <alignment horizontal="center"/>
    </xf>
    <xf numFmtId="9" fontId="0" fillId="0" borderId="49" applyAlignment="1" pivotButton="0" quotePrefix="0" xfId="2">
      <alignment horizontal="center"/>
    </xf>
    <xf numFmtId="167" fontId="79" fillId="0" borderId="55" applyAlignment="1" pivotButton="0" quotePrefix="0" xfId="0">
      <alignment horizontal="center"/>
    </xf>
    <xf numFmtId="167" fontId="79" fillId="0" borderId="43" applyAlignment="1" pivotButton="0" quotePrefix="0" xfId="0">
      <alignment horizontal="center"/>
    </xf>
    <xf numFmtId="167" fontId="57" fillId="0" borderId="55" applyAlignment="1" pivotButton="0" quotePrefix="0" xfId="0">
      <alignment horizontal="center"/>
    </xf>
    <xf numFmtId="0" fontId="3" fillId="0" borderId="0" applyAlignment="1" pivotButton="0" quotePrefix="0" xfId="0">
      <alignment horizontal="center"/>
    </xf>
    <xf numFmtId="0" fontId="80" fillId="0" borderId="0" applyAlignment="1" pivotButton="0" quotePrefix="0" xfId="0">
      <alignment horizontal="center" vertical="center"/>
    </xf>
    <xf numFmtId="0" fontId="80" fillId="0" borderId="0" applyAlignment="1" pivotButton="0" quotePrefix="0" xfId="0">
      <alignment horizontal="center"/>
    </xf>
    <xf numFmtId="167" fontId="0" fillId="0" borderId="0" applyAlignment="1" pivotButton="0" quotePrefix="0" xfId="0">
      <alignment horizontal="center"/>
    </xf>
    <xf numFmtId="9" fontId="0" fillId="0" borderId="0" applyAlignment="1" pivotButton="0" quotePrefix="0" xfId="1">
      <alignment horizontal="center"/>
    </xf>
    <xf numFmtId="10" fontId="0" fillId="0" borderId="0" applyAlignment="1" pivotButton="0" quotePrefix="0" xfId="1">
      <alignment horizontal="center"/>
    </xf>
    <xf numFmtId="0" fontId="77" fillId="0" borderId="0" pivotButton="0" quotePrefix="0" xfId="8"/>
    <xf numFmtId="167" fontId="11" fillId="0" borderId="55" applyAlignment="1" pivotButton="0" quotePrefix="0" xfId="0">
      <alignment horizontal="center"/>
    </xf>
    <xf numFmtId="167" fontId="79" fillId="0" borderId="55" applyAlignment="1" pivotButton="0" quotePrefix="0" xfId="0">
      <alignment horizontal="center" vertical="center"/>
    </xf>
    <xf numFmtId="0" fontId="0" fillId="0" borderId="0" applyAlignment="1" pivotButton="0" quotePrefix="0" xfId="0">
      <alignment vertical="center" wrapText="1"/>
    </xf>
    <xf numFmtId="0" fontId="0" fillId="0" borderId="8" applyAlignment="1" pivotButton="0" quotePrefix="0" xfId="0">
      <alignment wrapText="1"/>
    </xf>
    <xf numFmtId="10" fontId="63" fillId="0" borderId="8" applyAlignment="1" pivotButton="0" quotePrefix="0" xfId="0">
      <alignment horizontal="center" wrapText="1"/>
    </xf>
    <xf numFmtId="10" fontId="63" fillId="0" borderId="9" applyAlignment="1" pivotButton="0" quotePrefix="0" xfId="0">
      <alignment horizontal="center" wrapText="1"/>
    </xf>
    <xf numFmtId="10" fontId="63" fillId="0" borderId="0" applyAlignment="1" pivotButton="0" quotePrefix="0" xfId="0">
      <alignment horizontal="center" wrapText="1"/>
    </xf>
    <xf numFmtId="0" fontId="49" fillId="0" borderId="0" applyAlignment="1" pivotButton="0" quotePrefix="0" xfId="0">
      <alignment wrapText="1"/>
    </xf>
    <xf numFmtId="173" fontId="46" fillId="0" borderId="0" pivotButton="0" quotePrefix="0" xfId="0"/>
    <xf numFmtId="174" fontId="6" fillId="0" borderId="0" applyAlignment="1" pivotButton="0" quotePrefix="0" xfId="0">
      <alignment horizontal="left"/>
    </xf>
    <xf numFmtId="41" fontId="6" fillId="0" borderId="0" pivotButton="0" quotePrefix="0" xfId="0"/>
    <xf numFmtId="41" fontId="6" fillId="0" borderId="0" applyAlignment="1" pivotButton="0" quotePrefix="0" xfId="0">
      <alignment horizontal="right"/>
    </xf>
    <xf numFmtId="0" fontId="54" fillId="0" borderId="0" pivotButton="0" quotePrefix="0" xfId="0"/>
    <xf numFmtId="41" fontId="0" fillId="0" borderId="0" applyAlignment="1" pivotButton="0" quotePrefix="0" xfId="0">
      <alignment horizontal="right"/>
    </xf>
    <xf numFmtId="0" fontId="56" fillId="0" borderId="0" pivotButton="0" quotePrefix="0" xfId="0"/>
    <xf numFmtId="167" fontId="40" fillId="0" borderId="0" pivotButton="0" quotePrefix="0" xfId="0"/>
    <xf numFmtId="3" fontId="0" fillId="0" borderId="0" pivotButton="0" quotePrefix="0" xfId="0"/>
    <xf numFmtId="0" fontId="45" fillId="0" borderId="0" applyAlignment="1" pivotButton="0" quotePrefix="0" xfId="0">
      <alignment horizontal="center"/>
    </xf>
    <xf numFmtId="0" fontId="45" fillId="0" borderId="0" applyAlignment="1" pivotButton="0" quotePrefix="0" xfId="0">
      <alignment horizontal="right"/>
    </xf>
    <xf numFmtId="0" fontId="49" fillId="0" borderId="0" applyAlignment="1" pivotButton="0" quotePrefix="0" xfId="0">
      <alignment horizontal="left"/>
    </xf>
    <xf numFmtId="176" fontId="0" fillId="0" borderId="0" applyAlignment="1" pivotButton="0" quotePrefix="0" xfId="0">
      <alignment horizontal="right"/>
    </xf>
    <xf numFmtId="41" fontId="4" fillId="0" borderId="0" applyAlignment="1" pivotButton="0" quotePrefix="0" xfId="0">
      <alignment horizontal="right"/>
    </xf>
    <xf numFmtId="0" fontId="57" fillId="0" borderId="0" pivotButton="0" quotePrefix="0" xfId="0"/>
    <xf numFmtId="3" fontId="57" fillId="0" borderId="0" pivotButton="0" quotePrefix="0" xfId="0"/>
    <xf numFmtId="0" fontId="6" fillId="0" borderId="0" applyAlignment="1" pivotButton="0" quotePrefix="0" xfId="0">
      <alignment vertical="center"/>
    </xf>
    <xf numFmtId="0" fontId="38" fillId="0" borderId="0" applyAlignment="1" pivotButton="0" quotePrefix="0" xfId="0">
      <alignment horizontal="center" wrapText="1"/>
    </xf>
    <xf numFmtId="0" fontId="6" fillId="0" borderId="0" applyAlignment="1" pivotButton="0" quotePrefix="0" xfId="0">
      <alignment horizontal="center"/>
    </xf>
    <xf numFmtId="165" fontId="6" fillId="0" borderId="0" applyAlignment="1" pivotButton="0" quotePrefix="0" xfId="0">
      <alignment horizontal="center"/>
    </xf>
    <xf numFmtId="167" fontId="6" fillId="0" borderId="0" pivotButton="0" quotePrefix="0" xfId="0"/>
    <xf numFmtId="0" fontId="11" fillId="0" borderId="0" applyAlignment="1" pivotButton="0" quotePrefix="0" xfId="0">
      <alignment horizontal="center"/>
    </xf>
    <xf numFmtId="165" fontId="11" fillId="0" borderId="0" applyAlignment="1" pivotButton="0" quotePrefix="0" xfId="0">
      <alignment horizontal="center"/>
    </xf>
    <xf numFmtId="167" fontId="29" fillId="0" borderId="0" pivotButton="0" quotePrefix="0" xfId="4"/>
    <xf numFmtId="43" fontId="29" fillId="0" borderId="0" pivotButton="0" quotePrefix="0" xfId="4"/>
    <xf numFmtId="0" fontId="30" fillId="0" borderId="0" pivotButton="0" quotePrefix="0" xfId="4"/>
    <xf numFmtId="14" fontId="29" fillId="0" borderId="0" pivotButton="0" quotePrefix="1" xfId="4"/>
    <xf numFmtId="0" fontId="36" fillId="0" borderId="0" pivotButton="0" quotePrefix="0" xfId="4"/>
    <xf numFmtId="166" fontId="29" fillId="0" borderId="0" pivotButton="0" quotePrefix="0" xfId="5"/>
    <xf numFmtId="166" fontId="29" fillId="0" borderId="0" pivotButton="0" quotePrefix="0" xfId="4"/>
    <xf numFmtId="9" fontId="29" fillId="0" borderId="0" pivotButton="0" quotePrefix="0" xfId="6"/>
    <xf numFmtId="10" fontId="29" fillId="0" borderId="0" pivotButton="0" quotePrefix="0" xfId="6"/>
    <xf numFmtId="165" fontId="0" fillId="0" borderId="41" applyAlignment="1" pivotButton="0" quotePrefix="0" xfId="0">
      <alignment horizontal="center"/>
    </xf>
    <xf numFmtId="167" fontId="84" fillId="0" borderId="83" applyAlignment="1" pivotButton="0" quotePrefix="0" xfId="0">
      <alignment horizontal="center"/>
    </xf>
    <xf numFmtId="10" fontId="84" fillId="0" borderId="83" applyAlignment="1" pivotButton="0" quotePrefix="0" xfId="2">
      <alignment horizontal="center"/>
    </xf>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Category</t>
        </is>
      </c>
      <c r="B2" s="287" t="inlineStr">
        <is>
          <t>Source Name</t>
        </is>
      </c>
      <c r="D2" s="13" t="n">
        <v>2023</v>
      </c>
      <c r="E2" s="13" t="n">
        <v>2024</v>
      </c>
      <c r="F2" s="6" t="inlineStr">
        <is>
          <t>Broker's Proforma  Y1</t>
        </is>
      </c>
      <c r="G2" s="6" t="inlineStr">
        <is>
          <t>T12</t>
        </is>
      </c>
      <c r="H2" s="6" t="inlineStr">
        <is>
          <t>Annualization</t>
        </is>
      </c>
      <c r="J2" s="7" t="inlineStr">
        <is>
          <t>Jan</t>
        </is>
      </c>
      <c r="K2" s="7" t="inlineStr">
        <is>
          <t>Feb</t>
        </is>
      </c>
      <c r="L2" s="7" t="inlineStr">
        <is>
          <t>Mar</t>
        </is>
      </c>
      <c r="M2" s="7" t="inlineStr">
        <is>
          <t>Apr</t>
        </is>
      </c>
      <c r="N2" s="7" t="inlineStr">
        <is>
          <t>May</t>
        </is>
      </c>
      <c r="O2" s="7" t="inlineStr">
        <is>
          <t>Jun</t>
        </is>
      </c>
      <c r="P2" s="7" t="inlineStr">
        <is>
          <t>Jul</t>
        </is>
      </c>
      <c r="Q2" s="7" t="inlineStr">
        <is>
          <t>Aug</t>
        </is>
      </c>
      <c r="R2" s="7" t="inlineStr">
        <is>
          <t>Sep</t>
        </is>
      </c>
      <c r="S2" s="7" t="inlineStr">
        <is>
          <t>Oct</t>
        </is>
      </c>
      <c r="T2" s="7" t="inlineStr">
        <is>
          <t>Nov</t>
        </is>
      </c>
      <c r="U2" s="7" t="inlineStr">
        <is>
          <t>Dec</t>
        </is>
      </c>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Expense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236" t="n"/>
      <c r="B30" s="128" t="n"/>
      <c r="C30" s="3" t="n"/>
      <c r="D30" s="31" t="n"/>
      <c r="E30" s="31" t="n"/>
      <c r="F30" s="31" t="n"/>
      <c r="G30" s="265" t="n"/>
      <c r="H30" s="21">
        <f>((SUM(S30:U30)/$H$1)*12)</f>
        <v/>
      </c>
      <c r="I30" s="3" t="n"/>
      <c r="J30" s="31" t="n"/>
      <c r="K30" s="31" t="n"/>
      <c r="L30" s="31" t="n"/>
      <c r="M30" s="31" t="n"/>
      <c r="N30" s="31" t="n"/>
      <c r="O30" s="31" t="n"/>
      <c r="P30" s="31" t="n"/>
      <c r="Q30" s="31" t="n"/>
      <c r="R30" s="31" t="n"/>
      <c r="S30" s="31" t="n"/>
      <c r="T30" s="31" t="n"/>
      <c r="U30" s="31" t="n"/>
      <c r="V30" s="27">
        <f>SUM(J30:U30)</f>
        <v/>
      </c>
    </row>
    <row r="31">
      <c r="A31" s="236" t="n"/>
      <c r="B31" s="128" t="n"/>
      <c r="C31" s="3" t="n"/>
      <c r="D31" s="31" t="n"/>
      <c r="E31" s="31" t="n"/>
      <c r="F31" s="31" t="n"/>
      <c r="G31" s="265" t="n"/>
      <c r="H31" s="21">
        <f>((SUM(S31:U31)/$H$1)*12)</f>
        <v/>
      </c>
      <c r="I31" s="3" t="n"/>
      <c r="J31" s="31" t="n"/>
      <c r="K31" s="31" t="n"/>
      <c r="L31" s="31" t="n"/>
      <c r="M31" s="31" t="n"/>
      <c r="N31" s="31" t="n"/>
      <c r="O31" s="31" t="n"/>
      <c r="P31" s="31" t="n"/>
      <c r="Q31" s="31" t="n"/>
      <c r="R31" s="31" t="n"/>
      <c r="S31" s="31" t="n"/>
      <c r="T31" s="31" t="n"/>
      <c r="U31" s="31" t="n"/>
      <c r="V31" s="27">
        <f>SUM(J31:U31)</f>
        <v/>
      </c>
    </row>
    <row r="32">
      <c r="A32" s="236" t="n"/>
      <c r="B32" s="128" t="n"/>
      <c r="C32" s="3" t="n"/>
      <c r="D32" s="31" t="n"/>
      <c r="E32" s="31" t="n"/>
      <c r="F32" s="31" t="n"/>
      <c r="G32" s="265" t="n"/>
      <c r="H32" s="21">
        <f>((SUM(S32:U32)/$H$1)*12)</f>
        <v/>
      </c>
      <c r="I32" s="3" t="n"/>
      <c r="J32" s="31" t="n"/>
      <c r="K32" s="31" t="n"/>
      <c r="L32" s="31" t="n"/>
      <c r="M32" s="31" t="n"/>
      <c r="N32" s="31" t="n"/>
      <c r="O32" s="31" t="n"/>
      <c r="P32" s="31" t="n"/>
      <c r="Q32" s="31" t="n"/>
      <c r="R32" s="31" t="n"/>
      <c r="S32" s="31" t="n"/>
      <c r="T32" s="31" t="n"/>
      <c r="U32" s="31" t="n"/>
      <c r="V32" s="27">
        <f>SUM(J32:U32)</f>
        <v/>
      </c>
    </row>
    <row r="33">
      <c r="A33" s="236" t="n"/>
      <c r="B33" s="128" t="n"/>
      <c r="C33" s="3" t="n"/>
      <c r="D33" s="31" t="n"/>
      <c r="E33" s="31" t="n"/>
      <c r="F33" s="31" t="n"/>
      <c r="G33" s="265" t="n"/>
      <c r="H33" s="21">
        <f>((SUM(S33:U33)/$H$1)*12)</f>
        <v/>
      </c>
      <c r="I33" s="3" t="n"/>
      <c r="J33" s="31" t="n"/>
      <c r="K33" s="31" t="n"/>
      <c r="L33" s="31" t="n"/>
      <c r="M33" s="31" t="n"/>
      <c r="N33" s="31" t="n"/>
      <c r="O33" s="31" t="n"/>
      <c r="P33" s="31" t="n"/>
      <c r="Q33" s="31" t="n"/>
      <c r="R33" s="31" t="n"/>
      <c r="S33" s="31" t="n"/>
      <c r="T33" s="31" t="n"/>
      <c r="U33" s="31" t="n"/>
      <c r="V33" s="27">
        <f>SUM(J33:U33)</f>
        <v/>
      </c>
    </row>
    <row r="34">
      <c r="A34" s="236" t="n"/>
      <c r="B34" s="128" t="n"/>
      <c r="C34" s="3" t="n"/>
      <c r="D34" s="31" t="n"/>
      <c r="E34" s="31" t="n"/>
      <c r="F34" s="31" t="n"/>
      <c r="G34" s="265" t="n"/>
      <c r="H34" s="21">
        <f>((SUM(S34:U34)/$H$1)*12)</f>
        <v/>
      </c>
      <c r="I34" s="3" t="n"/>
      <c r="J34" s="31" t="n"/>
      <c r="K34" s="31" t="n"/>
      <c r="L34" s="31" t="n"/>
      <c r="M34" s="31" t="n"/>
      <c r="N34" s="31" t="n"/>
      <c r="O34" s="31" t="n"/>
      <c r="P34" s="31" t="n"/>
      <c r="Q34" s="31" t="n"/>
      <c r="R34" s="31" t="n"/>
      <c r="S34" s="31" t="n"/>
      <c r="T34" s="31" t="n"/>
      <c r="U34" s="31" t="n"/>
      <c r="V34" s="27">
        <f>SUM(J34:U34)</f>
        <v/>
      </c>
    </row>
    <row r="35">
      <c r="A35" s="236" t="n"/>
      <c r="B35" s="128" t="n"/>
      <c r="C35" s="3" t="n"/>
      <c r="D35" s="31" t="n"/>
      <c r="E35" s="31" t="n"/>
      <c r="F35" s="31" t="n"/>
      <c r="G35" s="265" t="n"/>
      <c r="H35" s="21">
        <f>((SUM(S35:U35)/$H$1)*12)</f>
        <v/>
      </c>
      <c r="I35" s="3" t="n"/>
      <c r="J35" s="31" t="n"/>
      <c r="K35" s="31" t="n"/>
      <c r="L35" s="31" t="n"/>
      <c r="M35" s="31" t="n"/>
      <c r="N35" s="31" t="n"/>
      <c r="O35" s="31" t="n"/>
      <c r="P35" s="31" t="n"/>
      <c r="Q35" s="31" t="n"/>
      <c r="R35" s="31" t="n"/>
      <c r="S35" s="31" t="n"/>
      <c r="T35" s="31" t="n"/>
      <c r="U35" s="31" t="n"/>
      <c r="V35" s="27">
        <f>SUM(J35:U35)</f>
        <v/>
      </c>
    </row>
    <row r="36">
      <c r="A36" s="236" t="n"/>
      <c r="B36" s="128" t="n"/>
      <c r="C36" s="3" t="n"/>
      <c r="D36" s="31" t="n"/>
      <c r="E36" s="31" t="n"/>
      <c r="F36" s="31" t="n"/>
      <c r="G36" s="265" t="n"/>
      <c r="H36" s="21">
        <f>((SUM(S36:U36)/$H$1)*12)</f>
        <v/>
      </c>
      <c r="I36" s="3" t="n"/>
      <c r="J36" s="31" t="n"/>
      <c r="K36" s="31" t="n"/>
      <c r="L36" s="31" t="n"/>
      <c r="M36" s="31" t="n"/>
      <c r="N36" s="31" t="n"/>
      <c r="O36" s="817" t="n"/>
      <c r="P36" s="31" t="n"/>
      <c r="Q36" s="31" t="n"/>
      <c r="R36" s="31" t="n"/>
      <c r="S36" s="31" t="n"/>
      <c r="T36" s="31" t="n"/>
      <c r="U36" s="31" t="n"/>
      <c r="V36" s="27">
        <f>SUM(J36:U36)</f>
        <v/>
      </c>
    </row>
    <row r="37">
      <c r="A37" s="236" t="n"/>
      <c r="B37" s="128" t="n"/>
      <c r="C37" s="3" t="n"/>
      <c r="D37" s="31" t="n"/>
      <c r="E37" s="31" t="n"/>
      <c r="F37" s="31" t="n"/>
      <c r="G37" s="265" t="n"/>
      <c r="H37" s="21">
        <f>((SUM(S37:U37)/$H$1)*12)</f>
        <v/>
      </c>
      <c r="I37" s="3" t="n"/>
      <c r="J37" s="31" t="n"/>
      <c r="K37" s="31" t="n"/>
      <c r="L37" s="31" t="n"/>
      <c r="M37" s="31" t="n"/>
      <c r="N37" s="31" t="n"/>
      <c r="O37" s="31" t="n"/>
      <c r="P37" s="31" t="n"/>
      <c r="Q37" s="31" t="n"/>
      <c r="R37" s="31" t="n"/>
      <c r="S37" s="31" t="n"/>
      <c r="T37" s="31" t="n"/>
      <c r="U37" s="31" t="n"/>
      <c r="V37" s="27">
        <f>SUM(J37:U37)</f>
        <v/>
      </c>
    </row>
    <row r="38">
      <c r="A38" s="236" t="n"/>
      <c r="B38" s="128" t="n"/>
      <c r="C38" s="3" t="n"/>
      <c r="D38" s="31" t="n"/>
      <c r="E38" s="31" t="n"/>
      <c r="F38" s="31" t="n"/>
      <c r="G38" s="265" t="n"/>
      <c r="H38" s="21">
        <f>((SUM(S38:U38)/$H$1)*12)</f>
        <v/>
      </c>
      <c r="I38" s="3" t="n"/>
      <c r="J38" s="31" t="n"/>
      <c r="K38" s="31" t="n"/>
      <c r="L38" s="31" t="n"/>
      <c r="M38" s="31" t="n"/>
      <c r="N38" s="31" t="n"/>
      <c r="O38" s="31" t="n"/>
      <c r="P38" s="31" t="n"/>
      <c r="Q38" s="31" t="n"/>
      <c r="R38" s="31" t="n"/>
      <c r="S38" s="31" t="n"/>
      <c r="T38" s="31" t="n"/>
      <c r="U38" s="31" t="n"/>
      <c r="V38" s="27">
        <f>SUM(J38:U38)</f>
        <v/>
      </c>
    </row>
    <row r="39">
      <c r="A39" s="236" t="n"/>
      <c r="B39" s="128" t="n"/>
      <c r="C39" s="3" t="n"/>
      <c r="D39" s="31" t="n"/>
      <c r="E39" s="31" t="n"/>
      <c r="F39" s="31" t="n"/>
      <c r="G39" s="265" t="n"/>
      <c r="H39" s="21">
        <f>((SUM(S39:U39)/$H$1)*12)</f>
        <v/>
      </c>
      <c r="I39" s="3" t="n"/>
      <c r="J39" s="31" t="n"/>
      <c r="K39" s="31" t="n"/>
      <c r="L39" s="31" t="n"/>
      <c r="M39" s="31" t="n"/>
      <c r="N39" s="31" t="n"/>
      <c r="O39" s="31" t="n"/>
      <c r="P39" s="31" t="n"/>
      <c r="Q39" s="31" t="n"/>
      <c r="R39" s="31" t="n"/>
      <c r="S39" s="31" t="n"/>
      <c r="T39" s="31" t="n"/>
      <c r="U39" s="31" t="n"/>
      <c r="V39" s="27">
        <f>SUM(J39:U39)</f>
        <v/>
      </c>
    </row>
    <row r="40">
      <c r="A40" s="236" t="n"/>
      <c r="B40" s="128" t="n"/>
      <c r="C40" s="3" t="n"/>
      <c r="D40" s="31" t="n"/>
      <c r="E40" s="31" t="n"/>
      <c r="F40" s="31" t="n"/>
      <c r="G40" s="265" t="n"/>
      <c r="H40" s="21">
        <f>((SUM(S40:U40)/$H$1)*12)</f>
        <v/>
      </c>
      <c r="I40" s="3" t="n"/>
      <c r="J40" s="31" t="n"/>
      <c r="K40" s="31" t="n"/>
      <c r="L40" s="31" t="n"/>
      <c r="M40" s="31" t="n"/>
      <c r="N40" s="31" t="n"/>
      <c r="O40" s="31" t="n"/>
      <c r="P40" s="31" t="n"/>
      <c r="Q40" s="31" t="n"/>
      <c r="R40" s="817" t="n"/>
      <c r="S40" s="817" t="n"/>
      <c r="T40" s="817" t="n"/>
      <c r="U40" s="817" t="n"/>
      <c r="V40" s="27">
        <f>SUM(J40:U40)</f>
        <v/>
      </c>
    </row>
    <row r="41">
      <c r="A41" s="236" t="n"/>
      <c r="B41" s="128" t="n"/>
      <c r="C41" s="3" t="n"/>
      <c r="D41" s="31" t="n"/>
      <c r="E41" s="31" t="n"/>
      <c r="F41" s="31" t="n"/>
      <c r="G41" s="265" t="n"/>
      <c r="H41" s="21">
        <f>((SUM(S41:U41)/$H$1)*12)</f>
        <v/>
      </c>
      <c r="I41" s="3" t="n"/>
      <c r="J41" s="31" t="n"/>
      <c r="K41" s="31" t="n"/>
      <c r="L41" s="31" t="n"/>
      <c r="M41" s="31" t="n"/>
      <c r="N41" s="31" t="n"/>
      <c r="O41" s="31" t="n"/>
      <c r="P41" s="31" t="n"/>
      <c r="Q41" s="31" t="n"/>
      <c r="R41" s="31" t="n"/>
      <c r="S41" s="31" t="n"/>
      <c r="T41" s="31" t="n"/>
      <c r="U41" s="31" t="n"/>
      <c r="V41" s="27">
        <f>SUM(J41:U41)</f>
        <v/>
      </c>
    </row>
    <row r="42">
      <c r="A42" s="236" t="n"/>
      <c r="B42" s="128" t="n"/>
      <c r="C42" s="3" t="n"/>
      <c r="D42" s="31" t="n"/>
      <c r="E42" s="31" t="n"/>
      <c r="F42" s="31" t="n"/>
      <c r="G42" s="265" t="n"/>
      <c r="H42" s="21">
        <f>((SUM(S42:U42)/$H$1)*12)</f>
        <v/>
      </c>
      <c r="I42" s="3" t="n"/>
      <c r="J42" s="31" t="n"/>
      <c r="K42" s="31" t="n"/>
      <c r="L42" s="31" t="n"/>
      <c r="M42" s="31" t="n"/>
      <c r="N42" s="31" t="n"/>
      <c r="O42" s="31" t="n"/>
      <c r="P42" s="31" t="n"/>
      <c r="Q42" s="31" t="n"/>
      <c r="R42" s="31" t="n"/>
      <c r="S42" s="31" t="n"/>
      <c r="T42" s="31" t="n"/>
      <c r="U42" s="31" t="n"/>
      <c r="V42" s="27">
        <f>SUM(J42:U42)</f>
        <v/>
      </c>
    </row>
    <row r="43">
      <c r="A43" s="236" t="n"/>
      <c r="B43" s="128" t="n"/>
      <c r="C43" s="3" t="n"/>
      <c r="D43" s="31" t="n"/>
      <c r="E43" s="31" t="n"/>
      <c r="F43" s="31" t="n"/>
      <c r="G43" s="265" t="n"/>
      <c r="H43" s="21">
        <f>((SUM(S43:U43)/$H$1)*12)</f>
        <v/>
      </c>
      <c r="I43" s="3" t="n"/>
      <c r="J43" s="31" t="n"/>
      <c r="K43" s="31" t="n"/>
      <c r="L43" s="31" t="n"/>
      <c r="M43" s="31" t="n"/>
      <c r="N43" s="31" t="n"/>
      <c r="O43" s="31" t="n"/>
      <c r="P43" s="31" t="n"/>
      <c r="Q43" s="31" t="n"/>
      <c r="R43" s="31" t="n"/>
      <c r="S43" s="31" t="n"/>
      <c r="T43" s="31" t="n"/>
      <c r="U43" s="31" t="n"/>
      <c r="V43" s="27">
        <f>SUM(J43:U43)</f>
        <v/>
      </c>
    </row>
    <row r="44">
      <c r="A44" s="236" t="n"/>
      <c r="B44" s="128" t="n"/>
      <c r="C44" s="3" t="n"/>
      <c r="D44" s="31" t="n"/>
      <c r="E44" s="31" t="n"/>
      <c r="F44" s="31" t="n"/>
      <c r="G44" s="265" t="n"/>
      <c r="H44" s="21">
        <f>((SUM(S44:U44)/$H$1)*12)</f>
        <v/>
      </c>
      <c r="I44" s="3" t="n"/>
      <c r="J44" s="31" t="n"/>
      <c r="K44" s="31" t="n"/>
      <c r="L44" s="31" t="n"/>
      <c r="M44" s="31" t="n"/>
      <c r="N44" s="31" t="n"/>
      <c r="O44" s="31" t="n"/>
      <c r="P44" s="31" t="n"/>
      <c r="Q44" s="31" t="n"/>
      <c r="R44" s="31" t="n"/>
      <c r="S44" s="31" t="n"/>
      <c r="T44" s="31" t="n"/>
      <c r="U44" s="31" t="n"/>
      <c r="V44" s="27">
        <f>SUM(J44:U44)</f>
        <v/>
      </c>
    </row>
    <row r="45">
      <c r="A45" s="236" t="n"/>
      <c r="B45" s="128" t="n"/>
      <c r="C45" s="3" t="n"/>
      <c r="D45" s="31" t="n"/>
      <c r="E45" s="31" t="n"/>
      <c r="F45" s="31" t="n"/>
      <c r="G45" s="265" t="n"/>
      <c r="H45" s="21">
        <f>((SUM(S45:U45)/$H$1)*12)</f>
        <v/>
      </c>
      <c r="I45" s="3" t="n"/>
      <c r="J45" s="31" t="n"/>
      <c r="K45" s="31" t="n"/>
      <c r="L45" s="31" t="n"/>
      <c r="M45" s="817" t="n"/>
      <c r="N45" s="31" t="n"/>
      <c r="O45" s="31" t="n"/>
      <c r="P45" s="31" t="n"/>
      <c r="Q45" s="31" t="n"/>
      <c r="R45" s="31" t="n"/>
      <c r="S45" s="31" t="n"/>
      <c r="T45" s="31" t="n"/>
      <c r="U45" s="31" t="n"/>
      <c r="V45" s="27">
        <f>SUM(J45:U45)</f>
        <v/>
      </c>
    </row>
    <row r="46">
      <c r="A46" s="236" t="n"/>
      <c r="B46" s="214" t="n"/>
      <c r="C46" s="3" t="n"/>
      <c r="D46" s="31" t="n"/>
      <c r="E46" s="31" t="n"/>
      <c r="F46" s="31" t="n"/>
      <c r="G46" s="265" t="n"/>
      <c r="H46" s="21">
        <f>((SUM(S46:U46)/$H$1)*12)</f>
        <v/>
      </c>
      <c r="I46" s="3" t="n"/>
      <c r="J46" s="31" t="n"/>
      <c r="K46" s="31" t="n"/>
      <c r="L46" s="31" t="n"/>
      <c r="M46" s="31" t="n"/>
      <c r="N46" s="31" t="n"/>
      <c r="O46" s="31" t="n"/>
      <c r="P46" s="31" t="n"/>
      <c r="Q46" s="31" t="n"/>
      <c r="R46" s="31" t="n"/>
      <c r="S46" s="31" t="n"/>
      <c r="T46" s="31" t="n"/>
      <c r="U46" s="31" t="n"/>
      <c r="V46" s="27">
        <f>SUM(J46:U46)</f>
        <v/>
      </c>
    </row>
    <row r="47">
      <c r="A47" s="236" t="n"/>
      <c r="B47" s="639" t="n"/>
      <c r="C47" s="3" t="n"/>
      <c r="D47" s="31" t="n"/>
      <c r="E47" s="31" t="n"/>
      <c r="F47" s="31" t="n"/>
      <c r="G47" s="265" t="n"/>
      <c r="H47" s="21">
        <f>((SUM(S47:U47)/$H$1)*12)</f>
        <v/>
      </c>
      <c r="I47" s="3" t="n"/>
      <c r="J47" s="31" t="n"/>
      <c r="K47" s="31" t="n"/>
      <c r="L47" s="31" t="n"/>
      <c r="M47" s="31" t="n"/>
      <c r="N47" s="31" t="n"/>
      <c r="O47" s="31" t="n"/>
      <c r="P47" s="31" t="n"/>
      <c r="Q47" s="31" t="n"/>
      <c r="R47" s="31" t="n"/>
      <c r="S47" s="31" t="n"/>
      <c r="T47" s="31" t="n"/>
      <c r="U47" s="31" t="n"/>
      <c r="V47" s="27">
        <f>SUM(J47:U47)</f>
        <v/>
      </c>
    </row>
    <row r="48">
      <c r="A48" s="236" t="n"/>
      <c r="B48" s="214" t="n"/>
      <c r="C48" s="3" t="n"/>
      <c r="D48" s="31" t="n"/>
      <c r="E48" s="31" t="n"/>
      <c r="F48" s="31" t="n"/>
      <c r="G48" s="265" t="n"/>
      <c r="H48" s="21">
        <f>((SUM(S48:U48)/$H$1)*12)</f>
        <v/>
      </c>
      <c r="I48" s="3" t="n"/>
      <c r="J48" s="31" t="n"/>
      <c r="K48" s="31" t="n"/>
      <c r="L48" s="31" t="n"/>
      <c r="M48" s="31" t="n"/>
      <c r="N48" s="31" t="n"/>
      <c r="O48" s="31" t="n"/>
      <c r="P48" s="31" t="n"/>
      <c r="Q48" s="31" t="n"/>
      <c r="R48" s="31" t="n"/>
      <c r="S48" s="31" t="n"/>
      <c r="T48" s="31" t="n"/>
      <c r="U48" s="31" t="n"/>
      <c r="V48" s="27">
        <f>SUM(J48:U48)</f>
        <v/>
      </c>
    </row>
    <row r="49">
      <c r="A49" s="236" t="n"/>
      <c r="B49" s="214" t="n"/>
      <c r="C49" s="3" t="n"/>
      <c r="D49" s="31" t="n"/>
      <c r="E49" s="31" t="n"/>
      <c r="F49" s="31" t="n"/>
      <c r="G49" s="265" t="n"/>
      <c r="H49" s="21">
        <f>((SUM(S49:U49)/$H$1)*12)</f>
        <v/>
      </c>
      <c r="I49" s="3" t="n"/>
      <c r="J49" s="31" t="n"/>
      <c r="K49" s="31" t="n"/>
      <c r="L49" s="31" t="n"/>
      <c r="M49" s="31" t="n"/>
      <c r="N49" s="31" t="n"/>
      <c r="O49" s="31" t="n"/>
      <c r="P49" s="31" t="n"/>
      <c r="Q49" s="31" t="n"/>
      <c r="R49" s="31" t="n"/>
      <c r="S49" s="31" t="n"/>
      <c r="T49" s="31" t="n"/>
      <c r="U49" s="31" t="n"/>
      <c r="V49" s="27">
        <f>SUM(J49:U49)</f>
        <v/>
      </c>
    </row>
    <row r="50">
      <c r="A50" s="236" t="n"/>
      <c r="B50" s="214" t="n"/>
      <c r="C50" s="3" t="n"/>
      <c r="D50" s="31" t="n"/>
      <c r="E50" s="31" t="n"/>
      <c r="F50" s="31" t="n"/>
      <c r="G50" s="265" t="n"/>
      <c r="H50" s="21">
        <f>((SUM(S50:U50)/$H$1)*12)</f>
        <v/>
      </c>
      <c r="I50" s="3" t="n"/>
      <c r="J50" s="31" t="n"/>
      <c r="K50" s="31" t="n"/>
      <c r="L50" s="31" t="n"/>
      <c r="M50" s="31" t="n"/>
      <c r="N50" s="31" t="n"/>
      <c r="O50" s="31" t="n"/>
      <c r="P50" s="31" t="n"/>
      <c r="Q50" s="31" t="n"/>
      <c r="R50" s="31" t="n"/>
      <c r="S50" s="31" t="n"/>
      <c r="T50" s="31" t="n"/>
      <c r="U50" s="31" t="n"/>
      <c r="V50" s="27">
        <f>SUM(J50:U50)</f>
        <v/>
      </c>
    </row>
    <row r="51">
      <c r="A51" s="236" t="n"/>
      <c r="B51" s="214" t="n"/>
      <c r="C51" s="3" t="n"/>
      <c r="D51" s="31" t="n"/>
      <c r="E51" s="31" t="n"/>
      <c r="F51" s="31" t="n"/>
      <c r="G51" s="265" t="n"/>
      <c r="H51" s="21">
        <f>((SUM(S51:U51)/$H$1)*12)</f>
        <v/>
      </c>
      <c r="I51" s="3" t="n"/>
      <c r="J51" s="31" t="n"/>
      <c r="K51" s="31" t="n"/>
      <c r="L51" s="31" t="n"/>
      <c r="M51" s="31" t="n"/>
      <c r="N51" s="31" t="n"/>
      <c r="O51" s="31" t="n"/>
      <c r="P51" s="31" t="n"/>
      <c r="Q51" s="31" t="n"/>
      <c r="R51" s="31" t="n"/>
      <c r="S51" s="31" t="n"/>
      <c r="T51" s="31" t="n"/>
      <c r="U51" s="31" t="n"/>
      <c r="V51" s="27">
        <f>SUM(J51:U51)</f>
        <v/>
      </c>
    </row>
    <row r="52">
      <c r="A52" s="236" t="n"/>
      <c r="B52" s="214" t="n"/>
      <c r="C52" s="3" t="n"/>
      <c r="D52" s="31" t="n"/>
      <c r="E52" s="31" t="n"/>
      <c r="F52" s="31" t="n"/>
      <c r="G52" s="265" t="n"/>
      <c r="H52" s="21">
        <f>((SUM(S52:U52)/$H$1)*12)</f>
        <v/>
      </c>
      <c r="I52" s="3" t="n"/>
      <c r="J52" s="31" t="n"/>
      <c r="K52" s="31" t="n"/>
      <c r="L52" s="31" t="n"/>
      <c r="M52" s="31" t="n"/>
      <c r="N52" s="31" t="n"/>
      <c r="O52" s="31" t="n"/>
      <c r="P52" s="31" t="n"/>
      <c r="Q52" s="31" t="n"/>
      <c r="R52" s="31" t="n"/>
      <c r="S52" s="31" t="n"/>
      <c r="T52" s="31" t="n"/>
      <c r="U52" s="31" t="n"/>
      <c r="V52" s="27">
        <f>SUM(J52:U52)</f>
        <v/>
      </c>
    </row>
    <row r="53">
      <c r="A53" s="236" t="n"/>
      <c r="B53" s="214" t="n"/>
      <c r="C53" s="3" t="n"/>
      <c r="D53" s="31" t="n"/>
      <c r="E53" s="31" t="n"/>
      <c r="F53" s="31" t="n"/>
      <c r="G53" s="265" t="n"/>
      <c r="H53" s="21">
        <f>((SUM(S53:U53)/$H$1)*12)</f>
        <v/>
      </c>
      <c r="I53" s="3" t="n"/>
      <c r="J53" s="31" t="n"/>
      <c r="K53" s="31" t="n"/>
      <c r="L53" s="31" t="n"/>
      <c r="M53" s="31" t="n"/>
      <c r="N53" s="31" t="n"/>
      <c r="O53" s="31" t="n"/>
      <c r="P53" s="31" t="n"/>
      <c r="Q53" s="31" t="n"/>
      <c r="R53" s="31" t="n"/>
      <c r="S53" s="31" t="n"/>
      <c r="T53" s="31" t="n"/>
      <c r="U53" s="31" t="n"/>
      <c r="V53" s="27">
        <f>SUM(J53:U53)</f>
        <v/>
      </c>
    </row>
    <row r="54">
      <c r="A54" s="236" t="n"/>
      <c r="B54" s="214" t="n"/>
      <c r="C54" s="3" t="n"/>
      <c r="D54" s="31" t="n"/>
      <c r="E54" s="31" t="n"/>
      <c r="F54" s="31" t="n"/>
      <c r="G54" s="265" t="n"/>
      <c r="H54" s="21">
        <f>((SUM(S54:U54)/$H$1)*12)</f>
        <v/>
      </c>
      <c r="I54" s="3" t="n"/>
      <c r="J54" s="31" t="n"/>
      <c r="K54" s="31" t="n"/>
      <c r="L54" s="31" t="n"/>
      <c r="M54" s="31" t="n"/>
      <c r="N54" s="31" t="n"/>
      <c r="O54" s="31" t="n"/>
      <c r="P54" s="31" t="n"/>
      <c r="Q54" s="31" t="n"/>
      <c r="R54" s="31" t="n"/>
      <c r="S54" s="31" t="n"/>
      <c r="T54" s="31" t="n"/>
      <c r="U54" s="31" t="n"/>
      <c r="V54" s="27">
        <f>SUM(J54:U54)</f>
        <v/>
      </c>
    </row>
    <row r="55">
      <c r="A55" s="236" t="n"/>
      <c r="B55" s="214" t="n"/>
      <c r="C55" s="3" t="n"/>
      <c r="D55" s="31" t="n"/>
      <c r="E55" s="31" t="n"/>
      <c r="F55" s="31" t="n"/>
      <c r="G55" s="265" t="n"/>
      <c r="H55" s="21">
        <f>((SUM(S55:U55)/$H$1)*12)</f>
        <v/>
      </c>
      <c r="I55" s="3" t="n"/>
      <c r="J55" s="31" t="n"/>
      <c r="K55" s="31" t="n"/>
      <c r="L55" s="31" t="n"/>
      <c r="M55" s="31" t="n"/>
      <c r="N55" s="31" t="n"/>
      <c r="O55" s="31" t="n"/>
      <c r="P55" s="31" t="n"/>
      <c r="Q55" s="31" t="n"/>
      <c r="R55" s="31" t="n"/>
      <c r="S55" s="31" t="n"/>
      <c r="T55" s="31" t="n"/>
      <c r="U55" s="31" t="n"/>
      <c r="V55" s="27">
        <f>SUM(J55:U55)</f>
        <v/>
      </c>
    </row>
    <row r="56">
      <c r="A56" s="236" t="n"/>
      <c r="B56" s="214" t="n"/>
      <c r="C56" s="3" t="n"/>
      <c r="D56" s="31" t="n"/>
      <c r="E56" s="31" t="n"/>
      <c r="F56" s="31" t="n"/>
      <c r="G56" s="265" t="n"/>
      <c r="H56" s="21">
        <f>((SUM(S56:U56)/$H$1)*12)</f>
        <v/>
      </c>
      <c r="I56" s="3" t="n"/>
      <c r="J56" s="31" t="n"/>
      <c r="K56" s="31" t="n"/>
      <c r="L56" s="31" t="n"/>
      <c r="M56" s="31" t="n"/>
      <c r="N56" s="31" t="n"/>
      <c r="O56" s="31" t="n"/>
      <c r="P56" s="31" t="n"/>
      <c r="Q56" s="31" t="n"/>
      <c r="R56" s="31" t="n"/>
      <c r="S56" s="31" t="n"/>
      <c r="T56" s="31" t="n"/>
      <c r="U56" s="31" t="n"/>
      <c r="V56" s="27">
        <f>SUM(J56:U56)</f>
        <v/>
      </c>
    </row>
    <row r="57">
      <c r="A57" s="236" t="n"/>
      <c r="B57" s="128" t="n"/>
      <c r="C57" s="3" t="n"/>
      <c r="D57" s="31" t="n"/>
      <c r="E57" s="31" t="n"/>
      <c r="F57" s="128" t="n"/>
      <c r="G57" s="265"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236" t="n"/>
      <c r="B58" s="214" t="n"/>
      <c r="C58" s="3" t="n"/>
      <c r="D58" s="31" t="n"/>
      <c r="E58" s="31" t="n"/>
      <c r="F58" s="31" t="n"/>
      <c r="G58" s="265"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0" type="list">
      <formula1>"1,2,3,4,5,6,7,8,9,10,11,12"</formula1>
    </dataValidation>
    <dataValidation sqref="A3:A9 A11:A13 A15:A21"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0"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0"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C1" s="146" t="n"/>
      <c r="D1" s="146" t="n"/>
      <c r="E1" s="146" t="n"/>
      <c r="F1" s="146" t="n"/>
      <c r="G1" s="146" t="n"/>
      <c r="H1" s="146" t="n"/>
      <c r="I1" s="146" t="n"/>
      <c r="J1" s="146" t="n"/>
      <c r="K1" s="146" t="n"/>
      <c r="L1" s="146" t="n"/>
      <c r="M1" s="146" t="n"/>
      <c r="N1" s="146" t="n"/>
      <c r="O1" s="146" t="n"/>
      <c r="P1" s="146" t="n"/>
    </row>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10"/>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t>
        </is>
      </c>
      <c r="B1" s="34" t="n"/>
      <c r="C1" s="34" t="n"/>
      <c r="D1" s="34" t="n"/>
      <c r="E1" s="818" t="inlineStr">
        <is>
          <t>MHC Only</t>
        </is>
      </c>
      <c r="F1" s="819" t="n"/>
      <c r="G1" s="819" t="n"/>
      <c r="H1" s="820" t="n"/>
      <c r="I1" s="821" t="inlineStr">
        <is>
          <t>Apartments</t>
        </is>
      </c>
      <c r="J1" s="819" t="n"/>
      <c r="K1" s="819" t="n"/>
      <c r="L1" s="819" t="n"/>
      <c r="M1" s="820" t="n"/>
      <c r="N1" s="822" t="inlineStr">
        <is>
          <t>Other Income</t>
        </is>
      </c>
      <c r="O1" s="819" t="n"/>
      <c r="P1" s="820" t="n"/>
      <c r="Q1" s="823" t="inlineStr">
        <is>
          <t>Commercial Leases</t>
        </is>
      </c>
      <c r="R1" s="819" t="n"/>
      <c r="S1" s="819" t="n"/>
      <c r="T1" s="820" t="n"/>
      <c r="U1" s="123" t="n"/>
      <c r="V1" s="123" t="n"/>
      <c r="W1" s="123" t="n"/>
      <c r="X1" s="123" t="n"/>
      <c r="Y1" s="123" t="n"/>
      <c r="Z1" s="123" t="n"/>
      <c r="AA1" s="123" t="n"/>
      <c r="AB1" s="1034" t="n"/>
      <c r="AC1" s="1034" t="n"/>
      <c r="AD1" s="1034" t="n"/>
      <c r="AE1" s="1034" t="n"/>
      <c r="AF1" s="1034" t="n"/>
      <c r="AG1" s="1034" t="n"/>
      <c r="AH1" s="1034" t="n"/>
      <c r="AI1" s="1034" t="n"/>
      <c r="AJ1" s="1034" t="n"/>
      <c r="AK1" s="1034" t="n"/>
      <c r="AL1" s="1034" t="n"/>
      <c r="AM1" s="1034" t="n"/>
      <c r="AN1" s="1034" t="n"/>
      <c r="AO1" s="1034" t="n"/>
      <c r="AP1" s="1034" t="n"/>
      <c r="AQ1" s="1034" t="n"/>
      <c r="AR1" s="1034" t="n"/>
      <c r="AS1" s="1034" t="n"/>
      <c r="AT1" s="1034" t="n"/>
      <c r="AU1" s="1034" t="n"/>
      <c r="AV1" s="1034" t="n"/>
      <c r="AW1" s="1034" t="n"/>
      <c r="AX1" s="1034" t="n"/>
      <c r="AY1" s="1034" t="n"/>
      <c r="AZ1" s="1034" t="n"/>
      <c r="BA1" s="1034" t="n"/>
      <c r="BB1" s="1034" t="n"/>
      <c r="BC1" s="1034" t="n"/>
      <c r="BD1" s="1034" t="n"/>
      <c r="BE1" s="1034" t="n"/>
      <c r="BF1" s="1034" t="n"/>
      <c r="BG1" s="1034" t="n"/>
      <c r="BH1" s="1034" t="n"/>
      <c r="BI1" s="1034" t="n"/>
      <c r="BJ1" s="1034" t="n"/>
      <c r="BK1" s="1034" t="n"/>
      <c r="BL1" s="1034" t="n"/>
      <c r="BM1" s="1034" t="n"/>
      <c r="BN1" s="1034" t="n"/>
      <c r="BO1" s="1034" t="n"/>
      <c r="BP1" s="1034" t="n"/>
      <c r="BQ1" s="1034" t="n"/>
      <c r="BR1" s="1034" t="n"/>
      <c r="BS1" s="1034" t="n"/>
      <c r="BT1" s="1034" t="n"/>
      <c r="BU1" s="1034" t="n"/>
      <c r="BV1" s="1034" t="n"/>
      <c r="BW1" s="1034" t="n"/>
      <c r="BX1" s="1034" t="n"/>
      <c r="BY1" s="1034" t="n"/>
      <c r="BZ1" s="1034" t="n"/>
      <c r="CA1" s="1034" t="n"/>
      <c r="CB1" s="1034" t="n"/>
      <c r="CC1" s="1034" t="n"/>
      <c r="CD1" s="1034" t="n"/>
      <c r="CE1" s="1034" t="n"/>
      <c r="CF1" s="1034" t="n"/>
      <c r="CG1" s="1034" t="n"/>
      <c r="CH1" s="1034" t="n"/>
      <c r="CI1" s="1034" t="n"/>
      <c r="CJ1" s="1034" t="n"/>
      <c r="CK1" s="1034" t="n"/>
      <c r="CL1" s="1034" t="n"/>
      <c r="CM1" s="1034" t="n"/>
      <c r="CN1" s="1034" t="n"/>
      <c r="CO1" s="1034" t="n"/>
      <c r="CP1" s="1034" t="n"/>
      <c r="CQ1" s="1034" t="n"/>
      <c r="CR1" s="1034" t="n"/>
      <c r="CS1" s="1034" t="n"/>
      <c r="CT1" s="1034" t="n"/>
      <c r="CU1" s="1034" t="n"/>
      <c r="CV1" s="1034" t="n"/>
      <c r="CW1" s="1034" t="n"/>
      <c r="CX1" s="1034" t="n"/>
      <c r="CY1" s="1034" t="n"/>
      <c r="CZ1" s="1034" t="n"/>
      <c r="DA1" s="1034" t="n"/>
      <c r="DB1" s="1034" t="n"/>
      <c r="DC1" s="1034" t="n"/>
      <c r="DD1" s="1034" t="n"/>
      <c r="DE1" s="1034" t="n"/>
      <c r="DF1" s="1034" t="n"/>
      <c r="DG1" s="1034" t="n"/>
      <c r="DH1" s="1034" t="n"/>
      <c r="DI1" s="1034" t="n"/>
      <c r="DJ1" s="1034" t="n"/>
      <c r="DK1" s="1034" t="n"/>
      <c r="DL1" s="1034" t="n"/>
      <c r="DM1" s="1034" t="n"/>
      <c r="DN1" s="1034" t="n"/>
      <c r="DO1" s="1034" t="n"/>
      <c r="DP1" s="1034" t="n"/>
      <c r="DQ1" s="1034" t="n"/>
      <c r="DR1" s="1034" t="n"/>
      <c r="DS1" s="1034" t="n"/>
      <c r="DT1" s="1034" t="n"/>
      <c r="DU1" s="1034" t="n"/>
      <c r="DV1" s="1034" t="n"/>
      <c r="DW1" s="1034" t="n"/>
      <c r="DX1" s="1034" t="n"/>
    </row>
    <row r="2" ht="48" customFormat="1" customHeight="1" s="36" thickBot="1">
      <c r="A2" s="277" t="inlineStr">
        <is>
          <t>Count</t>
        </is>
      </c>
      <c r="B2" s="277" t="inlineStr">
        <is>
          <t>Unit</t>
        </is>
      </c>
      <c r="C2" s="277" t="inlineStr">
        <is>
          <t>Unit Type</t>
        </is>
      </c>
      <c r="D2" s="277" t="inlineStr">
        <is>
          <t>Occupied or Vacant</t>
        </is>
      </c>
      <c r="E2" s="278" t="n"/>
      <c r="F2" s="279" t="inlineStr">
        <is>
          <t>Name</t>
        </is>
      </c>
      <c r="G2" s="279" t="inlineStr">
        <is>
          <t>Type detail</t>
        </is>
      </c>
      <c r="H2" s="280" t="inlineStr">
        <is>
          <t>Type code</t>
        </is>
      </c>
      <c r="I2" s="281" t="inlineStr">
        <is>
          <t>Lot Rent</t>
        </is>
      </c>
      <c r="J2" s="282" t="inlineStr">
        <is>
          <t>Home Rent</t>
        </is>
      </c>
      <c r="K2" s="282" t="inlineStr">
        <is>
          <t>Combined</t>
        </is>
      </c>
      <c r="L2" s="282" t="n"/>
      <c r="M2" s="283" t="n"/>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46" t="n"/>
      <c r="AC2" s="146" t="n"/>
      <c r="AD2" s="146" t="n"/>
      <c r="AE2" s="146" t="n"/>
      <c r="AF2" s="146" t="n"/>
      <c r="AG2" s="146" t="n"/>
      <c r="AH2" s="146" t="n"/>
      <c r="AI2" s="146" t="n"/>
      <c r="AJ2" s="146" t="n"/>
      <c r="AK2" s="146" t="n"/>
      <c r="AL2" s="146" t="n"/>
      <c r="AM2" s="146" t="n"/>
      <c r="AN2" s="146" t="n"/>
      <c r="AO2" s="146" t="n"/>
      <c r="AP2" s="146" t="n"/>
      <c r="AQ2" s="146" t="n"/>
      <c r="AR2" s="146" t="n"/>
      <c r="AS2" s="146" t="n"/>
      <c r="AT2" s="146" t="n"/>
      <c r="AU2" s="146" t="n"/>
      <c r="AV2" s="146" t="n"/>
      <c r="AW2" s="146" t="n"/>
      <c r="AX2" s="146" t="n"/>
      <c r="AY2" s="146" t="n"/>
      <c r="AZ2" s="146" t="n"/>
      <c r="BA2" s="146" t="n"/>
      <c r="BB2" s="146" t="n"/>
      <c r="BC2" s="146" t="n"/>
      <c r="BD2" s="146" t="n"/>
      <c r="BE2" s="146" t="n"/>
      <c r="BF2" s="146" t="n"/>
      <c r="BG2" s="146" t="n"/>
      <c r="BH2" s="146" t="n"/>
      <c r="BI2" s="146" t="n"/>
      <c r="BJ2" s="146" t="n"/>
      <c r="BK2" s="146" t="n"/>
      <c r="BL2" s="146" t="n"/>
      <c r="BM2" s="146" t="n"/>
      <c r="BN2" s="146" t="n"/>
      <c r="BO2" s="146" t="n"/>
      <c r="BP2" s="146" t="n"/>
      <c r="BQ2" s="146" t="n"/>
      <c r="BR2" s="146" t="n"/>
      <c r="BS2" s="146" t="n"/>
      <c r="BT2" s="146" t="n"/>
      <c r="BU2" s="146" t="n"/>
      <c r="BV2" s="146" t="n"/>
      <c r="BW2" s="146" t="n"/>
      <c r="BX2" s="146" t="n"/>
      <c r="BY2" s="146" t="n"/>
      <c r="BZ2" s="146" t="n"/>
      <c r="CA2" s="146" t="n"/>
      <c r="CB2" s="146" t="n"/>
      <c r="CC2" s="146" t="n"/>
      <c r="CD2" s="146" t="n"/>
      <c r="CE2" s="146" t="n"/>
      <c r="CF2" s="146" t="n"/>
      <c r="CG2" s="146" t="n"/>
      <c r="CH2" s="146" t="n"/>
      <c r="CI2" s="146" t="n"/>
      <c r="CJ2" s="146" t="n"/>
      <c r="CK2" s="146" t="n"/>
    </row>
    <row r="3" ht="15" customHeight="1">
      <c r="A3" s="38">
        <f>IF(C3="","",ROW()-2)</f>
        <v/>
      </c>
      <c r="B3" s="960" t="n"/>
      <c r="C3" s="960" t="n"/>
      <c r="D3" s="961" t="n"/>
      <c r="E3" s="962" t="n"/>
      <c r="F3" s="963" t="n"/>
      <c r="G3" s="963" t="n"/>
      <c r="H3" s="964" t="n"/>
      <c r="I3" s="965" t="n"/>
      <c r="J3" s="966" t="n"/>
      <c r="K3" s="52">
        <f>IFERROR(I3+J3,0)</f>
        <v/>
      </c>
      <c r="L3" s="967" t="n"/>
      <c r="M3" s="1050" t="n"/>
      <c r="N3" s="968" t="n"/>
      <c r="O3" s="969" t="n"/>
      <c r="P3" s="970" t="n"/>
      <c r="Q3" s="968" t="n"/>
      <c r="R3" s="971" t="n"/>
      <c r="S3" s="240" t="n"/>
      <c r="T3" s="972" t="n"/>
    </row>
    <row r="4" ht="15" customHeight="1">
      <c r="A4" s="39">
        <f>IF(C4="","",ROW()-2)</f>
        <v/>
      </c>
      <c r="B4" s="960" t="n"/>
      <c r="C4" s="960" t="n"/>
      <c r="D4" s="961" t="n"/>
      <c r="E4" s="962" t="n"/>
      <c r="F4" s="963" t="n"/>
      <c r="G4" s="963" t="n"/>
      <c r="H4" s="108" t="n"/>
      <c r="I4" s="973" t="n"/>
      <c r="J4" s="974" t="n"/>
      <c r="K4" s="35">
        <f>IFERROR(I4+J4,0)</f>
        <v/>
      </c>
      <c r="L4" s="975" t="n"/>
      <c r="M4" s="108" t="n"/>
      <c r="N4" s="976" t="n"/>
      <c r="O4" s="240" t="n"/>
      <c r="P4" s="972" t="n"/>
      <c r="Q4" s="976" t="n"/>
      <c r="R4" s="236" t="n"/>
      <c r="S4" s="240" t="n"/>
      <c r="T4" s="972" t="n"/>
    </row>
    <row r="5" ht="15" customHeight="1">
      <c r="A5" s="39">
        <f>IF(C5="","",ROW()-2)</f>
        <v/>
      </c>
      <c r="B5" s="960" t="n"/>
      <c r="C5" s="960" t="n"/>
      <c r="D5" s="961" t="n"/>
      <c r="E5" s="962" t="n"/>
      <c r="F5" s="963" t="n"/>
      <c r="G5" s="963" t="n"/>
      <c r="H5" s="108" t="n"/>
      <c r="I5" s="973" t="n"/>
      <c r="J5" s="974" t="n"/>
      <c r="K5" s="35">
        <f>IFERROR(I5+J5,0)</f>
        <v/>
      </c>
      <c r="L5" s="975" t="n"/>
      <c r="M5" s="108" t="n"/>
      <c r="N5" s="976" t="n"/>
      <c r="O5" s="240" t="n"/>
      <c r="P5" s="972" t="n"/>
      <c r="Q5" s="976" t="n"/>
      <c r="R5" s="236" t="n"/>
      <c r="S5" s="240" t="n"/>
      <c r="T5" s="972" t="n"/>
    </row>
    <row r="6" ht="15" customHeight="1">
      <c r="A6" s="39">
        <f>IF(C6="","",ROW()-2)</f>
        <v/>
      </c>
      <c r="B6" s="960" t="n"/>
      <c r="C6" s="960" t="n"/>
      <c r="D6" s="961" t="n"/>
      <c r="E6" s="962" t="n"/>
      <c r="F6" s="963" t="n"/>
      <c r="G6" s="963" t="n"/>
      <c r="H6" s="108" t="n"/>
      <c r="I6" s="973" t="n"/>
      <c r="J6" s="974" t="n"/>
      <c r="K6" s="35">
        <f>IFERROR(I6+J6,0)</f>
        <v/>
      </c>
      <c r="L6" s="975" t="n"/>
      <c r="M6" s="108" t="n"/>
      <c r="N6" s="976" t="n"/>
      <c r="O6" s="240" t="n"/>
      <c r="P6" s="972" t="n"/>
      <c r="Q6" s="976" t="n"/>
      <c r="R6" s="236" t="n"/>
      <c r="S6" s="240" t="n"/>
      <c r="T6" s="972" t="n"/>
    </row>
    <row r="7" ht="15" customHeight="1">
      <c r="A7" s="39">
        <f>IF(C7="","",ROW()-2)</f>
        <v/>
      </c>
      <c r="B7" s="960" t="n"/>
      <c r="C7" s="960" t="n"/>
      <c r="D7" s="961" t="n"/>
      <c r="E7" s="962" t="n"/>
      <c r="F7" s="963" t="n"/>
      <c r="G7" s="963" t="n"/>
      <c r="H7" s="108" t="n"/>
      <c r="I7" s="973" t="n"/>
      <c r="J7" s="974" t="n"/>
      <c r="K7" s="35">
        <f>IFERROR(I7+J7,0)</f>
        <v/>
      </c>
      <c r="L7" s="975" t="n"/>
      <c r="M7" s="108" t="n"/>
      <c r="N7" s="976" t="n"/>
      <c r="O7" s="240" t="n"/>
      <c r="P7" s="972" t="n"/>
      <c r="Q7" s="976" t="n"/>
      <c r="R7" s="236" t="n"/>
      <c r="S7" s="240" t="n"/>
      <c r="T7" s="972" t="n"/>
    </row>
    <row r="8" ht="15" customHeight="1">
      <c r="A8" s="39">
        <f>IF(C8="","",ROW()-2)</f>
        <v/>
      </c>
      <c r="B8" s="960" t="n"/>
      <c r="C8" s="960" t="n"/>
      <c r="D8" s="961" t="n"/>
      <c r="E8" s="962" t="n"/>
      <c r="F8" s="963" t="n"/>
      <c r="G8" s="963" t="n"/>
      <c r="H8" s="108" t="n"/>
      <c r="I8" s="973" t="n"/>
      <c r="J8" s="974" t="n"/>
      <c r="K8" s="35">
        <f>IFERROR(I8+J8,0)</f>
        <v/>
      </c>
      <c r="L8" s="975" t="n"/>
      <c r="M8" s="108" t="n"/>
      <c r="N8" s="976" t="n"/>
      <c r="O8" s="240" t="n"/>
      <c r="P8" s="972" t="n"/>
      <c r="Q8" s="976" t="n"/>
      <c r="R8" s="236" t="n"/>
      <c r="S8" s="240" t="n"/>
      <c r="T8" s="972" t="n"/>
    </row>
    <row r="9" ht="15" customHeight="1">
      <c r="A9" s="39">
        <f>IF(C9="","",ROW()-2)</f>
        <v/>
      </c>
      <c r="B9" s="960" t="n"/>
      <c r="C9" s="960" t="n"/>
      <c r="D9" s="961" t="n"/>
      <c r="E9" s="962" t="n"/>
      <c r="F9" s="963" t="n"/>
      <c r="G9" s="963" t="n"/>
      <c r="H9" s="108" t="n"/>
      <c r="I9" s="973" t="n"/>
      <c r="J9" s="974" t="n"/>
      <c r="K9" s="35">
        <f>IFERROR(I9+J9,0)</f>
        <v/>
      </c>
      <c r="L9" s="975" t="n"/>
      <c r="M9" s="108" t="n"/>
      <c r="N9" s="976" t="n"/>
      <c r="O9" s="240" t="n"/>
      <c r="P9" s="972" t="n"/>
      <c r="Q9" s="976" t="n"/>
      <c r="R9" s="236" t="n"/>
      <c r="S9" s="240" t="n"/>
      <c r="T9" s="972" t="n"/>
    </row>
    <row r="10" ht="15" customHeight="1">
      <c r="A10" s="39">
        <f>IF(C10="","",ROW()-2)</f>
        <v/>
      </c>
      <c r="B10" s="960" t="n"/>
      <c r="C10" s="960" t="n"/>
      <c r="D10" s="961" t="n"/>
      <c r="E10" s="962" t="n"/>
      <c r="F10" s="963" t="n"/>
      <c r="G10" s="963" t="n"/>
      <c r="H10" s="108" t="n"/>
      <c r="I10" s="973" t="n"/>
      <c r="J10" s="974" t="n"/>
      <c r="K10" s="35">
        <f>IFERROR(I10+J10,0)</f>
        <v/>
      </c>
      <c r="L10" s="975" t="n"/>
      <c r="M10" s="108" t="n"/>
      <c r="N10" s="976" t="n"/>
      <c r="O10" s="240" t="n"/>
      <c r="P10" s="972" t="n"/>
      <c r="Q10" s="976" t="n"/>
      <c r="R10" s="236" t="n"/>
      <c r="S10" s="240" t="n"/>
      <c r="T10" s="972" t="n"/>
    </row>
    <row r="11" ht="15" customHeight="1">
      <c r="A11" s="39">
        <f>IF(C11="","",ROW()-2)</f>
        <v/>
      </c>
      <c r="B11" s="960" t="n"/>
      <c r="C11" s="960" t="n"/>
      <c r="D11" s="961" t="n"/>
      <c r="E11" s="962" t="n"/>
      <c r="F11" s="963" t="n"/>
      <c r="G11" s="963" t="n"/>
      <c r="H11" s="108" t="n"/>
      <c r="I11" s="973" t="n"/>
      <c r="J11" s="974" t="n"/>
      <c r="K11" s="35">
        <f>IFERROR(I11+J11,0)</f>
        <v/>
      </c>
      <c r="L11" s="975" t="n"/>
      <c r="M11" s="108" t="n"/>
      <c r="N11" s="976" t="n"/>
      <c r="O11" s="240" t="n"/>
      <c r="P11" s="972" t="n"/>
      <c r="Q11" s="976" t="n"/>
      <c r="R11" s="236" t="n"/>
      <c r="S11" s="240" t="n"/>
      <c r="T11" s="972" t="n"/>
    </row>
    <row r="12" ht="15" customHeight="1">
      <c r="A12" s="39">
        <f>IF(C12="","",ROW()-2)</f>
        <v/>
      </c>
      <c r="B12" s="960" t="n"/>
      <c r="C12" s="960" t="n"/>
      <c r="D12" s="961" t="n"/>
      <c r="E12" s="962" t="n"/>
      <c r="F12" s="963" t="n"/>
      <c r="G12" s="963" t="n"/>
      <c r="H12" s="108" t="n"/>
      <c r="I12" s="973" t="n"/>
      <c r="J12" s="974" t="n"/>
      <c r="K12" s="35">
        <f>IFERROR(I12+J12,0)</f>
        <v/>
      </c>
      <c r="L12" s="975" t="n"/>
      <c r="M12" s="108" t="n"/>
      <c r="N12" s="976" t="n"/>
      <c r="O12" s="240" t="n"/>
      <c r="P12" s="972" t="n"/>
      <c r="Q12" s="976" t="n"/>
      <c r="R12" s="236" t="n"/>
      <c r="S12" s="240" t="n"/>
      <c r="T12" s="972" t="n"/>
    </row>
    <row r="13" ht="15" customHeight="1">
      <c r="A13" s="39">
        <f>IF(C13="","",ROW()-2)</f>
        <v/>
      </c>
      <c r="B13" s="960" t="n"/>
      <c r="C13" s="960" t="n"/>
      <c r="D13" s="961" t="n"/>
      <c r="E13" s="962" t="n"/>
      <c r="F13" s="963" t="n"/>
      <c r="G13" s="963" t="n"/>
      <c r="H13" s="108" t="n"/>
      <c r="I13" s="973" t="n"/>
      <c r="J13" s="974" t="n"/>
      <c r="K13" s="35">
        <f>IFERROR(I13+J13,0)</f>
        <v/>
      </c>
      <c r="L13" s="975" t="n"/>
      <c r="M13" s="108" t="n"/>
      <c r="N13" s="976" t="n"/>
      <c r="O13" s="240" t="n"/>
      <c r="P13" s="972" t="n"/>
      <c r="Q13" s="976" t="n"/>
      <c r="R13" s="236" t="n"/>
      <c r="S13" s="240" t="n"/>
      <c r="T13" s="972" t="n"/>
    </row>
    <row r="14" ht="15" customHeight="1">
      <c r="A14" s="39">
        <f>IF(C14="","",ROW()-2)</f>
        <v/>
      </c>
      <c r="B14" s="960" t="n"/>
      <c r="C14" s="960" t="n"/>
      <c r="D14" s="961" t="n"/>
      <c r="E14" s="962" t="n"/>
      <c r="F14" s="963" t="n"/>
      <c r="G14" s="963" t="n"/>
      <c r="H14" s="108" t="n"/>
      <c r="I14" s="973" t="n"/>
      <c r="J14" s="974" t="n"/>
      <c r="K14" s="35">
        <f>IFERROR(I14+J14,0)</f>
        <v/>
      </c>
      <c r="L14" s="975" t="n"/>
      <c r="M14" s="108" t="n"/>
      <c r="N14" s="976" t="n"/>
      <c r="O14" s="240" t="n"/>
      <c r="P14" s="972" t="n"/>
      <c r="Q14" s="976" t="n"/>
      <c r="R14" s="236" t="n"/>
      <c r="S14" s="240" t="n"/>
      <c r="T14" s="972" t="n"/>
    </row>
    <row r="15" ht="15" customHeight="1">
      <c r="A15" s="39">
        <f>IF(C15="","",ROW()-2)</f>
        <v/>
      </c>
      <c r="B15" s="960" t="n"/>
      <c r="C15" s="960" t="n"/>
      <c r="D15" s="961" t="n"/>
      <c r="E15" s="962" t="n"/>
      <c r="F15" s="963" t="n"/>
      <c r="G15" s="963" t="n"/>
      <c r="H15" s="108" t="n"/>
      <c r="I15" s="973" t="n"/>
      <c r="J15" s="974" t="n"/>
      <c r="K15" s="35">
        <f>IFERROR(I15+J15,0)</f>
        <v/>
      </c>
      <c r="L15" s="975" t="n"/>
      <c r="M15" s="108" t="n"/>
      <c r="N15" s="976" t="n"/>
      <c r="O15" s="240" t="n"/>
      <c r="P15" s="972" t="n"/>
      <c r="Q15" s="976" t="n"/>
      <c r="R15" s="236" t="n"/>
      <c r="S15" s="240" t="n"/>
      <c r="T15" s="972" t="n"/>
    </row>
    <row r="16" ht="15" customHeight="1">
      <c r="A16" s="39">
        <f>IF(C16="","",ROW()-2)</f>
        <v/>
      </c>
      <c r="B16" s="960" t="n"/>
      <c r="C16" s="960" t="n"/>
      <c r="D16" s="961" t="n"/>
      <c r="E16" s="962" t="n"/>
      <c r="F16" s="963" t="n"/>
      <c r="G16" s="963" t="n"/>
      <c r="H16" s="108" t="n"/>
      <c r="I16" s="973" t="n"/>
      <c r="J16" s="974" t="n"/>
      <c r="K16" s="35">
        <f>IFERROR(I16+J16,0)</f>
        <v/>
      </c>
      <c r="L16" s="975" t="n"/>
      <c r="M16" s="108" t="n"/>
      <c r="N16" s="976" t="n"/>
      <c r="O16" s="240" t="n"/>
      <c r="P16" s="972" t="n"/>
      <c r="Q16" s="976" t="n"/>
      <c r="R16" s="236" t="n"/>
      <c r="S16" s="240" t="n"/>
      <c r="T16" s="972" t="n"/>
    </row>
    <row r="17" ht="15" customHeight="1">
      <c r="A17" s="39">
        <f>IF(C17="","",ROW()-2)</f>
        <v/>
      </c>
      <c r="B17" s="960" t="n"/>
      <c r="C17" s="960" t="n"/>
      <c r="D17" s="961" t="n"/>
      <c r="E17" s="962" t="n"/>
      <c r="F17" s="963" t="n"/>
      <c r="G17" s="963" t="n"/>
      <c r="H17" s="108" t="n"/>
      <c r="I17" s="973" t="n"/>
      <c r="J17" s="974" t="n"/>
      <c r="K17" s="35">
        <f>IFERROR(I17+J17,0)</f>
        <v/>
      </c>
      <c r="L17" s="975" t="n"/>
      <c r="M17" s="108" t="n"/>
      <c r="N17" s="976" t="n"/>
      <c r="O17" s="240" t="n"/>
      <c r="P17" s="972" t="n"/>
      <c r="Q17" s="976" t="n"/>
      <c r="R17" s="236" t="n"/>
      <c r="S17" s="240" t="n"/>
      <c r="T17" s="972" t="n"/>
    </row>
    <row r="18" ht="15" customHeight="1">
      <c r="A18" s="39">
        <f>IF(C18="","",ROW()-2)</f>
        <v/>
      </c>
      <c r="B18" s="960" t="n"/>
      <c r="C18" s="960" t="n"/>
      <c r="D18" s="961" t="n"/>
      <c r="E18" s="962" t="n"/>
      <c r="F18" s="963" t="n"/>
      <c r="G18" s="963" t="n"/>
      <c r="H18" s="108" t="n"/>
      <c r="I18" s="973" t="n"/>
      <c r="J18" s="974" t="n"/>
      <c r="K18" s="35">
        <f>IFERROR(I18+J18,0)</f>
        <v/>
      </c>
      <c r="L18" s="975" t="n"/>
      <c r="M18" s="108" t="n"/>
      <c r="N18" s="976" t="n"/>
      <c r="O18" s="240" t="n"/>
      <c r="P18" s="972" t="n"/>
      <c r="Q18" s="976" t="n"/>
      <c r="R18" s="236" t="n"/>
      <c r="S18" s="240" t="n"/>
      <c r="T18" s="972" t="n"/>
    </row>
    <row r="19" ht="15" customHeight="1">
      <c r="A19" s="39">
        <f>IF(C19="","",ROW()-2)</f>
        <v/>
      </c>
      <c r="B19" s="960" t="n"/>
      <c r="C19" s="960" t="n"/>
      <c r="D19" s="961" t="n"/>
      <c r="E19" s="962" t="n"/>
      <c r="F19" s="963" t="n"/>
      <c r="G19" s="963" t="n"/>
      <c r="H19" s="108" t="n"/>
      <c r="I19" s="973" t="n"/>
      <c r="J19" s="974" t="n"/>
      <c r="K19" s="35">
        <f>IFERROR(I19+J19,0)</f>
        <v/>
      </c>
      <c r="L19" s="975" t="n"/>
      <c r="M19" s="108" t="n"/>
      <c r="N19" s="976" t="n"/>
      <c r="O19" s="240" t="n"/>
      <c r="P19" s="972" t="n"/>
      <c r="Q19" s="976" t="n"/>
      <c r="R19" s="236" t="n"/>
      <c r="S19" s="240" t="n"/>
      <c r="T19" s="972" t="n"/>
    </row>
    <row r="20" ht="15" customHeight="1">
      <c r="A20" s="39">
        <f>IF(C20="","",ROW()-2)</f>
        <v/>
      </c>
      <c r="B20" s="960" t="n"/>
      <c r="C20" s="960" t="n"/>
      <c r="D20" s="961" t="n"/>
      <c r="E20" s="962" t="n"/>
      <c r="F20" s="963" t="n"/>
      <c r="G20" s="963" t="n"/>
      <c r="H20" s="108" t="n"/>
      <c r="I20" s="973" t="n"/>
      <c r="J20" s="974" t="n"/>
      <c r="K20" s="35">
        <f>IFERROR(I20+J20,0)</f>
        <v/>
      </c>
      <c r="L20" s="975" t="n"/>
      <c r="M20" s="108" t="n"/>
      <c r="N20" s="976" t="n"/>
      <c r="O20" s="240" t="n"/>
      <c r="P20" s="972" t="n"/>
      <c r="Q20" s="976" t="n"/>
      <c r="R20" s="236" t="n"/>
      <c r="S20" s="240" t="n"/>
      <c r="T20" s="972" t="n"/>
    </row>
    <row r="21" ht="15" customHeight="1">
      <c r="A21" s="39">
        <f>IF(C21="","",ROW()-2)</f>
        <v/>
      </c>
      <c r="B21" s="960" t="n"/>
      <c r="C21" s="960" t="n"/>
      <c r="D21" s="961" t="n"/>
      <c r="E21" s="962" t="n"/>
      <c r="F21" s="963" t="n"/>
      <c r="G21" s="963" t="n"/>
      <c r="H21" s="108" t="n"/>
      <c r="I21" s="973" t="n"/>
      <c r="J21" s="974" t="n"/>
      <c r="K21" s="35">
        <f>IFERROR(I21+J21,0)</f>
        <v/>
      </c>
      <c r="L21" s="975" t="n"/>
      <c r="M21" s="108" t="n"/>
      <c r="N21" s="976" t="n"/>
      <c r="O21" s="240" t="n"/>
      <c r="P21" s="972" t="n"/>
      <c r="Q21" s="976" t="n"/>
      <c r="R21" s="236" t="n"/>
      <c r="S21" s="240" t="n"/>
      <c r="T21" s="972" t="n"/>
    </row>
    <row r="22" ht="15" customHeight="1">
      <c r="A22" s="39">
        <f>IF(C22="","",ROW()-2)</f>
        <v/>
      </c>
      <c r="B22" s="960" t="n"/>
      <c r="C22" s="960" t="n"/>
      <c r="D22" s="961" t="n"/>
      <c r="E22" s="962" t="n"/>
      <c r="F22" s="963" t="n"/>
      <c r="G22" s="963" t="n"/>
      <c r="H22" s="108" t="n"/>
      <c r="I22" s="973" t="n"/>
      <c r="J22" s="974" t="n"/>
      <c r="K22" s="35">
        <f>IFERROR(I22+J22,0)</f>
        <v/>
      </c>
      <c r="L22" s="975" t="n"/>
      <c r="M22" s="108" t="n"/>
      <c r="N22" s="976" t="n"/>
      <c r="O22" s="240" t="n"/>
      <c r="P22" s="972" t="n"/>
      <c r="Q22" s="976" t="n"/>
      <c r="R22" s="236" t="n"/>
      <c r="S22" s="240" t="n"/>
      <c r="T22" s="972" t="n"/>
    </row>
    <row r="23" ht="15" customHeight="1">
      <c r="A23" s="39">
        <f>IF(C23="","",ROW()-2)</f>
        <v/>
      </c>
      <c r="B23" s="960" t="n"/>
      <c r="C23" s="960" t="n"/>
      <c r="D23" s="961" t="n"/>
      <c r="E23" s="962" t="n"/>
      <c r="F23" s="963" t="n"/>
      <c r="G23" s="963" t="n"/>
      <c r="H23" s="108" t="n"/>
      <c r="I23" s="973" t="n"/>
      <c r="J23" s="974" t="n"/>
      <c r="K23" s="35">
        <f>IFERROR(I23+J23,0)</f>
        <v/>
      </c>
      <c r="L23" s="975" t="n"/>
      <c r="M23" s="108" t="n"/>
      <c r="N23" s="976" t="n"/>
      <c r="O23" s="240" t="n"/>
      <c r="P23" s="972" t="n"/>
      <c r="Q23" s="976" t="n"/>
      <c r="R23" s="236" t="n"/>
      <c r="S23" s="240" t="n"/>
      <c r="T23" s="972" t="n"/>
    </row>
    <row r="24" ht="15" customHeight="1">
      <c r="A24" s="39">
        <f>IF(C24="","",ROW()-2)</f>
        <v/>
      </c>
      <c r="B24" s="960" t="n"/>
      <c r="C24" s="960" t="n"/>
      <c r="D24" s="961" t="n"/>
      <c r="E24" s="962" t="n"/>
      <c r="F24" s="963" t="n"/>
      <c r="G24" s="963" t="n"/>
      <c r="H24" s="108" t="n"/>
      <c r="I24" s="973" t="n"/>
      <c r="J24" s="974" t="n"/>
      <c r="K24" s="35">
        <f>IFERROR(I24+J24,0)</f>
        <v/>
      </c>
      <c r="L24" s="975" t="n"/>
      <c r="M24" s="108" t="n"/>
      <c r="N24" s="976" t="n"/>
      <c r="O24" s="240" t="n"/>
      <c r="P24" s="972" t="n"/>
      <c r="Q24" s="976" t="n"/>
      <c r="R24" s="236" t="n"/>
      <c r="S24" s="240" t="n"/>
      <c r="T24" s="972" t="n"/>
    </row>
    <row r="25" ht="15" customHeight="1">
      <c r="A25" s="39">
        <f>IF(C25="","",ROW()-2)</f>
        <v/>
      </c>
      <c r="B25" s="960" t="n"/>
      <c r="C25" s="960" t="n"/>
      <c r="D25" s="961" t="n"/>
      <c r="E25" s="962" t="n"/>
      <c r="F25" s="963" t="n"/>
      <c r="G25" s="963" t="n"/>
      <c r="H25" s="108" t="n"/>
      <c r="I25" s="973" t="n"/>
      <c r="J25" s="974" t="n"/>
      <c r="K25" s="35">
        <f>IFERROR(I25+J25,0)</f>
        <v/>
      </c>
      <c r="L25" s="975" t="n"/>
      <c r="M25" s="108" t="n"/>
      <c r="N25" s="976" t="n"/>
      <c r="O25" s="240" t="n"/>
      <c r="P25" s="972" t="n"/>
      <c r="Q25" s="976" t="n"/>
      <c r="R25" s="236" t="n"/>
      <c r="S25" s="240" t="n"/>
      <c r="T25" s="972" t="n"/>
    </row>
    <row r="26" ht="15" customHeight="1">
      <c r="A26" s="39">
        <f>IF(C26="","",ROW()-2)</f>
        <v/>
      </c>
      <c r="B26" s="960" t="n"/>
      <c r="C26" s="960" t="n"/>
      <c r="D26" s="961" t="n"/>
      <c r="E26" s="962" t="n"/>
      <c r="F26" s="963" t="n"/>
      <c r="G26" s="963" t="n"/>
      <c r="H26" s="108" t="n"/>
      <c r="I26" s="973" t="n"/>
      <c r="J26" s="974" t="n"/>
      <c r="K26" s="35">
        <f>IFERROR(I26+J26,0)</f>
        <v/>
      </c>
      <c r="L26" s="975" t="n"/>
      <c r="M26" s="108" t="n"/>
      <c r="N26" s="976" t="n"/>
      <c r="O26" s="240" t="n"/>
      <c r="P26" s="972" t="n"/>
      <c r="Q26" s="976" t="n"/>
      <c r="R26" s="236" t="n"/>
      <c r="S26" s="240" t="n"/>
      <c r="T26" s="972" t="n"/>
    </row>
    <row r="27" ht="15" customHeight="1">
      <c r="A27" s="39">
        <f>IF(C27="","",ROW()-2)</f>
        <v/>
      </c>
      <c r="B27" s="960" t="n"/>
      <c r="C27" s="960" t="n"/>
      <c r="D27" s="961" t="n"/>
      <c r="E27" s="962" t="n"/>
      <c r="F27" s="963" t="n"/>
      <c r="G27" s="963" t="n"/>
      <c r="H27" s="108" t="n"/>
      <c r="I27" s="973" t="n"/>
      <c r="J27" s="974" t="n"/>
      <c r="K27" s="35">
        <f>IFERROR(I27+J27,0)</f>
        <v/>
      </c>
      <c r="L27" s="975" t="n"/>
      <c r="M27" s="108" t="n"/>
      <c r="N27" s="976" t="n"/>
      <c r="O27" s="240" t="n"/>
      <c r="P27" s="972" t="n"/>
      <c r="Q27" s="976" t="n"/>
      <c r="R27" s="236" t="n"/>
      <c r="S27" s="240" t="n"/>
      <c r="T27" s="972" t="n"/>
    </row>
    <row r="28" ht="15" customHeight="1">
      <c r="A28" s="39">
        <f>IF(C28="","",ROW()-2)</f>
        <v/>
      </c>
      <c r="B28" s="960" t="n"/>
      <c r="C28" s="960" t="n"/>
      <c r="D28" s="961" t="n"/>
      <c r="E28" s="962" t="n"/>
      <c r="F28" s="963" t="n"/>
      <c r="G28" s="963" t="n"/>
      <c r="H28" s="108" t="n"/>
      <c r="I28" s="973" t="n"/>
      <c r="J28" s="974" t="n"/>
      <c r="K28" s="35">
        <f>IFERROR(I28+J28,0)</f>
        <v/>
      </c>
      <c r="L28" s="975" t="n"/>
      <c r="M28" s="108" t="n"/>
      <c r="N28" s="976" t="n"/>
      <c r="O28" s="240" t="n"/>
      <c r="P28" s="972" t="n"/>
      <c r="Q28" s="976" t="n"/>
      <c r="R28" s="236" t="n"/>
      <c r="S28" s="240" t="n"/>
      <c r="T28" s="972" t="n"/>
    </row>
    <row r="29" ht="15" customHeight="1">
      <c r="A29" s="39">
        <f>IF(C29="","",ROW()-2)</f>
        <v/>
      </c>
      <c r="B29" s="960" t="n"/>
      <c r="C29" s="960" t="n"/>
      <c r="D29" s="961" t="n"/>
      <c r="E29" s="962" t="n"/>
      <c r="F29" s="963" t="n"/>
      <c r="G29" s="963" t="n"/>
      <c r="H29" s="108" t="n"/>
      <c r="I29" s="973" t="n"/>
      <c r="J29" s="974" t="n"/>
      <c r="K29" s="35">
        <f>IFERROR(I29+J29,0)</f>
        <v/>
      </c>
      <c r="L29" s="975" t="n"/>
      <c r="M29" s="108" t="n"/>
      <c r="N29" s="976" t="n"/>
      <c r="O29" s="240" t="n"/>
      <c r="P29" s="972" t="n"/>
      <c r="Q29" s="976" t="n"/>
      <c r="R29" s="236" t="n"/>
      <c r="S29" s="240" t="n"/>
      <c r="T29" s="972" t="n"/>
    </row>
    <row r="30" ht="15" customHeight="1">
      <c r="A30" s="39">
        <f>IF(C30="","",ROW()-2)</f>
        <v/>
      </c>
      <c r="B30" s="960" t="n"/>
      <c r="C30" s="960" t="n"/>
      <c r="D30" s="961" t="n"/>
      <c r="E30" s="962" t="n"/>
      <c r="F30" s="963" t="n"/>
      <c r="G30" s="963" t="n"/>
      <c r="H30" s="108" t="n"/>
      <c r="I30" s="973" t="n"/>
      <c r="J30" s="974" t="n"/>
      <c r="K30" s="35">
        <f>IFERROR(I30+J30,0)</f>
        <v/>
      </c>
      <c r="L30" s="975" t="n"/>
      <c r="M30" s="108" t="n"/>
      <c r="N30" s="976" t="n"/>
      <c r="O30" s="240" t="n"/>
      <c r="P30" s="972" t="n"/>
      <c r="Q30" s="976" t="n"/>
      <c r="R30" s="236" t="n"/>
      <c r="S30" s="240" t="n"/>
      <c r="T30" s="972" t="n"/>
    </row>
    <row r="31" ht="15" customHeight="1">
      <c r="A31" s="39">
        <f>IF(C31="","",ROW()-2)</f>
        <v/>
      </c>
      <c r="B31" s="960" t="n"/>
      <c r="C31" s="960" t="n"/>
      <c r="D31" s="961" t="n"/>
      <c r="E31" s="962" t="n"/>
      <c r="F31" s="963" t="n"/>
      <c r="G31" s="963" t="n"/>
      <c r="H31" s="108" t="n"/>
      <c r="I31" s="973" t="n"/>
      <c r="J31" s="974" t="n"/>
      <c r="K31" s="35">
        <f>IFERROR(I31+J31,0)</f>
        <v/>
      </c>
      <c r="L31" s="975" t="n"/>
      <c r="M31" s="108" t="n"/>
      <c r="N31" s="976" t="n"/>
      <c r="O31" s="240" t="n"/>
      <c r="P31" s="972" t="n"/>
      <c r="Q31" s="976" t="n"/>
      <c r="R31" s="236" t="n"/>
      <c r="S31" s="240" t="n"/>
      <c r="T31" s="972" t="n"/>
    </row>
    <row r="32" ht="15" customHeight="1">
      <c r="A32" s="39">
        <f>IF(C32="","",ROW()-2)</f>
        <v/>
      </c>
      <c r="B32" s="960" t="n"/>
      <c r="C32" s="960" t="n"/>
      <c r="D32" s="961" t="n"/>
      <c r="E32" s="962" t="n"/>
      <c r="F32" s="963" t="n"/>
      <c r="G32" s="963" t="n"/>
      <c r="H32" s="108" t="n"/>
      <c r="I32" s="973" t="n"/>
      <c r="J32" s="974" t="n"/>
      <c r="K32" s="35">
        <f>IFERROR(I32+J32,0)</f>
        <v/>
      </c>
      <c r="L32" s="975" t="n"/>
      <c r="M32" s="108" t="n"/>
      <c r="N32" s="976" t="n"/>
      <c r="O32" s="240" t="n"/>
      <c r="P32" s="972" t="n"/>
      <c r="Q32" s="976" t="n"/>
      <c r="R32" s="236" t="n"/>
      <c r="S32" s="240" t="n"/>
      <c r="T32" s="972" t="n"/>
    </row>
    <row r="33" ht="15" customHeight="1">
      <c r="A33" s="39">
        <f>IF(C33="","",ROW()-2)</f>
        <v/>
      </c>
      <c r="B33" s="960" t="n"/>
      <c r="C33" s="960" t="n"/>
      <c r="D33" s="961" t="n"/>
      <c r="E33" s="962" t="n"/>
      <c r="F33" s="963" t="n"/>
      <c r="G33" s="963" t="n"/>
      <c r="H33" s="108" t="n"/>
      <c r="I33" s="973" t="n"/>
      <c r="J33" s="974" t="n"/>
      <c r="K33" s="35">
        <f>IFERROR(I33+J33,0)</f>
        <v/>
      </c>
      <c r="L33" s="975" t="n"/>
      <c r="M33" s="108" t="n"/>
      <c r="N33" s="976" t="n"/>
      <c r="O33" s="240" t="n"/>
      <c r="P33" s="972" t="n"/>
      <c r="Q33" s="976" t="n"/>
      <c r="R33" s="236" t="n"/>
      <c r="S33" s="240" t="n"/>
      <c r="T33" s="972" t="n"/>
    </row>
    <row r="34" ht="15" customHeight="1">
      <c r="A34" s="39">
        <f>IF(C34="","",ROW()-2)</f>
        <v/>
      </c>
      <c r="B34" s="960" t="n"/>
      <c r="C34" s="960" t="n"/>
      <c r="D34" s="961" t="n"/>
      <c r="E34" s="962" t="n"/>
      <c r="F34" s="963" t="n"/>
      <c r="G34" s="963" t="n"/>
      <c r="H34" s="108" t="n"/>
      <c r="I34" s="973" t="n"/>
      <c r="J34" s="974" t="n"/>
      <c r="K34" s="35">
        <f>IFERROR(I34+J34,0)</f>
        <v/>
      </c>
      <c r="L34" s="975" t="n"/>
      <c r="M34" s="108" t="n"/>
      <c r="N34" s="976" t="n"/>
      <c r="O34" s="240" t="n"/>
      <c r="P34" s="972" t="n"/>
      <c r="Q34" s="976" t="n"/>
      <c r="R34" s="236" t="n"/>
      <c r="S34" s="240" t="n"/>
      <c r="T34" s="972" t="n"/>
    </row>
    <row r="35" ht="15" customHeight="1">
      <c r="A35" s="39">
        <f>IF(C35="","",ROW()-2)</f>
        <v/>
      </c>
      <c r="B35" s="960" t="n"/>
      <c r="C35" s="960" t="n"/>
      <c r="D35" s="961" t="n"/>
      <c r="E35" s="962" t="n"/>
      <c r="F35" s="963" t="n"/>
      <c r="G35" s="963" t="n"/>
      <c r="H35" s="108" t="n"/>
      <c r="I35" s="973" t="n"/>
      <c r="J35" s="974" t="n"/>
      <c r="K35" s="35">
        <f>IFERROR(I35+J35,0)</f>
        <v/>
      </c>
      <c r="L35" s="975" t="n"/>
      <c r="M35" s="108" t="n"/>
      <c r="N35" s="976" t="n"/>
      <c r="O35" s="240" t="n"/>
      <c r="P35" s="972" t="n"/>
      <c r="Q35" s="976" t="n"/>
      <c r="R35" s="236" t="n"/>
      <c r="S35" s="240" t="n"/>
      <c r="T35" s="972" t="n"/>
    </row>
    <row r="36" ht="15" customHeight="1">
      <c r="A36" s="39">
        <f>IF(C36="","",ROW()-2)</f>
        <v/>
      </c>
      <c r="B36" s="960" t="n"/>
      <c r="C36" s="960" t="n"/>
      <c r="D36" s="961" t="n"/>
      <c r="E36" s="962" t="n"/>
      <c r="F36" s="963" t="n"/>
      <c r="G36" s="963" t="n"/>
      <c r="H36" s="108" t="n"/>
      <c r="I36" s="973" t="n"/>
      <c r="J36" s="974" t="n"/>
      <c r="K36" s="35">
        <f>IFERROR(I36+J36,0)</f>
        <v/>
      </c>
      <c r="L36" s="975" t="n"/>
      <c r="M36" s="108" t="n"/>
      <c r="N36" s="976" t="n"/>
      <c r="O36" s="240" t="n"/>
      <c r="P36" s="972" t="n"/>
      <c r="Q36" s="976" t="n"/>
      <c r="R36" s="236" t="n"/>
      <c r="S36" s="240" t="n"/>
      <c r="T36" s="972" t="n"/>
    </row>
    <row r="37" ht="15" customHeight="1">
      <c r="A37" s="39">
        <f>IF(C37="","",ROW()-2)</f>
        <v/>
      </c>
      <c r="B37" s="960" t="n"/>
      <c r="C37" s="960" t="n"/>
      <c r="D37" s="961" t="n"/>
      <c r="E37" s="962" t="n"/>
      <c r="F37" s="963" t="n"/>
      <c r="G37" s="963" t="n"/>
      <c r="H37" s="108" t="n"/>
      <c r="I37" s="973" t="n"/>
      <c r="J37" s="974" t="n"/>
      <c r="K37" s="35">
        <f>IFERROR(I37+J37,0)</f>
        <v/>
      </c>
      <c r="L37" s="975" t="n"/>
      <c r="M37" s="108" t="n"/>
      <c r="N37" s="976" t="n"/>
      <c r="O37" s="240" t="n"/>
      <c r="P37" s="972" t="n"/>
      <c r="Q37" s="976" t="n"/>
      <c r="R37" s="236" t="n"/>
      <c r="S37" s="240" t="n"/>
      <c r="T37" s="972" t="n"/>
    </row>
    <row r="38" ht="15" customHeight="1">
      <c r="A38" s="39">
        <f>IF(C38="","",ROW()-2)</f>
        <v/>
      </c>
      <c r="B38" s="960" t="n"/>
      <c r="C38" s="960" t="n"/>
      <c r="D38" s="961" t="n"/>
      <c r="E38" s="962" t="n"/>
      <c r="F38" s="963" t="n"/>
      <c r="G38" s="963" t="n"/>
      <c r="H38" s="108" t="n"/>
      <c r="I38" s="973" t="n"/>
      <c r="J38" s="974" t="n"/>
      <c r="K38" s="35">
        <f>IFERROR(I38+J38,0)</f>
        <v/>
      </c>
      <c r="L38" s="975" t="n"/>
      <c r="M38" s="108" t="n"/>
      <c r="N38" s="976" t="n"/>
      <c r="O38" s="240" t="n"/>
      <c r="P38" s="972" t="n"/>
      <c r="Q38" s="976" t="n"/>
      <c r="R38" s="236" t="n"/>
      <c r="S38" s="240" t="n"/>
      <c r="T38" s="972" t="n"/>
    </row>
    <row r="39" ht="15" customHeight="1">
      <c r="A39" s="39">
        <f>IF(C39="","",ROW()-2)</f>
        <v/>
      </c>
      <c r="B39" s="960" t="n"/>
      <c r="C39" s="960" t="n"/>
      <c r="D39" s="961" t="n"/>
      <c r="E39" s="962" t="n"/>
      <c r="F39" s="963" t="n"/>
      <c r="G39" s="963" t="n"/>
      <c r="H39" s="108" t="n"/>
      <c r="I39" s="973" t="n"/>
      <c r="J39" s="974" t="n"/>
      <c r="K39" s="35">
        <f>IFERROR(I39+J39,0)</f>
        <v/>
      </c>
      <c r="L39" s="975" t="n"/>
      <c r="M39" s="108" t="n"/>
      <c r="N39" s="976" t="n"/>
      <c r="O39" s="240" t="n"/>
      <c r="P39" s="972" t="n"/>
      <c r="Q39" s="976" t="n"/>
      <c r="R39" s="236" t="n"/>
      <c r="S39" s="240" t="n"/>
      <c r="T39" s="972" t="n"/>
    </row>
    <row r="40" ht="15" customHeight="1">
      <c r="A40" s="39">
        <f>IF(C40="","",ROW()-2)</f>
        <v/>
      </c>
      <c r="B40" s="960" t="n"/>
      <c r="C40" s="960" t="n"/>
      <c r="D40" s="961" t="n"/>
      <c r="E40" s="962" t="n"/>
      <c r="F40" s="963" t="n"/>
      <c r="G40" s="963" t="n"/>
      <c r="H40" s="108" t="n"/>
      <c r="I40" s="973" t="n"/>
      <c r="J40" s="974" t="n"/>
      <c r="K40" s="35">
        <f>IFERROR(I40+J40,0)</f>
        <v/>
      </c>
      <c r="L40" s="975" t="n"/>
      <c r="M40" s="108" t="n"/>
      <c r="N40" s="976" t="n"/>
      <c r="O40" s="240" t="n"/>
      <c r="P40" s="972" t="n"/>
      <c r="Q40" s="976" t="n"/>
      <c r="R40" s="236" t="n"/>
      <c r="S40" s="240" t="n"/>
      <c r="T40" s="972" t="n"/>
    </row>
    <row r="41" ht="15" customHeight="1">
      <c r="A41" s="39">
        <f>IF(C41="","",ROW()-2)</f>
        <v/>
      </c>
      <c r="B41" s="960" t="n"/>
      <c r="C41" s="960" t="n"/>
      <c r="D41" s="961" t="n"/>
      <c r="E41" s="962" t="n"/>
      <c r="F41" s="963" t="n"/>
      <c r="G41" s="963" t="n"/>
      <c r="H41" s="108" t="n"/>
      <c r="I41" s="973" t="n"/>
      <c r="J41" s="974" t="n"/>
      <c r="K41" s="35">
        <f>IFERROR(I41+J41,0)</f>
        <v/>
      </c>
      <c r="L41" s="975" t="n"/>
      <c r="M41" s="108" t="n"/>
      <c r="N41" s="976" t="n"/>
      <c r="O41" s="240" t="n"/>
      <c r="P41" s="972" t="n"/>
      <c r="Q41" s="976" t="n"/>
      <c r="R41" s="236" t="n"/>
      <c r="S41" s="240" t="n"/>
      <c r="T41" s="972" t="n"/>
    </row>
    <row r="42" ht="15" customHeight="1">
      <c r="A42" s="39">
        <f>IF(C42="","",ROW()-2)</f>
        <v/>
      </c>
      <c r="B42" s="960" t="n"/>
      <c r="C42" s="960" t="n"/>
      <c r="D42" s="961" t="n"/>
      <c r="E42" s="962" t="n"/>
      <c r="F42" s="963" t="n"/>
      <c r="G42" s="963" t="n"/>
      <c r="H42" s="108" t="n"/>
      <c r="I42" s="973" t="n"/>
      <c r="J42" s="974" t="n"/>
      <c r="K42" s="35">
        <f>IFERROR(I42+J42,0)</f>
        <v/>
      </c>
      <c r="L42" s="975" t="n"/>
      <c r="M42" s="108" t="n"/>
      <c r="N42" s="976" t="n"/>
      <c r="O42" s="240" t="n"/>
      <c r="P42" s="972" t="n"/>
      <c r="Q42" s="976" t="n"/>
      <c r="R42" s="236" t="n"/>
      <c r="S42" s="240" t="n"/>
      <c r="T42" s="972" t="n"/>
    </row>
    <row r="43" ht="15" customHeight="1">
      <c r="A43" s="39">
        <f>IF(C43="","",ROW()-2)</f>
        <v/>
      </c>
      <c r="B43" s="960" t="n"/>
      <c r="C43" s="960" t="n"/>
      <c r="D43" s="961" t="n"/>
      <c r="E43" s="962" t="n"/>
      <c r="F43" s="963" t="n"/>
      <c r="G43" s="963" t="n"/>
      <c r="H43" s="108" t="n"/>
      <c r="I43" s="973" t="n"/>
      <c r="J43" s="974" t="n"/>
      <c r="K43" s="35">
        <f>IFERROR(I43+J43,0)</f>
        <v/>
      </c>
      <c r="L43" s="975" t="n"/>
      <c r="M43" s="108" t="n"/>
      <c r="N43" s="976" t="n"/>
      <c r="O43" s="240" t="n"/>
      <c r="P43" s="972" t="n"/>
      <c r="Q43" s="976" t="n"/>
      <c r="R43" s="236" t="n"/>
      <c r="S43" s="240" t="n"/>
      <c r="T43" s="972" t="n"/>
    </row>
    <row r="44" ht="15" customHeight="1">
      <c r="A44" s="39">
        <f>IF(C44="","",ROW()-2)</f>
        <v/>
      </c>
      <c r="B44" s="960" t="n"/>
      <c r="C44" s="960" t="n"/>
      <c r="D44" s="961" t="n"/>
      <c r="E44" s="962" t="n"/>
      <c r="F44" s="963" t="n"/>
      <c r="G44" s="963" t="n"/>
      <c r="H44" s="108" t="n"/>
      <c r="I44" s="973" t="n"/>
      <c r="J44" s="974" t="n"/>
      <c r="K44" s="35">
        <f>IFERROR(I44+J44,0)</f>
        <v/>
      </c>
      <c r="L44" s="975" t="n"/>
      <c r="M44" s="108" t="n"/>
      <c r="N44" s="976" t="n"/>
      <c r="O44" s="240" t="n"/>
      <c r="P44" s="972" t="n"/>
      <c r="Q44" s="976" t="n"/>
      <c r="R44" s="236" t="n"/>
      <c r="S44" s="240" t="n"/>
      <c r="T44" s="972" t="n"/>
    </row>
    <row r="45" ht="15" customHeight="1">
      <c r="A45" s="39">
        <f>IF(C45="","",ROW()-2)</f>
        <v/>
      </c>
      <c r="B45" s="960" t="n"/>
      <c r="C45" s="960" t="n"/>
      <c r="D45" s="961" t="n"/>
      <c r="E45" s="962" t="n"/>
      <c r="F45" s="963" t="n"/>
      <c r="G45" s="963" t="n"/>
      <c r="H45" s="108" t="n"/>
      <c r="I45" s="973" t="n"/>
      <c r="J45" s="974" t="n"/>
      <c r="K45" s="35">
        <f>IFERROR(I45+J45,0)</f>
        <v/>
      </c>
      <c r="L45" s="975" t="n"/>
      <c r="M45" s="108" t="n"/>
      <c r="N45" s="976" t="n"/>
      <c r="O45" s="240" t="n"/>
      <c r="P45" s="972" t="n"/>
      <c r="Q45" s="976" t="n"/>
      <c r="R45" s="236" t="n"/>
      <c r="S45" s="240" t="n"/>
      <c r="T45" s="972" t="n"/>
    </row>
    <row r="46" ht="15" customHeight="1">
      <c r="A46" s="39">
        <f>IF(C46="","",ROW()-2)</f>
        <v/>
      </c>
      <c r="B46" s="960" t="n"/>
      <c r="C46" s="960" t="n"/>
      <c r="D46" s="961" t="n"/>
      <c r="E46" s="962" t="n"/>
      <c r="F46" s="963" t="n"/>
      <c r="G46" s="963" t="n"/>
      <c r="H46" s="108" t="n"/>
      <c r="I46" s="973" t="n"/>
      <c r="J46" s="974" t="n"/>
      <c r="K46" s="35">
        <f>IFERROR(I46+J46,0)</f>
        <v/>
      </c>
      <c r="L46" s="975" t="n"/>
      <c r="M46" s="108" t="n"/>
      <c r="N46" s="976" t="n"/>
      <c r="O46" s="240" t="n"/>
      <c r="P46" s="972" t="n"/>
      <c r="Q46" s="976" t="n"/>
      <c r="R46" s="236" t="n"/>
      <c r="S46" s="240" t="n"/>
      <c r="T46" s="972" t="n"/>
    </row>
    <row r="47" ht="15" customHeight="1">
      <c r="A47" s="39">
        <f>IF(C47="","",ROW()-2)</f>
        <v/>
      </c>
      <c r="B47" s="960" t="n"/>
      <c r="C47" s="960" t="n"/>
      <c r="D47" s="961" t="n"/>
      <c r="E47" s="962" t="n"/>
      <c r="F47" s="963" t="n"/>
      <c r="G47" s="963" t="n"/>
      <c r="H47" s="108" t="n"/>
      <c r="I47" s="973" t="n"/>
      <c r="J47" s="974" t="n"/>
      <c r="K47" s="35">
        <f>IFERROR(I47+J47,0)</f>
        <v/>
      </c>
      <c r="L47" s="975" t="n"/>
      <c r="M47" s="108" t="n"/>
      <c r="N47" s="976" t="n"/>
      <c r="O47" s="240" t="n"/>
      <c r="P47" s="972" t="n"/>
      <c r="Q47" s="976" t="n"/>
      <c r="R47" s="236" t="n"/>
      <c r="S47" s="240" t="n"/>
      <c r="T47" s="972" t="n"/>
    </row>
    <row r="48" ht="15" customHeight="1">
      <c r="A48" s="39">
        <f>IF(C48="","",ROW()-2)</f>
        <v/>
      </c>
      <c r="B48" s="960" t="n"/>
      <c r="C48" s="960" t="n"/>
      <c r="D48" s="961" t="n"/>
      <c r="E48" s="962" t="n"/>
      <c r="F48" s="963" t="n"/>
      <c r="G48" s="963" t="n"/>
      <c r="H48" s="108" t="n"/>
      <c r="I48" s="973" t="n"/>
      <c r="J48" s="974" t="n"/>
      <c r="K48" s="35">
        <f>IFERROR(I48+J48,0)</f>
        <v/>
      </c>
      <c r="L48" s="975" t="n"/>
      <c r="M48" s="108" t="n"/>
      <c r="N48" s="976" t="n"/>
      <c r="O48" s="240" t="n"/>
      <c r="P48" s="972" t="n"/>
      <c r="Q48" s="976" t="n"/>
      <c r="R48" s="236" t="n"/>
      <c r="S48" s="240" t="n"/>
      <c r="T48" s="972" t="n"/>
    </row>
    <row r="49" ht="15" customHeight="1">
      <c r="A49" s="39">
        <f>IF(C49="","",ROW()-2)</f>
        <v/>
      </c>
      <c r="B49" s="960" t="n"/>
      <c r="C49" s="960" t="n"/>
      <c r="D49" s="961" t="n"/>
      <c r="E49" s="962" t="n"/>
      <c r="F49" s="963" t="n"/>
      <c r="G49" s="963" t="n"/>
      <c r="H49" s="108" t="n"/>
      <c r="I49" s="973" t="n"/>
      <c r="J49" s="974" t="n"/>
      <c r="K49" s="35">
        <f>IFERROR(I49+J49,0)</f>
        <v/>
      </c>
      <c r="L49" s="975" t="n"/>
      <c r="M49" s="108" t="n"/>
      <c r="N49" s="976" t="n"/>
      <c r="O49" s="240" t="n"/>
      <c r="P49" s="972" t="n"/>
      <c r="Q49" s="976" t="n"/>
      <c r="R49" s="236" t="n"/>
      <c r="S49" s="240" t="n"/>
      <c r="T49" s="972" t="n"/>
    </row>
    <row r="50" ht="15" customHeight="1">
      <c r="A50" s="39">
        <f>IF(C50="","",ROW()-2)</f>
        <v/>
      </c>
      <c r="B50" s="960" t="n"/>
      <c r="C50" s="960" t="n"/>
      <c r="D50" s="961" t="n"/>
      <c r="E50" s="962" t="n"/>
      <c r="F50" s="963" t="n"/>
      <c r="G50" s="963" t="n"/>
      <c r="H50" s="108" t="n"/>
      <c r="I50" s="973" t="n"/>
      <c r="J50" s="974" t="n"/>
      <c r="K50" s="35">
        <f>IFERROR(I50+J50,0)</f>
        <v/>
      </c>
      <c r="L50" s="975" t="n"/>
      <c r="M50" s="108" t="n"/>
      <c r="N50" s="976" t="n"/>
      <c r="O50" s="240" t="n"/>
      <c r="P50" s="972" t="n"/>
      <c r="Q50" s="976" t="n"/>
      <c r="R50" s="236" t="n"/>
      <c r="S50" s="240" t="n"/>
      <c r="T50" s="972" t="n"/>
    </row>
    <row r="51" ht="15" customHeight="1">
      <c r="A51" s="39">
        <f>IF(C51="","",ROW()-2)</f>
        <v/>
      </c>
      <c r="B51" s="960" t="n"/>
      <c r="C51" s="960" t="n"/>
      <c r="D51" s="961" t="n"/>
      <c r="E51" s="962" t="n"/>
      <c r="F51" s="963" t="n"/>
      <c r="G51" s="963" t="n"/>
      <c r="H51" s="108" t="n"/>
      <c r="I51" s="973" t="n"/>
      <c r="J51" s="974" t="n"/>
      <c r="K51" s="35">
        <f>IFERROR(I51+J51,0)</f>
        <v/>
      </c>
      <c r="L51" s="975" t="n"/>
      <c r="M51" s="108" t="n"/>
      <c r="N51" s="976" t="n"/>
      <c r="O51" s="240" t="n"/>
      <c r="P51" s="972" t="n"/>
      <c r="Q51" s="976" t="n"/>
      <c r="R51" s="236" t="n"/>
      <c r="S51" s="240" t="n"/>
      <c r="T51" s="972" t="n"/>
    </row>
    <row r="52" ht="15" customHeight="1">
      <c r="A52" s="39">
        <f>IF(C52="","",ROW()-2)</f>
        <v/>
      </c>
      <c r="B52" s="960" t="n"/>
      <c r="C52" s="960" t="n"/>
      <c r="D52" s="961" t="n"/>
      <c r="E52" s="962" t="n"/>
      <c r="F52" s="963" t="n"/>
      <c r="G52" s="963" t="n"/>
      <c r="H52" s="108" t="n"/>
      <c r="I52" s="973" t="n"/>
      <c r="J52" s="974" t="n"/>
      <c r="K52" s="35">
        <f>IFERROR(I52+J52,0)</f>
        <v/>
      </c>
      <c r="L52" s="975" t="n"/>
      <c r="M52" s="108" t="n"/>
      <c r="N52" s="976" t="n"/>
      <c r="O52" s="240" t="n"/>
      <c r="P52" s="972" t="n"/>
      <c r="Q52" s="976" t="n"/>
      <c r="R52" s="236" t="n"/>
      <c r="S52" s="240" t="n"/>
      <c r="T52" s="972" t="n"/>
    </row>
    <row r="53" ht="15" customHeight="1">
      <c r="A53" s="39">
        <f>IF(C53="","",ROW()-2)</f>
        <v/>
      </c>
      <c r="B53" s="960" t="n"/>
      <c r="C53" s="960" t="n"/>
      <c r="D53" s="961" t="n"/>
      <c r="E53" s="962" t="n"/>
      <c r="F53" s="963" t="n"/>
      <c r="G53" s="963" t="n"/>
      <c r="H53" s="108" t="n"/>
      <c r="I53" s="973" t="n"/>
      <c r="J53" s="974" t="n"/>
      <c r="K53" s="35">
        <f>IFERROR(I53+J53,0)</f>
        <v/>
      </c>
      <c r="L53" s="975" t="n"/>
      <c r="M53" s="108" t="n"/>
      <c r="N53" s="976" t="n"/>
      <c r="O53" s="240" t="n"/>
      <c r="P53" s="972" t="n"/>
      <c r="Q53" s="976" t="n"/>
      <c r="R53" s="236" t="n"/>
      <c r="S53" s="240" t="n"/>
      <c r="T53" s="972" t="n"/>
    </row>
    <row r="54" ht="15" customHeight="1">
      <c r="A54" s="39">
        <f>IF(C54="","",ROW()-2)</f>
        <v/>
      </c>
      <c r="B54" s="960" t="n"/>
      <c r="C54" s="960" t="n"/>
      <c r="D54" s="961" t="n"/>
      <c r="E54" s="962" t="n"/>
      <c r="F54" s="963" t="n"/>
      <c r="G54" s="963" t="n"/>
      <c r="H54" s="108" t="n"/>
      <c r="I54" s="973" t="n"/>
      <c r="J54" s="974" t="n"/>
      <c r="K54" s="35">
        <f>IFERROR(I54+J54,0)</f>
        <v/>
      </c>
      <c r="L54" s="975" t="n"/>
      <c r="M54" s="108" t="n"/>
      <c r="N54" s="976" t="n"/>
      <c r="O54" s="240" t="n"/>
      <c r="P54" s="972" t="n"/>
      <c r="Q54" s="976" t="n"/>
      <c r="R54" s="236" t="n"/>
      <c r="S54" s="240" t="n"/>
      <c r="T54" s="972" t="n"/>
    </row>
    <row r="55" ht="15" customHeight="1">
      <c r="A55" s="39">
        <f>IF(C55="","",ROW()-2)</f>
        <v/>
      </c>
      <c r="B55" s="960" t="n"/>
      <c r="C55" s="960" t="n"/>
      <c r="D55" s="961" t="n"/>
      <c r="E55" s="962" t="n"/>
      <c r="F55" s="963" t="n"/>
      <c r="G55" s="963" t="n"/>
      <c r="H55" s="108" t="n"/>
      <c r="I55" s="973" t="n"/>
      <c r="J55" s="974" t="n"/>
      <c r="K55" s="35">
        <f>IFERROR(I55+J55,0)</f>
        <v/>
      </c>
      <c r="L55" s="975" t="n"/>
      <c r="M55" s="108" t="n"/>
      <c r="N55" s="976" t="n"/>
      <c r="O55" s="240" t="n"/>
      <c r="P55" s="972" t="n"/>
      <c r="Q55" s="976" t="n"/>
      <c r="R55" s="236" t="n"/>
      <c r="S55" s="240" t="n"/>
      <c r="T55" s="972" t="n"/>
    </row>
    <row r="56" ht="15" customHeight="1">
      <c r="A56" s="39">
        <f>IF(C56="","",ROW()-2)</f>
        <v/>
      </c>
      <c r="B56" s="960" t="n"/>
      <c r="C56" s="960" t="n"/>
      <c r="D56" s="961" t="n"/>
      <c r="E56" s="962" t="n"/>
      <c r="F56" s="963" t="n"/>
      <c r="G56" s="963" t="n"/>
      <c r="H56" s="108" t="n"/>
      <c r="I56" s="973" t="n"/>
      <c r="J56" s="974" t="n"/>
      <c r="K56" s="35">
        <f>IFERROR(I56+J56,0)</f>
        <v/>
      </c>
      <c r="L56" s="975" t="n"/>
      <c r="M56" s="108" t="n"/>
      <c r="N56" s="976" t="n"/>
      <c r="O56" s="240" t="n"/>
      <c r="P56" s="972" t="n"/>
      <c r="Q56" s="976" t="n"/>
      <c r="R56" s="236" t="n"/>
      <c r="S56" s="240" t="n"/>
      <c r="T56" s="972" t="n"/>
    </row>
    <row r="57" ht="15" customHeight="1">
      <c r="A57" s="39">
        <f>IF(C57="","",ROW()-2)</f>
        <v/>
      </c>
      <c r="B57" s="960" t="n"/>
      <c r="C57" s="960" t="n"/>
      <c r="D57" s="961" t="n"/>
      <c r="E57" s="962" t="n"/>
      <c r="F57" s="963" t="n"/>
      <c r="G57" s="963" t="n"/>
      <c r="H57" s="108" t="n"/>
      <c r="I57" s="973" t="n"/>
      <c r="J57" s="974" t="n"/>
      <c r="K57" s="35">
        <f>IFERROR(I57+J57,0)</f>
        <v/>
      </c>
      <c r="L57" s="975" t="n"/>
      <c r="M57" s="108" t="n"/>
      <c r="N57" s="976" t="n"/>
      <c r="O57" s="240" t="n"/>
      <c r="P57" s="972" t="n"/>
      <c r="Q57" s="976" t="n"/>
      <c r="R57" s="236" t="n"/>
      <c r="S57" s="240" t="n"/>
      <c r="T57" s="972" t="n"/>
    </row>
    <row r="58" ht="15" customHeight="1">
      <c r="A58" s="39">
        <f>IF(C58="","",ROW()-2)</f>
        <v/>
      </c>
      <c r="B58" s="960" t="n"/>
      <c r="C58" s="960" t="n"/>
      <c r="D58" s="961" t="n"/>
      <c r="E58" s="962" t="n"/>
      <c r="F58" s="963" t="n"/>
      <c r="G58" s="963" t="n"/>
      <c r="H58" s="108" t="n"/>
      <c r="I58" s="973" t="n"/>
      <c r="J58" s="974" t="n"/>
      <c r="K58" s="35">
        <f>IFERROR(I58+J58,0)</f>
        <v/>
      </c>
      <c r="L58" s="975" t="n"/>
      <c r="M58" s="108" t="n"/>
      <c r="N58" s="976" t="n"/>
      <c r="O58" s="240" t="n"/>
      <c r="P58" s="972" t="n"/>
      <c r="Q58" s="976" t="n"/>
      <c r="R58" s="236" t="n"/>
      <c r="S58" s="240" t="n"/>
      <c r="T58" s="972" t="n"/>
    </row>
    <row r="59" ht="15" customHeight="1">
      <c r="A59" s="39">
        <f>IF(C59="","",ROW()-2)</f>
        <v/>
      </c>
      <c r="B59" s="960" t="n"/>
      <c r="C59" s="960" t="n"/>
      <c r="D59" s="961" t="n"/>
      <c r="E59" s="962" t="n"/>
      <c r="F59" s="963" t="n"/>
      <c r="G59" s="963" t="n"/>
      <c r="H59" s="108" t="n"/>
      <c r="I59" s="973" t="n"/>
      <c r="J59" s="974" t="n"/>
      <c r="K59" s="35">
        <f>IFERROR(I59+J59,0)</f>
        <v/>
      </c>
      <c r="L59" s="975" t="n"/>
      <c r="M59" s="108" t="n"/>
      <c r="N59" s="976" t="n"/>
      <c r="O59" s="240" t="n"/>
      <c r="P59" s="972" t="n"/>
      <c r="Q59" s="976" t="n"/>
      <c r="R59" s="236" t="n"/>
      <c r="S59" s="240" t="n"/>
      <c r="T59" s="972" t="n"/>
    </row>
    <row r="60" ht="15" customHeight="1">
      <c r="A60" s="39">
        <f>IF(C60="","",ROW()-2)</f>
        <v/>
      </c>
      <c r="B60" s="960" t="n"/>
      <c r="C60" s="960" t="n"/>
      <c r="D60" s="961" t="n"/>
      <c r="E60" s="962" t="n"/>
      <c r="F60" s="963" t="n"/>
      <c r="G60" s="963" t="n"/>
      <c r="H60" s="108" t="n"/>
      <c r="I60" s="973" t="n"/>
      <c r="J60" s="974" t="n"/>
      <c r="K60" s="35">
        <f>IFERROR(I60+J60,0)</f>
        <v/>
      </c>
      <c r="L60" s="975" t="n"/>
      <c r="M60" s="108" t="n"/>
      <c r="N60" s="976" t="n"/>
      <c r="O60" s="240" t="n"/>
      <c r="P60" s="972" t="n"/>
      <c r="Q60" s="976" t="n"/>
      <c r="R60" s="236" t="n"/>
      <c r="S60" s="240" t="n"/>
      <c r="T60" s="972" t="n"/>
    </row>
    <row r="61" ht="15" customHeight="1">
      <c r="A61" s="39">
        <f>IF(C61="","",ROW()-2)</f>
        <v/>
      </c>
      <c r="B61" s="960" t="n"/>
      <c r="C61" s="960" t="n"/>
      <c r="D61" s="961" t="n"/>
      <c r="E61" s="962" t="n"/>
      <c r="F61" s="963" t="n"/>
      <c r="G61" s="963" t="n"/>
      <c r="H61" s="108" t="n"/>
      <c r="I61" s="973" t="n"/>
      <c r="J61" s="974" t="n"/>
      <c r="K61" s="35">
        <f>IFERROR(I61+J61,0)</f>
        <v/>
      </c>
      <c r="L61" s="975" t="n"/>
      <c r="M61" s="108" t="n"/>
      <c r="N61" s="976" t="n"/>
      <c r="O61" s="240" t="n"/>
      <c r="P61" s="972" t="n"/>
      <c r="Q61" s="976" t="n"/>
      <c r="R61" s="236" t="n"/>
      <c r="S61" s="240" t="n"/>
      <c r="T61" s="972" t="n"/>
    </row>
    <row r="62" ht="15" customHeight="1">
      <c r="A62" s="39">
        <f>IF(C62="","",ROW()-2)</f>
        <v/>
      </c>
      <c r="B62" s="960" t="n"/>
      <c r="C62" s="960" t="n"/>
      <c r="D62" s="961" t="n"/>
      <c r="E62" s="962" t="n"/>
      <c r="F62" s="963" t="n"/>
      <c r="G62" s="963" t="n"/>
      <c r="H62" s="108" t="n"/>
      <c r="I62" s="973" t="n"/>
      <c r="J62" s="974" t="n"/>
      <c r="K62" s="35">
        <f>IFERROR(I62+J62,0)</f>
        <v/>
      </c>
      <c r="L62" s="975" t="n"/>
      <c r="M62" s="108" t="n"/>
      <c r="N62" s="976" t="n"/>
      <c r="O62" s="240" t="n"/>
      <c r="P62" s="972" t="n"/>
      <c r="Q62" s="976" t="n"/>
      <c r="R62" s="236" t="n"/>
      <c r="S62" s="240" t="n"/>
      <c r="T62" s="972" t="n"/>
    </row>
    <row r="63" ht="15" customHeight="1">
      <c r="A63" s="39">
        <f>IF(C63="","",ROW()-2)</f>
        <v/>
      </c>
      <c r="B63" s="960" t="n"/>
      <c r="C63" s="960" t="n"/>
      <c r="D63" s="961" t="n"/>
      <c r="E63" s="962" t="n"/>
      <c r="F63" s="963" t="n"/>
      <c r="G63" s="963" t="n"/>
      <c r="H63" s="108" t="n"/>
      <c r="I63" s="973" t="n"/>
      <c r="J63" s="974" t="n"/>
      <c r="K63" s="35">
        <f>IFERROR(I63+J63,0)</f>
        <v/>
      </c>
      <c r="L63" s="975" t="n"/>
      <c r="M63" s="108" t="n"/>
      <c r="N63" s="976" t="n"/>
      <c r="O63" s="240" t="n"/>
      <c r="P63" s="972" t="n"/>
      <c r="Q63" s="976" t="n"/>
      <c r="R63" s="236" t="n"/>
      <c r="S63" s="240" t="n"/>
      <c r="T63" s="972" t="n"/>
    </row>
    <row r="64" ht="15" customHeight="1">
      <c r="A64" s="39">
        <f>IF(C64="","",ROW()-2)</f>
        <v/>
      </c>
      <c r="B64" s="960" t="n"/>
      <c r="C64" s="960" t="n"/>
      <c r="D64" s="961" t="n"/>
      <c r="E64" s="962" t="n"/>
      <c r="F64" s="963" t="n"/>
      <c r="G64" s="963" t="n"/>
      <c r="H64" s="108" t="n"/>
      <c r="I64" s="973" t="n"/>
      <c r="J64" s="974" t="n"/>
      <c r="K64" s="35">
        <f>IFERROR(I64+J64,0)</f>
        <v/>
      </c>
      <c r="L64" s="975" t="n"/>
      <c r="M64" s="108" t="n"/>
      <c r="N64" s="976" t="n"/>
      <c r="O64" s="240" t="n"/>
      <c r="P64" s="972" t="n"/>
      <c r="Q64" s="976" t="n"/>
      <c r="R64" s="236" t="n"/>
      <c r="S64" s="240" t="n"/>
      <c r="T64" s="972" t="n"/>
    </row>
    <row r="65" ht="15" customHeight="1">
      <c r="A65" s="39">
        <f>IF(C65="","",ROW()-2)</f>
        <v/>
      </c>
      <c r="B65" s="960" t="n"/>
      <c r="C65" s="960" t="n"/>
      <c r="D65" s="961" t="n"/>
      <c r="E65" s="962" t="n"/>
      <c r="F65" s="963" t="n"/>
      <c r="G65" s="963" t="n"/>
      <c r="H65" s="108" t="n"/>
      <c r="I65" s="973" t="n"/>
      <c r="J65" s="974" t="n"/>
      <c r="K65" s="35">
        <f>IFERROR(I65+J65,0)</f>
        <v/>
      </c>
      <c r="L65" s="975" t="n"/>
      <c r="M65" s="108" t="n"/>
      <c r="N65" s="976" t="n"/>
      <c r="O65" s="240" t="n"/>
      <c r="P65" s="972" t="n"/>
      <c r="Q65" s="976" t="n"/>
      <c r="R65" s="236" t="n"/>
      <c r="S65" s="240" t="n"/>
      <c r="T65" s="972" t="n"/>
    </row>
    <row r="66" ht="15" customHeight="1">
      <c r="A66" s="39">
        <f>IF(C66="","",ROW()-2)</f>
        <v/>
      </c>
      <c r="B66" s="960" t="n"/>
      <c r="C66" s="960" t="n"/>
      <c r="D66" s="961" t="n"/>
      <c r="E66" s="962" t="n"/>
      <c r="F66" s="963" t="n"/>
      <c r="G66" s="963" t="n"/>
      <c r="H66" s="108" t="n"/>
      <c r="I66" s="973" t="n"/>
      <c r="J66" s="974" t="n"/>
      <c r="K66" s="35">
        <f>IFERROR(I66+J66,0)</f>
        <v/>
      </c>
      <c r="L66" s="975" t="n"/>
      <c r="M66" s="108" t="n"/>
      <c r="N66" s="976" t="n"/>
      <c r="O66" s="240" t="n"/>
      <c r="P66" s="972" t="n"/>
      <c r="Q66" s="976" t="n"/>
      <c r="R66" s="236" t="n"/>
      <c r="S66" s="240" t="n"/>
      <c r="T66" s="972" t="n"/>
    </row>
    <row r="67" ht="15" customHeight="1">
      <c r="A67" s="39">
        <f>IF(C67="","",ROW()-2)</f>
        <v/>
      </c>
      <c r="B67" s="960" t="n"/>
      <c r="C67" s="960" t="n"/>
      <c r="D67" s="961" t="n"/>
      <c r="E67" s="962" t="n"/>
      <c r="F67" s="963" t="n"/>
      <c r="G67" s="963" t="n"/>
      <c r="H67" s="108" t="n"/>
      <c r="I67" s="973" t="n"/>
      <c r="J67" s="974" t="n"/>
      <c r="K67" s="35">
        <f>IFERROR(I67+J67,0)</f>
        <v/>
      </c>
      <c r="L67" s="975" t="n"/>
      <c r="M67" s="108" t="n"/>
      <c r="N67" s="976" t="n"/>
      <c r="O67" s="240" t="n"/>
      <c r="P67" s="972" t="n"/>
      <c r="Q67" s="976" t="n"/>
      <c r="R67" s="236" t="n"/>
      <c r="S67" s="240" t="n"/>
      <c r="T67" s="972" t="n"/>
    </row>
    <row r="68" ht="15" customHeight="1">
      <c r="A68" s="39">
        <f>IF(C68="","",ROW()-2)</f>
        <v/>
      </c>
      <c r="B68" s="960" t="n"/>
      <c r="C68" s="960" t="n"/>
      <c r="D68" s="961" t="n"/>
      <c r="E68" s="962" t="n"/>
      <c r="F68" s="963" t="n"/>
      <c r="G68" s="963" t="n"/>
      <c r="H68" s="108" t="n"/>
      <c r="I68" s="973" t="n"/>
      <c r="J68" s="974" t="n"/>
      <c r="K68" s="35">
        <f>IFERROR(I68+J68,0)</f>
        <v/>
      </c>
      <c r="L68" s="975" t="n"/>
      <c r="M68" s="108" t="n"/>
      <c r="N68" s="976" t="n"/>
      <c r="O68" s="240" t="n"/>
      <c r="P68" s="972" t="n"/>
      <c r="Q68" s="976" t="n"/>
      <c r="R68" s="236" t="n"/>
      <c r="S68" s="240" t="n"/>
      <c r="T68" s="972" t="n"/>
    </row>
    <row r="69" ht="15" customHeight="1">
      <c r="A69" s="39">
        <f>IF(C69="","",ROW()-2)</f>
        <v/>
      </c>
      <c r="B69" s="960" t="n"/>
      <c r="C69" s="960" t="n"/>
      <c r="D69" s="961" t="n"/>
      <c r="E69" s="962" t="n"/>
      <c r="F69" s="963" t="n"/>
      <c r="G69" s="963" t="n"/>
      <c r="H69" s="108" t="n"/>
      <c r="I69" s="973" t="n"/>
      <c r="J69" s="974" t="n"/>
      <c r="K69" s="35">
        <f>IFERROR(I69+J69,0)</f>
        <v/>
      </c>
      <c r="L69" s="975" t="n"/>
      <c r="M69" s="108" t="n"/>
      <c r="N69" s="976" t="n"/>
      <c r="O69" s="240" t="n"/>
      <c r="P69" s="972" t="n"/>
      <c r="Q69" s="976" t="n"/>
      <c r="R69" s="236" t="n"/>
      <c r="S69" s="240" t="n"/>
      <c r="T69" s="972" t="n"/>
    </row>
    <row r="70" ht="15" customHeight="1">
      <c r="A70" s="39">
        <f>IF(C70="","",ROW()-2)</f>
        <v/>
      </c>
      <c r="B70" s="960" t="n"/>
      <c r="C70" s="960" t="n"/>
      <c r="D70" s="961" t="n"/>
      <c r="E70" s="962" t="n"/>
      <c r="F70" s="963" t="n"/>
      <c r="G70" s="963" t="n"/>
      <c r="H70" s="108" t="n"/>
      <c r="I70" s="973" t="n"/>
      <c r="J70" s="973" t="n"/>
      <c r="K70" s="35">
        <f>IFERROR(I70+J70,0)</f>
        <v/>
      </c>
      <c r="L70" s="975" t="n"/>
      <c r="M70" s="108" t="n"/>
      <c r="N70" s="976" t="n"/>
      <c r="O70" s="240" t="n"/>
      <c r="P70" s="972" t="n"/>
      <c r="Q70" s="976" t="n"/>
      <c r="R70" s="236" t="n"/>
      <c r="S70" s="240" t="n"/>
      <c r="T70" s="972" t="n"/>
    </row>
    <row r="71" ht="15" customHeight="1">
      <c r="A71" s="39">
        <f>IF(C71="","",ROW()-2)</f>
        <v/>
      </c>
      <c r="B71" s="960" t="n"/>
      <c r="C71" s="960" t="n"/>
      <c r="D71" s="961" t="n"/>
      <c r="E71" s="962" t="n"/>
      <c r="F71" s="963" t="n"/>
      <c r="G71" s="963" t="n"/>
      <c r="H71" s="108" t="n"/>
      <c r="I71" s="973" t="n"/>
      <c r="J71" s="973" t="n"/>
      <c r="K71" s="35">
        <f>IFERROR(I71+J71,0)</f>
        <v/>
      </c>
      <c r="L71" s="975" t="n"/>
      <c r="M71" s="108" t="n"/>
      <c r="N71" s="976" t="n"/>
      <c r="O71" s="240" t="n"/>
      <c r="P71" s="972" t="n"/>
      <c r="Q71" s="976" t="n"/>
      <c r="R71" s="236" t="n"/>
      <c r="S71" s="240" t="n"/>
      <c r="T71" s="972" t="n"/>
    </row>
    <row r="72" ht="15.75" customHeight="1" thickBot="1">
      <c r="A72" s="39">
        <f>IF(C72="","",ROW()-2)</f>
        <v/>
      </c>
      <c r="B72" s="960" t="n"/>
      <c r="C72" s="960" t="n"/>
      <c r="D72" s="961" t="n"/>
      <c r="E72" s="962" t="n"/>
      <c r="F72" s="963" t="n"/>
      <c r="G72" s="963" t="n"/>
      <c r="H72" s="108" t="n"/>
      <c r="I72" s="973" t="n"/>
      <c r="J72" s="973" t="n"/>
      <c r="K72" s="35">
        <f>IFERROR(I72+J72,0)</f>
        <v/>
      </c>
      <c r="L72" s="975" t="n"/>
      <c r="M72" s="108" t="n"/>
      <c r="N72" s="976" t="n"/>
      <c r="O72" s="240" t="n"/>
      <c r="P72" s="972" t="n"/>
      <c r="Q72" s="976" t="n"/>
      <c r="R72" s="236" t="n"/>
      <c r="S72" s="240" t="n"/>
      <c r="T72" s="972" t="n"/>
    </row>
    <row r="73" ht="32.25" customHeight="1" thickBot="1">
      <c r="A73" s="824">
        <f>IF(C73="","",ROW()-2)</f>
        <v/>
      </c>
      <c r="B73" s="977" t="n"/>
      <c r="C73" s="977" t="n"/>
      <c r="D73" s="978" t="n"/>
      <c r="E73" s="979" t="n"/>
      <c r="F73" s="980" t="n"/>
      <c r="G73" s="980" t="n"/>
      <c r="H73" s="981" t="n"/>
      <c r="I73" s="973" t="n"/>
      <c r="J73" s="973" t="n"/>
      <c r="K73" s="35">
        <f>IFERROR(I73+J73,0)</f>
        <v/>
      </c>
      <c r="L73" s="982" t="n"/>
      <c r="M73" s="983" t="n"/>
      <c r="N73" s="984" t="n"/>
      <c r="O73" s="80">
        <f>SUM(O3:O72)</f>
        <v/>
      </c>
      <c r="P73" s="77">
        <f>SUM(P3:P72)</f>
        <v/>
      </c>
      <c r="Q73" s="76">
        <f>SUM(Q3:Q72)</f>
        <v/>
      </c>
      <c r="R73" s="80" t="inlineStr">
        <is>
          <t>N/A</t>
        </is>
      </c>
      <c r="S73" s="80" t="inlineStr">
        <is>
          <t>N/A</t>
        </is>
      </c>
      <c r="T73" s="77">
        <f>SUM(T3:T72)</f>
        <v/>
      </c>
    </row>
    <row r="74" ht="15" customFormat="1" customHeight="1" s="3">
      <c r="A74" s="824">
        <f>IF(C74="","",ROW()-2)</f>
        <v/>
      </c>
      <c r="B74" s="977" t="n"/>
      <c r="C74" s="977" t="n"/>
      <c r="D74" s="978" t="n"/>
      <c r="E74" s="979" t="n"/>
      <c r="F74" s="980" t="n"/>
      <c r="G74" s="980" t="n"/>
      <c r="H74" s="981" t="n"/>
      <c r="I74" s="973" t="n"/>
      <c r="J74" s="973" t="n"/>
      <c r="K74" s="35">
        <f>IFERROR(I74+J74,0)</f>
        <v/>
      </c>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IF(C75="","",ROW()-2)</f>
        <v/>
      </c>
      <c r="B75" s="977" t="n"/>
      <c r="C75" s="977" t="n"/>
      <c r="D75" s="978" t="n"/>
      <c r="E75" s="979" t="n"/>
      <c r="F75" s="980" t="n"/>
      <c r="G75" s="980" t="n"/>
      <c r="H75" s="981" t="n"/>
      <c r="I75" s="973" t="n"/>
      <c r="J75" s="973" t="n"/>
      <c r="K75" s="35">
        <f>IFERROR(I75+J75,0)</f>
        <v/>
      </c>
      <c r="N75" s="271" t="n"/>
      <c r="O75" s="307">
        <f>O73*12</f>
        <v/>
      </c>
    </row>
    <row r="76" ht="15" customFormat="1" customHeight="1" s="3">
      <c r="A76" s="824">
        <f>IF(C76="","",ROW()-2)</f>
        <v/>
      </c>
      <c r="B76" s="977" t="n"/>
      <c r="C76" s="977" t="n"/>
      <c r="D76" s="978" t="n"/>
      <c r="E76" s="979" t="n"/>
      <c r="F76" s="980" t="n"/>
      <c r="G76" s="980" t="n"/>
      <c r="H76" s="981" t="n"/>
      <c r="I76" s="973" t="n"/>
      <c r="J76" s="973" t="n"/>
      <c r="K76" s="35">
        <f>IFERROR(I76+J76,0)</f>
        <v/>
      </c>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IF(C77="","",ROW()-2)</f>
        <v/>
      </c>
      <c r="B77" s="977" t="n"/>
      <c r="C77" s="977" t="n"/>
      <c r="D77" s="978" t="n"/>
      <c r="E77" s="979" t="n"/>
      <c r="F77" s="980" t="n"/>
      <c r="G77" s="980" t="n"/>
      <c r="H77" s="981" t="n"/>
      <c r="I77" s="973" t="n"/>
      <c r="J77" s="973" t="n"/>
      <c r="K77" s="35">
        <f>IFERROR(I77+J77,0)</f>
        <v/>
      </c>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IF(C78="","",ROW()-2)</f>
        <v/>
      </c>
      <c r="B78" s="977" t="n"/>
      <c r="C78" s="977" t="n"/>
      <c r="D78" s="978" t="n"/>
      <c r="E78" s="979" t="n"/>
      <c r="F78" s="980" t="n"/>
      <c r="G78" s="980" t="n"/>
      <c r="H78" s="981" t="n"/>
      <c r="I78" s="973" t="n"/>
      <c r="J78" s="973" t="n"/>
      <c r="K78" s="35">
        <f>IFERROR(I78+J78,0)</f>
        <v/>
      </c>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IF(C79="","",ROW()-2)</f>
        <v/>
      </c>
      <c r="B79" s="977" t="n"/>
      <c r="C79" s="977" t="n"/>
      <c r="D79" s="978" t="n"/>
      <c r="E79" s="979" t="n"/>
      <c r="F79" s="980" t="n"/>
      <c r="G79" s="980" t="n"/>
      <c r="H79" s="981" t="n"/>
      <c r="I79" s="973" t="n"/>
      <c r="J79" s="973" t="n"/>
      <c r="K79" s="35">
        <f>IFERROR(I79+J79,0)</f>
        <v/>
      </c>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IF(C80="","",ROW()-2)</f>
        <v/>
      </c>
      <c r="B80" s="977" t="n"/>
      <c r="C80" s="977" t="n"/>
      <c r="D80" s="978" t="n"/>
      <c r="E80" s="979" t="n"/>
      <c r="F80" s="980" t="n"/>
      <c r="G80" s="980" t="n"/>
      <c r="H80" s="981" t="n"/>
      <c r="I80" s="973" t="n"/>
      <c r="J80" s="973" t="n"/>
      <c r="K80" s="35">
        <f>IFERROR(I80+J80,0)</f>
        <v/>
      </c>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IF(C81="","",ROW()-2)</f>
        <v/>
      </c>
      <c r="B81" s="977" t="n"/>
      <c r="C81" s="977" t="n"/>
      <c r="D81" s="978" t="n"/>
      <c r="E81" s="979" t="n"/>
      <c r="F81" s="980" t="n"/>
      <c r="G81" s="980" t="n"/>
      <c r="H81" s="981" t="n"/>
      <c r="I81" s="973" t="n"/>
      <c r="J81" s="973" t="n"/>
      <c r="K81" s="35">
        <f>IFERROR(I81+J81,0)</f>
        <v/>
      </c>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IF(C82="","",ROW()-2)</f>
        <v/>
      </c>
      <c r="B82" s="977" t="n"/>
      <c r="C82" s="977" t="n"/>
      <c r="D82" s="978" t="n"/>
      <c r="E82" s="979" t="n"/>
      <c r="F82" s="980" t="n"/>
      <c r="G82" s="980" t="n"/>
      <c r="H82" s="981" t="n"/>
      <c r="I82" s="973" t="n"/>
      <c r="J82" s="973" t="n"/>
      <c r="K82" s="35">
        <f>IFERROR(I82+J82,0)</f>
        <v/>
      </c>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IF(C83="","",ROW()-2)</f>
        <v/>
      </c>
      <c r="B83" s="977" t="n"/>
      <c r="C83" s="977" t="n"/>
      <c r="D83" s="978" t="n"/>
      <c r="E83" s="979" t="n"/>
      <c r="F83" s="980" t="n"/>
      <c r="G83" s="980" t="n"/>
      <c r="H83" s="981" t="n"/>
      <c r="I83" s="973" t="n"/>
      <c r="J83" s="973" t="n"/>
      <c r="K83" s="35">
        <f>IFERROR(I83+J83,0)</f>
        <v/>
      </c>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IF(C84="","",ROW()-2)</f>
        <v/>
      </c>
      <c r="B84" s="977" t="n"/>
      <c r="C84" s="977" t="n"/>
      <c r="D84" s="978" t="n"/>
      <c r="E84" s="979" t="n"/>
      <c r="F84" s="980" t="n"/>
      <c r="G84" s="980" t="n"/>
      <c r="H84" s="981" t="n"/>
      <c r="I84" s="973" t="n"/>
      <c r="J84" s="973" t="n"/>
      <c r="K84" s="35">
        <f>IFERROR(I84+J84,0)</f>
        <v/>
      </c>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IF(C85="","",ROW()-2)</f>
        <v/>
      </c>
      <c r="B85" s="977" t="n"/>
      <c r="C85" s="977" t="n"/>
      <c r="D85" s="978" t="n"/>
      <c r="E85" s="979" t="n"/>
      <c r="F85" s="980" t="n"/>
      <c r="G85" s="980" t="n"/>
      <c r="H85" s="981" t="n"/>
      <c r="I85" s="973" t="n"/>
      <c r="J85" s="973" t="n"/>
      <c r="K85" s="35">
        <f>IFERROR(I85+J85,0)</f>
        <v/>
      </c>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IF(C86="","",ROW()-2)</f>
        <v/>
      </c>
      <c r="B86" s="977" t="n"/>
      <c r="C86" s="977" t="n"/>
      <c r="D86" s="978" t="n"/>
      <c r="E86" s="979" t="n"/>
      <c r="F86" s="980" t="n"/>
      <c r="G86" s="980" t="n"/>
      <c r="H86" s="981" t="n"/>
      <c r="I86" s="973" t="n"/>
      <c r="J86" s="973" t="n"/>
      <c r="K86" s="35">
        <f>IFERROR(I86+J86,0)</f>
        <v/>
      </c>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IF(C87="","",ROW()-2)</f>
        <v/>
      </c>
      <c r="B87" s="977" t="n"/>
      <c r="C87" s="977" t="n"/>
      <c r="D87" s="978" t="n"/>
      <c r="E87" s="979" t="n"/>
      <c r="F87" s="980" t="n"/>
      <c r="G87" s="980" t="n"/>
      <c r="H87" s="981" t="n"/>
      <c r="I87" s="973" t="n"/>
      <c r="J87" s="973" t="n"/>
      <c r="K87" s="35">
        <f>IFERROR(I87+J87,0)</f>
        <v/>
      </c>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IF(C88="","",ROW()-2)</f>
        <v/>
      </c>
      <c r="B88" s="977" t="n"/>
      <c r="C88" s="977" t="n"/>
      <c r="D88" s="978" t="n"/>
      <c r="E88" s="979" t="n"/>
      <c r="F88" s="980" t="n"/>
      <c r="G88" s="980" t="n"/>
      <c r="H88" s="981" t="n"/>
      <c r="I88" s="973" t="n"/>
      <c r="J88" s="973" t="n"/>
      <c r="K88" s="35">
        <f>IFERROR(I88+J88,0)</f>
        <v/>
      </c>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IF(C89="","",ROW()-2)</f>
        <v/>
      </c>
      <c r="B89" s="977" t="n"/>
      <c r="C89" s="977" t="n"/>
      <c r="D89" s="978" t="n"/>
      <c r="E89" s="979" t="n"/>
      <c r="F89" s="980" t="n"/>
      <c r="G89" s="980" t="n"/>
      <c r="H89" s="981" t="n"/>
      <c r="I89" s="973" t="n"/>
      <c r="J89" s="973" t="n"/>
      <c r="K89" s="35">
        <f>IFERROR(I89+J89,0)</f>
        <v/>
      </c>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IF(C90="","",ROW()-2)</f>
        <v/>
      </c>
      <c r="B90" s="977" t="n"/>
      <c r="C90" s="977" t="n"/>
      <c r="D90" s="978" t="n"/>
      <c r="E90" s="979" t="n"/>
      <c r="F90" s="980" t="n"/>
      <c r="G90" s="980" t="n"/>
      <c r="H90" s="981" t="n"/>
      <c r="I90" s="973" t="n"/>
      <c r="J90" s="973" t="n"/>
      <c r="K90" s="35">
        <f>IFERROR(I90+J90,0)</f>
        <v/>
      </c>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IF(C91="","",ROW()-2)</f>
        <v/>
      </c>
      <c r="B91" s="977" t="n"/>
      <c r="C91" s="977" t="n"/>
      <c r="D91" s="978" t="n"/>
      <c r="E91" s="979" t="n"/>
      <c r="F91" s="980" t="n"/>
      <c r="G91" s="980" t="n"/>
      <c r="H91" s="981" t="n"/>
      <c r="I91" s="973" t="n"/>
      <c r="J91" s="973" t="n"/>
      <c r="K91" s="35">
        <f>IFERROR(I91+J91,0)</f>
        <v/>
      </c>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IF(C92="","",ROW()-2)</f>
        <v/>
      </c>
      <c r="B92" s="977" t="n"/>
      <c r="C92" s="977" t="n"/>
      <c r="D92" s="978" t="n"/>
      <c r="E92" s="979" t="n"/>
      <c r="F92" s="980" t="n"/>
      <c r="G92" s="980" t="n"/>
      <c r="H92" s="981" t="n"/>
      <c r="I92" s="973" t="n"/>
      <c r="J92" s="973" t="n"/>
      <c r="K92" s="35">
        <f>IFERROR(I92+J92,0)</f>
        <v/>
      </c>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IF(C93="","",ROW()-2)</f>
        <v/>
      </c>
      <c r="B93" s="977" t="n"/>
      <c r="C93" s="977" t="n"/>
      <c r="D93" s="978" t="n"/>
      <c r="E93" s="979" t="n"/>
      <c r="F93" s="980" t="n"/>
      <c r="G93" s="980" t="n"/>
      <c r="H93" s="981" t="n"/>
      <c r="I93" s="973" t="n"/>
      <c r="J93" s="973" t="n"/>
      <c r="K93" s="35">
        <f>IFERROR(I93+J93,0)</f>
        <v/>
      </c>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IF(C94="","",ROW()-2)</f>
        <v/>
      </c>
      <c r="B94" s="977" t="n"/>
      <c r="C94" s="977" t="n"/>
      <c r="D94" s="978" t="n"/>
      <c r="E94" s="979" t="n"/>
      <c r="F94" s="980" t="n"/>
      <c r="G94" s="980" t="n"/>
      <c r="H94" s="981" t="n"/>
      <c r="I94" s="973" t="n"/>
      <c r="J94" s="973" t="n"/>
      <c r="K94" s="35">
        <f>IFERROR(I94+J94,0)</f>
        <v/>
      </c>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IF(C95="","",ROW()-2)</f>
        <v/>
      </c>
      <c r="B95" s="977" t="n"/>
      <c r="C95" s="977" t="n"/>
      <c r="D95" s="978" t="n"/>
      <c r="E95" s="979" t="n"/>
      <c r="F95" s="980" t="n"/>
      <c r="G95" s="980" t="n"/>
      <c r="H95" s="981" t="n"/>
      <c r="I95" s="973" t="n"/>
      <c r="J95" s="973" t="n"/>
      <c r="K95" s="35">
        <f>IFERROR(I95+J95,0)</f>
        <v/>
      </c>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IF(C96="","",ROW()-2)</f>
        <v/>
      </c>
      <c r="B96" s="977" t="n"/>
      <c r="C96" s="977" t="n"/>
      <c r="D96" s="978" t="n"/>
      <c r="E96" s="979" t="n"/>
      <c r="F96" s="980" t="n"/>
      <c r="G96" s="980" t="n"/>
      <c r="H96" s="981" t="n"/>
      <c r="I96" s="973" t="n"/>
      <c r="J96" s="973" t="n"/>
      <c r="K96" s="35">
        <f>IFERROR(I96+J96,0)</f>
        <v/>
      </c>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IF(C97="","",ROW()-2)</f>
        <v/>
      </c>
      <c r="B97" s="977" t="n"/>
      <c r="C97" s="977" t="n"/>
      <c r="D97" s="978" t="n"/>
      <c r="E97" s="979" t="n"/>
      <c r="F97" s="980" t="n"/>
      <c r="G97" s="980" t="n"/>
      <c r="H97" s="981" t="n"/>
      <c r="I97" s="973" t="n"/>
      <c r="J97" s="973" t="n"/>
      <c r="K97" s="35">
        <f>IFERROR(I97+J97,0)</f>
        <v/>
      </c>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IF(C98="","",ROW()-2)</f>
        <v/>
      </c>
      <c r="B98" s="977" t="n"/>
      <c r="C98" s="977" t="n"/>
      <c r="D98" s="978" t="n"/>
      <c r="E98" s="979" t="n"/>
      <c r="F98" s="980" t="n"/>
      <c r="G98" s="980" t="n"/>
      <c r="H98" s="981" t="n"/>
      <c r="I98" s="973" t="n"/>
      <c r="J98" s="973" t="n"/>
      <c r="K98" s="35">
        <f>IFERROR(I98+J98,0)</f>
        <v/>
      </c>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IF(C99="","",ROW()-2)</f>
        <v/>
      </c>
      <c r="B99" s="977" t="n"/>
      <c r="C99" s="977" t="n"/>
      <c r="D99" s="978" t="n"/>
      <c r="E99" s="979" t="n"/>
      <c r="F99" s="980" t="n"/>
      <c r="G99" s="980" t="n"/>
      <c r="H99" s="981" t="n"/>
      <c r="I99" s="973" t="n"/>
      <c r="J99" s="973" t="n"/>
      <c r="K99" s="35">
        <f>IFERROR(I99+J99,0)</f>
        <v/>
      </c>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IF(C100="","",ROW()-2)</f>
        <v/>
      </c>
      <c r="B100" s="977" t="n"/>
      <c r="C100" s="977" t="n"/>
      <c r="D100" s="978" t="n"/>
      <c r="E100" s="979" t="n"/>
      <c r="F100" s="980" t="n"/>
      <c r="G100" s="980" t="n"/>
      <c r="H100" s="981" t="n"/>
      <c r="I100" s="973" t="n"/>
      <c r="J100" s="973" t="n"/>
      <c r="K100" s="35">
        <f>IFERROR(I100+J100,0)</f>
        <v/>
      </c>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IF(C101="","",ROW()-2)</f>
        <v/>
      </c>
      <c r="B101" s="977" t="n"/>
      <c r="C101" s="977" t="n"/>
      <c r="D101" s="978" t="n"/>
      <c r="E101" s="979" t="n"/>
      <c r="F101" s="980" t="n"/>
      <c r="G101" s="980" t="n"/>
      <c r="H101" s="981" t="n"/>
      <c r="I101" s="973" t="n"/>
      <c r="J101" s="973" t="n"/>
      <c r="K101" s="35">
        <f>IFERROR(I101+J101,0)</f>
        <v/>
      </c>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IF(C102="","",ROW()-2)</f>
        <v/>
      </c>
      <c r="B102" s="977" t="n"/>
      <c r="C102" s="977" t="n"/>
      <c r="D102" s="978" t="n"/>
      <c r="E102" s="979" t="n"/>
      <c r="F102" s="980" t="n"/>
      <c r="G102" s="980" t="n"/>
      <c r="H102" s="981" t="n"/>
      <c r="I102" s="973" t="n"/>
      <c r="J102" s="973" t="n"/>
      <c r="K102" s="35">
        <f>IFERROR(I102+J102,0)</f>
        <v/>
      </c>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IF(C103="","",ROW()-2)</f>
        <v/>
      </c>
      <c r="B103" s="977" t="n"/>
      <c r="C103" s="977" t="n"/>
      <c r="D103" s="978" t="n"/>
      <c r="E103" s="979" t="n"/>
      <c r="F103" s="980" t="n"/>
      <c r="G103" s="980" t="n"/>
      <c r="H103" s="981" t="n"/>
      <c r="I103" s="973" t="n"/>
      <c r="J103" s="973" t="n"/>
      <c r="K103" s="35">
        <f>IFERROR(I103+J103,0)</f>
        <v/>
      </c>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IF(C104="","",ROW()-2)</f>
        <v/>
      </c>
      <c r="B104" s="977" t="n"/>
      <c r="C104" s="977" t="n"/>
      <c r="D104" s="978" t="n"/>
      <c r="E104" s="979" t="n"/>
      <c r="F104" s="980" t="n"/>
      <c r="G104" s="980" t="n"/>
      <c r="H104" s="981" t="n"/>
      <c r="I104" s="973" t="n"/>
      <c r="J104" s="973" t="n"/>
      <c r="K104" s="35">
        <f>IFERROR(I104+J104,0)</f>
        <v/>
      </c>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IF(C105="","",ROW()-2)</f>
        <v/>
      </c>
      <c r="B105" s="977" t="n"/>
      <c r="C105" s="977" t="n"/>
      <c r="D105" s="978" t="n"/>
      <c r="E105" s="979" t="n"/>
      <c r="F105" s="980" t="n"/>
      <c r="G105" s="980" t="n"/>
      <c r="H105" s="981" t="n"/>
      <c r="I105" s="973" t="n"/>
      <c r="J105" s="973" t="n"/>
      <c r="K105" s="35">
        <f>IFERROR(I105+J105,0)</f>
        <v/>
      </c>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IF(C106="","",ROW()-2)</f>
        <v/>
      </c>
      <c r="B106" s="977" t="n"/>
      <c r="C106" s="977" t="n"/>
      <c r="D106" s="978" t="n"/>
      <c r="E106" s="979" t="n"/>
      <c r="F106" s="980" t="n"/>
      <c r="G106" s="980" t="n"/>
      <c r="H106" s="981" t="n"/>
      <c r="I106" s="973" t="n"/>
      <c r="J106" s="973" t="n"/>
      <c r="K106" s="35">
        <f>IFERROR(I106+J106,0)</f>
        <v/>
      </c>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IF(C107="","",ROW()-2)</f>
        <v/>
      </c>
      <c r="B107" s="977" t="n"/>
      <c r="C107" s="977" t="n"/>
      <c r="D107" s="978" t="n"/>
      <c r="E107" s="979" t="n"/>
      <c r="F107" s="980" t="n"/>
      <c r="G107" s="980" t="n"/>
      <c r="H107" s="981" t="n"/>
      <c r="I107" s="973" t="n"/>
      <c r="J107" s="973" t="n"/>
      <c r="K107" s="35">
        <f>IFERROR(I107+J107,0)</f>
        <v/>
      </c>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IF(C108="","",ROW()-2)</f>
        <v/>
      </c>
      <c r="B108" s="977" t="n"/>
      <c r="C108" s="977" t="n"/>
      <c r="D108" s="978" t="n"/>
      <c r="E108" s="979" t="n"/>
      <c r="F108" s="980" t="n"/>
      <c r="G108" s="980" t="n"/>
      <c r="H108" s="981" t="n"/>
      <c r="I108" s="973" t="n"/>
      <c r="J108" s="973" t="n"/>
      <c r="K108" s="35">
        <f>IFERROR(I108+J108,0)</f>
        <v/>
      </c>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IF(C109="","",ROW()-2)</f>
        <v/>
      </c>
      <c r="B109" s="977" t="n"/>
      <c r="C109" s="977" t="n"/>
      <c r="D109" s="978" t="n"/>
      <c r="E109" s="979" t="n"/>
      <c r="F109" s="980" t="n"/>
      <c r="G109" s="980" t="n"/>
      <c r="H109" s="981" t="n"/>
      <c r="I109" s="973" t="n"/>
      <c r="J109" s="973" t="n"/>
      <c r="K109" s="35">
        <f>IFERROR(I109+J109,0)</f>
        <v/>
      </c>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IF(C110="","",ROW()-2)</f>
        <v/>
      </c>
      <c r="B110" s="977" t="n"/>
      <c r="C110" s="977" t="n"/>
      <c r="D110" s="978" t="n"/>
      <c r="E110" s="979" t="n"/>
      <c r="F110" s="980" t="n"/>
      <c r="G110" s="980" t="n"/>
      <c r="H110" s="981" t="n"/>
      <c r="I110" s="973" t="n"/>
      <c r="J110" s="973" t="n"/>
      <c r="K110" s="35">
        <f>IFERROR(I110+J110,0)</f>
        <v/>
      </c>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IF(C111="","",ROW()-2)</f>
        <v/>
      </c>
      <c r="B111" s="977" t="n"/>
      <c r="C111" s="977" t="n"/>
      <c r="D111" s="978" t="n"/>
      <c r="E111" s="979" t="n"/>
      <c r="F111" s="980" t="n"/>
      <c r="G111" s="980" t="n"/>
      <c r="H111" s="981" t="n"/>
      <c r="I111" s="973" t="n"/>
      <c r="J111" s="973" t="n"/>
      <c r="K111" s="35">
        <f>IFERROR(I111+J111,0)</f>
        <v/>
      </c>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IF(C112="","",ROW()-2)</f>
        <v/>
      </c>
      <c r="B112" s="977" t="n"/>
      <c r="C112" s="977" t="n"/>
      <c r="D112" s="978" t="n"/>
      <c r="E112" s="979" t="n"/>
      <c r="F112" s="980" t="n"/>
      <c r="G112" s="980" t="n"/>
      <c r="H112" s="981" t="n"/>
      <c r="I112" s="973" t="n"/>
      <c r="J112" s="973" t="n"/>
      <c r="K112" s="35">
        <f>IFERROR(I112+J112,0)</f>
        <v/>
      </c>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IF(C113="","",ROW()-2)</f>
        <v/>
      </c>
      <c r="B113" s="977" t="n"/>
      <c r="C113" s="977" t="n"/>
      <c r="D113" s="978" t="n"/>
      <c r="E113" s="979" t="n"/>
      <c r="F113" s="980" t="n"/>
      <c r="G113" s="980" t="n"/>
      <c r="H113" s="981" t="n"/>
      <c r="I113" s="973" t="n"/>
      <c r="J113" s="973" t="n"/>
      <c r="K113" s="35">
        <f>IFERROR(I113+J113,0)</f>
        <v/>
      </c>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IF(C114="","",ROW()-2)</f>
        <v/>
      </c>
      <c r="B114" s="977" t="n"/>
      <c r="C114" s="977" t="n"/>
      <c r="D114" s="978" t="n"/>
      <c r="E114" s="979" t="n"/>
      <c r="F114" s="980" t="n"/>
      <c r="G114" s="980" t="n"/>
      <c r="H114" s="981" t="n"/>
      <c r="I114" s="973" t="n"/>
      <c r="J114" s="973" t="n"/>
      <c r="K114" s="35">
        <f>IFERROR(I114+J114,0)</f>
        <v/>
      </c>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IF(C115="","",ROW()-2)</f>
        <v/>
      </c>
      <c r="B115" s="977" t="n"/>
      <c r="C115" s="977" t="n"/>
      <c r="D115" s="978" t="n"/>
      <c r="E115" s="979" t="n"/>
      <c r="F115" s="980" t="n"/>
      <c r="G115" s="980" t="n"/>
      <c r="H115" s="981" t="n"/>
      <c r="I115" s="973" t="n"/>
      <c r="J115" s="973" t="n"/>
      <c r="K115" s="35">
        <f>IFERROR(I115+J115,0)</f>
        <v/>
      </c>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IF(C116="","",ROW()-2)</f>
        <v/>
      </c>
      <c r="B116" s="977" t="n"/>
      <c r="C116" s="977" t="n"/>
      <c r="D116" s="978" t="n"/>
      <c r="E116" s="979" t="n"/>
      <c r="F116" s="980" t="n"/>
      <c r="G116" s="980" t="n"/>
      <c r="H116" s="981" t="n"/>
      <c r="I116" s="973" t="n"/>
      <c r="J116" s="973" t="n"/>
      <c r="K116" s="35">
        <f>IFERROR(I116+J116,0)</f>
        <v/>
      </c>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IF(C117="","",ROW()-2)</f>
        <v/>
      </c>
      <c r="B117" s="977" t="n"/>
      <c r="C117" s="977" t="n"/>
      <c r="D117" s="978" t="n"/>
      <c r="E117" s="979" t="n"/>
      <c r="F117" s="980" t="n"/>
      <c r="G117" s="980" t="n"/>
      <c r="H117" s="981" t="n"/>
      <c r="I117" s="973" t="n"/>
      <c r="J117" s="973" t="n"/>
      <c r="K117" s="35">
        <f>IFERROR(I117+J117,0)</f>
        <v/>
      </c>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IF(C118="","",ROW()-2)</f>
        <v/>
      </c>
      <c r="B118" s="977" t="n"/>
      <c r="C118" s="977" t="n"/>
      <c r="D118" s="978" t="n"/>
      <c r="E118" s="979" t="n"/>
      <c r="F118" s="980" t="n"/>
      <c r="G118" s="980" t="n"/>
      <c r="H118" s="981" t="n"/>
      <c r="I118" s="973" t="n"/>
      <c r="J118" s="973" t="n"/>
      <c r="K118" s="35">
        <f>IFERROR(I118+J118,0)</f>
        <v/>
      </c>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IF(C119="","",ROW()-2)</f>
        <v/>
      </c>
      <c r="B119" s="977" t="n"/>
      <c r="C119" s="977" t="n"/>
      <c r="D119" s="978" t="n"/>
      <c r="E119" s="979" t="n"/>
      <c r="F119" s="980" t="n"/>
      <c r="G119" s="980" t="n"/>
      <c r="H119" s="981" t="n"/>
      <c r="I119" s="973" t="n"/>
      <c r="J119" s="973" t="n"/>
      <c r="K119" s="35">
        <f>IFERROR(I119+J119,0)</f>
        <v/>
      </c>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IF(C120="","",ROW()-2)</f>
        <v/>
      </c>
      <c r="B120" s="977" t="n"/>
      <c r="C120" s="977" t="n"/>
      <c r="D120" s="978" t="n"/>
      <c r="E120" s="979" t="n"/>
      <c r="F120" s="980" t="n"/>
      <c r="G120" s="980" t="n"/>
      <c r="H120" s="981" t="n"/>
      <c r="I120" s="973" t="n"/>
      <c r="J120" s="973" t="n"/>
      <c r="K120" s="35">
        <f>IFERROR(I120+J120,0)</f>
        <v/>
      </c>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IF(C121="","",ROW()-2)</f>
        <v/>
      </c>
      <c r="B121" s="977" t="n"/>
      <c r="C121" s="977" t="n"/>
      <c r="D121" s="978" t="n"/>
      <c r="E121" s="979" t="n"/>
      <c r="F121" s="980" t="n"/>
      <c r="G121" s="980" t="n"/>
      <c r="H121" s="981" t="n"/>
      <c r="I121" s="973" t="n"/>
      <c r="J121" s="973" t="n"/>
      <c r="K121" s="35">
        <f>IFERROR(I121+J121,0)</f>
        <v/>
      </c>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IF(C122="","",ROW()-2)</f>
        <v/>
      </c>
      <c r="B122" s="977" t="n"/>
      <c r="C122" s="977" t="n"/>
      <c r="D122" s="978" t="n"/>
      <c r="E122" s="979" t="n"/>
      <c r="F122" s="980" t="n"/>
      <c r="G122" s="980" t="n"/>
      <c r="H122" s="981" t="n"/>
      <c r="I122" s="973" t="n"/>
      <c r="J122" s="973" t="n"/>
      <c r="K122" s="35">
        <f>IFERROR(I122+J122,0)</f>
        <v/>
      </c>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IF(C123="","",ROW()-2)</f>
        <v/>
      </c>
      <c r="B123" s="977" t="n"/>
      <c r="C123" s="977" t="n"/>
      <c r="D123" s="978" t="n"/>
      <c r="E123" s="979" t="n"/>
      <c r="F123" s="980" t="n"/>
      <c r="G123" s="980" t="n"/>
      <c r="H123" s="981" t="n"/>
      <c r="I123" s="973" t="n"/>
      <c r="J123" s="973" t="n"/>
      <c r="K123" s="35">
        <f>IFERROR(I123+J123,0)</f>
        <v/>
      </c>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IF(C124="","",ROW()-2)</f>
        <v/>
      </c>
      <c r="B124" s="977" t="n"/>
      <c r="C124" s="977" t="n"/>
      <c r="D124" s="978" t="n"/>
      <c r="E124" s="979" t="n"/>
      <c r="F124" s="980" t="n"/>
      <c r="G124" s="980" t="n"/>
      <c r="H124" s="981" t="n"/>
      <c r="I124" s="973" t="n"/>
      <c r="J124" s="973" t="n"/>
      <c r="K124" s="35">
        <f>IFERROR(I124+J124,0)</f>
        <v/>
      </c>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IF(C125="","",ROW()-2)</f>
        <v/>
      </c>
      <c r="B125" s="977" t="n"/>
      <c r="C125" s="977" t="n"/>
      <c r="D125" s="978" t="n"/>
      <c r="E125" s="979" t="n"/>
      <c r="F125" s="980" t="n"/>
      <c r="G125" s="980" t="n"/>
      <c r="H125" s="981" t="n"/>
      <c r="I125" s="973" t="n"/>
      <c r="J125" s="973" t="n"/>
      <c r="K125" s="35">
        <f>IFERROR(I125+J125,0)</f>
        <v/>
      </c>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IF(C126="","",ROW()-2)</f>
        <v/>
      </c>
      <c r="B126" s="977" t="n"/>
      <c r="C126" s="977" t="n"/>
      <c r="D126" s="978" t="n"/>
      <c r="E126" s="979" t="n"/>
      <c r="F126" s="980" t="n"/>
      <c r="G126" s="980" t="n"/>
      <c r="H126" s="981" t="n"/>
      <c r="I126" s="973" t="n"/>
      <c r="J126" s="973" t="n"/>
      <c r="K126" s="35">
        <f>IFERROR(I126+J126,0)</f>
        <v/>
      </c>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IF(C127="","",ROW()-2)</f>
        <v/>
      </c>
      <c r="B127" s="977" t="n"/>
      <c r="C127" s="977" t="n"/>
      <c r="D127" s="978" t="n"/>
      <c r="E127" s="979" t="n"/>
      <c r="F127" s="980" t="n"/>
      <c r="G127" s="980" t="n"/>
      <c r="H127" s="981" t="n"/>
      <c r="I127" s="973" t="n"/>
      <c r="J127" s="973" t="n"/>
      <c r="K127" s="35">
        <f>IFERROR(I127+J127,0)</f>
        <v/>
      </c>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IF(C128="","",ROW()-2)</f>
        <v/>
      </c>
      <c r="B128" s="977" t="n"/>
      <c r="C128" s="977" t="n"/>
      <c r="D128" s="978" t="n"/>
      <c r="E128" s="979" t="n"/>
      <c r="F128" s="980" t="n"/>
      <c r="G128" s="980" t="n"/>
      <c r="H128" s="981" t="n"/>
      <c r="I128" s="973" t="n"/>
      <c r="J128" s="973" t="n"/>
      <c r="K128" s="35">
        <f>IFERROR(I128+J128,0)</f>
        <v/>
      </c>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IF(C129="","",ROW()-2)</f>
        <v/>
      </c>
      <c r="B129" s="977" t="n"/>
      <c r="C129" s="977" t="n"/>
      <c r="D129" s="978" t="n"/>
      <c r="E129" s="979" t="n"/>
      <c r="F129" s="980" t="n"/>
      <c r="G129" s="980" t="n"/>
      <c r="H129" s="981" t="n"/>
      <c r="I129" s="973" t="n"/>
      <c r="J129" s="973" t="n"/>
      <c r="K129" s="35">
        <f>IFERROR(I129+J129,0)</f>
        <v/>
      </c>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IF(C130="","",ROW()-2)</f>
        <v/>
      </c>
      <c r="B130" s="977" t="n"/>
      <c r="C130" s="977" t="n"/>
      <c r="D130" s="978" t="n"/>
      <c r="E130" s="979" t="n"/>
      <c r="F130" s="980" t="n"/>
      <c r="G130" s="980" t="n"/>
      <c r="H130" s="981" t="n"/>
      <c r="I130" s="973" t="n"/>
      <c r="J130" s="973" t="n"/>
      <c r="K130" s="35">
        <f>IFERROR(I130+J130,0)</f>
        <v/>
      </c>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IF(C131="","",ROW()-2)</f>
        <v/>
      </c>
      <c r="B131" s="977" t="n"/>
      <c r="C131" s="977" t="n"/>
      <c r="D131" s="978" t="n"/>
      <c r="E131" s="979" t="n"/>
      <c r="F131" s="980" t="n"/>
      <c r="G131" s="980" t="n"/>
      <c r="H131" s="981" t="n"/>
      <c r="I131" s="973" t="n"/>
      <c r="J131" s="973" t="n"/>
      <c r="K131" s="35">
        <f>IFERROR(I131+J131,0)</f>
        <v/>
      </c>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IF(C132="","",ROW()-2)</f>
        <v/>
      </c>
      <c r="B132" s="977" t="n"/>
      <c r="C132" s="977" t="n"/>
      <c r="D132" s="978" t="n"/>
      <c r="E132" s="979" t="n"/>
      <c r="F132" s="980" t="n"/>
      <c r="G132" s="980" t="n"/>
      <c r="H132" s="981" t="n"/>
      <c r="I132" s="973" t="n"/>
      <c r="J132" s="973" t="n"/>
      <c r="K132" s="35">
        <f>IFERROR(I132+J132,0)</f>
        <v/>
      </c>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IF(C133="","",ROW()-2)</f>
        <v/>
      </c>
      <c r="B133" s="977" t="n"/>
      <c r="C133" s="977" t="n"/>
      <c r="D133" s="978" t="n"/>
      <c r="E133" s="979" t="n"/>
      <c r="F133" s="980" t="n"/>
      <c r="G133" s="980" t="n"/>
      <c r="H133" s="981" t="n"/>
      <c r="I133" s="973" t="n"/>
      <c r="J133" s="973" t="n"/>
      <c r="K133" s="35">
        <f>IFERROR(I133+J133,0)</f>
        <v/>
      </c>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IF(C134="","",ROW()-2)</f>
        <v/>
      </c>
      <c r="B134" s="977" t="n"/>
      <c r="C134" s="977" t="n"/>
      <c r="D134" s="978" t="n"/>
      <c r="E134" s="979" t="n"/>
      <c r="F134" s="980" t="n"/>
      <c r="G134" s="980" t="n"/>
      <c r="H134" s="981" t="n"/>
      <c r="I134" s="973" t="n"/>
      <c r="J134" s="973" t="n"/>
      <c r="K134" s="35">
        <f>IFERROR(I134+J134,0)</f>
        <v/>
      </c>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IF(C135="","",ROW()-2)</f>
        <v/>
      </c>
      <c r="B135" s="977" t="n"/>
      <c r="C135" s="977" t="n"/>
      <c r="D135" s="978" t="n"/>
      <c r="E135" s="979" t="n"/>
      <c r="F135" s="980" t="n"/>
      <c r="G135" s="980" t="n"/>
      <c r="H135" s="981" t="n"/>
      <c r="I135" s="973" t="n"/>
      <c r="J135" s="973" t="n"/>
      <c r="K135" s="35">
        <f>IFERROR(I135+J135,0)</f>
        <v/>
      </c>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IF(C136="","",ROW()-2)</f>
        <v/>
      </c>
      <c r="B136" s="977" t="n"/>
      <c r="C136" s="977" t="n"/>
      <c r="D136" s="978" t="n"/>
      <c r="E136" s="979" t="n"/>
      <c r="F136" s="980" t="n"/>
      <c r="G136" s="980" t="n"/>
      <c r="H136" s="981" t="n"/>
      <c r="I136" s="973" t="n"/>
      <c r="J136" s="973" t="n"/>
      <c r="K136" s="35">
        <f>IFERROR(I136+J136,0)</f>
        <v/>
      </c>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IF(C137="","",ROW()-2)</f>
        <v/>
      </c>
      <c r="B137" s="977" t="n"/>
      <c r="C137" s="977" t="n"/>
      <c r="D137" s="978" t="n"/>
      <c r="E137" s="979" t="n"/>
      <c r="F137" s="980" t="n"/>
      <c r="G137" s="980" t="n"/>
      <c r="H137" s="981" t="n"/>
      <c r="I137" s="973" t="n"/>
      <c r="J137" s="973" t="n"/>
      <c r="K137" s="35">
        <f>IFERROR(I137+J137,0)</f>
        <v/>
      </c>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IF(C138="","",ROW()-2)</f>
        <v/>
      </c>
      <c r="B138" s="977" t="n"/>
      <c r="C138" s="977" t="n"/>
      <c r="D138" s="978" t="n"/>
      <c r="E138" s="979" t="n"/>
      <c r="F138" s="980" t="n"/>
      <c r="G138" s="980" t="n"/>
      <c r="H138" s="981" t="n"/>
      <c r="I138" s="973" t="n"/>
      <c r="J138" s="973" t="n"/>
      <c r="K138" s="35">
        <f>IFERROR(I138+J138,0)</f>
        <v/>
      </c>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IF(C139="","",ROW()-2)</f>
        <v/>
      </c>
      <c r="B139" s="977" t="n"/>
      <c r="C139" s="977" t="n"/>
      <c r="D139" s="978" t="n"/>
      <c r="E139" s="979" t="n"/>
      <c r="F139" s="980" t="n"/>
      <c r="G139" s="980" t="n"/>
      <c r="H139" s="981" t="n"/>
      <c r="I139" s="973" t="n"/>
      <c r="J139" s="973" t="n"/>
      <c r="K139" s="35">
        <f>IFERROR(I139+J139,0)</f>
        <v/>
      </c>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IF(C140="","",ROW()-2)</f>
        <v/>
      </c>
      <c r="B140" s="977" t="n"/>
      <c r="C140" s="977" t="n"/>
      <c r="D140" s="978" t="n"/>
      <c r="E140" s="979" t="n"/>
      <c r="F140" s="980" t="n"/>
      <c r="G140" s="980" t="n"/>
      <c r="H140" s="981" t="n"/>
      <c r="I140" s="973" t="n"/>
      <c r="J140" s="973" t="n"/>
      <c r="K140" s="35">
        <f>IFERROR(I140+J140,0)</f>
        <v/>
      </c>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IF(C141="","",ROW()-2)</f>
        <v/>
      </c>
      <c r="B141" s="977" t="n"/>
      <c r="C141" s="977" t="n"/>
      <c r="D141" s="978" t="n"/>
      <c r="E141" s="979" t="n"/>
      <c r="F141" s="980" t="n"/>
      <c r="G141" s="980" t="n"/>
      <c r="H141" s="981" t="n"/>
      <c r="I141" s="973" t="n"/>
      <c r="J141" s="973" t="n"/>
      <c r="K141" s="35">
        <f>IFERROR(I141+J141,0)</f>
        <v/>
      </c>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IF(C142="","",ROW()-2)</f>
        <v/>
      </c>
      <c r="B142" s="977" t="n"/>
      <c r="C142" s="977" t="n"/>
      <c r="D142" s="978" t="n"/>
      <c r="E142" s="979" t="n"/>
      <c r="F142" s="980" t="n"/>
      <c r="G142" s="980" t="n"/>
      <c r="H142" s="981" t="n"/>
      <c r="I142" s="973" t="n"/>
      <c r="J142" s="973" t="n"/>
      <c r="K142" s="35">
        <f>IFERROR(I142+J142,0)</f>
        <v/>
      </c>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IF(C143="","",ROW()-2)</f>
        <v/>
      </c>
      <c r="B143" s="977" t="n"/>
      <c r="C143" s="977" t="n"/>
      <c r="D143" s="978" t="n"/>
      <c r="E143" s="979" t="n"/>
      <c r="F143" s="980" t="n"/>
      <c r="G143" s="980" t="n"/>
      <c r="H143" s="981" t="n"/>
      <c r="I143" s="973" t="n"/>
      <c r="J143" s="973" t="n"/>
      <c r="K143" s="35">
        <f>IFERROR(I143+J143,0)</f>
        <v/>
      </c>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IF(C144="","",ROW()-2)</f>
        <v/>
      </c>
      <c r="B144" s="977" t="n"/>
      <c r="C144" s="977" t="n"/>
      <c r="D144" s="978" t="n"/>
      <c r="E144" s="979" t="n"/>
      <c r="F144" s="980" t="n"/>
      <c r="G144" s="980" t="n"/>
      <c r="H144" s="981" t="n"/>
      <c r="I144" s="973" t="n"/>
      <c r="J144" s="973" t="n"/>
      <c r="K144" s="35">
        <f>IFERROR(I144+J144,0)</f>
        <v/>
      </c>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IF(C145="","",ROW()-2)</f>
        <v/>
      </c>
      <c r="B145" s="977" t="n"/>
      <c r="C145" s="977" t="n"/>
      <c r="D145" s="978" t="n"/>
      <c r="E145" s="979" t="n"/>
      <c r="F145" s="980" t="n"/>
      <c r="G145" s="980" t="n"/>
      <c r="H145" s="981" t="n"/>
      <c r="I145" s="973" t="n"/>
      <c r="J145" s="973" t="n"/>
      <c r="K145" s="35">
        <f>IFERROR(I145+J145,0)</f>
        <v/>
      </c>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IF(C146="","",ROW()-2)</f>
        <v/>
      </c>
      <c r="B146" s="977" t="n"/>
      <c r="C146" s="977" t="n"/>
      <c r="D146" s="978" t="n"/>
      <c r="E146" s="979" t="n"/>
      <c r="F146" s="980" t="n"/>
      <c r="G146" s="980" t="n"/>
      <c r="H146" s="981" t="n"/>
      <c r="I146" s="973" t="n"/>
      <c r="J146" s="973" t="n"/>
      <c r="K146" s="35">
        <f>IFERROR(I146+J146,0)</f>
        <v/>
      </c>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IF(C147="","",ROW()-2)</f>
        <v/>
      </c>
      <c r="B147" s="977" t="n"/>
      <c r="C147" s="977" t="n"/>
      <c r="D147" s="978" t="n"/>
      <c r="E147" s="979" t="n"/>
      <c r="F147" s="980" t="n"/>
      <c r="G147" s="980" t="n"/>
      <c r="H147" s="981" t="n"/>
      <c r="I147" s="973" t="n"/>
      <c r="J147" s="973" t="n"/>
      <c r="K147" s="35">
        <f>IFERROR(I147+J147,0)</f>
        <v/>
      </c>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IF(C148="","",ROW()-2)</f>
        <v/>
      </c>
      <c r="B148" s="977" t="n"/>
      <c r="C148" s="977" t="n"/>
      <c r="D148" s="978" t="n"/>
      <c r="E148" s="979" t="n"/>
      <c r="F148" s="980" t="n"/>
      <c r="G148" s="980" t="n"/>
      <c r="H148" s="981" t="n"/>
      <c r="I148" s="973" t="n"/>
      <c r="J148" s="973" t="n"/>
      <c r="K148" s="35">
        <f>IFERROR(I148+J148,0)</f>
        <v/>
      </c>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IF(C149="","",ROW()-2)</f>
        <v/>
      </c>
      <c r="B149" s="977" t="n"/>
      <c r="C149" s="977" t="n"/>
      <c r="D149" s="978" t="n"/>
      <c r="E149" s="979" t="n"/>
      <c r="F149" s="980" t="n"/>
      <c r="G149" s="980" t="n"/>
      <c r="H149" s="981" t="n"/>
      <c r="I149" s="973" t="n"/>
      <c r="J149" s="973" t="n"/>
      <c r="K149" s="35">
        <f>IFERROR(I149+J149,0)</f>
        <v/>
      </c>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IF(C150="","",ROW()-2)</f>
        <v/>
      </c>
      <c r="B150" s="977" t="n"/>
      <c r="C150" s="977" t="n"/>
      <c r="D150" s="978" t="n"/>
      <c r="E150" s="979" t="n"/>
      <c r="F150" s="980" t="n"/>
      <c r="G150" s="980" t="n"/>
      <c r="H150" s="981" t="n"/>
      <c r="I150" s="973" t="n"/>
      <c r="J150" s="973" t="n"/>
      <c r="K150" s="35">
        <f>IFERROR(I150+J150,0)</f>
        <v/>
      </c>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985" t="n"/>
      <c r="B151" s="985" t="n"/>
      <c r="C151" s="985" t="n"/>
      <c r="D151" s="986" t="n"/>
      <c r="E151" s="987" t="n"/>
      <c r="F151" s="987" t="n"/>
      <c r="G151" s="987" t="n"/>
      <c r="H151" s="987" t="n"/>
      <c r="I151" s="988" t="n"/>
      <c r="J151" s="988" t="n"/>
      <c r="K151" s="988"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IF(C152="","",ROW()-2)</f>
        <v/>
      </c>
      <c r="B152" s="977" t="n"/>
      <c r="C152" s="977" t="n"/>
      <c r="D152" s="978" t="n"/>
      <c r="E152" s="979" t="n"/>
      <c r="F152" s="980" t="n"/>
      <c r="G152" s="980" t="n"/>
      <c r="H152" s="981" t="n"/>
      <c r="I152" s="973" t="n"/>
      <c r="J152" s="973" t="n"/>
      <c r="K152" s="35">
        <f>IFERROR(I152+J152,0)</f>
        <v/>
      </c>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IF(C153="","",ROW()-2)</f>
        <v/>
      </c>
      <c r="B153" s="977" t="n"/>
      <c r="C153" s="977" t="n"/>
      <c r="D153" s="978" t="n"/>
      <c r="E153" s="979" t="n"/>
      <c r="F153" s="980" t="n"/>
      <c r="G153" s="980" t="n"/>
      <c r="H153" s="981" t="n"/>
      <c r="I153" s="973" t="n"/>
      <c r="J153" s="973" t="n"/>
      <c r="K153" s="35">
        <f>IFERROR(I153+J153,0)</f>
        <v/>
      </c>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IF(C154="","",ROW()-2)</f>
        <v/>
      </c>
      <c r="B154" s="977" t="n"/>
      <c r="C154" s="977" t="n"/>
      <c r="D154" s="978" t="n"/>
      <c r="E154" s="979" t="n"/>
      <c r="F154" s="980" t="n"/>
      <c r="G154" s="980" t="n"/>
      <c r="H154" s="981" t="n"/>
      <c r="I154" s="973" t="n"/>
      <c r="J154" s="973" t="n"/>
      <c r="K154" s="35">
        <f>IFERROR(I154+J154,0)</f>
        <v/>
      </c>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IF(C155="","",ROW()-2)</f>
        <v/>
      </c>
      <c r="B155" s="977" t="n"/>
      <c r="C155" s="977" t="n"/>
      <c r="D155" s="978" t="n"/>
      <c r="E155" s="979" t="n"/>
      <c r="F155" s="980" t="n"/>
      <c r="G155" s="980" t="n"/>
      <c r="H155" s="981" t="n"/>
      <c r="I155" s="973" t="n"/>
      <c r="J155" s="973" t="n"/>
      <c r="K155" s="35">
        <f>IFERROR(I155+J155,0)</f>
        <v/>
      </c>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IF(C156="","",ROW()-2)</f>
        <v/>
      </c>
      <c r="B156" s="977" t="n"/>
      <c r="C156" s="977" t="n"/>
      <c r="D156" s="978" t="n"/>
      <c r="E156" s="979" t="n"/>
      <c r="F156" s="980" t="n"/>
      <c r="G156" s="980" t="n"/>
      <c r="H156" s="981" t="n"/>
      <c r="I156" s="973" t="n"/>
      <c r="J156" s="973" t="n"/>
      <c r="K156" s="35">
        <f>IFERROR(I156+J156,0)</f>
        <v/>
      </c>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IF(C157="","",ROW()-2)</f>
        <v/>
      </c>
      <c r="B157" s="977" t="n"/>
      <c r="C157" s="977" t="n"/>
      <c r="D157" s="978" t="n"/>
      <c r="E157" s="979" t="n"/>
      <c r="F157" s="980" t="n"/>
      <c r="G157" s="980" t="n"/>
      <c r="H157" s="981" t="n"/>
      <c r="I157" s="973" t="n"/>
      <c r="J157" s="973" t="n"/>
      <c r="K157" s="35">
        <f>IFERROR(I157+J157,0)</f>
        <v/>
      </c>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IF(C158="","",ROW()-2)</f>
        <v/>
      </c>
      <c r="B158" s="977" t="n"/>
      <c r="C158" s="977" t="n"/>
      <c r="D158" s="978" t="n"/>
      <c r="E158" s="979" t="n"/>
      <c r="F158" s="980" t="n"/>
      <c r="G158" s="980" t="n"/>
      <c r="H158" s="981" t="n"/>
      <c r="I158" s="973" t="n"/>
      <c r="J158" s="973" t="n"/>
      <c r="K158" s="35">
        <f>IFERROR(I158+J158,0)</f>
        <v/>
      </c>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IF(C159="","",ROW()-2)</f>
        <v/>
      </c>
      <c r="B159" s="977" t="n"/>
      <c r="C159" s="977" t="n"/>
      <c r="D159" s="978" t="n"/>
      <c r="E159" s="979" t="n"/>
      <c r="F159" s="980" t="n"/>
      <c r="G159" s="980" t="n"/>
      <c r="H159" s="981" t="n"/>
      <c r="I159" s="973" t="n"/>
      <c r="J159" s="973" t="n"/>
      <c r="K159" s="35">
        <f>IFERROR(I159+J159,0)</f>
        <v/>
      </c>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IF(C160="","",ROW()-2)</f>
        <v/>
      </c>
      <c r="B160" s="977" t="n"/>
      <c r="C160" s="977" t="n"/>
      <c r="D160" s="978" t="n"/>
      <c r="E160" s="979" t="n"/>
      <c r="F160" s="980" t="n"/>
      <c r="G160" s="980" t="n"/>
      <c r="H160" s="981" t="n"/>
      <c r="I160" s="973" t="n"/>
      <c r="J160" s="973" t="n"/>
      <c r="K160" s="35">
        <f>IFERROR(I160+J160,0)</f>
        <v/>
      </c>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IF(C161="","",ROW()-2)</f>
        <v/>
      </c>
      <c r="B161" s="977" t="n"/>
      <c r="C161" s="977" t="n"/>
      <c r="D161" s="978" t="n"/>
      <c r="E161" s="979" t="n"/>
      <c r="F161" s="980" t="n"/>
      <c r="G161" s="980" t="n"/>
      <c r="H161" s="981" t="n"/>
      <c r="I161" s="973" t="n"/>
      <c r="J161" s="973" t="n"/>
      <c r="K161" s="35">
        <f>IFERROR(I161+J161,0)</f>
        <v/>
      </c>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IF(C162="","",ROW()-2)</f>
        <v/>
      </c>
      <c r="B162" s="977" t="n"/>
      <c r="C162" s="977" t="n"/>
      <c r="D162" s="978" t="n"/>
      <c r="E162" s="979" t="n"/>
      <c r="F162" s="980" t="n"/>
      <c r="G162" s="980" t="n"/>
      <c r="H162" s="981" t="n"/>
      <c r="I162" s="973" t="n"/>
      <c r="J162" s="973" t="n"/>
      <c r="K162" s="35">
        <f>IFERROR(I162+J162,0)</f>
        <v/>
      </c>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IF(C163="","",ROW()-2)</f>
        <v/>
      </c>
      <c r="B163" s="977" t="n"/>
      <c r="C163" s="977" t="n"/>
      <c r="D163" s="978" t="n"/>
      <c r="E163" s="979" t="n"/>
      <c r="F163" s="980" t="n"/>
      <c r="G163" s="980" t="n"/>
      <c r="H163" s="981" t="n"/>
      <c r="I163" s="973" t="n"/>
      <c r="J163" s="973" t="n"/>
      <c r="K163" s="35">
        <f>IFERROR(I163+J163,0)</f>
        <v/>
      </c>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IF(C164="","",ROW()-2)</f>
        <v/>
      </c>
      <c r="B164" s="977" t="n"/>
      <c r="C164" s="977" t="n"/>
      <c r="D164" s="978" t="n"/>
      <c r="E164" s="979" t="n"/>
      <c r="F164" s="980" t="n"/>
      <c r="G164" s="980" t="n"/>
      <c r="H164" s="981" t="n"/>
      <c r="I164" s="973" t="n"/>
      <c r="J164" s="973" t="n"/>
      <c r="K164" s="35">
        <f>IFERROR(I164+J164,0)</f>
        <v/>
      </c>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IF(C165="","",ROW()-2)</f>
        <v/>
      </c>
      <c r="B165" s="977" t="n"/>
      <c r="C165" s="977" t="n"/>
      <c r="D165" s="978" t="n"/>
      <c r="E165" s="979" t="n"/>
      <c r="F165" s="980" t="n"/>
      <c r="G165" s="980" t="n"/>
      <c r="H165" s="981" t="n"/>
      <c r="I165" s="973" t="n"/>
      <c r="J165" s="973" t="n"/>
      <c r="K165" s="35">
        <f>IFERROR(I165+J165,0)</f>
        <v/>
      </c>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IF(C166="","",ROW()-2)</f>
        <v/>
      </c>
      <c r="B166" s="977" t="n"/>
      <c r="C166" s="977" t="n"/>
      <c r="D166" s="978" t="n"/>
      <c r="E166" s="979" t="n"/>
      <c r="F166" s="980" t="n"/>
      <c r="G166" s="980" t="n"/>
      <c r="H166" s="981" t="n"/>
      <c r="I166" s="973" t="n"/>
      <c r="J166" s="973" t="n"/>
      <c r="K166" s="35">
        <f>IFERROR(I166+J166,0)</f>
        <v/>
      </c>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IF(C167="","",ROW()-2)</f>
        <v/>
      </c>
      <c r="B167" s="977" t="n"/>
      <c r="C167" s="977" t="n"/>
      <c r="D167" s="978" t="n"/>
      <c r="E167" s="979" t="n"/>
      <c r="F167" s="980" t="n"/>
      <c r="G167" s="980" t="n"/>
      <c r="H167" s="981" t="n"/>
      <c r="I167" s="973" t="n"/>
      <c r="J167" s="973" t="n"/>
      <c r="K167" s="35">
        <f>IFERROR(I167+J167,0)</f>
        <v/>
      </c>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IF(C168="","",ROW()-2)</f>
        <v/>
      </c>
      <c r="B168" s="977" t="n"/>
      <c r="C168" s="977" t="n"/>
      <c r="D168" s="978" t="n"/>
      <c r="E168" s="979" t="n"/>
      <c r="F168" s="980" t="n"/>
      <c r="G168" s="980" t="n"/>
      <c r="H168" s="981" t="n"/>
      <c r="I168" s="973" t="n"/>
      <c r="J168" s="973" t="n"/>
      <c r="K168" s="35">
        <f>IFERROR(I168+J168,0)</f>
        <v/>
      </c>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IF(C169="","",ROW()-2)</f>
        <v/>
      </c>
      <c r="B169" s="977" t="n"/>
      <c r="C169" s="977" t="n"/>
      <c r="D169" s="978" t="n"/>
      <c r="E169" s="979" t="n"/>
      <c r="F169" s="980" t="n"/>
      <c r="G169" s="980" t="n"/>
      <c r="H169" s="981" t="n"/>
      <c r="I169" s="973" t="n"/>
      <c r="J169" s="973" t="n"/>
      <c r="K169" s="35">
        <f>IFERROR(I169+J169,0)</f>
        <v/>
      </c>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IF(C170="","",ROW()-2)</f>
        <v/>
      </c>
      <c r="B170" s="977" t="n"/>
      <c r="C170" s="977" t="n"/>
      <c r="D170" s="978" t="n"/>
      <c r="E170" s="979" t="n"/>
      <c r="F170" s="980" t="n"/>
      <c r="G170" s="980" t="n"/>
      <c r="H170" s="981" t="n"/>
      <c r="I170" s="973" t="n"/>
      <c r="J170" s="973" t="n"/>
      <c r="K170" s="35">
        <f>IFERROR(I170+J170,0)</f>
        <v/>
      </c>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IF(C171="","",ROW()-2)</f>
        <v/>
      </c>
      <c r="B171" s="977" t="n"/>
      <c r="C171" s="977" t="n"/>
      <c r="D171" s="978" t="n"/>
      <c r="E171" s="979" t="n"/>
      <c r="F171" s="980" t="n"/>
      <c r="G171" s="980" t="n"/>
      <c r="H171" s="981" t="n"/>
      <c r="I171" s="973" t="n"/>
      <c r="J171" s="973" t="n"/>
      <c r="K171" s="35">
        <f>IFERROR(I171+J171,0)</f>
        <v/>
      </c>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IF(C172="","",ROW()-2)</f>
        <v/>
      </c>
      <c r="B172" s="977" t="n"/>
      <c r="C172" s="977" t="n"/>
      <c r="D172" s="978" t="n"/>
      <c r="E172" s="979" t="n"/>
      <c r="F172" s="980" t="n"/>
      <c r="G172" s="980" t="n"/>
      <c r="H172" s="981" t="n"/>
      <c r="I172" s="973" t="n"/>
      <c r="J172" s="973" t="n"/>
      <c r="K172" s="35">
        <f>IFERROR(I172+J172,0)</f>
        <v/>
      </c>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IF(C173="","",ROW()-2)</f>
        <v/>
      </c>
      <c r="B173" s="977" t="n"/>
      <c r="C173" s="977" t="n"/>
      <c r="D173" s="978" t="n"/>
      <c r="E173" s="979" t="n"/>
      <c r="F173" s="980" t="n"/>
      <c r="G173" s="980" t="n"/>
      <c r="H173" s="981" t="n"/>
      <c r="I173" s="973" t="n"/>
      <c r="J173" s="973" t="n"/>
      <c r="K173" s="35">
        <f>IFERROR(I173+J173,0)</f>
        <v/>
      </c>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IF(C174="","",ROW()-2)</f>
        <v/>
      </c>
      <c r="B174" s="977" t="n"/>
      <c r="C174" s="977" t="n"/>
      <c r="D174" s="978" t="n"/>
      <c r="E174" s="979" t="n"/>
      <c r="F174" s="980" t="n"/>
      <c r="G174" s="980" t="n"/>
      <c r="H174" s="981" t="n"/>
      <c r="I174" s="973" t="n"/>
      <c r="J174" s="973" t="n"/>
      <c r="K174" s="35">
        <f>IFERROR(I174+J174,0)</f>
        <v/>
      </c>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IF(C175="","",ROW()-2)</f>
        <v/>
      </c>
      <c r="B175" s="977" t="n"/>
      <c r="C175" s="977" t="n"/>
      <c r="D175" s="978" t="n"/>
      <c r="E175" s="979" t="n"/>
      <c r="F175" s="980" t="n"/>
      <c r="G175" s="980" t="n"/>
      <c r="H175" s="981" t="n"/>
      <c r="I175" s="973" t="n"/>
      <c r="J175" s="973" t="n"/>
      <c r="K175" s="35">
        <f>IFERROR(I175+J175,0)</f>
        <v/>
      </c>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IF(C176="","",ROW()-2)</f>
        <v/>
      </c>
      <c r="B176" s="977" t="n"/>
      <c r="C176" s="977" t="n"/>
      <c r="D176" s="978" t="n"/>
      <c r="E176" s="979" t="n"/>
      <c r="F176" s="980" t="n"/>
      <c r="G176" s="980" t="n"/>
      <c r="H176" s="981" t="n"/>
      <c r="I176" s="973" t="n"/>
      <c r="J176" s="973" t="n"/>
      <c r="K176" s="35">
        <f>IFERROR(I176+J176,0)</f>
        <v/>
      </c>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IF(C177="","",ROW()-2)</f>
        <v/>
      </c>
      <c r="B177" s="977" t="n"/>
      <c r="C177" s="977" t="n"/>
      <c r="D177" s="978" t="n"/>
      <c r="E177" s="979" t="n"/>
      <c r="F177" s="980" t="n"/>
      <c r="G177" s="980" t="n"/>
      <c r="H177" s="981" t="n"/>
      <c r="I177" s="973" t="n"/>
      <c r="J177" s="973" t="n"/>
      <c r="K177" s="35">
        <f>IFERROR(I177+J177,0)</f>
        <v/>
      </c>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IF(C178="","",ROW()-2)</f>
        <v/>
      </c>
      <c r="B178" s="977" t="n"/>
      <c r="C178" s="977" t="n"/>
      <c r="D178" s="978" t="n"/>
      <c r="E178" s="979" t="n"/>
      <c r="F178" s="980" t="n"/>
      <c r="G178" s="980" t="n"/>
      <c r="H178" s="981" t="n"/>
      <c r="I178" s="973" t="n"/>
      <c r="J178" s="973" t="n"/>
      <c r="K178" s="35">
        <f>IFERROR(I178+J178,0)</f>
        <v/>
      </c>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IF(C179="","",ROW()-2)</f>
        <v/>
      </c>
      <c r="B179" s="977" t="n"/>
      <c r="C179" s="977" t="n"/>
      <c r="D179" s="978" t="n"/>
      <c r="E179" s="979" t="n"/>
      <c r="F179" s="980" t="n"/>
      <c r="G179" s="980" t="n"/>
      <c r="H179" s="981" t="n"/>
      <c r="I179" s="973" t="n"/>
      <c r="J179" s="973" t="n"/>
      <c r="K179" s="35">
        <f>IFERROR(I179+J179,0)</f>
        <v/>
      </c>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IF(C180="","",ROW()-2)</f>
        <v/>
      </c>
      <c r="B180" s="977" t="n"/>
      <c r="C180" s="977" t="n"/>
      <c r="D180" s="978" t="n"/>
      <c r="E180" s="979" t="n"/>
      <c r="F180" s="980" t="n"/>
      <c r="G180" s="980" t="n"/>
      <c r="H180" s="981" t="n"/>
      <c r="I180" s="973" t="n"/>
      <c r="J180" s="973" t="n"/>
      <c r="K180" s="35">
        <f>IFERROR(I180+J180,0)</f>
        <v/>
      </c>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IF(C181="","",ROW()-2)</f>
        <v/>
      </c>
      <c r="B181" s="977" t="n"/>
      <c r="C181" s="977" t="n"/>
      <c r="D181" s="978" t="n"/>
      <c r="E181" s="979" t="n"/>
      <c r="F181" s="980" t="n"/>
      <c r="G181" s="980" t="n"/>
      <c r="H181" s="981" t="n"/>
      <c r="I181" s="973" t="n"/>
      <c r="J181" s="973" t="n"/>
      <c r="K181" s="35">
        <f>IFERROR(I181+J181,0)</f>
        <v/>
      </c>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IF(C182="","",ROW()-2)</f>
        <v/>
      </c>
      <c r="B182" s="977" t="n"/>
      <c r="C182" s="977" t="n"/>
      <c r="D182" s="978" t="n"/>
      <c r="E182" s="979" t="n"/>
      <c r="F182" s="980" t="n"/>
      <c r="G182" s="980" t="n"/>
      <c r="H182" s="981" t="n"/>
      <c r="I182" s="973" t="n"/>
      <c r="J182" s="973" t="n"/>
      <c r="K182" s="35">
        <f>IFERROR(I182+J182,0)</f>
        <v/>
      </c>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IF(C183="","",ROW()-2)</f>
        <v/>
      </c>
      <c r="B183" s="977" t="n"/>
      <c r="C183" s="977" t="n"/>
      <c r="D183" s="978" t="n"/>
      <c r="E183" s="979" t="n"/>
      <c r="F183" s="980" t="n"/>
      <c r="G183" s="980" t="n"/>
      <c r="H183" s="981" t="n"/>
      <c r="I183" s="973" t="n"/>
      <c r="J183" s="973" t="n"/>
      <c r="K183" s="35">
        <f>IFERROR(I183+J183,0)</f>
        <v/>
      </c>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IF(C184="","",ROW()-2)</f>
        <v/>
      </c>
      <c r="B184" s="977" t="n"/>
      <c r="C184" s="977" t="n"/>
      <c r="D184" s="978" t="n"/>
      <c r="E184" s="979" t="n"/>
      <c r="F184" s="980" t="n"/>
      <c r="G184" s="980" t="n"/>
      <c r="H184" s="981" t="n"/>
      <c r="I184" s="973" t="n"/>
      <c r="J184" s="973" t="n"/>
      <c r="K184" s="35">
        <f>IFERROR(I184+J184,0)</f>
        <v/>
      </c>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IF(C185="","",ROW()-2)</f>
        <v/>
      </c>
      <c r="B185" s="977" t="n"/>
      <c r="C185" s="977" t="n"/>
      <c r="D185" s="978" t="n"/>
      <c r="E185" s="979" t="n"/>
      <c r="F185" s="980" t="n"/>
      <c r="G185" s="980" t="n"/>
      <c r="H185" s="981" t="n"/>
      <c r="I185" s="973" t="n"/>
      <c r="J185" s="973" t="n"/>
      <c r="K185" s="35">
        <f>IFERROR(I185+J185,0)</f>
        <v/>
      </c>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IF(C186="","",ROW()-2)</f>
        <v/>
      </c>
      <c r="B186" s="977" t="n"/>
      <c r="C186" s="977" t="n"/>
      <c r="D186" s="978" t="n"/>
      <c r="E186" s="979" t="n"/>
      <c r="F186" s="980" t="n"/>
      <c r="G186" s="980" t="n"/>
      <c r="H186" s="981" t="n"/>
      <c r="I186" s="973" t="n"/>
      <c r="J186" s="973" t="n"/>
      <c r="K186" s="35">
        <f>IFERROR(I186+J186,0)</f>
        <v/>
      </c>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IF(C187="","",ROW()-2)</f>
        <v/>
      </c>
      <c r="B187" s="977" t="n"/>
      <c r="C187" s="977" t="n"/>
      <c r="D187" s="978" t="n"/>
      <c r="E187" s="979" t="n"/>
      <c r="F187" s="980" t="n"/>
      <c r="G187" s="980" t="n"/>
      <c r="H187" s="981" t="n"/>
      <c r="I187" s="973" t="n"/>
      <c r="J187" s="973" t="n"/>
      <c r="K187" s="35">
        <f>IFERROR(I187+J187,0)</f>
        <v/>
      </c>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IF(C188="","",ROW()-2)</f>
        <v/>
      </c>
      <c r="B188" s="977" t="n"/>
      <c r="C188" s="977" t="n"/>
      <c r="D188" s="978" t="n"/>
      <c r="E188" s="979" t="n"/>
      <c r="F188" s="980" t="n"/>
      <c r="G188" s="980" t="n"/>
      <c r="H188" s="981" t="n"/>
      <c r="I188" s="973" t="n"/>
      <c r="J188" s="973" t="n"/>
      <c r="K188" s="35">
        <f>IFERROR(I188+J188,0)</f>
        <v/>
      </c>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IF(C189="","",ROW()-2)</f>
        <v/>
      </c>
      <c r="B189" s="977" t="n"/>
      <c r="C189" s="977" t="n"/>
      <c r="D189" s="978" t="n"/>
      <c r="E189" s="979" t="n"/>
      <c r="F189" s="980" t="n"/>
      <c r="G189" s="980" t="n"/>
      <c r="H189" s="981" t="n"/>
      <c r="I189" s="973" t="n"/>
      <c r="J189" s="973" t="n"/>
      <c r="K189" s="35">
        <f>IFERROR(I189+J189,0)</f>
        <v/>
      </c>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IF(C190="","",ROW()-2)</f>
        <v/>
      </c>
      <c r="B190" s="977" t="n"/>
      <c r="C190" s="977" t="n"/>
      <c r="D190" s="978" t="n"/>
      <c r="E190" s="979" t="n"/>
      <c r="F190" s="980" t="n"/>
      <c r="G190" s="980" t="n"/>
      <c r="H190" s="981" t="n"/>
      <c r="I190" s="973" t="n"/>
      <c r="J190" s="973" t="n"/>
      <c r="K190" s="35">
        <f>IFERROR(I190+J190,0)</f>
        <v/>
      </c>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IF(C191="","",ROW()-2)</f>
        <v/>
      </c>
      <c r="B191" s="977" t="n"/>
      <c r="C191" s="977" t="n"/>
      <c r="D191" s="978" t="n"/>
      <c r="E191" s="979" t="n"/>
      <c r="F191" s="980" t="n"/>
      <c r="G191" s="980" t="n"/>
      <c r="H191" s="981" t="n"/>
      <c r="I191" s="973" t="n"/>
      <c r="J191" s="973" t="n"/>
      <c r="K191" s="35">
        <f>IFERROR(I191+J191,0)</f>
        <v/>
      </c>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IF(C192="","",ROW()-2)</f>
        <v/>
      </c>
      <c r="B192" s="977" t="n"/>
      <c r="C192" s="977" t="n"/>
      <c r="D192" s="978" t="n"/>
      <c r="E192" s="979" t="n"/>
      <c r="F192" s="980" t="n"/>
      <c r="G192" s="980" t="n"/>
      <c r="H192" s="981" t="n"/>
      <c r="I192" s="973" t="n"/>
      <c r="J192" s="973" t="n"/>
      <c r="K192" s="35">
        <f>IFERROR(I192+J192,0)</f>
        <v/>
      </c>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IF(C193="","",ROW()-2)</f>
        <v/>
      </c>
      <c r="B193" s="977" t="n"/>
      <c r="C193" s="977" t="n"/>
      <c r="D193" s="978" t="n"/>
      <c r="E193" s="979" t="n"/>
      <c r="F193" s="980" t="n"/>
      <c r="G193" s="980" t="n"/>
      <c r="H193" s="981" t="n"/>
      <c r="I193" s="973" t="n"/>
      <c r="J193" s="973" t="n"/>
      <c r="K193" s="35">
        <f>IFERROR(I193+J193,0)</f>
        <v/>
      </c>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IF(C194="","",ROW()-2)</f>
        <v/>
      </c>
      <c r="B194" s="977" t="n"/>
      <c r="C194" s="977" t="n"/>
      <c r="D194" s="978" t="n"/>
      <c r="E194" s="979" t="n"/>
      <c r="F194" s="980" t="n"/>
      <c r="G194" s="980" t="n"/>
      <c r="H194" s="981" t="n"/>
      <c r="I194" s="973" t="n"/>
      <c r="J194" s="973" t="n"/>
      <c r="K194" s="35">
        <f>IFERROR(I194+J194,0)</f>
        <v/>
      </c>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IF(C195="","",ROW()-2)</f>
        <v/>
      </c>
      <c r="B195" s="977" t="n"/>
      <c r="C195" s="977" t="n"/>
      <c r="D195" s="978" t="n"/>
      <c r="E195" s="979" t="n"/>
      <c r="F195" s="980" t="n"/>
      <c r="G195" s="980" t="n"/>
      <c r="H195" s="981" t="n"/>
      <c r="I195" s="973" t="n"/>
      <c r="J195" s="973" t="n"/>
      <c r="K195" s="35">
        <f>IFERROR(I195+J195,0)</f>
        <v/>
      </c>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IF(C196="","",ROW()-2)</f>
        <v/>
      </c>
      <c r="B196" s="977" t="n"/>
      <c r="C196" s="977" t="n"/>
      <c r="D196" s="978" t="n"/>
      <c r="E196" s="979" t="n"/>
      <c r="F196" s="980" t="n"/>
      <c r="G196" s="980" t="n"/>
      <c r="H196" s="981" t="n"/>
      <c r="I196" s="973" t="n"/>
      <c r="J196" s="973" t="n"/>
      <c r="K196" s="35">
        <f>IFERROR(I196+J196,0)</f>
        <v/>
      </c>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IF(C197="","",ROW()-2)</f>
        <v/>
      </c>
      <c r="B197" s="977" t="n"/>
      <c r="C197" s="977" t="n"/>
      <c r="D197" s="978" t="n"/>
      <c r="E197" s="979" t="n"/>
      <c r="F197" s="980" t="n"/>
      <c r="G197" s="980" t="n"/>
      <c r="H197" s="981" t="n"/>
      <c r="I197" s="973" t="n"/>
      <c r="J197" s="973" t="n"/>
      <c r="K197" s="35">
        <f>IFERROR(I197+J197,0)</f>
        <v/>
      </c>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IF(C198="","",ROW()-2)</f>
        <v/>
      </c>
      <c r="B198" s="977" t="n"/>
      <c r="C198" s="977" t="n"/>
      <c r="D198" s="978" t="n"/>
      <c r="E198" s="979" t="n"/>
      <c r="F198" s="980" t="n"/>
      <c r="G198" s="980" t="n"/>
      <c r="H198" s="981" t="n"/>
      <c r="I198" s="973" t="n"/>
      <c r="J198" s="973" t="n"/>
      <c r="K198" s="35">
        <f>IFERROR(I198+J198,0)</f>
        <v/>
      </c>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IF(C199="","",ROW()-2)</f>
        <v/>
      </c>
      <c r="B199" s="977" t="n"/>
      <c r="C199" s="977" t="n"/>
      <c r="D199" s="978" t="n"/>
      <c r="E199" s="979" t="n"/>
      <c r="F199" s="980" t="n"/>
      <c r="G199" s="980" t="n"/>
      <c r="H199" s="981" t="n"/>
      <c r="I199" s="973" t="n"/>
      <c r="J199" s="973" t="n"/>
      <c r="K199" s="35">
        <f>IFERROR(I199+J199,0)</f>
        <v/>
      </c>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IF(C200="","",ROW()-2)</f>
        <v/>
      </c>
      <c r="B200" s="977" t="n"/>
      <c r="C200" s="977" t="n"/>
      <c r="D200" s="978" t="n"/>
      <c r="E200" s="979" t="n"/>
      <c r="F200" s="980" t="n"/>
      <c r="G200" s="980" t="n"/>
      <c r="H200" s="981" t="n"/>
      <c r="I200" s="973" t="n"/>
      <c r="J200" s="973" t="n"/>
      <c r="K200" s="35">
        <f>IFERROR(I200+J200,0)</f>
        <v/>
      </c>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IF(C201="","",ROW()-2)</f>
        <v/>
      </c>
      <c r="B201" s="977" t="n"/>
      <c r="C201" s="977" t="n"/>
      <c r="D201" s="978" t="n"/>
      <c r="E201" s="979" t="n"/>
      <c r="F201" s="980" t="n"/>
      <c r="G201" s="980" t="n"/>
      <c r="H201" s="981" t="n"/>
      <c r="I201" s="973" t="n"/>
      <c r="J201" s="973" t="n"/>
      <c r="K201" s="35">
        <f>IFERROR(I201+J201,0)</f>
        <v/>
      </c>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IF(C202="","",ROW()-2)</f>
        <v/>
      </c>
      <c r="B202" s="977" t="n"/>
      <c r="C202" s="977" t="n"/>
      <c r="D202" s="978" t="n"/>
      <c r="E202" s="979" t="n"/>
      <c r="F202" s="980" t="n"/>
      <c r="G202" s="980" t="n"/>
      <c r="H202" s="981" t="n"/>
      <c r="I202" s="973" t="n"/>
      <c r="J202" s="973" t="n"/>
      <c r="K202" s="35">
        <f>IFERROR(I202+J202,0)</f>
        <v/>
      </c>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IF(C203="","",ROW()-2)</f>
        <v/>
      </c>
      <c r="B203" s="977" t="n"/>
      <c r="C203" s="977" t="n"/>
      <c r="D203" s="978" t="n"/>
      <c r="E203" s="979" t="n"/>
      <c r="F203" s="980" t="n"/>
      <c r="G203" s="980" t="n"/>
      <c r="H203" s="981" t="n"/>
      <c r="I203" s="973" t="n"/>
      <c r="J203" s="973" t="n"/>
      <c r="K203" s="35">
        <f>IFERROR(I203+J203,0)</f>
        <v/>
      </c>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IF(C204="","",ROW()-2)</f>
        <v/>
      </c>
      <c r="B204" s="977" t="n"/>
      <c r="C204" s="977" t="n"/>
      <c r="D204" s="978" t="n"/>
      <c r="E204" s="979" t="n"/>
      <c r="F204" s="980" t="n"/>
      <c r="G204" s="980" t="n"/>
      <c r="H204" s="981" t="n"/>
      <c r="I204" s="973" t="n"/>
      <c r="J204" s="973" t="n"/>
      <c r="K204" s="35">
        <f>IFERROR(I204+J204,0)</f>
        <v/>
      </c>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IF(C205="","",ROW()-2)</f>
        <v/>
      </c>
      <c r="B205" s="977" t="n"/>
      <c r="C205" s="977" t="n"/>
      <c r="D205" s="978" t="n"/>
      <c r="E205" s="979" t="n"/>
      <c r="F205" s="980" t="n"/>
      <c r="G205" s="980" t="n"/>
      <c r="H205" s="981" t="n"/>
      <c r="I205" s="973" t="n"/>
      <c r="J205" s="973" t="n"/>
      <c r="K205" s="35">
        <f>IFERROR(I205+J205,0)</f>
        <v/>
      </c>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IF(C206="","",ROW()-2)</f>
        <v/>
      </c>
      <c r="B206" s="977" t="n"/>
      <c r="C206" s="977" t="n"/>
      <c r="D206" s="978" t="n"/>
      <c r="E206" s="979" t="n"/>
      <c r="F206" s="980" t="n"/>
      <c r="G206" s="980" t="n"/>
      <c r="H206" s="981" t="n"/>
      <c r="I206" s="973" t="n"/>
      <c r="J206" s="973" t="n"/>
      <c r="K206" s="35">
        <f>IFERROR(I206+J206,0)</f>
        <v/>
      </c>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IF(C207="","",ROW()-2)</f>
        <v/>
      </c>
      <c r="B207" s="977" t="n"/>
      <c r="C207" s="977" t="n"/>
      <c r="D207" s="978" t="n"/>
      <c r="E207" s="979" t="n"/>
      <c r="F207" s="980" t="n"/>
      <c r="G207" s="980" t="n"/>
      <c r="H207" s="981" t="n"/>
      <c r="I207" s="973" t="n"/>
      <c r="J207" s="973" t="n"/>
      <c r="K207" s="35">
        <f>IFERROR(I207+J207,0)</f>
        <v/>
      </c>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IF(C208="","",ROW()-2)</f>
        <v/>
      </c>
      <c r="B208" s="977" t="n"/>
      <c r="C208" s="977" t="n"/>
      <c r="D208" s="978" t="n"/>
      <c r="E208" s="979" t="n"/>
      <c r="F208" s="980" t="n"/>
      <c r="G208" s="980" t="n"/>
      <c r="H208" s="981" t="n"/>
      <c r="I208" s="973" t="n"/>
      <c r="J208" s="973" t="n"/>
      <c r="K208" s="35">
        <f>IFERROR(I208+J208,0)</f>
        <v/>
      </c>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IF(C209="","",ROW()-2)</f>
        <v/>
      </c>
      <c r="B209" s="977" t="n"/>
      <c r="C209" s="977" t="n"/>
      <c r="D209" s="978" t="n"/>
      <c r="E209" s="979" t="n"/>
      <c r="F209" s="980" t="n"/>
      <c r="G209" s="980" t="n"/>
      <c r="H209" s="981" t="n"/>
      <c r="I209" s="973" t="n"/>
      <c r="J209" s="973" t="n"/>
      <c r="K209" s="35">
        <f>IFERROR(I209+J209,0)</f>
        <v/>
      </c>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IF(C210="","",ROW()-2)</f>
        <v/>
      </c>
      <c r="B210" s="977" t="n"/>
      <c r="C210" s="977" t="n"/>
      <c r="D210" s="978" t="n"/>
      <c r="E210" s="979" t="n"/>
      <c r="F210" s="980" t="n"/>
      <c r="G210" s="980" t="n"/>
      <c r="H210" s="981" t="n"/>
      <c r="I210" s="973" t="n"/>
      <c r="J210" s="973" t="n"/>
      <c r="K210" s="35">
        <f>IFERROR(I210+J210,0)</f>
        <v/>
      </c>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IF(C211="","",ROW()-2)</f>
        <v/>
      </c>
      <c r="B211" s="977" t="n"/>
      <c r="C211" s="977" t="n"/>
      <c r="D211" s="978" t="n"/>
      <c r="E211" s="979" t="n"/>
      <c r="F211" s="980" t="n"/>
      <c r="G211" s="980" t="n"/>
      <c r="H211" s="981" t="n"/>
      <c r="I211" s="973" t="n"/>
      <c r="J211" s="973" t="n"/>
      <c r="K211" s="35">
        <f>IFERROR(I211+J211,0)</f>
        <v/>
      </c>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IF(C212="","",ROW()-2)</f>
        <v/>
      </c>
      <c r="B212" s="977" t="n"/>
      <c r="C212" s="977" t="n"/>
      <c r="D212" s="978" t="n"/>
      <c r="E212" s="979" t="n"/>
      <c r="F212" s="980" t="n"/>
      <c r="G212" s="980" t="n"/>
      <c r="H212" s="981" t="n"/>
      <c r="I212" s="973" t="n"/>
      <c r="J212" s="973" t="n"/>
      <c r="K212" s="35">
        <f>IFERROR(I212+J212,0)</f>
        <v/>
      </c>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IF(C213="","",ROW()-2)</f>
        <v/>
      </c>
      <c r="B213" s="977" t="n"/>
      <c r="C213" s="977" t="n"/>
      <c r="D213" s="978" t="n"/>
      <c r="E213" s="979" t="n"/>
      <c r="F213" s="980" t="n"/>
      <c r="G213" s="980" t="n"/>
      <c r="H213" s="981" t="n"/>
      <c r="I213" s="973" t="n"/>
      <c r="J213" s="973" t="n"/>
      <c r="K213" s="35">
        <f>IFERROR(I213+J213,0)</f>
        <v/>
      </c>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IF(C214="","",ROW()-2)</f>
        <v/>
      </c>
      <c r="B214" s="977" t="n"/>
      <c r="C214" s="977" t="n"/>
      <c r="D214" s="978" t="n"/>
      <c r="E214" s="979" t="n"/>
      <c r="F214" s="980" t="n"/>
      <c r="G214" s="980" t="n"/>
      <c r="H214" s="981" t="n"/>
      <c r="I214" s="973" t="n"/>
      <c r="J214" s="973" t="n"/>
      <c r="K214" s="35">
        <f>IFERROR(I214+J214,0)</f>
        <v/>
      </c>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IF(C215="","",ROW()-2)</f>
        <v/>
      </c>
      <c r="B215" s="977" t="n"/>
      <c r="C215" s="977" t="n"/>
      <c r="D215" s="978" t="n"/>
      <c r="E215" s="979" t="n"/>
      <c r="F215" s="980" t="n"/>
      <c r="G215" s="980" t="n"/>
      <c r="H215" s="981" t="n"/>
      <c r="I215" s="973" t="n"/>
      <c r="J215" s="973" t="n"/>
      <c r="K215" s="35">
        <f>IFERROR(I215+J215,0)</f>
        <v/>
      </c>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IF(C216="","",ROW()-2)</f>
        <v/>
      </c>
      <c r="B216" s="977" t="n"/>
      <c r="C216" s="977" t="n"/>
      <c r="D216" s="978" t="n"/>
      <c r="E216" s="979" t="n"/>
      <c r="F216" s="980" t="n"/>
      <c r="G216" s="980" t="n"/>
      <c r="H216" s="981" t="n"/>
      <c r="I216" s="973" t="n"/>
      <c r="J216" s="973" t="n"/>
      <c r="K216" s="35">
        <f>IFERROR(I216+J216,0)</f>
        <v/>
      </c>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IF(C217="","",ROW()-2)</f>
        <v/>
      </c>
      <c r="B217" s="977" t="n"/>
      <c r="C217" s="977" t="n"/>
      <c r="D217" s="978" t="n"/>
      <c r="E217" s="979" t="n"/>
      <c r="F217" s="980" t="n"/>
      <c r="G217" s="980" t="n"/>
      <c r="H217" s="981" t="n"/>
      <c r="I217" s="973" t="n"/>
      <c r="J217" s="973" t="n"/>
      <c r="K217" s="35">
        <f>IFERROR(I217+J217,0)</f>
        <v/>
      </c>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IF(C218="","",ROW()-2)</f>
        <v/>
      </c>
      <c r="B218" s="977" t="n"/>
      <c r="C218" s="977" t="n"/>
      <c r="D218" s="978" t="n"/>
      <c r="E218" s="979" t="n"/>
      <c r="F218" s="980" t="n"/>
      <c r="G218" s="980" t="n"/>
      <c r="H218" s="981" t="n"/>
      <c r="I218" s="973" t="n"/>
      <c r="J218" s="973" t="n"/>
      <c r="K218" s="35">
        <f>IFERROR(I218+J218,0)</f>
        <v/>
      </c>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IF(C219="","",ROW()-2)</f>
        <v/>
      </c>
      <c r="B219" s="977" t="n"/>
      <c r="C219" s="977" t="n"/>
      <c r="D219" s="978" t="n"/>
      <c r="E219" s="979" t="n"/>
      <c r="F219" s="980" t="n"/>
      <c r="G219" s="980" t="n"/>
      <c r="H219" s="981" t="n"/>
      <c r="I219" s="973" t="n"/>
      <c r="J219" s="973" t="n"/>
      <c r="K219" s="35">
        <f>IFERROR(I219+J219,0)</f>
        <v/>
      </c>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IF(C220="","",ROW()-2)</f>
        <v/>
      </c>
      <c r="B220" s="977" t="n"/>
      <c r="C220" s="977" t="n"/>
      <c r="D220" s="978" t="n"/>
      <c r="E220" s="979" t="n"/>
      <c r="F220" s="980" t="n"/>
      <c r="G220" s="980" t="n"/>
      <c r="H220" s="981" t="n"/>
      <c r="I220" s="973" t="n"/>
      <c r="J220" s="973" t="n"/>
      <c r="K220" s="35">
        <f>IFERROR(I220+J220,0)</f>
        <v/>
      </c>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IF(C221="","",ROW()-2)</f>
        <v/>
      </c>
      <c r="B221" s="977" t="n"/>
      <c r="C221" s="977" t="n"/>
      <c r="D221" s="978" t="n"/>
      <c r="E221" s="979" t="n"/>
      <c r="F221" s="980" t="n"/>
      <c r="G221" s="980" t="n"/>
      <c r="H221" s="981" t="n"/>
      <c r="I221" s="973" t="n"/>
      <c r="J221" s="973" t="n"/>
      <c r="K221" s="35">
        <f>IFERROR(I221+J221,0)</f>
        <v/>
      </c>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IF(C222="","",ROW()-2)</f>
        <v/>
      </c>
      <c r="B222" s="977" t="n"/>
      <c r="C222" s="977" t="n"/>
      <c r="D222" s="978" t="n"/>
      <c r="E222" s="979" t="n"/>
      <c r="F222" s="980" t="n"/>
      <c r="G222" s="980" t="n"/>
      <c r="H222" s="981" t="n"/>
      <c r="I222" s="973" t="n"/>
      <c r="J222" s="973" t="n"/>
      <c r="K222" s="35">
        <f>IFERROR(I222+J222,0)</f>
        <v/>
      </c>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IF(C223="","",ROW()-2)</f>
        <v/>
      </c>
      <c r="B223" s="977" t="n"/>
      <c r="C223" s="977" t="n"/>
      <c r="D223" s="978" t="n"/>
      <c r="E223" s="979" t="n"/>
      <c r="F223" s="980" t="n"/>
      <c r="G223" s="980" t="n"/>
      <c r="H223" s="981" t="n"/>
      <c r="I223" s="973" t="n"/>
      <c r="J223" s="973" t="n"/>
      <c r="K223" s="35">
        <f>IFERROR(I223+J223,0)</f>
        <v/>
      </c>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IF(C224="","",ROW()-2)</f>
        <v/>
      </c>
      <c r="B224" s="977" t="n"/>
      <c r="C224" s="977" t="n"/>
      <c r="D224" s="978" t="n"/>
      <c r="E224" s="979" t="n"/>
      <c r="F224" s="980" t="n"/>
      <c r="G224" s="980" t="n"/>
      <c r="H224" s="981" t="n"/>
      <c r="I224" s="973" t="n"/>
      <c r="J224" s="973" t="n"/>
      <c r="K224" s="35">
        <f>IFERROR(I224+J224,0)</f>
        <v/>
      </c>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IF(C225="","",ROW()-2)</f>
        <v/>
      </c>
      <c r="B225" s="977" t="n"/>
      <c r="C225" s="977" t="n"/>
      <c r="D225" s="978" t="n"/>
      <c r="E225" s="979" t="n"/>
      <c r="F225" s="980" t="n"/>
      <c r="G225" s="980" t="n"/>
      <c r="H225" s="981" t="n"/>
      <c r="I225" s="973" t="n"/>
      <c r="J225" s="973" t="n"/>
      <c r="K225" s="35">
        <f>IFERROR(I225+J225,0)</f>
        <v/>
      </c>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IF(C226="","",ROW()-2)</f>
        <v/>
      </c>
      <c r="B226" s="977" t="n"/>
      <c r="C226" s="977" t="n"/>
      <c r="D226" s="978" t="n"/>
      <c r="E226" s="979" t="n"/>
      <c r="F226" s="980" t="n"/>
      <c r="G226" s="980" t="n"/>
      <c r="H226" s="981" t="n"/>
      <c r="I226" s="973" t="n"/>
      <c r="J226" s="973" t="n"/>
      <c r="K226" s="35">
        <f>IFERROR(I226+J226,0)</f>
        <v/>
      </c>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IF(C227="","",ROW()-2)</f>
        <v/>
      </c>
      <c r="B227" s="977" t="n"/>
      <c r="C227" s="977" t="n"/>
      <c r="D227" s="978" t="n"/>
      <c r="E227" s="979" t="n"/>
      <c r="F227" s="980" t="n"/>
      <c r="G227" s="980" t="n"/>
      <c r="H227" s="981" t="n"/>
      <c r="I227" s="973" t="n"/>
      <c r="J227" s="973" t="n"/>
      <c r="K227" s="35">
        <f>IFERROR(I227+J227,0)</f>
        <v/>
      </c>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IF(C228="","",ROW()-2)</f>
        <v/>
      </c>
      <c r="B228" s="977" t="n"/>
      <c r="C228" s="977" t="n"/>
      <c r="D228" s="978" t="n"/>
      <c r="E228" s="979" t="n"/>
      <c r="F228" s="980" t="n"/>
      <c r="G228" s="980" t="n"/>
      <c r="H228" s="981" t="n"/>
      <c r="I228" s="973" t="n"/>
      <c r="J228" s="973" t="n"/>
      <c r="K228" s="35">
        <f>IFERROR(I228+J228,0)</f>
        <v/>
      </c>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IF(C229="","",ROW()-2)</f>
        <v/>
      </c>
      <c r="B229" s="977" t="n"/>
      <c r="C229" s="977" t="n"/>
      <c r="D229" s="978" t="n"/>
      <c r="E229" s="979" t="n"/>
      <c r="F229" s="980" t="n"/>
      <c r="G229" s="980" t="n"/>
      <c r="H229" s="981" t="n"/>
      <c r="I229" s="973" t="n"/>
      <c r="J229" s="973" t="n"/>
      <c r="K229" s="35">
        <f>IFERROR(I229+J229,0)</f>
        <v/>
      </c>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IF(C230="","",ROW()-2)</f>
        <v/>
      </c>
      <c r="B230" s="977" t="n"/>
      <c r="C230" s="977" t="n"/>
      <c r="D230" s="978" t="n"/>
      <c r="E230" s="979" t="n"/>
      <c r="F230" s="980" t="n"/>
      <c r="G230" s="980" t="n"/>
      <c r="H230" s="981" t="n"/>
      <c r="I230" s="973" t="n"/>
      <c r="J230" s="973" t="n"/>
      <c r="K230" s="35">
        <f>IFERROR(I230+J230,0)</f>
        <v/>
      </c>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IF(C231="","",ROW()-2)</f>
        <v/>
      </c>
      <c r="B231" s="977" t="n"/>
      <c r="C231" s="977" t="n"/>
      <c r="D231" s="978" t="n"/>
      <c r="E231" s="979" t="n"/>
      <c r="F231" s="980" t="n"/>
      <c r="G231" s="980" t="n"/>
      <c r="H231" s="981" t="n"/>
      <c r="I231" s="973" t="n"/>
      <c r="J231" s="973" t="n"/>
      <c r="K231" s="35">
        <f>IFERROR(I231+J231,0)</f>
        <v/>
      </c>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IF(C232="","",ROW()-2)</f>
        <v/>
      </c>
      <c r="B232" s="977" t="n"/>
      <c r="C232" s="977" t="n"/>
      <c r="D232" s="978" t="n"/>
      <c r="E232" s="979" t="n"/>
      <c r="F232" s="980" t="n"/>
      <c r="G232" s="980" t="n"/>
      <c r="H232" s="981" t="n"/>
      <c r="I232" s="973" t="n"/>
      <c r="J232" s="973" t="n"/>
      <c r="K232" s="35">
        <f>IFERROR(I232+J232,0)</f>
        <v/>
      </c>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IF(C233="","",ROW()-2)</f>
        <v/>
      </c>
      <c r="B233" s="977" t="n"/>
      <c r="C233" s="977" t="n"/>
      <c r="D233" s="978" t="n"/>
      <c r="E233" s="979" t="n"/>
      <c r="F233" s="980" t="n"/>
      <c r="G233" s="980" t="n"/>
      <c r="H233" s="981" t="n"/>
      <c r="I233" s="973" t="n"/>
      <c r="J233" s="973" t="n"/>
      <c r="K233" s="35">
        <f>IFERROR(I233+J233,0)</f>
        <v/>
      </c>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IF(C234="","",ROW()-2)</f>
        <v/>
      </c>
      <c r="B234" s="977" t="n"/>
      <c r="C234" s="977" t="n"/>
      <c r="D234" s="978" t="n"/>
      <c r="E234" s="979" t="n"/>
      <c r="F234" s="980" t="n"/>
      <c r="G234" s="980" t="n"/>
      <c r="H234" s="981" t="n"/>
      <c r="I234" s="973" t="n"/>
      <c r="J234" s="973" t="n"/>
      <c r="K234" s="35">
        <f>IFERROR(I234+J234,0)</f>
        <v/>
      </c>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IF(C235="","",ROW()-2)</f>
        <v/>
      </c>
      <c r="B235" s="977" t="n"/>
      <c r="C235" s="977" t="n"/>
      <c r="D235" s="978" t="n"/>
      <c r="E235" s="979" t="n"/>
      <c r="F235" s="980" t="n"/>
      <c r="G235" s="980" t="n"/>
      <c r="H235" s="981" t="n"/>
      <c r="I235" s="973" t="n"/>
      <c r="J235" s="973" t="n"/>
      <c r="K235" s="35">
        <f>IFERROR(I235+J235,0)</f>
        <v/>
      </c>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IF(C236="","",ROW()-2)</f>
        <v/>
      </c>
      <c r="B236" s="977" t="n"/>
      <c r="C236" s="977" t="n"/>
      <c r="D236" s="978" t="n"/>
      <c r="E236" s="979" t="n"/>
      <c r="F236" s="980" t="n"/>
      <c r="G236" s="980" t="n"/>
      <c r="H236" s="981" t="n"/>
      <c r="I236" s="973" t="n"/>
      <c r="J236" s="973" t="n"/>
      <c r="K236" s="35">
        <f>IFERROR(I236+J236,0)</f>
        <v/>
      </c>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IF(C237="","",ROW()-2)</f>
        <v/>
      </c>
      <c r="B237" s="977" t="n"/>
      <c r="C237" s="977" t="n"/>
      <c r="D237" s="978" t="n"/>
      <c r="E237" s="979" t="n"/>
      <c r="F237" s="980" t="n"/>
      <c r="G237" s="980" t="n"/>
      <c r="H237" s="981" t="n"/>
      <c r="I237" s="973" t="n"/>
      <c r="J237" s="973" t="n"/>
      <c r="K237" s="35">
        <f>IFERROR(I237+J237,0)</f>
        <v/>
      </c>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IF(C238="","",ROW()-2)</f>
        <v/>
      </c>
      <c r="B238" s="977" t="n"/>
      <c r="C238" s="977" t="n"/>
      <c r="D238" s="978" t="n"/>
      <c r="E238" s="979" t="n"/>
      <c r="F238" s="980" t="n"/>
      <c r="G238" s="980" t="n"/>
      <c r="H238" s="981" t="n"/>
      <c r="I238" s="973" t="n"/>
      <c r="J238" s="973" t="n"/>
      <c r="K238" s="35">
        <f>IFERROR(I238+J238,0)</f>
        <v/>
      </c>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IF(C239="","",ROW()-2)</f>
        <v/>
      </c>
      <c r="B239" s="977" t="n"/>
      <c r="C239" s="977" t="n"/>
      <c r="D239" s="978" t="n"/>
      <c r="E239" s="979" t="n"/>
      <c r="F239" s="980" t="n"/>
      <c r="G239" s="980" t="n"/>
      <c r="H239" s="981" t="n"/>
      <c r="I239" s="973" t="n"/>
      <c r="J239" s="973" t="n"/>
      <c r="K239" s="35">
        <f>IFERROR(I239+J239,0)</f>
        <v/>
      </c>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IF(C240="","",ROW()-2)</f>
        <v/>
      </c>
      <c r="B240" s="977" t="n"/>
      <c r="C240" s="977" t="n"/>
      <c r="D240" s="978" t="n"/>
      <c r="E240" s="979" t="n"/>
      <c r="F240" s="980" t="n"/>
      <c r="G240" s="980" t="n"/>
      <c r="H240" s="981" t="n"/>
      <c r="I240" s="973" t="n"/>
      <c r="J240" s="973" t="n"/>
      <c r="K240" s="35">
        <f>IFERROR(I240+J240,0)</f>
        <v/>
      </c>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IF(C241="","",ROW()-2)</f>
        <v/>
      </c>
      <c r="B241" s="977" t="n"/>
      <c r="C241" s="977" t="n"/>
      <c r="D241" s="978" t="n"/>
      <c r="E241" s="979" t="n"/>
      <c r="F241" s="980" t="n"/>
      <c r="G241" s="980" t="n"/>
      <c r="H241" s="981" t="n"/>
      <c r="I241" s="973" t="n"/>
      <c r="J241" s="973" t="n"/>
      <c r="K241" s="35">
        <f>IFERROR(I241+J241,0)</f>
        <v/>
      </c>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IF(C242="","",ROW()-2)</f>
        <v/>
      </c>
      <c r="B242" s="977" t="n"/>
      <c r="C242" s="977" t="n"/>
      <c r="D242" s="978" t="n"/>
      <c r="E242" s="979" t="n"/>
      <c r="F242" s="980" t="n"/>
      <c r="G242" s="980" t="n"/>
      <c r="H242" s="981" t="n"/>
      <c r="I242" s="973" t="n"/>
      <c r="J242" s="973" t="n"/>
      <c r="K242" s="35">
        <f>IFERROR(I242+J242,0)</f>
        <v/>
      </c>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IF(C243="","",ROW()-2)</f>
        <v/>
      </c>
      <c r="B243" s="977" t="n"/>
      <c r="C243" s="977" t="n"/>
      <c r="D243" s="978" t="n"/>
      <c r="E243" s="979" t="n"/>
      <c r="F243" s="980" t="n"/>
      <c r="G243" s="980" t="n"/>
      <c r="H243" s="981" t="n"/>
      <c r="I243" s="973" t="n"/>
      <c r="J243" s="973" t="n"/>
      <c r="K243" s="35">
        <f>IFERROR(I243+J243,0)</f>
        <v/>
      </c>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IF(C244="","",ROW()-2)</f>
        <v/>
      </c>
      <c r="B244" s="977" t="n"/>
      <c r="C244" s="977" t="n"/>
      <c r="D244" s="978" t="n"/>
      <c r="E244" s="979" t="n"/>
      <c r="F244" s="980" t="n"/>
      <c r="G244" s="980" t="n"/>
      <c r="H244" s="981" t="n"/>
      <c r="I244" s="973" t="n"/>
      <c r="J244" s="973" t="n"/>
      <c r="K244" s="35">
        <f>IFERROR(I244+J244,0)</f>
        <v/>
      </c>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IF(C245="","",ROW()-2)</f>
        <v/>
      </c>
      <c r="B245" s="977" t="n"/>
      <c r="C245" s="977" t="n"/>
      <c r="D245" s="978" t="n"/>
      <c r="E245" s="979" t="n"/>
      <c r="F245" s="980" t="n"/>
      <c r="G245" s="980" t="n"/>
      <c r="H245" s="981" t="n"/>
      <c r="I245" s="973" t="n"/>
      <c r="J245" s="973" t="n"/>
      <c r="K245" s="35">
        <f>IFERROR(I245+J245,0)</f>
        <v/>
      </c>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IF(C246="","",ROW()-2)</f>
        <v/>
      </c>
      <c r="B246" s="977" t="n"/>
      <c r="C246" s="977" t="n"/>
      <c r="D246" s="978" t="n"/>
      <c r="E246" s="979" t="n"/>
      <c r="F246" s="980" t="n"/>
      <c r="G246" s="980" t="n"/>
      <c r="H246" s="981" t="n"/>
      <c r="I246" s="973" t="n"/>
      <c r="J246" s="973" t="n"/>
      <c r="K246" s="35">
        <f>IFERROR(I246+J246,0)</f>
        <v/>
      </c>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IF(C247="","",ROW()-2)</f>
        <v/>
      </c>
      <c r="B247" s="977" t="n"/>
      <c r="C247" s="977" t="n"/>
      <c r="D247" s="978" t="n"/>
      <c r="E247" s="979" t="n"/>
      <c r="F247" s="980" t="n"/>
      <c r="G247" s="980" t="n"/>
      <c r="H247" s="981" t="n"/>
      <c r="I247" s="973" t="n"/>
      <c r="J247" s="973" t="n"/>
      <c r="K247" s="35">
        <f>IFERROR(I247+J247,0)</f>
        <v/>
      </c>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IF(C248="","",ROW()-2)</f>
        <v/>
      </c>
      <c r="B248" s="977" t="n"/>
      <c r="C248" s="977" t="n"/>
      <c r="D248" s="978" t="n"/>
      <c r="E248" s="979" t="n"/>
      <c r="F248" s="980" t="n"/>
      <c r="G248" s="980" t="n"/>
      <c r="H248" s="981" t="n"/>
      <c r="I248" s="973" t="n"/>
      <c r="J248" s="973" t="n"/>
      <c r="K248" s="35">
        <f>IFERROR(I248+J248,0)</f>
        <v/>
      </c>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IF(C249="","",ROW()-2)</f>
        <v/>
      </c>
      <c r="B249" s="977" t="n"/>
      <c r="C249" s="977" t="n"/>
      <c r="D249" s="978" t="n"/>
      <c r="E249" s="979" t="n"/>
      <c r="F249" s="980" t="n"/>
      <c r="G249" s="980" t="n"/>
      <c r="H249" s="981" t="n"/>
      <c r="I249" s="973" t="n"/>
      <c r="J249" s="973" t="n"/>
      <c r="K249" s="35">
        <f>IFERROR(I249+J249,0)</f>
        <v/>
      </c>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IF(C250="","",ROW()-2)</f>
        <v/>
      </c>
      <c r="B250" s="977" t="n"/>
      <c r="C250" s="977" t="n"/>
      <c r="D250" s="978" t="n"/>
      <c r="E250" s="979" t="n"/>
      <c r="F250" s="980" t="n"/>
      <c r="G250" s="980" t="n"/>
      <c r="H250" s="981" t="n"/>
      <c r="I250" s="973" t="n"/>
      <c r="J250" s="973" t="n"/>
      <c r="K250" s="35">
        <f>IFERROR(I250+J250,0)</f>
        <v/>
      </c>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IF(C251="","",ROW()-2)</f>
        <v/>
      </c>
      <c r="B251" s="977" t="n"/>
      <c r="C251" s="977" t="n"/>
      <c r="D251" s="978" t="n"/>
      <c r="E251" s="979" t="n"/>
      <c r="F251" s="980" t="n"/>
      <c r="G251" s="980" t="n"/>
      <c r="H251" s="981" t="n"/>
      <c r="I251" s="973" t="n"/>
      <c r="J251" s="973" t="n"/>
      <c r="K251" s="35">
        <f>IFERROR(I251+J251,0)</f>
        <v/>
      </c>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IF(C252="","",ROW()-2)</f>
        <v/>
      </c>
      <c r="B252" s="977" t="n"/>
      <c r="C252" s="977" t="n"/>
      <c r="D252" s="978" t="n"/>
      <c r="E252" s="979" t="n"/>
      <c r="F252" s="980" t="n"/>
      <c r="G252" s="980" t="n"/>
      <c r="H252" s="981" t="n"/>
      <c r="I252" s="973" t="n"/>
      <c r="J252" s="973" t="n"/>
      <c r="K252" s="35">
        <f>IFERROR(I252+J252,0)</f>
        <v/>
      </c>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IF(C253="","",ROW()-2)</f>
        <v/>
      </c>
      <c r="B253" s="977" t="n"/>
      <c r="C253" s="977" t="n"/>
      <c r="D253" s="978" t="n"/>
      <c r="E253" s="979" t="n"/>
      <c r="F253" s="980" t="n"/>
      <c r="G253" s="980" t="n"/>
      <c r="H253" s="981" t="n"/>
      <c r="I253" s="973" t="n"/>
      <c r="J253" s="973" t="n"/>
      <c r="K253" s="35">
        <f>IFERROR(I253+J253,0)</f>
        <v/>
      </c>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IF(C254="","",ROW()-2)</f>
        <v/>
      </c>
      <c r="B254" s="977" t="n"/>
      <c r="C254" s="977" t="n"/>
      <c r="D254" s="978" t="n"/>
      <c r="E254" s="979" t="n"/>
      <c r="F254" s="980" t="n"/>
      <c r="G254" s="980" t="n"/>
      <c r="H254" s="981" t="n"/>
      <c r="I254" s="973" t="n"/>
      <c r="J254" s="973" t="n"/>
      <c r="K254" s="35">
        <f>IFERROR(I254+J254,0)</f>
        <v/>
      </c>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IF(C255="","",ROW()-2)</f>
        <v/>
      </c>
      <c r="B255" s="977" t="n"/>
      <c r="C255" s="977" t="n"/>
      <c r="D255" s="978" t="n"/>
      <c r="E255" s="979" t="n"/>
      <c r="F255" s="980" t="n"/>
      <c r="G255" s="980" t="n"/>
      <c r="H255" s="981" t="n"/>
      <c r="I255" s="973" t="n"/>
      <c r="J255" s="973" t="n"/>
      <c r="K255" s="35">
        <f>IFERROR(I255+J255,0)</f>
        <v/>
      </c>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IF(C256="","",ROW()-2)</f>
        <v/>
      </c>
      <c r="B256" s="977" t="n"/>
      <c r="C256" s="977" t="n"/>
      <c r="D256" s="978" t="n"/>
      <c r="E256" s="979" t="n"/>
      <c r="F256" s="980" t="n"/>
      <c r="G256" s="980" t="n"/>
      <c r="H256" s="981" t="n"/>
      <c r="I256" s="973" t="n"/>
      <c r="J256" s="973" t="n"/>
      <c r="K256" s="35">
        <f>IFERROR(I256+J256,0)</f>
        <v/>
      </c>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IF(C257="","",ROW()-2)</f>
        <v/>
      </c>
      <c r="B257" s="977" t="n"/>
      <c r="C257" s="977" t="n"/>
      <c r="D257" s="978" t="n"/>
      <c r="E257" s="979" t="n"/>
      <c r="F257" s="980" t="n"/>
      <c r="G257" s="980" t="n"/>
      <c r="H257" s="981" t="n"/>
      <c r="I257" s="973" t="n"/>
      <c r="J257" s="973" t="n"/>
      <c r="K257" s="35">
        <f>IFERROR(I257+J257,0)</f>
        <v/>
      </c>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IF(C258="","",ROW()-2)</f>
        <v/>
      </c>
      <c r="B258" s="977" t="n"/>
      <c r="C258" s="977" t="n"/>
      <c r="D258" s="978" t="n"/>
      <c r="E258" s="979" t="n"/>
      <c r="F258" s="980" t="n"/>
      <c r="G258" s="980" t="n"/>
      <c r="H258" s="981" t="n"/>
      <c r="I258" s="973" t="n"/>
      <c r="J258" s="973" t="n"/>
      <c r="K258" s="35">
        <f>IFERROR(I258+J258,0)</f>
        <v/>
      </c>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IF(C259="","",ROW()-2)</f>
        <v/>
      </c>
      <c r="B259" s="977" t="n"/>
      <c r="C259" s="977" t="n"/>
      <c r="D259" s="978" t="n"/>
      <c r="E259" s="979" t="n"/>
      <c r="F259" s="980" t="n"/>
      <c r="G259" s="980" t="n"/>
      <c r="H259" s="981" t="n"/>
      <c r="I259" s="973" t="n"/>
      <c r="J259" s="973" t="n"/>
      <c r="K259" s="35">
        <f>IFERROR(I259+J259,0)</f>
        <v/>
      </c>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IF(C260="","",ROW()-2)</f>
        <v/>
      </c>
      <c r="B260" s="977" t="n"/>
      <c r="C260" s="977" t="n"/>
      <c r="D260" s="978" t="n"/>
      <c r="E260" s="979" t="n"/>
      <c r="F260" s="980" t="n"/>
      <c r="G260" s="980" t="n"/>
      <c r="H260" s="981" t="n"/>
      <c r="I260" s="973" t="n"/>
      <c r="J260" s="973" t="n"/>
      <c r="K260" s="35">
        <f>IFERROR(I260+J260,0)</f>
        <v/>
      </c>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IF(C261="","",ROW()-2)</f>
        <v/>
      </c>
      <c r="B261" s="977" t="n"/>
      <c r="C261" s="977" t="n"/>
      <c r="D261" s="978" t="n"/>
      <c r="E261" s="979" t="n"/>
      <c r="F261" s="980" t="n"/>
      <c r="G261" s="980" t="n"/>
      <c r="H261" s="981" t="n"/>
      <c r="I261" s="973" t="n"/>
      <c r="J261" s="973" t="n"/>
      <c r="K261" s="35">
        <f>IFERROR(I261+J261,0)</f>
        <v/>
      </c>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IF(C262="","",ROW()-2)</f>
        <v/>
      </c>
      <c r="B262" s="977" t="n"/>
      <c r="C262" s="977" t="n"/>
      <c r="D262" s="978" t="n"/>
      <c r="E262" s="979" t="n"/>
      <c r="F262" s="980" t="n"/>
      <c r="G262" s="980" t="n"/>
      <c r="H262" s="981" t="n"/>
      <c r="I262" s="973" t="n"/>
      <c r="J262" s="973" t="n"/>
      <c r="K262" s="35">
        <f>IFERROR(I262+J262,0)</f>
        <v/>
      </c>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IF(C263="","",ROW()-2)</f>
        <v/>
      </c>
      <c r="B263" s="977" t="n"/>
      <c r="C263" s="977" t="n"/>
      <c r="D263" s="978" t="n"/>
      <c r="E263" s="979" t="n"/>
      <c r="F263" s="980" t="n"/>
      <c r="G263" s="980" t="n"/>
      <c r="H263" s="981" t="n"/>
      <c r="I263" s="973" t="n"/>
      <c r="J263" s="973" t="n"/>
      <c r="K263" s="35">
        <f>IFERROR(I263+J263,0)</f>
        <v/>
      </c>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IF(C264="","",ROW()-2)</f>
        <v/>
      </c>
      <c r="B264" s="977" t="n"/>
      <c r="C264" s="977" t="n"/>
      <c r="D264" s="978" t="n"/>
      <c r="E264" s="979" t="n"/>
      <c r="F264" s="980" t="n"/>
      <c r="G264" s="980" t="n"/>
      <c r="H264" s="981" t="n"/>
      <c r="I264" s="973" t="n"/>
      <c r="J264" s="973" t="n"/>
      <c r="K264" s="35">
        <f>IFERROR(I264+J264,0)</f>
        <v/>
      </c>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IF(C265="","",ROW()-2)</f>
        <v/>
      </c>
      <c r="B265" s="977" t="n"/>
      <c r="C265" s="977" t="n"/>
      <c r="D265" s="978" t="n"/>
      <c r="E265" s="979" t="n"/>
      <c r="F265" s="980" t="n"/>
      <c r="G265" s="980" t="n"/>
      <c r="H265" s="981" t="n"/>
      <c r="I265" s="973" t="n"/>
      <c r="J265" s="973" t="n"/>
      <c r="K265" s="35">
        <f>IFERROR(I265+J265,0)</f>
        <v/>
      </c>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IF(C266="","",ROW()-2)</f>
        <v/>
      </c>
      <c r="B266" s="977" t="n"/>
      <c r="C266" s="977" t="n"/>
      <c r="D266" s="978" t="n"/>
      <c r="E266" s="979" t="n"/>
      <c r="F266" s="980" t="n"/>
      <c r="G266" s="980" t="n"/>
      <c r="H266" s="981" t="n"/>
      <c r="I266" s="973" t="n"/>
      <c r="J266" s="973" t="n"/>
      <c r="K266" s="35">
        <f>IFERROR(I266+J266,0)</f>
        <v/>
      </c>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IF(C267="","",ROW()-2)</f>
        <v/>
      </c>
      <c r="B267" s="977" t="n"/>
      <c r="C267" s="977" t="n"/>
      <c r="D267" s="978" t="n"/>
      <c r="E267" s="979" t="n"/>
      <c r="F267" s="980" t="n"/>
      <c r="G267" s="980" t="n"/>
      <c r="H267" s="981" t="n"/>
      <c r="I267" s="973" t="n"/>
      <c r="J267" s="973" t="n"/>
      <c r="K267" s="35">
        <f>IFERROR(I267+J267,0)</f>
        <v/>
      </c>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IF(C268="","",ROW()-2)</f>
        <v/>
      </c>
      <c r="B268" s="977" t="n"/>
      <c r="C268" s="977" t="n"/>
      <c r="D268" s="978" t="n"/>
      <c r="E268" s="979" t="n"/>
      <c r="F268" s="980" t="n"/>
      <c r="G268" s="980" t="n"/>
      <c r="H268" s="981" t="n"/>
      <c r="I268" s="973" t="n"/>
      <c r="J268" s="973" t="n"/>
      <c r="K268" s="35">
        <f>IFERROR(I268+J268,0)</f>
        <v/>
      </c>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IF(C269="","",ROW()-2)</f>
        <v/>
      </c>
      <c r="B269" s="977" t="n"/>
      <c r="C269" s="977" t="n"/>
      <c r="D269" s="978" t="n"/>
      <c r="E269" s="979" t="n"/>
      <c r="F269" s="980" t="n"/>
      <c r="G269" s="980" t="n"/>
      <c r="H269" s="981" t="n"/>
      <c r="I269" s="973" t="n"/>
      <c r="J269" s="973" t="n"/>
      <c r="K269" s="35">
        <f>IFERROR(I269+J269,0)</f>
        <v/>
      </c>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IF(C270="","",ROW()-2)</f>
        <v/>
      </c>
      <c r="B270" s="977" t="n"/>
      <c r="C270" s="977" t="n"/>
      <c r="D270" s="978" t="n"/>
      <c r="E270" s="979" t="n"/>
      <c r="F270" s="980" t="n"/>
      <c r="G270" s="980" t="n"/>
      <c r="H270" s="981" t="n"/>
      <c r="I270" s="973" t="n"/>
      <c r="J270" s="973" t="n"/>
      <c r="K270" s="35">
        <f>IFERROR(I270+J270,0)</f>
        <v/>
      </c>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IF(C271="","",ROW()-2)</f>
        <v/>
      </c>
      <c r="B271" s="977" t="n"/>
      <c r="C271" s="977" t="n"/>
      <c r="D271" s="978" t="n"/>
      <c r="E271" s="979" t="n"/>
      <c r="F271" s="980" t="n"/>
      <c r="G271" s="980" t="n"/>
      <c r="H271" s="981" t="n"/>
      <c r="I271" s="973" t="n"/>
      <c r="J271" s="973" t="n"/>
      <c r="K271" s="35">
        <f>IFERROR(I271+J271,0)</f>
        <v/>
      </c>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IF(C272="","",ROW()-2)</f>
        <v/>
      </c>
      <c r="B272" s="977" t="n"/>
      <c r="C272" s="977" t="n"/>
      <c r="D272" s="978" t="n"/>
      <c r="E272" s="979" t="n"/>
      <c r="F272" s="980" t="n"/>
      <c r="G272" s="980" t="n"/>
      <c r="H272" s="981" t="n"/>
      <c r="I272" s="973" t="n"/>
      <c r="J272" s="973" t="n"/>
      <c r="K272" s="35">
        <f>IFERROR(I272+J272,0)</f>
        <v/>
      </c>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IF(C273="","",ROW()-2)</f>
        <v/>
      </c>
      <c r="B273" s="977" t="n"/>
      <c r="C273" s="977" t="n"/>
      <c r="D273" s="978" t="n"/>
      <c r="E273" s="979" t="n"/>
      <c r="F273" s="980" t="n"/>
      <c r="G273" s="980" t="n"/>
      <c r="H273" s="981" t="n"/>
      <c r="I273" s="973" t="n"/>
      <c r="J273" s="973" t="n"/>
      <c r="K273" s="35">
        <f>IFERROR(I273+J273,0)</f>
        <v/>
      </c>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IF(C274="","",ROW()-2)</f>
        <v/>
      </c>
      <c r="B274" s="977" t="n"/>
      <c r="C274" s="977" t="n"/>
      <c r="D274" s="978" t="n"/>
      <c r="E274" s="979" t="n"/>
      <c r="F274" s="980" t="n"/>
      <c r="G274" s="980" t="n"/>
      <c r="H274" s="981" t="n"/>
      <c r="I274" s="973" t="n"/>
      <c r="J274" s="973" t="n"/>
      <c r="K274" s="35">
        <f>IFERROR(I274+J274,0)</f>
        <v/>
      </c>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IF(C275="","",ROW()-2)</f>
        <v/>
      </c>
      <c r="B275" s="977" t="n"/>
      <c r="C275" s="977" t="n"/>
      <c r="D275" s="978" t="n"/>
      <c r="E275" s="979" t="n"/>
      <c r="F275" s="980" t="n"/>
      <c r="G275" s="980" t="n"/>
      <c r="H275" s="981" t="n"/>
      <c r="I275" s="973" t="n"/>
      <c r="J275" s="973" t="n"/>
      <c r="K275" s="35">
        <f>IFERROR(I275+J275,0)</f>
        <v/>
      </c>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IF(C276="","",ROW()-2)</f>
        <v/>
      </c>
      <c r="B276" s="977" t="n"/>
      <c r="C276" s="977" t="n"/>
      <c r="D276" s="978" t="n"/>
      <c r="E276" s="979" t="n"/>
      <c r="F276" s="980" t="n"/>
      <c r="G276" s="980" t="n"/>
      <c r="H276" s="981" t="n"/>
      <c r="I276" s="973" t="n"/>
      <c r="J276" s="973" t="n"/>
      <c r="K276" s="35">
        <f>IFERROR(I276+J276,0)</f>
        <v/>
      </c>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IF(C277="","",ROW()-2)</f>
        <v/>
      </c>
      <c r="B277" s="977" t="n"/>
      <c r="C277" s="977" t="n"/>
      <c r="D277" s="978" t="n"/>
      <c r="E277" s="979" t="n"/>
      <c r="F277" s="980" t="n"/>
      <c r="G277" s="980" t="n"/>
      <c r="H277" s="981" t="n"/>
      <c r="I277" s="973" t="n"/>
      <c r="J277" s="973" t="n"/>
      <c r="K277" s="35">
        <f>IFERROR(I277+J277,0)</f>
        <v/>
      </c>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IF(C278="","",ROW()-2)</f>
        <v/>
      </c>
      <c r="B278" s="977" t="n"/>
      <c r="C278" s="977" t="n"/>
      <c r="D278" s="978" t="n"/>
      <c r="E278" s="979" t="n"/>
      <c r="F278" s="980" t="n"/>
      <c r="G278" s="980" t="n"/>
      <c r="H278" s="981" t="n"/>
      <c r="I278" s="973" t="n"/>
      <c r="J278" s="973" t="n"/>
      <c r="K278" s="35">
        <f>IFERROR(I278+J278,0)</f>
        <v/>
      </c>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IF(C279="","",ROW()-2)</f>
        <v/>
      </c>
      <c r="B279" s="977" t="n"/>
      <c r="C279" s="977" t="n"/>
      <c r="D279" s="978" t="n"/>
      <c r="E279" s="979" t="n"/>
      <c r="F279" s="980" t="n"/>
      <c r="G279" s="980" t="n"/>
      <c r="H279" s="981" t="n"/>
      <c r="I279" s="973" t="n"/>
      <c r="J279" s="973" t="n"/>
      <c r="K279" s="35">
        <f>IFERROR(I279+J279,0)</f>
        <v/>
      </c>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IF(C280="","",ROW()-2)</f>
        <v/>
      </c>
      <c r="B280" s="977" t="n"/>
      <c r="C280" s="977" t="n"/>
      <c r="D280" s="978" t="n"/>
      <c r="E280" s="979" t="n"/>
      <c r="F280" s="980" t="n"/>
      <c r="G280" s="980" t="n"/>
      <c r="H280" s="981" t="n"/>
      <c r="I280" s="973" t="n"/>
      <c r="J280" s="973" t="n"/>
      <c r="K280" s="35">
        <f>IFERROR(I280+J280,0)</f>
        <v/>
      </c>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IF(C281="","",ROW()-2)</f>
        <v/>
      </c>
      <c r="B281" s="977" t="n"/>
      <c r="C281" s="977" t="n"/>
      <c r="D281" s="978" t="n"/>
      <c r="E281" s="979" t="n"/>
      <c r="F281" s="980" t="n"/>
      <c r="G281" s="980" t="n"/>
      <c r="H281" s="981" t="n"/>
      <c r="I281" s="973" t="n"/>
      <c r="J281" s="973" t="n"/>
      <c r="K281" s="35">
        <f>IFERROR(I281+J281,0)</f>
        <v/>
      </c>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IF(C282="","",ROW()-2)</f>
        <v/>
      </c>
      <c r="B282" s="977" t="n"/>
      <c r="C282" s="977" t="n"/>
      <c r="D282" s="978" t="n"/>
      <c r="E282" s="979" t="n"/>
      <c r="F282" s="980" t="n"/>
      <c r="G282" s="980" t="n"/>
      <c r="H282" s="981" t="n"/>
      <c r="I282" s="973" t="n"/>
      <c r="J282" s="973" t="n"/>
      <c r="K282" s="35">
        <f>IFERROR(I282+J282,0)</f>
        <v/>
      </c>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IF(C283="","",ROW()-2)</f>
        <v/>
      </c>
      <c r="B283" s="977" t="n"/>
      <c r="C283" s="977" t="n"/>
      <c r="D283" s="978" t="n"/>
      <c r="E283" s="979" t="n"/>
      <c r="F283" s="980" t="n"/>
      <c r="G283" s="980" t="n"/>
      <c r="H283" s="981" t="n"/>
      <c r="I283" s="973" t="n"/>
      <c r="J283" s="973" t="n"/>
      <c r="K283" s="35">
        <f>IFERROR(I283+J283,0)</f>
        <v/>
      </c>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IF(C284="","",ROW()-2)</f>
        <v/>
      </c>
      <c r="B284" s="977" t="n"/>
      <c r="C284" s="977" t="n"/>
      <c r="D284" s="978" t="n"/>
      <c r="E284" s="979" t="n"/>
      <c r="F284" s="980" t="n"/>
      <c r="G284" s="980" t="n"/>
      <c r="H284" s="981" t="n"/>
      <c r="I284" s="973" t="n"/>
      <c r="J284" s="973" t="n"/>
      <c r="K284" s="35">
        <f>IFERROR(I284+J284,0)</f>
        <v/>
      </c>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IF(C285="","",ROW()-2)</f>
        <v/>
      </c>
      <c r="B285" s="977" t="n"/>
      <c r="C285" s="977" t="n"/>
      <c r="D285" s="978" t="n"/>
      <c r="E285" s="979" t="n"/>
      <c r="F285" s="980" t="n"/>
      <c r="G285" s="980" t="n"/>
      <c r="H285" s="981" t="n"/>
      <c r="I285" s="973" t="n"/>
      <c r="J285" s="973" t="n"/>
      <c r="K285" s="35">
        <f>IFERROR(I285+J285,0)</f>
        <v/>
      </c>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IF(C286="","",ROW()-2)</f>
        <v/>
      </c>
      <c r="B286" s="977" t="n"/>
      <c r="C286" s="977" t="n"/>
      <c r="D286" s="978" t="n"/>
      <c r="E286" s="979" t="n"/>
      <c r="F286" s="980" t="n"/>
      <c r="G286" s="980" t="n"/>
      <c r="H286" s="981" t="n"/>
      <c r="I286" s="973" t="n"/>
      <c r="J286" s="973" t="n"/>
      <c r="K286" s="35">
        <f>IFERROR(I286+J286,0)</f>
        <v/>
      </c>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IF(C287="","",ROW()-2)</f>
        <v/>
      </c>
      <c r="B287" s="977" t="n"/>
      <c r="C287" s="977" t="n"/>
      <c r="D287" s="978" t="n"/>
      <c r="E287" s="979" t="n"/>
      <c r="F287" s="980" t="n"/>
      <c r="G287" s="980" t="n"/>
      <c r="H287" s="981" t="n"/>
      <c r="I287" s="973" t="n"/>
      <c r="J287" s="973" t="n"/>
      <c r="K287" s="35">
        <f>IFERROR(I287+J287,0)</f>
        <v/>
      </c>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IF(C288="","",ROW()-2)</f>
        <v/>
      </c>
      <c r="B288" s="977" t="n"/>
      <c r="C288" s="977" t="n"/>
      <c r="D288" s="978" t="n"/>
      <c r="E288" s="979" t="n"/>
      <c r="F288" s="980" t="n"/>
      <c r="G288" s="980" t="n"/>
      <c r="H288" s="981" t="n"/>
      <c r="I288" s="973" t="n"/>
      <c r="J288" s="973" t="n"/>
      <c r="K288" s="35">
        <f>IFERROR(I288+J288,0)</f>
        <v/>
      </c>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IF(C289="","",ROW()-2)</f>
        <v/>
      </c>
      <c r="B289" s="977" t="n"/>
      <c r="C289" s="977" t="n"/>
      <c r="D289" s="978" t="n"/>
      <c r="E289" s="979" t="n"/>
      <c r="F289" s="980" t="n"/>
      <c r="G289" s="980" t="n"/>
      <c r="H289" s="981" t="n"/>
      <c r="I289" s="973" t="n"/>
      <c r="J289" s="973" t="n"/>
      <c r="K289" s="35">
        <f>IFERROR(I289+J289,0)</f>
        <v/>
      </c>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IF(C290="","",ROW()-2)</f>
        <v/>
      </c>
      <c r="B290" s="977" t="n"/>
      <c r="C290" s="977" t="n"/>
      <c r="D290" s="978" t="n"/>
      <c r="E290" s="979" t="n"/>
      <c r="F290" s="980" t="n"/>
      <c r="G290" s="980" t="n"/>
      <c r="H290" s="981" t="n"/>
      <c r="I290" s="973" t="n"/>
      <c r="J290" s="973" t="n"/>
      <c r="K290" s="35">
        <f>IFERROR(I290+J290,0)</f>
        <v/>
      </c>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IF(C291="","",ROW()-2)</f>
        <v/>
      </c>
      <c r="B291" s="977" t="n"/>
      <c r="C291" s="977" t="n"/>
      <c r="D291" s="978" t="n"/>
      <c r="E291" s="979" t="n"/>
      <c r="F291" s="980" t="n"/>
      <c r="G291" s="980" t="n"/>
      <c r="H291" s="981" t="n"/>
      <c r="I291" s="973" t="n"/>
      <c r="J291" s="973" t="n"/>
      <c r="K291" s="35">
        <f>IFERROR(I291+J291,0)</f>
        <v/>
      </c>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IF(C292="","",ROW()-2)</f>
        <v/>
      </c>
      <c r="B292" s="977" t="n"/>
      <c r="C292" s="977" t="n"/>
      <c r="D292" s="978" t="n"/>
      <c r="E292" s="979" t="n"/>
      <c r="F292" s="980" t="n"/>
      <c r="G292" s="980" t="n"/>
      <c r="H292" s="981" t="n"/>
      <c r="I292" s="973" t="n"/>
      <c r="J292" s="973" t="n"/>
      <c r="K292" s="35">
        <f>IFERROR(I292+J292,0)</f>
        <v/>
      </c>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IF(C293="","",ROW()-2)</f>
        <v/>
      </c>
      <c r="B293" s="977" t="n"/>
      <c r="C293" s="977" t="n"/>
      <c r="D293" s="978" t="n"/>
      <c r="E293" s="979" t="n"/>
      <c r="F293" s="980" t="n"/>
      <c r="G293" s="980" t="n"/>
      <c r="H293" s="981" t="n"/>
      <c r="I293" s="973" t="n"/>
      <c r="J293" s="973" t="n"/>
      <c r="K293" s="35">
        <f>IFERROR(I293+J293,0)</f>
        <v/>
      </c>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IF(C294="","",ROW()-2)</f>
        <v/>
      </c>
      <c r="B294" s="977" t="n"/>
      <c r="C294" s="977" t="n"/>
      <c r="D294" s="978" t="n"/>
      <c r="E294" s="979" t="n"/>
      <c r="F294" s="980" t="n"/>
      <c r="G294" s="980" t="n"/>
      <c r="H294" s="981" t="n"/>
      <c r="I294" s="973" t="n"/>
      <c r="J294" s="973" t="n"/>
      <c r="K294" s="35">
        <f>IFERROR(I294+J294,0)</f>
        <v/>
      </c>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IF(C295="","",ROW()-2)</f>
        <v/>
      </c>
      <c r="B295" s="977" t="n"/>
      <c r="C295" s="977" t="n"/>
      <c r="D295" s="978" t="n"/>
      <c r="E295" s="979" t="n"/>
      <c r="F295" s="980" t="n"/>
      <c r="G295" s="980" t="n"/>
      <c r="H295" s="981" t="n"/>
      <c r="I295" s="973" t="n"/>
      <c r="J295" s="973" t="n"/>
      <c r="K295" s="35">
        <f>IFERROR(I295+J295,0)</f>
        <v/>
      </c>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IF(C296="","",ROW()-2)</f>
        <v/>
      </c>
      <c r="B296" s="977" t="n"/>
      <c r="C296" s="977" t="n"/>
      <c r="D296" s="978" t="n"/>
      <c r="E296" s="979" t="n"/>
      <c r="F296" s="980" t="n"/>
      <c r="G296" s="980" t="n"/>
      <c r="H296" s="981" t="n"/>
      <c r="I296" s="973" t="n"/>
      <c r="J296" s="973" t="n"/>
      <c r="K296" s="35">
        <f>IFERROR(I296+J296,0)</f>
        <v/>
      </c>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IF(C297="","",ROW()-2)</f>
        <v/>
      </c>
      <c r="B297" s="977" t="n"/>
      <c r="C297" s="977" t="n"/>
      <c r="D297" s="978" t="n"/>
      <c r="E297" s="979" t="n"/>
      <c r="F297" s="980" t="n"/>
      <c r="G297" s="980" t="n"/>
      <c r="H297" s="981" t="n"/>
      <c r="I297" s="973" t="n"/>
      <c r="J297" s="973" t="n"/>
      <c r="K297" s="35">
        <f>IFERROR(I297+J297,0)</f>
        <v/>
      </c>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IF(C298="","",ROW()-2)</f>
        <v/>
      </c>
      <c r="B298" s="977" t="n"/>
      <c r="C298" s="977" t="n"/>
      <c r="D298" s="978" t="n"/>
      <c r="E298" s="979" t="n"/>
      <c r="F298" s="980" t="n"/>
      <c r="G298" s="980" t="n"/>
      <c r="H298" s="981" t="n"/>
      <c r="I298" s="973" t="n"/>
      <c r="J298" s="973" t="n"/>
      <c r="K298" s="35">
        <f>IFERROR(I298+J298,0)</f>
        <v/>
      </c>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IF(C299="","",ROW()-2)</f>
        <v/>
      </c>
      <c r="B299" s="977" t="n"/>
      <c r="C299" s="977" t="n"/>
      <c r="D299" s="978" t="n"/>
      <c r="E299" s="979" t="n"/>
      <c r="F299" s="980" t="n"/>
      <c r="G299" s="980" t="n"/>
      <c r="H299" s="981" t="n"/>
      <c r="I299" s="973" t="n"/>
      <c r="J299" s="973" t="n"/>
      <c r="K299" s="35">
        <f>IFERROR(I299+J299,0)</f>
        <v/>
      </c>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IF(C300="","",ROW()-2)</f>
        <v/>
      </c>
      <c r="B300" s="977" t="n"/>
      <c r="C300" s="977" t="n"/>
      <c r="D300" s="978" t="n"/>
      <c r="E300" s="979" t="n"/>
      <c r="F300" s="980" t="n"/>
      <c r="G300" s="980" t="n"/>
      <c r="H300" s="981" t="n"/>
      <c r="I300" s="973" t="n"/>
      <c r="J300" s="973" t="n"/>
      <c r="K300" s="35">
        <f>IFERROR(I300+J300,0)</f>
        <v/>
      </c>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IF(C301="","",ROW()-2)</f>
        <v/>
      </c>
      <c r="B301" s="977" t="n"/>
      <c r="C301" s="977" t="n"/>
      <c r="D301" s="978" t="n"/>
      <c r="E301" s="979" t="n"/>
      <c r="F301" s="980" t="n"/>
      <c r="G301" s="980" t="n"/>
      <c r="H301" s="981" t="n"/>
      <c r="I301" s="973" t="n"/>
      <c r="J301" s="973" t="n"/>
      <c r="K301" s="35">
        <f>IFERROR(I301+J301,0)</f>
        <v/>
      </c>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IF(C302="","",ROW()-2)</f>
        <v/>
      </c>
      <c r="B302" s="977" t="n"/>
      <c r="C302" s="977" t="n"/>
      <c r="D302" s="978" t="n"/>
      <c r="E302" s="979" t="n"/>
      <c r="F302" s="980" t="n"/>
      <c r="G302" s="980" t="n"/>
      <c r="H302" s="981" t="n"/>
      <c r="I302" s="973" t="n"/>
      <c r="J302" s="973" t="n"/>
      <c r="K302" s="35">
        <f>IFERROR(I302+J302,0)</f>
        <v/>
      </c>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IF(C303="","",ROW()-2)</f>
        <v/>
      </c>
      <c r="B303" s="977" t="n"/>
      <c r="C303" s="977" t="n"/>
      <c r="D303" s="978" t="n"/>
      <c r="E303" s="979" t="n"/>
      <c r="F303" s="980" t="n"/>
      <c r="G303" s="980" t="n"/>
      <c r="H303" s="981" t="n"/>
      <c r="I303" s="973" t="n"/>
      <c r="J303" s="973" t="n"/>
      <c r="K303" s="35">
        <f>IFERROR(I303+J303,0)</f>
        <v/>
      </c>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IF(C304="","",ROW()-2)</f>
        <v/>
      </c>
      <c r="B304" s="977" t="n"/>
      <c r="C304" s="977" t="n"/>
      <c r="D304" s="978" t="n"/>
      <c r="E304" s="979" t="n"/>
      <c r="F304" s="980" t="n"/>
      <c r="G304" s="980" t="n"/>
      <c r="H304" s="981" t="n"/>
      <c r="I304" s="973" t="n"/>
      <c r="J304" s="973" t="n"/>
      <c r="K304" s="35">
        <f>IFERROR(I304+J304,0)</f>
        <v/>
      </c>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IF(C305="","",ROW()-2)</f>
        <v/>
      </c>
      <c r="B305" s="977" t="n"/>
      <c r="C305" s="977" t="n"/>
      <c r="D305" s="978" t="n"/>
      <c r="E305" s="979" t="n"/>
      <c r="F305" s="980" t="n"/>
      <c r="G305" s="980" t="n"/>
      <c r="H305" s="981" t="n"/>
      <c r="I305" s="973" t="n"/>
      <c r="J305" s="973" t="n"/>
      <c r="K305" s="35">
        <f>IFERROR(I305+J305,0)</f>
        <v/>
      </c>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IF(C306="","",ROW()-2)</f>
        <v/>
      </c>
      <c r="B306" s="977" t="n"/>
      <c r="C306" s="977" t="n"/>
      <c r="D306" s="978" t="n"/>
      <c r="E306" s="979" t="n"/>
      <c r="F306" s="980" t="n"/>
      <c r="G306" s="980" t="n"/>
      <c r="H306" s="981" t="n"/>
      <c r="I306" s="973" t="n"/>
      <c r="J306" s="973" t="n"/>
      <c r="K306" s="35">
        <f>IFERROR(I306+J306,0)</f>
        <v/>
      </c>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IF(C307="","",ROW()-2)</f>
        <v/>
      </c>
      <c r="B307" s="977" t="n"/>
      <c r="C307" s="977" t="n"/>
      <c r="D307" s="978" t="n"/>
      <c r="E307" s="979" t="n"/>
      <c r="F307" s="980" t="n"/>
      <c r="G307" s="980" t="n"/>
      <c r="H307" s="981" t="n"/>
      <c r="I307" s="973" t="n"/>
      <c r="J307" s="973" t="n"/>
      <c r="K307" s="35">
        <f>IFERROR(I307+J307,0)</f>
        <v/>
      </c>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IF(C308="","",ROW()-2)</f>
        <v/>
      </c>
      <c r="B308" s="977" t="n"/>
      <c r="C308" s="977" t="n"/>
      <c r="D308" s="978" t="n"/>
      <c r="E308" s="979" t="n"/>
      <c r="F308" s="980" t="n"/>
      <c r="G308" s="980" t="n"/>
      <c r="H308" s="981" t="n"/>
      <c r="I308" s="973" t="n"/>
      <c r="J308" s="973" t="n"/>
      <c r="K308" s="35">
        <f>IFERROR(I308+J308,0)</f>
        <v/>
      </c>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IF(C309="","",ROW()-2)</f>
        <v/>
      </c>
      <c r="B309" s="977" t="n"/>
      <c r="C309" s="977" t="n"/>
      <c r="D309" s="978" t="n"/>
      <c r="E309" s="979" t="n"/>
      <c r="F309" s="980" t="n"/>
      <c r="G309" s="980" t="n"/>
      <c r="H309" s="981" t="n"/>
      <c r="I309" s="973" t="n"/>
      <c r="J309" s="973" t="n"/>
      <c r="K309" s="35">
        <f>IFERROR(I309+J309,0)</f>
        <v/>
      </c>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IF(C310="","",ROW()-2)</f>
        <v/>
      </c>
      <c r="B310" s="977" t="n"/>
      <c r="C310" s="977" t="n"/>
      <c r="D310" s="978" t="n"/>
      <c r="E310" s="979" t="n"/>
      <c r="F310" s="980" t="n"/>
      <c r="G310" s="980" t="n"/>
      <c r="H310" s="981" t="n"/>
      <c r="I310" s="973" t="n"/>
      <c r="J310" s="973" t="n"/>
      <c r="K310" s="35">
        <f>IFERROR(I310+J310,0)</f>
        <v/>
      </c>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IF(C311="","",ROW()-2)</f>
        <v/>
      </c>
      <c r="B311" s="977" t="n"/>
      <c r="C311" s="977" t="n"/>
      <c r="D311" s="978" t="n"/>
      <c r="E311" s="979" t="n"/>
      <c r="F311" s="980" t="n"/>
      <c r="G311" s="980" t="n"/>
      <c r="H311" s="981" t="n"/>
      <c r="I311" s="973" t="n"/>
      <c r="J311" s="973" t="n"/>
      <c r="K311" s="35">
        <f>IFERROR(I311+J311,0)</f>
        <v/>
      </c>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IF(C312="","",ROW()-2)</f>
        <v/>
      </c>
      <c r="B312" s="977" t="n"/>
      <c r="C312" s="977" t="n"/>
      <c r="D312" s="978" t="n"/>
      <c r="E312" s="979" t="n"/>
      <c r="F312" s="980" t="n"/>
      <c r="G312" s="980" t="n"/>
      <c r="H312" s="981" t="n"/>
      <c r="I312" s="973" t="n"/>
      <c r="J312" s="973" t="n"/>
      <c r="K312" s="35">
        <f>IFERROR(I312+J312,0)</f>
        <v/>
      </c>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IF(C313="","",ROW()-2)</f>
        <v/>
      </c>
      <c r="B313" s="977" t="n"/>
      <c r="C313" s="977" t="n"/>
      <c r="D313" s="978" t="n"/>
      <c r="E313" s="979" t="n"/>
      <c r="F313" s="980" t="n"/>
      <c r="G313" s="980" t="n"/>
      <c r="H313" s="981" t="n"/>
      <c r="I313" s="973" t="n"/>
      <c r="J313" s="973" t="n"/>
      <c r="K313" s="35">
        <f>IFERROR(I313+J313,0)</f>
        <v/>
      </c>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IF(C314="","",ROW()-2)</f>
        <v/>
      </c>
      <c r="B314" s="977" t="n"/>
      <c r="C314" s="977" t="n"/>
      <c r="D314" s="978" t="n"/>
      <c r="E314" s="979" t="n"/>
      <c r="F314" s="980" t="n"/>
      <c r="G314" s="980" t="n"/>
      <c r="H314" s="981" t="n"/>
      <c r="I314" s="973" t="n"/>
      <c r="J314" s="973" t="n"/>
      <c r="K314" s="35">
        <f>IFERROR(I314+J314,0)</f>
        <v/>
      </c>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IF(C315="","",ROW()-2)</f>
        <v/>
      </c>
      <c r="B315" s="977" t="n"/>
      <c r="C315" s="977" t="n"/>
      <c r="D315" s="978" t="n"/>
      <c r="E315" s="979" t="n"/>
      <c r="F315" s="980" t="n"/>
      <c r="G315" s="980" t="n"/>
      <c r="H315" s="981" t="n"/>
      <c r="I315" s="973" t="n"/>
      <c r="J315" s="973" t="n"/>
      <c r="K315" s="35">
        <f>IFERROR(I315+J315,0)</f>
        <v/>
      </c>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IF(C316="","",ROW()-2)</f>
        <v/>
      </c>
      <c r="B316" s="977" t="n"/>
      <c r="C316" s="977" t="n"/>
      <c r="D316" s="978" t="n"/>
      <c r="E316" s="979" t="n"/>
      <c r="F316" s="980" t="n"/>
      <c r="G316" s="980" t="n"/>
      <c r="H316" s="981" t="n"/>
      <c r="I316" s="973" t="n"/>
      <c r="J316" s="973" t="n"/>
      <c r="K316" s="35">
        <f>IFERROR(I316+J316,0)</f>
        <v/>
      </c>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IF(C317="","",ROW()-2)</f>
        <v/>
      </c>
      <c r="B317" s="977" t="n"/>
      <c r="C317" s="977" t="n"/>
      <c r="D317" s="978" t="n"/>
      <c r="E317" s="979" t="n"/>
      <c r="F317" s="980" t="n"/>
      <c r="G317" s="980" t="n"/>
      <c r="H317" s="981" t="n"/>
      <c r="I317" s="973" t="n"/>
      <c r="J317" s="973" t="n"/>
      <c r="K317" s="35">
        <f>IFERROR(I317+J317,0)</f>
        <v/>
      </c>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IF(C318="","",ROW()-2)</f>
        <v/>
      </c>
      <c r="B318" s="977" t="n"/>
      <c r="C318" s="977" t="n"/>
      <c r="D318" s="978" t="n"/>
      <c r="E318" s="979" t="n"/>
      <c r="F318" s="980" t="n"/>
      <c r="G318" s="980" t="n"/>
      <c r="H318" s="981" t="n"/>
      <c r="I318" s="973" t="n"/>
      <c r="J318" s="973" t="n"/>
      <c r="K318" s="35">
        <f>IFERROR(I318+J318,0)</f>
        <v/>
      </c>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IF(C319="","",ROW()-2)</f>
        <v/>
      </c>
      <c r="B319" s="977" t="n"/>
      <c r="C319" s="977" t="n"/>
      <c r="D319" s="978" t="n"/>
      <c r="E319" s="979" t="n"/>
      <c r="F319" s="980" t="n"/>
      <c r="G319" s="980" t="n"/>
      <c r="H319" s="981" t="n"/>
      <c r="I319" s="973" t="n"/>
      <c r="J319" s="973" t="n"/>
      <c r="K319" s="35">
        <f>IFERROR(I319+J319,0)</f>
        <v/>
      </c>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IF(C320="","",ROW()-2)</f>
        <v/>
      </c>
      <c r="B320" s="977" t="n"/>
      <c r="C320" s="977" t="n"/>
      <c r="D320" s="978" t="n"/>
      <c r="E320" s="979" t="n"/>
      <c r="F320" s="980" t="n"/>
      <c r="G320" s="980" t="n"/>
      <c r="H320" s="981" t="n"/>
      <c r="I320" s="973" t="n"/>
      <c r="J320" s="973" t="n"/>
      <c r="K320" s="35">
        <f>IFERROR(I320+J320,0)</f>
        <v/>
      </c>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IF(C321="","",ROW()-2)</f>
        <v/>
      </c>
      <c r="B321" s="977" t="n"/>
      <c r="C321" s="977" t="n"/>
      <c r="D321" s="978" t="n"/>
      <c r="E321" s="979" t="n"/>
      <c r="F321" s="980" t="n"/>
      <c r="G321" s="980" t="n"/>
      <c r="H321" s="981" t="n"/>
      <c r="I321" s="973" t="n"/>
      <c r="J321" s="973" t="n"/>
      <c r="K321" s="35">
        <f>IFERROR(I321+J321,0)</f>
        <v/>
      </c>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IF(C322="","",ROW()-2)</f>
        <v/>
      </c>
      <c r="B322" s="977" t="n"/>
      <c r="C322" s="977" t="n"/>
      <c r="D322" s="978" t="n"/>
      <c r="E322" s="979" t="n"/>
      <c r="F322" s="980" t="n"/>
      <c r="G322" s="980" t="n"/>
      <c r="H322" s="981" t="n"/>
      <c r="I322" s="973" t="n"/>
      <c r="J322" s="973" t="n"/>
      <c r="K322" s="35">
        <f>IFERROR(I322+J322,0)</f>
        <v/>
      </c>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IF(C323="","",ROW()-2)</f>
        <v/>
      </c>
      <c r="B323" s="977" t="n"/>
      <c r="C323" s="977" t="n"/>
      <c r="D323" s="978" t="n"/>
      <c r="E323" s="979" t="n"/>
      <c r="F323" s="980" t="n"/>
      <c r="G323" s="980" t="n"/>
      <c r="H323" s="981" t="n"/>
      <c r="I323" s="973" t="n"/>
      <c r="J323" s="973" t="n"/>
      <c r="K323" s="35">
        <f>IFERROR(I323+J323,0)</f>
        <v/>
      </c>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IF(C324="","",ROW()-2)</f>
        <v/>
      </c>
      <c r="B324" s="977" t="n"/>
      <c r="C324" s="977" t="n"/>
      <c r="D324" s="978" t="n"/>
      <c r="E324" s="979" t="n"/>
      <c r="F324" s="980" t="n"/>
      <c r="G324" s="980" t="n"/>
      <c r="H324" s="981" t="n"/>
      <c r="I324" s="973" t="n"/>
      <c r="J324" s="973" t="n"/>
      <c r="K324" s="35">
        <f>IFERROR(I324+J324,0)</f>
        <v/>
      </c>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IF(C325="","",ROW()-2)</f>
        <v/>
      </c>
      <c r="B325" s="977" t="n"/>
      <c r="C325" s="977" t="n"/>
      <c r="D325" s="978" t="n"/>
      <c r="E325" s="979" t="n"/>
      <c r="F325" s="980" t="n"/>
      <c r="G325" s="980" t="n"/>
      <c r="H325" s="981" t="n"/>
      <c r="I325" s="973" t="n"/>
      <c r="J325" s="973" t="n"/>
      <c r="K325" s="35">
        <f>IFERROR(I325+J325,0)</f>
        <v/>
      </c>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IF(C326="","",ROW()-2)</f>
        <v/>
      </c>
      <c r="B326" s="977" t="n"/>
      <c r="C326" s="977" t="n"/>
      <c r="D326" s="978" t="n"/>
      <c r="E326" s="979" t="n"/>
      <c r="F326" s="980" t="n"/>
      <c r="G326" s="980" t="n"/>
      <c r="H326" s="981" t="n"/>
      <c r="I326" s="973" t="n"/>
      <c r="J326" s="973" t="n"/>
      <c r="K326" s="35">
        <f>IFERROR(I326+J326,0)</f>
        <v/>
      </c>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IF(C327="","",ROW()-2)</f>
        <v/>
      </c>
      <c r="B327" s="977" t="n"/>
      <c r="C327" s="977" t="n"/>
      <c r="D327" s="978" t="n"/>
      <c r="E327" s="979" t="n"/>
      <c r="F327" s="980" t="n"/>
      <c r="G327" s="980" t="n"/>
      <c r="H327" s="981" t="n"/>
      <c r="I327" s="973" t="n"/>
      <c r="J327" s="973" t="n"/>
      <c r="K327" s="35">
        <f>IFERROR(I327+J327,0)</f>
        <v/>
      </c>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IF(C328="","",ROW()-2)</f>
        <v/>
      </c>
      <c r="B328" s="977" t="n"/>
      <c r="C328" s="977" t="n"/>
      <c r="D328" s="978" t="n"/>
      <c r="E328" s="979" t="n"/>
      <c r="F328" s="980" t="n"/>
      <c r="G328" s="980" t="n"/>
      <c r="H328" s="981" t="n"/>
      <c r="I328" s="973" t="n"/>
      <c r="J328" s="973" t="n"/>
      <c r="K328" s="35">
        <f>IFERROR(I328+J328,0)</f>
        <v/>
      </c>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IF(C329="","",ROW()-2)</f>
        <v/>
      </c>
      <c r="B329" s="977" t="n"/>
      <c r="C329" s="977" t="n"/>
      <c r="D329" s="978" t="n"/>
      <c r="E329" s="979" t="n"/>
      <c r="F329" s="980" t="n"/>
      <c r="G329" s="980" t="n"/>
      <c r="H329" s="981" t="n"/>
      <c r="I329" s="973" t="n"/>
      <c r="J329" s="973" t="n"/>
      <c r="K329" s="35">
        <f>IFERROR(I329+J329,0)</f>
        <v/>
      </c>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IF(C330="","",ROW()-2)</f>
        <v/>
      </c>
      <c r="B330" s="977" t="n"/>
      <c r="C330" s="977" t="n"/>
      <c r="D330" s="978" t="n"/>
      <c r="E330" s="979" t="n"/>
      <c r="F330" s="980" t="n"/>
      <c r="G330" s="980" t="n"/>
      <c r="H330" s="981" t="n"/>
      <c r="I330" s="973" t="n"/>
      <c r="J330" s="973" t="n"/>
      <c r="K330" s="35">
        <f>IFERROR(I330+J330,0)</f>
        <v/>
      </c>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IF(C331="","",ROW()-2)</f>
        <v/>
      </c>
      <c r="B331" s="977" t="n"/>
      <c r="C331" s="977" t="n"/>
      <c r="D331" s="978" t="n"/>
      <c r="E331" s="979" t="n"/>
      <c r="F331" s="980" t="n"/>
      <c r="G331" s="980" t="n"/>
      <c r="H331" s="981" t="n"/>
      <c r="I331" s="973" t="n"/>
      <c r="J331" s="973" t="n"/>
      <c r="K331" s="35">
        <f>IFERROR(I331+J331,0)</f>
        <v/>
      </c>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IF(C332="","",ROW()-2)</f>
        <v/>
      </c>
      <c r="B332" s="977" t="n"/>
      <c r="C332" s="977" t="n"/>
      <c r="D332" s="978" t="n"/>
      <c r="E332" s="979" t="n"/>
      <c r="F332" s="980" t="n"/>
      <c r="G332" s="980" t="n"/>
      <c r="H332" s="981" t="n"/>
      <c r="I332" s="973" t="n"/>
      <c r="J332" s="973" t="n"/>
      <c r="K332" s="35">
        <f>IFERROR(I332+J332,0)</f>
        <v/>
      </c>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IF(C333="","",ROW()-2)</f>
        <v/>
      </c>
      <c r="B333" s="977" t="n"/>
      <c r="C333" s="977" t="n"/>
      <c r="D333" s="978" t="n"/>
      <c r="E333" s="979" t="n"/>
      <c r="F333" s="980" t="n"/>
      <c r="G333" s="980" t="n"/>
      <c r="H333" s="981" t="n"/>
      <c r="I333" s="973" t="n"/>
      <c r="J333" s="973" t="n"/>
      <c r="K333" s="35">
        <f>IFERROR(I333+J333,0)</f>
        <v/>
      </c>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IF(C334="","",ROW()-2)</f>
        <v/>
      </c>
      <c r="B334" s="977" t="n"/>
      <c r="C334" s="977" t="n"/>
      <c r="D334" s="978" t="n"/>
      <c r="E334" s="979" t="n"/>
      <c r="F334" s="980" t="n"/>
      <c r="G334" s="980" t="n"/>
      <c r="H334" s="981" t="n"/>
      <c r="I334" s="973" t="n"/>
      <c r="J334" s="973" t="n"/>
      <c r="K334" s="35">
        <f>IFERROR(I334+J334,0)</f>
        <v/>
      </c>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IF(C335="","",ROW()-2)</f>
        <v/>
      </c>
      <c r="B335" s="977" t="n"/>
      <c r="C335" s="977" t="n"/>
      <c r="D335" s="978" t="n"/>
      <c r="E335" s="979" t="n"/>
      <c r="F335" s="980" t="n"/>
      <c r="G335" s="980" t="n"/>
      <c r="H335" s="981" t="n"/>
      <c r="I335" s="973" t="n"/>
      <c r="J335" s="973" t="n"/>
      <c r="K335" s="35">
        <f>IFERROR(I335+J335,0)</f>
        <v/>
      </c>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IF(C336="","",ROW()-2)</f>
        <v/>
      </c>
      <c r="B336" s="977" t="n"/>
      <c r="C336" s="977" t="n"/>
      <c r="D336" s="978" t="n"/>
      <c r="E336" s="979" t="n"/>
      <c r="F336" s="980" t="n"/>
      <c r="G336" s="980" t="n"/>
      <c r="H336" s="981" t="n"/>
      <c r="I336" s="973" t="n"/>
      <c r="J336" s="973" t="n"/>
      <c r="K336" s="35">
        <f>IFERROR(I336+J336,0)</f>
        <v/>
      </c>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IF(C337="","",ROW()-2)</f>
        <v/>
      </c>
      <c r="B337" s="977" t="n"/>
      <c r="C337" s="977" t="n"/>
      <c r="D337" s="978" t="n"/>
      <c r="E337" s="979" t="n"/>
      <c r="F337" s="980" t="n"/>
      <c r="G337" s="980" t="n"/>
      <c r="H337" s="981" t="n"/>
      <c r="I337" s="973" t="n"/>
      <c r="J337" s="973" t="n"/>
      <c r="K337" s="35">
        <f>IFERROR(I337+J337,0)</f>
        <v/>
      </c>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IF(C338="","",ROW()-2)</f>
        <v/>
      </c>
      <c r="B338" s="977" t="n"/>
      <c r="C338" s="977" t="n"/>
      <c r="D338" s="978" t="n"/>
      <c r="E338" s="979" t="n"/>
      <c r="F338" s="980" t="n"/>
      <c r="G338" s="980" t="n"/>
      <c r="H338" s="981" t="n"/>
      <c r="I338" s="973" t="n"/>
      <c r="J338" s="973" t="n"/>
      <c r="K338" s="35">
        <f>IFERROR(I338+J338,0)</f>
        <v/>
      </c>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IF(C339="","",ROW()-2)</f>
        <v/>
      </c>
      <c r="B339" s="977" t="n"/>
      <c r="C339" s="977" t="n"/>
      <c r="D339" s="978" t="n"/>
      <c r="E339" s="979" t="n"/>
      <c r="F339" s="980" t="n"/>
      <c r="G339" s="980" t="n"/>
      <c r="H339" s="981" t="n"/>
      <c r="I339" s="973" t="n"/>
      <c r="J339" s="973" t="n"/>
      <c r="K339" s="35">
        <f>IFERROR(I339+J339,0)</f>
        <v/>
      </c>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IF(C340="","",ROW()-2)</f>
        <v/>
      </c>
      <c r="B340" s="977" t="n"/>
      <c r="C340" s="977" t="n"/>
      <c r="D340" s="978" t="n"/>
      <c r="E340" s="979" t="n"/>
      <c r="F340" s="980" t="n"/>
      <c r="G340" s="980" t="n"/>
      <c r="H340" s="981" t="n"/>
      <c r="I340" s="973" t="n"/>
      <c r="J340" s="973" t="n"/>
      <c r="K340" s="35">
        <f>IFERROR(I340+J340,0)</f>
        <v/>
      </c>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IF(C341="","",ROW()-2)</f>
        <v/>
      </c>
      <c r="B341" s="977" t="n"/>
      <c r="C341" s="977" t="n"/>
      <c r="D341" s="978" t="n"/>
      <c r="E341" s="979" t="n"/>
      <c r="F341" s="980" t="n"/>
      <c r="G341" s="980" t="n"/>
      <c r="H341" s="981" t="n"/>
      <c r="I341" s="973" t="n"/>
      <c r="J341" s="973" t="n"/>
      <c r="K341" s="35">
        <f>IFERROR(I341+J341,0)</f>
        <v/>
      </c>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IF(C342="","",ROW()-2)</f>
        <v/>
      </c>
      <c r="B342" s="977" t="n"/>
      <c r="C342" s="977" t="n"/>
      <c r="D342" s="978" t="n"/>
      <c r="E342" s="979" t="n"/>
      <c r="F342" s="980" t="n"/>
      <c r="G342" s="980" t="n"/>
      <c r="H342" s="981" t="n"/>
      <c r="I342" s="973" t="n"/>
      <c r="J342" s="973" t="n"/>
      <c r="K342" s="35">
        <f>IFERROR(I342+J342,0)</f>
        <v/>
      </c>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IF(C343="","",ROW()-2)</f>
        <v/>
      </c>
      <c r="B343" s="977" t="n"/>
      <c r="C343" s="977" t="n"/>
      <c r="D343" s="978" t="n"/>
      <c r="E343" s="979" t="n"/>
      <c r="F343" s="980" t="n"/>
      <c r="G343" s="980" t="n"/>
      <c r="H343" s="981" t="n"/>
      <c r="I343" s="973" t="n"/>
      <c r="J343" s="973" t="n"/>
      <c r="K343" s="35">
        <f>IFERROR(I343+J343,0)</f>
        <v/>
      </c>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IF(C344="","",ROW()-2)</f>
        <v/>
      </c>
      <c r="B344" s="977" t="n"/>
      <c r="C344" s="977" t="n"/>
      <c r="D344" s="978" t="n"/>
      <c r="E344" s="979" t="n"/>
      <c r="F344" s="980" t="n"/>
      <c r="G344" s="980" t="n"/>
      <c r="H344" s="981" t="n"/>
      <c r="I344" s="973" t="n"/>
      <c r="J344" s="973" t="n"/>
      <c r="K344" s="35">
        <f>IFERROR(I344+J344,0)</f>
        <v/>
      </c>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IF(C345="","",ROW()-2)</f>
        <v/>
      </c>
      <c r="B345" s="977" t="n"/>
      <c r="C345" s="977" t="n"/>
      <c r="D345" s="978" t="n"/>
      <c r="E345" s="979" t="n"/>
      <c r="F345" s="980" t="n"/>
      <c r="G345" s="980" t="n"/>
      <c r="H345" s="981" t="n"/>
      <c r="I345" s="973" t="n"/>
      <c r="J345" s="973" t="n"/>
      <c r="K345" s="35">
        <f>IFERROR(I345+J345,0)</f>
        <v/>
      </c>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IF(C346="","",ROW()-2)</f>
        <v/>
      </c>
      <c r="B346" s="977" t="n"/>
      <c r="C346" s="977" t="n"/>
      <c r="D346" s="978" t="n"/>
      <c r="E346" s="979" t="n"/>
      <c r="F346" s="980" t="n"/>
      <c r="G346" s="980" t="n"/>
      <c r="H346" s="981" t="n"/>
      <c r="I346" s="973" t="n"/>
      <c r="J346" s="973" t="n"/>
      <c r="K346" s="35">
        <f>IFERROR(I346+J346,0)</f>
        <v/>
      </c>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IF(C347="","",ROW()-2)</f>
        <v/>
      </c>
      <c r="B347" s="977" t="n"/>
      <c r="C347" s="977" t="n"/>
      <c r="D347" s="978" t="n"/>
      <c r="E347" s="979" t="n"/>
      <c r="F347" s="980" t="n"/>
      <c r="G347" s="980" t="n"/>
      <c r="H347" s="981" t="n"/>
      <c r="I347" s="973" t="n"/>
      <c r="J347" s="973" t="n"/>
      <c r="K347" s="35">
        <f>IFERROR(I347+J347,0)</f>
        <v/>
      </c>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IF(C348="","",ROW()-2)</f>
        <v/>
      </c>
      <c r="B348" s="977" t="n"/>
      <c r="C348" s="977" t="n"/>
      <c r="D348" s="978" t="n"/>
      <c r="E348" s="979" t="n"/>
      <c r="F348" s="980" t="n"/>
      <c r="G348" s="980" t="n"/>
      <c r="H348" s="981" t="n"/>
      <c r="I348" s="973" t="n"/>
      <c r="J348" s="973" t="n"/>
      <c r="K348" s="35">
        <f>IFERROR(I348+J348,0)</f>
        <v/>
      </c>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IF(C349="","",ROW()-2)</f>
        <v/>
      </c>
      <c r="B349" s="977" t="n"/>
      <c r="C349" s="977" t="n"/>
      <c r="D349" s="978" t="n"/>
      <c r="E349" s="979" t="n"/>
      <c r="F349" s="980" t="n"/>
      <c r="G349" s="980" t="n"/>
      <c r="H349" s="981" t="n"/>
      <c r="I349" s="973" t="n"/>
      <c r="J349" s="973" t="n"/>
      <c r="K349" s="35">
        <f>IFERROR(I349+J349,0)</f>
        <v/>
      </c>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IF(C350="","",ROW()-2)</f>
        <v/>
      </c>
      <c r="B350" s="977" t="n"/>
      <c r="C350" s="977" t="n"/>
      <c r="D350" s="978" t="n"/>
      <c r="E350" s="979" t="n"/>
      <c r="F350" s="980" t="n"/>
      <c r="G350" s="980" t="n"/>
      <c r="H350" s="981" t="n"/>
      <c r="I350" s="973" t="n"/>
      <c r="J350" s="973" t="n"/>
      <c r="K350" s="35">
        <f>IFERROR(I350+J350,0)</f>
        <v/>
      </c>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IF(C351="","",ROW()-2)</f>
        <v/>
      </c>
      <c r="B351" s="977" t="n"/>
      <c r="C351" s="977" t="n"/>
      <c r="D351" s="978" t="n"/>
      <c r="E351" s="979" t="n"/>
      <c r="F351" s="980" t="n"/>
      <c r="G351" s="980" t="n"/>
      <c r="H351" s="981" t="n"/>
      <c r="I351" s="973" t="n"/>
      <c r="J351" s="973" t="n"/>
      <c r="K351" s="35">
        <f>IFERROR(I351+J351,0)</f>
        <v/>
      </c>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IF(C352="","",ROW()-2)</f>
        <v/>
      </c>
      <c r="B352" s="977" t="n"/>
      <c r="C352" s="977" t="n"/>
      <c r="D352" s="978" t="n"/>
      <c r="E352" s="979" t="n"/>
      <c r="F352" s="980" t="n"/>
      <c r="G352" s="980" t="n"/>
      <c r="H352" s="981" t="n"/>
      <c r="I352" s="973" t="n"/>
      <c r="J352" s="973" t="n"/>
      <c r="K352" s="35">
        <f>IFERROR(I352+J352,0)</f>
        <v/>
      </c>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IF(C353="","",ROW()-2)</f>
        <v/>
      </c>
      <c r="B353" s="977" t="n"/>
      <c r="C353" s="977" t="n"/>
      <c r="D353" s="978" t="n"/>
      <c r="E353" s="979" t="n"/>
      <c r="F353" s="980" t="n"/>
      <c r="G353" s="980" t="n"/>
      <c r="H353" s="981" t="n"/>
      <c r="I353" s="973" t="n"/>
      <c r="J353" s="973" t="n"/>
      <c r="K353" s="35">
        <f>IFERROR(I353+J353,0)</f>
        <v/>
      </c>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IF(C354="","",ROW()-2)</f>
        <v/>
      </c>
      <c r="B354" s="977" t="n"/>
      <c r="C354" s="977" t="n"/>
      <c r="D354" s="978" t="n"/>
      <c r="E354" s="979" t="n"/>
      <c r="F354" s="980" t="n"/>
      <c r="G354" s="980" t="n"/>
      <c r="H354" s="981" t="n"/>
      <c r="I354" s="973" t="n"/>
      <c r="J354" s="973" t="n"/>
      <c r="K354" s="35">
        <f>IFERROR(I354+J354,0)</f>
        <v/>
      </c>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IF(C355="","",ROW()-2)</f>
        <v/>
      </c>
      <c r="B355" s="977" t="n"/>
      <c r="C355" s="977" t="n"/>
      <c r="D355" s="978" t="n"/>
      <c r="E355" s="979" t="n"/>
      <c r="F355" s="980" t="n"/>
      <c r="G355" s="980" t="n"/>
      <c r="H355" s="981" t="n"/>
      <c r="I355" s="973" t="n"/>
      <c r="J355" s="973" t="n"/>
      <c r="K355" s="35">
        <f>IFERROR(I355+J355,0)</f>
        <v/>
      </c>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IF(C356="","",ROW()-2)</f>
        <v/>
      </c>
      <c r="B356" s="977" t="n"/>
      <c r="C356" s="977" t="n"/>
      <c r="D356" s="978" t="n"/>
      <c r="E356" s="979" t="n"/>
      <c r="F356" s="980" t="n"/>
      <c r="G356" s="980" t="n"/>
      <c r="H356" s="981" t="n"/>
      <c r="I356" s="973" t="n"/>
      <c r="J356" s="973" t="n"/>
      <c r="K356" s="35">
        <f>IFERROR(I356+J356,0)</f>
        <v/>
      </c>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IF(C357="","",ROW()-2)</f>
        <v/>
      </c>
      <c r="B357" s="977" t="n"/>
      <c r="C357" s="977" t="n"/>
      <c r="D357" s="978" t="n"/>
      <c r="E357" s="979" t="n"/>
      <c r="F357" s="980" t="n"/>
      <c r="G357" s="980" t="n"/>
      <c r="H357" s="981" t="n"/>
      <c r="I357" s="973" t="n"/>
      <c r="J357" s="973" t="n"/>
      <c r="K357" s="35">
        <f>IFERROR(I357+J357,0)</f>
        <v/>
      </c>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IF(C358="","",ROW()-2)</f>
        <v/>
      </c>
      <c r="B358" s="977" t="n"/>
      <c r="C358" s="977" t="n"/>
      <c r="D358" s="978" t="n"/>
      <c r="E358" s="979" t="n"/>
      <c r="F358" s="980" t="n"/>
      <c r="G358" s="980" t="n"/>
      <c r="H358" s="981" t="n"/>
      <c r="I358" s="973" t="n"/>
      <c r="J358" s="973" t="n"/>
      <c r="K358" s="35">
        <f>IFERROR(I358+J358,0)</f>
        <v/>
      </c>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IF(C359="","",ROW()-2)</f>
        <v/>
      </c>
      <c r="B359" s="977" t="n"/>
      <c r="C359" s="977" t="n"/>
      <c r="D359" s="978" t="n"/>
      <c r="E359" s="979" t="n"/>
      <c r="F359" s="980" t="n"/>
      <c r="G359" s="980" t="n"/>
      <c r="H359" s="981" t="n"/>
      <c r="I359" s="973" t="n"/>
      <c r="J359" s="973" t="n"/>
      <c r="K359" s="35">
        <f>IFERROR(I359+J359,0)</f>
        <v/>
      </c>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IF(C360="","",ROW()-2)</f>
        <v/>
      </c>
      <c r="B360" s="977" t="n"/>
      <c r="C360" s="977" t="n"/>
      <c r="D360" s="978" t="n"/>
      <c r="E360" s="979" t="n"/>
      <c r="F360" s="980" t="n"/>
      <c r="G360" s="980" t="n"/>
      <c r="H360" s="981" t="n"/>
      <c r="I360" s="973" t="n"/>
      <c r="J360" s="973" t="n"/>
      <c r="K360" s="35">
        <f>IFERROR(I360+J360,0)</f>
        <v/>
      </c>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IF(C361="","",ROW()-2)</f>
        <v/>
      </c>
      <c r="B361" s="977" t="n"/>
      <c r="C361" s="977" t="n"/>
      <c r="D361" s="978" t="n"/>
      <c r="E361" s="979" t="n"/>
      <c r="F361" s="980" t="n"/>
      <c r="G361" s="980" t="n"/>
      <c r="H361" s="981" t="n"/>
      <c r="I361" s="973" t="n"/>
      <c r="J361" s="973" t="n"/>
      <c r="K361" s="35">
        <f>IFERROR(I361+J361,0)</f>
        <v/>
      </c>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IF(C362="","",ROW()-2)</f>
        <v/>
      </c>
      <c r="B362" s="977" t="n"/>
      <c r="C362" s="977" t="n"/>
      <c r="D362" s="978" t="n"/>
      <c r="E362" s="979" t="n"/>
      <c r="F362" s="980" t="n"/>
      <c r="G362" s="980" t="n"/>
      <c r="H362" s="981" t="n"/>
      <c r="I362" s="973" t="n"/>
      <c r="J362" s="973" t="n"/>
      <c r="K362" s="35">
        <f>IFERROR(I362+J362,0)</f>
        <v/>
      </c>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IF(C363="","",ROW()-2)</f>
        <v/>
      </c>
      <c r="B363" s="977" t="n"/>
      <c r="C363" s="977" t="n"/>
      <c r="D363" s="978" t="n"/>
      <c r="E363" s="979" t="n"/>
      <c r="F363" s="980" t="n"/>
      <c r="G363" s="980" t="n"/>
      <c r="H363" s="981" t="n"/>
      <c r="I363" s="973" t="n"/>
      <c r="J363" s="973" t="n"/>
      <c r="K363" s="35">
        <f>IFERROR(I363+J363,0)</f>
        <v/>
      </c>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IF(C364="","",ROW()-2)</f>
        <v/>
      </c>
      <c r="B364" s="977" t="n"/>
      <c r="C364" s="977" t="n"/>
      <c r="D364" s="978" t="n"/>
      <c r="E364" s="979" t="n"/>
      <c r="F364" s="980" t="n"/>
      <c r="G364" s="980" t="n"/>
      <c r="H364" s="981" t="n"/>
      <c r="I364" s="973" t="n"/>
      <c r="J364" s="973" t="n"/>
      <c r="K364" s="35">
        <f>IFERROR(I364+J364,0)</f>
        <v/>
      </c>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IF(C365="","",ROW()-2)</f>
        <v/>
      </c>
      <c r="B365" s="977" t="n"/>
      <c r="C365" s="977" t="n"/>
      <c r="D365" s="978" t="n"/>
      <c r="E365" s="979" t="n"/>
      <c r="F365" s="980" t="n"/>
      <c r="G365" s="980" t="n"/>
      <c r="H365" s="981" t="n"/>
      <c r="I365" s="973" t="n"/>
      <c r="J365" s="973" t="n"/>
      <c r="K365" s="35">
        <f>IFERROR(I365+J365,0)</f>
        <v/>
      </c>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IF(C366="","",ROW()-2)</f>
        <v/>
      </c>
      <c r="B366" s="977" t="n"/>
      <c r="C366" s="977" t="n"/>
      <c r="D366" s="978" t="n"/>
      <c r="E366" s="979" t="n"/>
      <c r="F366" s="980" t="n"/>
      <c r="G366" s="980" t="n"/>
      <c r="H366" s="981" t="n"/>
      <c r="I366" s="973" t="n"/>
      <c r="J366" s="973" t="n"/>
      <c r="K366" s="35">
        <f>IFERROR(I366+J366,0)</f>
        <v/>
      </c>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IF(C367="","",ROW()-2)</f>
        <v/>
      </c>
      <c r="B367" s="977" t="n"/>
      <c r="C367" s="977" t="n"/>
      <c r="D367" s="978" t="n"/>
      <c r="E367" s="979" t="n"/>
      <c r="F367" s="980" t="n"/>
      <c r="G367" s="980" t="n"/>
      <c r="H367" s="981" t="n"/>
      <c r="I367" s="973" t="n"/>
      <c r="J367" s="973" t="n"/>
      <c r="K367" s="35">
        <f>IFERROR(I367+J367,0)</f>
        <v/>
      </c>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IF(C368="","",ROW()-2)</f>
        <v/>
      </c>
      <c r="B368" s="977" t="n"/>
      <c r="C368" s="977" t="n"/>
      <c r="D368" s="978" t="n"/>
      <c r="E368" s="979" t="n"/>
      <c r="F368" s="980" t="n"/>
      <c r="G368" s="980" t="n"/>
      <c r="H368" s="981" t="n"/>
      <c r="I368" s="973" t="n"/>
      <c r="J368" s="973" t="n"/>
      <c r="K368" s="35">
        <f>IFERROR(I368+J368,0)</f>
        <v/>
      </c>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IF(C369="","",ROW()-2)</f>
        <v/>
      </c>
      <c r="B369" s="977" t="n"/>
      <c r="C369" s="977" t="n"/>
      <c r="D369" s="978" t="n"/>
      <c r="E369" s="979" t="n"/>
      <c r="F369" s="980" t="n"/>
      <c r="G369" s="980" t="n"/>
      <c r="H369" s="981" t="n"/>
      <c r="I369" s="973" t="n"/>
      <c r="J369" s="973" t="n"/>
      <c r="K369" s="35">
        <f>IFERROR(I369+J369,0)</f>
        <v/>
      </c>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IF(C370="","",ROW()-2)</f>
        <v/>
      </c>
      <c r="B370" s="977" t="n"/>
      <c r="C370" s="977" t="n"/>
      <c r="D370" s="978" t="n"/>
      <c r="E370" s="979" t="n"/>
      <c r="F370" s="980" t="n"/>
      <c r="G370" s="980" t="n"/>
      <c r="H370" s="981" t="n"/>
      <c r="I370" s="973" t="n"/>
      <c r="J370" s="973" t="n"/>
      <c r="K370" s="35">
        <f>IFERROR(I370+J370,0)</f>
        <v/>
      </c>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IF(C371="","",ROW()-2)</f>
        <v/>
      </c>
      <c r="B371" s="977" t="n"/>
      <c r="C371" s="977" t="n"/>
      <c r="D371" s="978" t="n"/>
      <c r="E371" s="979" t="n"/>
      <c r="F371" s="980" t="n"/>
      <c r="G371" s="980" t="n"/>
      <c r="H371" s="981" t="n"/>
      <c r="I371" s="973" t="n"/>
      <c r="J371" s="973" t="n"/>
      <c r="K371" s="35">
        <f>IFERROR(I371+J371,0)</f>
        <v/>
      </c>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IF(C372="","",ROW()-2)</f>
        <v/>
      </c>
      <c r="B372" s="977" t="n"/>
      <c r="C372" s="977" t="n"/>
      <c r="D372" s="978" t="n"/>
      <c r="E372" s="979" t="n"/>
      <c r="F372" s="980" t="n"/>
      <c r="G372" s="980" t="n"/>
      <c r="H372" s="981" t="n"/>
      <c r="I372" s="973" t="n"/>
      <c r="J372" s="973" t="n"/>
      <c r="K372" s="35">
        <f>IFERROR(I372+J372,0)</f>
        <v/>
      </c>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IF(C373="","",ROW()-2)</f>
        <v/>
      </c>
      <c r="B373" s="977" t="n"/>
      <c r="C373" s="977" t="n"/>
      <c r="D373" s="978" t="n"/>
      <c r="E373" s="979" t="n"/>
      <c r="F373" s="980" t="n"/>
      <c r="G373" s="980" t="n"/>
      <c r="H373" s="981" t="n"/>
      <c r="I373" s="973" t="n"/>
      <c r="J373" s="973" t="n"/>
      <c r="K373" s="35">
        <f>IFERROR(I373+J373,0)</f>
        <v/>
      </c>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IF(C374="","",ROW()-2)</f>
        <v/>
      </c>
      <c r="B374" s="977" t="n"/>
      <c r="C374" s="977" t="n"/>
      <c r="D374" s="978" t="n"/>
      <c r="E374" s="979" t="n"/>
      <c r="F374" s="980" t="n"/>
      <c r="G374" s="980" t="n"/>
      <c r="H374" s="981" t="n"/>
      <c r="I374" s="973" t="n"/>
      <c r="J374" s="973" t="n"/>
      <c r="K374" s="35">
        <f>IFERROR(I374+J374,0)</f>
        <v/>
      </c>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IF(C375="","",ROW()-2)</f>
        <v/>
      </c>
      <c r="B375" s="977" t="n"/>
      <c r="C375" s="977" t="n"/>
      <c r="D375" s="978" t="n"/>
      <c r="E375" s="979" t="n"/>
      <c r="F375" s="980" t="n"/>
      <c r="G375" s="980" t="n"/>
      <c r="H375" s="981" t="n"/>
      <c r="I375" s="973" t="n"/>
      <c r="J375" s="973" t="n"/>
      <c r="K375" s="35">
        <f>IFERROR(I375+J375,0)</f>
        <v/>
      </c>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IF(C376="","",ROW()-2)</f>
        <v/>
      </c>
      <c r="B376" s="977" t="n"/>
      <c r="C376" s="977" t="n"/>
      <c r="D376" s="978" t="n"/>
      <c r="E376" s="979" t="n"/>
      <c r="F376" s="980" t="n"/>
      <c r="G376" s="980" t="n"/>
      <c r="H376" s="981" t="n"/>
      <c r="I376" s="973" t="n"/>
      <c r="J376" s="973" t="n"/>
      <c r="K376" s="35">
        <f>IFERROR(I376+J376,0)</f>
        <v/>
      </c>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IF(C377="","",ROW()-2)</f>
        <v/>
      </c>
      <c r="B377" s="977" t="n"/>
      <c r="C377" s="977" t="n"/>
      <c r="D377" s="978" t="n"/>
      <c r="E377" s="979" t="n"/>
      <c r="F377" s="980" t="n"/>
      <c r="G377" s="980" t="n"/>
      <c r="H377" s="981" t="n"/>
      <c r="I377" s="973" t="n"/>
      <c r="J377" s="973" t="n"/>
      <c r="K377" s="35">
        <f>IFERROR(I377+J377,0)</f>
        <v/>
      </c>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IF(C378="","",ROW()-2)</f>
        <v/>
      </c>
      <c r="B378" s="977" t="n"/>
      <c r="C378" s="977" t="n"/>
      <c r="D378" s="978" t="n"/>
      <c r="E378" s="979" t="n"/>
      <c r="F378" s="980" t="n"/>
      <c r="G378" s="980" t="n"/>
      <c r="H378" s="981" t="n"/>
      <c r="I378" s="973" t="n"/>
      <c r="J378" s="973" t="n"/>
      <c r="K378" s="35">
        <f>IFERROR(I378+J378,0)</f>
        <v/>
      </c>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IF(C379="","",ROW()-2)</f>
        <v/>
      </c>
      <c r="B379" s="977" t="n"/>
      <c r="C379" s="977" t="n"/>
      <c r="D379" s="978" t="n"/>
      <c r="E379" s="979" t="n"/>
      <c r="F379" s="980" t="n"/>
      <c r="G379" s="980" t="n"/>
      <c r="H379" s="981" t="n"/>
      <c r="I379" s="973" t="n"/>
      <c r="J379" s="973" t="n"/>
      <c r="K379" s="35">
        <f>IFERROR(I379+J379,0)</f>
        <v/>
      </c>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IF(C380="","",ROW()-2)</f>
        <v/>
      </c>
      <c r="B380" s="977" t="n"/>
      <c r="C380" s="977" t="n"/>
      <c r="D380" s="978" t="n"/>
      <c r="E380" s="979" t="n"/>
      <c r="F380" s="980" t="n"/>
      <c r="G380" s="980" t="n"/>
      <c r="H380" s="981" t="n"/>
      <c r="I380" s="973" t="n"/>
      <c r="J380" s="973" t="n"/>
      <c r="K380" s="35">
        <f>IFERROR(I380+J380,0)</f>
        <v/>
      </c>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IF(C381="","",ROW()-2)</f>
        <v/>
      </c>
      <c r="B381" s="977" t="n"/>
      <c r="C381" s="977" t="n"/>
      <c r="D381" s="978" t="n"/>
      <c r="E381" s="979" t="n"/>
      <c r="F381" s="980" t="n"/>
      <c r="G381" s="980" t="n"/>
      <c r="H381" s="981" t="n"/>
      <c r="I381" s="973" t="n"/>
      <c r="J381" s="973" t="n"/>
      <c r="K381" s="35">
        <f>IFERROR(I381+J381,0)</f>
        <v/>
      </c>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IF(C382="","",ROW()-2)</f>
        <v/>
      </c>
      <c r="B382" s="977" t="n"/>
      <c r="C382" s="977" t="n"/>
      <c r="D382" s="978" t="n"/>
      <c r="E382" s="979" t="n"/>
      <c r="F382" s="980" t="n"/>
      <c r="G382" s="980" t="n"/>
      <c r="H382" s="981" t="n"/>
      <c r="I382" s="973" t="n"/>
      <c r="J382" s="973" t="n"/>
      <c r="K382" s="35">
        <f>IFERROR(I382+J382,0)</f>
        <v/>
      </c>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IF(C383="","",ROW()-2)</f>
        <v/>
      </c>
      <c r="B383" s="977" t="n"/>
      <c r="C383" s="977" t="n"/>
      <c r="D383" s="978" t="n"/>
      <c r="E383" s="979" t="n"/>
      <c r="F383" s="980" t="n"/>
      <c r="G383" s="980" t="n"/>
      <c r="H383" s="981" t="n"/>
      <c r="I383" s="973" t="n"/>
      <c r="J383" s="973" t="n"/>
      <c r="K383" s="35">
        <f>IFERROR(I383+J383,0)</f>
        <v/>
      </c>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IF(C384="","",ROW()-2)</f>
        <v/>
      </c>
      <c r="B384" s="977" t="n"/>
      <c r="C384" s="977" t="n"/>
      <c r="D384" s="978" t="n"/>
      <c r="E384" s="979" t="n"/>
      <c r="F384" s="980" t="n"/>
      <c r="G384" s="980" t="n"/>
      <c r="H384" s="981" t="n"/>
      <c r="I384" s="973" t="n"/>
      <c r="J384" s="973" t="n"/>
      <c r="K384" s="35">
        <f>IFERROR(I384+J384,0)</f>
        <v/>
      </c>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IF(C385="","",ROW()-2)</f>
        <v/>
      </c>
      <c r="B385" s="977" t="n"/>
      <c r="C385" s="977" t="n"/>
      <c r="D385" s="978" t="n"/>
      <c r="E385" s="979" t="n"/>
      <c r="F385" s="980" t="n"/>
      <c r="G385" s="980" t="n"/>
      <c r="H385" s="981" t="n"/>
      <c r="I385" s="973" t="n"/>
      <c r="J385" s="973" t="n"/>
      <c r="K385" s="35">
        <f>IFERROR(I385+J385,0)</f>
        <v/>
      </c>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IF(C386="","",ROW()-2)</f>
        <v/>
      </c>
      <c r="B386" s="977" t="n"/>
      <c r="C386" s="977" t="n"/>
      <c r="D386" s="978" t="n"/>
      <c r="E386" s="979" t="n"/>
      <c r="F386" s="980" t="n"/>
      <c r="G386" s="980" t="n"/>
      <c r="H386" s="981" t="n"/>
      <c r="I386" s="973" t="n"/>
      <c r="J386" s="973" t="n"/>
      <c r="K386" s="35">
        <f>IFERROR(I386+J386,0)</f>
        <v/>
      </c>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IF(C387="","",ROW()-2)</f>
        <v/>
      </c>
      <c r="B387" s="977" t="n"/>
      <c r="C387" s="977" t="n"/>
      <c r="D387" s="978" t="n"/>
      <c r="E387" s="979" t="n"/>
      <c r="F387" s="980" t="n"/>
      <c r="G387" s="980" t="n"/>
      <c r="H387" s="981" t="n"/>
      <c r="I387" s="973" t="n"/>
      <c r="J387" s="973" t="n"/>
      <c r="K387" s="35">
        <f>IFERROR(I387+J387,0)</f>
        <v/>
      </c>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IF(C388="","",ROW()-2)</f>
        <v/>
      </c>
      <c r="B388" s="977" t="n"/>
      <c r="C388" s="977" t="n"/>
      <c r="D388" s="978" t="n"/>
      <c r="E388" s="979" t="n"/>
      <c r="F388" s="980" t="n"/>
      <c r="G388" s="980" t="n"/>
      <c r="H388" s="981" t="n"/>
      <c r="I388" s="973" t="n"/>
      <c r="J388" s="973" t="n"/>
      <c r="K388" s="35">
        <f>IFERROR(I388+J388,0)</f>
        <v/>
      </c>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IF(C389="","",ROW()-2)</f>
        <v/>
      </c>
      <c r="B389" s="977" t="n"/>
      <c r="C389" s="977" t="n"/>
      <c r="D389" s="978" t="n"/>
      <c r="E389" s="979" t="n"/>
      <c r="F389" s="980" t="n"/>
      <c r="G389" s="980" t="n"/>
      <c r="H389" s="981" t="n"/>
      <c r="I389" s="973" t="n"/>
      <c r="J389" s="973" t="n"/>
      <c r="K389" s="35">
        <f>IFERROR(I389+J389,0)</f>
        <v/>
      </c>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IF(C390="","",ROW()-2)</f>
        <v/>
      </c>
      <c r="B390" s="977" t="n"/>
      <c r="C390" s="977" t="n"/>
      <c r="D390" s="978" t="n"/>
      <c r="E390" s="979" t="n"/>
      <c r="F390" s="980" t="n"/>
      <c r="G390" s="980" t="n"/>
      <c r="H390" s="981" t="n"/>
      <c r="I390" s="973" t="n"/>
      <c r="J390" s="973" t="n"/>
      <c r="K390" s="35">
        <f>IFERROR(I390+J390,0)</f>
        <v/>
      </c>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IF(C391="","",ROW()-2)</f>
        <v/>
      </c>
      <c r="B391" s="977" t="n"/>
      <c r="C391" s="977" t="n"/>
      <c r="D391" s="978" t="n"/>
      <c r="E391" s="979" t="n"/>
      <c r="F391" s="980" t="n"/>
      <c r="G391" s="980" t="n"/>
      <c r="H391" s="981" t="n"/>
      <c r="I391" s="973" t="n"/>
      <c r="J391" s="973" t="n"/>
      <c r="K391" s="35">
        <f>IFERROR(I391+J391,0)</f>
        <v/>
      </c>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IF(C392="","",ROW()-2)</f>
        <v/>
      </c>
      <c r="B392" s="977" t="n"/>
      <c r="C392" s="977" t="n"/>
      <c r="D392" s="978" t="n"/>
      <c r="E392" s="979" t="n"/>
      <c r="F392" s="980" t="n"/>
      <c r="G392" s="980" t="n"/>
      <c r="H392" s="981" t="n"/>
      <c r="I392" s="973" t="n"/>
      <c r="J392" s="973" t="n"/>
      <c r="K392" s="35">
        <f>IFERROR(I392+J392,0)</f>
        <v/>
      </c>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IF(C393="","",ROW()-2)</f>
        <v/>
      </c>
      <c r="B393" s="977" t="n"/>
      <c r="C393" s="977" t="n"/>
      <c r="D393" s="978" t="n"/>
      <c r="E393" s="979" t="n"/>
      <c r="F393" s="980" t="n"/>
      <c r="G393" s="980" t="n"/>
      <c r="H393" s="981" t="n"/>
      <c r="I393" s="973" t="n"/>
      <c r="J393" s="973" t="n"/>
      <c r="K393" s="35">
        <f>IFERROR(I393+J393,0)</f>
        <v/>
      </c>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IF(C394="","",ROW()-2)</f>
        <v/>
      </c>
      <c r="B394" s="977" t="n"/>
      <c r="C394" s="977" t="n"/>
      <c r="D394" s="978" t="n"/>
      <c r="E394" s="979" t="n"/>
      <c r="F394" s="980" t="n"/>
      <c r="G394" s="980" t="n"/>
      <c r="H394" s="981" t="n"/>
      <c r="I394" s="973" t="n"/>
      <c r="J394" s="973" t="n"/>
      <c r="K394" s="35">
        <f>IFERROR(I394+J394,0)</f>
        <v/>
      </c>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IF(C395="","",ROW()-2)</f>
        <v/>
      </c>
      <c r="B395" s="977" t="n"/>
      <c r="C395" s="977" t="n"/>
      <c r="D395" s="978" t="n"/>
      <c r="E395" s="979" t="n"/>
      <c r="F395" s="980" t="n"/>
      <c r="G395" s="980" t="n"/>
      <c r="H395" s="981" t="n"/>
      <c r="I395" s="973" t="n"/>
      <c r="J395" s="973" t="n"/>
      <c r="K395" s="35">
        <f>IFERROR(I395+J395,0)</f>
        <v/>
      </c>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IF(C396="","",ROW()-2)</f>
        <v/>
      </c>
      <c r="B396" s="977" t="n"/>
      <c r="C396" s="977" t="n"/>
      <c r="D396" s="978" t="n"/>
      <c r="E396" s="979" t="n"/>
      <c r="F396" s="980" t="n"/>
      <c r="G396" s="980" t="n"/>
      <c r="H396" s="981" t="n"/>
      <c r="I396" s="973" t="n"/>
      <c r="J396" s="973" t="n"/>
      <c r="K396" s="35">
        <f>IFERROR(I396+J396,0)</f>
        <v/>
      </c>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IF(C397="","",ROW()-2)</f>
        <v/>
      </c>
      <c r="B397" s="977" t="n"/>
      <c r="C397" s="977" t="n"/>
      <c r="D397" s="978" t="n"/>
      <c r="E397" s="979" t="n"/>
      <c r="F397" s="980" t="n"/>
      <c r="G397" s="980" t="n"/>
      <c r="H397" s="981" t="n"/>
      <c r="I397" s="973" t="n"/>
      <c r="J397" s="973" t="n"/>
      <c r="K397" s="35">
        <f>IFERROR(I397+J397,0)</f>
        <v/>
      </c>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IF(C398="","",ROW()-2)</f>
        <v/>
      </c>
      <c r="B398" s="977" t="n"/>
      <c r="C398" s="977" t="n"/>
      <c r="D398" s="978" t="n"/>
      <c r="E398" s="979" t="n"/>
      <c r="F398" s="980" t="n"/>
      <c r="G398" s="980" t="n"/>
      <c r="H398" s="981" t="n"/>
      <c r="I398" s="973" t="n"/>
      <c r="J398" s="973" t="n"/>
      <c r="K398" s="35">
        <f>IFERROR(I398+J398,0)</f>
        <v/>
      </c>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IF(C399="","",ROW()-2)</f>
        <v/>
      </c>
      <c r="B399" s="977" t="n"/>
      <c r="C399" s="977" t="n"/>
      <c r="D399" s="978" t="n"/>
      <c r="E399" s="979" t="n"/>
      <c r="F399" s="980" t="n"/>
      <c r="G399" s="980" t="n"/>
      <c r="H399" s="981" t="n"/>
      <c r="I399" s="973" t="n"/>
      <c r="J399" s="973" t="n"/>
      <c r="K399" s="35">
        <f>IFERROR(I399+J399,0)</f>
        <v/>
      </c>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IF(C400="","",ROW()-2)</f>
        <v/>
      </c>
      <c r="B400" s="977" t="n"/>
      <c r="C400" s="977" t="n"/>
      <c r="D400" s="978" t="n"/>
      <c r="E400" s="979" t="n"/>
      <c r="F400" s="980" t="n"/>
      <c r="G400" s="980" t="n"/>
      <c r="H400" s="981" t="n"/>
      <c r="I400" s="973" t="n"/>
      <c r="J400" s="973" t="n"/>
      <c r="K400" s="35">
        <f>IFERROR(I400+J400,0)</f>
        <v/>
      </c>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IF(C401="","",ROW()-2)</f>
        <v/>
      </c>
      <c r="B401" s="977" t="n"/>
      <c r="C401" s="977" t="n"/>
      <c r="D401" s="978" t="n"/>
      <c r="E401" s="979" t="n"/>
      <c r="F401" s="980" t="n"/>
      <c r="G401" s="980" t="n"/>
      <c r="H401" s="981" t="n"/>
      <c r="I401" s="973" t="n"/>
      <c r="J401" s="973" t="n"/>
      <c r="K401" s="35">
        <f>IFERROR(I401+J401,0)</f>
        <v/>
      </c>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IF(C402="","",ROW()-2)</f>
        <v/>
      </c>
      <c r="B402" s="977" t="n"/>
      <c r="C402" s="977" t="n"/>
      <c r="D402" s="978" t="n"/>
      <c r="E402" s="979" t="n"/>
      <c r="F402" s="980" t="n"/>
      <c r="G402" s="980" t="n"/>
      <c r="H402" s="981" t="n"/>
      <c r="I402" s="973" t="n"/>
      <c r="J402" s="973" t="n"/>
      <c r="K402" s="35">
        <f>IFERROR(I402+J402,0)</f>
        <v/>
      </c>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IF(C403="","",ROW()-2)</f>
        <v/>
      </c>
      <c r="B403" s="977" t="n"/>
      <c r="C403" s="977" t="n"/>
      <c r="D403" s="978" t="n"/>
      <c r="E403" s="979" t="n"/>
      <c r="F403" s="980" t="n"/>
      <c r="G403" s="980" t="n"/>
      <c r="H403" s="981" t="n"/>
      <c r="I403" s="973" t="n"/>
      <c r="J403" s="973" t="n"/>
      <c r="K403" s="35">
        <f>IFERROR(I403+J403,0)</f>
        <v/>
      </c>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IF(C404="","",ROW()-2)</f>
        <v/>
      </c>
      <c r="B404" s="977" t="n"/>
      <c r="C404" s="977" t="n"/>
      <c r="D404" s="978" t="n"/>
      <c r="E404" s="979" t="n"/>
      <c r="F404" s="980" t="n"/>
      <c r="G404" s="980" t="n"/>
      <c r="H404" s="981" t="n"/>
      <c r="I404" s="973" t="n"/>
      <c r="J404" s="973" t="n"/>
      <c r="K404" s="35">
        <f>IFERROR(I404+J404,0)</f>
        <v/>
      </c>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IF(C405="","",ROW()-2)</f>
        <v/>
      </c>
      <c r="B405" s="977" t="n"/>
      <c r="C405" s="977" t="n"/>
      <c r="D405" s="978" t="n"/>
      <c r="E405" s="979" t="n"/>
      <c r="F405" s="980" t="n"/>
      <c r="G405" s="980" t="n"/>
      <c r="H405" s="981" t="n"/>
      <c r="I405" s="973" t="n"/>
      <c r="J405" s="973" t="n"/>
      <c r="K405" s="35">
        <f>IFERROR(I405+J405,0)</f>
        <v/>
      </c>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IF(C406="","",ROW()-2)</f>
        <v/>
      </c>
      <c r="B406" s="977" t="n"/>
      <c r="C406" s="977" t="n"/>
      <c r="D406" s="978" t="n"/>
      <c r="E406" s="979" t="n"/>
      <c r="F406" s="980" t="n"/>
      <c r="G406" s="980" t="n"/>
      <c r="H406" s="981" t="n"/>
      <c r="I406" s="973" t="n"/>
      <c r="J406" s="973" t="n"/>
      <c r="K406" s="35">
        <f>IFERROR(I406+J406,0)</f>
        <v/>
      </c>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IF(C407="","",ROW()-2)</f>
        <v/>
      </c>
      <c r="B407" s="977" t="n"/>
      <c r="C407" s="977" t="n"/>
      <c r="D407" s="978" t="n"/>
      <c r="E407" s="979" t="n"/>
      <c r="F407" s="980" t="n"/>
      <c r="G407" s="980" t="n"/>
      <c r="H407" s="981" t="n"/>
      <c r="I407" s="973" t="n"/>
      <c r="J407" s="973" t="n"/>
      <c r="K407" s="35">
        <f>IFERROR(I407+J407,0)</f>
        <v/>
      </c>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IF(C408="","",ROW()-2)</f>
        <v/>
      </c>
      <c r="B408" s="977" t="n"/>
      <c r="C408" s="977" t="n"/>
      <c r="D408" s="978" t="n"/>
      <c r="E408" s="979" t="n"/>
      <c r="F408" s="980" t="n"/>
      <c r="G408" s="980" t="n"/>
      <c r="H408" s="981" t="n"/>
      <c r="I408" s="973" t="n"/>
      <c r="J408" s="973" t="n"/>
      <c r="K408" s="35">
        <f>IFERROR(I408+J408,0)</f>
        <v/>
      </c>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IF(C409="","",ROW()-2)</f>
        <v/>
      </c>
      <c r="B409" s="977" t="n"/>
      <c r="C409" s="977" t="n"/>
      <c r="D409" s="978" t="n"/>
      <c r="E409" s="979" t="n"/>
      <c r="F409" s="980" t="n"/>
      <c r="G409" s="980" t="n"/>
      <c r="H409" s="981" t="n"/>
      <c r="I409" s="973" t="n"/>
      <c r="J409" s="973" t="n"/>
      <c r="K409" s="35">
        <f>IFERROR(I409+J409,0)</f>
        <v/>
      </c>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IF(C410="","",ROW()-2)</f>
        <v/>
      </c>
      <c r="B410" s="977" t="n"/>
      <c r="C410" s="977" t="n"/>
      <c r="D410" s="978" t="n"/>
      <c r="E410" s="979" t="n"/>
      <c r="F410" s="980" t="n"/>
      <c r="G410" s="980" t="n"/>
      <c r="H410" s="981" t="n"/>
      <c r="I410" s="973" t="n"/>
      <c r="J410" s="973" t="n"/>
      <c r="K410" s="35">
        <f>IFERROR(I410+J410,0)</f>
        <v/>
      </c>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IF(C411="","",ROW()-2)</f>
        <v/>
      </c>
      <c r="B411" s="977" t="n"/>
      <c r="C411" s="977" t="n"/>
      <c r="D411" s="978" t="n"/>
      <c r="E411" s="979" t="n"/>
      <c r="F411" s="980" t="n"/>
      <c r="G411" s="980" t="n"/>
      <c r="H411" s="981" t="n"/>
      <c r="I411" s="973" t="n"/>
      <c r="J411" s="973" t="n"/>
      <c r="K411" s="35">
        <f>IFERROR(I411+J411,0)</f>
        <v/>
      </c>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IF(C412="","",ROW()-2)</f>
        <v/>
      </c>
      <c r="B412" s="977" t="n"/>
      <c r="C412" s="977" t="n"/>
      <c r="D412" s="978" t="n"/>
      <c r="E412" s="979" t="n"/>
      <c r="F412" s="980" t="n"/>
      <c r="G412" s="980" t="n"/>
      <c r="H412" s="981" t="n"/>
      <c r="I412" s="973" t="n"/>
      <c r="J412" s="973" t="n"/>
      <c r="K412" s="35">
        <f>IFERROR(I412+J412,0)</f>
        <v/>
      </c>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IF(C413="","",ROW()-2)</f>
        <v/>
      </c>
      <c r="B413" s="977" t="n"/>
      <c r="C413" s="977" t="n"/>
      <c r="D413" s="978" t="n"/>
      <c r="E413" s="979" t="n"/>
      <c r="F413" s="980" t="n"/>
      <c r="G413" s="980" t="n"/>
      <c r="H413" s="981" t="n"/>
      <c r="I413" s="973" t="n"/>
      <c r="J413" s="973" t="n"/>
      <c r="K413" s="35">
        <f>IFERROR(I413+J413,0)</f>
        <v/>
      </c>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IF(C414="","",ROW()-2)</f>
        <v/>
      </c>
      <c r="B414" s="977" t="n"/>
      <c r="C414" s="977" t="n"/>
      <c r="D414" s="978" t="n"/>
      <c r="E414" s="979" t="n"/>
      <c r="F414" s="980" t="n"/>
      <c r="G414" s="980" t="n"/>
      <c r="H414" s="981" t="n"/>
      <c r="I414" s="973" t="n"/>
      <c r="J414" s="973" t="n"/>
      <c r="K414" s="35">
        <f>IFERROR(I414+J414,0)</f>
        <v/>
      </c>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IF(C415="","",ROW()-2)</f>
        <v/>
      </c>
      <c r="B415" s="977" t="n"/>
      <c r="C415" s="977" t="n"/>
      <c r="D415" s="978" t="n"/>
      <c r="E415" s="979" t="n"/>
      <c r="F415" s="980" t="n"/>
      <c r="G415" s="980" t="n"/>
      <c r="H415" s="981" t="n"/>
      <c r="I415" s="973" t="n"/>
      <c r="J415" s="973" t="n"/>
      <c r="K415" s="35">
        <f>IFERROR(I415+J415,0)</f>
        <v/>
      </c>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IF(C416="","",ROW()-2)</f>
        <v/>
      </c>
      <c r="B416" s="977" t="n"/>
      <c r="C416" s="977" t="n"/>
      <c r="D416" s="978" t="n"/>
      <c r="E416" s="979" t="n"/>
      <c r="F416" s="980" t="n"/>
      <c r="G416" s="980" t="n"/>
      <c r="H416" s="981" t="n"/>
      <c r="I416" s="973" t="n"/>
      <c r="J416" s="973" t="n"/>
      <c r="K416" s="35">
        <f>IFERROR(I416+J416,0)</f>
        <v/>
      </c>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IF(C417="","",ROW()-2)</f>
        <v/>
      </c>
      <c r="B417" s="977" t="n"/>
      <c r="C417" s="977" t="n"/>
      <c r="D417" s="978" t="n"/>
      <c r="E417" s="979" t="n"/>
      <c r="F417" s="980" t="n"/>
      <c r="G417" s="980" t="n"/>
      <c r="H417" s="981" t="n"/>
      <c r="I417" s="973" t="n"/>
      <c r="J417" s="973" t="n"/>
      <c r="K417" s="35">
        <f>IFERROR(I417+J417,0)</f>
        <v/>
      </c>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IF(C418="","",ROW()-2)</f>
        <v/>
      </c>
      <c r="B418" s="977" t="n"/>
      <c r="C418" s="977" t="n"/>
      <c r="D418" s="978" t="n"/>
      <c r="E418" s="979" t="n"/>
      <c r="F418" s="980" t="n"/>
      <c r="G418" s="980" t="n"/>
      <c r="H418" s="981" t="n"/>
      <c r="I418" s="973" t="n"/>
      <c r="J418" s="973" t="n"/>
      <c r="K418" s="35">
        <f>IFERROR(I418+J418,0)</f>
        <v/>
      </c>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IF(C419="","",ROW()-2)</f>
        <v/>
      </c>
      <c r="B419" s="977" t="n"/>
      <c r="C419" s="977" t="n"/>
      <c r="D419" s="978" t="n"/>
      <c r="E419" s="979" t="n"/>
      <c r="F419" s="980" t="n"/>
      <c r="G419" s="980" t="n"/>
      <c r="H419" s="981" t="n"/>
      <c r="I419" s="973" t="n"/>
      <c r="J419" s="973" t="n"/>
      <c r="K419" s="35">
        <f>IFERROR(I419+J419,0)</f>
        <v/>
      </c>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IF(C420="","",ROW()-2)</f>
        <v/>
      </c>
      <c r="B420" s="977" t="n"/>
      <c r="C420" s="977" t="n"/>
      <c r="D420" s="978" t="n"/>
      <c r="E420" s="979" t="n"/>
      <c r="F420" s="980" t="n"/>
      <c r="G420" s="980" t="n"/>
      <c r="H420" s="981" t="n"/>
      <c r="I420" s="973" t="n"/>
      <c r="J420" s="973" t="n"/>
      <c r="K420" s="35">
        <f>IFERROR(I420+J420,0)</f>
        <v/>
      </c>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IF(C421="","",ROW()-2)</f>
        <v/>
      </c>
      <c r="B421" s="977" t="n"/>
      <c r="C421" s="977" t="n"/>
      <c r="D421" s="978" t="n"/>
      <c r="E421" s="979" t="n"/>
      <c r="F421" s="980" t="n"/>
      <c r="G421" s="980" t="n"/>
      <c r="H421" s="981" t="n"/>
      <c r="I421" s="973" t="n"/>
      <c r="J421" s="973" t="n"/>
      <c r="K421" s="35">
        <f>IFERROR(I421+J421,0)</f>
        <v/>
      </c>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IF(C422="","",ROW()-2)</f>
        <v/>
      </c>
      <c r="B422" s="977" t="n"/>
      <c r="C422" s="977" t="n"/>
      <c r="D422" s="978" t="n"/>
      <c r="E422" s="979" t="n"/>
      <c r="F422" s="980" t="n"/>
      <c r="G422" s="980" t="n"/>
      <c r="H422" s="981" t="n"/>
      <c r="I422" s="973" t="n"/>
      <c r="J422" s="973" t="n"/>
      <c r="K422" s="35">
        <f>IFERROR(I422+J422,0)</f>
        <v/>
      </c>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IF(C423="","",ROW()-2)</f>
        <v/>
      </c>
      <c r="B423" s="977" t="n"/>
      <c r="C423" s="977" t="n"/>
      <c r="D423" s="978" t="n"/>
      <c r="E423" s="979" t="n"/>
      <c r="F423" s="980" t="n"/>
      <c r="G423" s="980" t="n"/>
      <c r="H423" s="981" t="n"/>
      <c r="I423" s="973" t="n"/>
      <c r="J423" s="973" t="n"/>
      <c r="K423" s="35">
        <f>IFERROR(I423+J423,0)</f>
        <v/>
      </c>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IF(C424="","",ROW()-2)</f>
        <v/>
      </c>
      <c r="B424" s="977" t="n"/>
      <c r="C424" s="977" t="n"/>
      <c r="D424" s="978" t="n"/>
      <c r="E424" s="979" t="n"/>
      <c r="F424" s="980" t="n"/>
      <c r="G424" s="980" t="n"/>
      <c r="H424" s="981" t="n"/>
      <c r="I424" s="973" t="n"/>
      <c r="J424" s="973" t="n"/>
      <c r="K424" s="35">
        <f>IFERROR(I424+J424,0)</f>
        <v/>
      </c>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IF(C425="","",ROW()-2)</f>
        <v/>
      </c>
      <c r="B425" s="977" t="n"/>
      <c r="C425" s="977" t="n"/>
      <c r="D425" s="978" t="n"/>
      <c r="E425" s="979" t="n"/>
      <c r="F425" s="980" t="n"/>
      <c r="G425" s="980" t="n"/>
      <c r="H425" s="981" t="n"/>
      <c r="I425" s="973" t="n"/>
      <c r="J425" s="973" t="n"/>
      <c r="K425" s="35">
        <f>IFERROR(I425+J425,0)</f>
        <v/>
      </c>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IF(C426="","",ROW()-2)</f>
        <v/>
      </c>
      <c r="B426" s="977" t="n"/>
      <c r="C426" s="977" t="n"/>
      <c r="D426" s="978" t="n"/>
      <c r="E426" s="979" t="n"/>
      <c r="F426" s="980" t="n"/>
      <c r="G426" s="980" t="n"/>
      <c r="H426" s="981" t="n"/>
      <c r="I426" s="973" t="n"/>
      <c r="J426" s="973" t="n"/>
      <c r="K426" s="35">
        <f>IFERROR(I426+J426,0)</f>
        <v/>
      </c>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IF(C427="","",ROW()-2)</f>
        <v/>
      </c>
      <c r="B427" s="977" t="n"/>
      <c r="C427" s="977" t="n"/>
      <c r="D427" s="978" t="n"/>
      <c r="E427" s="979" t="n"/>
      <c r="F427" s="980" t="n"/>
      <c r="G427" s="980" t="n"/>
      <c r="H427" s="981" t="n"/>
      <c r="I427" s="973" t="n"/>
      <c r="J427" s="973" t="n"/>
      <c r="K427" s="35">
        <f>IFERROR(I427+J427,0)</f>
        <v/>
      </c>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IF(C428="","",ROW()-2)</f>
        <v/>
      </c>
      <c r="B428" s="977" t="n"/>
      <c r="C428" s="977" t="n"/>
      <c r="D428" s="978" t="n"/>
      <c r="E428" s="979" t="n"/>
      <c r="F428" s="980" t="n"/>
      <c r="G428" s="980" t="n"/>
      <c r="H428" s="981" t="n"/>
      <c r="I428" s="973" t="n"/>
      <c r="J428" s="973" t="n"/>
      <c r="K428" s="35">
        <f>IFERROR(I428+J428,0)</f>
        <v/>
      </c>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IF(C429="","",ROW()-2)</f>
        <v/>
      </c>
      <c r="B429" s="977" t="n"/>
      <c r="C429" s="977" t="n"/>
      <c r="D429" s="978" t="n"/>
      <c r="E429" s="979" t="n"/>
      <c r="F429" s="980" t="n"/>
      <c r="G429" s="980" t="n"/>
      <c r="H429" s="981" t="n"/>
      <c r="I429" s="973" t="n"/>
      <c r="J429" s="973" t="n"/>
      <c r="K429" s="35">
        <f>IFERROR(I429+J429,0)</f>
        <v/>
      </c>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IF(C430="","",ROW()-2)</f>
        <v/>
      </c>
      <c r="B430" s="977" t="n"/>
      <c r="C430" s="977" t="n"/>
      <c r="D430" s="978" t="n"/>
      <c r="E430" s="979" t="n"/>
      <c r="F430" s="980" t="n"/>
      <c r="G430" s="980" t="n"/>
      <c r="H430" s="981" t="n"/>
      <c r="I430" s="973" t="n"/>
      <c r="J430" s="973" t="n"/>
      <c r="K430" s="35">
        <f>IFERROR(I430+J430,0)</f>
        <v/>
      </c>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IF(C431="","",ROW()-2)</f>
        <v/>
      </c>
      <c r="B431" s="977" t="n"/>
      <c r="C431" s="977" t="n"/>
      <c r="D431" s="978" t="n"/>
      <c r="E431" s="979" t="n"/>
      <c r="F431" s="980" t="n"/>
      <c r="G431" s="980" t="n"/>
      <c r="H431" s="981" t="n"/>
      <c r="I431" s="973" t="n"/>
      <c r="J431" s="973" t="n"/>
      <c r="K431" s="35">
        <f>IFERROR(I431+J431,0)</f>
        <v/>
      </c>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IF(C432="","",ROW()-2)</f>
        <v/>
      </c>
      <c r="B432" s="977" t="n"/>
      <c r="C432" s="977" t="n"/>
      <c r="D432" s="978" t="n"/>
      <c r="E432" s="979" t="n"/>
      <c r="F432" s="980" t="n"/>
      <c r="G432" s="980" t="n"/>
      <c r="H432" s="981" t="n"/>
      <c r="I432" s="973" t="n"/>
      <c r="J432" s="973" t="n"/>
      <c r="K432" s="35">
        <f>IFERROR(I432+J432,0)</f>
        <v/>
      </c>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IF(C433="","",ROW()-2)</f>
        <v/>
      </c>
      <c r="B433" s="977" t="n"/>
      <c r="C433" s="977" t="n"/>
      <c r="D433" s="978" t="n"/>
      <c r="E433" s="979" t="n"/>
      <c r="F433" s="980" t="n"/>
      <c r="G433" s="980" t="n"/>
      <c r="H433" s="981" t="n"/>
      <c r="I433" s="973" t="n"/>
      <c r="J433" s="973" t="n"/>
      <c r="K433" s="35">
        <f>IFERROR(I433+J433,0)</f>
        <v/>
      </c>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IF(C434="","",ROW()-2)</f>
        <v/>
      </c>
      <c r="B434" s="977" t="n"/>
      <c r="C434" s="977" t="n"/>
      <c r="D434" s="978" t="n"/>
      <c r="E434" s="979" t="n"/>
      <c r="F434" s="980" t="n"/>
      <c r="G434" s="980" t="n"/>
      <c r="H434" s="981" t="n"/>
      <c r="I434" s="973" t="n"/>
      <c r="J434" s="973" t="n"/>
      <c r="K434" s="35">
        <f>IFERROR(I434+J434,0)</f>
        <v/>
      </c>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IF(C435="","",ROW()-2)</f>
        <v/>
      </c>
      <c r="B435" s="977" t="n"/>
      <c r="C435" s="977" t="n"/>
      <c r="D435" s="978" t="n"/>
      <c r="E435" s="979" t="n"/>
      <c r="F435" s="980" t="n"/>
      <c r="G435" s="980" t="n"/>
      <c r="H435" s="981" t="n"/>
      <c r="I435" s="973" t="n"/>
      <c r="J435" s="973" t="n"/>
      <c r="K435" s="35">
        <f>IFERROR(I435+J435,0)</f>
        <v/>
      </c>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IF(C436="","",ROW()-2)</f>
        <v/>
      </c>
      <c r="B436" s="977" t="n"/>
      <c r="C436" s="977" t="n"/>
      <c r="D436" s="978" t="n"/>
      <c r="E436" s="979" t="n"/>
      <c r="F436" s="980" t="n"/>
      <c r="G436" s="980" t="n"/>
      <c r="H436" s="981" t="n"/>
      <c r="I436" s="973" t="n"/>
      <c r="J436" s="973" t="n"/>
      <c r="K436" s="35">
        <f>IFERROR(I436+J436,0)</f>
        <v/>
      </c>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IF(C437="","",ROW()-2)</f>
        <v/>
      </c>
      <c r="B437" s="977" t="n"/>
      <c r="C437" s="977" t="n"/>
      <c r="D437" s="978" t="n"/>
      <c r="E437" s="979" t="n"/>
      <c r="F437" s="980" t="n"/>
      <c r="G437" s="980" t="n"/>
      <c r="H437" s="981" t="n"/>
      <c r="I437" s="973" t="n"/>
      <c r="J437" s="973" t="n"/>
      <c r="K437" s="35">
        <f>IFERROR(I437+J437,0)</f>
        <v/>
      </c>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IF(C438="","",ROW()-2)</f>
        <v/>
      </c>
      <c r="B438" s="977" t="n"/>
      <c r="C438" s="977" t="n"/>
      <c r="D438" s="978" t="n"/>
      <c r="E438" s="979" t="n"/>
      <c r="F438" s="980" t="n"/>
      <c r="G438" s="980" t="n"/>
      <c r="H438" s="981" t="n"/>
      <c r="I438" s="973" t="n"/>
      <c r="J438" s="973" t="n"/>
      <c r="K438" s="35">
        <f>IFERROR(I438+J438,0)</f>
        <v/>
      </c>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IF(C439="","",ROW()-2)</f>
        <v/>
      </c>
      <c r="B439" s="977" t="n"/>
      <c r="C439" s="977" t="n"/>
      <c r="D439" s="978" t="n"/>
      <c r="E439" s="979" t="n"/>
      <c r="F439" s="980" t="n"/>
      <c r="G439" s="980" t="n"/>
      <c r="H439" s="981" t="n"/>
      <c r="I439" s="973" t="n"/>
      <c r="J439" s="973" t="n"/>
      <c r="K439" s="35">
        <f>IFERROR(I439+J439,0)</f>
        <v/>
      </c>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IF(C440="","",ROW()-2)</f>
        <v/>
      </c>
      <c r="B440" s="977" t="n"/>
      <c r="C440" s="977" t="n"/>
      <c r="D440" s="978" t="n"/>
      <c r="E440" s="979" t="n"/>
      <c r="F440" s="980" t="n"/>
      <c r="G440" s="980" t="n"/>
      <c r="H440" s="981" t="n"/>
      <c r="I440" s="973" t="n"/>
      <c r="J440" s="973" t="n"/>
      <c r="K440" s="35">
        <f>IFERROR(I440+J440,0)</f>
        <v/>
      </c>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IF(C441="","",ROW()-2)</f>
        <v/>
      </c>
      <c r="B441" s="977" t="n"/>
      <c r="C441" s="977" t="n"/>
      <c r="D441" s="978" t="n"/>
      <c r="E441" s="979" t="n"/>
      <c r="F441" s="980" t="n"/>
      <c r="G441" s="980" t="n"/>
      <c r="H441" s="981" t="n"/>
      <c r="I441" s="973" t="n"/>
      <c r="J441" s="973" t="n"/>
      <c r="K441" s="35">
        <f>IFERROR(I441+J441,0)</f>
        <v/>
      </c>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IF(C442="","",ROW()-2)</f>
        <v/>
      </c>
      <c r="B442" s="977" t="n"/>
      <c r="C442" s="977" t="n"/>
      <c r="D442" s="978" t="n"/>
      <c r="E442" s="979" t="n"/>
      <c r="F442" s="980" t="n"/>
      <c r="G442" s="980" t="n"/>
      <c r="H442" s="981" t="n"/>
      <c r="I442" s="973" t="n"/>
      <c r="J442" s="973" t="n"/>
      <c r="K442" s="35">
        <f>IFERROR(I442+J442,0)</f>
        <v/>
      </c>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IF(C443="","",ROW()-2)</f>
        <v/>
      </c>
      <c r="B443" s="977" t="n"/>
      <c r="C443" s="977" t="n"/>
      <c r="D443" s="978" t="n"/>
      <c r="E443" s="979" t="n"/>
      <c r="F443" s="980" t="n"/>
      <c r="G443" s="980" t="n"/>
      <c r="H443" s="981" t="n"/>
      <c r="I443" s="973" t="n"/>
      <c r="J443" s="973" t="n"/>
      <c r="K443" s="35">
        <f>IFERROR(I443+J443,0)</f>
        <v/>
      </c>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IF(C444="","",ROW()-2)</f>
        <v/>
      </c>
      <c r="B444" s="977" t="n"/>
      <c r="C444" s="977" t="n"/>
      <c r="D444" s="978" t="n"/>
      <c r="E444" s="979" t="n"/>
      <c r="F444" s="980" t="n"/>
      <c r="G444" s="980" t="n"/>
      <c r="H444" s="981" t="n"/>
      <c r="I444" s="973" t="n"/>
      <c r="J444" s="973" t="n"/>
      <c r="K444" s="35">
        <f>IFERROR(I444+J444,0)</f>
        <v/>
      </c>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IF(C445="","",ROW()-2)</f>
        <v/>
      </c>
      <c r="B445" s="977" t="n"/>
      <c r="C445" s="977" t="n"/>
      <c r="D445" s="978" t="n"/>
      <c r="E445" s="979" t="n"/>
      <c r="F445" s="980" t="n"/>
      <c r="G445" s="980" t="n"/>
      <c r="H445" s="981" t="n"/>
      <c r="I445" s="973" t="n"/>
      <c r="J445" s="973" t="n"/>
      <c r="K445" s="35">
        <f>IFERROR(I445+J445,0)</f>
        <v/>
      </c>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IF(C446="","",ROW()-2)</f>
        <v/>
      </c>
      <c r="B446" s="977" t="n"/>
      <c r="C446" s="977" t="n"/>
      <c r="D446" s="978" t="n"/>
      <c r="E446" s="979" t="n"/>
      <c r="F446" s="980" t="n"/>
      <c r="G446" s="980" t="n"/>
      <c r="H446" s="981" t="n"/>
      <c r="I446" s="973" t="n"/>
      <c r="J446" s="973" t="n"/>
      <c r="K446" s="35">
        <f>IFERROR(I446+J446,0)</f>
        <v/>
      </c>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IF(C447="","",ROW()-2)</f>
        <v/>
      </c>
      <c r="B447" s="977" t="n"/>
      <c r="C447" s="977" t="n"/>
      <c r="D447" s="978" t="n"/>
      <c r="E447" s="979" t="n"/>
      <c r="F447" s="980" t="n"/>
      <c r="G447" s="980" t="n"/>
      <c r="H447" s="981" t="n"/>
      <c r="I447" s="973" t="n"/>
      <c r="J447" s="973" t="n"/>
      <c r="K447" s="35">
        <f>IFERROR(I447+J447,0)</f>
        <v/>
      </c>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IF(C448="","",ROW()-2)</f>
        <v/>
      </c>
      <c r="B448" s="977" t="n"/>
      <c r="C448" s="977" t="n"/>
      <c r="D448" s="978" t="n"/>
      <c r="E448" s="979" t="n"/>
      <c r="F448" s="980" t="n"/>
      <c r="G448" s="980" t="n"/>
      <c r="H448" s="981" t="n"/>
      <c r="I448" s="973" t="n"/>
      <c r="J448" s="973" t="n"/>
      <c r="K448" s="35">
        <f>IFERROR(I448+J448,0)</f>
        <v/>
      </c>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IF(C449="","",ROW()-2)</f>
        <v/>
      </c>
      <c r="B449" s="977" t="n"/>
      <c r="C449" s="977" t="n"/>
      <c r="D449" s="978" t="n"/>
      <c r="E449" s="979" t="n"/>
      <c r="F449" s="980" t="n"/>
      <c r="G449" s="980" t="n"/>
      <c r="H449" s="981" t="n"/>
      <c r="I449" s="973" t="n"/>
      <c r="J449" s="973" t="n"/>
      <c r="K449" s="35">
        <f>IFERROR(I449+J449,0)</f>
        <v/>
      </c>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IF(C450="","",ROW()-2)</f>
        <v/>
      </c>
      <c r="B450" s="977" t="n"/>
      <c r="C450" s="977" t="n"/>
      <c r="D450" s="978" t="n"/>
      <c r="E450" s="979" t="n"/>
      <c r="F450" s="980" t="n"/>
      <c r="G450" s="980" t="n"/>
      <c r="H450" s="981" t="n"/>
      <c r="I450" s="973" t="n"/>
      <c r="J450" s="973" t="n"/>
      <c r="K450" s="35">
        <f>IFERROR(I450+J450,0)</f>
        <v/>
      </c>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IF(C451="","",ROW()-2)</f>
        <v/>
      </c>
      <c r="B451" s="977" t="n"/>
      <c r="C451" s="977" t="n"/>
      <c r="D451" s="978" t="n"/>
      <c r="E451" s="979" t="n"/>
      <c r="F451" s="980" t="n"/>
      <c r="G451" s="980" t="n"/>
      <c r="H451" s="981" t="n"/>
      <c r="I451" s="973" t="n"/>
      <c r="J451" s="973" t="n"/>
      <c r="K451" s="35">
        <f>IFERROR(I451+J451,0)</f>
        <v/>
      </c>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IF(C452="","",ROW()-2)</f>
        <v/>
      </c>
      <c r="B452" s="977" t="n"/>
      <c r="C452" s="977" t="n"/>
      <c r="D452" s="978" t="n"/>
      <c r="E452" s="979" t="n"/>
      <c r="F452" s="980" t="n"/>
      <c r="G452" s="980" t="n"/>
      <c r="H452" s="981" t="n"/>
      <c r="I452" s="973" t="n"/>
      <c r="J452" s="973" t="n"/>
      <c r="K452" s="35">
        <f>IFERROR(I452+J452,0)</f>
        <v/>
      </c>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IF(C453="","",ROW()-2)</f>
        <v/>
      </c>
      <c r="B453" s="977" t="n"/>
      <c r="C453" s="977" t="n"/>
      <c r="D453" s="978" t="n"/>
      <c r="E453" s="979" t="n"/>
      <c r="F453" s="980" t="n"/>
      <c r="G453" s="980" t="n"/>
      <c r="H453" s="981" t="n"/>
      <c r="I453" s="973" t="n"/>
      <c r="J453" s="973" t="n"/>
      <c r="K453" s="35">
        <f>IFERROR(I453+J453,0)</f>
        <v/>
      </c>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IF(C454="","",ROW()-2)</f>
        <v/>
      </c>
      <c r="B454" s="977" t="n"/>
      <c r="C454" s="977" t="n"/>
      <c r="D454" s="978" t="n"/>
      <c r="E454" s="979" t="n"/>
      <c r="F454" s="980" t="n"/>
      <c r="G454" s="980" t="n"/>
      <c r="H454" s="981" t="n"/>
      <c r="I454" s="973" t="n"/>
      <c r="J454" s="973" t="n"/>
      <c r="K454" s="35">
        <f>IFERROR(I454+J454,0)</f>
        <v/>
      </c>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IF(C455="","",ROW()-2)</f>
        <v/>
      </c>
      <c r="B455" s="977" t="n"/>
      <c r="C455" s="977" t="n"/>
      <c r="D455" s="978" t="n"/>
      <c r="E455" s="979" t="n"/>
      <c r="F455" s="980" t="n"/>
      <c r="G455" s="980" t="n"/>
      <c r="H455" s="981" t="n"/>
      <c r="I455" s="973" t="n"/>
      <c r="J455" s="973" t="n"/>
      <c r="K455" s="35">
        <f>IFERROR(I455+J455,0)</f>
        <v/>
      </c>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IF(C456="","",ROW()-2)</f>
        <v/>
      </c>
      <c r="B456" s="977" t="n"/>
      <c r="C456" s="977" t="n"/>
      <c r="D456" s="978" t="n"/>
      <c r="E456" s="979" t="n"/>
      <c r="F456" s="980" t="n"/>
      <c r="G456" s="980" t="n"/>
      <c r="H456" s="981" t="n"/>
      <c r="I456" s="973" t="n"/>
      <c r="J456" s="973" t="n"/>
      <c r="K456" s="35">
        <f>IFERROR(I456+J456,0)</f>
        <v/>
      </c>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IF(C457="","",ROW()-2)</f>
        <v/>
      </c>
      <c r="B457" s="977" t="n"/>
      <c r="C457" s="977" t="n"/>
      <c r="D457" s="978" t="n"/>
      <c r="E457" s="979" t="n"/>
      <c r="F457" s="980" t="n"/>
      <c r="G457" s="980" t="n"/>
      <c r="H457" s="981" t="n"/>
      <c r="I457" s="973" t="n"/>
      <c r="J457" s="973" t="n"/>
      <c r="K457" s="35">
        <f>IFERROR(I457+J457,0)</f>
        <v/>
      </c>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IF(C458="","",ROW()-2)</f>
        <v/>
      </c>
      <c r="B458" s="977" t="n"/>
      <c r="C458" s="977" t="n"/>
      <c r="D458" s="978" t="n"/>
      <c r="E458" s="979" t="n"/>
      <c r="F458" s="980" t="n"/>
      <c r="G458" s="980" t="n"/>
      <c r="H458" s="981" t="n"/>
      <c r="I458" s="973" t="n"/>
      <c r="J458" s="973" t="n"/>
      <c r="K458" s="35">
        <f>IFERROR(I458+J458,0)</f>
        <v/>
      </c>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IF(C459="","",ROW()-2)</f>
        <v/>
      </c>
      <c r="B459" s="977" t="n"/>
      <c r="C459" s="977" t="n"/>
      <c r="D459" s="978" t="n"/>
      <c r="E459" s="979" t="n"/>
      <c r="F459" s="980" t="n"/>
      <c r="G459" s="980" t="n"/>
      <c r="H459" s="981" t="n"/>
      <c r="I459" s="973" t="n"/>
      <c r="J459" s="973" t="n"/>
      <c r="K459" s="35">
        <f>IFERROR(I459+J459,0)</f>
        <v/>
      </c>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IF(C460="","",ROW()-2)</f>
        <v/>
      </c>
      <c r="B460" s="977" t="n"/>
      <c r="C460" s="977" t="n"/>
      <c r="D460" s="978" t="n"/>
      <c r="E460" s="979" t="n"/>
      <c r="F460" s="980" t="n"/>
      <c r="G460" s="980" t="n"/>
      <c r="H460" s="981" t="n"/>
      <c r="I460" s="973" t="n"/>
      <c r="J460" s="973" t="n"/>
      <c r="K460" s="35">
        <f>IFERROR(I460+J460,0)</f>
        <v/>
      </c>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IF(C461="","",ROW()-2)</f>
        <v/>
      </c>
      <c r="B461" s="977" t="n"/>
      <c r="C461" s="977" t="n"/>
      <c r="D461" s="978" t="n"/>
      <c r="E461" s="979" t="n"/>
      <c r="F461" s="980" t="n"/>
      <c r="G461" s="980" t="n"/>
      <c r="H461" s="981" t="n"/>
      <c r="I461" s="973" t="n"/>
      <c r="J461" s="973" t="n"/>
      <c r="K461" s="35">
        <f>IFERROR(I461+J461,0)</f>
        <v/>
      </c>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IF(C462="","",ROW()-2)</f>
        <v/>
      </c>
      <c r="B462" s="977" t="n"/>
      <c r="C462" s="977" t="n"/>
      <c r="D462" s="978" t="n"/>
      <c r="E462" s="979" t="n"/>
      <c r="F462" s="980" t="n"/>
      <c r="G462" s="980" t="n"/>
      <c r="H462" s="981" t="n"/>
      <c r="I462" s="973" t="n"/>
      <c r="J462" s="973" t="n"/>
      <c r="K462" s="35">
        <f>IFERROR(I462+J462,0)</f>
        <v/>
      </c>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IF(C463="","",ROW()-2)</f>
        <v/>
      </c>
      <c r="B463" s="977" t="n"/>
      <c r="C463" s="977" t="n"/>
      <c r="D463" s="978" t="n"/>
      <c r="E463" s="979" t="n"/>
      <c r="F463" s="980" t="n"/>
      <c r="G463" s="980" t="n"/>
      <c r="H463" s="981" t="n"/>
      <c r="I463" s="973" t="n"/>
      <c r="J463" s="973" t="n"/>
      <c r="K463" s="35">
        <f>IFERROR(I463+J463,0)</f>
        <v/>
      </c>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IF(C464="","",ROW()-2)</f>
        <v/>
      </c>
      <c r="B464" s="977" t="n"/>
      <c r="C464" s="977" t="n"/>
      <c r="D464" s="978" t="n"/>
      <c r="E464" s="979" t="n"/>
      <c r="F464" s="980" t="n"/>
      <c r="G464" s="980" t="n"/>
      <c r="H464" s="981" t="n"/>
      <c r="I464" s="973" t="n"/>
      <c r="J464" s="973" t="n"/>
      <c r="K464" s="35">
        <f>IFERROR(I464+J464,0)</f>
        <v/>
      </c>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IF(C465="","",ROW()-2)</f>
        <v/>
      </c>
      <c r="B465" s="977" t="n"/>
      <c r="C465" s="977" t="n"/>
      <c r="D465" s="978" t="n"/>
      <c r="E465" s="979" t="n"/>
      <c r="F465" s="980" t="n"/>
      <c r="G465" s="980" t="n"/>
      <c r="H465" s="981" t="n"/>
      <c r="I465" s="973" t="n"/>
      <c r="J465" s="973" t="n"/>
      <c r="K465" s="35">
        <f>IFERROR(I465+J465,0)</f>
        <v/>
      </c>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IF(C466="","",ROW()-2)</f>
        <v/>
      </c>
      <c r="B466" s="977" t="n"/>
      <c r="C466" s="977" t="n"/>
      <c r="D466" s="978" t="n"/>
      <c r="E466" s="979" t="n"/>
      <c r="F466" s="980" t="n"/>
      <c r="G466" s="980" t="n"/>
      <c r="H466" s="981" t="n"/>
      <c r="I466" s="973" t="n"/>
      <c r="J466" s="973" t="n"/>
      <c r="K466" s="35">
        <f>IFERROR(I466+J466,0)</f>
        <v/>
      </c>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IF(C467="","",ROW()-2)</f>
        <v/>
      </c>
      <c r="B467" s="977" t="n"/>
      <c r="C467" s="977" t="n"/>
      <c r="D467" s="978" t="n"/>
      <c r="E467" s="979" t="n"/>
      <c r="F467" s="980" t="n"/>
      <c r="G467" s="980" t="n"/>
      <c r="H467" s="981" t="n"/>
      <c r="I467" s="973" t="n"/>
      <c r="J467" s="973" t="n"/>
      <c r="K467" s="35">
        <f>IFERROR(I467+J467,0)</f>
        <v/>
      </c>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IF(C468="","",ROW()-2)</f>
        <v/>
      </c>
      <c r="B468" s="977" t="n"/>
      <c r="C468" s="977" t="n"/>
      <c r="D468" s="978" t="n"/>
      <c r="E468" s="979" t="n"/>
      <c r="F468" s="980" t="n"/>
      <c r="G468" s="980" t="n"/>
      <c r="H468" s="981" t="n"/>
      <c r="I468" s="973" t="n"/>
      <c r="J468" s="973" t="n"/>
      <c r="K468" s="35">
        <f>IFERROR(I468+J468,0)</f>
        <v/>
      </c>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IF(C469="","",ROW()-2)</f>
        <v/>
      </c>
      <c r="B469" s="977" t="n"/>
      <c r="C469" s="977" t="n"/>
      <c r="D469" s="978" t="n"/>
      <c r="E469" s="979" t="n"/>
      <c r="F469" s="980" t="n"/>
      <c r="G469" s="980" t="n"/>
      <c r="H469" s="981" t="n"/>
      <c r="I469" s="973" t="n"/>
      <c r="J469" s="973" t="n"/>
      <c r="K469" s="35">
        <f>IFERROR(I469+J469,0)</f>
        <v/>
      </c>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IF(C470="","",ROW()-2)</f>
        <v/>
      </c>
      <c r="B470" s="977" t="n"/>
      <c r="C470" s="977" t="n"/>
      <c r="D470" s="978" t="n"/>
      <c r="E470" s="979" t="n"/>
      <c r="F470" s="980" t="n"/>
      <c r="G470" s="980" t="n"/>
      <c r="H470" s="981" t="n"/>
      <c r="I470" s="973" t="n"/>
      <c r="J470" s="973" t="n"/>
      <c r="K470" s="35">
        <f>IFERROR(I470+J470,0)</f>
        <v/>
      </c>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IF(C471="","",ROW()-2)</f>
        <v/>
      </c>
      <c r="B471" s="977" t="n"/>
      <c r="C471" s="977" t="n"/>
      <c r="D471" s="978" t="n"/>
      <c r="E471" s="979" t="n"/>
      <c r="F471" s="980" t="n"/>
      <c r="G471" s="980" t="n"/>
      <c r="H471" s="981" t="n"/>
      <c r="I471" s="973" t="n"/>
      <c r="J471" s="973" t="n"/>
      <c r="K471" s="35">
        <f>IFERROR(I471+J471,0)</f>
        <v/>
      </c>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IF(C472="","",ROW()-2)</f>
        <v/>
      </c>
      <c r="B472" s="977" t="n"/>
      <c r="C472" s="977" t="n"/>
      <c r="D472" s="978" t="n"/>
      <c r="E472" s="979" t="n"/>
      <c r="F472" s="980" t="n"/>
      <c r="G472" s="980" t="n"/>
      <c r="H472" s="981" t="n"/>
      <c r="I472" s="973" t="n"/>
      <c r="J472" s="973" t="n"/>
      <c r="K472" s="35">
        <f>IFERROR(I472+J472,0)</f>
        <v/>
      </c>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IF(C473="","",ROW()-2)</f>
        <v/>
      </c>
      <c r="B473" s="977" t="n"/>
      <c r="C473" s="977" t="n"/>
      <c r="D473" s="978" t="n"/>
      <c r="E473" s="979" t="n"/>
      <c r="F473" s="980" t="n"/>
      <c r="G473" s="980" t="n"/>
      <c r="H473" s="981" t="n"/>
      <c r="I473" s="973" t="n"/>
      <c r="J473" s="973" t="n"/>
      <c r="K473" s="35">
        <f>IFERROR(I473+J473,0)</f>
        <v/>
      </c>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IF(C474="","",ROW()-2)</f>
        <v/>
      </c>
      <c r="B474" s="977" t="n"/>
      <c r="C474" s="977" t="n"/>
      <c r="D474" s="978" t="n"/>
      <c r="E474" s="979" t="n"/>
      <c r="F474" s="980" t="n"/>
      <c r="G474" s="980" t="n"/>
      <c r="H474" s="981" t="n"/>
      <c r="I474" s="973" t="n"/>
      <c r="J474" s="973" t="n"/>
      <c r="K474" s="35">
        <f>IFERROR(I474+J474,0)</f>
        <v/>
      </c>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IF(C475="","",ROW()-2)</f>
        <v/>
      </c>
      <c r="B475" s="977" t="n"/>
      <c r="C475" s="977" t="n"/>
      <c r="D475" s="978" t="n"/>
      <c r="E475" s="979" t="n"/>
      <c r="F475" s="980" t="n"/>
      <c r="G475" s="980" t="n"/>
      <c r="H475" s="981" t="n"/>
      <c r="I475" s="973" t="n"/>
      <c r="J475" s="973" t="n"/>
      <c r="K475" s="35">
        <f>IFERROR(I475+J475,0)</f>
        <v/>
      </c>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IF(C476="","",ROW()-2)</f>
        <v/>
      </c>
      <c r="B476" s="977" t="n"/>
      <c r="C476" s="977" t="n"/>
      <c r="D476" s="978" t="n"/>
      <c r="E476" s="979" t="n"/>
      <c r="F476" s="980" t="n"/>
      <c r="G476" s="980" t="n"/>
      <c r="H476" s="981" t="n"/>
      <c r="I476" s="973" t="n"/>
      <c r="J476" s="973" t="n"/>
      <c r="K476" s="35">
        <f>IFERROR(I476+J476,0)</f>
        <v/>
      </c>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IF(C477="","",ROW()-2)</f>
        <v/>
      </c>
      <c r="B477" s="977" t="n"/>
      <c r="C477" s="977" t="n"/>
      <c r="D477" s="978" t="n"/>
      <c r="E477" s="979" t="n"/>
      <c r="F477" s="980" t="n"/>
      <c r="G477" s="980" t="n"/>
      <c r="H477" s="981" t="n"/>
      <c r="I477" s="973" t="n"/>
      <c r="J477" s="973" t="n"/>
      <c r="K477" s="35">
        <f>IFERROR(I477+J477,0)</f>
        <v/>
      </c>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IF(C478="","",ROW()-2)</f>
        <v/>
      </c>
      <c r="B478" s="977" t="n"/>
      <c r="C478" s="977" t="n"/>
      <c r="D478" s="978" t="n"/>
      <c r="E478" s="979" t="n"/>
      <c r="F478" s="980" t="n"/>
      <c r="G478" s="980" t="n"/>
      <c r="H478" s="981" t="n"/>
      <c r="I478" s="973" t="n"/>
      <c r="J478" s="973" t="n"/>
      <c r="K478" s="35">
        <f>IFERROR(I478+J478,0)</f>
        <v/>
      </c>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IF(C479="","",ROW()-2)</f>
        <v/>
      </c>
      <c r="B479" s="977" t="n"/>
      <c r="C479" s="977" t="n"/>
      <c r="D479" s="978" t="n"/>
      <c r="E479" s="979" t="n"/>
      <c r="F479" s="980" t="n"/>
      <c r="G479" s="980" t="n"/>
      <c r="H479" s="981" t="n"/>
      <c r="I479" s="973" t="n"/>
      <c r="J479" s="973" t="n"/>
      <c r="K479" s="35">
        <f>IFERROR(I479+J479,0)</f>
        <v/>
      </c>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IF(C480="","",ROW()-2)</f>
        <v/>
      </c>
      <c r="B480" s="977" t="n"/>
      <c r="C480" s="977" t="n"/>
      <c r="D480" s="978" t="n"/>
      <c r="E480" s="979" t="n"/>
      <c r="F480" s="980" t="n"/>
      <c r="G480" s="980" t="n"/>
      <c r="H480" s="981" t="n"/>
      <c r="I480" s="973" t="n"/>
      <c r="J480" s="973" t="n"/>
      <c r="K480" s="35">
        <f>IFERROR(I480+J480,0)</f>
        <v/>
      </c>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IF(C481="","",ROW()-2)</f>
        <v/>
      </c>
      <c r="B481" s="977" t="n"/>
      <c r="C481" s="977" t="n"/>
      <c r="D481" s="978" t="n"/>
      <c r="E481" s="979" t="n"/>
      <c r="F481" s="980" t="n"/>
      <c r="G481" s="980" t="n"/>
      <c r="H481" s="981" t="n"/>
      <c r="I481" s="973" t="n"/>
      <c r="J481" s="973" t="n"/>
      <c r="K481" s="35">
        <f>IFERROR(I481+J481,0)</f>
        <v/>
      </c>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IF(C482="","",ROW()-2)</f>
        <v/>
      </c>
      <c r="B482" s="977" t="n"/>
      <c r="C482" s="977" t="n"/>
      <c r="D482" s="978" t="n"/>
      <c r="E482" s="979" t="n"/>
      <c r="F482" s="980" t="n"/>
      <c r="G482" s="980" t="n"/>
      <c r="H482" s="981" t="n"/>
      <c r="I482" s="973" t="n"/>
      <c r="J482" s="973" t="n"/>
      <c r="K482" s="35">
        <f>IFERROR(I482+J482,0)</f>
        <v/>
      </c>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IF(C483="","",ROW()-2)</f>
        <v/>
      </c>
      <c r="B483" s="977" t="n"/>
      <c r="C483" s="977" t="n"/>
      <c r="D483" s="978" t="n"/>
      <c r="E483" s="979" t="n"/>
      <c r="F483" s="980" t="n"/>
      <c r="G483" s="980" t="n"/>
      <c r="H483" s="981" t="n"/>
      <c r="I483" s="973" t="n"/>
      <c r="J483" s="973" t="n"/>
      <c r="K483" s="35">
        <f>IFERROR(I483+J483,0)</f>
        <v/>
      </c>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IF(C484="","",ROW()-2)</f>
        <v/>
      </c>
      <c r="B484" s="977" t="n"/>
      <c r="C484" s="977" t="n"/>
      <c r="D484" s="978" t="n"/>
      <c r="E484" s="979" t="n"/>
      <c r="F484" s="980" t="n"/>
      <c r="G484" s="980" t="n"/>
      <c r="H484" s="981" t="n"/>
      <c r="I484" s="973" t="n"/>
      <c r="J484" s="973" t="n"/>
      <c r="K484" s="35">
        <f>IFERROR(I484+J484,0)</f>
        <v/>
      </c>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IF(C485="","",ROW()-2)</f>
        <v/>
      </c>
      <c r="B485" s="977" t="n"/>
      <c r="C485" s="977" t="n"/>
      <c r="D485" s="978" t="n"/>
      <c r="E485" s="979" t="n"/>
      <c r="F485" s="980" t="n"/>
      <c r="G485" s="980" t="n"/>
      <c r="H485" s="981" t="n"/>
      <c r="I485" s="973" t="n"/>
      <c r="J485" s="973" t="n"/>
      <c r="K485" s="35">
        <f>IFERROR(I485+J485,0)</f>
        <v/>
      </c>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IF(C486="","",ROW()-2)</f>
        <v/>
      </c>
      <c r="B486" s="977" t="n"/>
      <c r="C486" s="977" t="n"/>
      <c r="D486" s="978" t="n"/>
      <c r="E486" s="979" t="n"/>
      <c r="F486" s="980" t="n"/>
      <c r="G486" s="980" t="n"/>
      <c r="H486" s="981" t="n"/>
      <c r="I486" s="973" t="n"/>
      <c r="J486" s="973" t="n"/>
      <c r="K486" s="35">
        <f>IFERROR(I486+J486,0)</f>
        <v/>
      </c>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IF(C487="","",ROW()-2)</f>
        <v/>
      </c>
      <c r="B487" s="977" t="n"/>
      <c r="C487" s="977" t="n"/>
      <c r="D487" s="978" t="n"/>
      <c r="E487" s="979" t="n"/>
      <c r="F487" s="980" t="n"/>
      <c r="G487" s="980" t="n"/>
      <c r="H487" s="981" t="n"/>
      <c r="I487" s="973" t="n"/>
      <c r="J487" s="973" t="n"/>
      <c r="K487" s="35">
        <f>IFERROR(I487+J487,0)</f>
        <v/>
      </c>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IF(C488="","",ROW()-2)</f>
        <v/>
      </c>
      <c r="B488" s="977" t="n"/>
      <c r="C488" s="977" t="n"/>
      <c r="D488" s="978" t="n"/>
      <c r="E488" s="979" t="n"/>
      <c r="F488" s="980" t="n"/>
      <c r="G488" s="980" t="n"/>
      <c r="H488" s="981" t="n"/>
      <c r="I488" s="973" t="n"/>
      <c r="J488" s="973" t="n"/>
      <c r="K488" s="35">
        <f>IFERROR(I488+J488,0)</f>
        <v/>
      </c>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IF(C489="","",ROW()-2)</f>
        <v/>
      </c>
      <c r="B489" s="977" t="n"/>
      <c r="C489" s="977" t="n"/>
      <c r="D489" s="978" t="n"/>
      <c r="E489" s="979" t="n"/>
      <c r="F489" s="980" t="n"/>
      <c r="G489" s="980" t="n"/>
      <c r="H489" s="981" t="n"/>
      <c r="I489" s="973" t="n"/>
      <c r="J489" s="973" t="n"/>
      <c r="K489" s="35">
        <f>IFERROR(I489+J489,0)</f>
        <v/>
      </c>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IF(C490="","",ROW()-2)</f>
        <v/>
      </c>
      <c r="B490" s="977" t="n"/>
      <c r="C490" s="977" t="n"/>
      <c r="D490" s="978" t="n"/>
      <c r="E490" s="979" t="n"/>
      <c r="F490" s="980" t="n"/>
      <c r="G490" s="980" t="n"/>
      <c r="H490" s="981" t="n"/>
      <c r="I490" s="973" t="n"/>
      <c r="J490" s="973" t="n"/>
      <c r="K490" s="35">
        <f>IFERROR(I490+J490,0)</f>
        <v/>
      </c>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IF(C491="","",ROW()-2)</f>
        <v/>
      </c>
      <c r="B491" s="977" t="n"/>
      <c r="C491" s="977" t="n"/>
      <c r="D491" s="978" t="n"/>
      <c r="E491" s="979" t="n"/>
      <c r="F491" s="980" t="n"/>
      <c r="G491" s="980" t="n"/>
      <c r="H491" s="981" t="n"/>
      <c r="I491" s="973" t="n"/>
      <c r="J491" s="973" t="n"/>
      <c r="K491" s="35">
        <f>IFERROR(I491+J491,0)</f>
        <v/>
      </c>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IF(C492="","",ROW()-2)</f>
        <v/>
      </c>
      <c r="B492" s="977" t="n"/>
      <c r="C492" s="977" t="n"/>
      <c r="D492" s="978" t="n"/>
      <c r="E492" s="979" t="n"/>
      <c r="F492" s="980" t="n"/>
      <c r="G492" s="980" t="n"/>
      <c r="H492" s="981" t="n"/>
      <c r="I492" s="973" t="n"/>
      <c r="J492" s="973" t="n"/>
      <c r="K492" s="35">
        <f>IFERROR(I492+J492,0)</f>
        <v/>
      </c>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IF(C493="","",ROW()-2)</f>
        <v/>
      </c>
      <c r="B493" s="977" t="n"/>
      <c r="C493" s="977" t="n"/>
      <c r="D493" s="978" t="n"/>
      <c r="E493" s="979" t="n"/>
      <c r="F493" s="980" t="n"/>
      <c r="G493" s="980" t="n"/>
      <c r="H493" s="981" t="n"/>
      <c r="I493" s="973" t="n"/>
      <c r="J493" s="973" t="n"/>
      <c r="K493" s="35">
        <f>IFERROR(I493+J493,0)</f>
        <v/>
      </c>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IF(C494="","",ROW()-2)</f>
        <v/>
      </c>
      <c r="B494" s="977" t="n"/>
      <c r="C494" s="977" t="n"/>
      <c r="D494" s="978" t="n"/>
      <c r="E494" s="979" t="n"/>
      <c r="F494" s="980" t="n"/>
      <c r="G494" s="980" t="n"/>
      <c r="H494" s="981" t="n"/>
      <c r="I494" s="973" t="n"/>
      <c r="J494" s="973" t="n"/>
      <c r="K494" s="35">
        <f>IFERROR(I494+J494,0)</f>
        <v/>
      </c>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IF(C495="","",ROW()-2)</f>
        <v/>
      </c>
      <c r="B495" s="977" t="n"/>
      <c r="C495" s="977" t="n"/>
      <c r="D495" s="978" t="n"/>
      <c r="E495" s="979" t="n"/>
      <c r="F495" s="980" t="n"/>
      <c r="G495" s="980" t="n"/>
      <c r="H495" s="981" t="n"/>
      <c r="I495" s="973" t="n"/>
      <c r="J495" s="973" t="n"/>
      <c r="K495" s="35">
        <f>IFERROR(I495+J495,0)</f>
        <v/>
      </c>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IF(C496="","",ROW()-2)</f>
        <v/>
      </c>
      <c r="B496" s="977" t="n"/>
      <c r="C496" s="977" t="n"/>
      <c r="D496" s="978" t="n"/>
      <c r="E496" s="979" t="n"/>
      <c r="F496" s="980" t="n"/>
      <c r="G496" s="980" t="n"/>
      <c r="H496" s="981" t="n"/>
      <c r="I496" s="973" t="n"/>
      <c r="J496" s="973" t="n"/>
      <c r="K496" s="35">
        <f>IFERROR(I496+J496,0)</f>
        <v/>
      </c>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IF(C497="","",ROW()-2)</f>
        <v/>
      </c>
      <c r="B497" s="977" t="n"/>
      <c r="C497" s="977" t="n"/>
      <c r="D497" s="978" t="n"/>
      <c r="E497" s="979" t="n"/>
      <c r="F497" s="980" t="n"/>
      <c r="G497" s="980" t="n"/>
      <c r="H497" s="981" t="n"/>
      <c r="I497" s="973" t="n"/>
      <c r="J497" s="973" t="n"/>
      <c r="K497" s="35">
        <f>IFERROR(I497+J497,0)</f>
        <v/>
      </c>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IF(C498="","",ROW()-2)</f>
        <v/>
      </c>
      <c r="B498" s="977" t="n"/>
      <c r="C498" s="977" t="n"/>
      <c r="D498" s="978" t="n"/>
      <c r="E498" s="979" t="n"/>
      <c r="F498" s="980" t="n"/>
      <c r="G498" s="980" t="n"/>
      <c r="H498" s="981" t="n"/>
      <c r="I498" s="973" t="n"/>
      <c r="J498" s="973" t="n"/>
      <c r="K498" s="35">
        <f>IFERROR(I498+J498,0)</f>
        <v/>
      </c>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IF(C499="","",ROW()-2)</f>
        <v/>
      </c>
      <c r="B499" s="977" t="n"/>
      <c r="C499" s="977" t="n"/>
      <c r="D499" s="978" t="n"/>
      <c r="E499" s="979" t="n"/>
      <c r="F499" s="980" t="n"/>
      <c r="G499" s="980" t="n"/>
      <c r="H499" s="981" t="n"/>
      <c r="I499" s="973" t="n"/>
      <c r="J499" s="973" t="n"/>
      <c r="K499" s="35">
        <f>IFERROR(I499+J499,0)</f>
        <v/>
      </c>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IF(C500="","",ROW()-2)</f>
        <v/>
      </c>
      <c r="B500" s="977" t="n"/>
      <c r="C500" s="977" t="n"/>
      <c r="D500" s="978" t="n"/>
      <c r="E500" s="979" t="n"/>
      <c r="F500" s="980" t="n"/>
      <c r="G500" s="980" t="n"/>
      <c r="H500" s="981" t="n"/>
      <c r="I500" s="973" t="n"/>
      <c r="J500" s="973" t="n"/>
      <c r="K500" s="35">
        <f>IFERROR(I500+J500,0)</f>
        <v/>
      </c>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IF(C501="","",ROW()-2)</f>
        <v/>
      </c>
      <c r="B501" s="977" t="n"/>
      <c r="C501" s="977" t="n"/>
      <c r="D501" s="978" t="n"/>
      <c r="E501" s="979" t="n"/>
      <c r="F501" s="980" t="n"/>
      <c r="G501" s="980" t="n"/>
      <c r="H501" s="981" t="n"/>
      <c r="I501" s="973" t="n"/>
      <c r="J501" s="973" t="n"/>
      <c r="K501" s="35">
        <f>IFERROR(I501+J501,0)</f>
        <v/>
      </c>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IF(C502="","",ROW()-2)</f>
        <v/>
      </c>
      <c r="B502" s="977" t="n"/>
      <c r="C502" s="977" t="n"/>
      <c r="D502" s="978" t="n"/>
      <c r="E502" s="979" t="n"/>
      <c r="F502" s="980" t="n"/>
      <c r="G502" s="980" t="n"/>
      <c r="H502" s="981" t="n"/>
      <c r="I502" s="973" t="n"/>
      <c r="J502" s="973" t="n"/>
      <c r="K502" s="35">
        <f>IFERROR(I502+J502,0)</f>
        <v/>
      </c>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IF(C503="","",ROW()-2)</f>
        <v/>
      </c>
      <c r="B503" s="977" t="n"/>
      <c r="C503" s="977" t="n"/>
      <c r="D503" s="978" t="n"/>
      <c r="E503" s="979" t="n"/>
      <c r="F503" s="980" t="n"/>
      <c r="G503" s="980" t="n"/>
      <c r="H503" s="981" t="n"/>
      <c r="I503" s="973" t="n"/>
      <c r="J503" s="973" t="n"/>
      <c r="K503" s="35">
        <f>IFERROR(I503+J503,0)</f>
        <v/>
      </c>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IF(C504="","",ROW()-2)</f>
        <v/>
      </c>
      <c r="B504" s="977" t="n"/>
      <c r="C504" s="977" t="n"/>
      <c r="D504" s="978" t="n"/>
      <c r="E504" s="979" t="n"/>
      <c r="F504" s="980" t="n"/>
      <c r="G504" s="980" t="n"/>
      <c r="H504" s="981" t="n"/>
      <c r="I504" s="973" t="n"/>
      <c r="J504" s="973" t="n"/>
      <c r="K504" s="35">
        <f>IFERROR(I504+J504,0)</f>
        <v/>
      </c>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IF(C505="","",ROW()-2)</f>
        <v/>
      </c>
      <c r="B505" s="977" t="n"/>
      <c r="C505" s="977" t="n"/>
      <c r="D505" s="978" t="n"/>
      <c r="E505" s="979" t="n"/>
      <c r="F505" s="980" t="n"/>
      <c r="G505" s="980" t="n"/>
      <c r="H505" s="981" t="n"/>
      <c r="I505" s="973" t="n"/>
      <c r="J505" s="973" t="n"/>
      <c r="K505" s="35">
        <f>IFERROR(I505+J505,0)</f>
        <v/>
      </c>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IF(C506="","",ROW()-2)</f>
        <v/>
      </c>
      <c r="B506" s="977" t="n"/>
      <c r="C506" s="977" t="n"/>
      <c r="D506" s="978" t="n"/>
      <c r="E506" s="979" t="n"/>
      <c r="F506" s="980" t="n"/>
      <c r="G506" s="980" t="n"/>
      <c r="H506" s="981" t="n"/>
      <c r="I506" s="973" t="n"/>
      <c r="J506" s="973" t="n"/>
      <c r="K506" s="35">
        <f>IFERROR(I506+J506,0)</f>
        <v/>
      </c>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IF(C507="","",ROW()-2)</f>
        <v/>
      </c>
      <c r="B507" s="977" t="n"/>
      <c r="C507" s="977" t="n"/>
      <c r="D507" s="978" t="n"/>
      <c r="E507" s="979" t="n"/>
      <c r="F507" s="980" t="n"/>
      <c r="G507" s="980" t="n"/>
      <c r="H507" s="981" t="n"/>
      <c r="I507" s="973" t="n"/>
      <c r="J507" s="973" t="n"/>
      <c r="K507" s="35">
        <f>IFERROR(I507+J507,0)</f>
        <v/>
      </c>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IF(C508="","",ROW()-2)</f>
        <v/>
      </c>
      <c r="B508" s="977" t="n"/>
      <c r="C508" s="977" t="n"/>
      <c r="D508" s="978" t="n"/>
      <c r="E508" s="979" t="n"/>
      <c r="F508" s="980" t="n"/>
      <c r="G508" s="980" t="n"/>
      <c r="H508" s="981" t="n"/>
      <c r="I508" s="973" t="n"/>
      <c r="J508" s="973" t="n"/>
      <c r="K508" s="35">
        <f>IFERROR(I508+J508,0)</f>
        <v/>
      </c>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IF(C509="","",ROW()-2)</f>
        <v/>
      </c>
      <c r="B509" s="977" t="n"/>
      <c r="C509" s="977" t="n"/>
      <c r="D509" s="978" t="n"/>
      <c r="E509" s="979" t="n"/>
      <c r="F509" s="980" t="n"/>
      <c r="G509" s="980" t="n"/>
      <c r="H509" s="981" t="n"/>
      <c r="I509" s="973" t="n"/>
      <c r="J509" s="973" t="n"/>
      <c r="K509" s="35">
        <f>IFERROR(I509+J509,0)</f>
        <v/>
      </c>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IF(C510="","",ROW()-2)</f>
        <v/>
      </c>
      <c r="B510" s="977" t="n"/>
      <c r="C510" s="977" t="n"/>
      <c r="D510" s="978" t="n"/>
      <c r="E510" s="979" t="n"/>
      <c r="F510" s="980" t="n"/>
      <c r="G510" s="980" t="n"/>
      <c r="H510" s="981" t="n"/>
      <c r="I510" s="973" t="n"/>
      <c r="J510" s="973" t="n"/>
      <c r="K510" s="35">
        <f>IFERROR(I510+J510,0)</f>
        <v/>
      </c>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IF(C511="","",ROW()-2)</f>
        <v/>
      </c>
      <c r="B511" s="977" t="n"/>
      <c r="C511" s="977" t="n"/>
      <c r="D511" s="978" t="n"/>
      <c r="E511" s="979" t="n"/>
      <c r="F511" s="980" t="n"/>
      <c r="G511" s="980" t="n"/>
      <c r="H511" s="981" t="n"/>
      <c r="I511" s="973" t="n"/>
      <c r="J511" s="973" t="n"/>
      <c r="K511" s="35">
        <f>IFERROR(I511+J511,0)</f>
        <v/>
      </c>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IF(C512="","",ROW()-2)</f>
        <v/>
      </c>
      <c r="B512" s="977" t="n"/>
      <c r="C512" s="977" t="n"/>
      <c r="D512" s="978" t="n"/>
      <c r="E512" s="979" t="n"/>
      <c r="F512" s="980" t="n"/>
      <c r="G512" s="980" t="n"/>
      <c r="H512" s="981" t="n"/>
      <c r="I512" s="973" t="n"/>
      <c r="J512" s="973" t="n"/>
      <c r="K512" s="35">
        <f>IFERROR(I512+J512,0)</f>
        <v/>
      </c>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IF(C513="","",ROW()-2)</f>
        <v/>
      </c>
      <c r="B513" s="977" t="n"/>
      <c r="C513" s="977" t="n"/>
      <c r="D513" s="978" t="n"/>
      <c r="E513" s="979" t="n"/>
      <c r="F513" s="980" t="n"/>
      <c r="G513" s="980" t="n"/>
      <c r="H513" s="981" t="n"/>
      <c r="I513" s="973" t="n"/>
      <c r="J513" s="973" t="n"/>
      <c r="K513" s="35">
        <f>IFERROR(I513+J513,0)</f>
        <v/>
      </c>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IF(C514="","",ROW()-2)</f>
        <v/>
      </c>
      <c r="B514" s="977" t="n"/>
      <c r="C514" s="977" t="n"/>
      <c r="D514" s="978" t="n"/>
      <c r="E514" s="979" t="n"/>
      <c r="F514" s="980" t="n"/>
      <c r="G514" s="980" t="n"/>
      <c r="H514" s="981" t="n"/>
      <c r="I514" s="973" t="n"/>
      <c r="J514" s="973" t="n"/>
      <c r="K514" s="35">
        <f>IFERROR(I514+J514,0)</f>
        <v/>
      </c>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IF(C515="","",ROW()-2)</f>
        <v/>
      </c>
      <c r="B515" s="977" t="n"/>
      <c r="C515" s="977" t="n"/>
      <c r="D515" s="978" t="n"/>
      <c r="E515" s="979" t="n"/>
      <c r="F515" s="980" t="n"/>
      <c r="G515" s="980" t="n"/>
      <c r="H515" s="981" t="n"/>
      <c r="I515" s="973" t="n"/>
      <c r="J515" s="973" t="n"/>
      <c r="K515" s="35">
        <f>IFERROR(I515+J515,0)</f>
        <v/>
      </c>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IF(C516="","",ROW()-2)</f>
        <v/>
      </c>
      <c r="B516" s="977" t="n"/>
      <c r="C516" s="977" t="n"/>
      <c r="D516" s="978" t="n"/>
      <c r="E516" s="979" t="n"/>
      <c r="F516" s="980" t="n"/>
      <c r="G516" s="980" t="n"/>
      <c r="H516" s="981" t="n"/>
      <c r="I516" s="973" t="n"/>
      <c r="J516" s="973" t="n"/>
      <c r="K516" s="35">
        <f>IFERROR(I516+J516,0)</f>
        <v/>
      </c>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IF(C517="","",ROW()-2)</f>
        <v/>
      </c>
      <c r="B517" s="977" t="n"/>
      <c r="C517" s="977" t="n"/>
      <c r="D517" s="978" t="n"/>
      <c r="E517" s="979" t="n"/>
      <c r="F517" s="980" t="n"/>
      <c r="G517" s="980" t="n"/>
      <c r="H517" s="981" t="n"/>
      <c r="I517" s="973" t="n"/>
      <c r="J517" s="973" t="n"/>
      <c r="K517" s="35">
        <f>IFERROR(I517+J517,0)</f>
        <v/>
      </c>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IF(C518="","",ROW()-2)</f>
        <v/>
      </c>
      <c r="B518" s="977" t="n"/>
      <c r="C518" s="977" t="n"/>
      <c r="D518" s="978" t="n"/>
      <c r="E518" s="979" t="n"/>
      <c r="F518" s="980" t="n"/>
      <c r="G518" s="980" t="n"/>
      <c r="H518" s="981" t="n"/>
      <c r="I518" s="973" t="n"/>
      <c r="J518" s="973" t="n"/>
      <c r="K518" s="35">
        <f>IFERROR(I518+J518,0)</f>
        <v/>
      </c>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IF(C519="","",ROW()-2)</f>
        <v/>
      </c>
      <c r="B519" s="977" t="n"/>
      <c r="C519" s="977" t="n"/>
      <c r="D519" s="978" t="n"/>
      <c r="E519" s="979" t="n"/>
      <c r="F519" s="980" t="n"/>
      <c r="G519" s="980" t="n"/>
      <c r="H519" s="981" t="n"/>
      <c r="I519" s="973" t="n"/>
      <c r="J519" s="973" t="n"/>
      <c r="K519" s="35">
        <f>IFERROR(I519+J519,0)</f>
        <v/>
      </c>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IF(C520="","",ROW()-2)</f>
        <v/>
      </c>
      <c r="B520" s="977" t="n"/>
      <c r="C520" s="977" t="n"/>
      <c r="D520" s="978" t="n"/>
      <c r="E520" s="979" t="n"/>
      <c r="F520" s="980" t="n"/>
      <c r="G520" s="980" t="n"/>
      <c r="H520" s="981" t="n"/>
      <c r="I520" s="973" t="n"/>
      <c r="J520" s="973" t="n"/>
      <c r="K520" s="35">
        <f>IFERROR(I520+J520,0)</f>
        <v/>
      </c>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IF(C521="","",ROW()-2)</f>
        <v/>
      </c>
      <c r="B521" s="977" t="n"/>
      <c r="C521" s="977" t="n"/>
      <c r="D521" s="978" t="n"/>
      <c r="E521" s="979" t="n"/>
      <c r="F521" s="980" t="n"/>
      <c r="G521" s="980" t="n"/>
      <c r="H521" s="981" t="n"/>
      <c r="I521" s="973" t="n"/>
      <c r="J521" s="973" t="n"/>
      <c r="K521" s="35">
        <f>IFERROR(I521+J521,0)</f>
        <v/>
      </c>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IF(C522="","",ROW()-2)</f>
        <v/>
      </c>
      <c r="B522" s="977" t="n"/>
      <c r="C522" s="977" t="n"/>
      <c r="D522" s="978" t="n"/>
      <c r="E522" s="979" t="n"/>
      <c r="F522" s="980" t="n"/>
      <c r="G522" s="980" t="n"/>
      <c r="H522" s="981" t="n"/>
      <c r="I522" s="973" t="n"/>
      <c r="J522" s="973" t="n"/>
      <c r="K522" s="35">
        <f>IFERROR(I522+J522,0)</f>
        <v/>
      </c>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IF(C523="","",ROW()-2)</f>
        <v/>
      </c>
      <c r="B523" s="977" t="n"/>
      <c r="C523" s="977" t="n"/>
      <c r="D523" s="978" t="n"/>
      <c r="E523" s="979" t="n"/>
      <c r="F523" s="980" t="n"/>
      <c r="G523" s="980" t="n"/>
      <c r="H523" s="981" t="n"/>
      <c r="I523" s="973" t="n"/>
      <c r="J523" s="973" t="n"/>
      <c r="K523" s="35">
        <f>IFERROR(I523+J523,0)</f>
        <v/>
      </c>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IF(C524="","",ROW()-2)</f>
        <v/>
      </c>
      <c r="B524" s="977" t="n"/>
      <c r="C524" s="977" t="n"/>
      <c r="D524" s="978" t="n"/>
      <c r="E524" s="979" t="n"/>
      <c r="F524" s="980" t="n"/>
      <c r="G524" s="980" t="n"/>
      <c r="H524" s="981" t="n"/>
      <c r="I524" s="973" t="n"/>
      <c r="J524" s="973" t="n"/>
      <c r="K524" s="35">
        <f>IFERROR(I524+J524,0)</f>
        <v/>
      </c>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IF(C525="","",ROW()-2)</f>
        <v/>
      </c>
      <c r="B525" s="977" t="n"/>
      <c r="C525" s="977" t="n"/>
      <c r="D525" s="978" t="n"/>
      <c r="E525" s="979" t="n"/>
      <c r="F525" s="980" t="n"/>
      <c r="G525" s="980" t="n"/>
      <c r="H525" s="981" t="n"/>
      <c r="I525" s="973" t="n"/>
      <c r="J525" s="973" t="n"/>
      <c r="K525" s="35">
        <f>IFERROR(I525+J525,0)</f>
        <v/>
      </c>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IF(C526="","",ROW()-2)</f>
        <v/>
      </c>
      <c r="B526" s="977" t="n"/>
      <c r="C526" s="977" t="n"/>
      <c r="D526" s="978" t="n"/>
      <c r="E526" s="979" t="n"/>
      <c r="F526" s="980" t="n"/>
      <c r="G526" s="980" t="n"/>
      <c r="H526" s="981" t="n"/>
      <c r="I526" s="973" t="n"/>
      <c r="J526" s="973" t="n"/>
      <c r="K526" s="35">
        <f>IFERROR(I526+J526,0)</f>
        <v/>
      </c>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IF(C527="","",ROW()-2)</f>
        <v/>
      </c>
      <c r="B527" s="977" t="n"/>
      <c r="C527" s="977" t="n"/>
      <c r="D527" s="978" t="n"/>
      <c r="E527" s="979" t="n"/>
      <c r="F527" s="980" t="n"/>
      <c r="G527" s="980" t="n"/>
      <c r="H527" s="981" t="n"/>
      <c r="I527" s="973" t="n"/>
      <c r="J527" s="973" t="n"/>
      <c r="K527" s="35">
        <f>IFERROR(I527+J527,0)</f>
        <v/>
      </c>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IF(C528="","",ROW()-2)</f>
        <v/>
      </c>
      <c r="B528" s="977" t="n"/>
      <c r="C528" s="977" t="n"/>
      <c r="D528" s="978" t="n"/>
      <c r="E528" s="979" t="n"/>
      <c r="F528" s="980" t="n"/>
      <c r="G528" s="980" t="n"/>
      <c r="H528" s="981" t="n"/>
      <c r="I528" s="973" t="n"/>
      <c r="J528" s="973" t="n"/>
      <c r="K528" s="35">
        <f>IFERROR(I528+J528,0)</f>
        <v/>
      </c>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IF(C529="","",ROW()-2)</f>
        <v/>
      </c>
      <c r="B529" s="977" t="n"/>
      <c r="C529" s="977" t="n"/>
      <c r="D529" s="978" t="n"/>
      <c r="E529" s="979" t="n"/>
      <c r="F529" s="980" t="n"/>
      <c r="G529" s="980" t="n"/>
      <c r="H529" s="981" t="n"/>
      <c r="I529" s="973" t="n"/>
      <c r="J529" s="973" t="n"/>
      <c r="K529" s="35">
        <f>IFERROR(I529+J529,0)</f>
        <v/>
      </c>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IF(C530="","",ROW()-2)</f>
        <v/>
      </c>
      <c r="B530" s="977" t="n"/>
      <c r="C530" s="977" t="n"/>
      <c r="D530" s="978" t="n"/>
      <c r="E530" s="979" t="n"/>
      <c r="F530" s="980" t="n"/>
      <c r="G530" s="980" t="n"/>
      <c r="H530" s="981" t="n"/>
      <c r="I530" s="973" t="n"/>
      <c r="J530" s="973" t="n"/>
      <c r="K530" s="35">
        <f>IFERROR(I530+J530,0)</f>
        <v/>
      </c>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IF(C531="","",ROW()-2)</f>
        <v/>
      </c>
      <c r="B531" s="977" t="n"/>
      <c r="C531" s="977" t="n"/>
      <c r="D531" s="978" t="n"/>
      <c r="E531" s="979" t="n"/>
      <c r="F531" s="980" t="n"/>
      <c r="G531" s="980" t="n"/>
      <c r="H531" s="981" t="n"/>
      <c r="I531" s="973" t="n"/>
      <c r="J531" s="973" t="n"/>
      <c r="K531" s="35">
        <f>IFERROR(I531+J531,0)</f>
        <v/>
      </c>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IF(C532="","",ROW()-2)</f>
        <v/>
      </c>
      <c r="B532" s="977" t="n"/>
      <c r="C532" s="977" t="n"/>
      <c r="D532" s="978" t="n"/>
      <c r="E532" s="979" t="n"/>
      <c r="F532" s="980" t="n"/>
      <c r="G532" s="980" t="n"/>
      <c r="H532" s="981" t="n"/>
      <c r="I532" s="973" t="n"/>
      <c r="J532" s="973" t="n"/>
      <c r="K532" s="35">
        <f>IFERROR(I532+J532,0)</f>
        <v/>
      </c>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IF(C533="","",ROW()-2)</f>
        <v/>
      </c>
      <c r="B533" s="977" t="n"/>
      <c r="C533" s="977" t="n"/>
      <c r="D533" s="978" t="n"/>
      <c r="E533" s="979" t="n"/>
      <c r="F533" s="980" t="n"/>
      <c r="G533" s="980" t="n"/>
      <c r="H533" s="981" t="n"/>
      <c r="I533" s="973" t="n"/>
      <c r="J533" s="973" t="n"/>
      <c r="K533" s="35">
        <f>IFERROR(I533+J533,0)</f>
        <v/>
      </c>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IF(C534="","",ROW()-2)</f>
        <v/>
      </c>
      <c r="B534" s="977" t="n"/>
      <c r="C534" s="977" t="n"/>
      <c r="D534" s="978" t="n"/>
      <c r="E534" s="979" t="n"/>
      <c r="F534" s="980" t="n"/>
      <c r="G534" s="980" t="n"/>
      <c r="H534" s="981" t="n"/>
      <c r="I534" s="973" t="n"/>
      <c r="J534" s="973" t="n"/>
      <c r="K534" s="35">
        <f>IFERROR(I534+J534,0)</f>
        <v/>
      </c>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IF(C535="","",ROW()-2)</f>
        <v/>
      </c>
      <c r="B535" s="977" t="n"/>
      <c r="C535" s="977" t="n"/>
      <c r="D535" s="978" t="n"/>
      <c r="E535" s="979" t="n"/>
      <c r="F535" s="980" t="n"/>
      <c r="G535" s="980" t="n"/>
      <c r="H535" s="981" t="n"/>
      <c r="I535" s="973" t="n"/>
      <c r="J535" s="973" t="n"/>
      <c r="K535" s="35">
        <f>IFERROR(I535+J535,0)</f>
        <v/>
      </c>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IF(C536="","",ROW()-2)</f>
        <v/>
      </c>
      <c r="B536" s="977" t="n"/>
      <c r="C536" s="977" t="n"/>
      <c r="D536" s="978" t="n"/>
      <c r="E536" s="979" t="n"/>
      <c r="F536" s="980" t="n"/>
      <c r="G536" s="980" t="n"/>
      <c r="H536" s="981" t="n"/>
      <c r="I536" s="973" t="n"/>
      <c r="J536" s="973" t="n"/>
      <c r="K536" s="35">
        <f>IFERROR(I536+J536,0)</f>
        <v/>
      </c>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IF(C537="","",ROW()-2)</f>
        <v/>
      </c>
      <c r="B537" s="977" t="n"/>
      <c r="C537" s="977" t="n"/>
      <c r="D537" s="978" t="n"/>
      <c r="E537" s="979" t="n"/>
      <c r="F537" s="980" t="n"/>
      <c r="G537" s="980" t="n"/>
      <c r="H537" s="981" t="n"/>
      <c r="I537" s="973" t="n"/>
      <c r="J537" s="973" t="n"/>
      <c r="K537" s="35">
        <f>IFERROR(I537+J537,0)</f>
        <v/>
      </c>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IF(C538="","",ROW()-2)</f>
        <v/>
      </c>
      <c r="B538" s="977" t="n"/>
      <c r="C538" s="977" t="n"/>
      <c r="D538" s="978" t="n"/>
      <c r="E538" s="979" t="n"/>
      <c r="F538" s="980" t="n"/>
      <c r="G538" s="980" t="n"/>
      <c r="H538" s="981" t="n"/>
      <c r="I538" s="973" t="n"/>
      <c r="J538" s="973" t="n"/>
      <c r="K538" s="35">
        <f>IFERROR(I538+J538,0)</f>
        <v/>
      </c>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IF(C539="","",ROW()-2)</f>
        <v/>
      </c>
      <c r="B539" s="977" t="n"/>
      <c r="C539" s="977" t="n"/>
      <c r="D539" s="978" t="n"/>
      <c r="E539" s="979" t="n"/>
      <c r="F539" s="980" t="n"/>
      <c r="G539" s="980" t="n"/>
      <c r="H539" s="981" t="n"/>
      <c r="I539" s="973" t="n"/>
      <c r="J539" s="973" t="n"/>
      <c r="K539" s="35">
        <f>IFERROR(I539+J539,0)</f>
        <v/>
      </c>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IF(C540="","",ROW()-2)</f>
        <v/>
      </c>
      <c r="B540" s="977" t="n"/>
      <c r="C540" s="977" t="n"/>
      <c r="D540" s="978" t="n"/>
      <c r="E540" s="979" t="n"/>
      <c r="F540" s="980" t="n"/>
      <c r="G540" s="980" t="n"/>
      <c r="H540" s="981" t="n"/>
      <c r="I540" s="973" t="n"/>
      <c r="J540" s="973" t="n"/>
      <c r="K540" s="35">
        <f>IFERROR(I540+J540,0)</f>
        <v/>
      </c>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IF(C541="","",ROW()-2)</f>
        <v/>
      </c>
      <c r="B541" s="977" t="n"/>
      <c r="C541" s="977" t="n"/>
      <c r="D541" s="978" t="n"/>
      <c r="E541" s="979" t="n"/>
      <c r="F541" s="980" t="n"/>
      <c r="G541" s="980" t="n"/>
      <c r="H541" s="981" t="n"/>
      <c r="I541" s="973" t="n"/>
      <c r="J541" s="973" t="n"/>
      <c r="K541" s="35">
        <f>IFERROR(I541+J541,0)</f>
        <v/>
      </c>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IF(C542="","",ROW()-2)</f>
        <v/>
      </c>
      <c r="B542" s="977" t="n"/>
      <c r="C542" s="977" t="n"/>
      <c r="D542" s="978" t="n"/>
      <c r="E542" s="979" t="n"/>
      <c r="F542" s="980" t="n"/>
      <c r="G542" s="980" t="n"/>
      <c r="H542" s="981" t="n"/>
      <c r="I542" s="973" t="n"/>
      <c r="J542" s="973" t="n"/>
      <c r="K542" s="35">
        <f>IFERROR(I542+J542,0)</f>
        <v/>
      </c>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IF(C543="","",ROW()-2)</f>
        <v/>
      </c>
      <c r="B543" s="977" t="n"/>
      <c r="C543" s="977" t="n"/>
      <c r="D543" s="978" t="n"/>
      <c r="E543" s="979" t="n"/>
      <c r="F543" s="980" t="n"/>
      <c r="G543" s="980" t="n"/>
      <c r="H543" s="981" t="n"/>
      <c r="I543" s="973" t="n"/>
      <c r="J543" s="973" t="n"/>
      <c r="K543" s="35">
        <f>IFERROR(I543+J543,0)</f>
        <v/>
      </c>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IF(C544="","",ROW()-2)</f>
        <v/>
      </c>
      <c r="B544" s="977" t="n"/>
      <c r="C544" s="977" t="n"/>
      <c r="D544" s="978" t="n"/>
      <c r="E544" s="979" t="n"/>
      <c r="F544" s="980" t="n"/>
      <c r="G544" s="980" t="n"/>
      <c r="H544" s="981" t="n"/>
      <c r="I544" s="973" t="n"/>
      <c r="J544" s="973" t="n"/>
      <c r="K544" s="35">
        <f>IFERROR(I544+J544,0)</f>
        <v/>
      </c>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IF(C545="","",ROW()-2)</f>
        <v/>
      </c>
      <c r="B545" s="977" t="n"/>
      <c r="C545" s="977" t="n"/>
      <c r="D545" s="978" t="n"/>
      <c r="E545" s="979" t="n"/>
      <c r="F545" s="980" t="n"/>
      <c r="G545" s="980" t="n"/>
      <c r="H545" s="981" t="n"/>
      <c r="I545" s="973" t="n"/>
      <c r="J545" s="973" t="n"/>
      <c r="K545" s="35">
        <f>IFERROR(I545+J545,0)</f>
        <v/>
      </c>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IF(C546="","",ROW()-2)</f>
        <v/>
      </c>
      <c r="B546" s="977" t="n"/>
      <c r="C546" s="977" t="n"/>
      <c r="D546" s="978" t="n"/>
      <c r="E546" s="979" t="n"/>
      <c r="F546" s="980" t="n"/>
      <c r="G546" s="980" t="n"/>
      <c r="H546" s="981" t="n"/>
      <c r="I546" s="973" t="n"/>
      <c r="J546" s="973" t="n"/>
      <c r="K546" s="35">
        <f>IFERROR(I546+J546,0)</f>
        <v/>
      </c>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IF(C547="","",ROW()-2)</f>
        <v/>
      </c>
      <c r="B547" s="977" t="n"/>
      <c r="C547" s="977" t="n"/>
      <c r="D547" s="978" t="n"/>
      <c r="E547" s="979" t="n"/>
      <c r="F547" s="980" t="n"/>
      <c r="G547" s="980" t="n"/>
      <c r="H547" s="981" t="n"/>
      <c r="I547" s="973" t="n"/>
      <c r="J547" s="973" t="n"/>
      <c r="K547" s="35">
        <f>IFERROR(I547+J547,0)</f>
        <v/>
      </c>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IF(C548="","",ROW()-2)</f>
        <v/>
      </c>
      <c r="B548" s="977" t="n"/>
      <c r="C548" s="977" t="n"/>
      <c r="D548" s="978" t="n"/>
      <c r="E548" s="979" t="n"/>
      <c r="F548" s="980" t="n"/>
      <c r="G548" s="980" t="n"/>
      <c r="H548" s="981" t="n"/>
      <c r="I548" s="973" t="n"/>
      <c r="J548" s="973" t="n"/>
      <c r="K548" s="35">
        <f>IFERROR(I548+J548,0)</f>
        <v/>
      </c>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IF(C549="","",ROW()-2)</f>
        <v/>
      </c>
      <c r="B549" s="977" t="n"/>
      <c r="C549" s="977" t="n"/>
      <c r="D549" s="978" t="n"/>
      <c r="E549" s="979" t="n"/>
      <c r="F549" s="980" t="n"/>
      <c r="G549" s="980" t="n"/>
      <c r="H549" s="981" t="n"/>
      <c r="I549" s="973" t="n"/>
      <c r="J549" s="973" t="n"/>
      <c r="K549" s="35">
        <f>IFERROR(I549+J549,0)</f>
        <v/>
      </c>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IF(C550="","",ROW()-2)</f>
        <v/>
      </c>
      <c r="B550" s="977" t="n"/>
      <c r="C550" s="977" t="n"/>
      <c r="D550" s="978" t="n"/>
      <c r="E550" s="979" t="n"/>
      <c r="F550" s="980" t="n"/>
      <c r="G550" s="980" t="n"/>
      <c r="H550" s="981" t="n"/>
      <c r="I550" s="973" t="n"/>
      <c r="J550" s="973" t="n"/>
      <c r="K550" s="35">
        <f>IFERROR(I550+J550,0)</f>
        <v/>
      </c>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IF(C551="","",ROW()-2)</f>
        <v/>
      </c>
      <c r="B551" s="977" t="n"/>
      <c r="C551" s="977" t="n"/>
      <c r="D551" s="978" t="n"/>
      <c r="E551" s="979" t="n"/>
      <c r="F551" s="980" t="n"/>
      <c r="G551" s="980" t="n"/>
      <c r="H551" s="981" t="n"/>
      <c r="I551" s="973" t="n"/>
      <c r="J551" s="973" t="n"/>
      <c r="K551" s="35">
        <f>IFERROR(I551+J551,0)</f>
        <v/>
      </c>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IF(C552="","",ROW()-2)</f>
        <v/>
      </c>
      <c r="B552" s="977" t="n"/>
      <c r="C552" s="977" t="n"/>
      <c r="D552" s="978" t="n"/>
      <c r="E552" s="979" t="n"/>
      <c r="F552" s="980" t="n"/>
      <c r="G552" s="980" t="n"/>
      <c r="H552" s="981" t="n"/>
      <c r="I552" s="973" t="n"/>
      <c r="J552" s="973" t="n"/>
      <c r="K552" s="35">
        <f>IFERROR(I552+J552,0)</f>
        <v/>
      </c>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IF(C553="","",ROW()-2)</f>
        <v/>
      </c>
      <c r="B553" s="977" t="n"/>
      <c r="C553" s="977" t="n"/>
      <c r="D553" s="978" t="n"/>
      <c r="E553" s="979" t="n"/>
      <c r="F553" s="980" t="n"/>
      <c r="G553" s="980" t="n"/>
      <c r="H553" s="981" t="n"/>
      <c r="I553" s="973" t="n"/>
      <c r="J553" s="973" t="n"/>
      <c r="K553" s="35">
        <f>IFERROR(I553+J553,0)</f>
        <v/>
      </c>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IF(C554="","",ROW()-2)</f>
        <v/>
      </c>
      <c r="B554" s="977" t="n"/>
      <c r="C554" s="977" t="n"/>
      <c r="D554" s="978" t="n"/>
      <c r="E554" s="979" t="n"/>
      <c r="F554" s="980" t="n"/>
      <c r="G554" s="980" t="n"/>
      <c r="H554" s="981" t="n"/>
      <c r="I554" s="973" t="n"/>
      <c r="J554" s="973" t="n"/>
      <c r="K554" s="35">
        <f>IFERROR(I554+J554,0)</f>
        <v/>
      </c>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IF(C555="","",ROW()-2)</f>
        <v/>
      </c>
      <c r="B555" s="977" t="n"/>
      <c r="C555" s="977" t="n"/>
      <c r="D555" s="978" t="n"/>
      <c r="E555" s="979" t="n"/>
      <c r="F555" s="980" t="n"/>
      <c r="G555" s="980" t="n"/>
      <c r="H555" s="981" t="n"/>
      <c r="I555" s="973" t="n"/>
      <c r="J555" s="973" t="n"/>
      <c r="K555" s="35">
        <f>IFERROR(I555+J555,0)</f>
        <v/>
      </c>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IF(C556="","",ROW()-2)</f>
        <v/>
      </c>
      <c r="B556" s="977" t="n"/>
      <c r="C556" s="977" t="n"/>
      <c r="D556" s="978" t="n"/>
      <c r="E556" s="979" t="n"/>
      <c r="F556" s="980" t="n"/>
      <c r="G556" s="980" t="n"/>
      <c r="H556" s="981" t="n"/>
      <c r="I556" s="973" t="n"/>
      <c r="J556" s="973" t="n"/>
      <c r="K556" s="35">
        <f>IFERROR(I556+J556,0)</f>
        <v/>
      </c>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IF(C557="","",ROW()-2)</f>
        <v/>
      </c>
      <c r="B557" s="977" t="n"/>
      <c r="C557" s="977" t="n"/>
      <c r="D557" s="978" t="n"/>
      <c r="E557" s="979" t="n"/>
      <c r="F557" s="980" t="n"/>
      <c r="G557" s="980" t="n"/>
      <c r="H557" s="981" t="n"/>
      <c r="I557" s="973" t="n"/>
      <c r="J557" s="973" t="n"/>
      <c r="K557" s="35">
        <f>IFERROR(I557+J557,0)</f>
        <v/>
      </c>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IF(C558="","",ROW()-2)</f>
        <v/>
      </c>
      <c r="B558" s="977" t="n"/>
      <c r="C558" s="977" t="n"/>
      <c r="D558" s="978" t="n"/>
      <c r="E558" s="979" t="n"/>
      <c r="F558" s="980" t="n"/>
      <c r="G558" s="980" t="n"/>
      <c r="H558" s="981" t="n"/>
      <c r="I558" s="973" t="n"/>
      <c r="J558" s="973" t="n"/>
      <c r="K558" s="35">
        <f>IFERROR(I558+J558,0)</f>
        <v/>
      </c>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IF(C559="","",ROW()-2)</f>
        <v/>
      </c>
      <c r="B559" s="977" t="n"/>
      <c r="C559" s="977" t="n"/>
      <c r="D559" s="978" t="n"/>
      <c r="E559" s="979" t="n"/>
      <c r="F559" s="980" t="n"/>
      <c r="G559" s="980" t="n"/>
      <c r="H559" s="981" t="n"/>
      <c r="I559" s="973" t="n"/>
      <c r="J559" s="973" t="n"/>
      <c r="K559" s="35">
        <f>IFERROR(I559+J559,0)</f>
        <v/>
      </c>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IF(C560="","",ROW()-2)</f>
        <v/>
      </c>
      <c r="B560" s="977" t="n"/>
      <c r="C560" s="977" t="n"/>
      <c r="D560" s="978" t="n"/>
      <c r="E560" s="979" t="n"/>
      <c r="F560" s="980" t="n"/>
      <c r="G560" s="980" t="n"/>
      <c r="H560" s="981" t="n"/>
      <c r="I560" s="973" t="n"/>
      <c r="J560" s="973" t="n"/>
      <c r="K560" s="35">
        <f>IFERROR(I560+J560,0)</f>
        <v/>
      </c>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IF(C561="","",ROW()-2)</f>
        <v/>
      </c>
      <c r="B561" s="977" t="n"/>
      <c r="C561" s="977" t="n"/>
      <c r="D561" s="978" t="n"/>
      <c r="E561" s="979" t="n"/>
      <c r="F561" s="980" t="n"/>
      <c r="G561" s="980" t="n"/>
      <c r="H561" s="981" t="n"/>
      <c r="I561" s="973" t="n"/>
      <c r="J561" s="973" t="n"/>
      <c r="K561" s="35">
        <f>IFERROR(I561+J561,0)</f>
        <v/>
      </c>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IF(C562="","",ROW()-2)</f>
        <v/>
      </c>
      <c r="B562" s="977" t="n"/>
      <c r="C562" s="977" t="n"/>
      <c r="D562" s="978" t="n"/>
      <c r="E562" s="979" t="n"/>
      <c r="F562" s="980" t="n"/>
      <c r="G562" s="980" t="n"/>
      <c r="H562" s="981" t="n"/>
      <c r="I562" s="973" t="n"/>
      <c r="J562" s="973" t="n"/>
      <c r="K562" s="35">
        <f>IFERROR(I562+J562,0)</f>
        <v/>
      </c>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IF(C563="","",ROW()-2)</f>
        <v/>
      </c>
      <c r="B563" s="977" t="n"/>
      <c r="C563" s="977" t="n"/>
      <c r="D563" s="978" t="n"/>
      <c r="E563" s="979" t="n"/>
      <c r="F563" s="980" t="n"/>
      <c r="G563" s="980" t="n"/>
      <c r="H563" s="981" t="n"/>
      <c r="I563" s="973" t="n"/>
      <c r="J563" s="973" t="n"/>
      <c r="K563" s="35">
        <f>IFERROR(I563+J563,0)</f>
        <v/>
      </c>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IF(C564="","",ROW()-2)</f>
        <v/>
      </c>
      <c r="B564" s="977" t="n"/>
      <c r="C564" s="977" t="n"/>
      <c r="D564" s="978" t="n"/>
      <c r="E564" s="979" t="n"/>
      <c r="F564" s="980" t="n"/>
      <c r="G564" s="980" t="n"/>
      <c r="H564" s="981" t="n"/>
      <c r="I564" s="973" t="n"/>
      <c r="J564" s="973" t="n"/>
      <c r="K564" s="35">
        <f>IFERROR(I564+J564,0)</f>
        <v/>
      </c>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IF(C565="","",ROW()-2)</f>
        <v/>
      </c>
      <c r="B565" s="977" t="n"/>
      <c r="C565" s="977" t="n"/>
      <c r="D565" s="978" t="n"/>
      <c r="E565" s="979" t="n"/>
      <c r="F565" s="980" t="n"/>
      <c r="G565" s="980" t="n"/>
      <c r="H565" s="981" t="n"/>
      <c r="I565" s="973" t="n"/>
      <c r="J565" s="973" t="n"/>
      <c r="K565" s="35">
        <f>IFERROR(I565+J565,0)</f>
        <v/>
      </c>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IF(C566="","",ROW()-2)</f>
        <v/>
      </c>
      <c r="B566" s="977" t="n"/>
      <c r="C566" s="977" t="n"/>
      <c r="D566" s="978" t="n"/>
      <c r="E566" s="979" t="n"/>
      <c r="F566" s="980" t="n"/>
      <c r="G566" s="980" t="n"/>
      <c r="H566" s="981" t="n"/>
      <c r="I566" s="973" t="n"/>
      <c r="J566" s="973" t="n"/>
      <c r="K566" s="35">
        <f>IFERROR(I566+J566,0)</f>
        <v/>
      </c>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IF(C567="","",ROW()-2)</f>
        <v/>
      </c>
      <c r="B567" s="977" t="n"/>
      <c r="C567" s="977" t="n"/>
      <c r="D567" s="978" t="n"/>
      <c r="E567" s="979" t="n"/>
      <c r="F567" s="980" t="n"/>
      <c r="G567" s="980" t="n"/>
      <c r="H567" s="981" t="n"/>
      <c r="I567" s="973" t="n"/>
      <c r="J567" s="973" t="n"/>
      <c r="K567" s="35">
        <f>IFERROR(I567+J567,0)</f>
        <v/>
      </c>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IF(C568="","",ROW()-2)</f>
        <v/>
      </c>
      <c r="B568" s="977" t="n"/>
      <c r="C568" s="977" t="n"/>
      <c r="D568" s="978" t="n"/>
      <c r="E568" s="979" t="n"/>
      <c r="F568" s="980" t="n"/>
      <c r="G568" s="980" t="n"/>
      <c r="H568" s="981" t="n"/>
      <c r="I568" s="973" t="n"/>
      <c r="J568" s="973" t="n"/>
      <c r="K568" s="35">
        <f>IFERROR(I568+J568,0)</f>
        <v/>
      </c>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IF(C569="","",ROW()-2)</f>
        <v/>
      </c>
      <c r="B569" s="977" t="n"/>
      <c r="C569" s="977" t="n"/>
      <c r="D569" s="978" t="n"/>
      <c r="E569" s="979" t="n"/>
      <c r="F569" s="980" t="n"/>
      <c r="G569" s="980" t="n"/>
      <c r="H569" s="981" t="n"/>
      <c r="I569" s="973" t="n"/>
      <c r="J569" s="973" t="n"/>
      <c r="K569" s="35">
        <f>IFERROR(I569+J569,0)</f>
        <v/>
      </c>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IF(C570="","",ROW()-2)</f>
        <v/>
      </c>
      <c r="B570" s="977" t="n"/>
      <c r="C570" s="977" t="n"/>
      <c r="D570" s="978" t="n"/>
      <c r="E570" s="979" t="n"/>
      <c r="F570" s="980" t="n"/>
      <c r="G570" s="980" t="n"/>
      <c r="H570" s="981" t="n"/>
      <c r="I570" s="973" t="n"/>
      <c r="J570" s="973" t="n"/>
      <c r="K570" s="35">
        <f>IFERROR(I570+J570,0)</f>
        <v/>
      </c>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IF(C571="","",ROW()-2)</f>
        <v/>
      </c>
      <c r="B571" s="977" t="n"/>
      <c r="C571" s="977" t="n"/>
      <c r="D571" s="978" t="n"/>
      <c r="E571" s="979" t="n"/>
      <c r="F571" s="980" t="n"/>
      <c r="G571" s="980" t="n"/>
      <c r="H571" s="981" t="n"/>
      <c r="I571" s="973" t="n"/>
      <c r="J571" s="973" t="n"/>
      <c r="K571" s="35">
        <f>IFERROR(I571+J571,0)</f>
        <v/>
      </c>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IF(C572="","",ROW()-2)</f>
        <v/>
      </c>
      <c r="B572" s="977" t="n"/>
      <c r="C572" s="977" t="n"/>
      <c r="D572" s="978" t="n"/>
      <c r="E572" s="979" t="n"/>
      <c r="F572" s="980" t="n"/>
      <c r="G572" s="980" t="n"/>
      <c r="H572" s="981" t="n"/>
      <c r="I572" s="973" t="n"/>
      <c r="J572" s="973" t="n"/>
      <c r="K572" s="35">
        <f>IFERROR(I572+J572,0)</f>
        <v/>
      </c>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IF(C573="","",ROW()-2)</f>
        <v/>
      </c>
      <c r="B573" s="977" t="n"/>
      <c r="C573" s="977" t="n"/>
      <c r="D573" s="978" t="n"/>
      <c r="E573" s="979" t="n"/>
      <c r="F573" s="980" t="n"/>
      <c r="G573" s="980" t="n"/>
      <c r="H573" s="981" t="n"/>
      <c r="I573" s="973" t="n"/>
      <c r="J573" s="973" t="n"/>
      <c r="K573" s="35">
        <f>IFERROR(I573+J573,0)</f>
        <v/>
      </c>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IF(C574="","",ROW()-2)</f>
        <v/>
      </c>
      <c r="B574" s="977" t="n"/>
      <c r="C574" s="977" t="n"/>
      <c r="D574" s="978" t="n"/>
      <c r="E574" s="979" t="n"/>
      <c r="F574" s="980" t="n"/>
      <c r="G574" s="980" t="n"/>
      <c r="H574" s="981" t="n"/>
      <c r="I574" s="973" t="n"/>
      <c r="J574" s="973" t="n"/>
      <c r="K574" s="35">
        <f>IFERROR(I574+J574,0)</f>
        <v/>
      </c>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IF(C575="","",ROW()-2)</f>
        <v/>
      </c>
      <c r="B575" s="977" t="n"/>
      <c r="C575" s="977" t="n"/>
      <c r="D575" s="978" t="n"/>
      <c r="E575" s="979" t="n"/>
      <c r="F575" s="980" t="n"/>
      <c r="G575" s="980" t="n"/>
      <c r="H575" s="981" t="n"/>
      <c r="I575" s="973" t="n"/>
      <c r="J575" s="973" t="n"/>
      <c r="K575" s="35">
        <f>IFERROR(I575+J575,0)</f>
        <v/>
      </c>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IF(C576="","",ROW()-2)</f>
        <v/>
      </c>
      <c r="B576" s="977" t="n"/>
      <c r="C576" s="977" t="n"/>
      <c r="D576" s="978" t="n"/>
      <c r="E576" s="979" t="n"/>
      <c r="F576" s="980" t="n"/>
      <c r="G576" s="980" t="n"/>
      <c r="H576" s="981" t="n"/>
      <c r="I576" s="973" t="n"/>
      <c r="J576" s="973" t="n"/>
      <c r="K576" s="35">
        <f>IFERROR(I576+J576,0)</f>
        <v/>
      </c>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IF(C577="","",ROW()-2)</f>
        <v/>
      </c>
      <c r="B577" s="977" t="n"/>
      <c r="C577" s="977" t="n"/>
      <c r="D577" s="978" t="n"/>
      <c r="E577" s="979" t="n"/>
      <c r="F577" s="980" t="n"/>
      <c r="G577" s="980" t="n"/>
      <c r="H577" s="981" t="n"/>
      <c r="I577" s="973" t="n"/>
      <c r="J577" s="973" t="n"/>
      <c r="K577" s="35">
        <f>IFERROR(I577+J577,0)</f>
        <v/>
      </c>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IF(C578="","",ROW()-2)</f>
        <v/>
      </c>
      <c r="B578" s="977" t="n"/>
      <c r="C578" s="977" t="n"/>
      <c r="D578" s="978" t="n"/>
      <c r="E578" s="979" t="n"/>
      <c r="F578" s="980" t="n"/>
      <c r="G578" s="980" t="n"/>
      <c r="H578" s="981" t="n"/>
      <c r="I578" s="973" t="n"/>
      <c r="J578" s="973" t="n"/>
      <c r="K578" s="35">
        <f>IFERROR(I578+J578,0)</f>
        <v/>
      </c>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IF(C579="","",ROW()-2)</f>
        <v/>
      </c>
      <c r="B579" s="977" t="n"/>
      <c r="C579" s="977" t="n"/>
      <c r="D579" s="978" t="n"/>
      <c r="E579" s="979" t="n"/>
      <c r="F579" s="980" t="n"/>
      <c r="G579" s="980" t="n"/>
      <c r="H579" s="981" t="n"/>
      <c r="I579" s="973" t="n"/>
      <c r="J579" s="973" t="n"/>
      <c r="K579" s="35">
        <f>IFERROR(I579+J579,0)</f>
        <v/>
      </c>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IF(C580="","",ROW()-2)</f>
        <v/>
      </c>
      <c r="B580" s="977" t="n"/>
      <c r="C580" s="977" t="n"/>
      <c r="D580" s="978" t="n"/>
      <c r="E580" s="979" t="n"/>
      <c r="F580" s="980" t="n"/>
      <c r="G580" s="980" t="n"/>
      <c r="H580" s="981" t="n"/>
      <c r="I580" s="973" t="n"/>
      <c r="J580" s="973" t="n"/>
      <c r="K580" s="35">
        <f>IFERROR(I580+J580,0)</f>
        <v/>
      </c>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IF(C581="","",ROW()-2)</f>
        <v/>
      </c>
      <c r="B581" s="977" t="n"/>
      <c r="C581" s="977" t="n"/>
      <c r="D581" s="978" t="n"/>
      <c r="E581" s="979" t="n"/>
      <c r="F581" s="980" t="n"/>
      <c r="G581" s="980" t="n"/>
      <c r="H581" s="981" t="n"/>
      <c r="I581" s="973" t="n"/>
      <c r="J581" s="973" t="n"/>
      <c r="K581" s="35">
        <f>IFERROR(I581+J581,0)</f>
        <v/>
      </c>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IF(C582="","",ROW()-2)</f>
        <v/>
      </c>
      <c r="B582" s="977" t="n"/>
      <c r="C582" s="977" t="n"/>
      <c r="D582" s="978" t="n"/>
      <c r="E582" s="979" t="n"/>
      <c r="F582" s="980" t="n"/>
      <c r="G582" s="980" t="n"/>
      <c r="H582" s="981" t="n"/>
      <c r="I582" s="973" t="n"/>
      <c r="J582" s="973" t="n"/>
      <c r="K582" s="35">
        <f>IFERROR(I582+J582,0)</f>
        <v/>
      </c>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IF(C583="","",ROW()-2)</f>
        <v/>
      </c>
      <c r="B583" s="977" t="n"/>
      <c r="C583" s="977" t="n"/>
      <c r="D583" s="978" t="n"/>
      <c r="E583" s="979" t="n"/>
      <c r="F583" s="980" t="n"/>
      <c r="G583" s="980" t="n"/>
      <c r="H583" s="981" t="n"/>
      <c r="I583" s="973" t="n"/>
      <c r="J583" s="973" t="n"/>
      <c r="K583" s="35">
        <f>IFERROR(I583+J583,0)</f>
        <v/>
      </c>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IF(C584="","",ROW()-2)</f>
        <v/>
      </c>
      <c r="B584" s="977" t="n"/>
      <c r="C584" s="977" t="n"/>
      <c r="D584" s="978" t="n"/>
      <c r="E584" s="979" t="n"/>
      <c r="F584" s="980" t="n"/>
      <c r="G584" s="980" t="n"/>
      <c r="H584" s="981" t="n"/>
      <c r="I584" s="973" t="n"/>
      <c r="J584" s="973" t="n"/>
      <c r="K584" s="35">
        <f>IFERROR(I584+J584,0)</f>
        <v/>
      </c>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IF(C585="","",ROW()-2)</f>
        <v/>
      </c>
      <c r="B585" s="977" t="n"/>
      <c r="C585" s="977" t="n"/>
      <c r="D585" s="978" t="n"/>
      <c r="E585" s="979" t="n"/>
      <c r="F585" s="980" t="n"/>
      <c r="G585" s="980" t="n"/>
      <c r="H585" s="981" t="n"/>
      <c r="I585" s="973" t="n"/>
      <c r="J585" s="973" t="n"/>
      <c r="K585" s="35">
        <f>IFERROR(I585+J585,0)</f>
        <v/>
      </c>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IF(C586="","",ROW()-2)</f>
        <v/>
      </c>
      <c r="B586" s="977" t="n"/>
      <c r="C586" s="977" t="n"/>
      <c r="D586" s="978" t="n"/>
      <c r="E586" s="979" t="n"/>
      <c r="F586" s="980" t="n"/>
      <c r="G586" s="980" t="n"/>
      <c r="H586" s="981" t="n"/>
      <c r="I586" s="973" t="n"/>
      <c r="J586" s="973" t="n"/>
      <c r="K586" s="35">
        <f>IFERROR(I586+J586,0)</f>
        <v/>
      </c>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IF(C587="","",ROW()-2)</f>
        <v/>
      </c>
      <c r="B587" s="977" t="n"/>
      <c r="C587" s="977" t="n"/>
      <c r="D587" s="978" t="n"/>
      <c r="E587" s="979" t="n"/>
      <c r="F587" s="980" t="n"/>
      <c r="G587" s="980" t="n"/>
      <c r="H587" s="981" t="n"/>
      <c r="I587" s="973" t="n"/>
      <c r="J587" s="973" t="n"/>
      <c r="K587" s="35">
        <f>IFERROR(I587+J587,0)</f>
        <v/>
      </c>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IF(C588="","",ROW()-2)</f>
        <v/>
      </c>
      <c r="B588" s="977" t="n"/>
      <c r="C588" s="977" t="n"/>
      <c r="D588" s="978" t="n"/>
      <c r="E588" s="979" t="n"/>
      <c r="F588" s="980" t="n"/>
      <c r="G588" s="980" t="n"/>
      <c r="H588" s="981" t="n"/>
      <c r="I588" s="973" t="n"/>
      <c r="J588" s="973" t="n"/>
      <c r="K588" s="35">
        <f>IFERROR(I588+J588,0)</f>
        <v/>
      </c>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IF(C589="","",ROW()-2)</f>
        <v/>
      </c>
      <c r="B589" s="977" t="n"/>
      <c r="C589" s="977" t="n"/>
      <c r="D589" s="978" t="n"/>
      <c r="E589" s="979" t="n"/>
      <c r="F589" s="980" t="n"/>
      <c r="G589" s="980" t="n"/>
      <c r="H589" s="981" t="n"/>
      <c r="I589" s="973" t="n"/>
      <c r="J589" s="973" t="n"/>
      <c r="K589" s="35">
        <f>IFERROR(I589+J589,0)</f>
        <v/>
      </c>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IF(C590="","",ROW()-2)</f>
        <v/>
      </c>
      <c r="B590" s="977" t="n"/>
      <c r="C590" s="977" t="n"/>
      <c r="D590" s="978" t="n"/>
      <c r="E590" s="979" t="n"/>
      <c r="F590" s="980" t="n"/>
      <c r="G590" s="980" t="n"/>
      <c r="H590" s="981" t="n"/>
      <c r="I590" s="973" t="n"/>
      <c r="J590" s="973" t="n"/>
      <c r="K590" s="35">
        <f>IFERROR(I590+J590,0)</f>
        <v/>
      </c>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IF(C591="","",ROW()-2)</f>
        <v/>
      </c>
      <c r="B591" s="977" t="n"/>
      <c r="C591" s="977" t="n"/>
      <c r="D591" s="978" t="n"/>
      <c r="E591" s="979" t="n"/>
      <c r="F591" s="980" t="n"/>
      <c r="G591" s="980" t="n"/>
      <c r="H591" s="981" t="n"/>
      <c r="I591" s="973" t="n"/>
      <c r="J591" s="973" t="n"/>
      <c r="K591" s="35">
        <f>IFERROR(I591+J591,0)</f>
        <v/>
      </c>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IF(C592="","",ROW()-2)</f>
        <v/>
      </c>
      <c r="B592" s="977" t="n"/>
      <c r="C592" s="977" t="n"/>
      <c r="D592" s="978" t="n"/>
      <c r="E592" s="979" t="n"/>
      <c r="F592" s="980" t="n"/>
      <c r="G592" s="980" t="n"/>
      <c r="H592" s="981" t="n"/>
      <c r="I592" s="973" t="n"/>
      <c r="J592" s="973" t="n"/>
      <c r="K592" s="35">
        <f>IFERROR(I592+J592,0)</f>
        <v/>
      </c>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IF(C593="","",ROW()-2)</f>
        <v/>
      </c>
      <c r="B593" s="977" t="n"/>
      <c r="C593" s="977" t="n"/>
      <c r="D593" s="978" t="n"/>
      <c r="E593" s="979" t="n"/>
      <c r="F593" s="980" t="n"/>
      <c r="G593" s="980" t="n"/>
      <c r="H593" s="981" t="n"/>
      <c r="I593" s="973" t="n"/>
      <c r="J593" s="973" t="n"/>
      <c r="K593" s="35">
        <f>IFERROR(I593+J593,0)</f>
        <v/>
      </c>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IF(C594="","",ROW()-2)</f>
        <v/>
      </c>
      <c r="B594" s="977" t="n"/>
      <c r="C594" s="977" t="n"/>
      <c r="D594" s="978" t="n"/>
      <c r="E594" s="979" t="n"/>
      <c r="F594" s="980" t="n"/>
      <c r="G594" s="980" t="n"/>
      <c r="H594" s="981" t="n"/>
      <c r="I594" s="973" t="n"/>
      <c r="J594" s="973" t="n"/>
      <c r="K594" s="35">
        <f>IFERROR(I594+J594,0)</f>
        <v/>
      </c>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IF(C595="","",ROW()-2)</f>
        <v/>
      </c>
      <c r="B595" s="977" t="n"/>
      <c r="C595" s="977" t="n"/>
      <c r="D595" s="978" t="n"/>
      <c r="E595" s="979" t="n"/>
      <c r="F595" s="980" t="n"/>
      <c r="G595" s="980" t="n"/>
      <c r="H595" s="981" t="n"/>
      <c r="I595" s="973" t="n"/>
      <c r="J595" s="973" t="n"/>
      <c r="K595" s="35">
        <f>IFERROR(I595+J595,0)</f>
        <v/>
      </c>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IF(C596="","",ROW()-2)</f>
        <v/>
      </c>
      <c r="B596" s="977" t="n"/>
      <c r="C596" s="977" t="n"/>
      <c r="D596" s="978" t="n"/>
      <c r="E596" s="979" t="n"/>
      <c r="F596" s="980" t="n"/>
      <c r="G596" s="980" t="n"/>
      <c r="H596" s="981" t="n"/>
      <c r="I596" s="973" t="n"/>
      <c r="J596" s="973" t="n"/>
      <c r="K596" s="35">
        <f>IFERROR(I596+J596,0)</f>
        <v/>
      </c>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IF(C597="","",ROW()-2)</f>
        <v/>
      </c>
      <c r="B597" s="977" t="n"/>
      <c r="C597" s="977" t="n"/>
      <c r="D597" s="978" t="n"/>
      <c r="E597" s="979" t="n"/>
      <c r="F597" s="980" t="n"/>
      <c r="G597" s="980" t="n"/>
      <c r="H597" s="981" t="n"/>
      <c r="I597" s="973" t="n"/>
      <c r="J597" s="973" t="n"/>
      <c r="K597" s="35">
        <f>IFERROR(I597+J597,0)</f>
        <v/>
      </c>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IF(C598="","",ROW()-2)</f>
        <v/>
      </c>
      <c r="B598" s="977" t="n"/>
      <c r="C598" s="977" t="n"/>
      <c r="D598" s="978" t="n"/>
      <c r="E598" s="979" t="n"/>
      <c r="F598" s="980" t="n"/>
      <c r="G598" s="980" t="n"/>
      <c r="H598" s="981" t="n"/>
      <c r="I598" s="973" t="n"/>
      <c r="J598" s="973" t="n"/>
      <c r="K598" s="35">
        <f>IFERROR(I598+J598,0)</f>
        <v/>
      </c>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IF(C599="","",ROW()-2)</f>
        <v/>
      </c>
      <c r="B599" s="977" t="n"/>
      <c r="C599" s="977" t="n"/>
      <c r="D599" s="978" t="n"/>
      <c r="E599" s="979" t="n"/>
      <c r="F599" s="980" t="n"/>
      <c r="G599" s="980" t="n"/>
      <c r="H599" s="981" t="n"/>
      <c r="I599" s="973" t="n"/>
      <c r="J599" s="973" t="n"/>
      <c r="K599" s="35">
        <f>IFERROR(I599+J599,0)</f>
        <v/>
      </c>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IF(C600="","",ROW()-2)</f>
        <v/>
      </c>
      <c r="B600" s="977" t="n"/>
      <c r="C600" s="977" t="n"/>
      <c r="D600" s="978" t="n"/>
      <c r="E600" s="979" t="n"/>
      <c r="F600" s="980" t="n"/>
      <c r="G600" s="980" t="n"/>
      <c r="H600" s="981" t="n"/>
      <c r="I600" s="973" t="n"/>
      <c r="J600" s="973" t="n"/>
      <c r="K600" s="35">
        <f>IFERROR(I600+J600,0)</f>
        <v/>
      </c>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IF(C601="","",ROW()-2)</f>
        <v/>
      </c>
      <c r="B601" s="977" t="n"/>
      <c r="C601" s="977" t="n"/>
      <c r="D601" s="978" t="n"/>
      <c r="E601" s="979" t="n"/>
      <c r="F601" s="980" t="n"/>
      <c r="G601" s="980" t="n"/>
      <c r="H601" s="981" t="n"/>
      <c r="I601" s="973" t="n"/>
      <c r="J601" s="973" t="n"/>
      <c r="K601" s="35">
        <f>IFERROR(I601+J601,0)</f>
        <v/>
      </c>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IF(C602="","",ROW()-2)</f>
        <v/>
      </c>
      <c r="B602" s="977" t="n"/>
      <c r="C602" s="977" t="n"/>
      <c r="D602" s="978" t="n"/>
      <c r="E602" s="979" t="n"/>
      <c r="F602" s="980" t="n"/>
      <c r="G602" s="980" t="n"/>
      <c r="H602" s="981" t="n"/>
      <c r="I602" s="973" t="n"/>
      <c r="J602" s="973" t="n"/>
      <c r="K602" s="35">
        <f>IFERROR(I602+J602,0)</f>
        <v/>
      </c>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IF(C603="","",ROW()-2)</f>
        <v/>
      </c>
      <c r="B603" s="977" t="n"/>
      <c r="C603" s="977" t="n"/>
      <c r="D603" s="978" t="n"/>
      <c r="E603" s="979" t="n"/>
      <c r="F603" s="980" t="n"/>
      <c r="G603" s="980" t="n"/>
      <c r="H603" s="981" t="n"/>
      <c r="I603" s="973" t="n"/>
      <c r="J603" s="973" t="n"/>
      <c r="K603" s="35">
        <f>IFERROR(I603+J603,0)</f>
        <v/>
      </c>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IF(C604="","",ROW()-2)</f>
        <v/>
      </c>
      <c r="B604" s="977" t="n"/>
      <c r="C604" s="977" t="n"/>
      <c r="D604" s="978" t="n"/>
      <c r="E604" s="979" t="n"/>
      <c r="F604" s="980" t="n"/>
      <c r="G604" s="980" t="n"/>
      <c r="H604" s="981" t="n"/>
      <c r="I604" s="973" t="n"/>
      <c r="J604" s="973" t="n"/>
      <c r="K604" s="35">
        <f>IFERROR(I604+J604,0)</f>
        <v/>
      </c>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IF(C605="","",ROW()-2)</f>
        <v/>
      </c>
      <c r="B605" s="977" t="n"/>
      <c r="C605" s="977" t="n"/>
      <c r="D605" s="978" t="n"/>
      <c r="E605" s="979" t="n"/>
      <c r="F605" s="980" t="n"/>
      <c r="G605" s="980" t="n"/>
      <c r="H605" s="981" t="n"/>
      <c r="I605" s="973" t="n"/>
      <c r="J605" s="973" t="n"/>
      <c r="K605" s="35">
        <f>IFERROR(I605+J605,0)</f>
        <v/>
      </c>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IF(C606="","",ROW()-2)</f>
        <v/>
      </c>
      <c r="B606" s="977" t="n"/>
      <c r="C606" s="977" t="n"/>
      <c r="D606" s="978" t="n"/>
      <c r="E606" s="979" t="n"/>
      <c r="F606" s="980" t="n"/>
      <c r="G606" s="980" t="n"/>
      <c r="H606" s="981" t="n"/>
      <c r="I606" s="973" t="n"/>
      <c r="J606" s="973" t="n"/>
      <c r="K606" s="35">
        <f>IFERROR(I606+J606,0)</f>
        <v/>
      </c>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IF(C607="","",ROW()-2)</f>
        <v/>
      </c>
      <c r="B607" s="977" t="n"/>
      <c r="C607" s="977" t="n"/>
      <c r="D607" s="978" t="n"/>
      <c r="E607" s="979" t="n"/>
      <c r="F607" s="980" t="n"/>
      <c r="G607" s="980" t="n"/>
      <c r="H607" s="981" t="n"/>
      <c r="I607" s="973" t="n"/>
      <c r="J607" s="973" t="n"/>
      <c r="K607" s="35">
        <f>IFERROR(I607+J607,0)</f>
        <v/>
      </c>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IF(C608="","",ROW()-2)</f>
        <v/>
      </c>
      <c r="B608" s="977" t="n"/>
      <c r="C608" s="977" t="n"/>
      <c r="D608" s="978" t="n"/>
      <c r="E608" s="979" t="n"/>
      <c r="F608" s="980" t="n"/>
      <c r="G608" s="980" t="n"/>
      <c r="H608" s="981" t="n"/>
      <c r="I608" s="973" t="n"/>
      <c r="J608" s="973" t="n"/>
      <c r="K608" s="35">
        <f>IFERROR(I608+J608,0)</f>
        <v/>
      </c>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IF(C609="","",ROW()-2)</f>
        <v/>
      </c>
      <c r="B609" s="977" t="n"/>
      <c r="C609" s="977" t="n"/>
      <c r="D609" s="978" t="n"/>
      <c r="E609" s="979" t="n"/>
      <c r="F609" s="980" t="n"/>
      <c r="G609" s="980" t="n"/>
      <c r="H609" s="981" t="n"/>
      <c r="I609" s="973" t="n"/>
      <c r="J609" s="973" t="n"/>
      <c r="K609" s="35">
        <f>IFERROR(I609+J609,0)</f>
        <v/>
      </c>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IF(C610="","",ROW()-2)</f>
        <v/>
      </c>
      <c r="B610" s="977" t="n"/>
      <c r="C610" s="977" t="n"/>
      <c r="D610" s="978" t="n"/>
      <c r="E610" s="979" t="n"/>
      <c r="F610" s="980" t="n"/>
      <c r="G610" s="980" t="n"/>
      <c r="H610" s="981" t="n"/>
      <c r="I610" s="973" t="n"/>
      <c r="J610" s="973" t="n"/>
      <c r="K610" s="35">
        <f>IFERROR(I610+J610,0)</f>
        <v/>
      </c>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IF(C611="","",ROW()-2)</f>
        <v/>
      </c>
      <c r="B611" s="977" t="n"/>
      <c r="C611" s="977" t="n"/>
      <c r="D611" s="978" t="n"/>
      <c r="E611" s="979" t="n"/>
      <c r="F611" s="980" t="n"/>
      <c r="G611" s="980" t="n"/>
      <c r="H611" s="981" t="n"/>
      <c r="I611" s="973" t="n"/>
      <c r="J611" s="973" t="n"/>
      <c r="K611" s="35">
        <f>IFERROR(I611+J611,0)</f>
        <v/>
      </c>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IF(C612="","",ROW()-2)</f>
        <v/>
      </c>
      <c r="B612" s="977" t="n"/>
      <c r="C612" s="977" t="n"/>
      <c r="D612" s="978" t="n"/>
      <c r="E612" s="979" t="n"/>
      <c r="F612" s="980" t="n"/>
      <c r="G612" s="980" t="n"/>
      <c r="H612" s="981" t="n"/>
      <c r="I612" s="973" t="n"/>
      <c r="J612" s="973" t="n"/>
      <c r="K612" s="35">
        <f>IFERROR(I612+J612,0)</f>
        <v/>
      </c>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IF(C613="","",ROW()-2)</f>
        <v/>
      </c>
      <c r="B613" s="977" t="n"/>
      <c r="C613" s="977" t="n"/>
      <c r="D613" s="978" t="n"/>
      <c r="E613" s="979" t="n"/>
      <c r="F613" s="980" t="n"/>
      <c r="G613" s="980" t="n"/>
      <c r="H613" s="981" t="n"/>
      <c r="I613" s="973" t="n"/>
      <c r="J613" s="973" t="n"/>
      <c r="K613" s="35">
        <f>IFERROR(I613+J613,0)</f>
        <v/>
      </c>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IF(C614="","",ROW()-2)</f>
        <v/>
      </c>
      <c r="B614" s="977" t="n"/>
      <c r="C614" s="977" t="n"/>
      <c r="D614" s="978" t="n"/>
      <c r="E614" s="979" t="n"/>
      <c r="F614" s="980" t="n"/>
      <c r="G614" s="980" t="n"/>
      <c r="H614" s="981" t="n"/>
      <c r="I614" s="973" t="n"/>
      <c r="J614" s="973" t="n"/>
      <c r="K614" s="35">
        <f>IFERROR(I614+J614,0)</f>
        <v/>
      </c>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IF(C615="","",ROW()-2)</f>
        <v/>
      </c>
      <c r="B615" s="977" t="n"/>
      <c r="C615" s="977" t="n"/>
      <c r="D615" s="978" t="n"/>
      <c r="E615" s="979" t="n"/>
      <c r="F615" s="980" t="n"/>
      <c r="G615" s="980" t="n"/>
      <c r="H615" s="981" t="n"/>
      <c r="I615" s="973" t="n"/>
      <c r="J615" s="973" t="n"/>
      <c r="K615" s="35">
        <f>IFERROR(I615+J615,0)</f>
        <v/>
      </c>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IF(C616="","",ROW()-2)</f>
        <v/>
      </c>
      <c r="B616" s="977" t="n"/>
      <c r="C616" s="977" t="n"/>
      <c r="D616" s="978" t="n"/>
      <c r="E616" s="979" t="n"/>
      <c r="F616" s="980" t="n"/>
      <c r="G616" s="980" t="n"/>
      <c r="H616" s="981" t="n"/>
      <c r="I616" s="973" t="n"/>
      <c r="J616" s="973" t="n"/>
      <c r="K616" s="35">
        <f>IFERROR(I616+J616,0)</f>
        <v/>
      </c>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IF(C617="","",ROW()-2)</f>
        <v/>
      </c>
      <c r="B617" s="977" t="n"/>
      <c r="C617" s="977" t="n"/>
      <c r="D617" s="978" t="n"/>
      <c r="E617" s="979" t="n"/>
      <c r="F617" s="980" t="n"/>
      <c r="G617" s="980" t="n"/>
      <c r="H617" s="981" t="n"/>
      <c r="I617" s="973" t="n"/>
      <c r="J617" s="973" t="n"/>
      <c r="K617" s="35">
        <f>IFERROR(I617+J617,0)</f>
        <v/>
      </c>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IF(C618="","",ROW()-2)</f>
        <v/>
      </c>
      <c r="B618" s="977" t="n"/>
      <c r="C618" s="977" t="n"/>
      <c r="D618" s="978" t="n"/>
      <c r="E618" s="979" t="n"/>
      <c r="F618" s="980" t="n"/>
      <c r="G618" s="980" t="n"/>
      <c r="H618" s="981" t="n"/>
      <c r="I618" s="973" t="n"/>
      <c r="J618" s="973" t="n"/>
      <c r="K618" s="35">
        <f>IFERROR(I618+J618,0)</f>
        <v/>
      </c>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IF(C619="","",ROW()-2)</f>
        <v/>
      </c>
      <c r="B619" s="977" t="n"/>
      <c r="C619" s="977" t="n"/>
      <c r="D619" s="978" t="n"/>
      <c r="E619" s="979" t="n"/>
      <c r="F619" s="980" t="n"/>
      <c r="G619" s="980" t="n"/>
      <c r="H619" s="981" t="n"/>
      <c r="I619" s="973" t="n"/>
      <c r="J619" s="973" t="n"/>
      <c r="K619" s="35">
        <f>IFERROR(I619+J619,0)</f>
        <v/>
      </c>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IF(C620="","",ROW()-2)</f>
        <v/>
      </c>
      <c r="B620" s="977" t="n"/>
      <c r="C620" s="977" t="n"/>
      <c r="D620" s="978" t="n"/>
      <c r="E620" s="979" t="n"/>
      <c r="F620" s="980" t="n"/>
      <c r="G620" s="980" t="n"/>
      <c r="H620" s="981" t="n"/>
      <c r="I620" s="973" t="n"/>
      <c r="J620" s="973" t="n"/>
      <c r="K620" s="35">
        <f>IFERROR(I620+J620,0)</f>
        <v/>
      </c>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IF(C621="","",ROW()-2)</f>
        <v/>
      </c>
      <c r="B621" s="977" t="n"/>
      <c r="C621" s="977" t="n"/>
      <c r="D621" s="978" t="n"/>
      <c r="E621" s="979" t="n"/>
      <c r="F621" s="980" t="n"/>
      <c r="G621" s="980" t="n"/>
      <c r="H621" s="981" t="n"/>
      <c r="I621" s="973" t="n"/>
      <c r="J621" s="973" t="n"/>
      <c r="K621" s="35">
        <f>IFERROR(I621+J621,0)</f>
        <v/>
      </c>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IF(C622="","",ROW()-2)</f>
        <v/>
      </c>
      <c r="B622" s="977" t="n"/>
      <c r="C622" s="977" t="n"/>
      <c r="D622" s="978" t="n"/>
      <c r="E622" s="979" t="n"/>
      <c r="F622" s="980" t="n"/>
      <c r="G622" s="980" t="n"/>
      <c r="H622" s="981" t="n"/>
      <c r="I622" s="973" t="n"/>
      <c r="J622" s="973" t="n"/>
      <c r="K622" s="35">
        <f>IFERROR(I622+J622,0)</f>
        <v/>
      </c>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IF(C623="","",ROW()-2)</f>
        <v/>
      </c>
      <c r="B623" s="977" t="n"/>
      <c r="C623" s="977" t="n"/>
      <c r="D623" s="978" t="n"/>
      <c r="E623" s="979" t="n"/>
      <c r="F623" s="980" t="n"/>
      <c r="G623" s="980" t="n"/>
      <c r="H623" s="981" t="n"/>
      <c r="I623" s="973" t="n"/>
      <c r="J623" s="973" t="n"/>
      <c r="K623" s="35">
        <f>IFERROR(I623+J623,0)</f>
        <v/>
      </c>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IF(C624="","",ROW()-2)</f>
        <v/>
      </c>
      <c r="B624" s="977" t="n"/>
      <c r="C624" s="977" t="n"/>
      <c r="D624" s="978" t="n"/>
      <c r="E624" s="979" t="n"/>
      <c r="F624" s="980" t="n"/>
      <c r="G624" s="980" t="n"/>
      <c r="H624" s="981" t="n"/>
      <c r="I624" s="973" t="n"/>
      <c r="J624" s="973" t="n"/>
      <c r="K624" s="35">
        <f>IFERROR(I624+J624,0)</f>
        <v/>
      </c>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IF(C625="","",ROW()-2)</f>
        <v/>
      </c>
      <c r="B625" s="977" t="n"/>
      <c r="C625" s="977" t="n"/>
      <c r="D625" s="978" t="n"/>
      <c r="E625" s="979" t="n"/>
      <c r="F625" s="980" t="n"/>
      <c r="G625" s="980" t="n"/>
      <c r="H625" s="981" t="n"/>
      <c r="I625" s="973" t="n"/>
      <c r="J625" s="973" t="n"/>
      <c r="K625" s="35">
        <f>IFERROR(I625+J625,0)</f>
        <v/>
      </c>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IF(C626="","",ROW()-2)</f>
        <v/>
      </c>
      <c r="B626" s="977" t="n"/>
      <c r="C626" s="977" t="n"/>
      <c r="D626" s="978" t="n"/>
      <c r="E626" s="979" t="n"/>
      <c r="F626" s="980" t="n"/>
      <c r="G626" s="980" t="n"/>
      <c r="H626" s="981" t="n"/>
      <c r="I626" s="973" t="n"/>
      <c r="J626" s="973" t="n"/>
      <c r="K626" s="35">
        <f>IFERROR(I626+J626,0)</f>
        <v/>
      </c>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IF(C627="","",ROW()-2)</f>
        <v/>
      </c>
      <c r="B627" s="977" t="n"/>
      <c r="C627" s="977" t="n"/>
      <c r="D627" s="978" t="n"/>
      <c r="E627" s="979" t="n"/>
      <c r="F627" s="980" t="n"/>
      <c r="G627" s="980" t="n"/>
      <c r="H627" s="981" t="n"/>
      <c r="I627" s="973" t="n"/>
      <c r="J627" s="973" t="n"/>
      <c r="K627" s="35">
        <f>IFERROR(I627+J627,0)</f>
        <v/>
      </c>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IF(C628="","",ROW()-2)</f>
        <v/>
      </c>
      <c r="B628" s="977" t="n"/>
      <c r="C628" s="977" t="n"/>
      <c r="D628" s="978" t="n"/>
      <c r="E628" s="979" t="n"/>
      <c r="F628" s="980" t="n"/>
      <c r="G628" s="980" t="n"/>
      <c r="H628" s="981" t="n"/>
      <c r="I628" s="973" t="n"/>
      <c r="J628" s="973" t="n"/>
      <c r="K628" s="35">
        <f>IFERROR(I628+J628,0)</f>
        <v/>
      </c>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IF(C629="","",ROW()-2)</f>
        <v/>
      </c>
      <c r="B629" s="977" t="n"/>
      <c r="C629" s="977" t="n"/>
      <c r="D629" s="978" t="n"/>
      <c r="E629" s="979" t="n"/>
      <c r="F629" s="980" t="n"/>
      <c r="G629" s="980" t="n"/>
      <c r="H629" s="981" t="n"/>
      <c r="I629" s="973" t="n"/>
      <c r="J629" s="973" t="n"/>
      <c r="K629" s="35">
        <f>IFERROR(I629+J629,0)</f>
        <v/>
      </c>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IF(C630="","",ROW()-2)</f>
        <v/>
      </c>
      <c r="B630" s="977" t="n"/>
      <c r="C630" s="977" t="n"/>
      <c r="D630" s="978" t="n"/>
      <c r="E630" s="979" t="n"/>
      <c r="F630" s="980" t="n"/>
      <c r="G630" s="980" t="n"/>
      <c r="H630" s="981" t="n"/>
      <c r="I630" s="973" t="n"/>
      <c r="J630" s="973" t="n"/>
      <c r="K630" s="35">
        <f>IFERROR(I630+J630,0)</f>
        <v/>
      </c>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IF(C631="","",ROW()-2)</f>
        <v/>
      </c>
      <c r="B631" s="977" t="n"/>
      <c r="C631" s="977" t="n"/>
      <c r="D631" s="978" t="n"/>
      <c r="E631" s="979" t="n"/>
      <c r="F631" s="980" t="n"/>
      <c r="G631" s="980" t="n"/>
      <c r="H631" s="981" t="n"/>
      <c r="I631" s="973" t="n"/>
      <c r="J631" s="973" t="n"/>
      <c r="K631" s="35">
        <f>IFERROR(I631+J631,0)</f>
        <v/>
      </c>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IF(C632="","",ROW()-2)</f>
        <v/>
      </c>
      <c r="B632" s="977" t="n"/>
      <c r="C632" s="977" t="n"/>
      <c r="D632" s="978" t="n"/>
      <c r="E632" s="979" t="n"/>
      <c r="F632" s="980" t="n"/>
      <c r="G632" s="980" t="n"/>
      <c r="H632" s="981" t="n"/>
      <c r="I632" s="973" t="n"/>
      <c r="J632" s="973" t="n"/>
      <c r="K632" s="35">
        <f>IFERROR(I632+J632,0)</f>
        <v/>
      </c>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IF(C633="","",ROW()-2)</f>
        <v/>
      </c>
      <c r="B633" s="977" t="n"/>
      <c r="C633" s="977" t="n"/>
      <c r="D633" s="978" t="n"/>
      <c r="E633" s="979" t="n"/>
      <c r="F633" s="980" t="n"/>
      <c r="G633" s="980" t="n"/>
      <c r="H633" s="981" t="n"/>
      <c r="I633" s="973" t="n"/>
      <c r="J633" s="973" t="n"/>
      <c r="K633" s="35">
        <f>IFERROR(I633+J633,0)</f>
        <v/>
      </c>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IF(C634="","",ROW()-2)</f>
        <v/>
      </c>
      <c r="B634" s="977" t="n"/>
      <c r="C634" s="977" t="n"/>
      <c r="D634" s="978" t="n"/>
      <c r="E634" s="979" t="n"/>
      <c r="F634" s="980" t="n"/>
      <c r="G634" s="980" t="n"/>
      <c r="H634" s="981" t="n"/>
      <c r="I634" s="973" t="n"/>
      <c r="J634" s="973" t="n"/>
      <c r="K634" s="35">
        <f>IFERROR(I634+J634,0)</f>
        <v/>
      </c>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IF(C635="","",ROW()-2)</f>
        <v/>
      </c>
      <c r="B635" s="977" t="n"/>
      <c r="C635" s="977" t="n"/>
      <c r="D635" s="978" t="n"/>
      <c r="E635" s="979" t="n"/>
      <c r="F635" s="980" t="n"/>
      <c r="G635" s="980" t="n"/>
      <c r="H635" s="981" t="n"/>
      <c r="I635" s="973" t="n"/>
      <c r="J635" s="973" t="n"/>
      <c r="K635" s="35">
        <f>IFERROR(I635+J635,0)</f>
        <v/>
      </c>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IF(C636="","",ROW()-2)</f>
        <v/>
      </c>
      <c r="B636" s="977" t="n"/>
      <c r="C636" s="977" t="n"/>
      <c r="D636" s="978" t="n"/>
      <c r="E636" s="979" t="n"/>
      <c r="F636" s="980" t="n"/>
      <c r="G636" s="980" t="n"/>
      <c r="H636" s="981" t="n"/>
      <c r="I636" s="973" t="n"/>
      <c r="J636" s="973" t="n"/>
      <c r="K636" s="35">
        <f>IFERROR(I636+J636,0)</f>
        <v/>
      </c>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IF(C637="","",ROW()-2)</f>
        <v/>
      </c>
      <c r="B637" s="977" t="n"/>
      <c r="C637" s="977" t="n"/>
      <c r="D637" s="978" t="n"/>
      <c r="E637" s="979" t="n"/>
      <c r="F637" s="980" t="n"/>
      <c r="G637" s="980" t="n"/>
      <c r="H637" s="981" t="n"/>
      <c r="I637" s="973" t="n"/>
      <c r="J637" s="973" t="n"/>
      <c r="K637" s="35">
        <f>IFERROR(I637+J637,0)</f>
        <v/>
      </c>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IF(C638="","",ROW()-2)</f>
        <v/>
      </c>
      <c r="B638" s="977" t="n"/>
      <c r="C638" s="977" t="n"/>
      <c r="D638" s="978" t="n"/>
      <c r="E638" s="979" t="n"/>
      <c r="F638" s="980" t="n"/>
      <c r="G638" s="980" t="n"/>
      <c r="H638" s="981" t="n"/>
      <c r="I638" s="973" t="n"/>
      <c r="J638" s="973" t="n"/>
      <c r="K638" s="35">
        <f>IFERROR(I638+J638,0)</f>
        <v/>
      </c>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IF(C639="","",ROW()-2)</f>
        <v/>
      </c>
      <c r="B639" s="977" t="n"/>
      <c r="C639" s="977" t="n"/>
      <c r="D639" s="978" t="n"/>
      <c r="E639" s="979" t="n"/>
      <c r="F639" s="980" t="n"/>
      <c r="G639" s="980" t="n"/>
      <c r="H639" s="981" t="n"/>
      <c r="I639" s="973" t="n"/>
      <c r="J639" s="973" t="n"/>
      <c r="K639" s="35">
        <f>IFERROR(I639+J639,0)</f>
        <v/>
      </c>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IF(C640="","",ROW()-2)</f>
        <v/>
      </c>
      <c r="B640" s="977" t="n"/>
      <c r="C640" s="977" t="n"/>
      <c r="D640" s="978" t="n"/>
      <c r="E640" s="979" t="n"/>
      <c r="F640" s="980" t="n"/>
      <c r="G640" s="980" t="n"/>
      <c r="H640" s="981" t="n"/>
      <c r="I640" s="973" t="n"/>
      <c r="J640" s="973" t="n"/>
      <c r="K640" s="35">
        <f>IFERROR(I640+J640,0)</f>
        <v/>
      </c>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IF(C641="","",ROW()-2)</f>
        <v/>
      </c>
      <c r="B641" s="977" t="n"/>
      <c r="C641" s="977" t="n"/>
      <c r="D641" s="978" t="n"/>
      <c r="E641" s="979" t="n"/>
      <c r="F641" s="980" t="n"/>
      <c r="G641" s="980" t="n"/>
      <c r="H641" s="981" t="n"/>
      <c r="I641" s="973" t="n"/>
      <c r="J641" s="973" t="n"/>
      <c r="K641" s="35">
        <f>IFERROR(I641+J641,0)</f>
        <v/>
      </c>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IF(C642="","",ROW()-2)</f>
        <v/>
      </c>
      <c r="B642" s="977" t="n"/>
      <c r="C642" s="977" t="n"/>
      <c r="D642" s="978" t="n"/>
      <c r="E642" s="979" t="n"/>
      <c r="F642" s="980" t="n"/>
      <c r="G642" s="980" t="n"/>
      <c r="H642" s="981" t="n"/>
      <c r="I642" s="973" t="n"/>
      <c r="J642" s="973" t="n"/>
      <c r="K642" s="35">
        <f>IFERROR(I642+J642,0)</f>
        <v/>
      </c>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IF(C643="","",ROW()-2)</f>
        <v/>
      </c>
      <c r="B643" s="977" t="n"/>
      <c r="C643" s="977" t="n"/>
      <c r="D643" s="978" t="n"/>
      <c r="E643" s="979" t="n"/>
      <c r="F643" s="980" t="n"/>
      <c r="G643" s="980" t="n"/>
      <c r="H643" s="981" t="n"/>
      <c r="I643" s="973" t="n"/>
      <c r="J643" s="973" t="n"/>
      <c r="K643" s="35">
        <f>IFERROR(I643+J643,0)</f>
        <v/>
      </c>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IF(C644="","",ROW()-2)</f>
        <v/>
      </c>
      <c r="B644" s="977" t="n"/>
      <c r="C644" s="977" t="n"/>
      <c r="D644" s="978" t="n"/>
      <c r="E644" s="979" t="n"/>
      <c r="F644" s="980" t="n"/>
      <c r="G644" s="980" t="n"/>
      <c r="H644" s="981" t="n"/>
      <c r="I644" s="973" t="n"/>
      <c r="J644" s="973" t="n"/>
      <c r="K644" s="35">
        <f>IFERROR(I644+J644,0)</f>
        <v/>
      </c>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IF(C645="","",ROW()-2)</f>
        <v/>
      </c>
      <c r="B645" s="977" t="n"/>
      <c r="C645" s="977" t="n"/>
      <c r="D645" s="978" t="n"/>
      <c r="E645" s="979" t="n"/>
      <c r="F645" s="980" t="n"/>
      <c r="G645" s="980" t="n"/>
      <c r="H645" s="981" t="n"/>
      <c r="I645" s="973" t="n"/>
      <c r="J645" s="973" t="n"/>
      <c r="K645" s="35">
        <f>IFERROR(I645+J645,0)</f>
        <v/>
      </c>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IF(C646="","",ROW()-2)</f>
        <v/>
      </c>
      <c r="B646" s="977" t="n"/>
      <c r="C646" s="977" t="n"/>
      <c r="D646" s="978" t="n"/>
      <c r="E646" s="979" t="n"/>
      <c r="F646" s="980" t="n"/>
      <c r="G646" s="980" t="n"/>
      <c r="H646" s="981" t="n"/>
      <c r="I646" s="973" t="n"/>
      <c r="J646" s="973" t="n"/>
      <c r="K646" s="35">
        <f>IFERROR(I646+J646,0)</f>
        <v/>
      </c>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IF(C647="","",ROW()-2)</f>
        <v/>
      </c>
      <c r="B647" s="977" t="n"/>
      <c r="C647" s="977" t="n"/>
      <c r="D647" s="978" t="n"/>
      <c r="E647" s="979" t="n"/>
      <c r="F647" s="980" t="n"/>
      <c r="G647" s="980" t="n"/>
      <c r="H647" s="981" t="n"/>
      <c r="I647" s="973" t="n"/>
      <c r="J647" s="973" t="n"/>
      <c r="K647" s="35">
        <f>IFERROR(I647+J647,0)</f>
        <v/>
      </c>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IF(C648="","",ROW()-2)</f>
        <v/>
      </c>
      <c r="B648" s="977" t="n"/>
      <c r="C648" s="977" t="n"/>
      <c r="D648" s="978" t="n"/>
      <c r="E648" s="979" t="n"/>
      <c r="F648" s="980" t="n"/>
      <c r="G648" s="980" t="n"/>
      <c r="H648" s="981" t="n"/>
      <c r="I648" s="973" t="n"/>
      <c r="J648" s="973" t="n"/>
      <c r="K648" s="35">
        <f>IFERROR(I648+J648,0)</f>
        <v/>
      </c>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IF(C649="","",ROW()-2)</f>
        <v/>
      </c>
      <c r="B649" s="977" t="n"/>
      <c r="C649" s="977" t="n"/>
      <c r="D649" s="978" t="n"/>
      <c r="E649" s="979" t="n"/>
      <c r="F649" s="980" t="n"/>
      <c r="G649" s="980" t="n"/>
      <c r="H649" s="981" t="n"/>
      <c r="I649" s="973" t="n"/>
      <c r="J649" s="973" t="n"/>
      <c r="K649" s="35">
        <f>IFERROR(I649+J649,0)</f>
        <v/>
      </c>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IF(C650="","",ROW()-2)</f>
        <v/>
      </c>
      <c r="B650" s="977" t="n"/>
      <c r="C650" s="977" t="n"/>
      <c r="D650" s="978" t="n"/>
      <c r="E650" s="979" t="n"/>
      <c r="F650" s="980" t="n"/>
      <c r="G650" s="980" t="n"/>
      <c r="H650" s="981" t="n"/>
      <c r="I650" s="973" t="n"/>
      <c r="J650" s="973" t="n"/>
      <c r="K650" s="35">
        <f>IFERROR(I650+J650,0)</f>
        <v/>
      </c>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IF(C651="","",ROW()-2)</f>
        <v/>
      </c>
      <c r="B651" s="977" t="n"/>
      <c r="C651" s="977" t="n"/>
      <c r="D651" s="978" t="n"/>
      <c r="E651" s="979" t="n"/>
      <c r="F651" s="980" t="n"/>
      <c r="G651" s="980" t="n"/>
      <c r="H651" s="981" t="n"/>
      <c r="I651" s="973" t="n"/>
      <c r="J651" s="973" t="n"/>
      <c r="K651" s="35">
        <f>IFERROR(I651+J651,0)</f>
        <v/>
      </c>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IF(C652="","",ROW()-2)</f>
        <v/>
      </c>
      <c r="B652" s="977" t="n"/>
      <c r="C652" s="977" t="n"/>
      <c r="D652" s="978" t="n"/>
      <c r="E652" s="979" t="n"/>
      <c r="F652" s="980" t="n"/>
      <c r="G652" s="980" t="n"/>
      <c r="H652" s="981" t="n"/>
      <c r="I652" s="973" t="n"/>
      <c r="J652" s="973" t="n"/>
      <c r="K652" s="35">
        <f>IFERROR(I652+J652,0)</f>
        <v/>
      </c>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IF(C653="","",ROW()-2)</f>
        <v/>
      </c>
      <c r="B653" s="977" t="n"/>
      <c r="C653" s="977" t="n"/>
      <c r="D653" s="978" t="n"/>
      <c r="E653" s="979" t="n"/>
      <c r="F653" s="980" t="n"/>
      <c r="G653" s="980" t="n"/>
      <c r="H653" s="981" t="n"/>
      <c r="I653" s="973" t="n"/>
      <c r="J653" s="973" t="n"/>
      <c r="K653" s="35">
        <f>IFERROR(I653+J653,0)</f>
        <v/>
      </c>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IF(C654="","",ROW()-2)</f>
        <v/>
      </c>
      <c r="B654" s="977" t="n"/>
      <c r="C654" s="977" t="n"/>
      <c r="D654" s="978" t="n"/>
      <c r="E654" s="979" t="n"/>
      <c r="F654" s="980" t="n"/>
      <c r="G654" s="980" t="n"/>
      <c r="H654" s="981" t="n"/>
      <c r="I654" s="973" t="n"/>
      <c r="J654" s="973" t="n"/>
      <c r="K654" s="35">
        <f>IFERROR(I654+J654,0)</f>
        <v/>
      </c>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IF(C655="","",ROW()-2)</f>
        <v/>
      </c>
      <c r="B655" s="977" t="n"/>
      <c r="C655" s="977" t="n"/>
      <c r="D655" s="978" t="n"/>
      <c r="E655" s="979" t="n"/>
      <c r="F655" s="980" t="n"/>
      <c r="G655" s="980" t="n"/>
      <c r="H655" s="981" t="n"/>
      <c r="I655" s="973" t="n"/>
      <c r="J655" s="973" t="n"/>
      <c r="K655" s="35">
        <f>IFERROR(I655+J655,0)</f>
        <v/>
      </c>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IF(C656="","",ROW()-2)</f>
        <v/>
      </c>
      <c r="B656" s="977" t="n"/>
      <c r="C656" s="977" t="n"/>
      <c r="D656" s="978" t="n"/>
      <c r="E656" s="979" t="n"/>
      <c r="F656" s="980" t="n"/>
      <c r="G656" s="980" t="n"/>
      <c r="H656" s="981" t="n"/>
      <c r="I656" s="973" t="n"/>
      <c r="J656" s="973" t="n"/>
      <c r="K656" s="35">
        <f>IFERROR(I656+J656,0)</f>
        <v/>
      </c>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IF(C657="","",ROW()-2)</f>
        <v/>
      </c>
      <c r="B657" s="977" t="n"/>
      <c r="C657" s="977" t="n"/>
      <c r="D657" s="978" t="n"/>
      <c r="E657" s="979" t="n"/>
      <c r="F657" s="980" t="n"/>
      <c r="G657" s="980" t="n"/>
      <c r="H657" s="981" t="n"/>
      <c r="I657" s="973" t="n"/>
      <c r="J657" s="973" t="n"/>
      <c r="K657" s="35">
        <f>IFERROR(I657+J657,0)</f>
        <v/>
      </c>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IF(C658="","",ROW()-2)</f>
        <v/>
      </c>
      <c r="B658" s="977" t="n"/>
      <c r="C658" s="977" t="n"/>
      <c r="D658" s="978" t="n"/>
      <c r="E658" s="979" t="n"/>
      <c r="F658" s="980" t="n"/>
      <c r="G658" s="980" t="n"/>
      <c r="H658" s="981" t="n"/>
      <c r="I658" s="973" t="n"/>
      <c r="J658" s="973" t="n"/>
      <c r="K658" s="35">
        <f>IFERROR(I658+J658,0)</f>
        <v/>
      </c>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IF(C659="","",ROW()-2)</f>
        <v/>
      </c>
      <c r="B659" s="977" t="n"/>
      <c r="C659" s="977" t="n"/>
      <c r="D659" s="978" t="n"/>
      <c r="E659" s="979" t="n"/>
      <c r="F659" s="980" t="n"/>
      <c r="G659" s="980" t="n"/>
      <c r="H659" s="981" t="n"/>
      <c r="I659" s="973" t="n"/>
      <c r="J659" s="973" t="n"/>
      <c r="K659" s="35">
        <f>IFERROR(I659+J659,0)</f>
        <v/>
      </c>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IF(C660="","",ROW()-2)</f>
        <v/>
      </c>
      <c r="B660" s="977" t="n"/>
      <c r="C660" s="977" t="n"/>
      <c r="D660" s="978" t="n"/>
      <c r="E660" s="979" t="n"/>
      <c r="F660" s="980" t="n"/>
      <c r="G660" s="980" t="n"/>
      <c r="H660" s="981" t="n"/>
      <c r="I660" s="973" t="n"/>
      <c r="J660" s="973" t="n"/>
      <c r="K660" s="35">
        <f>IFERROR(I660+J660,0)</f>
        <v/>
      </c>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IF(C661="","",ROW()-2)</f>
        <v/>
      </c>
      <c r="B661" s="977" t="n"/>
      <c r="C661" s="977" t="n"/>
      <c r="D661" s="978" t="n"/>
      <c r="E661" s="979" t="n"/>
      <c r="F661" s="980" t="n"/>
      <c r="G661" s="980" t="n"/>
      <c r="H661" s="981" t="n"/>
      <c r="I661" s="973" t="n"/>
      <c r="J661" s="973" t="n"/>
      <c r="K661" s="35">
        <f>IFERROR(I661+J661,0)</f>
        <v/>
      </c>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IF(C662="","",ROW()-2)</f>
        <v/>
      </c>
      <c r="B662" s="977" t="n"/>
      <c r="C662" s="977" t="n"/>
      <c r="D662" s="978" t="n"/>
      <c r="E662" s="979" t="n"/>
      <c r="F662" s="980" t="n"/>
      <c r="G662" s="980" t="n"/>
      <c r="H662" s="981" t="n"/>
      <c r="I662" s="973" t="n"/>
      <c r="J662" s="973" t="n"/>
      <c r="K662" s="35">
        <f>IFERROR(I662+J662,0)</f>
        <v/>
      </c>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IF(C663="","",ROW()-2)</f>
        <v/>
      </c>
      <c r="B663" s="977" t="n"/>
      <c r="C663" s="977" t="n"/>
      <c r="D663" s="978" t="n"/>
      <c r="E663" s="979" t="n"/>
      <c r="F663" s="980" t="n"/>
      <c r="G663" s="980" t="n"/>
      <c r="H663" s="981" t="n"/>
      <c r="I663" s="973" t="n"/>
      <c r="J663" s="973" t="n"/>
      <c r="K663" s="35">
        <f>IFERROR(I663+J663,0)</f>
        <v/>
      </c>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IF(C664="","",ROW()-2)</f>
        <v/>
      </c>
      <c r="B664" s="977" t="n"/>
      <c r="C664" s="977" t="n"/>
      <c r="D664" s="978" t="n"/>
      <c r="E664" s="979" t="n"/>
      <c r="F664" s="980" t="n"/>
      <c r="G664" s="980" t="n"/>
      <c r="H664" s="981" t="n"/>
      <c r="I664" s="973" t="n"/>
      <c r="J664" s="973" t="n"/>
      <c r="K664" s="35">
        <f>IFERROR(I664+J664,0)</f>
        <v/>
      </c>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IF(C665="","",ROW()-2)</f>
        <v/>
      </c>
      <c r="B665" s="977" t="n"/>
      <c r="C665" s="977" t="n"/>
      <c r="D665" s="978" t="n"/>
      <c r="E665" s="979" t="n"/>
      <c r="F665" s="980" t="n"/>
      <c r="G665" s="980" t="n"/>
      <c r="H665" s="981" t="n"/>
      <c r="I665" s="973" t="n"/>
      <c r="J665" s="973" t="n"/>
      <c r="K665" s="35">
        <f>IFERROR(I665+J665,0)</f>
        <v/>
      </c>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IF(C666="","",ROW()-2)</f>
        <v/>
      </c>
      <c r="B666" s="977" t="n"/>
      <c r="C666" s="977" t="n"/>
      <c r="D666" s="978" t="n"/>
      <c r="E666" s="979" t="n"/>
      <c r="F666" s="980" t="n"/>
      <c r="G666" s="980" t="n"/>
      <c r="H666" s="981" t="n"/>
      <c r="I666" s="973" t="n"/>
      <c r="J666" s="973" t="n"/>
      <c r="K666" s="35">
        <f>IFERROR(I666+J666,0)</f>
        <v/>
      </c>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IF(C667="","",ROW()-2)</f>
        <v/>
      </c>
      <c r="B667" s="977" t="n"/>
      <c r="C667" s="977" t="n"/>
      <c r="D667" s="978" t="n"/>
      <c r="E667" s="979" t="n"/>
      <c r="F667" s="980" t="n"/>
      <c r="G667" s="980" t="n"/>
      <c r="H667" s="981" t="n"/>
      <c r="I667" s="973" t="n"/>
      <c r="J667" s="973" t="n"/>
      <c r="K667" s="35">
        <f>IFERROR(I667+J667,0)</f>
        <v/>
      </c>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IF(C668="","",ROW()-2)</f>
        <v/>
      </c>
      <c r="B668" s="977" t="n"/>
      <c r="C668" s="977" t="n"/>
      <c r="D668" s="978" t="n"/>
      <c r="E668" s="979" t="n"/>
      <c r="F668" s="980" t="n"/>
      <c r="G668" s="980" t="n"/>
      <c r="H668" s="981" t="n"/>
      <c r="I668" s="973" t="n"/>
      <c r="J668" s="973" t="n"/>
      <c r="K668" s="35">
        <f>IFERROR(I668+J668,0)</f>
        <v/>
      </c>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IF(C669="","",ROW()-2)</f>
        <v/>
      </c>
      <c r="B669" s="977" t="n"/>
      <c r="C669" s="977" t="n"/>
      <c r="D669" s="978" t="n"/>
      <c r="E669" s="979" t="n"/>
      <c r="F669" s="980" t="n"/>
      <c r="G669" s="980" t="n"/>
      <c r="H669" s="981" t="n"/>
      <c r="I669" s="973" t="n"/>
      <c r="J669" s="973" t="n"/>
      <c r="K669" s="35">
        <f>IFERROR(I669+J669,0)</f>
        <v/>
      </c>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IF(C670="","",ROW()-2)</f>
        <v/>
      </c>
      <c r="B670" s="977" t="n"/>
      <c r="C670" s="977" t="n"/>
      <c r="D670" s="978" t="n"/>
      <c r="E670" s="979" t="n"/>
      <c r="F670" s="980" t="n"/>
      <c r="G670" s="980" t="n"/>
      <c r="H670" s="981" t="n"/>
      <c r="I670" s="973" t="n"/>
      <c r="J670" s="973" t="n"/>
      <c r="K670" s="35">
        <f>IFERROR(I670+J670,0)</f>
        <v/>
      </c>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IF(C671="","",ROW()-2)</f>
        <v/>
      </c>
      <c r="B671" s="977" t="n"/>
      <c r="C671" s="977" t="n"/>
      <c r="D671" s="978" t="n"/>
      <c r="E671" s="979" t="n"/>
      <c r="F671" s="980" t="n"/>
      <c r="G671" s="980" t="n"/>
      <c r="H671" s="981" t="n"/>
      <c r="I671" s="973" t="n"/>
      <c r="J671" s="973" t="n"/>
      <c r="K671" s="35">
        <f>IFERROR(I671+J671,0)</f>
        <v/>
      </c>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IF(C672="","",ROW()-2)</f>
        <v/>
      </c>
      <c r="B672" s="977" t="n"/>
      <c r="C672" s="977" t="n"/>
      <c r="D672" s="978" t="n"/>
      <c r="E672" s="979" t="n"/>
      <c r="F672" s="980" t="n"/>
      <c r="G672" s="980" t="n"/>
      <c r="H672" s="981" t="n"/>
      <c r="I672" s="973" t="n"/>
      <c r="J672" s="973" t="n"/>
      <c r="K672" s="35">
        <f>IFERROR(I672+J672,0)</f>
        <v/>
      </c>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IF(C673="","",ROW()-2)</f>
        <v/>
      </c>
      <c r="B673" s="977" t="n"/>
      <c r="C673" s="977" t="n"/>
      <c r="D673" s="978" t="n"/>
      <c r="E673" s="979" t="n"/>
      <c r="F673" s="980" t="n"/>
      <c r="G673" s="980" t="n"/>
      <c r="H673" s="981" t="n"/>
      <c r="I673" s="973" t="n"/>
      <c r="J673" s="973" t="n"/>
      <c r="K673" s="35">
        <f>IFERROR(I673+J673,0)</f>
        <v/>
      </c>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IF(C674="","",ROW()-2)</f>
        <v/>
      </c>
      <c r="B674" s="977" t="n"/>
      <c r="C674" s="977" t="n"/>
      <c r="D674" s="978" t="n"/>
      <c r="E674" s="979" t="n"/>
      <c r="F674" s="980" t="n"/>
      <c r="G674" s="980" t="n"/>
      <c r="H674" s="981" t="n"/>
      <c r="I674" s="973" t="n"/>
      <c r="J674" s="973" t="n"/>
      <c r="K674" s="35">
        <f>IFERROR(I674+J674,0)</f>
        <v/>
      </c>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IF(C675="","",ROW()-2)</f>
        <v/>
      </c>
      <c r="B675" s="977" t="n"/>
      <c r="C675" s="977" t="n"/>
      <c r="D675" s="978" t="n"/>
      <c r="E675" s="979" t="n"/>
      <c r="F675" s="980" t="n"/>
      <c r="G675" s="980" t="n"/>
      <c r="H675" s="981" t="n"/>
      <c r="I675" s="973" t="n"/>
      <c r="J675" s="973" t="n"/>
      <c r="K675" s="35">
        <f>IFERROR(I675+J675,0)</f>
        <v/>
      </c>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IF(C676="","",ROW()-2)</f>
        <v/>
      </c>
      <c r="B676" s="977" t="n"/>
      <c r="C676" s="977" t="n"/>
      <c r="D676" s="978" t="n"/>
      <c r="E676" s="979" t="n"/>
      <c r="F676" s="980" t="n"/>
      <c r="G676" s="980" t="n"/>
      <c r="H676" s="981" t="n"/>
      <c r="I676" s="973" t="n"/>
      <c r="J676" s="973" t="n"/>
      <c r="K676" s="35">
        <f>IFERROR(I676+J676,0)</f>
        <v/>
      </c>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IF(C677="","",ROW()-2)</f>
        <v/>
      </c>
      <c r="B677" s="977" t="n"/>
      <c r="C677" s="977" t="n"/>
      <c r="D677" s="978" t="n"/>
      <c r="E677" s="979" t="n"/>
      <c r="F677" s="980" t="n"/>
      <c r="G677" s="980" t="n"/>
      <c r="H677" s="981" t="n"/>
      <c r="I677" s="973" t="n"/>
      <c r="J677" s="973" t="n"/>
      <c r="K677" s="35">
        <f>IFERROR(I677+J677,0)</f>
        <v/>
      </c>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IF(C678="","",ROW()-2)</f>
        <v/>
      </c>
      <c r="B678" s="977" t="n"/>
      <c r="C678" s="977" t="n"/>
      <c r="D678" s="978" t="n"/>
      <c r="E678" s="979" t="n"/>
      <c r="F678" s="980" t="n"/>
      <c r="G678" s="980" t="n"/>
      <c r="H678" s="981" t="n"/>
      <c r="I678" s="973" t="n"/>
      <c r="J678" s="973" t="n"/>
      <c r="K678" s="35">
        <f>IFERROR(I678+J678,0)</f>
        <v/>
      </c>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IF(C679="","",ROW()-2)</f>
        <v/>
      </c>
      <c r="B679" s="977" t="n"/>
      <c r="C679" s="977" t="n"/>
      <c r="D679" s="978" t="n"/>
      <c r="E679" s="979" t="n"/>
      <c r="F679" s="980" t="n"/>
      <c r="G679" s="980" t="n"/>
      <c r="H679" s="981" t="n"/>
      <c r="I679" s="973" t="n"/>
      <c r="J679" s="973" t="n"/>
      <c r="K679" s="35">
        <f>IFERROR(I679+J679,0)</f>
        <v/>
      </c>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IF(C680="","",ROW()-2)</f>
        <v/>
      </c>
      <c r="B680" s="977" t="n"/>
      <c r="C680" s="977" t="n"/>
      <c r="D680" s="978" t="n"/>
      <c r="E680" s="979" t="n"/>
      <c r="F680" s="980" t="n"/>
      <c r="G680" s="980" t="n"/>
      <c r="H680" s="981" t="n"/>
      <c r="I680" s="973" t="n"/>
      <c r="J680" s="973" t="n"/>
      <c r="K680" s="35">
        <f>IFERROR(I680+J680,0)</f>
        <v/>
      </c>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IF(C681="","",ROW()-2)</f>
        <v/>
      </c>
      <c r="B681" s="977" t="n"/>
      <c r="C681" s="977" t="n"/>
      <c r="D681" s="978" t="n"/>
      <c r="E681" s="979" t="n"/>
      <c r="F681" s="980" t="n"/>
      <c r="G681" s="980" t="n"/>
      <c r="H681" s="981" t="n"/>
      <c r="I681" s="973" t="n"/>
      <c r="J681" s="973" t="n"/>
      <c r="K681" s="35">
        <f>IFERROR(I681+J681,0)</f>
        <v/>
      </c>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IF(C682="","",ROW()-2)</f>
        <v/>
      </c>
      <c r="B682" s="977" t="n"/>
      <c r="C682" s="977" t="n"/>
      <c r="D682" s="978" t="n"/>
      <c r="E682" s="979" t="n"/>
      <c r="F682" s="980" t="n"/>
      <c r="G682" s="980" t="n"/>
      <c r="H682" s="981" t="n"/>
      <c r="I682" s="973" t="n"/>
      <c r="J682" s="973" t="n"/>
      <c r="K682" s="35">
        <f>IFERROR(I682+J682,0)</f>
        <v/>
      </c>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IF(C683="","",ROW()-2)</f>
        <v/>
      </c>
      <c r="B683" s="977" t="n"/>
      <c r="C683" s="977" t="n"/>
      <c r="D683" s="978" t="n"/>
      <c r="E683" s="979" t="n"/>
      <c r="F683" s="980" t="n"/>
      <c r="G683" s="980" t="n"/>
      <c r="H683" s="981" t="n"/>
      <c r="I683" s="973" t="n"/>
      <c r="J683" s="973" t="n"/>
      <c r="K683" s="35">
        <f>IFERROR(I683+J683,0)</f>
        <v/>
      </c>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IF(C684="","",ROW()-2)</f>
        <v/>
      </c>
      <c r="B684" s="977" t="n"/>
      <c r="C684" s="977" t="n"/>
      <c r="D684" s="978" t="n"/>
      <c r="E684" s="979" t="n"/>
      <c r="F684" s="980" t="n"/>
      <c r="G684" s="980" t="n"/>
      <c r="H684" s="981" t="n"/>
      <c r="I684" s="973" t="n"/>
      <c r="J684" s="973" t="n"/>
      <c r="K684" s="35">
        <f>IFERROR(I684+J684,0)</f>
        <v/>
      </c>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IF(C685="","",ROW()-2)</f>
        <v/>
      </c>
      <c r="B685" s="977" t="n"/>
      <c r="C685" s="977" t="n"/>
      <c r="D685" s="978" t="n"/>
      <c r="E685" s="979" t="n"/>
      <c r="F685" s="980" t="n"/>
      <c r="G685" s="980" t="n"/>
      <c r="H685" s="981" t="n"/>
      <c r="I685" s="973" t="n"/>
      <c r="J685" s="973" t="n"/>
      <c r="K685" s="35">
        <f>IFERROR(I685+J685,0)</f>
        <v/>
      </c>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IF(C686="","",ROW()-2)</f>
        <v/>
      </c>
      <c r="B686" s="977" t="n"/>
      <c r="C686" s="977" t="n"/>
      <c r="D686" s="978" t="n"/>
      <c r="E686" s="979" t="n"/>
      <c r="F686" s="980" t="n"/>
      <c r="G686" s="980" t="n"/>
      <c r="H686" s="981" t="n"/>
      <c r="I686" s="973" t="n"/>
      <c r="J686" s="973" t="n"/>
      <c r="K686" s="35">
        <f>IFERROR(I686+J686,0)</f>
        <v/>
      </c>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IF(C687="","",ROW()-2)</f>
        <v/>
      </c>
      <c r="B687" s="977" t="n"/>
      <c r="C687" s="977" t="n"/>
      <c r="D687" s="978" t="n"/>
      <c r="E687" s="979" t="n"/>
      <c r="F687" s="980" t="n"/>
      <c r="G687" s="980" t="n"/>
      <c r="H687" s="981" t="n"/>
      <c r="I687" s="973" t="n"/>
      <c r="J687" s="973" t="n"/>
      <c r="K687" s="35">
        <f>IFERROR(I687+J687,0)</f>
        <v/>
      </c>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IF(C688="","",ROW()-2)</f>
        <v/>
      </c>
      <c r="B688" s="977" t="n"/>
      <c r="C688" s="977" t="n"/>
      <c r="D688" s="978" t="n"/>
      <c r="E688" s="979" t="n"/>
      <c r="F688" s="980" t="n"/>
      <c r="G688" s="980" t="n"/>
      <c r="H688" s="981" t="n"/>
      <c r="I688" s="973" t="n"/>
      <c r="J688" s="973" t="n"/>
      <c r="K688" s="35">
        <f>IFERROR(I688+J688,0)</f>
        <v/>
      </c>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IF(C689="","",ROW()-2)</f>
        <v/>
      </c>
      <c r="B689" s="977" t="n"/>
      <c r="C689" s="977" t="n"/>
      <c r="D689" s="978" t="n"/>
      <c r="E689" s="979" t="n"/>
      <c r="F689" s="980" t="n"/>
      <c r="G689" s="980" t="n"/>
      <c r="H689" s="981" t="n"/>
      <c r="I689" s="973" t="n"/>
      <c r="J689" s="973" t="n"/>
      <c r="K689" s="35">
        <f>IFERROR(I689+J689,0)</f>
        <v/>
      </c>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IF(C690="","",ROW()-2)</f>
        <v/>
      </c>
      <c r="B690" s="977" t="n"/>
      <c r="C690" s="977" t="n"/>
      <c r="D690" s="978" t="n"/>
      <c r="E690" s="979" t="n"/>
      <c r="F690" s="980" t="n"/>
      <c r="G690" s="980" t="n"/>
      <c r="H690" s="981" t="n"/>
      <c r="I690" s="973" t="n"/>
      <c r="J690" s="973" t="n"/>
      <c r="K690" s="35">
        <f>IFERROR(I690+J690,0)</f>
        <v/>
      </c>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IF(C691="","",ROW()-2)</f>
        <v/>
      </c>
      <c r="B691" s="977" t="n"/>
      <c r="C691" s="977" t="n"/>
      <c r="D691" s="978" t="n"/>
      <c r="E691" s="979" t="n"/>
      <c r="F691" s="980" t="n"/>
      <c r="G691" s="980" t="n"/>
      <c r="H691" s="981" t="n"/>
      <c r="I691" s="973" t="n"/>
      <c r="J691" s="973" t="n"/>
      <c r="K691" s="35">
        <f>IFERROR(I691+J691,0)</f>
        <v/>
      </c>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IF(C692="","",ROW()-2)</f>
        <v/>
      </c>
      <c r="B692" s="977" t="n"/>
      <c r="C692" s="977" t="n"/>
      <c r="D692" s="978" t="n"/>
      <c r="E692" s="979" t="n"/>
      <c r="F692" s="980" t="n"/>
      <c r="G692" s="980" t="n"/>
      <c r="H692" s="981" t="n"/>
      <c r="I692" s="973" t="n"/>
      <c r="J692" s="973" t="n"/>
      <c r="K692" s="35">
        <f>IFERROR(I692+J692,0)</f>
        <v/>
      </c>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IF(C693="","",ROW()-2)</f>
        <v/>
      </c>
      <c r="B693" s="977" t="n"/>
      <c r="C693" s="977" t="n"/>
      <c r="D693" s="978" t="n"/>
      <c r="E693" s="979" t="n"/>
      <c r="F693" s="980" t="n"/>
      <c r="G693" s="980" t="n"/>
      <c r="H693" s="981" t="n"/>
      <c r="I693" s="973" t="n"/>
      <c r="J693" s="973" t="n"/>
      <c r="K693" s="35">
        <f>IFERROR(I693+J693,0)</f>
        <v/>
      </c>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IF(C694="","",ROW()-2)</f>
        <v/>
      </c>
      <c r="B694" s="977" t="n"/>
      <c r="C694" s="977" t="n"/>
      <c r="D694" s="978" t="n"/>
      <c r="E694" s="979" t="n"/>
      <c r="F694" s="980" t="n"/>
      <c r="G694" s="980" t="n"/>
      <c r="H694" s="981" t="n"/>
      <c r="I694" s="973" t="n"/>
      <c r="J694" s="973" t="n"/>
      <c r="K694" s="35">
        <f>IFERROR(I694+J694,0)</f>
        <v/>
      </c>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IF(C695="","",ROW()-2)</f>
        <v/>
      </c>
      <c r="B695" s="977" t="n"/>
      <c r="C695" s="977" t="n"/>
      <c r="D695" s="978" t="n"/>
      <c r="E695" s="979" t="n"/>
      <c r="F695" s="980" t="n"/>
      <c r="G695" s="980" t="n"/>
      <c r="H695" s="981" t="n"/>
      <c r="I695" s="973" t="n"/>
      <c r="J695" s="973" t="n"/>
      <c r="K695" s="35">
        <f>IFERROR(I695+J695,0)</f>
        <v/>
      </c>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IF(C696="","",ROW()-2)</f>
        <v/>
      </c>
      <c r="B696" s="977" t="n"/>
      <c r="C696" s="977" t="n"/>
      <c r="D696" s="978" t="n"/>
      <c r="E696" s="979" t="n"/>
      <c r="F696" s="980" t="n"/>
      <c r="G696" s="980" t="n"/>
      <c r="H696" s="981" t="n"/>
      <c r="I696" s="973" t="n"/>
      <c r="J696" s="973" t="n"/>
      <c r="K696" s="35">
        <f>IFERROR(I696+J696,0)</f>
        <v/>
      </c>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IF(C697="","",ROW()-2)</f>
        <v/>
      </c>
      <c r="B697" s="977" t="n"/>
      <c r="C697" s="977" t="n"/>
      <c r="D697" s="978" t="n"/>
      <c r="E697" s="979" t="n"/>
      <c r="F697" s="980" t="n"/>
      <c r="G697" s="980" t="n"/>
      <c r="H697" s="981" t="n"/>
      <c r="I697" s="973" t="n"/>
      <c r="J697" s="973" t="n"/>
      <c r="K697" s="35">
        <f>IFERROR(I697+J697,0)</f>
        <v/>
      </c>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IF(C698="","",ROW()-2)</f>
        <v/>
      </c>
      <c r="B698" s="977" t="n"/>
      <c r="C698" s="977" t="n"/>
      <c r="D698" s="978" t="n"/>
      <c r="E698" s="979" t="n"/>
      <c r="F698" s="980" t="n"/>
      <c r="G698" s="980" t="n"/>
      <c r="H698" s="981" t="n"/>
      <c r="I698" s="973" t="n"/>
      <c r="J698" s="973" t="n"/>
      <c r="K698" s="35">
        <f>IFERROR(I698+J698,0)</f>
        <v/>
      </c>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IF(C699="","",ROW()-2)</f>
        <v/>
      </c>
      <c r="B699" s="977" t="n"/>
      <c r="C699" s="977" t="n"/>
      <c r="D699" s="978" t="n"/>
      <c r="E699" s="979" t="n"/>
      <c r="F699" s="980" t="n"/>
      <c r="G699" s="980" t="n"/>
      <c r="H699" s="981" t="n"/>
      <c r="I699" s="973" t="n"/>
      <c r="J699" s="973" t="n"/>
      <c r="K699" s="35">
        <f>IFERROR(I699+J699,0)</f>
        <v/>
      </c>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IF(C700="","",ROW()-2)</f>
        <v/>
      </c>
      <c r="B700" s="977" t="n"/>
      <c r="C700" s="977" t="n"/>
      <c r="D700" s="978" t="n"/>
      <c r="E700" s="979" t="n"/>
      <c r="F700" s="980" t="n"/>
      <c r="G700" s="980" t="n"/>
      <c r="H700" s="981" t="n"/>
      <c r="I700" s="973" t="n"/>
      <c r="J700" s="973" t="n"/>
      <c r="K700" s="35">
        <f>IFERROR(I700+J700,0)</f>
        <v/>
      </c>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IF(C701="","",ROW()-2)</f>
        <v/>
      </c>
      <c r="B701" s="977" t="n"/>
      <c r="C701" s="977" t="n"/>
      <c r="D701" s="978" t="n"/>
      <c r="E701" s="979" t="n"/>
      <c r="F701" s="980" t="n"/>
      <c r="G701" s="980" t="n"/>
      <c r="H701" s="981" t="n"/>
      <c r="I701" s="973" t="n"/>
      <c r="J701" s="973" t="n"/>
      <c r="K701" s="35">
        <f>IFERROR(I701+J701,0)</f>
        <v/>
      </c>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IF(C702="","",ROW()-2)</f>
        <v/>
      </c>
      <c r="B702" s="977" t="n"/>
      <c r="C702" s="977" t="n"/>
      <c r="D702" s="978" t="n"/>
      <c r="E702" s="979" t="n"/>
      <c r="F702" s="980" t="n"/>
      <c r="G702" s="980" t="n"/>
      <c r="H702" s="981" t="n"/>
      <c r="I702" s="973" t="n"/>
      <c r="J702" s="973" t="n"/>
      <c r="K702" s="35">
        <f>IFERROR(I702+J702,0)</f>
        <v/>
      </c>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IF(C703="","",ROW()-2)</f>
        <v/>
      </c>
      <c r="B703" s="977" t="n"/>
      <c r="C703" s="977" t="n"/>
      <c r="D703" s="978" t="n"/>
      <c r="E703" s="979" t="n"/>
      <c r="F703" s="980" t="n"/>
      <c r="G703" s="980" t="n"/>
      <c r="H703" s="981" t="n"/>
      <c r="I703" s="973" t="n"/>
      <c r="J703" s="973" t="n"/>
      <c r="K703" s="35">
        <f>IFERROR(I703+J703,0)</f>
        <v/>
      </c>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IF(C704="","",ROW()-2)</f>
        <v/>
      </c>
      <c r="B704" s="977" t="n"/>
      <c r="C704" s="977" t="n"/>
      <c r="D704" s="978" t="n"/>
      <c r="E704" s="979" t="n"/>
      <c r="F704" s="980" t="n"/>
      <c r="G704" s="980" t="n"/>
      <c r="H704" s="981" t="n"/>
      <c r="I704" s="973" t="n"/>
      <c r="J704" s="973" t="n"/>
      <c r="K704" s="35">
        <f>IFERROR(I704+J704,0)</f>
        <v/>
      </c>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IF(C705="","",ROW()-2)</f>
        <v/>
      </c>
      <c r="B705" s="977" t="n"/>
      <c r="C705" s="977" t="n"/>
      <c r="D705" s="978" t="n"/>
      <c r="E705" s="979" t="n"/>
      <c r="F705" s="980" t="n"/>
      <c r="G705" s="980" t="n"/>
      <c r="H705" s="981" t="n"/>
      <c r="I705" s="973" t="n"/>
      <c r="J705" s="973" t="n"/>
      <c r="K705" s="35">
        <f>IFERROR(I705+J705,0)</f>
        <v/>
      </c>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IF(C706="","",ROW()-2)</f>
        <v/>
      </c>
      <c r="B706" s="977" t="n"/>
      <c r="C706" s="977" t="n"/>
      <c r="D706" s="978" t="n"/>
      <c r="E706" s="979" t="n"/>
      <c r="F706" s="980" t="n"/>
      <c r="G706" s="980" t="n"/>
      <c r="H706" s="981" t="n"/>
      <c r="I706" s="973" t="n"/>
      <c r="J706" s="973" t="n"/>
      <c r="K706" s="35">
        <f>IFERROR(I706+J706,0)</f>
        <v/>
      </c>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IF(C707="","",ROW()-2)</f>
        <v/>
      </c>
      <c r="B707" s="977" t="n"/>
      <c r="C707" s="977" t="n"/>
      <c r="D707" s="978" t="n"/>
      <c r="E707" s="979" t="n"/>
      <c r="F707" s="980" t="n"/>
      <c r="G707" s="980" t="n"/>
      <c r="H707" s="981" t="n"/>
      <c r="I707" s="973" t="n"/>
      <c r="J707" s="973" t="n"/>
      <c r="K707" s="35">
        <f>IFERROR(I707+J707,0)</f>
        <v/>
      </c>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IF(C708="","",ROW()-2)</f>
        <v/>
      </c>
      <c r="B708" s="977" t="n"/>
      <c r="C708" s="977" t="n"/>
      <c r="D708" s="978" t="n"/>
      <c r="E708" s="979" t="n"/>
      <c r="F708" s="980" t="n"/>
      <c r="G708" s="980" t="n"/>
      <c r="H708" s="981" t="n"/>
      <c r="I708" s="973" t="n"/>
      <c r="J708" s="973" t="n"/>
      <c r="K708" s="35">
        <f>IFERROR(I708+J708,0)</f>
        <v/>
      </c>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IF(C709="","",ROW()-2)</f>
        <v/>
      </c>
      <c r="B709" s="977" t="n"/>
      <c r="C709" s="977" t="n"/>
      <c r="D709" s="978" t="n"/>
      <c r="E709" s="979" t="n"/>
      <c r="F709" s="980" t="n"/>
      <c r="G709" s="980" t="n"/>
      <c r="H709" s="981" t="n"/>
      <c r="I709" s="973" t="n"/>
      <c r="J709" s="973" t="n"/>
      <c r="K709" s="35">
        <f>IFERROR(I709+J709,0)</f>
        <v/>
      </c>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IF(C710="","",ROW()-2)</f>
        <v/>
      </c>
      <c r="B710" s="977" t="n"/>
      <c r="C710" s="977" t="n"/>
      <c r="D710" s="978" t="n"/>
      <c r="E710" s="979" t="n"/>
      <c r="F710" s="980" t="n"/>
      <c r="G710" s="980" t="n"/>
      <c r="H710" s="981" t="n"/>
      <c r="I710" s="973" t="n"/>
      <c r="J710" s="973" t="n"/>
      <c r="K710" s="35">
        <f>IFERROR(I710+J710,0)</f>
        <v/>
      </c>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IF(C711="","",ROW()-2)</f>
        <v/>
      </c>
      <c r="B711" s="977" t="n"/>
      <c r="C711" s="977" t="n"/>
      <c r="D711" s="978" t="n"/>
      <c r="E711" s="979" t="n"/>
      <c r="F711" s="980" t="n"/>
      <c r="G711" s="980" t="n"/>
      <c r="H711" s="981" t="n"/>
      <c r="I711" s="973" t="n"/>
      <c r="J711" s="973" t="n"/>
      <c r="K711" s="35">
        <f>IFERROR(I711+J711,0)</f>
        <v/>
      </c>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IF(C712="","",ROW()-2)</f>
        <v/>
      </c>
      <c r="B712" s="977" t="n"/>
      <c r="C712" s="977" t="n"/>
      <c r="D712" s="978" t="n"/>
      <c r="E712" s="979" t="n"/>
      <c r="F712" s="980" t="n"/>
      <c r="G712" s="980" t="n"/>
      <c r="H712" s="981" t="n"/>
      <c r="I712" s="973" t="n"/>
      <c r="J712" s="973" t="n"/>
      <c r="K712" s="35">
        <f>IFERROR(I712+J712,0)</f>
        <v/>
      </c>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IF(C713="","",ROW()-2)</f>
        <v/>
      </c>
      <c r="B713" s="977" t="n"/>
      <c r="C713" s="977" t="n"/>
      <c r="D713" s="978" t="n"/>
      <c r="E713" s="979" t="n"/>
      <c r="F713" s="980" t="n"/>
      <c r="G713" s="980" t="n"/>
      <c r="H713" s="981" t="n"/>
      <c r="I713" s="973" t="n"/>
      <c r="J713" s="973" t="n"/>
      <c r="K713" s="35">
        <f>IFERROR(I713+J713,0)</f>
        <v/>
      </c>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IF(C714="","",ROW()-2)</f>
        <v/>
      </c>
      <c r="B714" s="977" t="n"/>
      <c r="C714" s="977" t="n"/>
      <c r="D714" s="978" t="n"/>
      <c r="E714" s="979" t="n"/>
      <c r="F714" s="980" t="n"/>
      <c r="G714" s="980" t="n"/>
      <c r="H714" s="981" t="n"/>
      <c r="I714" s="973" t="n"/>
      <c r="J714" s="973" t="n"/>
      <c r="K714" s="35">
        <f>IFERROR(I714+J714,0)</f>
        <v/>
      </c>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IF(C715="","",ROW()-2)</f>
        <v/>
      </c>
      <c r="B715" s="977" t="n"/>
      <c r="C715" s="977" t="n"/>
      <c r="D715" s="978" t="n"/>
      <c r="E715" s="979" t="n"/>
      <c r="F715" s="980" t="n"/>
      <c r="G715" s="980" t="n"/>
      <c r="H715" s="981" t="n"/>
      <c r="I715" s="973" t="n"/>
      <c r="J715" s="973" t="n"/>
      <c r="K715" s="35">
        <f>IFERROR(I715+J715,0)</f>
        <v/>
      </c>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IF(C716="","",ROW()-2)</f>
        <v/>
      </c>
      <c r="B716" s="977" t="n"/>
      <c r="C716" s="977" t="n"/>
      <c r="D716" s="978" t="n"/>
      <c r="E716" s="979" t="n"/>
      <c r="F716" s="980" t="n"/>
      <c r="G716" s="980" t="n"/>
      <c r="H716" s="981" t="n"/>
      <c r="I716" s="973" t="n"/>
      <c r="J716" s="973" t="n"/>
      <c r="K716" s="35">
        <f>IFERROR(I716+J716,0)</f>
        <v/>
      </c>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IF(C717="","",ROW()-2)</f>
        <v/>
      </c>
      <c r="B717" s="977" t="n"/>
      <c r="C717" s="977" t="n"/>
      <c r="D717" s="978" t="n"/>
      <c r="E717" s="979" t="n"/>
      <c r="F717" s="980" t="n"/>
      <c r="G717" s="980" t="n"/>
      <c r="H717" s="981" t="n"/>
      <c r="I717" s="973" t="n"/>
      <c r="J717" s="973" t="n"/>
      <c r="K717" s="35">
        <f>IFERROR(I717+J717,0)</f>
        <v/>
      </c>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IF(C718="","",ROW()-2)</f>
        <v/>
      </c>
      <c r="B718" s="977" t="n"/>
      <c r="C718" s="977" t="n"/>
      <c r="D718" s="978" t="n"/>
      <c r="E718" s="979" t="n"/>
      <c r="F718" s="980" t="n"/>
      <c r="G718" s="980" t="n"/>
      <c r="H718" s="981" t="n"/>
      <c r="I718" s="973" t="n"/>
      <c r="J718" s="973" t="n"/>
      <c r="K718" s="35">
        <f>IFERROR(I718+J718,0)</f>
        <v/>
      </c>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IF(C719="","",ROW()-2)</f>
        <v/>
      </c>
      <c r="B719" s="977" t="n"/>
      <c r="C719" s="977" t="n"/>
      <c r="D719" s="978" t="n"/>
      <c r="E719" s="979" t="n"/>
      <c r="F719" s="980" t="n"/>
      <c r="G719" s="980" t="n"/>
      <c r="H719" s="981" t="n"/>
      <c r="I719" s="973" t="n"/>
      <c r="J719" s="973" t="n"/>
      <c r="K719" s="35">
        <f>IFERROR(I719+J719,0)</f>
        <v/>
      </c>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IF(C720="","",ROW()-2)</f>
        <v/>
      </c>
      <c r="B720" s="977" t="n"/>
      <c r="C720" s="977" t="n"/>
      <c r="D720" s="978" t="n"/>
      <c r="E720" s="979" t="n"/>
      <c r="F720" s="980" t="n"/>
      <c r="G720" s="980" t="n"/>
      <c r="H720" s="981" t="n"/>
      <c r="I720" s="973" t="n"/>
      <c r="J720" s="973" t="n"/>
      <c r="K720" s="35">
        <f>IFERROR(I720+J720,0)</f>
        <v/>
      </c>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IF(C721="","",ROW()-2)</f>
        <v/>
      </c>
      <c r="B721" s="977" t="n"/>
      <c r="C721" s="977" t="n"/>
      <c r="D721" s="978" t="n"/>
      <c r="E721" s="979" t="n"/>
      <c r="F721" s="980" t="n"/>
      <c r="G721" s="980" t="n"/>
      <c r="H721" s="981" t="n"/>
      <c r="I721" s="973" t="n"/>
      <c r="J721" s="973" t="n"/>
      <c r="K721" s="35">
        <f>IFERROR(I721+J721,0)</f>
        <v/>
      </c>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IF(C722="","",ROW()-2)</f>
        <v/>
      </c>
      <c r="B722" s="977" t="n"/>
      <c r="C722" s="977" t="n"/>
      <c r="D722" s="978" t="n"/>
      <c r="E722" s="979" t="n"/>
      <c r="F722" s="980" t="n"/>
      <c r="G722" s="980" t="n"/>
      <c r="H722" s="981" t="n"/>
      <c r="I722" s="973" t="n"/>
      <c r="J722" s="973" t="n"/>
      <c r="K722" s="35">
        <f>IFERROR(I722+J722,0)</f>
        <v/>
      </c>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IF(C723="","",ROW()-2)</f>
        <v/>
      </c>
      <c r="B723" s="977" t="n"/>
      <c r="C723" s="977" t="n"/>
      <c r="D723" s="978" t="n"/>
      <c r="E723" s="979" t="n"/>
      <c r="F723" s="980" t="n"/>
      <c r="G723" s="980" t="n"/>
      <c r="H723" s="981" t="n"/>
      <c r="I723" s="973" t="n"/>
      <c r="J723" s="973" t="n"/>
      <c r="K723" s="35">
        <f>IFERROR(I723+J723,0)</f>
        <v/>
      </c>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IF(C724="","",ROW()-2)</f>
        <v/>
      </c>
      <c r="B724" s="977" t="n"/>
      <c r="C724" s="977" t="n"/>
      <c r="D724" s="978" t="n"/>
      <c r="E724" s="979" t="n"/>
      <c r="F724" s="980" t="n"/>
      <c r="G724" s="980" t="n"/>
      <c r="H724" s="981" t="n"/>
      <c r="I724" s="973" t="n"/>
      <c r="J724" s="973" t="n"/>
      <c r="K724" s="35">
        <f>IFERROR(I724+J724,0)</f>
        <v/>
      </c>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IF(C725="","",ROW()-2)</f>
        <v/>
      </c>
      <c r="B725" s="977" t="n"/>
      <c r="C725" s="977" t="n"/>
      <c r="D725" s="978" t="n"/>
      <c r="E725" s="979" t="n"/>
      <c r="F725" s="980" t="n"/>
      <c r="G725" s="980" t="n"/>
      <c r="H725" s="981" t="n"/>
      <c r="I725" s="973" t="n"/>
      <c r="J725" s="973" t="n"/>
      <c r="K725" s="35">
        <f>IFERROR(I725+J725,0)</f>
        <v/>
      </c>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IF(C726="","",ROW()-2)</f>
        <v/>
      </c>
      <c r="B726" s="977" t="n"/>
      <c r="C726" s="977" t="n"/>
      <c r="D726" s="978" t="n"/>
      <c r="E726" s="979" t="n"/>
      <c r="F726" s="980" t="n"/>
      <c r="G726" s="980" t="n"/>
      <c r="H726" s="981" t="n"/>
      <c r="I726" s="973" t="n"/>
      <c r="J726" s="973" t="n"/>
      <c r="K726" s="35">
        <f>IFERROR(I726+J726,0)</f>
        <v/>
      </c>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IF(C727="","",ROW()-2)</f>
        <v/>
      </c>
      <c r="B727" s="977" t="n"/>
      <c r="C727" s="977" t="n"/>
      <c r="D727" s="978" t="n"/>
      <c r="E727" s="979" t="n"/>
      <c r="F727" s="980" t="n"/>
      <c r="G727" s="980" t="n"/>
      <c r="H727" s="981" t="n"/>
      <c r="I727" s="973" t="n"/>
      <c r="J727" s="973" t="n"/>
      <c r="K727" s="35">
        <f>IFERROR(I727+J727,0)</f>
        <v/>
      </c>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IF(C728="","",ROW()-2)</f>
        <v/>
      </c>
      <c r="B728" s="977" t="n"/>
      <c r="C728" s="977" t="n"/>
      <c r="D728" s="978" t="n"/>
      <c r="E728" s="979" t="n"/>
      <c r="F728" s="980" t="n"/>
      <c r="G728" s="980" t="n"/>
      <c r="H728" s="981" t="n"/>
      <c r="I728" s="973" t="n"/>
      <c r="J728" s="973" t="n"/>
      <c r="K728" s="35">
        <f>IFERROR(I728+J728,0)</f>
        <v/>
      </c>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IF(C729="","",ROW()-2)</f>
        <v/>
      </c>
      <c r="B729" s="977" t="n"/>
      <c r="C729" s="977" t="n"/>
      <c r="D729" s="978" t="n"/>
      <c r="E729" s="979" t="n"/>
      <c r="F729" s="980" t="n"/>
      <c r="G729" s="980" t="n"/>
      <c r="H729" s="981" t="n"/>
      <c r="I729" s="973" t="n"/>
      <c r="J729" s="973" t="n"/>
      <c r="K729" s="35">
        <f>IFERROR(I729+J729,0)</f>
        <v/>
      </c>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IF(C730="","",ROW()-2)</f>
        <v/>
      </c>
      <c r="B730" s="977" t="n"/>
      <c r="C730" s="977" t="n"/>
      <c r="D730" s="978" t="n"/>
      <c r="E730" s="979" t="n"/>
      <c r="F730" s="980" t="n"/>
      <c r="G730" s="980" t="n"/>
      <c r="H730" s="981" t="n"/>
      <c r="I730" s="973" t="n"/>
      <c r="J730" s="973" t="n"/>
      <c r="K730" s="35">
        <f>IFERROR(I730+J730,0)</f>
        <v/>
      </c>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IF(C731="","",ROW()-2)</f>
        <v/>
      </c>
      <c r="B731" s="977" t="n"/>
      <c r="C731" s="977" t="n"/>
      <c r="D731" s="978" t="n"/>
      <c r="E731" s="979" t="n"/>
      <c r="F731" s="980" t="n"/>
      <c r="G731" s="980" t="n"/>
      <c r="H731" s="981" t="n"/>
      <c r="I731" s="973" t="n"/>
      <c r="J731" s="973" t="n"/>
      <c r="K731" s="35">
        <f>IFERROR(I731+J731,0)</f>
        <v/>
      </c>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IF(C732="","",ROW()-2)</f>
        <v/>
      </c>
      <c r="B732" s="977" t="n"/>
      <c r="C732" s="977" t="n"/>
      <c r="D732" s="978" t="n"/>
      <c r="E732" s="979" t="n"/>
      <c r="F732" s="980" t="n"/>
      <c r="G732" s="980" t="n"/>
      <c r="H732" s="981" t="n"/>
      <c r="I732" s="973" t="n"/>
      <c r="J732" s="973" t="n"/>
      <c r="K732" s="35">
        <f>IFERROR(I732+J732,0)</f>
        <v/>
      </c>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IF(C733="","",ROW()-2)</f>
        <v/>
      </c>
      <c r="B733" s="977" t="n"/>
      <c r="C733" s="977" t="n"/>
      <c r="D733" s="978" t="n"/>
      <c r="E733" s="979" t="n"/>
      <c r="F733" s="980" t="n"/>
      <c r="G733" s="980" t="n"/>
      <c r="H733" s="981" t="n"/>
      <c r="I733" s="973" t="n"/>
      <c r="J733" s="973" t="n"/>
      <c r="K733" s="35">
        <f>IFERROR(I733+J733,0)</f>
        <v/>
      </c>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IF(C734="","",ROW()-2)</f>
        <v/>
      </c>
      <c r="B734" s="977" t="n"/>
      <c r="C734" s="977" t="n"/>
      <c r="D734" s="978" t="n"/>
      <c r="E734" s="979" t="n"/>
      <c r="F734" s="980" t="n"/>
      <c r="G734" s="980" t="n"/>
      <c r="H734" s="981" t="n"/>
      <c r="I734" s="973" t="n"/>
      <c r="J734" s="973" t="n"/>
      <c r="K734" s="35">
        <f>IFERROR(I734+J734,0)</f>
        <v/>
      </c>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IF(C735="","",ROW()-2)</f>
        <v/>
      </c>
      <c r="B735" s="977" t="n"/>
      <c r="C735" s="977" t="n"/>
      <c r="D735" s="978" t="n"/>
      <c r="E735" s="979" t="n"/>
      <c r="F735" s="980" t="n"/>
      <c r="G735" s="980" t="n"/>
      <c r="H735" s="981" t="n"/>
      <c r="I735" s="973" t="n"/>
      <c r="J735" s="973" t="n"/>
      <c r="K735" s="35">
        <f>IFERROR(I735+J735,0)</f>
        <v/>
      </c>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IF(C736="","",ROW()-2)</f>
        <v/>
      </c>
      <c r="B736" s="977" t="n"/>
      <c r="C736" s="977" t="n"/>
      <c r="D736" s="978" t="n"/>
      <c r="E736" s="979" t="n"/>
      <c r="F736" s="980" t="n"/>
      <c r="G736" s="980" t="n"/>
      <c r="H736" s="981" t="n"/>
      <c r="I736" s="973" t="n"/>
      <c r="J736" s="973" t="n"/>
      <c r="K736" s="35">
        <f>IFERROR(I736+J736,0)</f>
        <v/>
      </c>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IF(C737="","",ROW()-2)</f>
        <v/>
      </c>
      <c r="B737" s="977" t="n"/>
      <c r="C737" s="977" t="n"/>
      <c r="D737" s="978" t="n"/>
      <c r="E737" s="979" t="n"/>
      <c r="F737" s="980" t="n"/>
      <c r="G737" s="980" t="n"/>
      <c r="H737" s="981" t="n"/>
      <c r="I737" s="973" t="n"/>
      <c r="J737" s="973" t="n"/>
      <c r="K737" s="35">
        <f>IFERROR(I737+J737,0)</f>
        <v/>
      </c>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IF(C738="","",ROW()-2)</f>
        <v/>
      </c>
      <c r="B738" s="977" t="n"/>
      <c r="C738" s="977" t="n"/>
      <c r="D738" s="978" t="n"/>
      <c r="E738" s="979" t="n"/>
      <c r="F738" s="980" t="n"/>
      <c r="G738" s="980" t="n"/>
      <c r="H738" s="981" t="n"/>
      <c r="I738" s="973" t="n"/>
      <c r="J738" s="973" t="n"/>
      <c r="K738" s="35">
        <f>IFERROR(I738+J738,0)</f>
        <v/>
      </c>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IF(C739="","",ROW()-2)</f>
        <v/>
      </c>
      <c r="B739" s="977" t="n"/>
      <c r="C739" s="977" t="n"/>
      <c r="D739" s="978" t="n"/>
      <c r="E739" s="979" t="n"/>
      <c r="F739" s="980" t="n"/>
      <c r="G739" s="980" t="n"/>
      <c r="H739" s="981" t="n"/>
      <c r="I739" s="973" t="n"/>
      <c r="J739" s="973" t="n"/>
      <c r="K739" s="35">
        <f>IFERROR(I739+J739,0)</f>
        <v/>
      </c>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IF(C740="","",ROW()-2)</f>
        <v/>
      </c>
      <c r="B740" s="977" t="n"/>
      <c r="C740" s="977" t="n"/>
      <c r="D740" s="978" t="n"/>
      <c r="E740" s="979" t="n"/>
      <c r="F740" s="980" t="n"/>
      <c r="G740" s="980" t="n"/>
      <c r="H740" s="981" t="n"/>
      <c r="I740" s="973" t="n"/>
      <c r="J740" s="973" t="n"/>
      <c r="K740" s="35">
        <f>IFERROR(I740+J740,0)</f>
        <v/>
      </c>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IF(C741="","",ROW()-2)</f>
        <v/>
      </c>
      <c r="B741" s="977" t="n"/>
      <c r="C741" s="977" t="n"/>
      <c r="D741" s="978" t="n"/>
      <c r="E741" s="979" t="n"/>
      <c r="F741" s="980" t="n"/>
      <c r="G741" s="980" t="n"/>
      <c r="H741" s="981" t="n"/>
      <c r="I741" s="973" t="n"/>
      <c r="J741" s="973" t="n"/>
      <c r="K741" s="35">
        <f>IFERROR(I741+J741,0)</f>
        <v/>
      </c>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IF(C742="","",ROW()-2)</f>
        <v/>
      </c>
      <c r="B742" s="977" t="n"/>
      <c r="C742" s="977" t="n"/>
      <c r="D742" s="978" t="n"/>
      <c r="E742" s="979" t="n"/>
      <c r="F742" s="980" t="n"/>
      <c r="G742" s="980" t="n"/>
      <c r="H742" s="981" t="n"/>
      <c r="I742" s="973" t="n"/>
      <c r="J742" s="973" t="n"/>
      <c r="K742" s="35">
        <f>IFERROR(I742+J742,0)</f>
        <v/>
      </c>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IF(C743="","",ROW()-2)</f>
        <v/>
      </c>
      <c r="B743" s="977" t="n"/>
      <c r="C743" s="977" t="n"/>
      <c r="D743" s="978" t="n"/>
      <c r="E743" s="979" t="n"/>
      <c r="F743" s="980" t="n"/>
      <c r="G743" s="980" t="n"/>
      <c r="H743" s="981" t="n"/>
      <c r="I743" s="973" t="n"/>
      <c r="J743" s="973" t="n"/>
      <c r="K743" s="35">
        <f>IFERROR(I743+J743,0)</f>
        <v/>
      </c>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IF(C744="","",ROW()-2)</f>
        <v/>
      </c>
      <c r="B744" s="977" t="n"/>
      <c r="C744" s="977" t="n"/>
      <c r="D744" s="978" t="n"/>
      <c r="E744" s="979" t="n"/>
      <c r="F744" s="980" t="n"/>
      <c r="G744" s="980" t="n"/>
      <c r="H744" s="981" t="n"/>
      <c r="I744" s="973" t="n"/>
      <c r="J744" s="973" t="n"/>
      <c r="K744" s="35">
        <f>IFERROR(I744+J744,0)</f>
        <v/>
      </c>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IF(C745="","",ROW()-2)</f>
        <v/>
      </c>
      <c r="B745" s="977" t="n"/>
      <c r="C745" s="977" t="n"/>
      <c r="D745" s="978" t="n"/>
      <c r="E745" s="979" t="n"/>
      <c r="F745" s="980" t="n"/>
      <c r="G745" s="980" t="n"/>
      <c r="H745" s="981" t="n"/>
      <c r="I745" s="973" t="n"/>
      <c r="J745" s="973" t="n"/>
      <c r="K745" s="35">
        <f>IFERROR(I745+J745,0)</f>
        <v/>
      </c>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IF(C746="","",ROW()-2)</f>
        <v/>
      </c>
      <c r="B746" s="977" t="n"/>
      <c r="C746" s="977" t="n"/>
      <c r="D746" s="978" t="n"/>
      <c r="E746" s="979" t="n"/>
      <c r="F746" s="980" t="n"/>
      <c r="G746" s="980" t="n"/>
      <c r="H746" s="981" t="n"/>
      <c r="I746" s="973" t="n"/>
      <c r="J746" s="973" t="n"/>
      <c r="K746" s="35">
        <f>IFERROR(I746+J746,0)</f>
        <v/>
      </c>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IF(C747="","",ROW()-2)</f>
        <v/>
      </c>
      <c r="B747" s="977" t="n"/>
      <c r="C747" s="977" t="n"/>
      <c r="D747" s="978" t="n"/>
      <c r="E747" s="979" t="n"/>
      <c r="F747" s="980" t="n"/>
      <c r="G747" s="980" t="n"/>
      <c r="H747" s="981" t="n"/>
      <c r="I747" s="973" t="n"/>
      <c r="J747" s="973" t="n"/>
      <c r="K747" s="35">
        <f>IFERROR(I747+J747,0)</f>
        <v/>
      </c>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IF(C748="","",ROW()-2)</f>
        <v/>
      </c>
      <c r="B748" s="977" t="n"/>
      <c r="C748" s="977" t="n"/>
      <c r="D748" s="978" t="n"/>
      <c r="E748" s="979" t="n"/>
      <c r="F748" s="980" t="n"/>
      <c r="G748" s="980" t="n"/>
      <c r="H748" s="981" t="n"/>
      <c r="I748" s="973" t="n"/>
      <c r="J748" s="973" t="n"/>
      <c r="K748" s="35">
        <f>IFERROR(I748+J748,0)</f>
        <v/>
      </c>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IF(C749="","",ROW()-2)</f>
        <v/>
      </c>
      <c r="B749" s="977" t="n"/>
      <c r="C749" s="977" t="n"/>
      <c r="D749" s="978" t="n"/>
      <c r="E749" s="979" t="n"/>
      <c r="F749" s="980" t="n"/>
      <c r="G749" s="980" t="n"/>
      <c r="H749" s="981" t="n"/>
      <c r="I749" s="973" t="n"/>
      <c r="J749" s="973" t="n"/>
      <c r="K749" s="35">
        <f>IFERROR(I749+J749,0)</f>
        <v/>
      </c>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IF(C750="","",ROW()-2)</f>
        <v/>
      </c>
      <c r="B750" s="977" t="n"/>
      <c r="C750" s="977" t="n"/>
      <c r="D750" s="978" t="n"/>
      <c r="E750" s="979" t="n"/>
      <c r="F750" s="980" t="n"/>
      <c r="G750" s="980" t="n"/>
      <c r="H750" s="981" t="n"/>
      <c r="I750" s="973" t="n"/>
      <c r="J750" s="973" t="n"/>
      <c r="K750" s="35">
        <f>IFERROR(I750+J750,0)</f>
        <v/>
      </c>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IF(C751="","",ROW()-2)</f>
        <v/>
      </c>
      <c r="B751" s="977" t="n"/>
      <c r="C751" s="977" t="n"/>
      <c r="D751" s="978" t="n"/>
      <c r="E751" s="979" t="n"/>
      <c r="F751" s="980" t="n"/>
      <c r="G751" s="980" t="n"/>
      <c r="H751" s="981" t="n"/>
      <c r="I751" s="973" t="n"/>
      <c r="J751" s="973" t="n"/>
      <c r="K751" s="35">
        <f>IFERROR(I751+J751,0)</f>
        <v/>
      </c>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IF(C752="","",ROW()-2)</f>
        <v/>
      </c>
      <c r="B752" s="977" t="n"/>
      <c r="C752" s="977" t="n"/>
      <c r="D752" s="978" t="n"/>
      <c r="E752" s="979" t="n"/>
      <c r="F752" s="980" t="n"/>
      <c r="G752" s="980" t="n"/>
      <c r="H752" s="981" t="n"/>
      <c r="I752" s="973" t="n"/>
      <c r="J752" s="973" t="n"/>
      <c r="K752" s="35">
        <f>IFERROR(I752+J752,0)</f>
        <v/>
      </c>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IF(C753="","",ROW()-2)</f>
        <v/>
      </c>
      <c r="B753" s="977" t="n"/>
      <c r="C753" s="977" t="n"/>
      <c r="D753" s="978" t="n"/>
      <c r="E753" s="979" t="n"/>
      <c r="F753" s="980" t="n"/>
      <c r="G753" s="980" t="n"/>
      <c r="H753" s="981" t="n"/>
      <c r="I753" s="973" t="n"/>
      <c r="J753" s="973" t="n"/>
      <c r="K753" s="35">
        <f>IFERROR(I753+J753,0)</f>
        <v/>
      </c>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IF(C754="","",ROW()-2)</f>
        <v/>
      </c>
      <c r="B754" s="977" t="n"/>
      <c r="C754" s="977" t="n"/>
      <c r="D754" s="978" t="n"/>
      <c r="E754" s="979" t="n"/>
      <c r="F754" s="980" t="n"/>
      <c r="G754" s="980" t="n"/>
      <c r="H754" s="981" t="n"/>
      <c r="I754" s="973" t="n"/>
      <c r="J754" s="973" t="n"/>
      <c r="K754" s="35">
        <f>IFERROR(I754+J754,0)</f>
        <v/>
      </c>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IF(C755="","",ROW()-2)</f>
        <v/>
      </c>
      <c r="B755" s="977" t="n"/>
      <c r="C755" s="977" t="n"/>
      <c r="D755" s="978" t="n"/>
      <c r="E755" s="979" t="n"/>
      <c r="F755" s="980" t="n"/>
      <c r="G755" s="980" t="n"/>
      <c r="H755" s="981" t="n"/>
      <c r="I755" s="973" t="n"/>
      <c r="J755" s="973" t="n"/>
      <c r="K755" s="35">
        <f>IFERROR(I755+J755,0)</f>
        <v/>
      </c>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IF(C756="","",ROW()-2)</f>
        <v/>
      </c>
      <c r="B756" s="977" t="n"/>
      <c r="C756" s="977" t="n"/>
      <c r="D756" s="978" t="n"/>
      <c r="E756" s="979" t="n"/>
      <c r="F756" s="980" t="n"/>
      <c r="G756" s="980" t="n"/>
      <c r="H756" s="981" t="n"/>
      <c r="I756" s="973" t="n"/>
      <c r="J756" s="973" t="n"/>
      <c r="K756" s="35">
        <f>IFERROR(I756+J756,0)</f>
        <v/>
      </c>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IF(C757="","",ROW()-2)</f>
        <v/>
      </c>
      <c r="B757" s="977" t="n"/>
      <c r="C757" s="977" t="n"/>
      <c r="D757" s="978" t="n"/>
      <c r="E757" s="979" t="n"/>
      <c r="F757" s="980" t="n"/>
      <c r="G757" s="980" t="n"/>
      <c r="H757" s="981" t="n"/>
      <c r="I757" s="973" t="n"/>
      <c r="J757" s="973" t="n"/>
      <c r="K757" s="35">
        <f>IFERROR(I757+J757,0)</f>
        <v/>
      </c>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IF(C758="","",ROW()-2)</f>
        <v/>
      </c>
      <c r="B758" s="977" t="n"/>
      <c r="C758" s="977" t="n"/>
      <c r="D758" s="978" t="n"/>
      <c r="E758" s="979" t="n"/>
      <c r="F758" s="980" t="n"/>
      <c r="G758" s="980" t="n"/>
      <c r="H758" s="981" t="n"/>
      <c r="I758" s="973" t="n"/>
      <c r="J758" s="973" t="n"/>
      <c r="K758" s="35">
        <f>IFERROR(I758+J758,0)</f>
        <v/>
      </c>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IF(C759="","",ROW()-2)</f>
        <v/>
      </c>
      <c r="B759" s="977" t="n"/>
      <c r="C759" s="977" t="n"/>
      <c r="D759" s="978" t="n"/>
      <c r="E759" s="979" t="n"/>
      <c r="F759" s="980" t="n"/>
      <c r="G759" s="980" t="n"/>
      <c r="H759" s="981" t="n"/>
      <c r="I759" s="973" t="n"/>
      <c r="J759" s="973" t="n"/>
      <c r="K759" s="35">
        <f>IFERROR(I759+J759,0)</f>
        <v/>
      </c>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IF(C760="","",ROW()-2)</f>
        <v/>
      </c>
      <c r="B760" s="977" t="n"/>
      <c r="C760" s="977" t="n"/>
      <c r="D760" s="978" t="n"/>
      <c r="E760" s="979" t="n"/>
      <c r="F760" s="980" t="n"/>
      <c r="G760" s="980" t="n"/>
      <c r="H760" s="981" t="n"/>
      <c r="I760" s="973" t="n"/>
      <c r="J760" s="973" t="n"/>
      <c r="K760" s="35">
        <f>IFERROR(I760+J760,0)</f>
        <v/>
      </c>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IF(C761="","",ROW()-2)</f>
        <v/>
      </c>
      <c r="B761" s="977" t="n"/>
      <c r="C761" s="977" t="n"/>
      <c r="D761" s="978" t="n"/>
      <c r="E761" s="979" t="n"/>
      <c r="F761" s="980" t="n"/>
      <c r="G761" s="980" t="n"/>
      <c r="H761" s="981" t="n"/>
      <c r="I761" s="973" t="n"/>
      <c r="J761" s="973" t="n"/>
      <c r="K761" s="35">
        <f>IFERROR(I761+J761,0)</f>
        <v/>
      </c>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IF(C762="","",ROW()-2)</f>
        <v/>
      </c>
      <c r="B762" s="977" t="n"/>
      <c r="C762" s="977" t="n"/>
      <c r="D762" s="978" t="n"/>
      <c r="E762" s="979" t="n"/>
      <c r="F762" s="980" t="n"/>
      <c r="G762" s="980" t="n"/>
      <c r="H762" s="981" t="n"/>
      <c r="I762" s="973" t="n"/>
      <c r="J762" s="973" t="n"/>
      <c r="K762" s="35">
        <f>IFERROR(I762+J762,0)</f>
        <v/>
      </c>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IF(C763="","",ROW()-2)</f>
        <v/>
      </c>
      <c r="B763" s="977" t="n"/>
      <c r="C763" s="977" t="n"/>
      <c r="D763" s="978" t="n"/>
      <c r="E763" s="979" t="n"/>
      <c r="F763" s="980" t="n"/>
      <c r="G763" s="980" t="n"/>
      <c r="H763" s="981" t="n"/>
      <c r="I763" s="973" t="n"/>
      <c r="J763" s="973" t="n"/>
      <c r="K763" s="35">
        <f>IFERROR(I763+J763,0)</f>
        <v/>
      </c>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IF(C764="","",ROW()-2)</f>
        <v/>
      </c>
      <c r="B764" s="977" t="n"/>
      <c r="C764" s="977" t="n"/>
      <c r="D764" s="978" t="n"/>
      <c r="E764" s="979" t="n"/>
      <c r="F764" s="980" t="n"/>
      <c r="G764" s="980" t="n"/>
      <c r="H764" s="981" t="n"/>
      <c r="I764" s="973" t="n"/>
      <c r="J764" s="973" t="n"/>
      <c r="K764" s="35">
        <f>IFERROR(I764+J764,0)</f>
        <v/>
      </c>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IF(C765="","",ROW()-2)</f>
        <v/>
      </c>
      <c r="B765" s="977" t="n"/>
      <c r="C765" s="977" t="n"/>
      <c r="D765" s="978" t="n"/>
      <c r="E765" s="979" t="n"/>
      <c r="F765" s="980" t="n"/>
      <c r="G765" s="980" t="n"/>
      <c r="H765" s="981" t="n"/>
      <c r="I765" s="973" t="n"/>
      <c r="J765" s="973" t="n"/>
      <c r="K765" s="35">
        <f>IFERROR(I765+J765,0)</f>
        <v/>
      </c>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IF(C766="","",ROW()-2)</f>
        <v/>
      </c>
      <c r="B766" s="977" t="n"/>
      <c r="C766" s="977" t="n"/>
      <c r="D766" s="978" t="n"/>
      <c r="E766" s="979" t="n"/>
      <c r="F766" s="980" t="n"/>
      <c r="G766" s="980" t="n"/>
      <c r="H766" s="981" t="n"/>
      <c r="I766" s="973" t="n"/>
      <c r="J766" s="973" t="n"/>
      <c r="K766" s="35">
        <f>IFERROR(I766+J766,0)</f>
        <v/>
      </c>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IF(C767="","",ROW()-2)</f>
        <v/>
      </c>
      <c r="B767" s="977" t="n"/>
      <c r="C767" s="977" t="n"/>
      <c r="D767" s="978" t="n"/>
      <c r="E767" s="979" t="n"/>
      <c r="F767" s="980" t="n"/>
      <c r="G767" s="980" t="n"/>
      <c r="H767" s="981" t="n"/>
      <c r="I767" s="973" t="n"/>
      <c r="J767" s="973" t="n"/>
      <c r="K767" s="35">
        <f>IFERROR(I767+J767,0)</f>
        <v/>
      </c>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IF(C768="","",ROW()-2)</f>
        <v/>
      </c>
      <c r="B768" s="977" t="n"/>
      <c r="C768" s="977" t="n"/>
      <c r="D768" s="978" t="n"/>
      <c r="E768" s="979" t="n"/>
      <c r="F768" s="980" t="n"/>
      <c r="G768" s="980" t="n"/>
      <c r="H768" s="981" t="n"/>
      <c r="I768" s="973" t="n"/>
      <c r="J768" s="973" t="n"/>
      <c r="K768" s="35">
        <f>IFERROR(I768+J768,0)</f>
        <v/>
      </c>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IF(C769="","",ROW()-2)</f>
        <v/>
      </c>
      <c r="B769" s="977" t="n"/>
      <c r="C769" s="977" t="n"/>
      <c r="D769" s="978" t="n"/>
      <c r="E769" s="979" t="n"/>
      <c r="F769" s="980" t="n"/>
      <c r="G769" s="980" t="n"/>
      <c r="H769" s="981" t="n"/>
      <c r="I769" s="973" t="n"/>
      <c r="J769" s="973" t="n"/>
      <c r="K769" s="35">
        <f>IFERROR(I769+J769,0)</f>
        <v/>
      </c>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IF(C770="","",ROW()-2)</f>
        <v/>
      </c>
      <c r="B770" s="977" t="n"/>
      <c r="C770" s="977" t="n"/>
      <c r="D770" s="978" t="n"/>
      <c r="E770" s="979" t="n"/>
      <c r="F770" s="980" t="n"/>
      <c r="G770" s="980" t="n"/>
      <c r="H770" s="981" t="n"/>
      <c r="I770" s="973" t="n"/>
      <c r="J770" s="973" t="n"/>
      <c r="K770" s="35">
        <f>IFERROR(I770+J770,0)</f>
        <v/>
      </c>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IF(C771="","",ROW()-2)</f>
        <v/>
      </c>
      <c r="B771" s="977" t="n"/>
      <c r="C771" s="977" t="n"/>
      <c r="D771" s="978" t="n"/>
      <c r="E771" s="979" t="n"/>
      <c r="F771" s="980" t="n"/>
      <c r="G771" s="980" t="n"/>
      <c r="H771" s="981" t="n"/>
      <c r="I771" s="973" t="n"/>
      <c r="J771" s="973" t="n"/>
      <c r="K771" s="35">
        <f>IFERROR(I771+J771,0)</f>
        <v/>
      </c>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IF(C772="","",ROW()-2)</f>
        <v/>
      </c>
      <c r="B772" s="977" t="n"/>
      <c r="C772" s="977" t="n"/>
      <c r="D772" s="978" t="n"/>
      <c r="E772" s="979" t="n"/>
      <c r="F772" s="980" t="n"/>
      <c r="G772" s="980" t="n"/>
      <c r="H772" s="981" t="n"/>
      <c r="I772" s="973" t="n"/>
      <c r="J772" s="973" t="n"/>
      <c r="K772" s="35">
        <f>IFERROR(I772+J772,0)</f>
        <v/>
      </c>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IF(C773="","",ROW()-2)</f>
        <v/>
      </c>
      <c r="B773" s="977" t="n"/>
      <c r="C773" s="977" t="n"/>
      <c r="D773" s="978" t="n"/>
      <c r="E773" s="979" t="n"/>
      <c r="F773" s="980" t="n"/>
      <c r="G773" s="980" t="n"/>
      <c r="H773" s="981" t="n"/>
      <c r="I773" s="973" t="n"/>
      <c r="J773" s="973" t="n"/>
      <c r="K773" s="35">
        <f>IFERROR(I773+J773,0)</f>
        <v/>
      </c>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IF(C774="","",ROW()-2)</f>
        <v/>
      </c>
      <c r="B774" s="977" t="n"/>
      <c r="C774" s="977" t="n"/>
      <c r="D774" s="978" t="n"/>
      <c r="E774" s="979" t="n"/>
      <c r="F774" s="980" t="n"/>
      <c r="G774" s="980" t="n"/>
      <c r="H774" s="981" t="n"/>
      <c r="I774" s="973" t="n"/>
      <c r="J774" s="973" t="n"/>
      <c r="K774" s="35">
        <f>IFERROR(I774+J774,0)</f>
        <v/>
      </c>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IF(C775="","",ROW()-2)</f>
        <v/>
      </c>
      <c r="B775" s="977" t="n"/>
      <c r="C775" s="977" t="n"/>
      <c r="D775" s="978" t="n"/>
      <c r="E775" s="979" t="n"/>
      <c r="F775" s="980" t="n"/>
      <c r="G775" s="980" t="n"/>
      <c r="H775" s="981" t="n"/>
      <c r="I775" s="973" t="n"/>
      <c r="J775" s="973" t="n"/>
      <c r="K775" s="35">
        <f>IFERROR(I775+J775,0)</f>
        <v/>
      </c>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IF(C776="","",ROW()-2)</f>
        <v/>
      </c>
      <c r="B776" s="977" t="n"/>
      <c r="C776" s="977" t="n"/>
      <c r="D776" s="978" t="n"/>
      <c r="E776" s="979" t="n"/>
      <c r="F776" s="980" t="n"/>
      <c r="G776" s="980" t="n"/>
      <c r="H776" s="981" t="n"/>
      <c r="I776" s="973" t="n"/>
      <c r="J776" s="973" t="n"/>
      <c r="K776" s="35">
        <f>IFERROR(I776+J776,0)</f>
        <v/>
      </c>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IF(C777="","",ROW()-2)</f>
        <v/>
      </c>
      <c r="B777" s="977" t="n"/>
      <c r="C777" s="977" t="n"/>
      <c r="D777" s="978" t="n"/>
      <c r="E777" s="979" t="n"/>
      <c r="F777" s="980" t="n"/>
      <c r="G777" s="980" t="n"/>
      <c r="H777" s="981" t="n"/>
      <c r="I777" s="973" t="n"/>
      <c r="J777" s="973" t="n"/>
      <c r="K777" s="35">
        <f>IFERROR(I777+J777,0)</f>
        <v/>
      </c>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IF(C778="","",ROW()-2)</f>
        <v/>
      </c>
      <c r="B778" s="977" t="n"/>
      <c r="C778" s="977" t="n"/>
      <c r="D778" s="978" t="n"/>
      <c r="E778" s="979" t="n"/>
      <c r="F778" s="980" t="n"/>
      <c r="G778" s="980" t="n"/>
      <c r="H778" s="981" t="n"/>
      <c r="I778" s="973" t="n"/>
      <c r="J778" s="973" t="n"/>
      <c r="K778" s="35">
        <f>IFERROR(I778+J778,0)</f>
        <v/>
      </c>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IF(C779="","",ROW()-2)</f>
        <v/>
      </c>
      <c r="B779" s="977" t="n"/>
      <c r="C779" s="977" t="n"/>
      <c r="D779" s="978" t="n"/>
      <c r="E779" s="979" t="n"/>
      <c r="F779" s="980" t="n"/>
      <c r="G779" s="980" t="n"/>
      <c r="H779" s="981" t="n"/>
      <c r="I779" s="973" t="n"/>
      <c r="J779" s="973" t="n"/>
      <c r="K779" s="35">
        <f>IFERROR(I779+J779,0)</f>
        <v/>
      </c>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IF(C780="","",ROW()-2)</f>
        <v/>
      </c>
      <c r="B780" s="977" t="n"/>
      <c r="C780" s="977" t="n"/>
      <c r="D780" s="978" t="n"/>
      <c r="E780" s="979" t="n"/>
      <c r="F780" s="980" t="n"/>
      <c r="G780" s="980" t="n"/>
      <c r="H780" s="981" t="n"/>
      <c r="I780" s="973" t="n"/>
      <c r="J780" s="973" t="n"/>
      <c r="K780" s="35">
        <f>IFERROR(I780+J780,0)</f>
        <v/>
      </c>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IF(C781="","",ROW()-2)</f>
        <v/>
      </c>
      <c r="B781" s="977" t="n"/>
      <c r="C781" s="977" t="n"/>
      <c r="D781" s="978" t="n"/>
      <c r="E781" s="979" t="n"/>
      <c r="F781" s="980" t="n"/>
      <c r="G781" s="980" t="n"/>
      <c r="H781" s="981" t="n"/>
      <c r="I781" s="973" t="n"/>
      <c r="J781" s="973" t="n"/>
      <c r="K781" s="35">
        <f>IFERROR(I781+J781,0)</f>
        <v/>
      </c>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IF(C782="","",ROW()-2)</f>
        <v/>
      </c>
      <c r="B782" s="977" t="n"/>
      <c r="C782" s="977" t="n"/>
      <c r="D782" s="978" t="n"/>
      <c r="E782" s="979" t="n"/>
      <c r="F782" s="980" t="n"/>
      <c r="G782" s="980" t="n"/>
      <c r="H782" s="981" t="n"/>
      <c r="I782" s="973" t="n"/>
      <c r="J782" s="973" t="n"/>
      <c r="K782" s="35">
        <f>IFERROR(I782+J782,0)</f>
        <v/>
      </c>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IF(C783="","",ROW()-2)</f>
        <v/>
      </c>
      <c r="B783" s="977" t="n"/>
      <c r="C783" s="977" t="n"/>
      <c r="D783" s="978" t="n"/>
      <c r="E783" s="979" t="n"/>
      <c r="F783" s="980" t="n"/>
      <c r="G783" s="980" t="n"/>
      <c r="H783" s="981" t="n"/>
      <c r="I783" s="973" t="n"/>
      <c r="J783" s="973" t="n"/>
      <c r="K783" s="35">
        <f>IFERROR(I783+J783,0)</f>
        <v/>
      </c>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IF(C784="","",ROW()-2)</f>
        <v/>
      </c>
      <c r="B784" s="977" t="n"/>
      <c r="C784" s="977" t="n"/>
      <c r="D784" s="978" t="n"/>
      <c r="E784" s="979" t="n"/>
      <c r="F784" s="980" t="n"/>
      <c r="G784" s="980" t="n"/>
      <c r="H784" s="981" t="n"/>
      <c r="I784" s="973" t="n"/>
      <c r="J784" s="973" t="n"/>
      <c r="K784" s="35">
        <f>IFERROR(I784+J784,0)</f>
        <v/>
      </c>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IF(C785="","",ROW()-2)</f>
        <v/>
      </c>
      <c r="B785" s="977" t="n"/>
      <c r="C785" s="977" t="n"/>
      <c r="D785" s="978" t="n"/>
      <c r="E785" s="979" t="n"/>
      <c r="F785" s="980" t="n"/>
      <c r="G785" s="980" t="n"/>
      <c r="H785" s="981" t="n"/>
      <c r="I785" s="973" t="n"/>
      <c r="J785" s="973" t="n"/>
      <c r="K785" s="35">
        <f>IFERROR(I785+J785,0)</f>
        <v/>
      </c>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IF(C786="","",ROW()-2)</f>
        <v/>
      </c>
      <c r="B786" s="977" t="n"/>
      <c r="C786" s="977" t="n"/>
      <c r="D786" s="978" t="n"/>
      <c r="E786" s="979" t="n"/>
      <c r="F786" s="980" t="n"/>
      <c r="G786" s="980" t="n"/>
      <c r="H786" s="981" t="n"/>
      <c r="I786" s="973" t="n"/>
      <c r="J786" s="973" t="n"/>
      <c r="K786" s="35">
        <f>IFERROR(I786+J786,0)</f>
        <v/>
      </c>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IF(C787="","",ROW()-2)</f>
        <v/>
      </c>
      <c r="B787" s="977" t="n"/>
      <c r="C787" s="977" t="n"/>
      <c r="D787" s="978" t="n"/>
      <c r="E787" s="979" t="n"/>
      <c r="F787" s="980" t="n"/>
      <c r="G787" s="980" t="n"/>
      <c r="H787" s="981" t="n"/>
      <c r="I787" s="973" t="n"/>
      <c r="J787" s="973" t="n"/>
      <c r="K787" s="35">
        <f>IFERROR(I787+J787,0)</f>
        <v/>
      </c>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IF(C788="","",ROW()-2)</f>
        <v/>
      </c>
      <c r="B788" s="977" t="n"/>
      <c r="C788" s="977" t="n"/>
      <c r="D788" s="978" t="n"/>
      <c r="E788" s="979" t="n"/>
      <c r="F788" s="980" t="n"/>
      <c r="G788" s="980" t="n"/>
      <c r="H788" s="981" t="n"/>
      <c r="I788" s="973" t="n"/>
      <c r="J788" s="973" t="n"/>
      <c r="K788" s="35">
        <f>IFERROR(I788+J788,0)</f>
        <v/>
      </c>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IF(C789="","",ROW()-2)</f>
        <v/>
      </c>
      <c r="B789" s="977" t="n"/>
      <c r="C789" s="977" t="n"/>
      <c r="D789" s="978" t="n"/>
      <c r="E789" s="979" t="n"/>
      <c r="F789" s="980" t="n"/>
      <c r="G789" s="980" t="n"/>
      <c r="H789" s="981" t="n"/>
      <c r="I789" s="973" t="n"/>
      <c r="J789" s="973" t="n"/>
      <c r="K789" s="35">
        <f>IFERROR(I789+J789,0)</f>
        <v/>
      </c>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IF(C790="","",ROW()-2)</f>
        <v/>
      </c>
      <c r="B790" s="977" t="n"/>
      <c r="C790" s="977" t="n"/>
      <c r="D790" s="978" t="n"/>
      <c r="E790" s="979" t="n"/>
      <c r="F790" s="980" t="n"/>
      <c r="G790" s="980" t="n"/>
      <c r="H790" s="981" t="n"/>
      <c r="I790" s="973" t="n"/>
      <c r="J790" s="973" t="n"/>
      <c r="K790" s="35">
        <f>IFERROR(I790+J790,0)</f>
        <v/>
      </c>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IF(C791="","",ROW()-2)</f>
        <v/>
      </c>
      <c r="B791" s="977" t="n"/>
      <c r="C791" s="977" t="n"/>
      <c r="D791" s="978" t="n"/>
      <c r="E791" s="979" t="n"/>
      <c r="F791" s="980" t="n"/>
      <c r="G791" s="980" t="n"/>
      <c r="H791" s="981" t="n"/>
      <c r="I791" s="973" t="n"/>
      <c r="J791" s="973" t="n"/>
      <c r="K791" s="35">
        <f>IFERROR(I791+J791,0)</f>
        <v/>
      </c>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IF(C792="","",ROW()-2)</f>
        <v/>
      </c>
      <c r="B792" s="977" t="n"/>
      <c r="C792" s="977" t="n"/>
      <c r="D792" s="978" t="n"/>
      <c r="E792" s="979" t="n"/>
      <c r="F792" s="980" t="n"/>
      <c r="G792" s="980" t="n"/>
      <c r="H792" s="981" t="n"/>
      <c r="I792" s="973" t="n"/>
      <c r="J792" s="973" t="n"/>
      <c r="K792" s="35">
        <f>IFERROR(I792+J792,0)</f>
        <v/>
      </c>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IF(C793="","",ROW()-2)</f>
        <v/>
      </c>
      <c r="B793" s="977" t="n"/>
      <c r="C793" s="977" t="n"/>
      <c r="D793" s="978" t="n"/>
      <c r="E793" s="979" t="n"/>
      <c r="F793" s="980" t="n"/>
      <c r="G793" s="980" t="n"/>
      <c r="H793" s="981" t="n"/>
      <c r="I793" s="973" t="n"/>
      <c r="J793" s="973" t="n"/>
      <c r="K793" s="35">
        <f>IFERROR(I793+J793,0)</f>
        <v/>
      </c>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IF(C794="","",ROW()-2)</f>
        <v/>
      </c>
      <c r="B794" s="977" t="n"/>
      <c r="C794" s="977" t="n"/>
      <c r="D794" s="978" t="n"/>
      <c r="E794" s="979" t="n"/>
      <c r="F794" s="980" t="n"/>
      <c r="G794" s="980" t="n"/>
      <c r="H794" s="981" t="n"/>
      <c r="I794" s="973" t="n"/>
      <c r="J794" s="973" t="n"/>
      <c r="K794" s="35">
        <f>IFERROR(I794+J794,0)</f>
        <v/>
      </c>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IF(C795="","",ROW()-2)</f>
        <v/>
      </c>
      <c r="B795" s="977" t="n"/>
      <c r="C795" s="977" t="n"/>
      <c r="D795" s="978" t="n"/>
      <c r="E795" s="979" t="n"/>
      <c r="F795" s="980" t="n"/>
      <c r="G795" s="980" t="n"/>
      <c r="H795" s="981" t="n"/>
      <c r="I795" s="973" t="n"/>
      <c r="J795" s="973" t="n"/>
      <c r="K795" s="35">
        <f>IFERROR(I795+J795,0)</f>
        <v/>
      </c>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IF(C796="","",ROW()-2)</f>
        <v/>
      </c>
      <c r="B796" s="977" t="n"/>
      <c r="C796" s="977" t="n"/>
      <c r="D796" s="978" t="n"/>
      <c r="E796" s="979" t="n"/>
      <c r="F796" s="980" t="n"/>
      <c r="G796" s="980" t="n"/>
      <c r="H796" s="981" t="n"/>
      <c r="I796" s="973" t="n"/>
      <c r="J796" s="973" t="n"/>
      <c r="K796" s="35">
        <f>IFERROR(I796+J796,0)</f>
        <v/>
      </c>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IF(C797="","",ROW()-2)</f>
        <v/>
      </c>
      <c r="B797" s="977" t="n"/>
      <c r="C797" s="977" t="n"/>
      <c r="D797" s="978" t="n"/>
      <c r="E797" s="979" t="n"/>
      <c r="F797" s="980" t="n"/>
      <c r="G797" s="980" t="n"/>
      <c r="H797" s="981" t="n"/>
      <c r="I797" s="973" t="n"/>
      <c r="J797" s="973" t="n"/>
      <c r="K797" s="35">
        <f>IFERROR(I797+J797,0)</f>
        <v/>
      </c>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IF(C798="","",ROW()-2)</f>
        <v/>
      </c>
      <c r="B798" s="977" t="n"/>
      <c r="C798" s="977" t="n"/>
      <c r="D798" s="978" t="n"/>
      <c r="E798" s="979" t="n"/>
      <c r="F798" s="980" t="n"/>
      <c r="G798" s="980" t="n"/>
      <c r="H798" s="981" t="n"/>
      <c r="I798" s="973" t="n"/>
      <c r="J798" s="973" t="n"/>
      <c r="K798" s="35">
        <f>IFERROR(I798+J798,0)</f>
        <v/>
      </c>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IF(C799="","",ROW()-2)</f>
        <v/>
      </c>
      <c r="B799" s="977" t="n"/>
      <c r="C799" s="977" t="n"/>
      <c r="D799" s="978" t="n"/>
      <c r="E799" s="979" t="n"/>
      <c r="F799" s="980" t="n"/>
      <c r="G799" s="980" t="n"/>
      <c r="H799" s="981" t="n"/>
      <c r="I799" s="973" t="n"/>
      <c r="J799" s="973" t="n"/>
      <c r="K799" s="35">
        <f>IFERROR(I799+J799,0)</f>
        <v/>
      </c>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IF(C800="","",ROW()-2)</f>
        <v/>
      </c>
      <c r="B800" s="977" t="n"/>
      <c r="C800" s="977" t="n"/>
      <c r="D800" s="978" t="n"/>
      <c r="E800" s="979" t="n"/>
      <c r="F800" s="980" t="n"/>
      <c r="G800" s="980" t="n"/>
      <c r="H800" s="981" t="n"/>
      <c r="I800" s="973" t="n"/>
      <c r="J800" s="973" t="n"/>
      <c r="K800" s="35">
        <f>IFERROR(I800+J800,0)</f>
        <v/>
      </c>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IF(C801="","",ROW()-2)</f>
        <v/>
      </c>
      <c r="B801" s="977" t="n"/>
      <c r="C801" s="977" t="n"/>
      <c r="D801" s="978" t="n"/>
      <c r="E801" s="979" t="n"/>
      <c r="F801" s="980" t="n"/>
      <c r="G801" s="980" t="n"/>
      <c r="H801" s="981" t="n"/>
      <c r="I801" s="973" t="n"/>
      <c r="J801" s="973" t="n"/>
      <c r="K801" s="35">
        <f>IFERROR(I801+J801,0)</f>
        <v/>
      </c>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IF(C802="","",ROW()-2)</f>
        <v/>
      </c>
      <c r="B802" s="977" t="n"/>
      <c r="C802" s="977" t="n"/>
      <c r="D802" s="978" t="n"/>
      <c r="E802" s="979" t="n"/>
      <c r="F802" s="980" t="n"/>
      <c r="G802" s="980" t="n"/>
      <c r="H802" s="981" t="n"/>
      <c r="I802" s="973" t="n"/>
      <c r="J802" s="973" t="n"/>
      <c r="K802" s="35">
        <f>IFERROR(I802+J802,0)</f>
        <v/>
      </c>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IF(C803="","",ROW()-2)</f>
        <v/>
      </c>
      <c r="B803" s="977" t="n"/>
      <c r="C803" s="977" t="n"/>
      <c r="D803" s="978" t="n"/>
      <c r="E803" s="979" t="n"/>
      <c r="F803" s="980" t="n"/>
      <c r="G803" s="980" t="n"/>
      <c r="H803" s="981" t="n"/>
      <c r="I803" s="973" t="n"/>
      <c r="J803" s="973" t="n"/>
      <c r="K803" s="35">
        <f>IFERROR(I803+J803,0)</f>
        <v/>
      </c>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IF(C804="","",ROW()-2)</f>
        <v/>
      </c>
      <c r="B804" s="977" t="n"/>
      <c r="C804" s="977" t="n"/>
      <c r="D804" s="978" t="n"/>
      <c r="E804" s="979" t="n"/>
      <c r="F804" s="980" t="n"/>
      <c r="G804" s="980" t="n"/>
      <c r="H804" s="981" t="n"/>
      <c r="I804" s="973" t="n"/>
      <c r="J804" s="973" t="n"/>
      <c r="K804" s="35">
        <f>IFERROR(I804+J804,0)</f>
        <v/>
      </c>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IF(C805="","",ROW()-2)</f>
        <v/>
      </c>
      <c r="B805" s="977" t="n"/>
      <c r="C805" s="977" t="n"/>
      <c r="D805" s="978" t="n"/>
      <c r="E805" s="979" t="n"/>
      <c r="F805" s="980" t="n"/>
      <c r="G805" s="980" t="n"/>
      <c r="H805" s="981" t="n"/>
      <c r="I805" s="973" t="n"/>
      <c r="J805" s="973" t="n"/>
      <c r="K805" s="35">
        <f>IFERROR(I805+J805,0)</f>
        <v/>
      </c>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IF(C806="","",ROW()-2)</f>
        <v/>
      </c>
      <c r="B806" s="977" t="n"/>
      <c r="C806" s="977" t="n"/>
      <c r="D806" s="978" t="n"/>
      <c r="E806" s="979" t="n"/>
      <c r="F806" s="980" t="n"/>
      <c r="G806" s="980" t="n"/>
      <c r="H806" s="981" t="n"/>
      <c r="I806" s="973" t="n"/>
      <c r="J806" s="973" t="n"/>
      <c r="K806" s="35">
        <f>IFERROR(I806+J806,0)</f>
        <v/>
      </c>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IF(C807="","",ROW()-2)</f>
        <v/>
      </c>
      <c r="B807" s="977" t="n"/>
      <c r="C807" s="977" t="n"/>
      <c r="D807" s="978" t="n"/>
      <c r="E807" s="979" t="n"/>
      <c r="F807" s="980" t="n"/>
      <c r="G807" s="980" t="n"/>
      <c r="H807" s="981" t="n"/>
      <c r="I807" s="973" t="n"/>
      <c r="J807" s="973" t="n"/>
      <c r="K807" s="35">
        <f>IFERROR(I807+J807,0)</f>
        <v/>
      </c>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IF(C808="","",ROW()-2)</f>
        <v/>
      </c>
      <c r="B808" s="977" t="n"/>
      <c r="C808" s="977" t="n"/>
      <c r="D808" s="978" t="n"/>
      <c r="E808" s="979" t="n"/>
      <c r="F808" s="980" t="n"/>
      <c r="G808" s="980" t="n"/>
      <c r="H808" s="981" t="n"/>
      <c r="I808" s="973" t="n"/>
      <c r="J808" s="973" t="n"/>
      <c r="K808" s="35">
        <f>IFERROR(I808+J808,0)</f>
        <v/>
      </c>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IF(C809="","",ROW()-2)</f>
        <v/>
      </c>
      <c r="B809" s="977" t="n"/>
      <c r="C809" s="977" t="n"/>
      <c r="D809" s="978" t="n"/>
      <c r="E809" s="979" t="n"/>
      <c r="F809" s="980" t="n"/>
      <c r="G809" s="980" t="n"/>
      <c r="H809" s="981" t="n"/>
      <c r="I809" s="973" t="n"/>
      <c r="J809" s="973" t="n"/>
      <c r="K809" s="35">
        <f>IFERROR(I809+J809,0)</f>
        <v/>
      </c>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IF(C810="","",ROW()-2)</f>
        <v/>
      </c>
      <c r="B810" s="977" t="n"/>
      <c r="C810" s="977" t="n"/>
      <c r="D810" s="978" t="n"/>
      <c r="E810" s="979" t="n"/>
      <c r="F810" s="980" t="n"/>
      <c r="G810" s="980" t="n"/>
      <c r="H810" s="981" t="n"/>
      <c r="I810" s="973" t="n"/>
      <c r="J810" s="973" t="n"/>
      <c r="K810" s="35">
        <f>IFERROR(I810+J810,0)</f>
        <v/>
      </c>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IF(C811="","",ROW()-2)</f>
        <v/>
      </c>
      <c r="B811" s="977" t="n"/>
      <c r="C811" s="977" t="n"/>
      <c r="D811" s="978" t="n"/>
      <c r="E811" s="979" t="n"/>
      <c r="F811" s="980" t="n"/>
      <c r="G811" s="980" t="n"/>
      <c r="H811" s="981" t="n"/>
      <c r="I811" s="973" t="n"/>
      <c r="J811" s="973" t="n"/>
      <c r="K811" s="35">
        <f>IFERROR(I811+J811,0)</f>
        <v/>
      </c>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IF(C812="","",ROW()-2)</f>
        <v/>
      </c>
      <c r="B812" s="977" t="n"/>
      <c r="C812" s="977" t="n"/>
      <c r="D812" s="978" t="n"/>
      <c r="E812" s="979" t="n"/>
      <c r="F812" s="980" t="n"/>
      <c r="G812" s="980" t="n"/>
      <c r="H812" s="981" t="n"/>
      <c r="I812" s="973" t="n"/>
      <c r="J812" s="973" t="n"/>
      <c r="K812" s="35">
        <f>IFERROR(I812+J812,0)</f>
        <v/>
      </c>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IF(C813="","",ROW()-2)</f>
        <v/>
      </c>
      <c r="B813" s="977" t="n"/>
      <c r="C813" s="977" t="n"/>
      <c r="D813" s="978" t="n"/>
      <c r="E813" s="979" t="n"/>
      <c r="F813" s="980" t="n"/>
      <c r="G813" s="980" t="n"/>
      <c r="H813" s="981" t="n"/>
      <c r="I813" s="973" t="n"/>
      <c r="J813" s="973" t="n"/>
      <c r="K813" s="35">
        <f>IFERROR(I813+J813,0)</f>
        <v/>
      </c>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IF(C814="","",ROW()-2)</f>
        <v/>
      </c>
      <c r="B814" s="977" t="n"/>
      <c r="C814" s="977" t="n"/>
      <c r="D814" s="978" t="n"/>
      <c r="E814" s="979" t="n"/>
      <c r="F814" s="980" t="n"/>
      <c r="G814" s="980" t="n"/>
      <c r="H814" s="981" t="n"/>
      <c r="I814" s="973" t="n"/>
      <c r="J814" s="973" t="n"/>
      <c r="K814" s="35">
        <f>IFERROR(I814+J814,0)</f>
        <v/>
      </c>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IF(C815="","",ROW()-2)</f>
        <v/>
      </c>
      <c r="B815" s="977" t="n"/>
      <c r="C815" s="977" t="n"/>
      <c r="D815" s="978" t="n"/>
      <c r="E815" s="979" t="n"/>
      <c r="F815" s="980" t="n"/>
      <c r="G815" s="980" t="n"/>
      <c r="H815" s="981" t="n"/>
      <c r="I815" s="973" t="n"/>
      <c r="J815" s="973" t="n"/>
      <c r="K815" s="35">
        <f>IFERROR(I815+J815,0)</f>
        <v/>
      </c>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IF(C816="","",ROW()-2)</f>
        <v/>
      </c>
      <c r="B816" s="977" t="n"/>
      <c r="C816" s="977" t="n"/>
      <c r="D816" s="978" t="n"/>
      <c r="E816" s="979" t="n"/>
      <c r="F816" s="980" t="n"/>
      <c r="G816" s="980" t="n"/>
      <c r="H816" s="981" t="n"/>
      <c r="I816" s="973" t="n"/>
      <c r="J816" s="973" t="n"/>
      <c r="K816" s="35">
        <f>IFERROR(I816+J816,0)</f>
        <v/>
      </c>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IF(C817="","",ROW()-2)</f>
        <v/>
      </c>
      <c r="B817" s="977" t="n"/>
      <c r="C817" s="977" t="n"/>
      <c r="D817" s="978" t="n"/>
      <c r="E817" s="979" t="n"/>
      <c r="F817" s="980" t="n"/>
      <c r="G817" s="980" t="n"/>
      <c r="H817" s="981" t="n"/>
      <c r="I817" s="973" t="n"/>
      <c r="J817" s="973" t="n"/>
      <c r="K817" s="35">
        <f>IFERROR(I817+J817,0)</f>
        <v/>
      </c>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IF(C818="","",ROW()-2)</f>
        <v/>
      </c>
      <c r="B818" s="977" t="n"/>
      <c r="C818" s="977" t="n"/>
      <c r="D818" s="978" t="n"/>
      <c r="E818" s="979" t="n"/>
      <c r="F818" s="980" t="n"/>
      <c r="G818" s="980" t="n"/>
      <c r="H818" s="981" t="n"/>
      <c r="I818" s="973" t="n"/>
      <c r="J818" s="973" t="n"/>
      <c r="K818" s="35">
        <f>IFERROR(I818+J818,0)</f>
        <v/>
      </c>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IF(C819="","",ROW()-2)</f>
        <v/>
      </c>
      <c r="B819" s="977" t="n"/>
      <c r="C819" s="977" t="n"/>
      <c r="D819" s="978" t="n"/>
      <c r="E819" s="979" t="n"/>
      <c r="F819" s="980" t="n"/>
      <c r="G819" s="980" t="n"/>
      <c r="H819" s="981" t="n"/>
      <c r="I819" s="973" t="n"/>
      <c r="J819" s="973" t="n"/>
      <c r="K819" s="35">
        <f>IFERROR(I819+J819,0)</f>
        <v/>
      </c>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IF(C820="","",ROW()-2)</f>
        <v/>
      </c>
      <c r="B820" s="977" t="n"/>
      <c r="C820" s="977" t="n"/>
      <c r="D820" s="978" t="n"/>
      <c r="E820" s="979" t="n"/>
      <c r="F820" s="980" t="n"/>
      <c r="G820" s="980" t="n"/>
      <c r="H820" s="981" t="n"/>
      <c r="I820" s="973" t="n"/>
      <c r="J820" s="973" t="n"/>
      <c r="K820" s="35">
        <f>IFERROR(I820+J820,0)</f>
        <v/>
      </c>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IF(C821="","",ROW()-2)</f>
        <v/>
      </c>
      <c r="B821" s="977" t="n"/>
      <c r="C821" s="977" t="n"/>
      <c r="D821" s="978" t="n"/>
      <c r="E821" s="979" t="n"/>
      <c r="F821" s="980" t="n"/>
      <c r="G821" s="980" t="n"/>
      <c r="H821" s="981" t="n"/>
      <c r="I821" s="973" t="n"/>
      <c r="J821" s="973" t="n"/>
      <c r="K821" s="35">
        <f>IFERROR(I821+J821,0)</f>
        <v/>
      </c>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IF(C822="","",ROW()-2)</f>
        <v/>
      </c>
      <c r="B822" s="977" t="n"/>
      <c r="C822" s="977" t="n"/>
      <c r="D822" s="978" t="n"/>
      <c r="E822" s="979" t="n"/>
      <c r="F822" s="980" t="n"/>
      <c r="G822" s="980" t="n"/>
      <c r="H822" s="981" t="n"/>
      <c r="I822" s="973" t="n"/>
      <c r="J822" s="973" t="n"/>
      <c r="K822" s="35">
        <f>IFERROR(I822+J822,0)</f>
        <v/>
      </c>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IF(C823="","",ROW()-2)</f>
        <v/>
      </c>
      <c r="B823" s="977" t="n"/>
      <c r="C823" s="977" t="n"/>
      <c r="D823" s="978" t="n"/>
      <c r="E823" s="979" t="n"/>
      <c r="F823" s="980" t="n"/>
      <c r="G823" s="980" t="n"/>
      <c r="H823" s="981" t="n"/>
      <c r="I823" s="973" t="n"/>
      <c r="J823" s="973" t="n"/>
      <c r="K823" s="35">
        <f>IFERROR(I823+J823,0)</f>
        <v/>
      </c>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IF(C824="","",ROW()-2)</f>
        <v/>
      </c>
      <c r="B824" s="977" t="n"/>
      <c r="C824" s="977" t="n"/>
      <c r="D824" s="978" t="n"/>
      <c r="E824" s="979" t="n"/>
      <c r="F824" s="980" t="n"/>
      <c r="G824" s="980" t="n"/>
      <c r="H824" s="981" t="n"/>
      <c r="I824" s="973" t="n"/>
      <c r="J824" s="973" t="n"/>
      <c r="K824" s="35">
        <f>IFERROR(I824+J824,0)</f>
        <v/>
      </c>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IF(C825="","",ROW()-2)</f>
        <v/>
      </c>
      <c r="B825" s="977" t="n"/>
      <c r="C825" s="977" t="n"/>
      <c r="D825" s="978" t="n"/>
      <c r="E825" s="979" t="n"/>
      <c r="F825" s="980" t="n"/>
      <c r="G825" s="980" t="n"/>
      <c r="H825" s="981" t="n"/>
      <c r="I825" s="973" t="n"/>
      <c r="J825" s="973" t="n"/>
      <c r="K825" s="35">
        <f>IFERROR(I825+J825,0)</f>
        <v/>
      </c>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IF(C826="","",ROW()-2)</f>
        <v/>
      </c>
      <c r="B826" s="977" t="n"/>
      <c r="C826" s="977" t="n"/>
      <c r="D826" s="978" t="n"/>
      <c r="E826" s="979" t="n"/>
      <c r="F826" s="980" t="n"/>
      <c r="G826" s="980" t="n"/>
      <c r="H826" s="981" t="n"/>
      <c r="I826" s="973" t="n"/>
      <c r="J826" s="973" t="n"/>
      <c r="K826" s="35">
        <f>IFERROR(I826+J826,0)</f>
        <v/>
      </c>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IF(C827="","",ROW()-2)</f>
        <v/>
      </c>
      <c r="B827" s="977" t="n"/>
      <c r="C827" s="977" t="n"/>
      <c r="D827" s="978" t="n"/>
      <c r="E827" s="979" t="n"/>
      <c r="F827" s="980" t="n"/>
      <c r="G827" s="980" t="n"/>
      <c r="H827" s="981" t="n"/>
      <c r="I827" s="973" t="n"/>
      <c r="J827" s="973" t="n"/>
      <c r="K827" s="35">
        <f>IFERROR(I827+J827,0)</f>
        <v/>
      </c>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IF(C828="","",ROW()-2)</f>
        <v/>
      </c>
      <c r="B828" s="977" t="n"/>
      <c r="C828" s="977" t="n"/>
      <c r="D828" s="978" t="n"/>
      <c r="E828" s="979" t="n"/>
      <c r="F828" s="980" t="n"/>
      <c r="G828" s="980" t="n"/>
      <c r="H828" s="981" t="n"/>
      <c r="I828" s="973" t="n"/>
      <c r="J828" s="973" t="n"/>
      <c r="K828" s="35">
        <f>IFERROR(I828+J828,0)</f>
        <v/>
      </c>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IF(C829="","",ROW()-2)</f>
        <v/>
      </c>
      <c r="B829" s="977" t="n"/>
      <c r="C829" s="977" t="n"/>
      <c r="D829" s="978" t="n"/>
      <c r="E829" s="979" t="n"/>
      <c r="F829" s="980" t="n"/>
      <c r="G829" s="980" t="n"/>
      <c r="H829" s="981" t="n"/>
      <c r="I829" s="973" t="n"/>
      <c r="J829" s="973" t="n"/>
      <c r="K829" s="35">
        <f>IFERROR(I829+J829,0)</f>
        <v/>
      </c>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IF(C830="","",ROW()-2)</f>
        <v/>
      </c>
      <c r="B830" s="977" t="n"/>
      <c r="C830" s="977" t="n"/>
      <c r="D830" s="978" t="n"/>
      <c r="E830" s="979" t="n"/>
      <c r="F830" s="980" t="n"/>
      <c r="G830" s="980" t="n"/>
      <c r="H830" s="981" t="n"/>
      <c r="I830" s="973" t="n"/>
      <c r="J830" s="973" t="n"/>
      <c r="K830" s="35">
        <f>IFERROR(I830+J830,0)</f>
        <v/>
      </c>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IF(C831="","",ROW()-2)</f>
        <v/>
      </c>
      <c r="B831" s="977" t="n"/>
      <c r="C831" s="977" t="n"/>
      <c r="D831" s="978" t="n"/>
      <c r="E831" s="979" t="n"/>
      <c r="F831" s="980" t="n"/>
      <c r="G831" s="980" t="n"/>
      <c r="H831" s="981" t="n"/>
      <c r="I831" s="973" t="n"/>
      <c r="J831" s="973" t="n"/>
      <c r="K831" s="35">
        <f>IFERROR(I831+J831,0)</f>
        <v/>
      </c>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IF(C832="","",ROW()-2)</f>
        <v/>
      </c>
      <c r="B832" s="977" t="n"/>
      <c r="C832" s="977" t="n"/>
      <c r="D832" s="978" t="n"/>
      <c r="E832" s="979" t="n"/>
      <c r="F832" s="980" t="n"/>
      <c r="G832" s="980" t="n"/>
      <c r="H832" s="981" t="n"/>
      <c r="I832" s="973" t="n"/>
      <c r="J832" s="973" t="n"/>
      <c r="K832" s="35">
        <f>IFERROR(I832+J832,0)</f>
        <v/>
      </c>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IF(C833="","",ROW()-2)</f>
        <v/>
      </c>
      <c r="B833" s="977" t="n"/>
      <c r="C833" s="977" t="n"/>
      <c r="D833" s="978" t="n"/>
      <c r="E833" s="979" t="n"/>
      <c r="F833" s="980" t="n"/>
      <c r="G833" s="980" t="n"/>
      <c r="H833" s="981" t="n"/>
      <c r="I833" s="973" t="n"/>
      <c r="J833" s="973" t="n"/>
      <c r="K833" s="35">
        <f>IFERROR(I833+J833,0)</f>
        <v/>
      </c>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IF(C834="","",ROW()-2)</f>
        <v/>
      </c>
      <c r="B834" s="977" t="n"/>
      <c r="C834" s="977" t="n"/>
      <c r="D834" s="978" t="n"/>
      <c r="E834" s="979" t="n"/>
      <c r="F834" s="980" t="n"/>
      <c r="G834" s="980" t="n"/>
      <c r="H834" s="981" t="n"/>
      <c r="I834" s="973" t="n"/>
      <c r="J834" s="973" t="n"/>
      <c r="K834" s="35">
        <f>IFERROR(I834+J834,0)</f>
        <v/>
      </c>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IF(C835="","",ROW()-2)</f>
        <v/>
      </c>
      <c r="B835" s="977" t="n"/>
      <c r="C835" s="977" t="n"/>
      <c r="D835" s="978" t="n"/>
      <c r="E835" s="979" t="n"/>
      <c r="F835" s="980" t="n"/>
      <c r="G835" s="980" t="n"/>
      <c r="H835" s="981" t="n"/>
      <c r="I835" s="973" t="n"/>
      <c r="J835" s="973" t="n"/>
      <c r="K835" s="35">
        <f>IFERROR(I835+J835,0)</f>
        <v/>
      </c>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IF(C836="","",ROW()-2)</f>
        <v/>
      </c>
      <c r="B836" s="977" t="n"/>
      <c r="C836" s="977" t="n"/>
      <c r="D836" s="978" t="n"/>
      <c r="E836" s="979" t="n"/>
      <c r="F836" s="980" t="n"/>
      <c r="G836" s="980" t="n"/>
      <c r="H836" s="981" t="n"/>
      <c r="I836" s="973" t="n"/>
      <c r="J836" s="973" t="n"/>
      <c r="K836" s="35">
        <f>IFERROR(I836+J836,0)</f>
        <v/>
      </c>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IF(C837="","",ROW()-2)</f>
        <v/>
      </c>
      <c r="B837" s="977" t="n"/>
      <c r="C837" s="977" t="n"/>
      <c r="D837" s="978" t="n"/>
      <c r="E837" s="979" t="n"/>
      <c r="F837" s="980" t="n"/>
      <c r="G837" s="980" t="n"/>
      <c r="H837" s="981" t="n"/>
      <c r="I837" s="973" t="n"/>
      <c r="J837" s="973" t="n"/>
      <c r="K837" s="35">
        <f>IFERROR(I837+J837,0)</f>
        <v/>
      </c>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IF(C838="","",ROW()-2)</f>
        <v/>
      </c>
      <c r="B838" s="977" t="n"/>
      <c r="C838" s="977" t="n"/>
      <c r="D838" s="978" t="n"/>
      <c r="E838" s="979" t="n"/>
      <c r="F838" s="980" t="n"/>
      <c r="G838" s="980" t="n"/>
      <c r="H838" s="981" t="n"/>
      <c r="I838" s="973" t="n"/>
      <c r="J838" s="973" t="n"/>
      <c r="K838" s="35">
        <f>IFERROR(I838+J838,0)</f>
        <v/>
      </c>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IF(C839="","",ROW()-2)</f>
        <v/>
      </c>
      <c r="B839" s="977" t="n"/>
      <c r="C839" s="977" t="n"/>
      <c r="D839" s="978" t="n"/>
      <c r="E839" s="979" t="n"/>
      <c r="F839" s="980" t="n"/>
      <c r="G839" s="980" t="n"/>
      <c r="H839" s="981" t="n"/>
      <c r="I839" s="973" t="n"/>
      <c r="J839" s="973" t="n"/>
      <c r="K839" s="35">
        <f>IFERROR(I839+J839,0)</f>
        <v/>
      </c>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IF(C840="","",ROW()-2)</f>
        <v/>
      </c>
      <c r="B840" s="977" t="n"/>
      <c r="C840" s="977" t="n"/>
      <c r="D840" s="978" t="n"/>
      <c r="E840" s="979" t="n"/>
      <c r="F840" s="980" t="n"/>
      <c r="G840" s="980" t="n"/>
      <c r="H840" s="981" t="n"/>
      <c r="I840" s="973" t="n"/>
      <c r="J840" s="973" t="n"/>
      <c r="K840" s="35">
        <f>IFERROR(I840+J840,0)</f>
        <v/>
      </c>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IF(C841="","",ROW()-2)</f>
        <v/>
      </c>
      <c r="B841" s="977" t="n"/>
      <c r="C841" s="977" t="n"/>
      <c r="D841" s="978" t="n"/>
      <c r="E841" s="979" t="n"/>
      <c r="F841" s="980" t="n"/>
      <c r="G841" s="980" t="n"/>
      <c r="H841" s="981" t="n"/>
      <c r="I841" s="973" t="n"/>
      <c r="J841" s="973" t="n"/>
      <c r="K841" s="35">
        <f>IFERROR(I841+J841,0)</f>
        <v/>
      </c>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IF(C842="","",ROW()-2)</f>
        <v/>
      </c>
      <c r="B842" s="977" t="n"/>
      <c r="C842" s="977" t="n"/>
      <c r="D842" s="978" t="n"/>
      <c r="E842" s="979" t="n"/>
      <c r="F842" s="980" t="n"/>
      <c r="G842" s="980" t="n"/>
      <c r="H842" s="981" t="n"/>
      <c r="I842" s="973" t="n"/>
      <c r="J842" s="973" t="n"/>
      <c r="K842" s="35">
        <f>IFERROR(I842+J842,0)</f>
        <v/>
      </c>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IF(C843="","",ROW()-2)</f>
        <v/>
      </c>
      <c r="B843" s="977" t="n"/>
      <c r="C843" s="977" t="n"/>
      <c r="D843" s="978" t="n"/>
      <c r="E843" s="979" t="n"/>
      <c r="F843" s="980" t="n"/>
      <c r="G843" s="980" t="n"/>
      <c r="H843" s="981" t="n"/>
      <c r="I843" s="973" t="n"/>
      <c r="J843" s="973" t="n"/>
      <c r="K843" s="35">
        <f>IFERROR(I843+J843,0)</f>
        <v/>
      </c>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IF(C844="","",ROW()-2)</f>
        <v/>
      </c>
      <c r="B844" s="977" t="n"/>
      <c r="C844" s="977" t="n"/>
      <c r="D844" s="978" t="n"/>
      <c r="E844" s="979" t="n"/>
      <c r="F844" s="980" t="n"/>
      <c r="G844" s="980" t="n"/>
      <c r="H844" s="981" t="n"/>
      <c r="I844" s="973" t="n"/>
      <c r="J844" s="973" t="n"/>
      <c r="K844" s="35">
        <f>IFERROR(I844+J844,0)</f>
        <v/>
      </c>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IF(C845="","",ROW()-2)</f>
        <v/>
      </c>
      <c r="B845" s="977" t="n"/>
      <c r="C845" s="977" t="n"/>
      <c r="D845" s="978" t="n"/>
      <c r="E845" s="979" t="n"/>
      <c r="F845" s="980" t="n"/>
      <c r="G845" s="980" t="n"/>
      <c r="H845" s="981" t="n"/>
      <c r="I845" s="973" t="n"/>
      <c r="J845" s="973" t="n"/>
      <c r="K845" s="35">
        <f>IFERROR(I845+J845,0)</f>
        <v/>
      </c>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IF(C846="","",ROW()-2)</f>
        <v/>
      </c>
      <c r="B846" s="977" t="n"/>
      <c r="C846" s="977" t="n"/>
      <c r="D846" s="978" t="n"/>
      <c r="E846" s="979" t="n"/>
      <c r="F846" s="980" t="n"/>
      <c r="G846" s="980" t="n"/>
      <c r="H846" s="981" t="n"/>
      <c r="I846" s="973" t="n"/>
      <c r="J846" s="973" t="n"/>
      <c r="K846" s="35">
        <f>IFERROR(I846+J846,0)</f>
        <v/>
      </c>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IF(C847="","",ROW()-2)</f>
        <v/>
      </c>
      <c r="B847" s="977" t="n"/>
      <c r="C847" s="977" t="n"/>
      <c r="D847" s="978" t="n"/>
      <c r="E847" s="979" t="n"/>
      <c r="F847" s="980" t="n"/>
      <c r="G847" s="980" t="n"/>
      <c r="H847" s="981" t="n"/>
      <c r="I847" s="973" t="n"/>
      <c r="J847" s="973" t="n"/>
      <c r="K847" s="35">
        <f>IFERROR(I847+J847,0)</f>
        <v/>
      </c>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IF(C848="","",ROW()-2)</f>
        <v/>
      </c>
      <c r="B848" s="977" t="n"/>
      <c r="C848" s="977" t="n"/>
      <c r="D848" s="978" t="n"/>
      <c r="E848" s="979" t="n"/>
      <c r="F848" s="980" t="n"/>
      <c r="G848" s="980" t="n"/>
      <c r="H848" s="981" t="n"/>
      <c r="I848" s="973" t="n"/>
      <c r="J848" s="973" t="n"/>
      <c r="K848" s="35">
        <f>IFERROR(I848+J848,0)</f>
        <v/>
      </c>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IF(C849="","",ROW()-2)</f>
        <v/>
      </c>
      <c r="B849" s="977" t="n"/>
      <c r="C849" s="977" t="n"/>
      <c r="D849" s="978" t="n"/>
      <c r="E849" s="979" t="n"/>
      <c r="F849" s="980" t="n"/>
      <c r="G849" s="980" t="n"/>
      <c r="H849" s="981" t="n"/>
      <c r="I849" s="973" t="n"/>
      <c r="J849" s="973" t="n"/>
      <c r="K849" s="35">
        <f>IFERROR(I849+J849,0)</f>
        <v/>
      </c>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IF(C850="","",ROW()-2)</f>
        <v/>
      </c>
      <c r="B850" s="977" t="n"/>
      <c r="C850" s="977" t="n"/>
      <c r="D850" s="978" t="n"/>
      <c r="E850" s="979" t="n"/>
      <c r="F850" s="980" t="n"/>
      <c r="G850" s="980" t="n"/>
      <c r="H850" s="981" t="n"/>
      <c r="I850" s="973" t="n"/>
      <c r="J850" s="973" t="n"/>
      <c r="K850" s="35">
        <f>IFERROR(I850+J850,0)</f>
        <v/>
      </c>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IF(C851="","",ROW()-2)</f>
        <v/>
      </c>
      <c r="B851" s="977" t="n"/>
      <c r="C851" s="977" t="n"/>
      <c r="D851" s="978" t="n"/>
      <c r="E851" s="979" t="n"/>
      <c r="F851" s="980" t="n"/>
      <c r="G851" s="980" t="n"/>
      <c r="H851" s="981" t="n"/>
      <c r="I851" s="973" t="n"/>
      <c r="J851" s="973" t="n"/>
      <c r="K851" s="35">
        <f>IFERROR(I851+J851,0)</f>
        <v/>
      </c>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IF(C852="","",ROW()-2)</f>
        <v/>
      </c>
      <c r="B852" s="977" t="n"/>
      <c r="C852" s="977" t="n"/>
      <c r="D852" s="978" t="n"/>
      <c r="E852" s="979" t="n"/>
      <c r="F852" s="980" t="n"/>
      <c r="G852" s="980" t="n"/>
      <c r="H852" s="981" t="n"/>
      <c r="I852" s="973" t="n"/>
      <c r="J852" s="973" t="n"/>
      <c r="K852" s="35">
        <f>IFERROR(I852+J852,0)</f>
        <v/>
      </c>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IF(C853="","",ROW()-2)</f>
        <v/>
      </c>
      <c r="B853" s="977" t="n"/>
      <c r="C853" s="977" t="n"/>
      <c r="D853" s="978" t="n"/>
      <c r="E853" s="979" t="n"/>
      <c r="F853" s="980" t="n"/>
      <c r="G853" s="980" t="n"/>
      <c r="H853" s="981" t="n"/>
      <c r="I853" s="973" t="n"/>
      <c r="J853" s="973" t="n"/>
      <c r="K853" s="35">
        <f>IFERROR(I853+J853,0)</f>
        <v/>
      </c>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IF(C854="","",ROW()-2)</f>
        <v/>
      </c>
      <c r="B854" s="977" t="n"/>
      <c r="C854" s="977" t="n"/>
      <c r="D854" s="978" t="n"/>
      <c r="E854" s="979" t="n"/>
      <c r="F854" s="980" t="n"/>
      <c r="G854" s="980" t="n"/>
      <c r="H854" s="981" t="n"/>
      <c r="I854" s="973" t="n"/>
      <c r="J854" s="973" t="n"/>
      <c r="K854" s="35">
        <f>IFERROR(I854+J854,0)</f>
        <v/>
      </c>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IF(C855="","",ROW()-2)</f>
        <v/>
      </c>
      <c r="B855" s="977" t="n"/>
      <c r="C855" s="977" t="n"/>
      <c r="D855" s="978" t="n"/>
      <c r="E855" s="979" t="n"/>
      <c r="F855" s="980" t="n"/>
      <c r="G855" s="980" t="n"/>
      <c r="H855" s="981" t="n"/>
      <c r="I855" s="973" t="n"/>
      <c r="J855" s="973" t="n"/>
      <c r="K855" s="35">
        <f>IFERROR(I855+J855,0)</f>
        <v/>
      </c>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IF(C856="","",ROW()-2)</f>
        <v/>
      </c>
      <c r="B856" s="977" t="n"/>
      <c r="C856" s="977" t="n"/>
      <c r="D856" s="978" t="n"/>
      <c r="E856" s="979" t="n"/>
      <c r="F856" s="980" t="n"/>
      <c r="G856" s="980" t="n"/>
      <c r="H856" s="981" t="n"/>
      <c r="I856" s="973" t="n"/>
      <c r="J856" s="973" t="n"/>
      <c r="K856" s="35">
        <f>IFERROR(I856+J856,0)</f>
        <v/>
      </c>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IF(C857="","",ROW()-2)</f>
        <v/>
      </c>
      <c r="B857" s="977" t="n"/>
      <c r="C857" s="977" t="n"/>
      <c r="D857" s="978" t="n"/>
      <c r="E857" s="979" t="n"/>
      <c r="F857" s="980" t="n"/>
      <c r="G857" s="980" t="n"/>
      <c r="H857" s="981" t="n"/>
      <c r="I857" s="973" t="n"/>
      <c r="J857" s="973" t="n"/>
      <c r="K857" s="35">
        <f>IFERROR(I857+J857,0)</f>
        <v/>
      </c>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IF(C858="","",ROW()-2)</f>
        <v/>
      </c>
      <c r="B858" s="977" t="n"/>
      <c r="C858" s="977" t="n"/>
      <c r="D858" s="978" t="n"/>
      <c r="E858" s="979" t="n"/>
      <c r="F858" s="980" t="n"/>
      <c r="G858" s="980" t="n"/>
      <c r="H858" s="981" t="n"/>
      <c r="I858" s="973" t="n"/>
      <c r="J858" s="973" t="n"/>
      <c r="K858" s="35">
        <f>IFERROR(I858+J858,0)</f>
        <v/>
      </c>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IF(C859="","",ROW()-2)</f>
        <v/>
      </c>
      <c r="B859" s="977" t="n"/>
      <c r="C859" s="977" t="n"/>
      <c r="D859" s="978" t="n"/>
      <c r="E859" s="979" t="n"/>
      <c r="F859" s="980" t="n"/>
      <c r="G859" s="980" t="n"/>
      <c r="H859" s="981" t="n"/>
      <c r="I859" s="973" t="n"/>
      <c r="J859" s="973" t="n"/>
      <c r="K859" s="35">
        <f>IFERROR(I859+J859,0)</f>
        <v/>
      </c>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IF(C860="","",ROW()-2)</f>
        <v/>
      </c>
      <c r="B860" s="977" t="n"/>
      <c r="C860" s="977" t="n"/>
      <c r="D860" s="978" t="n"/>
      <c r="E860" s="979" t="n"/>
      <c r="F860" s="980" t="n"/>
      <c r="G860" s="980" t="n"/>
      <c r="H860" s="981" t="n"/>
      <c r="I860" s="973" t="n"/>
      <c r="J860" s="973" t="n"/>
      <c r="K860" s="35">
        <f>IFERROR(I860+J860,0)</f>
        <v/>
      </c>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IF(C861="","",ROW()-2)</f>
        <v/>
      </c>
      <c r="B861" s="977" t="n"/>
      <c r="C861" s="977" t="n"/>
      <c r="D861" s="978" t="n"/>
      <c r="E861" s="979" t="n"/>
      <c r="F861" s="980" t="n"/>
      <c r="G861" s="980" t="n"/>
      <c r="H861" s="981" t="n"/>
      <c r="I861" s="973" t="n"/>
      <c r="J861" s="973" t="n"/>
      <c r="K861" s="35">
        <f>IFERROR(I861+J861,0)</f>
        <v/>
      </c>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IF(C862="","",ROW()-2)</f>
        <v/>
      </c>
      <c r="B862" s="977" t="n"/>
      <c r="C862" s="977" t="n"/>
      <c r="D862" s="978" t="n"/>
      <c r="E862" s="979" t="n"/>
      <c r="F862" s="980" t="n"/>
      <c r="G862" s="980" t="n"/>
      <c r="H862" s="981" t="n"/>
      <c r="I862" s="973" t="n"/>
      <c r="J862" s="973" t="n"/>
      <c r="K862" s="35">
        <f>IFERROR(I862+J862,0)</f>
        <v/>
      </c>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IF(C863="","",ROW()-2)</f>
        <v/>
      </c>
      <c r="B863" s="977" t="n"/>
      <c r="C863" s="977" t="n"/>
      <c r="D863" s="978" t="n"/>
      <c r="E863" s="979" t="n"/>
      <c r="F863" s="980" t="n"/>
      <c r="G863" s="980" t="n"/>
      <c r="H863" s="981" t="n"/>
      <c r="I863" s="973" t="n"/>
      <c r="J863" s="973" t="n"/>
      <c r="K863" s="35">
        <f>IFERROR(I863+J863,0)</f>
        <v/>
      </c>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IF(C864="","",ROW()-2)</f>
        <v/>
      </c>
      <c r="B864" s="977" t="n"/>
      <c r="C864" s="977" t="n"/>
      <c r="D864" s="978" t="n"/>
      <c r="E864" s="979" t="n"/>
      <c r="F864" s="980" t="n"/>
      <c r="G864" s="980" t="n"/>
      <c r="H864" s="981" t="n"/>
      <c r="I864" s="973" t="n"/>
      <c r="J864" s="973" t="n"/>
      <c r="K864" s="35">
        <f>IFERROR(I864+J864,0)</f>
        <v/>
      </c>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IF(C865="","",ROW()-2)</f>
        <v/>
      </c>
      <c r="B865" s="977" t="n"/>
      <c r="C865" s="977" t="n"/>
      <c r="D865" s="978" t="n"/>
      <c r="E865" s="979" t="n"/>
      <c r="F865" s="980" t="n"/>
      <c r="G865" s="980" t="n"/>
      <c r="H865" s="981" t="n"/>
      <c r="I865" s="973" t="n"/>
      <c r="J865" s="973" t="n"/>
      <c r="K865" s="35">
        <f>IFERROR(I865+J865,0)</f>
        <v/>
      </c>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IF(C866="","",ROW()-2)</f>
        <v/>
      </c>
      <c r="B866" s="977" t="n"/>
      <c r="C866" s="977" t="n"/>
      <c r="D866" s="978" t="n"/>
      <c r="E866" s="979" t="n"/>
      <c r="F866" s="980" t="n"/>
      <c r="G866" s="980" t="n"/>
      <c r="H866" s="981" t="n"/>
      <c r="I866" s="973" t="n"/>
      <c r="J866" s="973" t="n"/>
      <c r="K866" s="35">
        <f>IFERROR(I866+J866,0)</f>
        <v/>
      </c>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IF(C867="","",ROW()-2)</f>
        <v/>
      </c>
      <c r="B867" s="977" t="n"/>
      <c r="C867" s="977" t="n"/>
      <c r="D867" s="978" t="n"/>
      <c r="E867" s="979" t="n"/>
      <c r="F867" s="980" t="n"/>
      <c r="G867" s="980" t="n"/>
      <c r="H867" s="981" t="n"/>
      <c r="I867" s="973" t="n"/>
      <c r="J867" s="973" t="n"/>
      <c r="K867" s="35">
        <f>IFERROR(I867+J867,0)</f>
        <v/>
      </c>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IF(C868="","",ROW()-2)</f>
        <v/>
      </c>
      <c r="B868" s="977" t="n"/>
      <c r="C868" s="977" t="n"/>
      <c r="D868" s="978" t="n"/>
      <c r="E868" s="979" t="n"/>
      <c r="F868" s="980" t="n"/>
      <c r="G868" s="980" t="n"/>
      <c r="H868" s="981" t="n"/>
      <c r="I868" s="973" t="n"/>
      <c r="J868" s="973" t="n"/>
      <c r="K868" s="35">
        <f>IFERROR(I868+J868,0)</f>
        <v/>
      </c>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IF(C869="","",ROW()-2)</f>
        <v/>
      </c>
      <c r="B869" s="977" t="n"/>
      <c r="C869" s="977" t="n"/>
      <c r="D869" s="978" t="n"/>
      <c r="E869" s="979" t="n"/>
      <c r="F869" s="980" t="n"/>
      <c r="G869" s="980" t="n"/>
      <c r="H869" s="981" t="n"/>
      <c r="I869" s="973" t="n"/>
      <c r="J869" s="973" t="n"/>
      <c r="K869" s="35">
        <f>IFERROR(I869+J869,0)</f>
        <v/>
      </c>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IF(C870="","",ROW()-2)</f>
        <v/>
      </c>
      <c r="B870" s="977" t="n"/>
      <c r="C870" s="977" t="n"/>
      <c r="D870" s="978" t="n"/>
      <c r="E870" s="979" t="n"/>
      <c r="F870" s="980" t="n"/>
      <c r="G870" s="980" t="n"/>
      <c r="H870" s="981" t="n"/>
      <c r="I870" s="973" t="n"/>
      <c r="J870" s="973" t="n"/>
      <c r="K870" s="35">
        <f>IFERROR(I870+J870,0)</f>
        <v/>
      </c>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IF(C871="","",ROW()-2)</f>
        <v/>
      </c>
      <c r="B871" s="977" t="n"/>
      <c r="C871" s="977" t="n"/>
      <c r="D871" s="978" t="n"/>
      <c r="E871" s="979" t="n"/>
      <c r="F871" s="980" t="n"/>
      <c r="G871" s="980" t="n"/>
      <c r="H871" s="981" t="n"/>
      <c r="I871" s="973" t="n"/>
      <c r="J871" s="973" t="n"/>
      <c r="K871" s="35">
        <f>IFERROR(I871+J871,0)</f>
        <v/>
      </c>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IF(C872="","",ROW()-2)</f>
        <v/>
      </c>
      <c r="B872" s="977" t="n"/>
      <c r="C872" s="977" t="n"/>
      <c r="D872" s="978" t="n"/>
      <c r="E872" s="979" t="n"/>
      <c r="F872" s="980" t="n"/>
      <c r="G872" s="980" t="n"/>
      <c r="H872" s="981" t="n"/>
      <c r="I872" s="973" t="n"/>
      <c r="J872" s="973" t="n"/>
      <c r="K872" s="35">
        <f>IFERROR(I872+J872,0)</f>
        <v/>
      </c>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IF(C873="","",ROW()-2)</f>
        <v/>
      </c>
      <c r="B873" s="977" t="n"/>
      <c r="C873" s="977" t="n"/>
      <c r="D873" s="978" t="n"/>
      <c r="E873" s="979" t="n"/>
      <c r="F873" s="980" t="n"/>
      <c r="G873" s="980" t="n"/>
      <c r="H873" s="981" t="n"/>
      <c r="I873" s="973" t="n"/>
      <c r="J873" s="973" t="n"/>
      <c r="K873" s="35">
        <f>IFERROR(I873+J873,0)</f>
        <v/>
      </c>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IF(C874="","",ROW()-2)</f>
        <v/>
      </c>
      <c r="B874" s="977" t="n"/>
      <c r="C874" s="977" t="n"/>
      <c r="D874" s="978" t="n"/>
      <c r="E874" s="979" t="n"/>
      <c r="F874" s="980" t="n"/>
      <c r="G874" s="980" t="n"/>
      <c r="H874" s="981" t="n"/>
      <c r="I874" s="973" t="n"/>
      <c r="J874" s="973" t="n"/>
      <c r="K874" s="35">
        <f>IFERROR(I874+J874,0)</f>
        <v/>
      </c>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IF(C875="","",ROW()-2)</f>
        <v/>
      </c>
      <c r="B875" s="977" t="n"/>
      <c r="C875" s="977" t="n"/>
      <c r="D875" s="978" t="n"/>
      <c r="E875" s="979" t="n"/>
      <c r="F875" s="980" t="n"/>
      <c r="G875" s="980" t="n"/>
      <c r="H875" s="981" t="n"/>
      <c r="I875" s="973" t="n"/>
      <c r="J875" s="973" t="n"/>
      <c r="K875" s="35">
        <f>IFERROR(I875+J875,0)</f>
        <v/>
      </c>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IF(C876="","",ROW()-2)</f>
        <v/>
      </c>
      <c r="B876" s="977" t="n"/>
      <c r="C876" s="977" t="n"/>
      <c r="D876" s="978" t="n"/>
      <c r="E876" s="979" t="n"/>
      <c r="F876" s="980" t="n"/>
      <c r="G876" s="980" t="n"/>
      <c r="H876" s="981" t="n"/>
      <c r="I876" s="973" t="n"/>
      <c r="J876" s="973" t="n"/>
      <c r="K876" s="35">
        <f>IFERROR(I876+J876,0)</f>
        <v/>
      </c>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IF(C877="","",ROW()-2)</f>
        <v/>
      </c>
      <c r="B877" s="977" t="n"/>
      <c r="C877" s="977" t="n"/>
      <c r="D877" s="978" t="n"/>
      <c r="E877" s="979" t="n"/>
      <c r="F877" s="980" t="n"/>
      <c r="G877" s="980" t="n"/>
      <c r="H877" s="981" t="n"/>
      <c r="I877" s="973" t="n"/>
      <c r="J877" s="973" t="n"/>
      <c r="K877" s="35">
        <f>IFERROR(I877+J877,0)</f>
        <v/>
      </c>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IF(C878="","",ROW()-2)</f>
        <v/>
      </c>
      <c r="B878" s="977" t="n"/>
      <c r="C878" s="977" t="n"/>
      <c r="D878" s="978" t="n"/>
      <c r="E878" s="979" t="n"/>
      <c r="F878" s="980" t="n"/>
      <c r="G878" s="980" t="n"/>
      <c r="H878" s="981" t="n"/>
      <c r="I878" s="973" t="n"/>
      <c r="J878" s="973" t="n"/>
      <c r="K878" s="35">
        <f>IFERROR(I878+J878,0)</f>
        <v/>
      </c>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IF(C879="","",ROW()-2)</f>
        <v/>
      </c>
      <c r="B879" s="977" t="n"/>
      <c r="C879" s="977" t="n"/>
      <c r="D879" s="978" t="n"/>
      <c r="E879" s="979" t="n"/>
      <c r="F879" s="980" t="n"/>
      <c r="G879" s="980" t="n"/>
      <c r="H879" s="981" t="n"/>
      <c r="I879" s="973" t="n"/>
      <c r="J879" s="973" t="n"/>
      <c r="K879" s="35">
        <f>IFERROR(I879+J879,0)</f>
        <v/>
      </c>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IF(C880="","",ROW()-2)</f>
        <v/>
      </c>
      <c r="B880" s="977" t="n"/>
      <c r="C880" s="977" t="n"/>
      <c r="D880" s="978" t="n"/>
      <c r="E880" s="979" t="n"/>
      <c r="F880" s="980" t="n"/>
      <c r="G880" s="980" t="n"/>
      <c r="H880" s="981" t="n"/>
      <c r="I880" s="973" t="n"/>
      <c r="J880" s="973" t="n"/>
      <c r="K880" s="35">
        <f>IFERROR(I880+J880,0)</f>
        <v/>
      </c>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IF(C881="","",ROW()-2)</f>
        <v/>
      </c>
      <c r="B881" s="977" t="n"/>
      <c r="C881" s="977" t="n"/>
      <c r="D881" s="978" t="n"/>
      <c r="E881" s="979" t="n"/>
      <c r="F881" s="980" t="n"/>
      <c r="G881" s="980" t="n"/>
      <c r="H881" s="981" t="n"/>
      <c r="I881" s="973" t="n"/>
      <c r="J881" s="973" t="n"/>
      <c r="K881" s="35">
        <f>IFERROR(I881+J881,0)</f>
        <v/>
      </c>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IF(C882="","",ROW()-2)</f>
        <v/>
      </c>
      <c r="B882" s="977" t="n"/>
      <c r="C882" s="977" t="n"/>
      <c r="D882" s="978" t="n"/>
      <c r="E882" s="979" t="n"/>
      <c r="F882" s="980" t="n"/>
      <c r="G882" s="980" t="n"/>
      <c r="H882" s="981" t="n"/>
      <c r="I882" s="973" t="n"/>
      <c r="J882" s="973" t="n"/>
      <c r="K882" s="35">
        <f>IFERROR(I882+J882,0)</f>
        <v/>
      </c>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IF(C883="","",ROW()-2)</f>
        <v/>
      </c>
      <c r="B883" s="977" t="n"/>
      <c r="C883" s="977" t="n"/>
      <c r="D883" s="978" t="n"/>
      <c r="E883" s="979" t="n"/>
      <c r="F883" s="980" t="n"/>
      <c r="G883" s="980" t="n"/>
      <c r="H883" s="981" t="n"/>
      <c r="I883" s="973" t="n"/>
      <c r="J883" s="973" t="n"/>
      <c r="K883" s="35">
        <f>IFERROR(I883+J883,0)</f>
        <v/>
      </c>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IF(C884="","",ROW()-2)</f>
        <v/>
      </c>
      <c r="B884" s="977" t="n"/>
      <c r="C884" s="977" t="n"/>
      <c r="D884" s="978" t="n"/>
      <c r="E884" s="979" t="n"/>
      <c r="F884" s="980" t="n"/>
      <c r="G884" s="980" t="n"/>
      <c r="H884" s="981" t="n"/>
      <c r="I884" s="973" t="n"/>
      <c r="J884" s="973" t="n"/>
      <c r="K884" s="35">
        <f>IFERROR(I884+J884,0)</f>
        <v/>
      </c>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IF(C885="","",ROW()-2)</f>
        <v/>
      </c>
      <c r="B885" s="977" t="n"/>
      <c r="C885" s="977" t="n"/>
      <c r="D885" s="978" t="n"/>
      <c r="E885" s="979" t="n"/>
      <c r="F885" s="980" t="n"/>
      <c r="G885" s="980" t="n"/>
      <c r="H885" s="981" t="n"/>
      <c r="I885" s="973" t="n"/>
      <c r="J885" s="973" t="n"/>
      <c r="K885" s="35">
        <f>IFERROR(I885+J885,0)</f>
        <v/>
      </c>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IF(C886="","",ROW()-2)</f>
        <v/>
      </c>
      <c r="B886" s="977" t="n"/>
      <c r="C886" s="977" t="n"/>
      <c r="D886" s="978" t="n"/>
      <c r="E886" s="979" t="n"/>
      <c r="F886" s="980" t="n"/>
      <c r="G886" s="980" t="n"/>
      <c r="H886" s="981" t="n"/>
      <c r="I886" s="973" t="n"/>
      <c r="J886" s="973" t="n"/>
      <c r="K886" s="35">
        <f>IFERROR(I886+J886,0)</f>
        <v/>
      </c>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IF(C887="","",ROW()-2)</f>
        <v/>
      </c>
      <c r="B887" s="977" t="n"/>
      <c r="C887" s="977" t="n"/>
      <c r="D887" s="978" t="n"/>
      <c r="E887" s="979" t="n"/>
      <c r="F887" s="980" t="n"/>
      <c r="G887" s="980" t="n"/>
      <c r="H887" s="981" t="n"/>
      <c r="I887" s="973" t="n"/>
      <c r="J887" s="973" t="n"/>
      <c r="K887" s="35">
        <f>IFERROR(I887+J887,0)</f>
        <v/>
      </c>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IF(C888="","",ROW()-2)</f>
        <v/>
      </c>
      <c r="B888" s="977" t="n"/>
      <c r="C888" s="977" t="n"/>
      <c r="D888" s="978" t="n"/>
      <c r="E888" s="979" t="n"/>
      <c r="F888" s="980" t="n"/>
      <c r="G888" s="980" t="n"/>
      <c r="H888" s="981" t="n"/>
      <c r="I888" s="973" t="n"/>
      <c r="J888" s="973" t="n"/>
      <c r="K888" s="35">
        <f>IFERROR(I888+J888,0)</f>
        <v/>
      </c>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IF(C889="","",ROW()-2)</f>
        <v/>
      </c>
      <c r="B889" s="977" t="n"/>
      <c r="C889" s="977" t="n"/>
      <c r="D889" s="978" t="n"/>
      <c r="E889" s="979" t="n"/>
      <c r="F889" s="980" t="n"/>
      <c r="G889" s="980" t="n"/>
      <c r="H889" s="981" t="n"/>
      <c r="I889" s="973" t="n"/>
      <c r="J889" s="973" t="n"/>
      <c r="K889" s="35">
        <f>IFERROR(I889+J889,0)</f>
        <v/>
      </c>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IF(C890="","",ROW()-2)</f>
        <v/>
      </c>
      <c r="B890" s="977" t="n"/>
      <c r="C890" s="977" t="n"/>
      <c r="D890" s="978" t="n"/>
      <c r="E890" s="979" t="n"/>
      <c r="F890" s="980" t="n"/>
      <c r="G890" s="980" t="n"/>
      <c r="H890" s="981" t="n"/>
      <c r="I890" s="973" t="n"/>
      <c r="J890" s="973" t="n"/>
      <c r="K890" s="35">
        <f>IFERROR(I890+J890,0)</f>
        <v/>
      </c>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IF(C891="","",ROW()-2)</f>
        <v/>
      </c>
      <c r="B891" s="977" t="n"/>
      <c r="C891" s="977" t="n"/>
      <c r="D891" s="978" t="n"/>
      <c r="E891" s="979" t="n"/>
      <c r="F891" s="980" t="n"/>
      <c r="G891" s="980" t="n"/>
      <c r="H891" s="981" t="n"/>
      <c r="I891" s="973" t="n"/>
      <c r="J891" s="973" t="n"/>
      <c r="K891" s="35">
        <f>IFERROR(I891+J891,0)</f>
        <v/>
      </c>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IF(C892="","",ROW()-2)</f>
        <v/>
      </c>
      <c r="B892" s="977" t="n"/>
      <c r="C892" s="977" t="n"/>
      <c r="D892" s="978" t="n"/>
      <c r="E892" s="979" t="n"/>
      <c r="F892" s="980" t="n"/>
      <c r="G892" s="980" t="n"/>
      <c r="H892" s="981" t="n"/>
      <c r="I892" s="973" t="n"/>
      <c r="J892" s="973" t="n"/>
      <c r="K892" s="35">
        <f>IFERROR(I892+J892,0)</f>
        <v/>
      </c>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IF(C893="","",ROW()-2)</f>
        <v/>
      </c>
      <c r="B893" s="977" t="n"/>
      <c r="C893" s="977" t="n"/>
      <c r="D893" s="978" t="n"/>
      <c r="E893" s="979" t="n"/>
      <c r="F893" s="980" t="n"/>
      <c r="G893" s="980" t="n"/>
      <c r="H893" s="981" t="n"/>
      <c r="I893" s="973" t="n"/>
      <c r="J893" s="973" t="n"/>
      <c r="K893" s="35">
        <f>IFERROR(I893+J893,0)</f>
        <v/>
      </c>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IF(C894="","",ROW()-2)</f>
        <v/>
      </c>
      <c r="B894" s="977" t="n"/>
      <c r="C894" s="977" t="n"/>
      <c r="D894" s="978" t="n"/>
      <c r="E894" s="979" t="n"/>
      <c r="F894" s="980" t="n"/>
      <c r="G894" s="980" t="n"/>
      <c r="H894" s="981" t="n"/>
      <c r="I894" s="973" t="n"/>
      <c r="J894" s="973" t="n"/>
      <c r="K894" s="35">
        <f>IFERROR(I894+J894,0)</f>
        <v/>
      </c>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IF(C895="","",ROW()-2)</f>
        <v/>
      </c>
      <c r="B895" s="977" t="n"/>
      <c r="C895" s="977" t="n"/>
      <c r="D895" s="978" t="n"/>
      <c r="E895" s="979" t="n"/>
      <c r="F895" s="980" t="n"/>
      <c r="G895" s="980" t="n"/>
      <c r="H895" s="981" t="n"/>
      <c r="I895" s="973" t="n"/>
      <c r="J895" s="973" t="n"/>
      <c r="K895" s="35">
        <f>IFERROR(I895+J895,0)</f>
        <v/>
      </c>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IF(C896="","",ROW()-2)</f>
        <v/>
      </c>
      <c r="B896" s="977" t="n"/>
      <c r="C896" s="977" t="n"/>
      <c r="D896" s="978" t="n"/>
      <c r="E896" s="979" t="n"/>
      <c r="F896" s="980" t="n"/>
      <c r="G896" s="980" t="n"/>
      <c r="H896" s="981" t="n"/>
      <c r="I896" s="973" t="n"/>
      <c r="J896" s="973" t="n"/>
      <c r="K896" s="35">
        <f>IFERROR(I896+J896,0)</f>
        <v/>
      </c>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IF(C897="","",ROW()-2)</f>
        <v/>
      </c>
      <c r="B897" s="977" t="n"/>
      <c r="C897" s="977" t="n"/>
      <c r="D897" s="978" t="n"/>
      <c r="E897" s="979" t="n"/>
      <c r="F897" s="980" t="n"/>
      <c r="G897" s="980" t="n"/>
      <c r="H897" s="981" t="n"/>
      <c r="I897" s="973" t="n"/>
      <c r="J897" s="973" t="n"/>
      <c r="K897" s="35">
        <f>IFERROR(I897+J897,0)</f>
        <v/>
      </c>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IF(C898="","",ROW()-2)</f>
        <v/>
      </c>
      <c r="B898" s="977" t="n"/>
      <c r="C898" s="977" t="n"/>
      <c r="D898" s="978" t="n"/>
      <c r="E898" s="979" t="n"/>
      <c r="F898" s="980" t="n"/>
      <c r="G898" s="980" t="n"/>
      <c r="H898" s="981" t="n"/>
      <c r="I898" s="973" t="n"/>
      <c r="J898" s="973" t="n"/>
      <c r="K898" s="35">
        <f>IFERROR(I898+J898,0)</f>
        <v/>
      </c>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IF(C899="","",ROW()-2)</f>
        <v/>
      </c>
      <c r="B899" s="977" t="n"/>
      <c r="C899" s="977" t="n"/>
      <c r="D899" s="978" t="n"/>
      <c r="E899" s="979" t="n"/>
      <c r="F899" s="980" t="n"/>
      <c r="G899" s="980" t="n"/>
      <c r="H899" s="981" t="n"/>
      <c r="I899" s="973" t="n"/>
      <c r="J899" s="973" t="n"/>
      <c r="K899" s="35">
        <f>IFERROR(I899+J899,0)</f>
        <v/>
      </c>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IF(C900="","",ROW()-2)</f>
        <v/>
      </c>
      <c r="B900" s="977" t="n"/>
      <c r="C900" s="977" t="n"/>
      <c r="D900" s="978" t="n"/>
      <c r="E900" s="979" t="n"/>
      <c r="F900" s="980" t="n"/>
      <c r="G900" s="980" t="n"/>
      <c r="H900" s="981" t="n"/>
      <c r="I900" s="973" t="n"/>
      <c r="J900" s="973" t="n"/>
      <c r="K900" s="35">
        <f>IFERROR(I900+J900,0)</f>
        <v/>
      </c>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IF(C901="","",ROW()-2)</f>
        <v/>
      </c>
      <c r="B901" s="977" t="n"/>
      <c r="C901" s="977" t="n"/>
      <c r="D901" s="978" t="n"/>
      <c r="E901" s="979" t="n"/>
      <c r="F901" s="980" t="n"/>
      <c r="G901" s="980" t="n"/>
      <c r="H901" s="981" t="n"/>
      <c r="I901" s="973" t="n"/>
      <c r="J901" s="973" t="n"/>
      <c r="K901" s="35">
        <f>IFERROR(I901+J901,0)</f>
        <v/>
      </c>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IF(C902="","",ROW()-2)</f>
        <v/>
      </c>
      <c r="B902" s="977" t="n"/>
      <c r="C902" s="977" t="n"/>
      <c r="D902" s="978" t="n"/>
      <c r="E902" s="979" t="n"/>
      <c r="F902" s="980" t="n"/>
      <c r="G902" s="980" t="n"/>
      <c r="H902" s="981" t="n"/>
      <c r="I902" s="973" t="n"/>
      <c r="J902" s="973" t="n"/>
      <c r="K902" s="35">
        <f>IFERROR(I902+J902,0)</f>
        <v/>
      </c>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IF(C903="","",ROW()-2)</f>
        <v/>
      </c>
      <c r="B903" s="977" t="n"/>
      <c r="C903" s="977" t="n"/>
      <c r="D903" s="978" t="n"/>
      <c r="E903" s="979" t="n"/>
      <c r="F903" s="980" t="n"/>
      <c r="G903" s="980" t="n"/>
      <c r="H903" s="981" t="n"/>
      <c r="I903" s="973" t="n"/>
      <c r="J903" s="973" t="n"/>
      <c r="K903" s="35">
        <f>IFERROR(I903+J903,0)</f>
        <v/>
      </c>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IF(C904="","",ROW()-2)</f>
        <v/>
      </c>
      <c r="B904" s="977" t="n"/>
      <c r="C904" s="977" t="n"/>
      <c r="D904" s="978" t="n"/>
      <c r="E904" s="979" t="n"/>
      <c r="F904" s="980" t="n"/>
      <c r="G904" s="980" t="n"/>
      <c r="H904" s="981" t="n"/>
      <c r="I904" s="973" t="n"/>
      <c r="J904" s="973" t="n"/>
      <c r="K904" s="35">
        <f>IFERROR(I904+J904,0)</f>
        <v/>
      </c>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IF(C905="","",ROW()-2)</f>
        <v/>
      </c>
      <c r="B905" s="977" t="n"/>
      <c r="C905" s="977" t="n"/>
      <c r="D905" s="978" t="n"/>
      <c r="E905" s="979" t="n"/>
      <c r="F905" s="980" t="n"/>
      <c r="G905" s="980" t="n"/>
      <c r="H905" s="981" t="n"/>
      <c r="I905" s="973" t="n"/>
      <c r="J905" s="973" t="n"/>
      <c r="K905" s="35">
        <f>IFERROR(I905+J905,0)</f>
        <v/>
      </c>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IF(C906="","",ROW()-2)</f>
        <v/>
      </c>
      <c r="B906" s="977" t="n"/>
      <c r="C906" s="977" t="n"/>
      <c r="D906" s="978" t="n"/>
      <c r="E906" s="979" t="n"/>
      <c r="F906" s="980" t="n"/>
      <c r="G906" s="980" t="n"/>
      <c r="H906" s="981" t="n"/>
      <c r="I906" s="973" t="n"/>
      <c r="J906" s="973" t="n"/>
      <c r="K906" s="35">
        <f>IFERROR(I906+J906,0)</f>
        <v/>
      </c>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IF(C907="","",ROW()-2)</f>
        <v/>
      </c>
      <c r="B907" s="977" t="n"/>
      <c r="C907" s="977" t="n"/>
      <c r="D907" s="978" t="n"/>
      <c r="E907" s="979" t="n"/>
      <c r="F907" s="980" t="n"/>
      <c r="G907" s="980" t="n"/>
      <c r="H907" s="981" t="n"/>
      <c r="I907" s="973" t="n"/>
      <c r="J907" s="973" t="n"/>
      <c r="K907" s="35">
        <f>IFERROR(I907+J907,0)</f>
        <v/>
      </c>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IF(C908="","",ROW()-2)</f>
        <v/>
      </c>
      <c r="B908" s="977" t="n"/>
      <c r="C908" s="977" t="n"/>
      <c r="D908" s="978" t="n"/>
      <c r="E908" s="979" t="n"/>
      <c r="F908" s="980" t="n"/>
      <c r="G908" s="980" t="n"/>
      <c r="H908" s="981" t="n"/>
      <c r="I908" s="973" t="n"/>
      <c r="J908" s="973" t="n"/>
      <c r="K908" s="35">
        <f>IFERROR(I908+J908,0)</f>
        <v/>
      </c>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IF(C909="","",ROW()-2)</f>
        <v/>
      </c>
      <c r="B909" s="977" t="n"/>
      <c r="C909" s="977" t="n"/>
      <c r="D909" s="978" t="n"/>
      <c r="E909" s="979" t="n"/>
      <c r="F909" s="980" t="n"/>
      <c r="G909" s="980" t="n"/>
      <c r="H909" s="981" t="n"/>
      <c r="I909" s="973" t="n"/>
      <c r="J909" s="973" t="n"/>
      <c r="K909" s="35">
        <f>IFERROR(I909+J909,0)</f>
        <v/>
      </c>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IF(C910="","",ROW()-2)</f>
        <v/>
      </c>
      <c r="B910" s="977" t="n"/>
      <c r="C910" s="977" t="n"/>
      <c r="D910" s="978" t="n"/>
      <c r="E910" s="979" t="n"/>
      <c r="F910" s="980" t="n"/>
      <c r="G910" s="980" t="n"/>
      <c r="H910" s="981" t="n"/>
      <c r="I910" s="973" t="n"/>
      <c r="J910" s="973" t="n"/>
      <c r="K910" s="35">
        <f>IFERROR(I910+J910,0)</f>
        <v/>
      </c>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IF(C911="","",ROW()-2)</f>
        <v/>
      </c>
      <c r="B911" s="977" t="n"/>
      <c r="C911" s="977" t="n"/>
      <c r="D911" s="978" t="n"/>
      <c r="E911" s="979" t="n"/>
      <c r="F911" s="980" t="n"/>
      <c r="G911" s="980" t="n"/>
      <c r="H911" s="981" t="n"/>
      <c r="I911" s="973" t="n"/>
      <c r="J911" s="973" t="n"/>
      <c r="K911" s="35">
        <f>IFERROR(I911+J911,0)</f>
        <v/>
      </c>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IF(C912="","",ROW()-2)</f>
        <v/>
      </c>
      <c r="B912" s="977" t="n"/>
      <c r="C912" s="977" t="n"/>
      <c r="D912" s="978" t="n"/>
      <c r="E912" s="979" t="n"/>
      <c r="F912" s="980" t="n"/>
      <c r="G912" s="980" t="n"/>
      <c r="H912" s="981" t="n"/>
      <c r="I912" s="973" t="n"/>
      <c r="J912" s="973" t="n"/>
      <c r="K912" s="35">
        <f>IFERROR(I912+J912,0)</f>
        <v/>
      </c>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IF(C913="","",ROW()-2)</f>
        <v/>
      </c>
      <c r="B913" s="977" t="n"/>
      <c r="C913" s="977" t="n"/>
      <c r="D913" s="978" t="n"/>
      <c r="E913" s="979" t="n"/>
      <c r="F913" s="980" t="n"/>
      <c r="G913" s="980" t="n"/>
      <c r="H913" s="981" t="n"/>
      <c r="I913" s="973" t="n"/>
      <c r="J913" s="973" t="n"/>
      <c r="K913" s="35">
        <f>IFERROR(I913+J913,0)</f>
        <v/>
      </c>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IF(C914="","",ROW()-2)</f>
        <v/>
      </c>
      <c r="B914" s="977" t="n"/>
      <c r="C914" s="977" t="n"/>
      <c r="D914" s="978" t="n"/>
      <c r="E914" s="979" t="n"/>
      <c r="F914" s="980" t="n"/>
      <c r="G914" s="980" t="n"/>
      <c r="H914" s="981" t="n"/>
      <c r="I914" s="973" t="n"/>
      <c r="J914" s="973" t="n"/>
      <c r="K914" s="35">
        <f>IFERROR(I914+J914,0)</f>
        <v/>
      </c>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IF(C915="","",ROW()-2)</f>
        <v/>
      </c>
      <c r="B915" s="977" t="n"/>
      <c r="C915" s="977" t="n"/>
      <c r="D915" s="978" t="n"/>
      <c r="E915" s="979" t="n"/>
      <c r="F915" s="980" t="n"/>
      <c r="G915" s="980" t="n"/>
      <c r="H915" s="981" t="n"/>
      <c r="I915" s="973" t="n"/>
      <c r="J915" s="973" t="n"/>
      <c r="K915" s="35">
        <f>IFERROR(I915+J915,0)</f>
        <v/>
      </c>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IF(C916="","",ROW()-2)</f>
        <v/>
      </c>
      <c r="B916" s="977" t="n"/>
      <c r="C916" s="977" t="n"/>
      <c r="D916" s="978" t="n"/>
      <c r="E916" s="979" t="n"/>
      <c r="F916" s="980" t="n"/>
      <c r="G916" s="980" t="n"/>
      <c r="H916" s="981" t="n"/>
      <c r="I916" s="973" t="n"/>
      <c r="J916" s="973" t="n"/>
      <c r="K916" s="35">
        <f>IFERROR(I916+J916,0)</f>
        <v/>
      </c>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IF(C917="","",ROW()-2)</f>
        <v/>
      </c>
      <c r="B917" s="977" t="n"/>
      <c r="C917" s="977" t="n"/>
      <c r="D917" s="978" t="n"/>
      <c r="E917" s="979" t="n"/>
      <c r="F917" s="980" t="n"/>
      <c r="G917" s="980" t="n"/>
      <c r="H917" s="981" t="n"/>
      <c r="I917" s="973" t="n"/>
      <c r="J917" s="973" t="n"/>
      <c r="K917" s="35">
        <f>IFERROR(I917+J917,0)</f>
        <v/>
      </c>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IF(C918="","",ROW()-2)</f>
        <v/>
      </c>
      <c r="B918" s="977" t="n"/>
      <c r="C918" s="977" t="n"/>
      <c r="D918" s="978" t="n"/>
      <c r="E918" s="979" t="n"/>
      <c r="F918" s="980" t="n"/>
      <c r="G918" s="980" t="n"/>
      <c r="H918" s="981" t="n"/>
      <c r="I918" s="973" t="n"/>
      <c r="J918" s="973" t="n"/>
      <c r="K918" s="35">
        <f>IFERROR(I918+J918,0)</f>
        <v/>
      </c>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IF(C919="","",ROW()-2)</f>
        <v/>
      </c>
      <c r="B919" s="977" t="n"/>
      <c r="C919" s="977" t="n"/>
      <c r="D919" s="978" t="n"/>
      <c r="E919" s="979" t="n"/>
      <c r="F919" s="980" t="n"/>
      <c r="G919" s="980" t="n"/>
      <c r="H919" s="981" t="n"/>
      <c r="I919" s="973" t="n"/>
      <c r="J919" s="973" t="n"/>
      <c r="K919" s="35">
        <f>IFERROR(I919+J919,0)</f>
        <v/>
      </c>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IF(C920="","",ROW()-2)</f>
        <v/>
      </c>
      <c r="B920" s="977" t="n"/>
      <c r="C920" s="977" t="n"/>
      <c r="D920" s="978" t="n"/>
      <c r="E920" s="979" t="n"/>
      <c r="F920" s="980" t="n"/>
      <c r="G920" s="980" t="n"/>
      <c r="H920" s="981" t="n"/>
      <c r="I920" s="973" t="n"/>
      <c r="J920" s="973" t="n"/>
      <c r="K920" s="35">
        <f>IFERROR(I920+J920,0)</f>
        <v/>
      </c>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IF(C921="","",ROW()-2)</f>
        <v/>
      </c>
      <c r="B921" s="977" t="n"/>
      <c r="C921" s="977" t="n"/>
      <c r="D921" s="978" t="n"/>
      <c r="E921" s="979" t="n"/>
      <c r="F921" s="980" t="n"/>
      <c r="G921" s="980" t="n"/>
      <c r="H921" s="981" t="n"/>
      <c r="I921" s="973" t="n"/>
      <c r="J921" s="973" t="n"/>
      <c r="K921" s="35">
        <f>IFERROR(I921+J921,0)</f>
        <v/>
      </c>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IF(C922="","",ROW()-2)</f>
        <v/>
      </c>
      <c r="B922" s="977" t="n"/>
      <c r="C922" s="977" t="n"/>
      <c r="D922" s="978" t="n"/>
      <c r="E922" s="979" t="n"/>
      <c r="F922" s="980" t="n"/>
      <c r="G922" s="980" t="n"/>
      <c r="H922" s="981" t="n"/>
      <c r="I922" s="973" t="n"/>
      <c r="J922" s="973" t="n"/>
      <c r="K922" s="35">
        <f>IFERROR(I922+J922,0)</f>
        <v/>
      </c>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IF(C923="","",ROW()-2)</f>
        <v/>
      </c>
      <c r="B923" s="977" t="n"/>
      <c r="C923" s="977" t="n"/>
      <c r="D923" s="978" t="n"/>
      <c r="E923" s="979" t="n"/>
      <c r="F923" s="980" t="n"/>
      <c r="G923" s="980" t="n"/>
      <c r="H923" s="981" t="n"/>
      <c r="I923" s="973" t="n"/>
      <c r="J923" s="973" t="n"/>
      <c r="K923" s="35">
        <f>IFERROR(I923+J923,0)</f>
        <v/>
      </c>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IF(C924="","",ROW()-2)</f>
        <v/>
      </c>
      <c r="B924" s="977" t="n"/>
      <c r="C924" s="977" t="n"/>
      <c r="D924" s="978" t="n"/>
      <c r="E924" s="979" t="n"/>
      <c r="F924" s="980" t="n"/>
      <c r="G924" s="980" t="n"/>
      <c r="H924" s="981" t="n"/>
      <c r="I924" s="973" t="n"/>
      <c r="J924" s="973" t="n"/>
      <c r="K924" s="35">
        <f>IFERROR(I924+J924,0)</f>
        <v/>
      </c>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IF(C925="","",ROW()-2)</f>
        <v/>
      </c>
      <c r="B925" s="977" t="n"/>
      <c r="C925" s="977" t="n"/>
      <c r="D925" s="978" t="n"/>
      <c r="E925" s="979" t="n"/>
      <c r="F925" s="980" t="n"/>
      <c r="G925" s="980" t="n"/>
      <c r="H925" s="981" t="n"/>
      <c r="I925" s="973" t="n"/>
      <c r="J925" s="973" t="n"/>
      <c r="K925" s="35">
        <f>IFERROR(I925+J925,0)</f>
        <v/>
      </c>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IF(C926="","",ROW()-2)</f>
        <v/>
      </c>
      <c r="B926" s="977" t="n"/>
      <c r="C926" s="977" t="n"/>
      <c r="D926" s="978" t="n"/>
      <c r="E926" s="979" t="n"/>
      <c r="F926" s="980" t="n"/>
      <c r="G926" s="980" t="n"/>
      <c r="H926" s="981" t="n"/>
      <c r="I926" s="973" t="n"/>
      <c r="J926" s="973" t="n"/>
      <c r="K926" s="35">
        <f>IFERROR(I926+J926,0)</f>
        <v/>
      </c>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IF(C927="","",ROW()-2)</f>
        <v/>
      </c>
      <c r="B927" s="977" t="n"/>
      <c r="C927" s="977" t="n"/>
      <c r="D927" s="978" t="n"/>
      <c r="E927" s="979" t="n"/>
      <c r="F927" s="980" t="n"/>
      <c r="G927" s="980" t="n"/>
      <c r="H927" s="981" t="n"/>
      <c r="I927" s="973" t="n"/>
      <c r="J927" s="973" t="n"/>
      <c r="K927" s="35">
        <f>IFERROR(I927+J927,0)</f>
        <v/>
      </c>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IF(C928="","",ROW()-2)</f>
        <v/>
      </c>
      <c r="B928" s="977" t="n"/>
      <c r="C928" s="977" t="n"/>
      <c r="D928" s="978" t="n"/>
      <c r="E928" s="979" t="n"/>
      <c r="F928" s="980" t="n"/>
      <c r="G928" s="980" t="n"/>
      <c r="H928" s="981" t="n"/>
      <c r="I928" s="973" t="n"/>
      <c r="J928" s="973" t="n"/>
      <c r="K928" s="35">
        <f>IFERROR(I928+J928,0)</f>
        <v/>
      </c>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IF(C929="","",ROW()-2)</f>
        <v/>
      </c>
      <c r="B929" s="977" t="n"/>
      <c r="C929" s="977" t="n"/>
      <c r="D929" s="978" t="n"/>
      <c r="E929" s="979" t="n"/>
      <c r="F929" s="980" t="n"/>
      <c r="G929" s="980" t="n"/>
      <c r="H929" s="981" t="n"/>
      <c r="I929" s="973" t="n"/>
      <c r="J929" s="973" t="n"/>
      <c r="K929" s="35">
        <f>IFERROR(I929+J929,0)</f>
        <v/>
      </c>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IF(C930="","",ROW()-2)</f>
        <v/>
      </c>
      <c r="B930" s="977" t="n"/>
      <c r="C930" s="977" t="n"/>
      <c r="D930" s="978" t="n"/>
      <c r="E930" s="979" t="n"/>
      <c r="F930" s="980" t="n"/>
      <c r="G930" s="980" t="n"/>
      <c r="H930" s="981" t="n"/>
      <c r="I930" s="973" t="n"/>
      <c r="J930" s="973" t="n"/>
      <c r="K930" s="35">
        <f>IFERROR(I930+J930,0)</f>
        <v/>
      </c>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IF(C931="","",ROW()-2)</f>
        <v/>
      </c>
      <c r="B931" s="977" t="n"/>
      <c r="C931" s="977" t="n"/>
      <c r="D931" s="978" t="n"/>
      <c r="E931" s="979" t="n"/>
      <c r="F931" s="980" t="n"/>
      <c r="G931" s="980" t="n"/>
      <c r="H931" s="981" t="n"/>
      <c r="I931" s="973" t="n"/>
      <c r="J931" s="973" t="n"/>
      <c r="K931" s="35">
        <f>IFERROR(I931+J931,0)</f>
        <v/>
      </c>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IF(C932="","",ROW()-2)</f>
        <v/>
      </c>
      <c r="B932" s="977" t="n"/>
      <c r="C932" s="977" t="n"/>
      <c r="D932" s="978" t="n"/>
      <c r="E932" s="979" t="n"/>
      <c r="F932" s="980" t="n"/>
      <c r="G932" s="980" t="n"/>
      <c r="H932" s="981" t="n"/>
      <c r="I932" s="973" t="n"/>
      <c r="J932" s="973" t="n"/>
      <c r="K932" s="35">
        <f>IFERROR(I932+J932,0)</f>
        <v/>
      </c>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IF(C933="","",ROW()-2)</f>
        <v/>
      </c>
      <c r="B933" s="977" t="n"/>
      <c r="C933" s="977" t="n"/>
      <c r="D933" s="978" t="n"/>
      <c r="E933" s="979" t="n"/>
      <c r="F933" s="980" t="n"/>
      <c r="G933" s="980" t="n"/>
      <c r="H933" s="981" t="n"/>
      <c r="I933" s="973" t="n"/>
      <c r="J933" s="973" t="n"/>
      <c r="K933" s="35">
        <f>IFERROR(I933+J933,0)</f>
        <v/>
      </c>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IF(C934="","",ROW()-2)</f>
        <v/>
      </c>
      <c r="B934" s="977" t="n"/>
      <c r="C934" s="977" t="n"/>
      <c r="D934" s="978" t="n"/>
      <c r="E934" s="979" t="n"/>
      <c r="F934" s="980" t="n"/>
      <c r="G934" s="980" t="n"/>
      <c r="H934" s="981" t="n"/>
      <c r="I934" s="973" t="n"/>
      <c r="J934" s="973" t="n"/>
      <c r="K934" s="35">
        <f>IFERROR(I934+J934,0)</f>
        <v/>
      </c>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IF(C935="","",ROW()-2)</f>
        <v/>
      </c>
      <c r="B935" s="977" t="n"/>
      <c r="C935" s="977" t="n"/>
      <c r="D935" s="978" t="n"/>
      <c r="E935" s="979" t="n"/>
      <c r="F935" s="980" t="n"/>
      <c r="G935" s="980" t="n"/>
      <c r="H935" s="981" t="n"/>
      <c r="I935" s="973" t="n"/>
      <c r="J935" s="973" t="n"/>
      <c r="K935" s="35">
        <f>IFERROR(I935+J935,0)</f>
        <v/>
      </c>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IF(C936="","",ROW()-2)</f>
        <v/>
      </c>
      <c r="B936" s="977" t="n"/>
      <c r="C936" s="977" t="n"/>
      <c r="D936" s="978" t="n"/>
      <c r="E936" s="979" t="n"/>
      <c r="F936" s="980" t="n"/>
      <c r="G936" s="980" t="n"/>
      <c r="H936" s="981" t="n"/>
      <c r="I936" s="973" t="n"/>
      <c r="J936" s="973" t="n"/>
      <c r="K936" s="35">
        <f>IFERROR(I936+J936,0)</f>
        <v/>
      </c>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IF(C937="","",ROW()-2)</f>
        <v/>
      </c>
      <c r="B937" s="977" t="n"/>
      <c r="C937" s="977" t="n"/>
      <c r="D937" s="978" t="n"/>
      <c r="E937" s="979" t="n"/>
      <c r="F937" s="980" t="n"/>
      <c r="G937" s="980" t="n"/>
      <c r="H937" s="981" t="n"/>
      <c r="I937" s="973" t="n"/>
      <c r="J937" s="973" t="n"/>
      <c r="K937" s="35">
        <f>IFERROR(I937+J937,0)</f>
        <v/>
      </c>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IF(C938="","",ROW()-2)</f>
        <v/>
      </c>
      <c r="B938" s="977" t="n"/>
      <c r="C938" s="977" t="n"/>
      <c r="D938" s="978" t="n"/>
      <c r="E938" s="979" t="n"/>
      <c r="F938" s="980" t="n"/>
      <c r="G938" s="980" t="n"/>
      <c r="H938" s="981" t="n"/>
      <c r="I938" s="973" t="n"/>
      <c r="J938" s="973" t="n"/>
      <c r="K938" s="35">
        <f>IFERROR(I938+J938,0)</f>
        <v/>
      </c>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IF(C939="","",ROW()-2)</f>
        <v/>
      </c>
      <c r="B939" s="977" t="n"/>
      <c r="C939" s="977" t="n"/>
      <c r="D939" s="978" t="n"/>
      <c r="E939" s="979" t="n"/>
      <c r="F939" s="980" t="n"/>
      <c r="G939" s="980" t="n"/>
      <c r="H939" s="981" t="n"/>
      <c r="I939" s="973" t="n"/>
      <c r="J939" s="973" t="n"/>
      <c r="K939" s="35">
        <f>IFERROR(I939+J939,0)</f>
        <v/>
      </c>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IF(C940="","",ROW()-2)</f>
        <v/>
      </c>
      <c r="B940" s="977" t="n"/>
      <c r="C940" s="977" t="n"/>
      <c r="D940" s="978" t="n"/>
      <c r="E940" s="979" t="n"/>
      <c r="F940" s="980" t="n"/>
      <c r="G940" s="980" t="n"/>
      <c r="H940" s="981" t="n"/>
      <c r="I940" s="973" t="n"/>
      <c r="J940" s="973" t="n"/>
      <c r="K940" s="35">
        <f>IFERROR(I940+J940,0)</f>
        <v/>
      </c>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IF(C941="","",ROW()-2)</f>
        <v/>
      </c>
      <c r="B941" s="977" t="n"/>
      <c r="C941" s="977" t="n"/>
      <c r="D941" s="978" t="n"/>
      <c r="E941" s="979" t="n"/>
      <c r="F941" s="980" t="n"/>
      <c r="G941" s="980" t="n"/>
      <c r="H941" s="981" t="n"/>
      <c r="I941" s="973" t="n"/>
      <c r="J941" s="973" t="n"/>
      <c r="K941" s="35">
        <f>IFERROR(I941+J941,0)</f>
        <v/>
      </c>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IF(C942="","",ROW()-2)</f>
        <v/>
      </c>
      <c r="B942" s="977" t="n"/>
      <c r="C942" s="977" t="n"/>
      <c r="D942" s="978" t="n"/>
      <c r="E942" s="979" t="n"/>
      <c r="F942" s="980" t="n"/>
      <c r="G942" s="980" t="n"/>
      <c r="H942" s="981" t="n"/>
      <c r="I942" s="973" t="n"/>
      <c r="J942" s="973" t="n"/>
      <c r="K942" s="35">
        <f>IFERROR(I942+J942,0)</f>
        <v/>
      </c>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IF(C943="","",ROW()-2)</f>
        <v/>
      </c>
      <c r="B943" s="977" t="n"/>
      <c r="C943" s="977" t="n"/>
      <c r="D943" s="978" t="n"/>
      <c r="E943" s="979" t="n"/>
      <c r="F943" s="980" t="n"/>
      <c r="G943" s="980" t="n"/>
      <c r="H943" s="981" t="n"/>
      <c r="I943" s="973" t="n"/>
      <c r="J943" s="973" t="n"/>
      <c r="K943" s="35">
        <f>IFERROR(I943+J943,0)</f>
        <v/>
      </c>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IF(C944="","",ROW()-2)</f>
        <v/>
      </c>
      <c r="B944" s="977" t="n"/>
      <c r="C944" s="977" t="n"/>
      <c r="D944" s="978" t="n"/>
      <c r="E944" s="979" t="n"/>
      <c r="F944" s="980" t="n"/>
      <c r="G944" s="980" t="n"/>
      <c r="H944" s="981" t="n"/>
      <c r="I944" s="973" t="n"/>
      <c r="J944" s="973" t="n"/>
      <c r="K944" s="35">
        <f>IFERROR(I944+J944,0)</f>
        <v/>
      </c>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IF(C945="","",ROW()-2)</f>
        <v/>
      </c>
      <c r="B945" s="977" t="n"/>
      <c r="C945" s="977" t="n"/>
      <c r="D945" s="978" t="n"/>
      <c r="E945" s="979" t="n"/>
      <c r="F945" s="980" t="n"/>
      <c r="G945" s="980" t="n"/>
      <c r="H945" s="981" t="n"/>
      <c r="I945" s="973" t="n"/>
      <c r="J945" s="973" t="n"/>
      <c r="K945" s="35">
        <f>IFERROR(I945+J945,0)</f>
        <v/>
      </c>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IF(C946="","",ROW()-2)</f>
        <v/>
      </c>
      <c r="B946" s="977" t="n"/>
      <c r="C946" s="977" t="n"/>
      <c r="D946" s="978" t="n"/>
      <c r="E946" s="979" t="n"/>
      <c r="F946" s="980" t="n"/>
      <c r="G946" s="980" t="n"/>
      <c r="H946" s="981" t="n"/>
      <c r="I946" s="973" t="n"/>
      <c r="J946" s="973" t="n"/>
      <c r="K946" s="35">
        <f>IFERROR(I946+J946,0)</f>
        <v/>
      </c>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IF(C947="","",ROW()-2)</f>
        <v/>
      </c>
      <c r="B947" s="977" t="n"/>
      <c r="C947" s="977" t="n"/>
      <c r="D947" s="978" t="n"/>
      <c r="E947" s="979" t="n"/>
      <c r="F947" s="980" t="n"/>
      <c r="G947" s="980" t="n"/>
      <c r="H947" s="981" t="n"/>
      <c r="I947" s="973" t="n"/>
      <c r="J947" s="973" t="n"/>
      <c r="K947" s="35">
        <f>IFERROR(I947+J947,0)</f>
        <v/>
      </c>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IF(C948="","",ROW()-2)</f>
        <v/>
      </c>
      <c r="B948" s="977" t="n"/>
      <c r="C948" s="977" t="n"/>
      <c r="D948" s="978" t="n"/>
      <c r="E948" s="979" t="n"/>
      <c r="F948" s="980" t="n"/>
      <c r="G948" s="980" t="n"/>
      <c r="H948" s="981" t="n"/>
      <c r="I948" s="973" t="n"/>
      <c r="J948" s="973" t="n"/>
      <c r="K948" s="35">
        <f>IFERROR(I948+J948,0)</f>
        <v/>
      </c>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IF(C949="","",ROW()-2)</f>
        <v/>
      </c>
      <c r="B949" s="977" t="n"/>
      <c r="C949" s="977" t="n"/>
      <c r="D949" s="978" t="n"/>
      <c r="E949" s="979" t="n"/>
      <c r="F949" s="980" t="n"/>
      <c r="G949" s="980" t="n"/>
      <c r="H949" s="981" t="n"/>
      <c r="I949" s="973" t="n"/>
      <c r="J949" s="973" t="n"/>
      <c r="K949" s="35">
        <f>IFERROR(I949+J949,0)</f>
        <v/>
      </c>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IF(C950="","",ROW()-2)</f>
        <v/>
      </c>
      <c r="B950" s="977" t="n"/>
      <c r="C950" s="977" t="n"/>
      <c r="D950" s="978" t="n"/>
      <c r="E950" s="979" t="n"/>
      <c r="F950" s="980" t="n"/>
      <c r="G950" s="980" t="n"/>
      <c r="H950" s="981" t="n"/>
      <c r="I950" s="973" t="n"/>
      <c r="J950" s="973" t="n"/>
      <c r="K950" s="35">
        <f>IFERROR(I950+J950,0)</f>
        <v/>
      </c>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IF(C951="","",ROW()-2)</f>
        <v/>
      </c>
      <c r="B951" s="977" t="n"/>
      <c r="C951" s="977" t="n"/>
      <c r="D951" s="978" t="n"/>
      <c r="E951" s="979" t="n"/>
      <c r="F951" s="980" t="n"/>
      <c r="G951" s="980" t="n"/>
      <c r="H951" s="981" t="n"/>
      <c r="I951" s="973" t="n"/>
      <c r="J951" s="973" t="n"/>
      <c r="K951" s="35">
        <f>IFERROR(I951+J951,0)</f>
        <v/>
      </c>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IF(C952="","",ROW()-2)</f>
        <v/>
      </c>
      <c r="B952" s="977" t="n"/>
      <c r="C952" s="977" t="n"/>
      <c r="D952" s="978" t="n"/>
      <c r="E952" s="979" t="n"/>
      <c r="F952" s="980" t="n"/>
      <c r="G952" s="980" t="n"/>
      <c r="H952" s="981" t="n"/>
      <c r="I952" s="973" t="n"/>
      <c r="J952" s="973" t="n"/>
      <c r="K952" s="35">
        <f>IFERROR(I952+J952,0)</f>
        <v/>
      </c>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IF(C953="","",ROW()-2)</f>
        <v/>
      </c>
      <c r="B953" s="977" t="n"/>
      <c r="C953" s="977" t="n"/>
      <c r="D953" s="978" t="n"/>
      <c r="E953" s="979" t="n"/>
      <c r="F953" s="980" t="n"/>
      <c r="G953" s="980" t="n"/>
      <c r="H953" s="981" t="n"/>
      <c r="I953" s="973" t="n"/>
      <c r="J953" s="973" t="n"/>
      <c r="K953" s="35">
        <f>IFERROR(I953+J953,0)</f>
        <v/>
      </c>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IF(C954="","",ROW()-2)</f>
        <v/>
      </c>
      <c r="B954" s="977" t="n"/>
      <c r="C954" s="977" t="n"/>
      <c r="D954" s="978" t="n"/>
      <c r="E954" s="979" t="n"/>
      <c r="F954" s="980" t="n"/>
      <c r="G954" s="980" t="n"/>
      <c r="H954" s="981" t="n"/>
      <c r="I954" s="973" t="n"/>
      <c r="J954" s="973" t="n"/>
      <c r="K954" s="35">
        <f>IFERROR(I954+J954,0)</f>
        <v/>
      </c>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IF(C955="","",ROW()-2)</f>
        <v/>
      </c>
      <c r="B955" s="977" t="n"/>
      <c r="C955" s="977" t="n"/>
      <c r="D955" s="978" t="n"/>
      <c r="E955" s="979" t="n"/>
      <c r="F955" s="980" t="n"/>
      <c r="G955" s="980" t="n"/>
      <c r="H955" s="981" t="n"/>
      <c r="I955" s="973" t="n"/>
      <c r="J955" s="973" t="n"/>
      <c r="K955" s="35">
        <f>IFERROR(I955+J955,0)</f>
        <v/>
      </c>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IF(C956="","",ROW()-2)</f>
        <v/>
      </c>
      <c r="B956" s="977" t="n"/>
      <c r="C956" s="977" t="n"/>
      <c r="D956" s="978" t="n"/>
      <c r="E956" s="979" t="n"/>
      <c r="F956" s="980" t="n"/>
      <c r="G956" s="980" t="n"/>
      <c r="H956" s="981" t="n"/>
      <c r="I956" s="973" t="n"/>
      <c r="J956" s="973" t="n"/>
      <c r="K956" s="35">
        <f>IFERROR(I956+J956,0)</f>
        <v/>
      </c>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IF(C957="","",ROW()-2)</f>
        <v/>
      </c>
      <c r="B957" s="977" t="n"/>
      <c r="C957" s="977" t="n"/>
      <c r="D957" s="978" t="n"/>
      <c r="E957" s="979" t="n"/>
      <c r="F957" s="980" t="n"/>
      <c r="G957" s="980" t="n"/>
      <c r="H957" s="981" t="n"/>
      <c r="I957" s="973" t="n"/>
      <c r="J957" s="973" t="n"/>
      <c r="K957" s="35">
        <f>IFERROR(I957+J957,0)</f>
        <v/>
      </c>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IF(C958="","",ROW()-2)</f>
        <v/>
      </c>
      <c r="B958" s="977" t="n"/>
      <c r="C958" s="977" t="n"/>
      <c r="D958" s="978" t="n"/>
      <c r="E958" s="979" t="n"/>
      <c r="F958" s="980" t="n"/>
      <c r="G958" s="980" t="n"/>
      <c r="H958" s="981" t="n"/>
      <c r="I958" s="973" t="n"/>
      <c r="J958" s="973" t="n"/>
      <c r="K958" s="35">
        <f>IFERROR(I958+J958,0)</f>
        <v/>
      </c>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IF(C959="","",ROW()-2)</f>
        <v/>
      </c>
      <c r="B959" s="977" t="n"/>
      <c r="C959" s="977" t="n"/>
      <c r="D959" s="978" t="n"/>
      <c r="E959" s="979" t="n"/>
      <c r="F959" s="980" t="n"/>
      <c r="G959" s="980" t="n"/>
      <c r="H959" s="981" t="n"/>
      <c r="I959" s="973" t="n"/>
      <c r="J959" s="973" t="n"/>
      <c r="K959" s="35">
        <f>IFERROR(I959+J959,0)</f>
        <v/>
      </c>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IF(C960="","",ROW()-2)</f>
        <v/>
      </c>
      <c r="B960" s="977" t="n"/>
      <c r="C960" s="977" t="n"/>
      <c r="D960" s="978" t="n"/>
      <c r="E960" s="979" t="n"/>
      <c r="F960" s="980" t="n"/>
      <c r="G960" s="980" t="n"/>
      <c r="H960" s="981" t="n"/>
      <c r="I960" s="973" t="n"/>
      <c r="J960" s="973" t="n"/>
      <c r="K960" s="35">
        <f>IFERROR(I960+J960,0)</f>
        <v/>
      </c>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IF(C961="","",ROW()-2)</f>
        <v/>
      </c>
      <c r="B961" s="977" t="n"/>
      <c r="C961" s="977" t="n"/>
      <c r="D961" s="978" t="n"/>
      <c r="E961" s="979" t="n"/>
      <c r="F961" s="980" t="n"/>
      <c r="G961" s="980" t="n"/>
      <c r="H961" s="981" t="n"/>
      <c r="I961" s="973" t="n"/>
      <c r="J961" s="973" t="n"/>
      <c r="K961" s="35">
        <f>IFERROR(I961+J961,0)</f>
        <v/>
      </c>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IF(C962="","",ROW()-2)</f>
        <v/>
      </c>
      <c r="B962" s="977" t="n"/>
      <c r="C962" s="977" t="n"/>
      <c r="D962" s="978" t="n"/>
      <c r="E962" s="979" t="n"/>
      <c r="F962" s="980" t="n"/>
      <c r="G962" s="980" t="n"/>
      <c r="H962" s="981" t="n"/>
      <c r="I962" s="973" t="n"/>
      <c r="J962" s="973" t="n"/>
      <c r="K962" s="35">
        <f>IFERROR(I962+J962,0)</f>
        <v/>
      </c>
    </row>
    <row r="963" ht="14.45" customHeight="1">
      <c r="A963" s="824">
        <f>IF(C963="","",ROW()-2)</f>
        <v/>
      </c>
      <c r="B963" s="977" t="n"/>
      <c r="C963" s="977" t="n"/>
      <c r="D963" s="978" t="n"/>
      <c r="E963" s="979" t="n"/>
      <c r="F963" s="980" t="n"/>
      <c r="G963" s="980" t="n"/>
      <c r="H963" s="981" t="n"/>
      <c r="I963" s="973" t="n"/>
      <c r="J963" s="973" t="n"/>
      <c r="K963" s="35">
        <f>IFERROR(I963+J963,0)</f>
        <v/>
      </c>
    </row>
    <row r="964" ht="14.45" customHeight="1">
      <c r="A964" s="824">
        <f>IF(C964="","",ROW()-2)</f>
        <v/>
      </c>
      <c r="B964" s="977" t="n"/>
      <c r="C964" s="977" t="n"/>
      <c r="D964" s="978" t="n"/>
      <c r="E964" s="979" t="n"/>
      <c r="F964" s="980" t="n"/>
      <c r="G964" s="980" t="n"/>
      <c r="H964" s="981" t="n"/>
      <c r="I964" s="973" t="n"/>
      <c r="J964" s="973" t="n"/>
      <c r="K964" s="35">
        <f>IFERROR(I964+J964,0)</f>
        <v/>
      </c>
    </row>
    <row r="965" ht="14.45" customHeight="1">
      <c r="A965" s="824">
        <f>IF(C965="","",ROW()-2)</f>
        <v/>
      </c>
      <c r="B965" s="977" t="n"/>
      <c r="C965" s="977" t="n"/>
      <c r="D965" s="978" t="n"/>
      <c r="E965" s="979" t="n"/>
      <c r="F965" s="980" t="n"/>
      <c r="G965" s="980" t="n"/>
      <c r="H965" s="981" t="n"/>
      <c r="I965" s="973" t="n"/>
      <c r="J965" s="973" t="n"/>
      <c r="K965" s="35">
        <f>IFERROR(I965+J965,0)</f>
        <v/>
      </c>
    </row>
    <row r="966" ht="14.45" customHeight="1">
      <c r="A966" s="824">
        <f>IF(C966="","",ROW()-2)</f>
        <v/>
      </c>
      <c r="B966" s="977" t="n"/>
      <c r="C966" s="977" t="n"/>
      <c r="D966" s="978" t="n"/>
      <c r="E966" s="979" t="n"/>
      <c r="F966" s="980" t="n"/>
      <c r="G966" s="980" t="n"/>
      <c r="H966" s="981" t="n"/>
      <c r="I966" s="973" t="n"/>
      <c r="J966" s="973" t="n"/>
      <c r="K966" s="35">
        <f>IFERROR(I966+J966,0)</f>
        <v/>
      </c>
    </row>
    <row r="967" ht="14.45" customHeight="1">
      <c r="A967" s="824">
        <f>IF(C967="","",ROW()-2)</f>
        <v/>
      </c>
      <c r="B967" s="977" t="n"/>
      <c r="C967" s="977" t="n"/>
      <c r="D967" s="978" t="n"/>
      <c r="E967" s="979" t="n"/>
      <c r="F967" s="980" t="n"/>
      <c r="G967" s="980" t="n"/>
      <c r="H967" s="981" t="n"/>
      <c r="I967" s="973" t="n"/>
      <c r="J967" s="973" t="n"/>
      <c r="K967" s="35">
        <f>IFERROR(I967+J967,0)</f>
        <v/>
      </c>
    </row>
    <row r="968" ht="14.45" customHeight="1">
      <c r="A968" s="824">
        <f>IF(C968="","",ROW()-2)</f>
        <v/>
      </c>
      <c r="B968" s="977" t="n"/>
      <c r="C968" s="977" t="n"/>
      <c r="D968" s="978" t="n"/>
      <c r="E968" s="979" t="n"/>
      <c r="F968" s="980" t="n"/>
      <c r="G968" s="980" t="n"/>
      <c r="H968" s="981" t="n"/>
      <c r="I968" s="973" t="n"/>
      <c r="J968" s="973" t="n"/>
      <c r="K968" s="35">
        <f>IFERROR(I968+J968,0)</f>
        <v/>
      </c>
    </row>
    <row r="969" ht="14.45" customHeight="1">
      <c r="A969" s="824">
        <f>IF(C969="","",ROW()-2)</f>
        <v/>
      </c>
      <c r="B969" s="977" t="n"/>
      <c r="C969" s="977" t="n"/>
      <c r="D969" s="978" t="n"/>
      <c r="E969" s="979" t="n"/>
      <c r="F969" s="980" t="n"/>
      <c r="G969" s="980" t="n"/>
      <c r="H969" s="981" t="n"/>
      <c r="I969" s="973" t="n"/>
      <c r="J969" s="973" t="n"/>
      <c r="K969" s="35">
        <f>IFERROR(I969+J969,0)</f>
        <v/>
      </c>
    </row>
    <row r="970" ht="14.45" customHeight="1">
      <c r="A970" s="824">
        <f>IF(C970="","",ROW()-2)</f>
        <v/>
      </c>
      <c r="B970" s="977" t="n"/>
      <c r="C970" s="977" t="n"/>
      <c r="D970" s="978" t="n"/>
      <c r="E970" s="979" t="n"/>
      <c r="F970" s="980" t="n"/>
      <c r="G970" s="980" t="n"/>
      <c r="H970" s="981" t="n"/>
      <c r="I970" s="973" t="n"/>
      <c r="J970" s="973" t="n"/>
      <c r="K970" s="35">
        <f>IFERROR(I970+J970,0)</f>
        <v/>
      </c>
    </row>
    <row r="971" ht="14.45" customHeight="1">
      <c r="A971" s="824">
        <f>IF(C971="","",ROW()-2)</f>
        <v/>
      </c>
      <c r="B971" s="977" t="n"/>
      <c r="C971" s="977" t="n"/>
      <c r="D971" s="978" t="n"/>
      <c r="E971" s="979" t="n"/>
      <c r="F971" s="980" t="n"/>
      <c r="G971" s="980" t="n"/>
      <c r="H971" s="981" t="n"/>
      <c r="I971" s="973" t="n"/>
      <c r="J971" s="973" t="n"/>
      <c r="K971" s="35">
        <f>IFERROR(I971+J971,0)</f>
        <v/>
      </c>
    </row>
    <row r="972" ht="14.45" customHeight="1">
      <c r="A972" s="824">
        <f>IF(C972="","",ROW()-2)</f>
        <v/>
      </c>
      <c r="B972" s="977" t="n"/>
      <c r="C972" s="977" t="n"/>
      <c r="D972" s="978" t="n"/>
      <c r="E972" s="979" t="n"/>
      <c r="F972" s="980" t="n"/>
      <c r="G972" s="980" t="n"/>
      <c r="H972" s="981" t="n"/>
      <c r="I972" s="973" t="n"/>
      <c r="J972" s="973" t="n"/>
      <c r="K972" s="35">
        <f>IFERROR(I972+J972,0)</f>
        <v/>
      </c>
    </row>
    <row r="973" ht="14.45" customHeight="1">
      <c r="A973" s="824">
        <f>IF(C973="","",ROW()-2)</f>
        <v/>
      </c>
      <c r="B973" s="977" t="n"/>
      <c r="C973" s="977" t="n"/>
      <c r="D973" s="978" t="n"/>
      <c r="E973" s="979" t="n"/>
      <c r="F973" s="980" t="n"/>
      <c r="G973" s="980" t="n"/>
      <c r="H973" s="981" t="n"/>
      <c r="I973" s="973" t="n"/>
      <c r="J973" s="973" t="n"/>
      <c r="K973" s="35">
        <f>IFERROR(I973+J973,0)</f>
        <v/>
      </c>
    </row>
    <row r="974" ht="14.45" customHeight="1">
      <c r="A974" s="824">
        <f>IF(C974="","",ROW()-2)</f>
        <v/>
      </c>
      <c r="B974" s="977" t="n"/>
      <c r="C974" s="977" t="n"/>
      <c r="D974" s="978" t="n"/>
      <c r="E974" s="979" t="n"/>
      <c r="F974" s="980" t="n"/>
      <c r="G974" s="980" t="n"/>
      <c r="H974" s="981" t="n"/>
      <c r="I974" s="973" t="n"/>
      <c r="J974" s="973" t="n"/>
      <c r="K974" s="35">
        <f>IFERROR(I974+J974,0)</f>
        <v/>
      </c>
    </row>
    <row r="975" ht="14.45" customHeight="1">
      <c r="A975" s="824">
        <f>IF(C975="","",ROW()-2)</f>
        <v/>
      </c>
      <c r="B975" s="977" t="n"/>
      <c r="C975" s="977" t="n"/>
      <c r="D975" s="978" t="n"/>
      <c r="E975" s="979" t="n"/>
      <c r="F975" s="980" t="n"/>
      <c r="G975" s="980" t="n"/>
      <c r="H975" s="981" t="n"/>
      <c r="I975" s="973" t="n"/>
      <c r="J975" s="973" t="n"/>
      <c r="K975" s="35">
        <f>IFERROR(I975+J975,0)</f>
        <v/>
      </c>
    </row>
    <row r="976" ht="14.45" customHeight="1">
      <c r="A976" s="824">
        <f>IF(C976="","",ROW()-2)</f>
        <v/>
      </c>
      <c r="B976" s="977" t="n"/>
      <c r="C976" s="977" t="n"/>
      <c r="D976" s="978" t="n"/>
      <c r="E976" s="979" t="n"/>
      <c r="F976" s="980" t="n"/>
      <c r="G976" s="980" t="n"/>
      <c r="H976" s="981" t="n"/>
      <c r="I976" s="973" t="n"/>
      <c r="J976" s="973" t="n"/>
      <c r="K976" s="35">
        <f>IFERROR(I976+J976,0)</f>
        <v/>
      </c>
    </row>
    <row r="977" ht="14.45" customHeight="1">
      <c r="A977" s="824">
        <f>IF(C977="","",ROW()-2)</f>
        <v/>
      </c>
      <c r="B977" s="977" t="n"/>
      <c r="C977" s="977" t="n"/>
      <c r="D977" s="978" t="n"/>
      <c r="E977" s="979" t="n"/>
      <c r="F977" s="980" t="n"/>
      <c r="G977" s="980" t="n"/>
      <c r="H977" s="981" t="n"/>
      <c r="I977" s="973" t="n"/>
      <c r="J977" s="973" t="n"/>
      <c r="K977" s="35">
        <f>IFERROR(I977+J977,0)</f>
        <v/>
      </c>
    </row>
    <row r="978" ht="14.45" customHeight="1">
      <c r="A978" s="824">
        <f>IF(C978="","",ROW()-2)</f>
        <v/>
      </c>
      <c r="B978" s="977" t="n"/>
      <c r="C978" s="977" t="n"/>
      <c r="D978" s="978" t="n"/>
      <c r="E978" s="979" t="n"/>
      <c r="F978" s="980" t="n"/>
      <c r="G978" s="980" t="n"/>
      <c r="H978" s="981" t="n"/>
      <c r="I978" s="973" t="n"/>
      <c r="J978" s="973" t="n"/>
      <c r="K978" s="35">
        <f>IFERROR(I978+J978,0)</f>
        <v/>
      </c>
    </row>
    <row r="979" ht="14.45" customHeight="1">
      <c r="A979" s="824">
        <f>IF(C979="","",ROW()-2)</f>
        <v/>
      </c>
      <c r="B979" s="977" t="n"/>
      <c r="C979" s="977" t="n"/>
      <c r="D979" s="978" t="n"/>
      <c r="E979" s="979" t="n"/>
      <c r="F979" s="980" t="n"/>
      <c r="G979" s="980" t="n"/>
      <c r="H979" s="981" t="n"/>
      <c r="I979" s="973" t="n"/>
      <c r="J979" s="973" t="n"/>
      <c r="K979" s="35">
        <f>IFERROR(I979+J979,0)</f>
        <v/>
      </c>
    </row>
    <row r="980" ht="14.45" customHeight="1">
      <c r="A980" s="824">
        <f>IF(C980="","",ROW()-2)</f>
        <v/>
      </c>
      <c r="B980" s="977" t="n"/>
      <c r="C980" s="977" t="n"/>
      <c r="D980" s="978" t="n"/>
      <c r="E980" s="979" t="n"/>
      <c r="F980" s="980" t="n"/>
      <c r="G980" s="980" t="n"/>
      <c r="H980" s="981" t="n"/>
      <c r="I980" s="973" t="n"/>
      <c r="J980" s="973" t="n"/>
      <c r="K980" s="35">
        <f>IFERROR(I980+J980,0)</f>
        <v/>
      </c>
    </row>
    <row r="981" ht="14.45" customHeight="1">
      <c r="A981" s="824">
        <f>IF(C981="","",ROW()-2)</f>
        <v/>
      </c>
      <c r="B981" s="977" t="n"/>
      <c r="C981" s="977" t="n"/>
      <c r="D981" s="978" t="n"/>
      <c r="E981" s="979" t="n"/>
      <c r="F981" s="980" t="n"/>
      <c r="G981" s="980" t="n"/>
      <c r="H981" s="981" t="n"/>
      <c r="I981" s="973" t="n"/>
      <c r="J981" s="973" t="n"/>
      <c r="K981" s="35">
        <f>IFERROR(I981+J981,0)</f>
        <v/>
      </c>
    </row>
    <row r="982" ht="14.45" customHeight="1">
      <c r="A982" s="824">
        <f>IF(C982="","",ROW()-2)</f>
        <v/>
      </c>
      <c r="B982" s="977" t="n"/>
      <c r="C982" s="977" t="n"/>
      <c r="D982" s="978" t="n"/>
      <c r="E982" s="979" t="n"/>
      <c r="F982" s="980" t="n"/>
      <c r="G982" s="980" t="n"/>
      <c r="H982" s="981" t="n"/>
      <c r="I982" s="973" t="n"/>
      <c r="J982" s="973" t="n"/>
      <c r="K982" s="35">
        <f>IFERROR(I982+J982,0)</f>
        <v/>
      </c>
    </row>
    <row r="983" ht="14.45" customHeight="1">
      <c r="A983" s="824">
        <f>IF(C983="","",ROW()-2)</f>
        <v/>
      </c>
      <c r="B983" s="977" t="n"/>
      <c r="C983" s="977" t="n"/>
      <c r="D983" s="978" t="n"/>
      <c r="E983" s="979" t="n"/>
      <c r="F983" s="980" t="n"/>
      <c r="G983" s="980" t="n"/>
      <c r="H983" s="981" t="n"/>
      <c r="I983" s="973" t="n"/>
      <c r="J983" s="973" t="n"/>
      <c r="K983" s="35">
        <f>IFERROR(I983+J983,0)</f>
        <v/>
      </c>
    </row>
    <row r="984" ht="14.45" customHeight="1">
      <c r="A984" s="824">
        <f>IF(C984="","",ROW()-2)</f>
        <v/>
      </c>
      <c r="B984" s="977" t="n"/>
      <c r="C984" s="977" t="n"/>
      <c r="D984" s="978" t="n"/>
      <c r="E984" s="979" t="n"/>
      <c r="F984" s="980" t="n"/>
      <c r="G984" s="980" t="n"/>
      <c r="H984" s="981" t="n"/>
      <c r="I984" s="973" t="n"/>
      <c r="J984" s="973" t="n"/>
      <c r="K984" s="35">
        <f>IFERROR(I984+J984,0)</f>
        <v/>
      </c>
    </row>
    <row r="985" ht="14.45" customHeight="1">
      <c r="A985" s="824">
        <f>IF(C985="","",ROW()-2)</f>
        <v/>
      </c>
      <c r="B985" s="977" t="n"/>
      <c r="C985" s="977" t="n"/>
      <c r="D985" s="978" t="n"/>
      <c r="E985" s="979" t="n"/>
      <c r="F985" s="980" t="n"/>
      <c r="G985" s="980" t="n"/>
      <c r="H985" s="981" t="n"/>
      <c r="I985" s="973" t="n"/>
      <c r="J985" s="973" t="n"/>
      <c r="K985" s="35">
        <f>IFERROR(I985+J985,0)</f>
        <v/>
      </c>
    </row>
    <row r="986" ht="14.45" customHeight="1">
      <c r="A986" s="824">
        <f>IF(C986="","",ROW()-2)</f>
        <v/>
      </c>
      <c r="B986" s="977" t="n"/>
      <c r="C986" s="977" t="n"/>
      <c r="D986" s="978" t="n"/>
      <c r="E986" s="979" t="n"/>
      <c r="F986" s="980" t="n"/>
      <c r="G986" s="980" t="n"/>
      <c r="H986" s="981" t="n"/>
      <c r="I986" s="973" t="n"/>
      <c r="J986" s="973" t="n"/>
      <c r="K986" s="35">
        <f>IFERROR(I986+J986,0)</f>
        <v/>
      </c>
    </row>
    <row r="987" ht="14.45" customHeight="1">
      <c r="A987" s="824">
        <f>IF(C987="","",ROW()-2)</f>
        <v/>
      </c>
      <c r="B987" s="977" t="n"/>
      <c r="C987" s="977" t="n"/>
      <c r="D987" s="978" t="n"/>
      <c r="E987" s="979" t="n"/>
      <c r="F987" s="980" t="n"/>
      <c r="G987" s="980" t="n"/>
      <c r="H987" s="981" t="n"/>
      <c r="I987" s="973" t="n"/>
      <c r="J987" s="973" t="n"/>
      <c r="K987" s="35">
        <f>IFERROR(I987+J987,0)</f>
        <v/>
      </c>
    </row>
    <row r="988" ht="14.45" customHeight="1">
      <c r="A988" s="824">
        <f>IF(C988="","",ROW()-2)</f>
        <v/>
      </c>
      <c r="B988" s="977" t="n"/>
      <c r="C988" s="977" t="n"/>
      <c r="D988" s="978" t="n"/>
      <c r="E988" s="979" t="n"/>
      <c r="F988" s="980" t="n"/>
      <c r="G988" s="980" t="n"/>
      <c r="H988" s="981" t="n"/>
      <c r="I988" s="973" t="n"/>
      <c r="J988" s="973" t="n"/>
      <c r="K988" s="35">
        <f>IFERROR(I988+J988,0)</f>
        <v/>
      </c>
    </row>
    <row r="989" ht="14.45" customHeight="1">
      <c r="A989" s="824">
        <f>IF(C989="","",ROW()-2)</f>
        <v/>
      </c>
      <c r="B989" s="977" t="n"/>
      <c r="C989" s="977" t="n"/>
      <c r="D989" s="978" t="n"/>
      <c r="E989" s="979" t="n"/>
      <c r="F989" s="980" t="n"/>
      <c r="G989" s="980" t="n"/>
      <c r="H989" s="981" t="n"/>
      <c r="I989" s="973" t="n"/>
      <c r="J989" s="973" t="n"/>
      <c r="K989" s="35">
        <f>IFERROR(I989+J989,0)</f>
        <v/>
      </c>
    </row>
    <row r="990" ht="14.45" customHeight="1">
      <c r="A990" s="824">
        <f>IF(C990="","",ROW()-2)</f>
        <v/>
      </c>
      <c r="B990" s="977" t="n"/>
      <c r="C990" s="977" t="n"/>
      <c r="D990" s="978" t="n"/>
      <c r="E990" s="979" t="n"/>
      <c r="F990" s="980" t="n"/>
      <c r="G990" s="980" t="n"/>
      <c r="H990" s="981" t="n"/>
      <c r="I990" s="973" t="n"/>
      <c r="J990" s="973" t="n"/>
      <c r="K990" s="35">
        <f>IFERROR(I990+J990,0)</f>
        <v/>
      </c>
    </row>
    <row r="991" ht="14.45" customHeight="1">
      <c r="A991" s="824">
        <f>IF(C991="","",ROW()-2)</f>
        <v/>
      </c>
      <c r="B991" s="977" t="n"/>
      <c r="C991" s="977" t="n"/>
      <c r="D991" s="978" t="n"/>
      <c r="E991" s="979" t="n"/>
      <c r="F991" s="980" t="n"/>
      <c r="G991" s="980" t="n"/>
      <c r="H991" s="981" t="n"/>
      <c r="I991" s="973" t="n"/>
      <c r="J991" s="973" t="n"/>
      <c r="K991" s="35">
        <f>IFERROR(I991+J991,0)</f>
        <v/>
      </c>
    </row>
    <row r="992" ht="14.45" customHeight="1">
      <c r="A992" s="824">
        <f>IF(C992="","",ROW()-2)</f>
        <v/>
      </c>
      <c r="B992" s="977" t="n"/>
      <c r="C992" s="977" t="n"/>
      <c r="D992" s="978" t="n"/>
      <c r="E992" s="979" t="n"/>
      <c r="F992" s="980" t="n"/>
      <c r="G992" s="980" t="n"/>
      <c r="H992" s="981" t="n"/>
      <c r="I992" s="973" t="n"/>
      <c r="J992" s="973" t="n"/>
      <c r="K992" s="35">
        <f>IFERROR(I992+J992,0)</f>
        <v/>
      </c>
    </row>
    <row r="993" ht="14.45" customHeight="1">
      <c r="A993" s="824">
        <f>IF(C993="","",ROW()-2)</f>
        <v/>
      </c>
      <c r="B993" s="977" t="n"/>
      <c r="C993" s="977" t="n"/>
      <c r="D993" s="978" t="n"/>
      <c r="E993" s="979" t="n"/>
      <c r="F993" s="980" t="n"/>
      <c r="G993" s="980" t="n"/>
      <c r="H993" s="981" t="n"/>
      <c r="I993" s="973" t="n"/>
      <c r="J993" s="973" t="n"/>
      <c r="K993" s="35">
        <f>IFERROR(I993+J993,0)</f>
        <v/>
      </c>
    </row>
    <row r="994" ht="14.45" customHeight="1">
      <c r="A994" s="824">
        <f>IF(C994="","",ROW()-2)</f>
        <v/>
      </c>
      <c r="B994" s="977" t="n"/>
      <c r="C994" s="977" t="n"/>
      <c r="D994" s="978" t="n"/>
      <c r="E994" s="979" t="n"/>
      <c r="F994" s="980" t="n"/>
      <c r="G994" s="980" t="n"/>
      <c r="H994" s="981" t="n"/>
      <c r="I994" s="973" t="n"/>
      <c r="J994" s="973" t="n"/>
      <c r="K994" s="35">
        <f>IFERROR(I994+J994,0)</f>
        <v/>
      </c>
    </row>
    <row r="995" ht="14.45" customHeight="1">
      <c r="A995" s="824">
        <f>IF(C995="","",ROW()-2)</f>
        <v/>
      </c>
      <c r="B995" s="977" t="n"/>
      <c r="C995" s="977" t="n"/>
      <c r="D995" s="978" t="n"/>
      <c r="E995" s="979" t="n"/>
      <c r="F995" s="980" t="n"/>
      <c r="G995" s="980" t="n"/>
      <c r="H995" s="981" t="n"/>
      <c r="I995" s="973" t="n"/>
      <c r="J995" s="973" t="n"/>
      <c r="K995" s="35">
        <f>IFERROR(I995+J995,0)</f>
        <v/>
      </c>
    </row>
    <row r="996" ht="14.45" customHeight="1">
      <c r="A996" s="824">
        <f>IF(C996="","",ROW()-2)</f>
        <v/>
      </c>
      <c r="B996" s="977" t="n"/>
      <c r="C996" s="977" t="n"/>
      <c r="D996" s="978" t="n"/>
      <c r="E996" s="979" t="n"/>
      <c r="F996" s="980" t="n"/>
      <c r="G996" s="980" t="n"/>
      <c r="H996" s="981" t="n"/>
      <c r="I996" s="973" t="n"/>
      <c r="J996" s="973" t="n"/>
      <c r="K996" s="35">
        <f>IFERROR(I996+J996,0)</f>
        <v/>
      </c>
    </row>
    <row r="997" ht="14.45" customHeight="1">
      <c r="A997" s="824">
        <f>IF(C997="","",ROW()-2)</f>
        <v/>
      </c>
      <c r="B997" s="977" t="n"/>
      <c r="C997" s="977" t="n"/>
      <c r="D997" s="978" t="n"/>
      <c r="E997" s="979" t="n"/>
      <c r="F997" s="980" t="n"/>
      <c r="G997" s="980" t="n"/>
      <c r="H997" s="981" t="n"/>
      <c r="I997" s="973" t="n"/>
      <c r="J997" s="973" t="n"/>
      <c r="K997" s="35">
        <f>IFERROR(I997+J997,0)</f>
        <v/>
      </c>
    </row>
    <row r="998" ht="14.45" customHeight="1">
      <c r="A998" s="824">
        <f>IF(C998="","",ROW()-2)</f>
        <v/>
      </c>
      <c r="B998" s="977" t="n"/>
      <c r="C998" s="977" t="n"/>
      <c r="D998" s="978" t="n"/>
      <c r="E998" s="979" t="n"/>
      <c r="F998" s="980" t="n"/>
      <c r="G998" s="980" t="n"/>
      <c r="H998" s="981" t="n"/>
      <c r="I998" s="973" t="n"/>
      <c r="J998" s="973" t="n"/>
      <c r="K998" s="35">
        <f>IFERROR(I998+J998,0)</f>
        <v/>
      </c>
    </row>
    <row r="999" ht="14.45" customHeight="1">
      <c r="A999" s="824">
        <f>IF(C999="","",ROW()-2)</f>
        <v/>
      </c>
      <c r="B999" s="977" t="n"/>
      <c r="C999" s="977" t="n"/>
      <c r="D999" s="978" t="n"/>
      <c r="E999" s="979" t="n"/>
      <c r="F999" s="980" t="n"/>
      <c r="G999" s="980" t="n"/>
      <c r="H999" s="981" t="n"/>
      <c r="I999" s="973" t="n"/>
      <c r="J999" s="973" t="n"/>
      <c r="K999" s="35">
        <f>IFERROR(I999+J999,0)</f>
        <v/>
      </c>
    </row>
    <row r="1000" ht="14.45" customHeight="1">
      <c r="A1000" s="824">
        <f>IF(C1000="","",ROW()-2)</f>
        <v/>
      </c>
      <c r="B1000" s="977" t="n"/>
      <c r="C1000" s="977" t="n"/>
      <c r="D1000" s="978" t="n"/>
      <c r="E1000" s="979" t="n"/>
      <c r="F1000" s="980" t="n"/>
      <c r="G1000" s="980" t="n"/>
      <c r="H1000" s="981" t="n"/>
      <c r="I1000" s="973" t="n"/>
      <c r="J1000" s="973" t="n"/>
      <c r="K1000" s="35">
        <f>IFERROR(I1000+J1000,0)</f>
        <v/>
      </c>
    </row>
    <row r="1001" ht="14.45" customHeight="1">
      <c r="A1001" s="824">
        <f>IF(C1001="","",ROW()-2)</f>
        <v/>
      </c>
      <c r="B1001" s="977" t="n"/>
      <c r="C1001" s="977" t="n"/>
      <c r="D1001" s="978" t="n"/>
      <c r="E1001" s="979" t="n"/>
      <c r="F1001" s="980" t="n"/>
      <c r="G1001" s="980" t="n"/>
      <c r="H1001" s="981" t="n"/>
      <c r="I1001" s="973" t="n"/>
      <c r="J1001" s="973" t="n"/>
      <c r="K1001" s="35">
        <f>IFERROR(I1001+J1001,0)</f>
        <v/>
      </c>
    </row>
    <row r="1002" ht="14.45" customHeight="1">
      <c r="A1002" s="824">
        <f>IF(C1002="","",ROW()-2)</f>
        <v/>
      </c>
      <c r="B1002" s="977" t="n"/>
      <c r="C1002" s="977" t="n"/>
      <c r="D1002" s="978" t="n"/>
      <c r="E1002" s="979" t="n"/>
      <c r="F1002" s="980" t="n"/>
      <c r="G1002" s="980" t="n"/>
      <c r="H1002" s="981" t="n"/>
      <c r="I1002" s="973" t="n"/>
      <c r="J1002" s="973" t="n"/>
      <c r="K1002" s="35">
        <f>IFERROR(I1002+J1002,0)</f>
        <v/>
      </c>
    </row>
    <row r="1003" ht="14.45" customHeight="1">
      <c r="A1003" s="988" t="n"/>
      <c r="B1003" s="988" t="n"/>
      <c r="C1003" s="988" t="n"/>
      <c r="D1003" s="988" t="n"/>
      <c r="E1003" s="987" t="n"/>
      <c r="F1003" s="987" t="n"/>
      <c r="G1003" s="987" t="n"/>
      <c r="H1003" s="987" t="n"/>
      <c r="I1003" s="987" t="n"/>
      <c r="J1003" s="987" t="n"/>
      <c r="K1003" s="987" t="n"/>
      <c r="L1003" s="987" t="n"/>
      <c r="M1003" s="987" t="n"/>
      <c r="N1003" s="987" t="n"/>
      <c r="O1003" s="988" t="n"/>
      <c r="P1003" s="988" t="n"/>
      <c r="Q1003" s="988" t="n"/>
      <c r="R1003" s="988" t="n"/>
      <c r="S1003" s="988" t="n"/>
      <c r="T1003" s="988" t="n"/>
      <c r="U1003" s="988" t="n"/>
      <c r="V1003" s="988" t="n"/>
      <c r="W1003" s="988" t="n"/>
      <c r="X1003" s="988" t="n"/>
      <c r="Y1003" s="988" t="n"/>
      <c r="Z1003" s="988" t="n"/>
      <c r="AA1003" s="988" t="n"/>
      <c r="AB1003" s="988" t="n"/>
      <c r="AC1003" s="988" t="n"/>
      <c r="AD1003" s="988" t="n"/>
      <c r="AE1003" s="988" t="n"/>
      <c r="AF1003" s="988" t="n"/>
      <c r="AG1003" s="988" t="n"/>
      <c r="AH1003" s="988" t="n"/>
      <c r="AI1003" s="988" t="n"/>
      <c r="AJ1003" s="988" t="n"/>
      <c r="AK1003" s="988" t="n"/>
      <c r="AL1003" s="988" t="n"/>
      <c r="AM1003" s="988" t="n"/>
      <c r="AN1003" s="988" t="n"/>
      <c r="AO1003" s="988" t="n"/>
      <c r="AP1003" s="988" t="n"/>
      <c r="AQ1003" s="988" t="n"/>
      <c r="AR1003" s="988" t="n"/>
      <c r="AS1003" s="988" t="n"/>
      <c r="AT1003" s="988" t="n"/>
      <c r="AU1003" s="988" t="n"/>
      <c r="AV1003" s="988" t="n"/>
      <c r="AW1003" s="988" t="n"/>
      <c r="AX1003" s="988" t="n"/>
      <c r="AY1003" s="988" t="n"/>
      <c r="AZ1003" s="988" t="n"/>
      <c r="BA1003" s="988" t="n"/>
      <c r="BB1003" s="988" t="n"/>
      <c r="BC1003" s="988" t="n"/>
      <c r="BD1003" s="988" t="n"/>
      <c r="BE1003" s="988" t="n"/>
      <c r="BF1003" s="988" t="n"/>
      <c r="BG1003" s="988" t="n"/>
      <c r="BH1003" s="988" t="n"/>
      <c r="BI1003" s="988" t="n"/>
      <c r="BJ1003" s="988" t="n"/>
      <c r="BK1003" s="988" t="n"/>
      <c r="BL1003" s="988" t="n"/>
      <c r="BM1003" s="988" t="n"/>
      <c r="BN1003" s="988" t="n"/>
      <c r="BO1003" s="988" t="n"/>
      <c r="BP1003" s="988" t="n"/>
      <c r="BQ1003" s="988" t="n"/>
      <c r="BR1003" s="988" t="n"/>
      <c r="BS1003" s="988" t="n"/>
      <c r="BT1003" s="988" t="n"/>
      <c r="BU1003" s="988" t="n"/>
      <c r="BV1003" s="988" t="n"/>
      <c r="BW1003" s="988" t="n"/>
      <c r="BX1003" s="988" t="n"/>
      <c r="BY1003" s="988" t="n"/>
      <c r="BZ1003" s="988" t="n"/>
      <c r="CA1003" s="988" t="n"/>
      <c r="CB1003" s="988" t="n"/>
      <c r="CC1003" s="988" t="n"/>
      <c r="CD1003" s="988" t="n"/>
      <c r="CE1003" s="988" t="n"/>
      <c r="CF1003" s="988" t="n"/>
      <c r="CG1003" s="988" t="n"/>
      <c r="CH1003" s="988" t="n"/>
      <c r="CI1003" s="988" t="n"/>
      <c r="CJ1003" s="988" t="n"/>
      <c r="CK1003" s="988" t="n"/>
      <c r="CL1003" s="988" t="n"/>
      <c r="CM1003" s="988" t="n"/>
      <c r="CN1003" s="988" t="n"/>
      <c r="CO1003" s="988" t="n"/>
      <c r="CP1003" s="988" t="n"/>
      <c r="CQ1003" s="988" t="n"/>
      <c r="CR1003" s="988" t="n"/>
      <c r="CS1003" s="988" t="n"/>
      <c r="CT1003" s="988" t="n"/>
      <c r="CU1003" s="988" t="n"/>
      <c r="CV1003" s="988" t="n"/>
      <c r="CW1003" s="988" t="n"/>
      <c r="CX1003" s="988" t="n"/>
      <c r="CY1003" s="988" t="n"/>
      <c r="CZ1003" s="988" t="n"/>
      <c r="DA1003" s="988" t="n"/>
      <c r="DB1003" s="988" t="n"/>
      <c r="DC1003" s="988" t="n"/>
      <c r="DD1003" s="988" t="n"/>
      <c r="DE1003" s="988" t="n"/>
      <c r="DF1003" s="988" t="n"/>
      <c r="DG1003" s="988" t="n"/>
      <c r="DH1003" s="988" t="n"/>
      <c r="DI1003" s="988" t="n"/>
      <c r="DJ1003" s="988" t="n"/>
      <c r="DK1003" s="988" t="n"/>
      <c r="DL1003" s="988" t="n"/>
      <c r="DM1003" s="988" t="n"/>
      <c r="DN1003" s="988" t="n"/>
      <c r="DO1003" s="988" t="n"/>
      <c r="DP1003" s="988" t="n"/>
      <c r="DQ1003" s="988" t="n"/>
      <c r="DR1003" s="988" t="n"/>
      <c r="DS1003" s="988" t="n"/>
      <c r="DT1003" s="988" t="n"/>
      <c r="DU1003" s="988" t="n"/>
      <c r="DV1003" s="988" t="n"/>
      <c r="DW1003" s="988" t="n"/>
      <c r="DX1003" s="988" t="n"/>
    </row>
    <row r="1004" ht="14.45" customHeight="1">
      <c r="F1004" s="832">
        <f>AVERAGE(F3:F1002)</f>
        <v/>
      </c>
      <c r="G1004" s="832">
        <f>AVERAGE(G3:G1002)</f>
        <v/>
      </c>
    </row>
    <row r="1005" ht="14.45" customHeight="1">
      <c r="E1005" s="832">
        <f>E1003*12</f>
        <v/>
      </c>
      <c r="F1005" s="832">
        <f>F1003*12</f>
        <v/>
      </c>
      <c r="G1005" s="832">
        <f>G1003*12</f>
        <v/>
      </c>
      <c r="H1005">
        <f>H1003*12</f>
        <v/>
      </c>
      <c r="N1005" s="833">
        <f>N1003*12</f>
        <v/>
      </c>
    </row>
    <row r="1006" ht="14.45" customHeight="1"/>
    <row r="1007" ht="14.45" customHeight="1"/>
    <row r="1008" ht="14.45" customHeight="1"/>
    <row r="1009" ht="14.45" customHeight="1"/>
    <row r="1010" ht="14.45" customHeight="1"/>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2">
    <dataValidation sqref="D3:D1002" showDropDown="0" showInputMessage="0" showErrorMessage="0" allowBlank="1" type="list">
      <formula1>"Occupied,Vacant"</formula1>
    </dataValidation>
    <dataValidation sqref="S3:S1002" showDropDown="0" showInputMessage="0" showErrorMessage="0" allowBlank="1" type="list">
      <formula1>"NNN,Gross"</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n"/>
    </row>
    <row r="3" ht="15.75" customHeight="1" thickBot="1">
      <c r="A3" s="371" t="inlineStr">
        <is>
          <t>Lots only</t>
        </is>
      </c>
      <c r="B3" s="59" t="n"/>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f>C10</f>
        <v/>
      </c>
      <c r="B5" s="752" t="n">
        <v>0.05</v>
      </c>
      <c r="C5" s="834" t="n">
        <v>0.05</v>
      </c>
      <c r="D5" s="834" t="n">
        <v>0.05</v>
      </c>
      <c r="E5" s="834" t="n">
        <v>0.05</v>
      </c>
      <c r="F5" s="834" t="n">
        <v>0.05</v>
      </c>
      <c r="G5" s="834" t="n">
        <v>0.05</v>
      </c>
      <c r="H5" s="834" t="n">
        <v>0.05</v>
      </c>
      <c r="I5" s="834" t="n">
        <v>0.05</v>
      </c>
      <c r="J5" s="834" t="n">
        <v>0.05</v>
      </c>
      <c r="K5" s="835" t="n">
        <v>0.05</v>
      </c>
    </row>
    <row r="6">
      <c r="A6" s="498">
        <f>C11</f>
        <v/>
      </c>
      <c r="B6" s="752" t="n">
        <v>0.05</v>
      </c>
      <c r="C6" s="834" t="n">
        <v>0.05</v>
      </c>
      <c r="D6" s="834" t="n">
        <v>0.05</v>
      </c>
      <c r="E6" s="834" t="n">
        <v>0.05</v>
      </c>
      <c r="F6" s="834" t="n">
        <v>0.05</v>
      </c>
      <c r="G6" s="834" t="n">
        <v>0.05</v>
      </c>
      <c r="H6" s="834" t="n">
        <v>0.05</v>
      </c>
      <c r="I6" s="834" t="n">
        <v>0.05</v>
      </c>
      <c r="J6" s="834" t="n">
        <v>0.05</v>
      </c>
      <c r="K6" s="835" t="n">
        <v>0.05</v>
      </c>
    </row>
    <row r="7">
      <c r="A7" s="498" t="n"/>
      <c r="B7" s="752" t="n"/>
      <c r="C7" s="834" t="n"/>
      <c r="D7" s="834" t="n"/>
      <c r="E7" s="834" t="n"/>
      <c r="F7" s="834" t="n"/>
      <c r="G7" s="834" t="n"/>
      <c r="H7" s="834" t="n"/>
      <c r="I7" s="834" t="n"/>
      <c r="J7" s="834" t="n"/>
      <c r="K7" s="835" t="n"/>
      <c r="L7" s="59" t="n"/>
    </row>
    <row r="8">
      <c r="A8" s="498" t="n"/>
      <c r="B8" s="752" t="n"/>
      <c r="C8" s="834" t="n"/>
      <c r="D8" s="834" t="n"/>
      <c r="E8" s="834" t="inlineStr">
        <is>
          <t>Lot Rent</t>
        </is>
      </c>
      <c r="F8" s="834" t="n"/>
      <c r="G8" s="834" t="n"/>
      <c r="H8" s="834" t="n"/>
      <c r="I8" s="834" t="n"/>
      <c r="J8" s="834" t="n"/>
      <c r="K8" s="835" t="n"/>
      <c r="L8" s="59" t="n"/>
    </row>
    <row r="9">
      <c r="A9" s="498" t="n"/>
      <c r="B9" s="752" t="n"/>
      <c r="C9" s="834" t="inlineStr">
        <is>
          <t>Unit Mix</t>
        </is>
      </c>
      <c r="D9" s="834" t="inlineStr">
        <is>
          <t># of Units</t>
        </is>
      </c>
      <c r="E9" s="834" t="inlineStr">
        <is>
          <t>Avg Monthly Rent</t>
        </is>
      </c>
      <c r="F9" s="834" t="inlineStr">
        <is>
          <t>Year 1</t>
        </is>
      </c>
      <c r="G9" s="834" t="inlineStr">
        <is>
          <t>Year 2</t>
        </is>
      </c>
      <c r="H9" s="834" t="inlineStr">
        <is>
          <t>Year 3</t>
        </is>
      </c>
      <c r="I9" s="834" t="inlineStr">
        <is>
          <t>Year 4</t>
        </is>
      </c>
      <c r="J9" s="834" t="inlineStr">
        <is>
          <t>Year 5</t>
        </is>
      </c>
      <c r="K9" s="835" t="inlineStr">
        <is>
          <t>Year 6</t>
        </is>
      </c>
      <c r="L9" s="59" t="inlineStr">
        <is>
          <t>Year 7</t>
        </is>
      </c>
      <c r="M9" t="inlineStr">
        <is>
          <t>Year 8</t>
        </is>
      </c>
      <c r="N9" t="inlineStr">
        <is>
          <t>Year 9</t>
        </is>
      </c>
      <c r="O9" t="inlineStr">
        <is>
          <t>Year 10</t>
        </is>
      </c>
    </row>
    <row r="10">
      <c r="A10" s="498" t="n"/>
      <c r="B10" s="752">
        <f>IFERROR(D10/$D$12,0)</f>
        <v/>
      </c>
      <c r="C10" s="834">
        <f>'Unit Mix Summary'!B4</f>
        <v/>
      </c>
      <c r="D10" s="834">
        <f>'Unit Mix Summary'!E4</f>
        <v/>
      </c>
      <c r="E10" s="834">
        <f>IFERROR('Unit Mix Summary'!H4/'Unit Mix Summary'!E4,0)</f>
        <v/>
      </c>
      <c r="F10" s="834">
        <f>E10*(100%+B$5)</f>
        <v/>
      </c>
      <c r="G10" s="834">
        <f>F10*(100%+C$5)</f>
        <v/>
      </c>
      <c r="H10" s="834">
        <f>G10*(100%+D$5)</f>
        <v/>
      </c>
      <c r="I10" s="834">
        <f>H10*(100%+E$5)</f>
        <v/>
      </c>
      <c r="J10" s="834">
        <f>I10*(100%+F$5)</f>
        <v/>
      </c>
      <c r="K10" s="835">
        <f>J10*(100%+G$5)</f>
        <v/>
      </c>
      <c r="L10" s="59">
        <f>K10*(100%+H$5)</f>
        <v/>
      </c>
      <c r="M10">
        <f>L10*(100%+I$5)</f>
        <v/>
      </c>
      <c r="N10">
        <f>M10*(100%+J$5)</f>
        <v/>
      </c>
      <c r="O10">
        <f>N10*(100%+K$5)</f>
        <v/>
      </c>
    </row>
    <row r="11">
      <c r="A11" s="59" t="n"/>
      <c r="B11" s="59">
        <f>IFERROR(D11/$D$12,0)</f>
        <v/>
      </c>
      <c r="C11" s="59">
        <f>'Unit Mix Summary'!B5</f>
        <v/>
      </c>
      <c r="D11" s="59">
        <f>'Unit Mix Summary'!E5</f>
        <v/>
      </c>
      <c r="E11" s="59">
        <f>IFERROR('Unit Mix Summary'!H5/'Unit Mix Summary'!E5,0)</f>
        <v/>
      </c>
      <c r="F11" s="59">
        <f>E11*(100%+B$6)</f>
        <v/>
      </c>
      <c r="G11" s="59">
        <f>F11*(100%+C$6)</f>
        <v/>
      </c>
      <c r="H11" s="59">
        <f>G11*(100%+D$6)</f>
        <v/>
      </c>
      <c r="I11" s="59">
        <f>H11*(100%+E$6)</f>
        <v/>
      </c>
      <c r="J11" s="59">
        <f>I11*(100%+F$6)</f>
        <v/>
      </c>
      <c r="K11" s="59">
        <f>J11*(100%+G$6)</f>
        <v/>
      </c>
      <c r="L11" s="59">
        <f>K11*(100%+H$6)</f>
        <v/>
      </c>
      <c r="M11">
        <f>L11*(100%+I$6)</f>
        <v/>
      </c>
      <c r="N11">
        <f>M11*(100%+J$6)</f>
        <v/>
      </c>
      <c r="O11">
        <f>N11*(100%+K$6)</f>
        <v/>
      </c>
    </row>
    <row r="12">
      <c r="A12" s="244" t="n"/>
      <c r="B12" s="59">
        <f>SUM(B10:B11)</f>
        <v/>
      </c>
      <c r="C12" s="59" t="inlineStr">
        <is>
          <t>Total Weighted Average</t>
        </is>
      </c>
      <c r="D12" s="59">
        <f>SUM(D10:D11)</f>
        <v/>
      </c>
      <c r="E12" s="836">
        <f>SUMPRODUCT($B$10:$B$11,E10:E11)</f>
        <v/>
      </c>
      <c r="F12" s="59">
        <f>SUMPRODUCT($B$10:$B$11,F10:F11)</f>
        <v/>
      </c>
      <c r="G12" s="203">
        <f>SUMPRODUCT($B$10:$B$11,G10:G11)</f>
        <v/>
      </c>
      <c r="H12" s="59">
        <f>SUMPRODUCT($B$10:$B$11,H10:H11)</f>
        <v/>
      </c>
      <c r="I12" s="59">
        <f>SUMPRODUCT($B$10:$B$11,I10:I11)</f>
        <v/>
      </c>
      <c r="J12" s="59">
        <f>SUMPRODUCT($B$10:$B$11,J10:J11)</f>
        <v/>
      </c>
      <c r="K12" s="59">
        <f>SUMPRODUCT($B$10:$B$11,K10:K11)</f>
        <v/>
      </c>
      <c r="L12" s="59">
        <f>SUMPRODUCT($B$10:$B$11,L10:L11)</f>
        <v/>
      </c>
      <c r="M12">
        <f>SUMPRODUCT($B$10:$B$11,M10:M11)</f>
        <v/>
      </c>
      <c r="N12">
        <f>SUMPRODUCT($B$10:$B$11,N10:N11)</f>
        <v/>
      </c>
      <c r="O12">
        <f>SUMPRODUCT($B$10:$B$11,O10:O11)</f>
        <v/>
      </c>
    </row>
    <row r="13" ht="33" customHeight="1">
      <c r="A13" s="753" t="n"/>
      <c r="C13" s="59" t="n"/>
      <c r="D13" s="329" t="inlineStr">
        <is>
          <t>$ Change</t>
        </is>
      </c>
      <c r="E13" s="166" t="n"/>
      <c r="F13" s="138">
        <f>F12-E12</f>
        <v/>
      </c>
      <c r="G13" s="138">
        <f>G12-F12</f>
        <v/>
      </c>
      <c r="H13" s="138">
        <f>H12-G12</f>
        <v/>
      </c>
      <c r="I13" s="138">
        <f>I12-H12</f>
        <v/>
      </c>
      <c r="J13" s="138">
        <f>J12-I12</f>
        <v/>
      </c>
      <c r="K13" s="138">
        <f>K12-J12</f>
        <v/>
      </c>
      <c r="L13" s="138">
        <f>L12-K12</f>
        <v/>
      </c>
      <c r="M13" s="138">
        <f>M12-L12</f>
        <v/>
      </c>
      <c r="N13" s="138">
        <f>N12-M12</f>
        <v/>
      </c>
      <c r="O13" s="138">
        <f>O12-N12</f>
        <v/>
      </c>
    </row>
    <row r="14" ht="36" customHeight="1">
      <c r="A14" s="837" t="n"/>
      <c r="B14" s="502" t="n"/>
      <c r="C14" s="503" t="n"/>
      <c r="D14" s="504" t="inlineStr">
        <is>
          <t>GPR</t>
        </is>
      </c>
      <c r="E14" s="212">
        <f>E12*$D$12*12</f>
        <v/>
      </c>
      <c r="F14" s="212">
        <f>F12*$D$12*12</f>
        <v/>
      </c>
      <c r="G14" s="212">
        <f>G12*$D$12*12</f>
        <v/>
      </c>
      <c r="H14" s="212">
        <f>H12*$D$12*12</f>
        <v/>
      </c>
      <c r="I14" s="212">
        <f>I12*$D$12*12</f>
        <v/>
      </c>
      <c r="J14" s="212">
        <f>J12*$D$12*12</f>
        <v/>
      </c>
      <c r="K14" s="212">
        <f>K12*$D$12*12</f>
        <v/>
      </c>
      <c r="L14" s="212">
        <f>L12*$D$12*12</f>
        <v/>
      </c>
      <c r="M14" s="212">
        <f>M12*$D$12*12</f>
        <v/>
      </c>
      <c r="N14" s="212">
        <f>N12*$D$12*12</f>
        <v/>
      </c>
      <c r="O14" s="212">
        <f>O12*$D$12*12</f>
        <v/>
      </c>
    </row>
    <row r="15" ht="42.95" customHeight="1">
      <c r="A15" s="837" t="n"/>
      <c r="B15" s="502" t="n"/>
      <c r="C15" s="503" t="n">
        <v>0</v>
      </c>
      <c r="D15" s="504" t="inlineStr">
        <is>
          <t>Vacant Lots</t>
        </is>
      </c>
      <c r="E15" s="212">
        <f>'Unit Mix Summary'!D4</f>
        <v/>
      </c>
      <c r="F15" s="212">
        <f>E15-C15</f>
        <v/>
      </c>
      <c r="G15" s="212" t="n"/>
      <c r="H15" s="212" t="n"/>
      <c r="I15" s="212" t="n"/>
      <c r="J15" s="212" t="n"/>
      <c r="K15" s="212" t="n"/>
      <c r="L15" s="212" t="n"/>
      <c r="M15" s="212" t="n"/>
      <c r="N15" s="212" t="n"/>
      <c r="O15" s="212" t="n"/>
    </row>
    <row r="16" ht="35.45" customHeight="1">
      <c r="A16" s="837" t="n"/>
      <c r="B16" s="502" t="n"/>
      <c r="C16" s="503" t="n">
        <v>0</v>
      </c>
      <c r="D16" s="504" t="inlineStr">
        <is>
          <t>Vacant Homes</t>
        </is>
      </c>
      <c r="E16" s="212">
        <f>'Unit Mix Summary'!D5</f>
        <v/>
      </c>
      <c r="F16" s="212">
        <f>E16-$C$16</f>
        <v/>
      </c>
      <c r="G16" s="212" t="n"/>
      <c r="H16" s="212" t="n"/>
      <c r="I16" s="212" t="n"/>
      <c r="J16" s="212" t="n"/>
      <c r="K16" s="212" t="n"/>
      <c r="L16" s="212" t="n"/>
      <c r="M16" s="212" t="n"/>
      <c r="N16" s="212" t="n"/>
      <c r="O16" s="212" t="n"/>
    </row>
    <row r="17" ht="35.45" customHeight="1">
      <c r="A17" s="837" t="n"/>
      <c r="B17" s="502" t="n"/>
      <c r="C17" s="503" t="n"/>
      <c r="D17" s="504" t="inlineStr">
        <is>
          <t>Vacancy</t>
        </is>
      </c>
      <c r="E17" s="212">
        <f>SUM(E15:E16)/$D$12</f>
        <v/>
      </c>
      <c r="F17" s="212">
        <f>SUM(F15:F16)/$D$12</f>
        <v/>
      </c>
      <c r="G17" s="212">
        <f>SUM(G15:G16)/$D$12</f>
        <v/>
      </c>
      <c r="H17" s="212">
        <f>SUM(H15:H16)/$D$12</f>
        <v/>
      </c>
      <c r="I17" s="212">
        <f>SUM(I15:I16)/$D$12</f>
        <v/>
      </c>
      <c r="J17" s="212">
        <f>SUM(J15:J16)/$D$12</f>
        <v/>
      </c>
      <c r="K17" s="212">
        <f>SUM(K15:K16)/$D$12</f>
        <v/>
      </c>
      <c r="L17" s="212">
        <f>SUM(L15:L16)/$D$12</f>
        <v/>
      </c>
      <c r="M17" s="212">
        <f>SUM(M15:M16)/$D$12</f>
        <v/>
      </c>
      <c r="N17" s="212">
        <f>SUM(N15:N16)/$D$12</f>
        <v/>
      </c>
      <c r="O17" s="212">
        <f>SUM(O15:O16)/$D$12</f>
        <v/>
      </c>
    </row>
    <row r="18" ht="35.45" customHeight="1">
      <c r="A18" s="837" t="n"/>
      <c r="B18" s="502" t="n"/>
      <c r="C18" s="503" t="n"/>
      <c r="D18" s="504" t="n"/>
      <c r="E18" s="212" t="n"/>
      <c r="F18" s="212" t="n"/>
      <c r="G18" s="212" t="n"/>
      <c r="H18" s="212" t="n"/>
      <c r="I18" s="212" t="n"/>
      <c r="J18" s="212" t="n"/>
      <c r="K18" s="212" t="n"/>
      <c r="L18" s="212" t="n"/>
      <c r="M18" s="212" t="n"/>
      <c r="N18" s="212" t="n"/>
      <c r="O18" s="212" t="n"/>
    </row>
    <row r="19" ht="35.45" customHeight="1">
      <c r="A19" s="837" t="n"/>
      <c r="B19" s="502" t="n"/>
      <c r="C19" s="503" t="n"/>
      <c r="D19" s="504" t="n"/>
      <c r="E19" s="212" t="n"/>
      <c r="F19" s="212" t="n"/>
      <c r="G19" s="212" t="n"/>
      <c r="H19" s="212" t="n"/>
      <c r="I19" s="212" t="n"/>
      <c r="J19" s="212" t="n"/>
      <c r="K19" s="212" t="n"/>
      <c r="L19" s="212" t="n"/>
      <c r="M19" s="212" t="n"/>
      <c r="N19" s="212" t="n"/>
      <c r="O19" s="212" t="n"/>
    </row>
    <row r="20" ht="35.25" customHeight="1">
      <c r="A20" s="677" t="n"/>
      <c r="B20" s="502" t="n"/>
      <c r="C20" s="505" t="n"/>
      <c r="D20" s="506" t="n"/>
      <c r="E20" s="507" t="n"/>
      <c r="F20" s="507" t="n"/>
      <c r="G20" s="507" t="n"/>
      <c r="H20" s="507" t="n"/>
      <c r="I20" s="507" t="n"/>
      <c r="J20" s="507" t="n"/>
      <c r="K20" s="507" t="n"/>
      <c r="L20" s="507" t="n"/>
      <c r="M20" s="507" t="n"/>
      <c r="N20" s="507" t="n"/>
      <c r="O20" s="507" t="n"/>
    </row>
    <row r="21" ht="15.6" customHeight="1">
      <c r="B21" s="502" t="n"/>
      <c r="D21" s="508" t="n"/>
      <c r="E21" s="442" t="n"/>
      <c r="F21" s="509" t="n"/>
      <c r="G21" s="509" t="n"/>
      <c r="H21" s="509" t="n"/>
      <c r="I21" s="509" t="n"/>
      <c r="J21" s="509" t="n"/>
      <c r="K21" s="509" t="n"/>
      <c r="L21" s="509" t="n"/>
      <c r="M21" s="509" t="n"/>
      <c r="N21" s="509" t="n"/>
      <c r="O21" s="509" t="n"/>
    </row>
    <row r="22" ht="24.6" customHeight="1">
      <c r="D22" s="510" t="n"/>
      <c r="E22" s="511" t="n"/>
      <c r="F22" s="511" t="n"/>
      <c r="G22" s="511" t="n"/>
      <c r="H22" s="511" t="n"/>
      <c r="I22" s="511" t="n"/>
      <c r="J22" s="511" t="n"/>
      <c r="K22" s="511" t="n"/>
      <c r="L22" s="511" t="n"/>
      <c r="M22" s="511" t="n"/>
      <c r="N22" s="511" t="n"/>
      <c r="O22" s="511" t="n"/>
    </row>
    <row r="23">
      <c r="B23" s="386" t="n"/>
      <c r="D23" s="404" t="n"/>
      <c r="E23" s="512" t="n"/>
      <c r="F23" s="512" t="n"/>
      <c r="G23" s="512" t="n"/>
      <c r="H23" s="512" t="n"/>
      <c r="I23" s="512" t="n"/>
      <c r="J23" s="512" t="n"/>
      <c r="K23" s="512" t="n"/>
      <c r="L23" s="512" t="n"/>
      <c r="M23" s="512" t="n"/>
      <c r="N23" s="512" t="n"/>
      <c r="O23" s="512" t="n"/>
    </row>
    <row r="24">
      <c r="B24" s="386" t="n"/>
      <c r="D24" s="404" t="n"/>
      <c r="E24" s="512" t="n"/>
      <c r="F24" s="512" t="n"/>
      <c r="G24" s="512" t="n"/>
      <c r="H24" s="512" t="n"/>
      <c r="I24" s="512" t="n"/>
      <c r="J24" s="512" t="n"/>
      <c r="K24" s="512" t="n"/>
      <c r="L24" s="512" t="n"/>
      <c r="M24" s="512" t="n"/>
      <c r="N24" s="512" t="n"/>
      <c r="O24" s="512" t="n"/>
    </row>
    <row r="25">
      <c r="D25" s="513" t="n"/>
      <c r="E25" s="514" t="n"/>
      <c r="F25" s="514" t="n"/>
      <c r="G25" s="514" t="n"/>
      <c r="H25" s="514" t="n"/>
      <c r="I25" s="514" t="n"/>
      <c r="J25" s="514" t="n"/>
      <c r="K25" s="514" t="n"/>
      <c r="L25" s="514" t="n"/>
      <c r="M25" s="514" t="n"/>
      <c r="N25" s="514" t="n"/>
      <c r="O25" s="514" t="n"/>
    </row>
    <row r="26">
      <c r="D26" s="513" t="n"/>
      <c r="E26" s="514" t="n"/>
      <c r="F26" s="514" t="n"/>
      <c r="G26" s="514" t="n"/>
      <c r="H26" s="514" t="n"/>
      <c r="I26" s="514" t="n"/>
      <c r="J26" s="514" t="n"/>
      <c r="K26" s="514" t="n"/>
      <c r="L26" s="514" t="n"/>
      <c r="M26" s="514" t="n"/>
      <c r="N26" s="514" t="n"/>
      <c r="O26" s="514" t="n"/>
    </row>
    <row r="27" ht="60" customHeight="1">
      <c r="D27" s="513" t="n"/>
      <c r="E27" s="754" t="n"/>
      <c r="F27" s="514" t="n"/>
      <c r="G27" s="514" t="n"/>
      <c r="H27" s="514" t="n"/>
      <c r="I27" s="514" t="n"/>
      <c r="J27" s="514" t="n"/>
      <c r="K27" s="514" t="n"/>
      <c r="L27" s="514" t="n"/>
      <c r="M27" s="514" t="n"/>
      <c r="N27" s="514" t="n"/>
      <c r="O27" s="514" t="n"/>
    </row>
    <row r="28">
      <c r="D28" s="513" t="n"/>
      <c r="E28" s="125" t="n"/>
      <c r="F28" s="514" t="n"/>
      <c r="G28" s="514" t="n"/>
      <c r="H28" s="514" t="n"/>
      <c r="I28" s="514" t="n"/>
      <c r="J28" s="514" t="n"/>
      <c r="K28" s="514" t="n"/>
      <c r="L28" s="514" t="n"/>
      <c r="M28" s="514" t="n"/>
      <c r="N28" s="514" t="n"/>
      <c r="O28" s="514" t="n"/>
    </row>
    <row r="29">
      <c r="D29" s="513" t="n"/>
      <c r="E29" s="514" t="n"/>
      <c r="F29" s="514" t="n"/>
      <c r="G29" s="514" t="n"/>
      <c r="H29" s="514" t="n"/>
      <c r="I29" s="514" t="n"/>
      <c r="J29" s="514" t="n"/>
      <c r="K29" s="514" t="n"/>
      <c r="L29" s="514" t="n"/>
      <c r="M29" s="514" t="n"/>
      <c r="N29" s="514" t="n"/>
      <c r="O29" s="514" t="n"/>
    </row>
    <row r="30">
      <c r="H30" s="322" t="n"/>
      <c r="I30" s="322" t="n"/>
    </row>
    <row r="31">
      <c r="H31" s="322" t="n"/>
      <c r="I31" s="322" t="n"/>
    </row>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n"/>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n"/>
      <c r="O45" s="536" t="n"/>
    </row>
    <row r="46" outlineLevel="1">
      <c r="C46" s="537" t="n"/>
      <c r="O46" s="536" t="n"/>
    </row>
    <row r="47" outlineLevel="1">
      <c r="A47" s="59" t="inlineStr">
        <is>
          <t>Conversion</t>
        </is>
      </c>
      <c r="C47" s="537" t="n"/>
      <c r="E47" s="59" t="inlineStr">
        <is>
          <t>POH Rentals%</t>
        </is>
      </c>
      <c r="O47" s="536" t="n"/>
    </row>
    <row r="48" outlineLevel="1">
      <c r="A48" s="59" t="n"/>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c r="D66" s="59" t="inlineStr">
        <is>
          <t>Sales Proceeds</t>
        </is>
      </c>
      <c r="E66" s="837">
        <f>E65*$C$66</f>
        <v/>
      </c>
      <c r="F66" s="837">
        <f>F65*$C$66</f>
        <v/>
      </c>
      <c r="G66" s="837">
        <f>G65*$C$66</f>
        <v/>
      </c>
      <c r="H66" s="837">
        <f>H65*$C$66</f>
        <v/>
      </c>
    </row>
    <row r="67" outlineLevel="1">
      <c r="C67" s="711" t="n"/>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c r="D78" s="590" t="n"/>
      <c r="E78" s="590" t="n"/>
      <c r="F78" s="590" t="n"/>
      <c r="G78" s="735" t="n"/>
      <c r="H78" s="590" t="n"/>
    </row>
    <row r="79">
      <c r="C79" s="590" t="n"/>
      <c r="D79" s="590" t="n"/>
      <c r="E79" s="590" t="n"/>
      <c r="F79" s="590" t="n"/>
      <c r="G79" s="735" t="n"/>
      <c r="H79" s="590" t="n"/>
    </row>
    <row r="80">
      <c r="C80" s="748" t="n"/>
      <c r="D80" s="748" t="n"/>
      <c r="E80" s="748" t="n"/>
      <c r="F80" s="748" t="n"/>
      <c r="G80" s="749" t="n"/>
      <c r="H80" s="748" t="n"/>
    </row>
    <row r="81">
      <c r="C81" s="590" t="n"/>
      <c r="D81" s="590" t="n"/>
      <c r="E81" s="590" t="n"/>
      <c r="F81" s="590" t="n"/>
      <c r="G81" s="735" t="n"/>
      <c r="H81" s="590" t="n"/>
    </row>
    <row r="82">
      <c r="C82" s="748" t="n"/>
      <c r="D82" s="748" t="n"/>
      <c r="E82" s="748" t="n"/>
      <c r="F82" s="748" t="n"/>
      <c r="G82" s="749" t="n"/>
      <c r="H82" s="748" t="n"/>
    </row>
    <row r="83">
      <c r="C83" s="590" t="n"/>
      <c r="D83" s="590" t="n"/>
      <c r="E83" s="590" t="n"/>
      <c r="F83" s="590" t="n"/>
      <c r="G83" s="735" t="n"/>
      <c r="H83" s="590" t="n"/>
    </row>
    <row r="84">
      <c r="C84" s="590" t="n"/>
      <c r="D84" s="590" t="n"/>
      <c r="E84" s="590" t="n"/>
      <c r="F84" s="590" t="n"/>
      <c r="G84" s="735" t="n"/>
      <c r="H84" s="590" t="n"/>
    </row>
    <row r="85">
      <c r="C85" s="590" t="n"/>
      <c r="D85" s="590" t="n"/>
      <c r="E85" s="590" t="n"/>
      <c r="F85" s="590" t="n"/>
      <c r="G85" s="735" t="n"/>
      <c r="H85" s="590" t="n"/>
    </row>
    <row r="86">
      <c r="C86" s="748" t="n"/>
      <c r="D86" s="748" t="n"/>
      <c r="E86" s="748" t="n"/>
      <c r="F86" s="748" t="n"/>
      <c r="G86" s="749" t="n"/>
      <c r="H86" s="748" t="n"/>
    </row>
    <row r="87">
      <c r="C87" s="590" t="n"/>
      <c r="D87" s="590" t="n"/>
      <c r="E87" s="590" t="n"/>
      <c r="F87" s="590" t="n"/>
      <c r="G87" s="735" t="n"/>
      <c r="H87" s="590" t="n"/>
    </row>
    <row r="88">
      <c r="C88" s="590" t="n"/>
      <c r="D88" s="590" t="n"/>
      <c r="E88" s="590" t="n"/>
      <c r="F88" s="590" t="n"/>
      <c r="G88" s="735" t="n"/>
      <c r="H88" s="590" t="n"/>
    </row>
    <row r="89">
      <c r="C89" s="590" t="n"/>
      <c r="D89" s="590" t="n"/>
      <c r="E89" s="590" t="n"/>
      <c r="F89" s="590" t="n"/>
      <c r="G89" s="735" t="n"/>
      <c r="H89" s="590" t="n"/>
      <c r="J89" s="59" t="n"/>
    </row>
    <row r="90">
      <c r="C90" s="748" t="n"/>
      <c r="D90" s="748" t="n"/>
      <c r="E90" s="748" t="n"/>
      <c r="F90" s="748" t="n"/>
      <c r="G90" s="749" t="n"/>
      <c r="H90" s="748" t="n"/>
      <c r="I90" s="693" t="n"/>
    </row>
    <row r="91">
      <c r="C91" s="590" t="n"/>
      <c r="D91" s="590" t="n"/>
      <c r="E91" s="590" t="n"/>
      <c r="F91" s="590" t="n"/>
      <c r="G91" s="735" t="n"/>
      <c r="H91" s="590" t="n"/>
    </row>
    <row r="92">
      <c r="C92" s="590" t="n"/>
      <c r="D92" s="590" t="n"/>
      <c r="E92" s="590" t="n"/>
      <c r="F92" s="590" t="n"/>
      <c r="G92" s="735" t="n"/>
      <c r="H92" s="590" t="n"/>
    </row>
    <row r="93">
      <c r="C93" s="590" t="n"/>
      <c r="D93" s="590" t="n"/>
      <c r="E93" s="590" t="n"/>
      <c r="F93" s="590" t="n"/>
      <c r="G93" s="735" t="n"/>
      <c r="H93" s="590" t="n"/>
    </row>
    <row r="94">
      <c r="C94" s="731" t="n"/>
      <c r="D94" s="731" t="n"/>
      <c r="E94" s="731" t="n"/>
      <c r="F94" s="731" t="n"/>
      <c r="G94" s="736" t="n"/>
      <c r="H94" s="731" t="n"/>
    </row>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6" ht="15.75" customHeight="1" thickBot="1"/>
    <row r="117" ht="15.75" customFormat="1" customHeight="1" s="765" thickTop="1">
      <c r="K117" s="765" t="n"/>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c r="G121" s="59" t="n"/>
      <c r="H121" s="59" t="n"/>
      <c r="I121" s="59" t="n"/>
      <c r="J121" s="59" t="n"/>
      <c r="K121" s="59" t="n"/>
      <c r="L121" s="59" t="n"/>
      <c r="M121" s="59" t="n"/>
      <c r="N121" s="59" t="n"/>
      <c r="O121" s="59" t="n"/>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n"/>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n"/>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n"/>
      <c r="L128" s="59" t="n"/>
      <c r="M128" s="59" t="n"/>
    </row>
    <row r="130">
      <c r="D130" s="59" t="n"/>
      <c r="K130" s="59">
        <f>K119</f>
        <v/>
      </c>
      <c r="L130" s="59">
        <f>L119</f>
        <v/>
      </c>
      <c r="M130" s="59">
        <f>M119</f>
        <v/>
      </c>
    </row>
    <row r="131">
      <c r="D131" s="59" t="inlineStr">
        <is>
          <t>Additional sales proceeds new homes</t>
        </is>
      </c>
      <c r="K131" s="225">
        <f>K130*$D$130</f>
        <v/>
      </c>
      <c r="L131" s="225">
        <f>L130*$D$130</f>
        <v/>
      </c>
      <c r="M131" s="225">
        <f>M130*$D$130</f>
        <v/>
      </c>
    </row>
    <row r="132">
      <c r="C132" s="711" t="n"/>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2: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 xml:space="preserve">MH/RV Rent Roll </t>
        </is>
      </c>
      <c r="C2" s="123" t="n"/>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TOH MH Site</t>
        </is>
      </c>
      <c r="C4" s="211">
        <f>COUNTIFS('Rent Roll Input'!$D$3:$D$1002,"Occupied",'Rent Roll Input'!$C$3:$C$1002,"TOH MH Site")</f>
        <v/>
      </c>
      <c r="D4" s="211">
        <f>COUNTIFS('Rent Roll Input'!$D$3:$D$1002,"Vacant",'Rent Roll Input'!$C$3:$C$1002,"TOH MH Site")</f>
        <v/>
      </c>
      <c r="E4" s="211">
        <f>SUM(C4:D4)</f>
        <v/>
      </c>
      <c r="F4" s="212">
        <f>SUMIFS('Rent Roll Input'!$I$3:$I$1002,'Rent Roll Input'!$D$3:$D$1002,"Occupied",'Rent Roll Input'!$C$3:$C$1002,"TOH MH Site")</f>
        <v/>
      </c>
      <c r="G4" s="212">
        <f>SUMIFS('Rent Roll Input'!$I$3:$I$1002,'Rent Roll Input'!$D$3:$D$1002,"Vacant",'Rent Roll Input'!$C$3:$C$1002,"TOH MH Site")</f>
        <v/>
      </c>
      <c r="H4" s="213">
        <f>F4+G4</f>
        <v/>
      </c>
      <c r="I4" s="213" t="n"/>
    </row>
    <row r="5" ht="20.25" customHeight="1">
      <c r="A5" s="125" t="n"/>
      <c r="B5" s="210" t="inlineStr">
        <is>
          <t>POH-Infilled units</t>
        </is>
      </c>
      <c r="C5" s="211">
        <f>COUNTIFS('Rent Roll Input'!$D$3:$D$1002,"Occupied",'Rent Roll Input'!$C$3:$C$1002,"POH-Infilled units")</f>
        <v/>
      </c>
      <c r="D5" s="211">
        <f>COUNTIFS('Rent Roll Input'!$D$3:$D$1002,"Vacant",'Rent Roll Input'!$C$3:$C$1002,"POH-Infilled units")</f>
        <v/>
      </c>
      <c r="E5" s="211">
        <f>SUM(C5:D5)</f>
        <v/>
      </c>
      <c r="F5" s="212">
        <f>SUMIFS('Rent Roll Input'!$I$3:$I$1002,'Rent Roll Input'!$D$3:$D$1002,"Occupied",'Rent Roll Input'!$C$3:$C$1002,"POH-Infilled units")</f>
        <v/>
      </c>
      <c r="G5" s="212">
        <f>SUMIFS('Rent Roll Input'!$I$3:$I$1002,'Rent Roll Input'!$D$3:$D$1002,"Vacant",'Rent Roll Input'!$C$3:$C$1002,"POH-Infilled units")</f>
        <v/>
      </c>
      <c r="H5" s="213">
        <f>F5+G5</f>
        <v/>
      </c>
      <c r="I5" s="213" t="n"/>
    </row>
    <row r="6" ht="20.25" customHeight="1">
      <c r="A6" s="125" t="n"/>
      <c r="B6" s="210" t="inlineStr">
        <is>
          <t>Long term RV Site</t>
        </is>
      </c>
      <c r="C6" s="211">
        <f>COUNTIFS('Rent Roll Input'!$D$3:$D$1002,"Occupied",'Rent Roll Input'!$C$3:$C$1002,"Long term RV Site")</f>
        <v/>
      </c>
      <c r="D6" s="211">
        <f>COUNTIFS('Rent Roll Input'!$D$3:$D$1002,"Vacant",'Rent Roll Input'!$C$3:$C$1002,"Long term RV Site")</f>
        <v/>
      </c>
      <c r="E6" s="211">
        <f>SUM(C6:D6)</f>
        <v/>
      </c>
      <c r="F6" s="212">
        <f>SUMIFS('Rent Roll Input'!$I$3:$I$1002,'Rent Roll Input'!$D$3:$D$1002,"Occupied",'Rent Roll Input'!$C$3:$C$1002,"Long term RV Site")</f>
        <v/>
      </c>
      <c r="G6" s="212">
        <f>SUMIFS('Rent Roll Input'!$I$3:$I$1002,'Rent Roll Input'!$D$3:$D$1002,"Vacant",'Rent Roll Input'!$C$3:$C$1002,"Long term RV Site")</f>
        <v/>
      </c>
      <c r="H6" s="213">
        <f>F6+G6</f>
        <v/>
      </c>
      <c r="I6" s="213" t="n"/>
    </row>
    <row r="7" ht="20.25" customHeight="1">
      <c r="A7" s="125" t="n"/>
      <c r="B7" s="210" t="inlineStr">
        <is>
          <t>Retail/Commercial</t>
        </is>
      </c>
      <c r="C7" s="211">
        <f>COUNTIFS('Rent Roll Input'!$D$3:$D$1002,"Occupied",'Rent Roll Input'!$C$3:$C$1002,"Retail/Commercial")</f>
        <v/>
      </c>
      <c r="D7" s="211">
        <f>COUNTIFS('Rent Roll Input'!$D$3:$D$1002,"Vacant",'Rent Roll Input'!$C$3:$C$1002,"Retail/Commercial")</f>
        <v/>
      </c>
      <c r="E7" s="211">
        <f>SUM(C7:D7)</f>
        <v/>
      </c>
      <c r="F7" s="212">
        <f>SUMIFS('Rent Roll Input'!$I$3:$I$1002,'Rent Roll Input'!$D$3:$D$1002,"Occupied",'Rent Roll Input'!$C$3:$C$1002,"Retail/Commercial")</f>
        <v/>
      </c>
      <c r="G7" s="212">
        <f>SUMIFS('Rent Roll Input'!$I$3:$I$1002,'Rent Roll Input'!$D$3:$D$1002,"Vacant",'Rent Roll Input'!$C$3:$C$1002,"Retail/Commercial")</f>
        <v/>
      </c>
      <c r="H7" s="213">
        <f>F7+G7</f>
        <v/>
      </c>
      <c r="I7" s="213" t="n"/>
    </row>
    <row r="8" ht="20.25" customHeight="1">
      <c r="A8" s="125" t="n"/>
      <c r="B8" s="210" t="inlineStr">
        <is>
          <t>Total Units</t>
        </is>
      </c>
      <c r="C8" s="211">
        <f>SUM(C4:C7)</f>
        <v/>
      </c>
      <c r="D8" s="211">
        <f>SUM(D4:D7)</f>
        <v/>
      </c>
      <c r="E8" s="211">
        <f>SUM(E4:E7)</f>
        <v/>
      </c>
      <c r="F8" s="212" t="n"/>
      <c r="G8" s="212" t="n"/>
      <c r="H8" s="213" t="n"/>
      <c r="I8" s="213" t="n"/>
    </row>
    <row r="9" ht="20.25" customHeight="1">
      <c r="A9" s="125" t="n"/>
      <c r="B9" s="210" t="inlineStr">
        <is>
          <t>Total MH Sites</t>
        </is>
      </c>
      <c r="C9" s="211">
        <f>SUM(C4:C5)</f>
        <v/>
      </c>
      <c r="D9" s="211">
        <f>SUM(D4:D5)</f>
        <v/>
      </c>
      <c r="E9" s="211">
        <f>SUM(E4:E5)</f>
        <v/>
      </c>
      <c r="F9" s="212">
        <f>SUM(F4:F5)</f>
        <v/>
      </c>
      <c r="G9" s="212">
        <f>SUM(G4:G5)</f>
        <v/>
      </c>
      <c r="H9" s="213">
        <f>SUM(H4:H5)</f>
        <v/>
      </c>
      <c r="I9" s="213" t="n"/>
    </row>
    <row r="10" ht="20.25" customHeight="1">
      <c r="A10" s="125" t="n"/>
      <c r="B10" s="210" t="inlineStr">
        <is>
          <t>Total POH</t>
        </is>
      </c>
      <c r="C10" s="211">
        <f>C5</f>
        <v/>
      </c>
      <c r="D10" s="211">
        <f>D5</f>
        <v/>
      </c>
      <c r="E10" s="211">
        <f>E5</f>
        <v/>
      </c>
      <c r="F10" s="212" t="n"/>
      <c r="G10" s="212" t="n"/>
      <c r="H10" s="213" t="n"/>
      <c r="I10" s="74" t="n"/>
    </row>
    <row r="11" ht="20.25" customHeight="1">
      <c r="B11" s="644" t="inlineStr">
        <is>
          <t>Annual GPR(MH Lot Rent)</t>
        </is>
      </c>
      <c r="C11" s="645">
        <f>H9*12</f>
        <v/>
      </c>
      <c r="D11" s="645" t="n"/>
      <c r="E11" s="645" t="n"/>
      <c r="F11" s="212" t="n"/>
      <c r="G11" s="212" t="n"/>
      <c r="H11" s="213" t="n"/>
      <c r="I11" s="74" t="n"/>
    </row>
    <row r="12" ht="19.5" customHeight="1">
      <c r="B12" s="90" t="inlineStr">
        <is>
          <t>Avg MH Lot Rent</t>
        </is>
      </c>
      <c r="C12" s="91">
        <f>IFERROR(H4/E4,0)</f>
        <v/>
      </c>
      <c r="D12" s="91" t="n"/>
      <c r="E12" s="91" t="n"/>
      <c r="F12" s="92" t="n"/>
      <c r="G12" s="92" t="n"/>
      <c r="H12" s="93" t="n"/>
      <c r="I12" s="74" t="n"/>
    </row>
    <row r="13" ht="19.5" customHeight="1">
      <c r="B13" s="640" t="inlineStr">
        <is>
          <t>Occupancy%</t>
        </is>
      </c>
      <c r="C13" s="641">
        <f>IFERROR(C8/E8,0)</f>
        <v/>
      </c>
      <c r="D13" s="641" t="n"/>
      <c r="E13" s="641" t="n"/>
      <c r="F13" s="642" t="n"/>
      <c r="G13" s="642" t="n"/>
      <c r="H13" s="643" t="n"/>
      <c r="I13" s="311" t="n"/>
    </row>
    <row r="14" ht="19.5" customHeight="1">
      <c r="B14" s="640" t="inlineStr">
        <is>
          <t>POH%</t>
        </is>
      </c>
      <c r="C14" s="641">
        <f>IFERROR(E10/E9,0)</f>
        <v/>
      </c>
      <c r="D14" s="641" t="n"/>
      <c r="E14" s="641" t="n"/>
      <c r="F14" s="642" t="n"/>
      <c r="G14" s="642" t="n"/>
      <c r="H14" s="643" t="n"/>
      <c r="I14" s="311" t="n"/>
    </row>
    <row r="15" ht="18" customHeight="1" thickBot="1">
      <c r="B15" s="86" t="inlineStr">
        <is>
          <t>Annual Long term RV</t>
        </is>
      </c>
      <c r="C15" s="87">
        <f>H6*12</f>
        <v/>
      </c>
      <c r="D15" s="87" t="n"/>
      <c r="E15" s="87" t="n"/>
      <c r="F15" s="88" t="n"/>
      <c r="G15" s="88" t="n"/>
      <c r="H15" s="89" t="n"/>
      <c r="I15" s="74" t="n"/>
    </row>
    <row r="16" ht="21" customHeight="1" thickBot="1">
      <c r="B16" s="168" t="inlineStr">
        <is>
          <t>Long term RV avg rent</t>
        </is>
      </c>
      <c r="C16" s="496">
        <f>IFERROR(H6/E6,0)</f>
        <v/>
      </c>
      <c r="D16" s="74" t="n"/>
      <c r="E16" s="74" t="n"/>
      <c r="F16" s="74" t="n"/>
      <c r="G16" s="74" t="n"/>
      <c r="H16" s="74" t="n"/>
      <c r="I16" s="74" t="n"/>
    </row>
    <row r="17" ht="21.75" customHeight="1">
      <c r="B17" s="989" t="n"/>
      <c r="C17" s="990" t="n"/>
      <c r="D17" s="991" t="n"/>
      <c r="E17" s="307" t="n"/>
      <c r="F17" s="991" t="n"/>
      <c r="G17" s="991" t="n"/>
      <c r="H17" s="991" t="n"/>
      <c r="I17" s="74" t="n"/>
    </row>
    <row r="18" ht="21" customHeight="1" thickBot="1">
      <c r="B18" s="992" t="n"/>
      <c r="C18" s="993" t="n"/>
      <c r="D18" s="991" t="n"/>
      <c r="E18" s="994" t="n"/>
      <c r="F18" s="991" t="n"/>
      <c r="G18" s="991" t="n"/>
      <c r="H18" s="991" t="n"/>
      <c r="I18" s="74" t="n"/>
    </row>
    <row r="19" ht="15.75" customFormat="1" customHeight="1" s="125" thickBot="1">
      <c r="B19" s="992" t="n"/>
      <c r="C19" s="993" t="n"/>
      <c r="F19" s="995" t="n"/>
      <c r="I19" s="325" t="n"/>
    </row>
    <row r="20" ht="15.75" customHeight="1" thickBot="1">
      <c r="B20" s="992" t="n"/>
      <c r="C20" s="993" t="n"/>
      <c r="D20" s="991" t="n"/>
      <c r="E20" s="991" t="n"/>
      <c r="F20" s="991" t="n"/>
      <c r="G20" s="991" t="n"/>
      <c r="H20" s="991" t="n"/>
      <c r="I20" s="325" t="n"/>
    </row>
    <row r="21" ht="15.75" customHeight="1" thickBot="1">
      <c r="B21" s="996" t="n"/>
      <c r="C21" s="990" t="n"/>
      <c r="D21" s="991" t="n"/>
      <c r="E21" s="991" t="n"/>
      <c r="F21" s="991" t="n"/>
      <c r="G21" s="991" t="n"/>
      <c r="H21" s="991" t="n"/>
      <c r="I21" s="325" t="n"/>
    </row>
    <row r="22" ht="15.75" customHeight="1" thickBot="1">
      <c r="B22" s="989" t="n"/>
      <c r="C22" s="990" t="n"/>
      <c r="D22" s="991" t="n"/>
      <c r="E22" s="991" t="n"/>
      <c r="F22" s="991" t="n"/>
      <c r="G22" s="991" t="n"/>
      <c r="H22" s="991" t="n"/>
      <c r="I22" s="325" t="n"/>
    </row>
    <row r="23" ht="15.75" customHeight="1" thickBot="1">
      <c r="B23" s="996" t="n"/>
      <c r="C23" s="990" t="n"/>
      <c r="D23" s="991" t="n"/>
      <c r="E23" s="991" t="n"/>
      <c r="F23" s="991" t="n"/>
      <c r="G23" s="991" t="n"/>
      <c r="H23" s="991" t="n"/>
      <c r="I23" s="325" t="n"/>
    </row>
    <row r="24">
      <c r="B24" s="90" t="inlineStr">
        <is>
          <t>Avg MH Lot Rent</t>
        </is>
      </c>
      <c r="C24" s="496">
        <f>'Rent Roll Input'!G1004</f>
        <v/>
      </c>
      <c r="D24" s="991" t="n"/>
      <c r="E24" s="991" t="n"/>
      <c r="F24" s="991" t="n"/>
      <c r="G24" s="991" t="n"/>
      <c r="H24" s="991"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85546875" customWidth="1" min="12" max="12"/>
    <col width="90.42578125" customWidth="1" min="13" max="13"/>
    <col width="9.85546875" bestFit="1" customWidth="1" style="59" min="14" max="14"/>
    <col width="34.42578125" customWidth="1" min="15" max="15"/>
    <col width="46.42578125" customWidth="1" min="16" max="16"/>
    <col width="25" customWidth="1" min="17" max="17"/>
    <col width="18.42578125" customWidth="1" min="18" max="18"/>
    <col width="18.7109375" customWidth="1" style="59" min="19" max="19"/>
    <col width="23.42578125"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F2" t="inlineStr">
        <is>
          <t>Broker's Proforma</t>
        </is>
      </c>
      <c r="G2" s="258" t="inlineStr">
        <is>
          <t>ALT NOI</t>
        </is>
      </c>
      <c r="H2" s="258" t="inlineStr">
        <is>
          <t>Lot Rent NOI</t>
        </is>
      </c>
      <c r="I2" s="258" t="n"/>
      <c r="J2" s="661" t="n"/>
      <c r="K2" s="662" t="inlineStr">
        <is>
          <t>Comps</t>
        </is>
      </c>
      <c r="L2" s="662" t="inlineStr">
        <is>
          <t>Comps</t>
        </is>
      </c>
      <c r="O2" s="59" t="n"/>
      <c r="P2" s="845" t="n">
        <v>46108</v>
      </c>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63" t="inlineStr">
        <is>
          <t>Notes</t>
        </is>
      </c>
      <c r="O3" s="487" t="n"/>
      <c r="P3" s="59" t="n"/>
      <c r="Q3" s="59" t="n"/>
      <c r="R3" s="59" t="n"/>
    </row>
    <row r="4" ht="19.5" customHeight="1" thickBot="1">
      <c r="A4" s="131" t="inlineStr">
        <is>
          <t>Gross Potential Rent</t>
        </is>
      </c>
      <c r="B4" s="126">
        <f>SUMIFS('Data Consolidation'!$D$3:$D$36,'Data Consolidation'!$A$3:$A$36,"Gross Potential Rent")</f>
        <v/>
      </c>
      <c r="C4" s="126">
        <f>SUMIFS('Data Consolidation'!$E$3:$E$36,'Data Consolidation'!$A$3:$A$36,"Gross Potential Rent")</f>
        <v/>
      </c>
      <c r="D4" s="126">
        <f>SUMIFS('Data Consolidation'!$G$3:$G$36,'Data Consolidation'!$A$3:$A$36,"Gross Potential Rent")</f>
        <v/>
      </c>
      <c r="E4" s="126">
        <f>SUMIFS('Data Consolidation'!$H$3:$H$36,'Data Consolidation'!$A$3:$A$36,"Gross Potential Rent")</f>
        <v/>
      </c>
      <c r="F4" s="126">
        <f>SUMIFS('Data Consolidation'!$F$3:$F$36,'Data Consolidation'!$A$3:$A$36,"Gross Potential Rent")</f>
        <v/>
      </c>
      <c r="G4" s="320">
        <f>'Unit Mix Rent Growth'!H14</f>
        <v/>
      </c>
      <c r="H4" s="320">
        <f>I4</f>
        <v/>
      </c>
      <c r="I4" s="320">
        <f>'Unit Mix Summary'!C11</f>
        <v/>
      </c>
      <c r="J4" s="663" t="n"/>
      <c r="K4" s="997" t="n"/>
      <c r="L4" s="867" t="n"/>
      <c r="M4" s="154" t="inlineStr">
        <is>
          <t>Property Name</t>
        </is>
      </c>
      <c r="O4" s="458" t="inlineStr">
        <is>
          <t>Purchase/Offer Price</t>
        </is>
      </c>
      <c r="P4" s="97">
        <f>IFERROR(IF(ISNUMBER(P9),P9,0),0)</f>
        <v/>
      </c>
      <c r="Q4" s="95" t="inlineStr">
        <is>
          <t>Purchase/Offer Price</t>
        </is>
      </c>
      <c r="R4" s="223" t="n"/>
      <c r="S4" s="458" t="inlineStr">
        <is>
          <t>Homes</t>
        </is>
      </c>
      <c r="T4" s="97" t="n"/>
    </row>
    <row r="5" ht="19.5" customHeight="1" thickBot="1">
      <c r="A5" s="132" t="inlineStr">
        <is>
          <t>Less: Vacancy</t>
        </is>
      </c>
      <c r="B5" s="846">
        <f>SUMIFS('Data Consolidation'!$D$3:$D$36,'Data Consolidation'!$A$3:$A$36,"Vacancy")</f>
        <v/>
      </c>
      <c r="C5" s="846">
        <f>SUMIFS('Data Consolidation'!$E$3:$E$36,'Data Consolidation'!$A$3:$A$36,"Vacancy")</f>
        <v/>
      </c>
      <c r="D5" s="846">
        <f>SUMIFS('Data Consolidation'!$G$3:$G$36,'Data Consolidation'!$A$3:$A$36,"Vacancy")</f>
        <v/>
      </c>
      <c r="E5" s="846">
        <f>SUMIFS('Data Consolidation'!$H$3:$H$36,'Data Consolidation'!$A$3:$A$36,"Vacancy")</f>
        <v/>
      </c>
      <c r="F5" s="846">
        <f>SUMIFS('Data Consolidation'!$F$3:$F$36,'Data Consolidation'!$A$3:$A$36,"Vacancy")</f>
        <v/>
      </c>
      <c r="G5" s="846">
        <f>-5%*G4</f>
        <v/>
      </c>
      <c r="H5" s="846">
        <f>I5</f>
        <v/>
      </c>
      <c r="I5" s="846">
        <f>-J5*I4</f>
        <v/>
      </c>
      <c r="J5" s="638">
        <f>100%-N8</f>
        <v/>
      </c>
      <c r="K5" s="998" t="inlineStr">
        <is>
          <t>Stabilized economic vacancy (5% industry benchmark)</t>
        </is>
      </c>
      <c r="L5" s="998" t="n"/>
      <c r="M5" s="154" t="inlineStr">
        <is>
          <t>Property Address</t>
        </is>
      </c>
      <c r="O5" s="96" t="inlineStr">
        <is>
          <t>Purchase Price Per Site</t>
        </is>
      </c>
      <c r="P5" s="98">
        <f>P4/N7</f>
        <v/>
      </c>
      <c r="Q5" s="96" t="inlineStr">
        <is>
          <t>Purchase Price Per Site</t>
        </is>
      </c>
      <c r="R5" s="224">
        <f>R4/P7</f>
        <v/>
      </c>
      <c r="S5" s="458" t="inlineStr">
        <is>
          <t>Utilities</t>
        </is>
      </c>
      <c r="T5" s="97" t="n"/>
    </row>
    <row r="6" ht="19.5" customHeight="1" thickBot="1">
      <c r="A6" s="132" t="inlineStr">
        <is>
          <t>Less: Concessions</t>
        </is>
      </c>
      <c r="B6" s="846">
        <f>SUMIFS('Data Consolidation'!$D$3:$D$36,'Data Consolidation'!$A$3:$A$36,"Concessions")</f>
        <v/>
      </c>
      <c r="C6" s="846">
        <f>SUMIFS('Data Consolidation'!$E$3:$E$36,'Data Consolidation'!$A$3:$A$36,"Concessions")</f>
        <v/>
      </c>
      <c r="D6" s="846">
        <f>SUMIFS('Data Consolidation'!$G$3:$G$36,'Data Consolidation'!$A$3:$A$36,"Concessions")</f>
        <v/>
      </c>
      <c r="E6" s="846">
        <f>SUMIFS('Data Consolidation'!$H$3:$H$36,'Data Consolidation'!$A$3:$A$36,"Concessions")</f>
        <v/>
      </c>
      <c r="F6" s="846">
        <f>SUMIFS('Data Consolidation'!$F$3:$F$36,'Data Consolidation'!$A$3:$A$36,"Concessions")</f>
        <v/>
      </c>
      <c r="G6" s="846">
        <f>-J6*$G$4</f>
        <v/>
      </c>
      <c r="H6" s="846">
        <f>I6</f>
        <v/>
      </c>
      <c r="I6" s="846" t="n">
        <v>0</v>
      </c>
      <c r="J6" s="94">
        <f>-I6/I4</f>
        <v/>
      </c>
      <c r="K6" s="998" t="n"/>
      <c r="L6" s="998" t="n"/>
      <c r="M6" s="154" t="inlineStr">
        <is>
          <t>Property Type</t>
        </is>
      </c>
      <c r="O6" s="96" t="inlineStr">
        <is>
          <t>Underwritten CAP rate</t>
        </is>
      </c>
      <c r="P6" s="98">
        <f>I47/P4</f>
        <v/>
      </c>
      <c r="Q6" s="96" t="inlineStr">
        <is>
          <t>Underwritten CAP rate</t>
        </is>
      </c>
      <c r="R6" s="328">
        <f>I47/R4</f>
        <v/>
      </c>
      <c r="S6" s="988" t="n"/>
      <c r="T6" s="97" t="n"/>
    </row>
    <row r="7" ht="19.5" customHeight="1" thickBot="1">
      <c r="A7" s="132" t="inlineStr">
        <is>
          <t>Less: Bad Debt</t>
        </is>
      </c>
      <c r="B7" s="127">
        <f>SUMIFS('Data Consolidation'!$D$3:$D$36,'Data Consolidation'!$A$3:$A$36,"Bad Debt")</f>
        <v/>
      </c>
      <c r="C7" s="127">
        <f>SUMIFS('Data Consolidation'!$E$3:$E$36,'Data Consolidation'!$A$3:$A$36,"Bad Debt")</f>
        <v/>
      </c>
      <c r="D7" s="127">
        <f>SUMIFS('Data Consolidation'!$G$3:$G$36,'Data Consolidation'!$A$3:$A$36,"Bad Debt")</f>
        <v/>
      </c>
      <c r="E7" s="127">
        <f>SUMIFS('Data Consolidation'!$H$3:$H$36,'Data Consolidation'!$A$3:$A$36,"Bad Debt")</f>
        <v/>
      </c>
      <c r="F7" s="127">
        <f>SUMIFS('Data Consolidation'!$F$3:$F$36,'Data Consolidation'!$A$3:$A$36,"Bad Debt")</f>
        <v/>
      </c>
      <c r="G7" s="108">
        <f>-J7*$G$4</f>
        <v/>
      </c>
      <c r="H7" s="108">
        <f>I7</f>
        <v/>
      </c>
      <c r="I7" s="108">
        <f>D7</f>
        <v/>
      </c>
      <c r="J7" s="94" t="n">
        <v>0.03</v>
      </c>
      <c r="K7" s="998" t="inlineStr">
        <is>
          <t>T12 actual; 3% fallback when no trend signal</t>
        </is>
      </c>
      <c r="L7" s="998" t="n"/>
      <c r="M7" s="154" t="inlineStr">
        <is>
          <t># of Units</t>
        </is>
      </c>
      <c r="N7">
        <f>'Unit Mix Summary'!E8</f>
        <v/>
      </c>
      <c r="O7" s="96" t="inlineStr">
        <is>
          <t>Stabilized YOC</t>
        </is>
      </c>
      <c r="P7" s="459">
        <f>G47/'Sources and Uses'!C18</f>
        <v/>
      </c>
      <c r="Q7" s="96" t="inlineStr">
        <is>
          <t>Stabilized YOC</t>
        </is>
      </c>
      <c r="R7" s="261">
        <f>G47/'Sources and Uses'!C18</f>
        <v/>
      </c>
    </row>
    <row r="8" ht="19.5" customHeight="1" thickBot="1">
      <c r="A8" s="478" t="n"/>
      <c r="B8" s="127" t="n"/>
      <c r="C8" s="127" t="n"/>
      <c r="D8" s="127" t="n"/>
      <c r="E8" s="127" t="n"/>
      <c r="F8" s="127" t="n"/>
      <c r="G8" s="479" t="n"/>
      <c r="H8" s="479" t="n"/>
      <c r="I8" s="479" t="n"/>
      <c r="J8" s="480" t="n"/>
      <c r="K8" s="997" t="n"/>
      <c r="L8" s="999" t="n"/>
      <c r="M8" s="154" t="inlineStr">
        <is>
          <t>Rent Roll Occupancy</t>
        </is>
      </c>
      <c r="N8">
        <f>'Unit Mix Summary'!C13</f>
        <v/>
      </c>
      <c r="O8" s="111" t="n"/>
      <c r="P8" s="321">
        <f>'Unit Mix Summary'!C18</f>
        <v/>
      </c>
      <c r="Q8" s="481" t="n"/>
      <c r="R8" s="482"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1000" t="n"/>
      <c r="L9" s="1000" t="n"/>
      <c r="M9" s="633" t="inlineStr">
        <is>
          <t>Acreage</t>
        </is>
      </c>
      <c r="O9" s="96" t="inlineStr">
        <is>
          <t>Asking Price by Seller</t>
        </is>
      </c>
      <c r="P9" s="98" t="n"/>
      <c r="Q9" s="95" t="inlineStr">
        <is>
          <t>Asking Price by Seller</t>
        </is>
      </c>
      <c r="R9" s="223" t="n"/>
    </row>
    <row r="10" ht="15.6" customHeight="1" thickBot="1">
      <c r="A10" s="116" t="inlineStr">
        <is>
          <t>YoY % Growth</t>
        </is>
      </c>
      <c r="B10" s="72" t="n"/>
      <c r="C10" s="326">
        <f>(C9-B9)/B9</f>
        <v/>
      </c>
      <c r="D10" s="326">
        <f>(D9-C9)/C9</f>
        <v/>
      </c>
      <c r="E10" s="326">
        <f>(E9-D9)/D9</f>
        <v/>
      </c>
      <c r="F10" s="73" t="n"/>
      <c r="G10" s="317" t="n"/>
      <c r="H10" s="317" t="n"/>
      <c r="I10" s="317" t="n"/>
      <c r="J10" s="665">
        <f>I9/$N$7</f>
        <v/>
      </c>
      <c r="K10" s="1001" t="n"/>
      <c r="L10" s="1001" t="n"/>
      <c r="M10" s="633" t="inlineStr">
        <is>
          <t>County</t>
        </is>
      </c>
      <c r="O10" s="96" t="inlineStr">
        <is>
          <t>Asking Price Per Site</t>
        </is>
      </c>
      <c r="P10" s="98">
        <f>P9/N7</f>
        <v/>
      </c>
      <c r="Q10" s="95" t="inlineStr">
        <is>
          <t xml:space="preserve">Asking Price Per Site </t>
        </is>
      </c>
      <c r="R10" s="488">
        <f>R9/P7</f>
        <v/>
      </c>
    </row>
    <row r="11" ht="3" customFormat="1" customHeight="1" s="59" thickBot="1">
      <c r="A11" s="297" t="n"/>
      <c r="B11" s="289" t="n"/>
      <c r="C11" s="289" t="n"/>
      <c r="D11" s="289" t="n"/>
      <c r="E11" s="289" t="n"/>
      <c r="F11" s="289" t="n"/>
      <c r="G11" s="318" t="n"/>
      <c r="H11" s="318" t="n"/>
      <c r="I11" s="318" t="n"/>
      <c r="J11" s="318" t="n"/>
      <c r="K11" s="867" t="n"/>
      <c r="L11" s="867" t="n"/>
      <c r="M11" s="298" t="n"/>
    </row>
    <row r="12" ht="23.25" customHeight="1">
      <c r="A12" s="133" t="inlineStr">
        <is>
          <t>Utility Reimbursement</t>
        </is>
      </c>
      <c r="B12" s="127">
        <f>SUMIFS('Data Consolidation'!$D$3:$D$36,'Data Consolidation'!$A$3:$A$36,"Utility Reimbursement")</f>
        <v/>
      </c>
      <c r="C12" s="127">
        <f>SUMIFS('Data Consolidation'!$E$3:$E$36,'Data Consolidation'!$A$3:$A$36,"Utility Reimbursement")</f>
        <v/>
      </c>
      <c r="D12" s="127">
        <f>SUMIFS('Data Consolidation'!$G$3:$G$36,'Data Consolidation'!$A$3:$A$36,"Utility Reimbursement")</f>
        <v/>
      </c>
      <c r="E12" s="127">
        <f>SUMIFS('Data Consolidation'!$H$3:$H$36,'Data Consolidation'!$A$3:$A$36,"Utility Reimbursement")</f>
        <v/>
      </c>
      <c r="F12" s="127">
        <f>SUMIFS('Data Consolidation'!$F$3:$F$36,'Data Consolidation'!$A$3:$A$36,"Utility Reimbursement")</f>
        <v/>
      </c>
      <c r="G12" s="108">
        <f>I12</f>
        <v/>
      </c>
      <c r="H12" s="108">
        <f>I12</f>
        <v/>
      </c>
      <c r="I12" s="108">
        <f>D12</f>
        <v/>
      </c>
      <c r="J12" s="108">
        <f>I12/$N$7</f>
        <v/>
      </c>
      <c r="K12" s="1002" t="n"/>
      <c r="L12" s="1002" t="n"/>
      <c r="M12" s="154" t="n"/>
      <c r="O12" s="329" t="inlineStr">
        <is>
          <t>Brookings Multifamily cap rate at 6%-7.5%</t>
        </is>
      </c>
      <c r="P12" s="329" t="n"/>
      <c r="Q12" s="329" t="inlineStr">
        <is>
          <t>Cap Rate</t>
        </is>
      </c>
      <c r="R12" s="329" t="inlineStr">
        <is>
          <t>Value</t>
        </is>
      </c>
      <c r="S12" s="329" t="inlineStr">
        <is>
          <t>Value/Unit</t>
        </is>
      </c>
      <c r="T12" s="329" t="inlineStr">
        <is>
          <t>#Units</t>
        </is>
      </c>
      <c r="U12" s="806" t="n"/>
    </row>
    <row r="13" ht="21.75" customHeight="1">
      <c r="A13" s="134" t="inlineStr">
        <is>
          <t>Home Rent Income</t>
        </is>
      </c>
      <c r="B13" s="127">
        <f>SUMIFS('Data Consolidation'!$D$3:$D$36,'Data Consolidation'!$A$3:$A$36,"Home Rent Income")</f>
        <v/>
      </c>
      <c r="C13" s="127">
        <f>SUMIFS('Data Consolidation'!$E$3:$E$36,'Data Consolidation'!$A$3:$A$36,"Home Rent Income")</f>
        <v/>
      </c>
      <c r="D13" s="127">
        <f>SUMIFS('Data Consolidation'!$G$3:$G$36,'Data Consolidation'!$A$3:$A$36,"Home Rent Income")</f>
        <v/>
      </c>
      <c r="E13" s="127">
        <f>SUMIFS('Data Consolidation'!$H$3:$H$36,'Data Consolidation'!$A$3:$A$36,"Home Rent Income")</f>
        <v/>
      </c>
      <c r="F13" s="127">
        <f>SUMIFS('Data Consolidation'!$F$3:$F$36,'Data Consolidation'!$A$3:$A$36,"Home Rent Income")</f>
        <v/>
      </c>
      <c r="G13" s="108">
        <f>SUM('Rent Roll Input'!J3:J1002)*12*95%</f>
        <v/>
      </c>
      <c r="H13" s="108" t="n">
        <v>0</v>
      </c>
      <c r="I13" s="108">
        <f>G13</f>
        <v/>
      </c>
      <c r="J13" s="108">
        <f>I13/$N$7</f>
        <v/>
      </c>
      <c r="K13" s="1002" t="n"/>
      <c r="L13" s="1002" t="n"/>
      <c r="M13" s="327" t="inlineStr">
        <is>
          <t>Asset</t>
        </is>
      </c>
      <c r="N13" t="inlineStr">
        <is>
          <t>NOI</t>
        </is>
      </c>
      <c r="O13" s="275" t="inlineStr">
        <is>
          <t>CAP RATE</t>
        </is>
      </c>
      <c r="P13" s="852" t="inlineStr">
        <is>
          <t>VALUE</t>
        </is>
      </c>
      <c r="Q13" s="670" t="n">
        <v>0</v>
      </c>
      <c r="R13" s="853">
        <f>P13/Q13</f>
        <v/>
      </c>
      <c r="S13" s="853">
        <f>R13/T13</f>
        <v/>
      </c>
      <c r="T13" s="671" t="n">
        <v>0</v>
      </c>
      <c r="U13" s="854" t="n"/>
    </row>
    <row r="14" ht="21" customHeight="1">
      <c r="A14" s="134" t="inlineStr">
        <is>
          <t>RV Site Rental Income</t>
        </is>
      </c>
      <c r="B14" s="127">
        <f>SUMIFS('Data Consolidation'!$D$3:$D$36,'Data Consolidation'!$A$3:$A$36,"RV Site Rental Income")</f>
        <v/>
      </c>
      <c r="C14" s="127">
        <f>SUMIFS('Data Consolidation'!$E$3:$E$36,'Data Consolidation'!$A$3:$A$36,"RV Site Rental Income")</f>
        <v/>
      </c>
      <c r="D14" s="127">
        <f>SUMIFS('Data Consolidation'!$G$3:$G$36,'Data Consolidation'!$A$3:$A$36,"RV Site Rental Income")</f>
        <v/>
      </c>
      <c r="E14" s="127">
        <f>SUMIFS('Data Consolidation'!$H$3:$H$36,'Data Consolidation'!$A$3:$A$36,"RV Site Rental Income")</f>
        <v/>
      </c>
      <c r="F14" s="127">
        <f>SUMIFS('Data Consolidation'!$F$3:$F$36,'Data Consolidation'!$A$3:$A$36,"RV Site Rental Income")</f>
        <v/>
      </c>
      <c r="G14" s="108">
        <f>I14</f>
        <v/>
      </c>
      <c r="H14" s="108">
        <f>I14</f>
        <v/>
      </c>
      <c r="I14" s="108">
        <f>'Unit Mix Summary'!C15*90%</f>
        <v/>
      </c>
      <c r="J14" s="108">
        <f>I14/$N$7</f>
        <v/>
      </c>
      <c r="K14" s="1002" t="n"/>
      <c r="L14" s="1002" t="n"/>
      <c r="M14" s="154" t="inlineStr">
        <is>
          <t>Lot Rent NOI</t>
        </is>
      </c>
      <c r="N14">
        <f>H47</f>
        <v/>
      </c>
      <c r="O14" s="275" t="n">
        <v>0.06</v>
      </c>
      <c r="P14" s="669">
        <f>N14/O14</f>
        <v/>
      </c>
      <c r="Q14" s="725" t="inlineStr">
        <is>
          <t>Methodology range: 5-7%</t>
        </is>
      </c>
      <c r="R14" s="853">
        <f>P14/Q14</f>
        <v/>
      </c>
      <c r="S14" s="853">
        <f>R14/T14</f>
        <v/>
      </c>
      <c r="T14" s="671" t="n">
        <v>0</v>
      </c>
      <c r="U14" s="854" t="n"/>
    </row>
    <row r="15" ht="21.75" customHeight="1">
      <c r="A15" s="134" t="inlineStr">
        <is>
          <t>Storage Income</t>
        </is>
      </c>
      <c r="B15" s="127">
        <f>SUMIFS('Data Consolidation'!$D$3:$D$36,'Data Consolidation'!$A$3:$A$36,"Parking Income")</f>
        <v/>
      </c>
      <c r="C15" s="127">
        <f>SUMIFS('Data Consolidation'!$E$3:$E$36,'Data Consolidation'!$A$3:$A$36,"Parking Income")</f>
        <v/>
      </c>
      <c r="D15" s="127">
        <f>SUMIFS('Data Consolidation'!$G$3:$G$36,'Data Consolidation'!$A$3:$A$36,"Parking Income")</f>
        <v/>
      </c>
      <c r="E15" s="127">
        <f>SUMIFS('Data Consolidation'!$H$3:$H$36,'Data Consolidation'!$A$3:$A$36,"Parking Income")</f>
        <v/>
      </c>
      <c r="F15" s="127">
        <f>SUMIFS('Data Consolidation'!$F$3:$F$36,'Data Consolidation'!$A$3:$A$36,"Parking Income")</f>
        <v/>
      </c>
      <c r="G15" s="108">
        <f>I15</f>
        <v/>
      </c>
      <c r="H15" s="108">
        <f>I15</f>
        <v/>
      </c>
      <c r="I15" s="108">
        <f>D15</f>
        <v/>
      </c>
      <c r="J15" s="108">
        <f>I15/$N$7</f>
        <v/>
      </c>
      <c r="K15" s="1002" t="n"/>
      <c r="L15" s="1002" t="n"/>
      <c r="M15" s="154" t="inlineStr">
        <is>
          <t>Home Rent NOI</t>
        </is>
      </c>
      <c r="N15" s="225">
        <f>I47-H47</f>
        <v/>
      </c>
      <c r="O15" s="275" t="n">
        <v>0.135</v>
      </c>
      <c r="P15" s="669">
        <f>N15/O15</f>
        <v/>
      </c>
      <c r="Q15" s="672" t="inlineStr">
        <is>
          <t>Methodology range: 12-15%</t>
        </is>
      </c>
      <c r="R15" s="853" t="n"/>
      <c r="S15" s="671" t="n"/>
      <c r="T15" s="671" t="n"/>
      <c r="U15" s="854" t="n"/>
    </row>
    <row r="16" ht="21.75" customHeight="1">
      <c r="A16" s="134" t="inlineStr">
        <is>
          <t>Retail Income</t>
        </is>
      </c>
      <c r="B16" s="127">
        <f>SUMIFS('Data Consolidation'!$D$3:$D$36,'Data Consolidation'!$A$3:$A$36,"Laundry Income")</f>
        <v/>
      </c>
      <c r="C16" s="127">
        <f>SUMIFS('Data Consolidation'!$E$3:$E$36,'Data Consolidation'!$A$3:$A$36,"Retail")</f>
        <v/>
      </c>
      <c r="D16" s="127">
        <f>SUMIFS('Data Consolidation'!$G$3:$G$36,'Data Consolidation'!$A$3:$A$36,"Retail")</f>
        <v/>
      </c>
      <c r="E16" s="127">
        <f>SUMIFS('Data Consolidation'!$H$3:$H$36,'Data Consolidation'!$A$3:$A$36,"Retail")</f>
        <v/>
      </c>
      <c r="F16" s="127">
        <f>SUMIFS('Data Consolidation'!$F$3:$F$36,'Data Consolidation'!$A$3:$A$36,"Retail")</f>
        <v/>
      </c>
      <c r="G16" s="108">
        <f>I16</f>
        <v/>
      </c>
      <c r="H16" s="108" t="n"/>
      <c r="I16" s="108">
        <f>'Unit Mix Summary'!H7*12*98%</f>
        <v/>
      </c>
      <c r="J16" s="108">
        <f>I16/$N$7</f>
        <v/>
      </c>
      <c r="K16" s="1002" t="n"/>
      <c r="L16" s="1002" t="n"/>
      <c r="M16" s="154" t="inlineStr">
        <is>
          <t>Total</t>
        </is>
      </c>
      <c r="N16">
        <f>SUM(N14:N15)</f>
        <v/>
      </c>
      <c r="O16" s="313">
        <f>N16/P16</f>
        <v/>
      </c>
      <c r="P16" s="314">
        <f>SUM(P14:P15)</f>
        <v/>
      </c>
      <c r="Q16" s="671" t="n"/>
      <c r="R16" s="853" t="n"/>
      <c r="S16" s="671" t="n"/>
      <c r="T16" s="671" t="n"/>
      <c r="U16" s="854" t="n"/>
    </row>
    <row r="17" ht="17.25" customHeight="1">
      <c r="A17" s="134" t="inlineStr">
        <is>
          <t>Other Income</t>
        </is>
      </c>
      <c r="B17" s="127">
        <f>SUMIFS('Data Consolidation'!$D$3:$D$36,'Data Consolidation'!$A$3:$A$36,"Other Income")</f>
        <v/>
      </c>
      <c r="C17" s="127">
        <f>SUMIFS('Data Consolidation'!$E$3:$E$36,'Data Consolidation'!$A$3:$A$36,"Other Income")</f>
        <v/>
      </c>
      <c r="D17" s="127">
        <f>SUMIFS('Data Consolidation'!$G$3:$G$36,'Data Consolidation'!$A$3:$A$36,"Other Income")</f>
        <v/>
      </c>
      <c r="E17" s="127">
        <f>SUMIFS('Data Consolidation'!$H$3:$H$36,'Data Consolidation'!$A$3:$A$36,"Other Income")</f>
        <v/>
      </c>
      <c r="F17" s="127">
        <f>SUMIFS('Data Consolidation'!$F$3:$F$36,'Data Consolidation'!$A$3:$A$36,"Other Income")</f>
        <v/>
      </c>
      <c r="G17" s="108">
        <f>I17</f>
        <v/>
      </c>
      <c r="H17" s="108">
        <f>I17</f>
        <v/>
      </c>
      <c r="I17" s="108">
        <f>AVERAGE(C17,D17)</f>
        <v/>
      </c>
      <c r="J17" s="108">
        <f>I17/$N$7</f>
        <v/>
      </c>
      <c r="K17" s="1002" t="n"/>
      <c r="L17" s="1002"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I19/$N$7</f>
        <v/>
      </c>
      <c r="K19" s="856" t="n"/>
      <c r="L19" s="856" t="n"/>
      <c r="M19" s="633" t="inlineStr">
        <is>
          <t>per month</t>
        </is>
      </c>
      <c r="O19" s="988" t="n"/>
      <c r="P19" s="988" t="n"/>
      <c r="Q19" s="988" t="n"/>
      <c r="R19" s="59" t="n"/>
    </row>
    <row r="20" ht="14.25" customHeight="1" thickBot="1">
      <c r="A20" s="118" t="inlineStr">
        <is>
          <t>YoY % Growth</t>
        </is>
      </c>
      <c r="B20" s="229" t="n"/>
      <c r="C20" s="230">
        <f>(C19-B19)/B19</f>
        <v/>
      </c>
      <c r="D20" s="230">
        <f>(D19-C19)/C19</f>
        <v/>
      </c>
      <c r="E20" s="230">
        <f>(E19-D19)/D19</f>
        <v/>
      </c>
      <c r="F20" s="70" t="n"/>
      <c r="G20" s="105" t="n"/>
      <c r="H20" s="105" t="n"/>
      <c r="I20" s="105" t="n"/>
      <c r="J20" s="666" t="n"/>
      <c r="K20" s="856" t="n"/>
      <c r="L20" s="856" t="n"/>
      <c r="M20" s="633" t="inlineStr">
        <is>
          <t>per unit</t>
        </is>
      </c>
      <c r="O20" s="985" t="n"/>
      <c r="P20" s="1051" t="n"/>
      <c r="Q20" s="988"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69" t="inlineStr">
        <is>
          <t>Notes</t>
        </is>
      </c>
      <c r="O21" s="985" t="n"/>
      <c r="P21" s="1052" t="n"/>
      <c r="Q21" s="988" t="n"/>
      <c r="R21" s="59" t="n"/>
    </row>
    <row r="22" ht="19.5" customHeight="1">
      <c r="A22" s="134" t="inlineStr">
        <is>
          <t>RE Taxes</t>
        </is>
      </c>
      <c r="B22" s="127">
        <f>SUMIFS('Data Consolidation'!$D$43:$D$102,'Data Consolidation'!$A$43:$A$102,"RE Taxes")</f>
        <v/>
      </c>
      <c r="C22" s="127">
        <f>SUMIFS('Data Consolidation'!$E$43:$E$102,'Data Consolidation'!$A$43:$A$102,"RE Taxes")</f>
        <v/>
      </c>
      <c r="D22" s="127">
        <f>SUMIFS('Data Consolidation'!$G$43:$G$102,'Data Consolidation'!$A$43:$A$102,"RE Taxes")</f>
        <v/>
      </c>
      <c r="E22" s="127">
        <f>SUMIFS('Data Consolidation'!$H$43:$H$102,'Data Consolidation'!$A$43:$A$102,"RE Taxes")</f>
        <v/>
      </c>
      <c r="F22" s="127">
        <f>SUMIFS('Data Consolidation'!$F$43:$F$102,'Data Consolidation'!$A$43:$A$102,"RE Taxes")</f>
        <v/>
      </c>
      <c r="G22" s="324">
        <f>I22</f>
        <v/>
      </c>
      <c r="H22" s="324">
        <f>I22</f>
        <v/>
      </c>
      <c r="I22" s="324">
        <f>J22*N7</f>
        <v/>
      </c>
      <c r="J22" s="108" t="n">
        <v>400</v>
      </c>
      <c r="K22" s="851" t="n"/>
      <c r="L22" s="857" t="n"/>
      <c r="M22" s="274" t="n"/>
      <c r="O22" s="985" t="n"/>
      <c r="P22" s="987" t="n"/>
      <c r="Q22" s="988" t="n"/>
      <c r="R22" s="59" t="n"/>
    </row>
    <row r="23" ht="15" customHeight="1">
      <c r="A23" s="134" t="inlineStr">
        <is>
          <t>Insurance</t>
        </is>
      </c>
      <c r="B23" s="127">
        <f>SUMIFS('Data Consolidation'!$D$43:$D$102,'Data Consolidation'!$A$43:$A$102,"Insurance")</f>
        <v/>
      </c>
      <c r="C23" s="127">
        <f>SUMIFS('Data Consolidation'!$E$43:$E$102,'Data Consolidation'!$A$43:$A$102,"Insurance")</f>
        <v/>
      </c>
      <c r="D23" s="127">
        <f>SUMIFS('Data Consolidation'!$G$43:$G$102,'Data Consolidation'!$A$43:$A$102,"Insurance")</f>
        <v/>
      </c>
      <c r="E23" s="127">
        <f>SUMIFS('Data Consolidation'!$H$43:$H$102,'Data Consolidation'!$A$43:$A$102,"Insurance")</f>
        <v/>
      </c>
      <c r="F23" s="127">
        <f>SUMIFS('Data Consolidation'!$F$43:$F$102,'Data Consolidation'!$A$43:$A$102,"Insurance")</f>
        <v/>
      </c>
      <c r="G23" s="324">
        <f>I23</f>
        <v/>
      </c>
      <c r="H23" s="108">
        <f>I23</f>
        <v/>
      </c>
      <c r="I23" s="108">
        <f>D23*1.05</f>
        <v/>
      </c>
      <c r="J23" s="108">
        <f>I23/$N$7</f>
        <v/>
      </c>
      <c r="K23" s="851" t="n"/>
      <c r="L23" s="857" t="n"/>
      <c r="M23" s="274" t="n"/>
    </row>
    <row r="24" ht="16.5" customHeight="1">
      <c r="A24" s="291" t="n"/>
      <c r="B24" s="292" t="n"/>
      <c r="C24" s="292" t="n"/>
      <c r="D24" s="292" t="n"/>
      <c r="E24" s="292" t="n"/>
      <c r="F24" s="293" t="n"/>
      <c r="G24" s="294" t="n"/>
      <c r="H24" s="294" t="n"/>
      <c r="I24" s="294" t="n"/>
      <c r="J24" s="295" t="n"/>
      <c r="K24" s="703" t="n"/>
      <c r="L24" s="646" t="n"/>
      <c r="M24" s="296" t="n"/>
    </row>
    <row r="25" ht="19.5" customHeight="1">
      <c r="A25" s="134" t="inlineStr">
        <is>
          <t>Gas/Fuel</t>
        </is>
      </c>
      <c r="B25" s="127">
        <f>SUMIFS('Data Consolidation'!$D$43:$D$102,'Data Consolidation'!$A$43:$A$102,"Gas/Fuel")</f>
        <v/>
      </c>
      <c r="C25" s="127">
        <f>SUMIFS('Data Consolidation'!$E$43:$E$102,'Data Consolidation'!$A$43:$A$102,"Gas/Fuel")</f>
        <v/>
      </c>
      <c r="D25" s="127">
        <f>SUMIFS('Data Consolidation'!$G$43:$G$102,'Data Consolidation'!$A$43:$A$102,"Gas/Fuel")</f>
        <v/>
      </c>
      <c r="E25" s="127">
        <f>SUMIFS('Data Consolidation'!$H$43:$H$102,'Data Consolidation'!$A$43:$A$102,"Gas/Fuel")</f>
        <v/>
      </c>
      <c r="F25" s="127">
        <f>SUMIFS('Data Consolidation'!$F$43:$F$102,'Data Consolidation'!$A$43:$A$102,"Gas/Fuel")</f>
        <v/>
      </c>
      <c r="G25" s="324">
        <f>I25</f>
        <v/>
      </c>
      <c r="H25" s="108">
        <f>I25</f>
        <v/>
      </c>
      <c r="I25" s="108">
        <f>D25*1.03</f>
        <v/>
      </c>
      <c r="J25" s="108">
        <f>I25/$N$7</f>
        <v/>
      </c>
      <c r="K25" s="851" t="n"/>
      <c r="L25" s="857" t="n"/>
      <c r="M25" s="154" t="n"/>
      <c r="O25" s="244" t="n"/>
      <c r="P25" s="244" t="n"/>
      <c r="Q25" s="244" t="n"/>
      <c r="R25" s="244" t="n"/>
      <c r="S25" s="244" t="n"/>
      <c r="T25" s="1003" t="n"/>
      <c r="U25" s="244" t="n"/>
      <c r="V25" s="244" t="n"/>
      <c r="W25" s="244" t="n"/>
      <c r="X25" s="244" t="n"/>
    </row>
    <row r="26" ht="19.5" customHeight="1">
      <c r="A26" s="134" t="inlineStr">
        <is>
          <t>Electricity</t>
        </is>
      </c>
      <c r="B26" s="127">
        <f>SUMIFS('Data Consolidation'!$D$43:$D$102,'Data Consolidation'!$A$43:$A$102,"Electricity")</f>
        <v/>
      </c>
      <c r="C26" s="127">
        <f>SUMIFS('Data Consolidation'!$E$43:$E$102,'Data Consolidation'!$A$43:$A$102,"Electricity")</f>
        <v/>
      </c>
      <c r="D26" s="127">
        <f>SUMIFS('Data Consolidation'!$G$43:$G$102,'Data Consolidation'!$A$43:$A$102,"Electricity")</f>
        <v/>
      </c>
      <c r="E26" s="127">
        <f>SUMIFS('Data Consolidation'!$H$43:$H$102,'Data Consolidation'!$A$43:$A$102,"Electricity")</f>
        <v/>
      </c>
      <c r="F26" s="127">
        <f>SUMIFS('Data Consolidation'!$F$43:$F$102,'Data Consolidation'!$A$43:$A$102,"Electricity")</f>
        <v/>
      </c>
      <c r="G26" s="324">
        <f>I26</f>
        <v/>
      </c>
      <c r="H26" s="108">
        <f>I26</f>
        <v/>
      </c>
      <c r="I26" s="108">
        <f>D26*1.03</f>
        <v/>
      </c>
      <c r="J26" s="108">
        <f>I26/$N$7</f>
        <v/>
      </c>
      <c r="K26" s="851" t="n"/>
      <c r="L26" s="857" t="n"/>
      <c r="M26" s="154" t="n"/>
      <c r="O26" s="1004" t="n"/>
      <c r="P26" s="1005" t="n"/>
      <c r="Q26" s="1006" t="n"/>
      <c r="R26" s="1006" t="n"/>
      <c r="S26" s="1006" t="n"/>
      <c r="T26" s="1007" t="n"/>
      <c r="U26" s="1006" t="n"/>
      <c r="V26" s="1006" t="n"/>
      <c r="W26" s="1006" t="n"/>
      <c r="X26" s="1004" t="n"/>
    </row>
    <row r="27" ht="17.45" customHeight="1">
      <c r="A27" s="134" t="inlineStr">
        <is>
          <t>Water and Sewer</t>
        </is>
      </c>
      <c r="B27" s="127">
        <f>SUMIFS('Data Consolidation'!$D$43:$D$102,'Data Consolidation'!$A$43:$A$102,"Water and Sewer")</f>
        <v/>
      </c>
      <c r="C27" s="127">
        <f>SUMIFS('Data Consolidation'!$E$43:$E$102,'Data Consolidation'!$A$43:$A$102,"Water and Sewer")</f>
        <v/>
      </c>
      <c r="D27" s="127">
        <f>SUMIFS('Data Consolidation'!$G$43:$G$102,'Data Consolidation'!$A$43:$A$102,"Water and Sewer")</f>
        <v/>
      </c>
      <c r="E27" s="127">
        <f>SUMIFS('Data Consolidation'!$H$43:$H$102,'Data Consolidation'!$A$43:$A$102,"Water and Sewer")</f>
        <v/>
      </c>
      <c r="F27" s="127">
        <f>SUMIFS('Data Consolidation'!$F$43:$F$102,'Data Consolidation'!$A$43:$A$102,"Water and Sewer")</f>
        <v/>
      </c>
      <c r="G27" s="324">
        <f>I27</f>
        <v/>
      </c>
      <c r="H27" s="108">
        <f>I27</f>
        <v/>
      </c>
      <c r="I27" s="108">
        <f>D27*1.03</f>
        <v/>
      </c>
      <c r="J27" s="108">
        <f>I27/$N$7</f>
        <v/>
      </c>
      <c r="K27" s="851" t="n"/>
      <c r="L27" s="857" t="n"/>
      <c r="M27" s="154" t="n"/>
      <c r="O27" s="1004" t="n"/>
      <c r="P27" s="1005" t="n"/>
      <c r="Q27" s="1006" t="n"/>
      <c r="R27" s="1006" t="n"/>
      <c r="S27" s="1006" t="n"/>
      <c r="T27" s="1007" t="n"/>
      <c r="U27" s="1006" t="n"/>
      <c r="V27" s="1006" t="n"/>
      <c r="W27" s="1006" t="n"/>
      <c r="X27" s="1004" t="n"/>
    </row>
    <row r="28" ht="19.5" customHeight="1">
      <c r="A28" s="134" t="inlineStr">
        <is>
          <t>Trash Removal</t>
        </is>
      </c>
      <c r="B28" s="127">
        <f>SUMIFS('Data Consolidation'!$D$43:$D$102,'Data Consolidation'!$A$43:$A$102,"Trash Removal")</f>
        <v/>
      </c>
      <c r="C28" s="127">
        <f>SUMIFS('Data Consolidation'!$E$43:$E$102,'Data Consolidation'!$A$43:$A$102,"Trash Removal")</f>
        <v/>
      </c>
      <c r="D28" s="127">
        <f>SUMIFS('Data Consolidation'!$G$43:$G$102,'Data Consolidation'!$A$43:$A$102,"Trash Removal")</f>
        <v/>
      </c>
      <c r="E28" s="127">
        <f>SUMIFS('Data Consolidation'!$H$43:$H$102,'Data Consolidation'!$A$43:$A$102,"Trash Removal")</f>
        <v/>
      </c>
      <c r="F28" s="127">
        <f>SUMIFS('Data Consolidation'!$F$43:$F$102,'Data Consolidation'!$A$43:$A$102,"Trash Removal")</f>
        <v/>
      </c>
      <c r="G28" s="324">
        <f>I28</f>
        <v/>
      </c>
      <c r="H28" s="108">
        <f>I28</f>
        <v/>
      </c>
      <c r="I28" s="108">
        <f>D28*1.03</f>
        <v/>
      </c>
      <c r="J28" s="108">
        <f>I28/$N$7</f>
        <v/>
      </c>
      <c r="K28" s="851" t="n"/>
      <c r="L28" s="857" t="n"/>
      <c r="M28" s="154" t="n"/>
      <c r="O28" s="1004" t="n"/>
      <c r="P28" s="1005" t="n"/>
      <c r="Q28" s="1006" t="n"/>
      <c r="R28" s="1006" t="n"/>
      <c r="S28" s="1006" t="n"/>
      <c r="T28" s="1007" t="n"/>
      <c r="U28" s="1006" t="n"/>
      <c r="V28" s="1006" t="n"/>
      <c r="W28" s="1006" t="n"/>
      <c r="X28" s="1008"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I29/$N$7</f>
        <v/>
      </c>
      <c r="K29" s="858" t="n"/>
      <c r="L29" s="858" t="n"/>
      <c r="M29" s="633" t="inlineStr">
        <is>
          <t>per unit</t>
        </is>
      </c>
    </row>
    <row r="30" ht="29.25" customHeight="1">
      <c r="A30" s="137" t="inlineStr">
        <is>
          <t>Repair and Maintenance</t>
        </is>
      </c>
      <c r="B30" s="136">
        <f>SUMIFS('Data Consolidation'!$D$43:$D$102,'Data Consolidation'!$A$43:$A$102,"Repair and Maintenance")</f>
        <v/>
      </c>
      <c r="C30" s="136">
        <f>SUMIFS('Data Consolidation'!$E$43:$E$102,'Data Consolidation'!$A$43:$A$102,"Repair and Maintenance")</f>
        <v/>
      </c>
      <c r="D30" s="127">
        <f>SUMIFS('Data Consolidation'!$G$43:$G$102,'Data Consolidation'!$A$43:$A$102,"Repair and Maintenance")</f>
        <v/>
      </c>
      <c r="E30" s="127">
        <f>SUMIFS('Data Consolidation'!$H$43:$H$102,'Data Consolidation'!$A$43:$A$102,"Repair and Maintenance")</f>
        <v/>
      </c>
      <c r="F30" s="127">
        <f>SUMIFS('Data Consolidation'!$F$43:$F$102,'Data Consolidation'!$A$43:$A$102,"Repair and Maintenance")</f>
        <v/>
      </c>
      <c r="G30" s="324">
        <f>I30</f>
        <v/>
      </c>
      <c r="H30" s="108">
        <f>I30</f>
        <v/>
      </c>
      <c r="I30" s="108">
        <f>J30*$N$7</f>
        <v/>
      </c>
      <c r="J30" s="108" t="n">
        <v>150</v>
      </c>
      <c r="K30" s="851" t="n"/>
      <c r="L30" s="857" t="n"/>
      <c r="M30" s="154" t="n"/>
      <c r="N30" s="243" t="n"/>
    </row>
    <row r="31" ht="24" customHeight="1">
      <c r="A31" s="134" t="inlineStr">
        <is>
          <t>Ground Maintenance</t>
        </is>
      </c>
      <c r="B31" s="127">
        <f>SUMIFS('Data Consolidation'!$D$43:$D$102,'Data Consolidation'!$A$43:$A$102,"Ground Maintenance")</f>
        <v/>
      </c>
      <c r="C31" s="127">
        <f>SUMIFS('Data Consolidation'!$E$43:$E$102,'Data Consolidation'!$A$43:$A$102,"Ground Maintenance")</f>
        <v/>
      </c>
      <c r="D31" s="127">
        <f>SUMIFS('Data Consolidation'!$G$43:$G$102,'Data Consolidation'!$A$43:$A$102,"Ground Maintenance")</f>
        <v/>
      </c>
      <c r="E31" s="127">
        <f>SUMIFS('Data Consolidation'!$H$43:$H$102,'Data Consolidation'!$A$43:$A$102,"Ground Maintenance")</f>
        <v/>
      </c>
      <c r="F31" s="127">
        <f>SUMIFS('Data Consolidation'!$F$43:$F$102,'Data Consolidation'!$A$43:$A$102,"Ground Maintenance")</f>
        <v/>
      </c>
      <c r="G31" s="324">
        <f>I31</f>
        <v/>
      </c>
      <c r="H31" s="108">
        <f>I31</f>
        <v/>
      </c>
      <c r="I31" s="108">
        <f>D31*(100%+3%)</f>
        <v/>
      </c>
      <c r="J31" s="108">
        <f>I31/N7</f>
        <v/>
      </c>
      <c r="K31" s="851" t="n"/>
      <c r="L31" s="857" t="n"/>
      <c r="M31" s="154" t="n"/>
      <c r="O31" s="1009" t="n"/>
    </row>
    <row r="32" ht="18" customHeight="1" thickBot="1">
      <c r="A32" s="134" t="inlineStr">
        <is>
          <t>Recreational Amenities</t>
        </is>
      </c>
      <c r="B32" s="127">
        <f>SUMIFS('Data Consolidation'!$D$43:$D$102,'Data Consolidation'!$A$43:$A$102,"Recreational Amenities")</f>
        <v/>
      </c>
      <c r="C32" s="127">
        <f>SUMIFS('Data Consolidation'!$E$43:$E$102,'Data Consolidation'!$A$43:$A$102,"Recreational Amenities")</f>
        <v/>
      </c>
      <c r="D32" s="127">
        <f>SUMIFS('Data Consolidation'!$G$43:$G$102,'Data Consolidation'!$A$43:$A$102,"Recreational Amenities")</f>
        <v/>
      </c>
      <c r="E32" s="127">
        <f>SUMIFS('Data Consolidation'!$H$43:$H$102,'Data Consolidation'!$A$43:$A$102,"Recreational Amenities")</f>
        <v/>
      </c>
      <c r="F32" s="127">
        <f>SUMIFS('Data Consolidation'!$F$43:$F$102,'Data Consolidation'!$A$43:$A$102,"Recreational Amenities")</f>
        <v/>
      </c>
      <c r="G32" s="324">
        <f>I32</f>
        <v/>
      </c>
      <c r="H32" s="108">
        <f>I32</f>
        <v/>
      </c>
      <c r="I32" s="108" t="n">
        <v>0</v>
      </c>
      <c r="J32" s="108">
        <f>I32/N7</f>
        <v/>
      </c>
      <c r="K32" s="851" t="n"/>
      <c r="L32" s="857" t="n"/>
      <c r="M32" s="260" t="n"/>
    </row>
    <row r="33" ht="24" customHeight="1" thickBot="1">
      <c r="A33" s="134" t="inlineStr">
        <is>
          <t>Management Fee</t>
        </is>
      </c>
      <c r="B33" s="127">
        <f>SUMIFS('Data Consolidation'!$D$43:$D$102,'Data Consolidation'!$A$43:$A$102,"Management Fee")</f>
        <v/>
      </c>
      <c r="C33" s="127">
        <f>SUMIFS('Data Consolidation'!$E$43:$E$102,'Data Consolidation'!$A$43:$A$102,"Management Fee")</f>
        <v/>
      </c>
      <c r="D33" s="127">
        <f>SUMIFS('Data Consolidation'!$G$43:$G$102,'Data Consolidation'!$A$43:$A$102,"Management Fee")</f>
        <v/>
      </c>
      <c r="E33" s="127">
        <f>SUMIFS('Data Consolidation'!$H$43:$H$102,'Data Consolidation'!$A$43:$A$102,"Management Fee")</f>
        <v/>
      </c>
      <c r="F33" s="127">
        <f>SUMIFS('Data Consolidation'!$F$43:$F$102,'Data Consolidation'!$A$43:$A$102,"Management Fee")</f>
        <v/>
      </c>
      <c r="G33" s="254">
        <f>J33*G19</f>
        <v/>
      </c>
      <c r="H33" s="254">
        <f>J33*H19</f>
        <v/>
      </c>
      <c r="I33" s="254">
        <f>J33*I19</f>
        <v/>
      </c>
      <c r="J33" s="859">
        <f>IF(N7&gt;=200,0.04,0.05)</f>
        <v/>
      </c>
      <c r="K33" s="706" t="n"/>
      <c r="L33" s="659" t="n"/>
      <c r="M33" s="274"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row>
    <row r="35" ht="23.25" customHeight="1">
      <c r="A35" s="134" t="inlineStr">
        <is>
          <t>Payroll</t>
        </is>
      </c>
      <c r="B35" s="127">
        <f>SUMIFS('Data Consolidation'!$D$43:$D$102,'Data Consolidation'!$A$43:$A$102,"Payroll")</f>
        <v/>
      </c>
      <c r="C35" s="127">
        <f>SUMIFS('Data Consolidation'!$E$43:$E$102,'Data Consolidation'!$A$43:$A$102,"Payroll")</f>
        <v/>
      </c>
      <c r="D35" s="127">
        <f>SUMIFS('Data Consolidation'!$G$43:$G$102,'Data Consolidation'!$A$43:$A$102,"Payroll")</f>
        <v/>
      </c>
      <c r="E35" s="127">
        <f>SUMIFS('Data Consolidation'!$H$43:$H$102,'Data Consolidation'!$A$43:$A$102,"Payroll")</f>
        <v/>
      </c>
      <c r="F35" s="130">
        <f>SUMIFS('Data Consolidation'!$F$43:$F$102,'Data Consolidation'!$A$43:$A$102,"Payroll")</f>
        <v/>
      </c>
      <c r="G35" s="324">
        <f>I35</f>
        <v/>
      </c>
      <c r="H35" s="324">
        <f>I35</f>
        <v/>
      </c>
      <c r="I35" s="324">
        <f>J35*N7</f>
        <v/>
      </c>
      <c r="J35" s="803" t="n">
        <v>600</v>
      </c>
      <c r="K35" s="1002" t="n"/>
      <c r="L35" s="1002" t="n"/>
      <c r="M35" s="154" t="n"/>
    </row>
    <row r="36" ht="23.25" customHeight="1">
      <c r="A36" s="134" t="inlineStr">
        <is>
          <t>Employee Allowance</t>
        </is>
      </c>
      <c r="B36" s="127">
        <f>-SUMIFS('Data Consolidation'!$D$3:$D$36,'Data Consolidation'!$A$3:$A$36,"Employee Allowance (expense)")</f>
        <v/>
      </c>
      <c r="C36" s="127">
        <f>-SUMIFS('Data Consolidation'!$E$3:$E$36,'Data Consolidation'!$A$3:$A$36,"Employee Allowance (expense)")</f>
        <v/>
      </c>
      <c r="D36" s="127">
        <f>-SUMIFS('Data Consolidation'!$G$3:$G$36,'Data Consolidation'!$A$3:$A$36,"Employee Allowance (expense)")</f>
        <v/>
      </c>
      <c r="E36" s="127">
        <f>-SUMIFS('Data Consolidation'!$H$3:$H$36,'Data Consolidation'!$A$3:$A$36,"Employee Allowance (expense)")</f>
        <v/>
      </c>
      <c r="F36" s="130">
        <f>-SUMIFS('Data Consolidation'!$F$3:$F$36,'Data Consolidation'!$A$3:$A$36,"Employee Allowance (expense)")</f>
        <v/>
      </c>
      <c r="G36" s="324">
        <f>I36</f>
        <v/>
      </c>
      <c r="H36" s="108">
        <f>I36</f>
        <v/>
      </c>
      <c r="I36" s="324" t="n">
        <v>0</v>
      </c>
      <c r="J36" s="803">
        <f>I36/$N$7</f>
        <v/>
      </c>
      <c r="K36" s="1002" t="n"/>
      <c r="L36" s="1002" t="n"/>
      <c r="M36" s="154" t="n"/>
    </row>
    <row r="37" ht="20.25" customHeight="1">
      <c r="A37" s="134" t="inlineStr">
        <is>
          <t>General and Administrative</t>
        </is>
      </c>
      <c r="B37" s="127">
        <f>SUMIFS('Data Consolidation'!$D$43:$D$102,'Data Consolidation'!$A$43:$A$102,"G&amp;A")</f>
        <v/>
      </c>
      <c r="C37" s="127">
        <f>SUMIFS('Data Consolidation'!$E$43:$E$102,'Data Consolidation'!$A$43:$A$102,"G&amp;A")</f>
        <v/>
      </c>
      <c r="D37" s="127">
        <f>SUMIFS('Data Consolidation'!$G$43:$G$102,'Data Consolidation'!$A$43:$A$102,"G&amp;A")</f>
        <v/>
      </c>
      <c r="E37" s="127">
        <f>SUMIFS('Data Consolidation'!$H$43:$H$102,'Data Consolidation'!$A$43:$A$102,"G&amp;A")</f>
        <v/>
      </c>
      <c r="F37" s="130">
        <f>SUMIFS('Data Consolidation'!$F$43:$F$102,'Data Consolidation'!$A$43:$A$102,"G&amp;A")</f>
        <v/>
      </c>
      <c r="G37" s="324">
        <f>I37</f>
        <v/>
      </c>
      <c r="H37" s="324">
        <f>I37</f>
        <v/>
      </c>
      <c r="I37" s="324">
        <f>D37*(100%+3%)</f>
        <v/>
      </c>
      <c r="J37" s="803">
        <f>I37/$N$7</f>
        <v/>
      </c>
      <c r="K37" s="1002" t="n"/>
      <c r="L37" s="1002" t="n"/>
      <c r="M37" s="154" t="n"/>
    </row>
    <row r="38" ht="20.25" customHeight="1">
      <c r="A38" s="134" t="inlineStr">
        <is>
          <t>Model Units</t>
        </is>
      </c>
      <c r="B38" s="127">
        <f>-SUMIFS('Data Consolidation'!$D$3:$D$36,'Data Consolidation'!$A$3:$A$36,"Model Unit (expense)")</f>
        <v/>
      </c>
      <c r="C38" s="127">
        <f>-SUMIFS('Data Consolidation'!$E$3:$E$36,'Data Consolidation'!$A$3:$A$36,"Model Unit (expense)")</f>
        <v/>
      </c>
      <c r="D38" s="127">
        <f>-SUMIFS('Data Consolidation'!$G$3:$G$36,'Data Consolidation'!$A$3:$A$36,"Model Unit (expense)")</f>
        <v/>
      </c>
      <c r="E38" s="127">
        <f>-SUMIFS('Data Consolidation'!$H$3:$H$36,'Data Consolidation'!$A$3:$A$36,"Model Unit (expense)")</f>
        <v/>
      </c>
      <c r="F38" s="130">
        <f>-SUMIFS('Data Consolidation'!$F$3:$F$36,'Data Consolidation'!$A$3:$A$36,"Model Unit (expense)")</f>
        <v/>
      </c>
      <c r="G38" s="324">
        <f>I38</f>
        <v/>
      </c>
      <c r="H38" s="108">
        <f>I38</f>
        <v/>
      </c>
      <c r="I38" s="324" t="n">
        <v>0</v>
      </c>
      <c r="J38" s="803">
        <f>I38/$N$7</f>
        <v/>
      </c>
      <c r="K38" s="1002" t="n"/>
      <c r="L38" s="1002" t="n"/>
      <c r="M38" s="154" t="n"/>
    </row>
    <row r="39" ht="20.25" customHeight="1">
      <c r="A39" s="134" t="inlineStr">
        <is>
          <t>Professional Fees</t>
        </is>
      </c>
      <c r="B39" s="127">
        <f>SUMIFS('Data Consolidation'!$D$43:$D$102,'Data Consolidation'!$A$43:$A$102,"Professional Fees")</f>
        <v/>
      </c>
      <c r="C39" s="127">
        <f>SUMIFS('Data Consolidation'!$E$43:$E$102,'Data Consolidation'!$A$43:$A$102,"Professional Fees")</f>
        <v/>
      </c>
      <c r="D39" s="127">
        <f>SUMIFS('Data Consolidation'!$G$43:$G$102,'Data Consolidation'!$A$43:$A$102,"Professional Fees")</f>
        <v/>
      </c>
      <c r="E39" s="127">
        <f>SUMIFS('Data Consolidation'!$H$43:$H$102,'Data Consolidation'!$A$43:$A$102,"Professional Fees")</f>
        <v/>
      </c>
      <c r="F39" s="130">
        <f>SUMIFS('Data Consolidation'!$F$43:$F$102,'Data Consolidation'!$A$43:$A$102,"Professional Fees")</f>
        <v/>
      </c>
      <c r="G39" s="324">
        <f>I39</f>
        <v/>
      </c>
      <c r="H39" s="108">
        <f>I39</f>
        <v/>
      </c>
      <c r="I39" s="324">
        <f>D39*1.03</f>
        <v/>
      </c>
      <c r="J39" s="803">
        <f>I39/$N$7</f>
        <v/>
      </c>
      <c r="K39" s="1002" t="n"/>
      <c r="L39" s="1002" t="n"/>
      <c r="M39" s="154" t="n"/>
    </row>
    <row r="40" ht="20.25" customHeight="1">
      <c r="A40" s="134" t="inlineStr">
        <is>
          <t>Advertising</t>
        </is>
      </c>
      <c r="B40" s="127">
        <f>SUMIFS('Data Consolidation'!$D$43:$D$102,'Data Consolidation'!$A$43:$A$102,"Advertising")</f>
        <v/>
      </c>
      <c r="C40" s="127">
        <f>SUMIFS('Data Consolidation'!$E$43:$E$102,'Data Consolidation'!$A$43:$A$102,"Advertising")</f>
        <v/>
      </c>
      <c r="D40" s="127">
        <f>SUMIFS('Data Consolidation'!$G$43:$G$102,'Data Consolidation'!$A$43:$A$102,"Advertising")</f>
        <v/>
      </c>
      <c r="E40" s="127">
        <f>SUMIFS('Data Consolidation'!$H$43:$H$102,'Data Consolidation'!$A$43:$A$102,"Advertising")</f>
        <v/>
      </c>
      <c r="F40" s="130">
        <f>SUMIFS('Data Consolidation'!$F$43:$F$102,'Data Consolidation'!$A$43:$A$102,"Advertising")</f>
        <v/>
      </c>
      <c r="G40" s="324">
        <f>I40</f>
        <v/>
      </c>
      <c r="H40" s="108">
        <f>I40</f>
        <v/>
      </c>
      <c r="I40" s="324">
        <f>D40*1.03</f>
        <v/>
      </c>
      <c r="J40" s="803">
        <f>I40/$N$7</f>
        <v/>
      </c>
      <c r="K40" s="1002" t="n"/>
      <c r="L40" s="1002" t="n"/>
      <c r="M40" s="154" t="n"/>
    </row>
    <row r="41" ht="20.25" customHeight="1">
      <c r="A41" s="134" t="inlineStr">
        <is>
          <t>Home Rent Expense (MH)</t>
        </is>
      </c>
      <c r="B41" s="127">
        <f>SUMIFS('Data Consolidation'!$D$43:$D$102,'Data Consolidation'!$A$43:$A$102,"Home Rent Expense")</f>
        <v/>
      </c>
      <c r="C41" s="127">
        <f>SUMIFS('Data Consolidation'!$E$43:$E$102,'Data Consolidation'!$A$43:$A$102,"Home Rent Expense")</f>
        <v/>
      </c>
      <c r="D41" s="127">
        <f>SUMIFS('Data Consolidation'!$G$43:$G$102,'Data Consolidation'!$A$43:$A$102,"Home Rent Expense")</f>
        <v/>
      </c>
      <c r="E41" s="127">
        <f>SUMIFS('Data Consolidation'!$H$43:$H$102,'Data Consolidation'!$A$43:$A$102,"Home Rent Expense")</f>
        <v/>
      </c>
      <c r="F41" s="130">
        <f>SUMIFS('Data Consolidation'!$F$43:$F$102,'Data Consolidation'!$A$43:$A$102,"Home Rent Expense")</f>
        <v/>
      </c>
      <c r="G41" s="324">
        <f>I41</f>
        <v/>
      </c>
      <c r="H41" s="108" t="n"/>
      <c r="I41" s="324">
        <f>15%*I13</f>
        <v/>
      </c>
      <c r="J41" s="803">
        <f>I41/$N$7</f>
        <v/>
      </c>
      <c r="K41" s="1002" t="n"/>
      <c r="L41" s="1002" t="n"/>
      <c r="M41" s="154" t="n"/>
    </row>
    <row r="42" ht="20.25" customHeight="1" thickBot="1">
      <c r="A42" s="134" t="inlineStr">
        <is>
          <t>Other</t>
        </is>
      </c>
      <c r="B42" s="127">
        <f>SUMIFS('Data Consolidation'!$D$43:$D$102,'Data Consolidation'!$A$43:$A$102,"Other")</f>
        <v/>
      </c>
      <c r="C42" s="127">
        <f>SUMIFS('Data Consolidation'!$E$43:$E$102,'Data Consolidation'!$A$43:$A$102,"Other")</f>
        <v/>
      </c>
      <c r="D42" s="127">
        <f>SUMIFS('Data Consolidation'!$G$43:$G$102,'Data Consolidation'!$A$43:$A$102,"Other")</f>
        <v/>
      </c>
      <c r="E42" s="127">
        <f>SUMIFS('Data Consolidation'!$H$43:$H$102,'Data Consolidation'!$A$43:$A$102,"Other")</f>
        <v/>
      </c>
      <c r="F42" s="130">
        <f>SUMIFS('Data Consolidation'!$F$43:$F$102,'Data Consolidation'!$A$43:$A$102,"Other")</f>
        <v/>
      </c>
      <c r="G42" s="324">
        <f>I42</f>
        <v/>
      </c>
      <c r="H42" s="108">
        <f>I42</f>
        <v/>
      </c>
      <c r="I42" s="324" t="n">
        <v>0</v>
      </c>
      <c r="J42" s="803">
        <f>I42/$N$7</f>
        <v/>
      </c>
      <c r="K42" s="1002" t="n"/>
      <c r="L42" s="1002" t="n"/>
      <c r="M42" s="154" t="n"/>
    </row>
    <row r="43" ht="20.25" customHeight="1" thickBot="1">
      <c r="A43" s="134" t="inlineStr">
        <is>
          <t>Cap-Ex Reserve</t>
        </is>
      </c>
      <c r="B43" s="127">
        <f>SUMIFS('Data Consolidation'!$D$43:$D$102,'Data Consolidation'!$A$43:$A$102,"Cap Ex")</f>
        <v/>
      </c>
      <c r="C43" s="127">
        <f>SUMIFS('Data Consolidation'!$E$43:$E$102,'Data Consolidation'!$A$43:$A$102,"Cap Ex")</f>
        <v/>
      </c>
      <c r="D43" s="127">
        <f>SUMIFS('Data Consolidation'!$G$43:$G$102,'Data Consolidation'!$A$43:$A$102,"Cap Ex")</f>
        <v/>
      </c>
      <c r="E43" s="127">
        <f>SUMIFS('Data Consolidation'!$H$43:$H$102,'Data Consolidation'!$A$43:$A$102,"Cap Ex")</f>
        <v/>
      </c>
      <c r="F43" s="130">
        <f>SUMIFS('Data Consolidation'!$F$43:$F$102,'Data Consolidation'!$A$43:$A$102,"Cap Ex")</f>
        <v/>
      </c>
      <c r="G43" s="324">
        <f>I43</f>
        <v/>
      </c>
      <c r="H43" s="108">
        <f>I43</f>
        <v/>
      </c>
      <c r="I43" s="108">
        <f>J43*$N$7</f>
        <v/>
      </c>
      <c r="J43" s="804" t="n">
        <v>75</v>
      </c>
      <c r="K43" s="1010" t="n"/>
      <c r="L43" s="1010" t="n"/>
      <c r="M43" s="154"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I44/$N$7</f>
        <v/>
      </c>
      <c r="K44" s="1011" t="n"/>
      <c r="L44" s="1011" t="n"/>
      <c r="M44" s="633" t="inlineStr">
        <is>
          <t>per month</t>
        </is>
      </c>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t="n"/>
      <c r="K45" s="1011" t="n"/>
      <c r="L45" s="1011" t="n"/>
      <c r="M45" s="633" t="inlineStr">
        <is>
          <t>per unit</t>
        </is>
      </c>
    </row>
    <row r="46" ht="7.5" customHeight="1">
      <c r="A46" s="299" t="n"/>
      <c r="B46" s="289" t="n"/>
      <c r="C46" s="289" t="n"/>
      <c r="D46" s="289" t="n"/>
      <c r="E46" s="289" t="n"/>
      <c r="F46" s="289" t="n"/>
      <c r="G46" s="300" t="n"/>
      <c r="H46" s="300" t="n"/>
      <c r="I46" s="300" t="n"/>
      <c r="J46" s="318" t="n"/>
      <c r="K46" s="298" t="n"/>
      <c r="L46" s="298" t="n"/>
      <c r="M46" s="298"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row>
    <row r="49" ht="9" customHeight="1" thickBot="1">
      <c r="A49" s="301" t="n"/>
      <c r="B49" s="302" t="n"/>
      <c r="C49" s="302" t="n"/>
      <c r="D49" s="302" t="n"/>
      <c r="E49" s="302" t="n"/>
      <c r="F49" s="302" t="n"/>
      <c r="G49" s="297" t="n"/>
      <c r="H49" s="297" t="n"/>
      <c r="I49" s="297" t="n"/>
      <c r="J49" s="668" t="n"/>
      <c r="K49" s="303" t="n"/>
      <c r="L49" s="303" t="n"/>
      <c r="M49" s="303" t="n"/>
    </row>
    <row r="50" customFormat="1" s="59">
      <c r="J50" s="203" t="n"/>
      <c r="K50" s="203" t="n"/>
    </row>
    <row r="51" customFormat="1" s="59">
      <c r="G51" s="322" t="n"/>
      <c r="H51" s="862" t="n"/>
      <c r="I51" s="862" t="n"/>
      <c r="J51" s="203" t="n"/>
      <c r="K51" s="203" t="n"/>
    </row>
    <row r="52" customFormat="1" s="59">
      <c r="J52" s="203" t="n"/>
      <c r="K52" s="203" t="n"/>
    </row>
    <row r="53" customFormat="1" s="59">
      <c r="J53" s="203" t="n"/>
      <c r="K53" s="203" t="n"/>
    </row>
    <row r="54" customFormat="1" s="59">
      <c r="J54" s="203" t="n"/>
      <c r="K54" s="203" t="n"/>
    </row>
    <row r="55" customFormat="1" s="59">
      <c r="J55" s="203" t="n"/>
      <c r="K55" s="203" t="n"/>
    </row>
    <row r="56" customFormat="1" s="59">
      <c r="J56" s="203" t="n"/>
      <c r="K56" s="203" t="n"/>
    </row>
    <row r="57" customFormat="1" s="59">
      <c r="J57" s="203" t="n"/>
      <c r="K57" s="203" t="n"/>
    </row>
    <row r="58" customFormat="1" s="59">
      <c r="J58" s="203" t="n"/>
      <c r="K58" s="203" t="n"/>
    </row>
    <row r="59" customFormat="1" s="59">
      <c r="J59" s="203" t="n"/>
      <c r="K59" s="203" t="n"/>
    </row>
    <row r="60" customFormat="1" s="59">
      <c r="J60" s="203" t="n"/>
      <c r="K60" s="203" t="n"/>
    </row>
    <row r="61" customFormat="1" s="59">
      <c r="J61" s="203" t="n"/>
      <c r="K61" s="203" t="n"/>
    </row>
    <row r="62" customFormat="1" s="59">
      <c r="J62" s="203" t="n"/>
      <c r="K62" s="203" t="n"/>
    </row>
    <row r="63" customFormat="1" s="59">
      <c r="J63" s="203" t="n"/>
      <c r="K63" s="203" t="n"/>
    </row>
    <row r="64" customFormat="1" s="59">
      <c r="J64" s="203" t="n"/>
      <c r="K64" s="203" t="n"/>
    </row>
    <row r="65" customFormat="1" s="59">
      <c r="J65" s="203" t="n"/>
      <c r="K65" s="203" t="n"/>
    </row>
    <row r="66" customFormat="1" s="59">
      <c r="J66" s="203" t="n"/>
      <c r="K66" s="203" t="n"/>
    </row>
    <row r="67" customFormat="1" s="59">
      <c r="J67" s="203" t="n"/>
      <c r="K67" s="203" t="n"/>
    </row>
    <row r="68" customFormat="1" s="59">
      <c r="J68" s="203" t="n"/>
      <c r="K68" s="203" t="n"/>
    </row>
    <row r="69" customFormat="1" s="59">
      <c r="J69" s="203" t="n"/>
      <c r="K69" s="203" t="n"/>
    </row>
    <row r="70" customFormat="1" s="59">
      <c r="J70" s="203" t="n"/>
      <c r="K70" s="203" t="n"/>
    </row>
    <row r="71" customFormat="1" s="59">
      <c r="J71" s="203" t="n"/>
      <c r="K71" s="203" t="n"/>
    </row>
    <row r="72" customFormat="1" s="59">
      <c r="J72" s="203" t="n"/>
      <c r="K72" s="203" t="n"/>
    </row>
    <row r="73" customFormat="1" s="59">
      <c r="J73" s="203" t="n"/>
      <c r="K73" s="203" t="n"/>
    </row>
    <row r="74" customFormat="1" s="59">
      <c r="J74" s="203" t="n"/>
      <c r="K74" s="203" t="n"/>
    </row>
    <row r="75" customFormat="1" s="59">
      <c r="J75" s="203" t="n"/>
      <c r="K75" s="203" t="n"/>
    </row>
    <row r="76" customFormat="1" s="59">
      <c r="J76" s="203" t="n"/>
      <c r="K76" s="203" t="n"/>
    </row>
    <row r="77" customFormat="1" s="59">
      <c r="J77" s="203" t="n"/>
      <c r="K77" s="203" t="n"/>
    </row>
    <row r="78" customFormat="1" s="59">
      <c r="J78" s="203" t="n"/>
      <c r="K78" s="203" t="n"/>
    </row>
    <row r="79" customFormat="1" s="59">
      <c r="J79" s="203" t="n"/>
      <c r="K79" s="203" t="n"/>
    </row>
    <row r="80" customFormat="1" s="59">
      <c r="J80" s="203" t="n"/>
      <c r="K80" s="203" t="n"/>
    </row>
    <row r="81" customFormat="1" s="59">
      <c r="J81" s="203" t="n"/>
      <c r="K81" s="203" t="n"/>
    </row>
    <row r="82" customFormat="1" s="59">
      <c r="J82" s="203" t="n"/>
      <c r="K82" s="203" t="n"/>
    </row>
    <row r="83" customFormat="1" s="59">
      <c r="J83" s="203" t="n"/>
      <c r="K83" s="203" t="n"/>
    </row>
    <row r="84" customFormat="1" s="59">
      <c r="J84" s="203" t="n"/>
      <c r="K84" s="203" t="n"/>
    </row>
    <row r="85" customFormat="1" s="59">
      <c r="J85" s="203" t="n"/>
      <c r="K85" s="203" t="n"/>
    </row>
    <row r="86" customFormat="1" s="59">
      <c r="J86" s="203" t="n"/>
      <c r="K86" s="203" t="n"/>
    </row>
    <row r="87" customFormat="1" s="59">
      <c r="J87" s="203" t="n"/>
      <c r="K87" s="203" t="n"/>
    </row>
    <row r="88" customFormat="1" s="59">
      <c r="J88" s="203" t="n"/>
      <c r="K88" s="203" t="n"/>
    </row>
    <row r="89" customFormat="1" s="59">
      <c r="J89" s="203" t="n"/>
      <c r="K89" s="203" t="n"/>
    </row>
    <row r="90" customFormat="1" s="59">
      <c r="J90" s="203" t="n"/>
      <c r="K90" s="203" t="n"/>
    </row>
    <row r="91" customFormat="1" s="59">
      <c r="J91" s="203" t="n"/>
      <c r="K91" s="203" t="n"/>
    </row>
    <row r="92" customFormat="1" s="59">
      <c r="J92" s="203" t="n"/>
      <c r="K92" s="203" t="n"/>
    </row>
    <row r="93" customFormat="1" s="59">
      <c r="J93" s="203" t="n"/>
      <c r="K93" s="203" t="n"/>
    </row>
    <row r="94" customFormat="1" s="59">
      <c r="J94" s="203" t="n"/>
      <c r="K94" s="203" t="n"/>
    </row>
    <row r="95" customFormat="1" s="59">
      <c r="J95" s="203" t="n"/>
      <c r="K95" s="203" t="n"/>
    </row>
    <row r="96" customFormat="1" s="59">
      <c r="J96" s="203" t="n"/>
      <c r="K96" s="203" t="n"/>
    </row>
    <row r="97" customFormat="1" s="59">
      <c r="J97" s="203" t="n"/>
      <c r="K97" s="203" t="n"/>
    </row>
    <row r="98" customFormat="1" s="59">
      <c r="J98" s="203" t="n"/>
      <c r="K98" s="203" t="n"/>
    </row>
    <row r="99" customFormat="1" s="59">
      <c r="J99" s="203" t="n"/>
      <c r="K99" s="203" t="n"/>
    </row>
    <row r="100" customFormat="1" s="59">
      <c r="J100" s="203" t="n"/>
      <c r="K100" s="203" t="n"/>
    </row>
    <row r="101" customFormat="1" s="59">
      <c r="J101" s="203" t="n"/>
      <c r="K101" s="203" t="n"/>
    </row>
    <row r="102" customFormat="1" s="59">
      <c r="J102" s="203" t="n"/>
      <c r="K102" s="203" t="n"/>
    </row>
    <row r="103" customFormat="1" s="59">
      <c r="J103" s="203" t="n"/>
      <c r="K103" s="203" t="n"/>
    </row>
    <row r="104" customFormat="1" s="59">
      <c r="J104" s="203" t="n"/>
      <c r="K104" s="203" t="n"/>
    </row>
    <row r="105" customFormat="1" s="59">
      <c r="J105" s="203" t="n"/>
      <c r="K105" s="203" t="n"/>
    </row>
    <row r="106" customFormat="1" s="59">
      <c r="J106" s="203" t="n"/>
      <c r="K106" s="203" t="n"/>
    </row>
    <row r="107" customFormat="1" s="59">
      <c r="J107" s="203" t="n"/>
      <c r="K107" s="203" t="n"/>
    </row>
    <row r="108" customFormat="1" s="59">
      <c r="J108" s="203" t="n"/>
      <c r="K108" s="203" t="n"/>
    </row>
    <row r="109" customFormat="1" s="59">
      <c r="J109" s="203" t="n"/>
      <c r="K109" s="203" t="n"/>
    </row>
    <row r="110" customFormat="1" s="59">
      <c r="J110" s="203" t="n"/>
      <c r="K110" s="203" t="n"/>
    </row>
    <row r="111" customFormat="1" s="59">
      <c r="J111" s="203" t="n"/>
      <c r="K111" s="203" t="n"/>
    </row>
    <row r="112" customFormat="1" s="59">
      <c r="J112" s="203" t="n"/>
      <c r="K112" s="203" t="n"/>
    </row>
    <row r="113" customFormat="1" s="59">
      <c r="J113" s="203" t="n"/>
      <c r="K113" s="203" t="n"/>
    </row>
    <row r="114" customFormat="1" s="59">
      <c r="J114" s="203" t="n"/>
      <c r="K114" s="203" t="n"/>
    </row>
    <row r="115" customFormat="1" s="59">
      <c r="J115" s="203" t="n"/>
      <c r="K115" s="203" t="n"/>
    </row>
    <row r="116" customFormat="1" s="59">
      <c r="J116" s="203" t="n"/>
      <c r="K116" s="203" t="n"/>
    </row>
    <row r="117" customFormat="1" s="59">
      <c r="J117" s="203" t="n"/>
      <c r="K117" s="203" t="n"/>
    </row>
    <row r="118" customFormat="1" s="59">
      <c r="J118" s="203" t="n"/>
      <c r="K118" s="203" t="n"/>
    </row>
    <row r="119" customFormat="1" s="59">
      <c r="J119" s="203" t="n"/>
      <c r="K119" s="203" t="n"/>
    </row>
    <row r="120" customFormat="1" s="59">
      <c r="J120" s="203" t="n"/>
      <c r="K120" s="203" t="n"/>
    </row>
    <row r="121" customFormat="1" s="59">
      <c r="J121" s="203" t="n"/>
      <c r="K121" s="203" t="n"/>
    </row>
    <row r="122" customFormat="1" s="59">
      <c r="J122" s="203" t="n"/>
      <c r="K122" s="203" t="n"/>
    </row>
    <row r="123" customFormat="1" s="59">
      <c r="J123" s="203" t="n"/>
      <c r="K123" s="203" t="n"/>
    </row>
    <row r="124" customFormat="1" s="59">
      <c r="J124" s="203" t="n"/>
      <c r="K124" s="203" t="n"/>
    </row>
    <row r="125" customFormat="1" s="59">
      <c r="J125" s="203" t="n"/>
      <c r="K125" s="203" t="n"/>
    </row>
    <row r="126" customFormat="1" s="59">
      <c r="J126" s="203" t="n"/>
      <c r="K126" s="203" t="n"/>
    </row>
    <row r="127" customFormat="1" s="59">
      <c r="J127" s="203" t="n"/>
      <c r="K127" s="203" t="n"/>
    </row>
    <row r="128" customFormat="1" s="59">
      <c r="J128" s="203" t="n"/>
      <c r="K128" s="203" t="n"/>
    </row>
    <row r="129" customFormat="1" s="59">
      <c r="J129" s="203" t="n"/>
      <c r="K129" s="203" t="n"/>
    </row>
    <row r="130" customFormat="1" s="59">
      <c r="J130" s="203" t="n"/>
      <c r="K130" s="203" t="n"/>
    </row>
    <row r="131" customFormat="1" s="59">
      <c r="J131" s="203" t="n"/>
      <c r="K131" s="203" t="n"/>
    </row>
    <row r="132" customFormat="1" s="59">
      <c r="J132" s="203" t="n"/>
      <c r="K132" s="203" t="n"/>
    </row>
    <row r="133" customFormat="1" s="59">
      <c r="J133" s="203" t="n"/>
      <c r="K133" s="203" t="n"/>
    </row>
    <row r="134" customFormat="1" s="59">
      <c r="J134" s="203" t="n"/>
      <c r="K134" s="203" t="n"/>
    </row>
    <row r="135" customFormat="1" s="59">
      <c r="J135" s="203" t="n"/>
      <c r="K135" s="203" t="n"/>
    </row>
    <row r="136" customFormat="1" s="59">
      <c r="J136" s="203" t="n"/>
      <c r="K136" s="203" t="n"/>
    </row>
    <row r="137" customFormat="1" s="59">
      <c r="J137" s="203" t="n"/>
      <c r="K137" s="203" t="n"/>
    </row>
    <row r="138" customFormat="1" s="59">
      <c r="J138" s="203" t="n"/>
      <c r="K138" s="203" t="n"/>
    </row>
    <row r="139" customFormat="1" s="59">
      <c r="J139" s="203" t="n"/>
      <c r="K139" s="203" t="n"/>
    </row>
    <row r="140" customFormat="1" s="59">
      <c r="J140" s="203" t="n"/>
      <c r="K140" s="203" t="n"/>
    </row>
    <row r="141" customFormat="1" s="59">
      <c r="J141" s="203" t="n"/>
      <c r="K141" s="203" t="n"/>
    </row>
    <row r="142" customFormat="1" s="59">
      <c r="J142" s="203" t="n"/>
      <c r="K142" s="203" t="n"/>
    </row>
    <row r="143" customFormat="1" s="59">
      <c r="J143" s="203" t="n"/>
      <c r="K143" s="203" t="n"/>
    </row>
    <row r="144" customFormat="1" s="59">
      <c r="J144" s="203" t="n"/>
      <c r="K144" s="203" t="n"/>
    </row>
    <row r="145" customFormat="1" s="59">
      <c r="J145" s="203" t="n"/>
      <c r="K145" s="203" t="n"/>
    </row>
    <row r="146" customFormat="1" s="59">
      <c r="J146" s="203" t="n"/>
      <c r="K146" s="203" t="n"/>
    </row>
    <row r="147" customFormat="1" s="59">
      <c r="J147" s="203" t="n"/>
      <c r="K147" s="203" t="n"/>
    </row>
    <row r="148" customFormat="1" s="59">
      <c r="J148" s="203" t="n"/>
      <c r="K148" s="203" t="n"/>
    </row>
    <row r="149" customFormat="1" s="59">
      <c r="J149" s="203" t="n"/>
      <c r="K149" s="203" t="n"/>
    </row>
    <row r="150" customFormat="1" s="59">
      <c r="J150" s="203" t="n"/>
      <c r="K150" s="203" t="n"/>
    </row>
    <row r="151" customFormat="1" s="59">
      <c r="J151" s="203" t="n"/>
      <c r="K151" s="203" t="n"/>
    </row>
    <row r="152" customFormat="1" s="59">
      <c r="J152" s="203" t="n"/>
      <c r="K152" s="203" t="n"/>
    </row>
    <row r="153" customFormat="1" s="59">
      <c r="J153" s="203" t="n"/>
      <c r="K153" s="203" t="n"/>
    </row>
    <row r="154" customFormat="1" s="59">
      <c r="J154" s="203" t="n"/>
      <c r="K154" s="203" t="n"/>
    </row>
    <row r="155" customFormat="1" s="59">
      <c r="J155" s="203" t="n"/>
      <c r="K155" s="203" t="n"/>
    </row>
    <row r="156" customFormat="1" s="59">
      <c r="J156" s="203" t="n"/>
      <c r="K156" s="203" t="n"/>
    </row>
    <row r="157" customFormat="1" s="59">
      <c r="J157" s="203" t="n"/>
      <c r="K157" s="203" t="n"/>
    </row>
    <row r="158" customFormat="1" s="59">
      <c r="J158" s="203" t="n"/>
      <c r="K158" s="203" t="n"/>
    </row>
    <row r="159" customFormat="1" s="59">
      <c r="J159" s="203" t="n"/>
      <c r="K159" s="203" t="n"/>
    </row>
    <row r="160" customFormat="1" s="59">
      <c r="J160" s="203" t="n"/>
      <c r="K160" s="203" t="n"/>
    </row>
    <row r="161" customFormat="1" s="59">
      <c r="J161" s="203" t="n"/>
      <c r="K161" s="203" t="n"/>
    </row>
    <row r="162" customFormat="1" s="59">
      <c r="J162" s="203" t="n"/>
      <c r="K162" s="203" t="n"/>
    </row>
    <row r="163" customFormat="1" s="59">
      <c r="J163" s="203" t="n"/>
      <c r="K163" s="203" t="n"/>
    </row>
    <row r="164" customFormat="1" s="59">
      <c r="J164" s="203" t="n"/>
      <c r="K164" s="203" t="n"/>
    </row>
    <row r="165" customFormat="1" s="59">
      <c r="J165" s="203" t="n"/>
      <c r="K165" s="203" t="n"/>
    </row>
    <row r="166" customFormat="1" s="59">
      <c r="J166" s="203" t="n"/>
      <c r="K166" s="203" t="n"/>
    </row>
    <row r="167" customFormat="1" s="59">
      <c r="J167" s="203" t="n"/>
      <c r="K167" s="203" t="n"/>
    </row>
    <row r="168" customFormat="1" s="59">
      <c r="J168" s="203" t="n"/>
      <c r="K168" s="203" t="n"/>
    </row>
    <row r="169" customFormat="1" s="59">
      <c r="J169" s="203" t="n"/>
      <c r="K169" s="203" t="n"/>
    </row>
    <row r="170" customFormat="1" s="59">
      <c r="J170" s="203" t="n"/>
      <c r="K170" s="203" t="n"/>
    </row>
    <row r="171" customFormat="1" s="59">
      <c r="J171" s="203" t="n"/>
      <c r="K171" s="203" t="n"/>
    </row>
    <row r="172" customFormat="1" s="59">
      <c r="J172" s="203" t="n"/>
      <c r="K172" s="203" t="n"/>
    </row>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012" t="n"/>
      <c r="U2" s="1012" t="n"/>
      <c r="V2" s="1012" t="n"/>
      <c r="W2" s="1012" t="n"/>
      <c r="X2" s="1012" t="n"/>
      <c r="Y2" s="1012" t="n"/>
      <c r="Z2" s="1012" t="n"/>
      <c r="AA2" s="1012" t="n"/>
      <c r="AB2" s="1012" t="n"/>
      <c r="AC2" s="101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012" t="n"/>
      <c r="U3" s="1012" t="n"/>
      <c r="V3" s="1012" t="n"/>
      <c r="W3" s="1012" t="n"/>
      <c r="X3" s="1012" t="n"/>
      <c r="Y3" s="1012" t="n"/>
      <c r="Z3" s="1012" t="n"/>
      <c r="AA3" s="1012" t="n"/>
      <c r="AB3" s="1012" t="n"/>
      <c r="AC3" s="101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012" t="n"/>
      <c r="U4" s="1012" t="n"/>
      <c r="V4" s="1012" t="n"/>
      <c r="W4" s="1012" t="n"/>
      <c r="X4" s="1012" t="n"/>
      <c r="Y4" s="1012" t="n"/>
      <c r="Z4" s="1012" t="n"/>
      <c r="AA4" s="1012" t="n"/>
      <c r="AB4" s="1012" t="n"/>
      <c r="AC4" s="1012" t="n"/>
    </row>
    <row r="5" ht="30" customFormat="1" customHeight="1" s="517">
      <c r="D5" s="524" t="n"/>
      <c r="E5" s="524" t="n"/>
      <c r="F5" s="525" t="n"/>
      <c r="G5" s="526" t="n"/>
      <c r="H5" s="527" t="n"/>
      <c r="I5" s="527" t="n"/>
      <c r="J5" s="527" t="n"/>
      <c r="K5" s="527" t="n"/>
      <c r="L5" s="527" t="n"/>
      <c r="M5" s="527" t="n"/>
      <c r="N5" s="527" t="n"/>
      <c r="O5" s="525" t="n"/>
      <c r="P5" s="525" t="n"/>
      <c r="Q5" s="525" t="n"/>
      <c r="T5" s="1012" t="n"/>
      <c r="U5" s="1012" t="n"/>
      <c r="V5" s="1012" t="n"/>
      <c r="W5" s="1012" t="n"/>
      <c r="X5" s="1012" t="n"/>
      <c r="Y5" s="1012" t="n"/>
      <c r="Z5" s="1012" t="n"/>
      <c r="AA5" s="1012" t="n"/>
      <c r="AB5" s="1012" t="n"/>
      <c r="AC5" s="1012"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46" t="n"/>
      <c r="U6" s="146" t="n"/>
      <c r="V6" s="146" t="n"/>
      <c r="W6" s="146" t="n"/>
      <c r="X6" s="146" t="n"/>
      <c r="Y6" s="146" t="n"/>
      <c r="Z6" s="146" t="n"/>
      <c r="AA6" s="146" t="n"/>
      <c r="AB6" s="146" t="n"/>
      <c r="AC6" s="146"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Growth'!F14</f>
        <v/>
      </c>
      <c r="I8" s="151">
        <f>'Unit Mix Rent Growth'!G14</f>
        <v/>
      </c>
      <c r="J8" s="151">
        <f>'Unit Mix Rent Growth'!H14</f>
        <v/>
      </c>
      <c r="K8" s="541">
        <f>'Unit Mix Rent Growth'!I14</f>
        <v/>
      </c>
      <c r="L8" s="151">
        <f>'Unit Mix Rent Growth'!J14</f>
        <v/>
      </c>
      <c r="M8" s="271">
        <f>'Unit Mix Rent Growth'!K14</f>
        <v/>
      </c>
      <c r="N8" s="542">
        <f>'Unit Mix Rent Growth'!L14</f>
        <v/>
      </c>
      <c r="O8" s="542">
        <f>'Unit Mix Rent Growth'!M14</f>
        <v/>
      </c>
      <c r="P8" s="542">
        <f>'Unit Mix Rent Growth'!N14</f>
        <v/>
      </c>
      <c r="Q8" s="542">
        <f>'Unit Mix Rent Growth'!O14</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869">
        <f>'GGC Underwriting'!I5</f>
        <v/>
      </c>
      <c r="G9" s="869">
        <f>F9/'GGC Underwriting'!$N$7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Underwriting'!$N$7</f>
        <v/>
      </c>
      <c r="H19" s="540">
        <f>75%*H33</f>
        <v/>
      </c>
      <c r="I19" s="151">
        <f>75%*I33</f>
        <v/>
      </c>
      <c r="J19" s="151">
        <f>75%*J33</f>
        <v/>
      </c>
      <c r="K19" s="541">
        <f>75%*K33</f>
        <v/>
      </c>
      <c r="L19" s="151">
        <f>75%*L33</f>
        <v/>
      </c>
      <c r="M19" s="151">
        <f>75%*M33</f>
        <v/>
      </c>
      <c r="N19" s="541">
        <f>75%*N33</f>
        <v/>
      </c>
      <c r="O19" s="541">
        <f>75%*O33</f>
        <v/>
      </c>
      <c r="P19" s="541">
        <f>75%*P33</f>
        <v/>
      </c>
      <c r="Q19" s="541">
        <f>75%*Q33</f>
        <v/>
      </c>
      <c r="S19" s="59" t="n"/>
      <c r="T19" s="146" t="n"/>
      <c r="U19" s="146" t="n"/>
      <c r="V19" s="146" t="n"/>
      <c r="W19" s="146" t="n"/>
      <c r="X19" s="146" t="n"/>
      <c r="Y19" s="146" t="n"/>
      <c r="Z19" s="146" t="n"/>
      <c r="AA19" s="146" t="n"/>
      <c r="AB19" s="146" t="n"/>
      <c r="AC19" s="146"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1013" t="n"/>
      <c r="U20" s="1013" t="n"/>
      <c r="V20" s="1013" t="n"/>
      <c r="W20" s="1013" t="n"/>
      <c r="X20" s="635" t="n">
        <v>0.065</v>
      </c>
      <c r="Y20" s="1014" t="n"/>
      <c r="Z20" s="1015" t="n"/>
      <c r="AA20" s="1016" t="n"/>
      <c r="AB20" s="1016" t="n"/>
      <c r="AC20" s="1016" t="n"/>
    </row>
    <row r="21" ht="16.5" customHeight="1" thickBot="1">
      <c r="A21" s="59" t="n"/>
      <c r="B21" s="59" t="n"/>
      <c r="C21" s="538" t="inlineStr">
        <is>
          <t>Long term RV Site</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013" t="n"/>
      <c r="U21" s="1013" t="n"/>
      <c r="V21" s="1013" t="n"/>
      <c r="W21" s="1013" t="n"/>
      <c r="X21" s="635" t="n">
        <v>0.14</v>
      </c>
      <c r="Y21" s="1014" t="n"/>
      <c r="Z21" s="1015" t="n"/>
      <c r="AA21" s="146" t="n"/>
      <c r="AB21" s="146" t="n"/>
      <c r="AC21" s="146"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46" t="n"/>
      <c r="U22" s="146" t="n"/>
      <c r="V22" s="146" t="n"/>
      <c r="W22" s="146" t="n"/>
      <c r="X22" s="146" t="n"/>
      <c r="Y22" s="146" t="n"/>
      <c r="Z22" s="146" t="n"/>
      <c r="AA22" s="146" t="n"/>
      <c r="AB22" s="146" t="n"/>
      <c r="AC22" s="146"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46" t="n"/>
      <c r="U23" s="146" t="n"/>
      <c r="V23" s="146" t="n"/>
      <c r="W23" s="146" t="n"/>
      <c r="X23" s="146" t="n"/>
      <c r="Y23" s="146" t="n"/>
      <c r="Z23" s="146" t="n"/>
      <c r="AA23" s="146" t="n"/>
      <c r="AB23" s="146" t="n"/>
      <c r="AC23" s="146"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46" t="n"/>
      <c r="U24" s="146" t="n"/>
      <c r="V24" s="146" t="n"/>
      <c r="W24" s="146" t="n"/>
      <c r="X24" s="146" t="n"/>
      <c r="Y24" s="146" t="n"/>
      <c r="Z24" s="146" t="n"/>
      <c r="AA24" s="146" t="n"/>
      <c r="AB24" s="146" t="n"/>
      <c r="AC24" s="146"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46" t="n"/>
      <c r="U25" s="146" t="n"/>
      <c r="V25" s="146" t="n"/>
      <c r="W25" s="146" t="n"/>
      <c r="X25" s="146" t="n"/>
      <c r="Y25" s="146" t="n"/>
      <c r="Z25" s="146" t="n"/>
      <c r="AA25" s="146" t="n"/>
      <c r="AB25" s="146" t="n"/>
      <c r="AC25" s="146"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46" t="n"/>
      <c r="U26" s="146" t="n"/>
      <c r="V26" s="146" t="n"/>
      <c r="W26" s="146" t="n"/>
      <c r="X26" s="146" t="n"/>
      <c r="Y26" s="146" t="n"/>
      <c r="Z26" s="146" t="n"/>
      <c r="AA26" s="146" t="n"/>
      <c r="AB26" s="146" t="n"/>
      <c r="AC26" s="146"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46" t="n"/>
      <c r="U27" s="146" t="n"/>
      <c r="V27" s="146" t="n"/>
      <c r="W27" s="146" t="n"/>
      <c r="X27" s="146" t="n"/>
      <c r="Y27" s="146" t="n"/>
      <c r="Z27" s="146" t="n"/>
      <c r="AA27" s="146" t="n"/>
      <c r="AB27" s="146" t="n"/>
      <c r="AC27" s="146"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46" t="n"/>
      <c r="U28" s="146" t="n"/>
      <c r="V28" s="146" t="n"/>
      <c r="W28" s="146" t="n"/>
      <c r="X28" s="146" t="n"/>
      <c r="Y28" s="146" t="n"/>
      <c r="Z28" s="146" t="n"/>
      <c r="AA28" s="146" t="n"/>
      <c r="AB28" s="146" t="n"/>
      <c r="AC28" s="146"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46" t="n"/>
      <c r="U29" s="146" t="n"/>
      <c r="V29" s="146" t="n"/>
      <c r="W29" s="146" t="n"/>
      <c r="X29" s="146" t="n"/>
      <c r="Y29" s="146" t="n"/>
      <c r="Z29" s="146" t="n"/>
      <c r="AA29" s="146" t="n"/>
      <c r="AB29" s="146" t="n"/>
      <c r="AC29" s="146"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46" t="n"/>
      <c r="U30" s="146" t="n"/>
      <c r="V30" s="146" t="n"/>
      <c r="W30" s="146" t="n"/>
      <c r="X30" s="146" t="n"/>
      <c r="Y30" s="146" t="n"/>
      <c r="Z30" s="146" t="n"/>
      <c r="AA30" s="146" t="n"/>
      <c r="AB30" s="146" t="n"/>
      <c r="AC30" s="146"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46" t="n"/>
      <c r="U31" s="146" t="n"/>
      <c r="V31" s="146" t="n"/>
      <c r="W31" s="146" t="n"/>
      <c r="X31" s="146" t="n"/>
      <c r="Y31" s="146" t="n"/>
      <c r="Z31" s="146" t="n"/>
      <c r="AA31" s="146" t="n"/>
      <c r="AB31" s="146" t="n"/>
      <c r="AC31" s="146"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46" t="n"/>
      <c r="U32" s="146" t="n"/>
      <c r="V32" s="146" t="n"/>
      <c r="W32" s="146" t="n"/>
      <c r="X32" s="146" t="n"/>
      <c r="Y32" s="146" t="n"/>
      <c r="Z32" s="146" t="n"/>
      <c r="AA32" s="146" t="n"/>
      <c r="AB32" s="146" t="n"/>
      <c r="AC32" s="146"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46" t="n"/>
      <c r="U33" s="146" t="n"/>
      <c r="V33" s="146" t="n"/>
      <c r="W33" s="146" t="n"/>
      <c r="X33" s="146" t="n"/>
      <c r="Y33" s="146" t="n"/>
      <c r="Z33" s="146" t="n"/>
      <c r="AA33" s="146" t="n"/>
      <c r="AB33" s="146" t="n"/>
      <c r="AC33" s="146"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46" t="n"/>
      <c r="U34" s="146" t="n"/>
      <c r="V34" s="146" t="n"/>
      <c r="W34" s="146" t="n"/>
      <c r="X34" s="146" t="n"/>
      <c r="Y34" s="146" t="n"/>
      <c r="Z34" s="146" t="n"/>
      <c r="AA34" s="146" t="n"/>
      <c r="AB34" s="146" t="n"/>
      <c r="AC34" s="146"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46" t="n"/>
      <c r="U35" s="146" t="n"/>
      <c r="V35" s="146" t="n"/>
      <c r="W35" s="146" t="n"/>
      <c r="X35" s="146" t="n"/>
      <c r="Y35" s="146" t="n"/>
      <c r="Z35" s="146" t="n"/>
      <c r="AA35" s="146" t="n"/>
      <c r="AB35" s="146" t="n"/>
      <c r="AC35" s="146"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46" t="n"/>
      <c r="U36" s="146" t="n"/>
      <c r="V36" s="146" t="n"/>
      <c r="W36" s="146" t="n"/>
      <c r="X36" s="146" t="n"/>
      <c r="Y36" s="146" t="n"/>
      <c r="Z36" s="146" t="n"/>
      <c r="AA36" s="146" t="n"/>
      <c r="AB36" s="146" t="n"/>
      <c r="AC36" s="146"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46" t="n"/>
      <c r="U37" s="146" t="n"/>
      <c r="V37" s="146" t="n"/>
      <c r="W37" s="146" t="n"/>
      <c r="X37" s="146" t="n"/>
      <c r="Y37" s="146" t="n"/>
      <c r="Z37" s="146" t="n"/>
      <c r="AA37" s="146" t="n"/>
      <c r="AB37" s="146" t="n"/>
      <c r="AC37" s="146"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46" t="n"/>
      <c r="U38" s="146" t="n"/>
      <c r="V38" s="146" t="n"/>
      <c r="W38" s="146" t="n"/>
      <c r="X38" s="146" t="n"/>
      <c r="Y38" s="146" t="n"/>
      <c r="Z38" s="146" t="n"/>
      <c r="AA38" s="146" t="n"/>
      <c r="AB38" s="146" t="n"/>
      <c r="AC38" s="146"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46" t="n"/>
      <c r="U39" s="146" t="n"/>
      <c r="V39" s="146" t="n"/>
      <c r="W39" s="146" t="n"/>
      <c r="X39" s="146" t="n"/>
      <c r="Y39" s="146" t="n"/>
      <c r="Z39" s="146" t="n"/>
      <c r="AA39" s="146" t="n"/>
      <c r="AB39" s="146" t="n"/>
      <c r="AC39" s="146"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017" t="n"/>
      <c r="U40" s="1017" t="n"/>
      <c r="V40" s="1017" t="n"/>
      <c r="W40" s="1017" t="n"/>
      <c r="X40" s="1017" t="n"/>
      <c r="Y40" s="1017" t="n"/>
      <c r="Z40" s="1017" t="n"/>
      <c r="AA40" s="1017" t="n"/>
      <c r="AB40" s="1017" t="n"/>
      <c r="AC40" s="101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46" t="n"/>
      <c r="U41" s="146" t="n"/>
      <c r="V41" s="146" t="n"/>
      <c r="W41" s="146" t="n"/>
      <c r="X41" s="146" t="n"/>
      <c r="Y41" s="146" t="n"/>
      <c r="Z41" s="146" t="n"/>
      <c r="AA41" s="146" t="n"/>
      <c r="AB41" s="146" t="n"/>
      <c r="AC41" s="146"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46" t="n"/>
      <c r="U42" s="146" t="n"/>
      <c r="V42" s="146" t="n"/>
      <c r="W42" s="146" t="n"/>
      <c r="X42" s="146" t="n"/>
      <c r="Y42" s="146" t="n"/>
      <c r="Z42" s="146" t="n"/>
      <c r="AA42" s="146" t="n"/>
      <c r="AB42" s="146" t="n"/>
      <c r="AC42" s="146"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46" t="n"/>
      <c r="U43" s="146" t="n"/>
      <c r="V43" s="146" t="n"/>
      <c r="W43" s="146" t="n"/>
      <c r="X43" s="146" t="n"/>
      <c r="Y43" s="146" t="n"/>
      <c r="Z43" s="146" t="n"/>
      <c r="AA43" s="146" t="n"/>
      <c r="AB43" s="146" t="n"/>
      <c r="AC43" s="146"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46" t="n"/>
      <c r="U44" s="146" t="n"/>
      <c r="V44" s="146" t="n"/>
      <c r="W44" s="146" t="n"/>
      <c r="X44" s="146" t="n"/>
      <c r="Y44" s="146" t="n"/>
      <c r="Z44" s="146" t="n"/>
      <c r="AA44" s="146" t="n"/>
      <c r="AB44" s="146" t="n"/>
      <c r="AC44" s="146"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46" t="n"/>
      <c r="U45" s="146" t="n"/>
      <c r="V45" s="146" t="n"/>
      <c r="W45" s="146" t="n"/>
      <c r="X45" s="146" t="n"/>
      <c r="Y45" s="146" t="n"/>
      <c r="Z45" s="146" t="n"/>
      <c r="AA45" s="146" t="n"/>
      <c r="AB45" s="146" t="n"/>
      <c r="AC45" s="146"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46" t="n"/>
      <c r="U46" s="146" t="n"/>
      <c r="V46" s="146" t="n"/>
      <c r="W46" s="146" t="n"/>
      <c r="X46" s="146" t="n"/>
      <c r="Y46" s="146" t="n"/>
      <c r="Z46" s="146" t="n"/>
      <c r="AA46" s="146" t="n"/>
      <c r="AB46" s="146" t="n"/>
      <c r="AC46" s="146" t="n"/>
    </row>
    <row r="47" ht="18.75" customHeight="1">
      <c r="A47" s="59" t="inlineStr">
        <is>
          <t>Home Rent Exp Ratio</t>
        </is>
      </c>
      <c r="B47" s="679" t="n">
        <v>0.3</v>
      </c>
      <c r="C47" s="538" t="inlineStr">
        <is>
          <t>Home Rent Expense (MH) — 30% of HRI (methodology: 25-50%)</t>
        </is>
      </c>
      <c r="D47" s="151">
        <f>'GGC Underwriting'!D41</f>
        <v/>
      </c>
      <c r="E47" s="151">
        <f>'GGC Underwriting'!E41</f>
        <v/>
      </c>
      <c r="F47" s="541">
        <f>'GGC Underwriting'!I41</f>
        <v/>
      </c>
      <c r="G47" s="541">
        <f>F47/'GGC Underwriting'!$N$7</f>
        <v/>
      </c>
      <c r="H47" s="540">
        <f>$B$47*H20</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46" t="n"/>
      <c r="U47" s="146" t="n"/>
      <c r="V47" s="146" t="n"/>
      <c r="W47" s="146" t="n"/>
      <c r="X47" s="146" t="n"/>
      <c r="Y47" s="146" t="n"/>
      <c r="Z47" s="146" t="n"/>
      <c r="AA47" s="146" t="n"/>
      <c r="AB47" s="146" t="n"/>
      <c r="AC47" s="146"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46" t="n"/>
      <c r="U48" s="146" t="n"/>
      <c r="V48" s="146" t="n"/>
      <c r="W48" s="146" t="n"/>
      <c r="X48" s="146" t="n"/>
      <c r="Y48" s="146" t="n"/>
      <c r="Z48" s="146" t="n"/>
      <c r="AA48" s="146" t="n"/>
      <c r="AB48" s="146" t="n"/>
      <c r="AC48" s="146"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46" t="n"/>
      <c r="U49" s="146" t="n"/>
      <c r="V49" s="146" t="n"/>
      <c r="W49" s="146" t="n"/>
      <c r="X49" s="146" t="n"/>
      <c r="Y49" s="146" t="n"/>
      <c r="Z49" s="146" t="n"/>
      <c r="AA49" s="146" t="n"/>
      <c r="AB49" s="146" t="n"/>
      <c r="AC49" s="146"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46" t="n"/>
      <c r="U50" s="146" t="n"/>
      <c r="V50" s="146" t="n"/>
      <c r="W50" s="146" t="n"/>
      <c r="X50" s="146" t="n"/>
      <c r="Y50" s="146" t="n"/>
      <c r="Z50" s="146" t="n"/>
      <c r="AA50" s="146" t="n"/>
      <c r="AB50" s="146" t="n"/>
      <c r="AC50" s="146"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017" t="n"/>
      <c r="U51" s="1017" t="n"/>
      <c r="V51" s="1017" t="n"/>
      <c r="W51" s="1017" t="n"/>
      <c r="X51" s="1017" t="n"/>
      <c r="Y51" s="1017" t="n"/>
      <c r="Z51" s="1017" t="n"/>
      <c r="AA51" s="1017" t="n"/>
      <c r="AB51" s="1017" t="n"/>
      <c r="AC51" s="101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46" t="n"/>
      <c r="U52" s="146" t="n"/>
      <c r="V52" s="146" t="n"/>
      <c r="W52" s="146" t="n"/>
      <c r="X52" s="146" t="n"/>
      <c r="Y52" s="146" t="n"/>
      <c r="Z52" s="146" t="n"/>
      <c r="AA52" s="146" t="n"/>
      <c r="AB52" s="146" t="n"/>
      <c r="AC52" s="146"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46" t="n"/>
      <c r="U53" s="146" t="n"/>
      <c r="V53" s="146" t="n"/>
      <c r="W53" s="146" t="n"/>
      <c r="X53" s="146" t="n"/>
      <c r="Y53" s="146" t="n"/>
      <c r="Z53" s="146" t="n"/>
      <c r="AA53" s="146" t="n"/>
      <c r="AB53" s="146" t="n"/>
      <c r="AC53" s="146"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017" t="n"/>
      <c r="U54" s="1017" t="n"/>
      <c r="V54" s="1017" t="n"/>
      <c r="W54" s="1017" t="n"/>
      <c r="X54" s="1017" t="n"/>
      <c r="Y54" s="1017" t="n"/>
      <c r="Z54" s="1017" t="n"/>
      <c r="AA54" s="1017" t="n"/>
      <c r="AB54" s="1017" t="n"/>
      <c r="AC54" s="101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46" t="n"/>
      <c r="U55" s="146" t="n"/>
      <c r="V55" s="146" t="n"/>
      <c r="W55" s="146" t="n"/>
      <c r="X55" s="146" t="n"/>
      <c r="Y55" s="146" t="n"/>
      <c r="Z55" s="146" t="n"/>
      <c r="AA55" s="146" t="n"/>
      <c r="AB55" s="146" t="n"/>
      <c r="AC55" s="146"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46" t="n"/>
      <c r="U56" s="146" t="n"/>
      <c r="V56" s="146" t="n"/>
      <c r="W56" s="146" t="n"/>
      <c r="X56" s="146" t="n"/>
      <c r="Y56" s="146" t="n"/>
      <c r="Z56" s="146" t="n"/>
      <c r="AA56" s="146" t="n"/>
      <c r="AB56" s="146" t="n"/>
      <c r="AC56" s="146"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46" t="n"/>
      <c r="U57" s="146" t="n"/>
      <c r="V57" s="146" t="n"/>
      <c r="W57" s="146" t="n"/>
      <c r="X57" s="146" t="n"/>
      <c r="Y57" s="146" t="n"/>
      <c r="Z57" s="146" t="n"/>
      <c r="AA57" s="146" t="n"/>
      <c r="AB57" s="146" t="n"/>
      <c r="AC57" s="146" t="n"/>
    </row>
    <row r="58" ht="21.75" customFormat="1" customHeight="1" s="59">
      <c r="E58" s="593" t="inlineStr">
        <is>
          <t>Exit Summaries</t>
        </is>
      </c>
      <c r="G58" s="203" t="n"/>
      <c r="H58" s="594" t="n"/>
      <c r="I58" s="594" t="n"/>
      <c r="J58" s="594" t="n"/>
      <c r="K58" s="594" t="n"/>
      <c r="L58" s="594" t="n"/>
      <c r="M58" s="594" t="n"/>
      <c r="N58" s="595" t="n"/>
      <c r="O58" s="595" t="n"/>
      <c r="P58" s="595" t="n"/>
      <c r="Q58" s="595" t="n"/>
      <c r="T58" s="146" t="n"/>
      <c r="U58" s="146" t="n"/>
      <c r="V58" s="146" t="n"/>
      <c r="W58" s="146" t="n"/>
      <c r="X58" s="146" t="n"/>
      <c r="Y58" s="146" t="n"/>
      <c r="Z58" s="146" t="n"/>
      <c r="AA58" s="146" t="n"/>
      <c r="AB58" s="146" t="n"/>
      <c r="AC58" s="146" t="n"/>
    </row>
    <row r="59" customFormat="1" s="59">
      <c r="G59" s="203" t="n"/>
      <c r="N59" s="891" t="n"/>
      <c r="O59" s="891" t="n"/>
      <c r="P59" s="891" t="n"/>
      <c r="Q59" s="891" t="n"/>
      <c r="T59" s="146" t="n"/>
      <c r="U59" s="146" t="n"/>
      <c r="V59" s="146" t="n"/>
      <c r="W59" s="146" t="n"/>
      <c r="X59" s="146" t="n"/>
      <c r="Y59" s="146" t="n"/>
      <c r="Z59" s="146" t="n"/>
      <c r="AA59" s="146" t="n"/>
      <c r="AB59" s="146" t="n"/>
      <c r="AC59" s="146"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46" t="n"/>
      <c r="U60" s="146" t="n"/>
      <c r="V60" s="146" t="n"/>
      <c r="W60" s="146" t="n"/>
      <c r="X60" s="146" t="n"/>
      <c r="Y60" s="146" t="n"/>
      <c r="Z60" s="146" t="n"/>
      <c r="AA60" s="146" t="n"/>
      <c r="AB60" s="146" t="n"/>
      <c r="AC60" s="146"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46" t="n"/>
      <c r="U61" s="146" t="n"/>
      <c r="V61" s="146" t="n"/>
      <c r="W61" s="146" t="n"/>
      <c r="X61" s="146" t="n"/>
      <c r="Y61" s="146" t="n"/>
      <c r="Z61" s="146" t="n"/>
      <c r="AA61" s="146" t="n"/>
      <c r="AB61" s="146" t="n"/>
      <c r="AC61" s="146" t="n"/>
    </row>
    <row r="62" customFormat="1" s="59">
      <c r="F62" s="601" t="inlineStr">
        <is>
          <t>Refi Cashout</t>
        </is>
      </c>
      <c r="G62" s="203" t="n"/>
      <c r="H62" s="894" t="n"/>
      <c r="I62" s="894" t="n"/>
      <c r="J62" s="386" t="n"/>
      <c r="K62" s="894" t="n"/>
      <c r="L62" s="894" t="n"/>
      <c r="M62" s="894" t="n"/>
      <c r="N62" s="894" t="n"/>
      <c r="O62" s="894" t="n"/>
      <c r="P62" s="894" t="n"/>
      <c r="Q62" s="895" t="n"/>
      <c r="T62" s="146" t="n"/>
      <c r="U62" s="146" t="n"/>
      <c r="V62" s="146" t="n"/>
      <c r="W62" s="146" t="n"/>
      <c r="X62" s="146" t="n"/>
      <c r="Y62" s="146" t="n"/>
      <c r="Z62" s="146" t="n"/>
      <c r="AA62" s="146" t="n"/>
      <c r="AB62" s="146" t="n"/>
      <c r="AC62" s="146"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46" t="n"/>
      <c r="U63" s="146" t="n"/>
      <c r="V63" s="146" t="n"/>
      <c r="W63" s="146" t="n"/>
      <c r="X63" s="146" t="n"/>
      <c r="Y63" s="146" t="n"/>
      <c r="Z63" s="146" t="n"/>
      <c r="AA63" s="146" t="n"/>
      <c r="AB63" s="146" t="n"/>
      <c r="AC63" s="146"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46" t="n"/>
      <c r="U64" s="146" t="n"/>
      <c r="V64" s="146" t="n"/>
      <c r="W64" s="146" t="n"/>
      <c r="X64" s="146" t="n"/>
      <c r="Y64" s="146" t="n"/>
      <c r="Z64" s="146" t="n"/>
      <c r="AA64" s="146" t="n"/>
      <c r="AB64" s="146" t="n"/>
      <c r="AC64" s="146" t="n"/>
    </row>
    <row r="65" customFormat="1" s="59">
      <c r="F65" s="605" t="inlineStr">
        <is>
          <t>Free Cash Flow</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46" t="n"/>
      <c r="U65" s="146" t="n"/>
      <c r="V65" s="146" t="n"/>
      <c r="W65" s="146" t="n"/>
      <c r="X65" s="146" t="n"/>
      <c r="Y65" s="146" t="n"/>
      <c r="Z65" s="146" t="n"/>
      <c r="AA65" s="146" t="n"/>
      <c r="AB65" s="146" t="n"/>
      <c r="AC65" s="146"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46" t="n"/>
      <c r="U66" s="146" t="n"/>
      <c r="V66" s="146" t="n"/>
      <c r="W66" s="146" t="n"/>
      <c r="X66" s="146" t="n"/>
      <c r="Y66" s="146" t="n"/>
      <c r="Z66" s="146" t="n"/>
      <c r="AA66" s="146" t="n"/>
      <c r="AB66" s="146" t="n"/>
      <c r="AC66" s="146" t="n"/>
    </row>
    <row r="67" customFormat="1" s="59">
      <c r="G67" s="203" t="n"/>
      <c r="H67" s="386" t="n"/>
      <c r="I67" s="386" t="n"/>
      <c r="J67" s="386">
        <f>-J53/J60</f>
        <v/>
      </c>
      <c r="K67" s="386" t="n"/>
      <c r="L67" s="386" t="n"/>
      <c r="M67" s="386" t="n"/>
      <c r="N67" s="386" t="n"/>
      <c r="O67" s="386" t="n"/>
      <c r="P67" s="386" t="n"/>
      <c r="Q67" s="386" t="n"/>
      <c r="T67" s="146" t="n"/>
      <c r="U67" s="146" t="n"/>
      <c r="V67" s="146" t="n"/>
      <c r="W67" s="146" t="n"/>
      <c r="X67" s="146" t="n"/>
      <c r="Y67" s="146" t="n"/>
      <c r="Z67" s="146" t="n"/>
      <c r="AA67" s="146" t="n"/>
      <c r="AB67" s="146" t="n"/>
      <c r="AC67" s="146" t="n"/>
    </row>
    <row r="68" hidden="1" customFormat="1" s="59">
      <c r="E68" s="144" t="n"/>
      <c r="F68" s="597" t="n"/>
      <c r="G68" s="598" t="n"/>
      <c r="H68" s="892" t="n"/>
      <c r="I68" s="892" t="n"/>
      <c r="J68" s="892" t="n"/>
      <c r="K68" s="892" t="n"/>
      <c r="L68" s="892" t="n"/>
      <c r="M68" s="892" t="n"/>
      <c r="N68" s="893" t="n"/>
      <c r="O68" s="894" t="n"/>
      <c r="P68" s="894" t="n"/>
      <c r="Q68" s="894" t="n"/>
      <c r="T68" s="146" t="n"/>
      <c r="U68" s="146" t="n"/>
      <c r="V68" s="146" t="n"/>
      <c r="W68" s="146" t="n"/>
      <c r="X68" s="146" t="n"/>
      <c r="Y68" s="146" t="n"/>
      <c r="Z68" s="146" t="n"/>
      <c r="AA68" s="146" t="n"/>
      <c r="AB68" s="146" t="n"/>
      <c r="AC68" s="146" t="n"/>
    </row>
    <row r="69" hidden="1" ht="15.75" customFormat="1" customHeight="1" s="59">
      <c r="F69" s="601" t="n"/>
      <c r="G69" s="203" t="n"/>
      <c r="H69" s="894" t="n"/>
      <c r="I69" s="894" t="n"/>
      <c r="J69" s="894" t="n"/>
      <c r="K69" s="894" t="n"/>
      <c r="L69" s="894" t="n"/>
      <c r="M69" s="894" t="n"/>
      <c r="N69" s="895" t="n"/>
      <c r="O69" s="894" t="n"/>
      <c r="P69" s="894" t="n"/>
      <c r="Q69" s="894" t="n"/>
      <c r="T69" s="146" t="n"/>
      <c r="U69" s="146" t="n"/>
      <c r="V69" s="146" t="n"/>
      <c r="W69" s="146" t="n"/>
      <c r="X69" s="146" t="n"/>
      <c r="Y69" s="146" t="n"/>
      <c r="Z69" s="146" t="n"/>
      <c r="AA69" s="146" t="n"/>
      <c r="AB69" s="146" t="n"/>
      <c r="AC69" s="146" t="n"/>
    </row>
    <row r="70" hidden="1" customFormat="1" s="59">
      <c r="F70" s="601" t="n"/>
      <c r="G70" s="203" t="n"/>
      <c r="H70" s="894" t="n"/>
      <c r="I70" s="894" t="n"/>
      <c r="J70" s="894" t="n"/>
      <c r="K70" s="894" t="n"/>
      <c r="L70" s="894" t="n"/>
      <c r="M70" s="894" t="n"/>
      <c r="N70" s="895" t="n"/>
      <c r="O70" s="894" t="n"/>
      <c r="P70" s="894" t="n"/>
      <c r="Q70" s="894" t="n"/>
      <c r="T70" s="146" t="n"/>
      <c r="U70" s="146" t="n"/>
      <c r="V70" s="146" t="n"/>
      <c r="W70" s="146" t="n"/>
      <c r="X70" s="146" t="n"/>
      <c r="Y70" s="146" t="n"/>
      <c r="Z70" s="146" t="n"/>
      <c r="AA70" s="146" t="n"/>
      <c r="AB70" s="146" t="n"/>
      <c r="AC70" s="146" t="n"/>
    </row>
    <row r="71" hidden="1" customFormat="1" s="59">
      <c r="F71" s="601" t="n"/>
      <c r="G71" s="203" t="n"/>
      <c r="H71" s="894" t="n"/>
      <c r="I71" s="894" t="n"/>
      <c r="J71" s="894" t="n"/>
      <c r="K71" s="894" t="n"/>
      <c r="L71" s="894" t="n"/>
      <c r="M71" s="894" t="n"/>
      <c r="N71" s="895" t="n"/>
      <c r="O71" s="894" t="n"/>
      <c r="P71" s="894" t="n"/>
      <c r="Q71" s="894" t="n"/>
      <c r="T71" s="146" t="n"/>
      <c r="U71" s="146" t="n"/>
      <c r="V71" s="146" t="n"/>
      <c r="W71" s="146" t="n"/>
      <c r="X71" s="146" t="n"/>
      <c r="Y71" s="146" t="n"/>
      <c r="Z71" s="146" t="n"/>
      <c r="AA71" s="146" t="n"/>
      <c r="AB71" s="146" t="n"/>
      <c r="AC71" s="146" t="n"/>
    </row>
    <row r="72" hidden="1" customFormat="1" s="59">
      <c r="F72" s="601" t="inlineStr">
        <is>
          <t>Total Sale - Community</t>
        </is>
      </c>
      <c r="G72" s="203" t="n"/>
      <c r="H72" s="894" t="n"/>
      <c r="I72" s="894" t="n"/>
      <c r="J72" s="894" t="n"/>
      <c r="K72" s="894" t="n"/>
      <c r="L72" s="894" t="n"/>
      <c r="M72" s="894" t="n"/>
      <c r="N72" s="895" t="n"/>
      <c r="O72" s="894" t="n"/>
      <c r="P72" s="894" t="n"/>
      <c r="Q72" s="894" t="n"/>
      <c r="R72" s="59" t="inlineStr">
        <is>
          <t>Lot Rent Exit cap rate:</t>
        </is>
      </c>
      <c r="S72" s="604">
        <f>+$X$20</f>
        <v/>
      </c>
      <c r="T72" s="146" t="n"/>
      <c r="U72" s="146" t="n"/>
      <c r="V72" s="146" t="n"/>
      <c r="W72" s="146" t="n"/>
      <c r="X72" s="146" t="n"/>
      <c r="Y72" s="146" t="n"/>
      <c r="Z72" s="146" t="n"/>
      <c r="AA72" s="146" t="n"/>
      <c r="AB72" s="146" t="n"/>
      <c r="AC72" s="146" t="n"/>
    </row>
    <row r="73" hidden="1" ht="21" customFormat="1" customHeight="1" s="59">
      <c r="F73" s="605" t="n"/>
      <c r="G73" s="606" t="n"/>
      <c r="H73" s="607" t="n"/>
      <c r="I73" s="607" t="n"/>
      <c r="J73" s="607" t="n"/>
      <c r="K73" s="607" t="n"/>
      <c r="L73" s="607" t="n"/>
      <c r="M73" s="607" t="n"/>
      <c r="N73" s="608" t="n"/>
      <c r="O73" s="613" t="n"/>
      <c r="P73" s="613" t="n"/>
      <c r="Q73" s="613" t="n"/>
      <c r="T73" s="146" t="n"/>
      <c r="U73" s="146" t="n"/>
      <c r="V73" s="146" t="n"/>
      <c r="W73" s="146" t="n"/>
      <c r="X73" s="146" t="n"/>
      <c r="Y73" s="146" t="n"/>
      <c r="Z73" s="146" t="n"/>
      <c r="AA73" s="146" t="n"/>
      <c r="AB73" s="146" t="n"/>
      <c r="AC73" s="146" t="n"/>
    </row>
    <row r="74" hidden="1" customFormat="1" s="59">
      <c r="F74" s="609" t="n"/>
      <c r="G74" s="203" t="n"/>
      <c r="H74" s="897" t="n"/>
      <c r="I74" s="897" t="n"/>
      <c r="J74" s="897" t="n"/>
      <c r="K74" s="897" t="n"/>
      <c r="L74" s="897" t="n"/>
      <c r="M74" s="897" t="n"/>
      <c r="N74" s="897" t="n"/>
      <c r="O74" s="897" t="n"/>
      <c r="P74" s="897" t="n"/>
      <c r="Q74" s="897" t="n"/>
      <c r="T74" s="146" t="n"/>
      <c r="U74" s="146" t="n"/>
      <c r="V74" s="146" t="n"/>
      <c r="W74" s="146" t="n"/>
      <c r="X74" s="146" t="n"/>
      <c r="Y74" s="146" t="n"/>
      <c r="Z74" s="146" t="n"/>
      <c r="AA74" s="146" t="n"/>
      <c r="AB74" s="146" t="n"/>
      <c r="AC74" s="146" t="n"/>
    </row>
    <row r="75" hidden="1" customFormat="1" s="59">
      <c r="G75" s="203" t="n"/>
      <c r="T75" s="146" t="n"/>
      <c r="U75" s="146" t="n"/>
      <c r="V75" s="146" t="n"/>
      <c r="W75" s="146" t="n"/>
      <c r="X75" s="146" t="n"/>
      <c r="Y75" s="146" t="n"/>
      <c r="Z75" s="146" t="n"/>
      <c r="AA75" s="146" t="n"/>
      <c r="AB75" s="146" t="n"/>
      <c r="AC75" s="146" t="n"/>
    </row>
    <row r="76" hidden="1" customFormat="1" s="59">
      <c r="G76" s="203" t="n"/>
      <c r="T76" s="146" t="n"/>
      <c r="U76" s="146" t="n"/>
      <c r="V76" s="146" t="n"/>
      <c r="W76" s="146" t="n"/>
      <c r="X76" s="146" t="n"/>
      <c r="Y76" s="146" t="n"/>
      <c r="Z76" s="146" t="n"/>
      <c r="AA76" s="146" t="n"/>
      <c r="AB76" s="146" t="n"/>
      <c r="AC76" s="146" t="n"/>
    </row>
    <row r="77" customFormat="1" s="59">
      <c r="G77" s="203" t="n"/>
      <c r="T77" s="146" t="n"/>
      <c r="U77" s="146" t="n"/>
      <c r="V77" s="146" t="n"/>
      <c r="W77" s="146" t="n"/>
      <c r="X77" s="146" t="n"/>
      <c r="Y77" s="146" t="n"/>
      <c r="Z77" s="146" t="n"/>
      <c r="AA77" s="146" t="n"/>
      <c r="AB77" s="146" t="n"/>
      <c r="AC77" s="146" t="n"/>
    </row>
    <row r="78" customFormat="1" s="59">
      <c r="G78" s="203" t="n"/>
      <c r="T78" s="146" t="n"/>
      <c r="U78" s="146" t="n"/>
      <c r="V78" s="146" t="n"/>
      <c r="W78" s="146" t="n"/>
      <c r="X78" s="146" t="n"/>
      <c r="Y78" s="146" t="n"/>
      <c r="Z78" s="146" t="n"/>
      <c r="AA78" s="146" t="n"/>
      <c r="AB78" s="146" t="n"/>
      <c r="AC78" s="146"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46" t="n"/>
      <c r="U79" s="146" t="n"/>
      <c r="V79" s="146" t="n"/>
      <c r="W79" s="146" t="n"/>
      <c r="X79" s="146" t="n"/>
      <c r="Y79" s="146" t="n"/>
      <c r="Z79" s="146" t="n"/>
      <c r="AA79" s="146" t="n"/>
      <c r="AB79" s="146" t="n"/>
      <c r="AC79" s="146" t="n"/>
    </row>
    <row r="80" customFormat="1" s="59">
      <c r="F80" s="601" t="inlineStr">
        <is>
          <t>Debt Payoff</t>
        </is>
      </c>
      <c r="G80" s="203" t="n"/>
      <c r="H80" s="894" t="n"/>
      <c r="I80" s="894" t="n"/>
      <c r="J80" s="386" t="n"/>
      <c r="K80" s="894" t="n"/>
      <c r="L80" s="895">
        <f>-'Loan Scenario (acquisition)'!J66</f>
        <v/>
      </c>
      <c r="T80" s="146" t="n"/>
      <c r="U80" s="146" t="n"/>
      <c r="V80" s="146" t="n"/>
      <c r="W80" s="146" t="n"/>
      <c r="X80" s="146" t="n"/>
      <c r="Y80" s="146" t="n"/>
      <c r="Z80" s="146" t="n"/>
      <c r="AA80" s="146" t="n"/>
      <c r="AB80" s="146" t="n"/>
      <c r="AC80" s="146" t="n"/>
    </row>
    <row r="81" customFormat="1" s="59">
      <c r="F81" s="601" t="inlineStr">
        <is>
          <t>Refi Cashout</t>
        </is>
      </c>
      <c r="G81" s="203" t="n"/>
      <c r="H81" s="894" t="n"/>
      <c r="I81" s="894" t="n"/>
      <c r="J81" s="386" t="n"/>
      <c r="K81" s="894" t="n"/>
      <c r="L81" s="895" t="n"/>
      <c r="T81" s="146" t="n"/>
      <c r="U81" s="146" t="n"/>
      <c r="V81" s="146" t="n"/>
      <c r="W81" s="146" t="n"/>
      <c r="X81" s="146" t="n"/>
      <c r="Y81" s="146" t="n"/>
      <c r="Z81" s="146" t="n"/>
      <c r="AA81" s="146" t="n"/>
      <c r="AB81" s="146" t="n"/>
      <c r="AC81" s="146" t="n"/>
    </row>
    <row r="82" customFormat="1" s="59">
      <c r="F82" s="601" t="inlineStr">
        <is>
          <t>New Loan</t>
        </is>
      </c>
      <c r="G82" s="203" t="n"/>
      <c r="H82" s="894" t="n"/>
      <c r="I82" s="894" t="n"/>
      <c r="J82" s="894" t="n"/>
      <c r="K82" s="894" t="n"/>
      <c r="L82" s="895" t="n"/>
      <c r="M82" s="59" t="inlineStr">
        <is>
          <t>Lot Rent NOI Exit</t>
        </is>
      </c>
      <c r="N82" s="604">
        <f>$X$20</f>
        <v/>
      </c>
      <c r="T82" s="146" t="n"/>
      <c r="U82" s="146" t="n"/>
      <c r="V82" s="146" t="n"/>
      <c r="W82" s="146" t="n"/>
      <c r="X82" s="146" t="n"/>
      <c r="Y82" s="146" t="n"/>
      <c r="Z82" s="146" t="n"/>
      <c r="AA82" s="146" t="n"/>
      <c r="AB82" s="146" t="n"/>
      <c r="AC82" s="146" t="n"/>
    </row>
    <row r="83" customFormat="1" s="59">
      <c r="F83" s="601" t="inlineStr">
        <is>
          <t>Total Sale - Community</t>
        </is>
      </c>
      <c r="G83" s="203" t="n"/>
      <c r="H83" s="894" t="n"/>
      <c r="I83" s="894" t="n"/>
      <c r="J83" s="386" t="n"/>
      <c r="K83" s="894" t="n"/>
      <c r="L83" s="687">
        <f>(L56/N82)+(L57/N83)</f>
        <v/>
      </c>
      <c r="M83" s="59" t="inlineStr">
        <is>
          <t>Home  Rent NOI Exit</t>
        </is>
      </c>
      <c r="N83" s="604">
        <f>$X$21</f>
        <v/>
      </c>
      <c r="T83" s="146" t="n"/>
      <c r="U83" s="146" t="n"/>
      <c r="V83" s="146" t="n"/>
      <c r="W83" s="146" t="n"/>
      <c r="X83" s="146" t="n"/>
      <c r="Y83" s="146" t="n"/>
      <c r="Z83" s="146" t="n"/>
      <c r="AA83" s="146" t="n"/>
      <c r="AB83" s="146" t="n"/>
      <c r="AC83" s="146" t="n"/>
    </row>
    <row r="84" customFormat="1" s="59">
      <c r="F84" s="605" t="inlineStr">
        <is>
          <t>Free Cash Flow</t>
        </is>
      </c>
      <c r="G84" s="896">
        <f>-'Sources and Uses'!$C$7-'Sources and Uses'!$C$8</f>
        <v/>
      </c>
      <c r="H84" s="607">
        <f>H53+SUM(H79:H83)</f>
        <v/>
      </c>
      <c r="I84" s="607">
        <f>I53+SUM(I79:I83)</f>
        <v/>
      </c>
      <c r="J84" s="607">
        <f>J53+SUM(J79:J83)</f>
        <v/>
      </c>
      <c r="K84" s="607">
        <f>K53+SUM(K79:K83)</f>
        <v/>
      </c>
      <c r="L84" s="608">
        <f>L53+SUM(L79:L83)</f>
        <v/>
      </c>
      <c r="T84" s="146" t="n"/>
      <c r="U84" s="146" t="n"/>
      <c r="V84" s="146" t="n"/>
      <c r="W84" s="146" t="n"/>
      <c r="X84" s="146" t="n"/>
      <c r="Y84" s="146" t="n"/>
      <c r="Z84" s="146" t="n"/>
      <c r="AA84" s="146" t="n"/>
      <c r="AB84" s="146" t="n"/>
      <c r="AC84" s="146" t="n"/>
    </row>
    <row r="85" customFormat="1" s="59">
      <c r="F85" s="609" t="inlineStr">
        <is>
          <t>DSCR</t>
        </is>
      </c>
      <c r="G85" s="203" t="n"/>
      <c r="H85" s="897">
        <f>-H53/H79</f>
        <v/>
      </c>
      <c r="I85" s="897">
        <f>-I53/I79</f>
        <v/>
      </c>
      <c r="J85" s="897">
        <f>-J53/J79</f>
        <v/>
      </c>
      <c r="K85" s="897">
        <f>-K53/K79</f>
        <v/>
      </c>
      <c r="L85" s="897">
        <f>-L53/L79</f>
        <v/>
      </c>
      <c r="T85" s="146" t="n"/>
      <c r="U85" s="146" t="n"/>
      <c r="V85" s="146" t="n"/>
      <c r="W85" s="146" t="n"/>
      <c r="X85" s="146" t="n"/>
      <c r="Y85" s="146" t="n"/>
      <c r="Z85" s="146" t="n"/>
      <c r="AA85" s="146" t="n"/>
      <c r="AB85" s="146" t="n"/>
      <c r="AC85" s="146" t="n"/>
    </row>
    <row r="86" customFormat="1" s="59">
      <c r="G86" s="203" t="n"/>
      <c r="T86" s="146" t="n"/>
      <c r="U86" s="146" t="n"/>
      <c r="V86" s="146" t="n"/>
      <c r="W86" s="146" t="n"/>
      <c r="X86" s="146" t="n"/>
      <c r="Y86" s="146" t="n"/>
      <c r="Z86" s="146" t="n"/>
      <c r="AA86" s="146" t="n"/>
      <c r="AB86" s="146" t="n"/>
      <c r="AC86" s="146" t="n"/>
    </row>
    <row r="87" customFormat="1" s="59">
      <c r="G87" s="203" t="n"/>
      <c r="T87" s="146" t="n"/>
      <c r="U87" s="146" t="n"/>
      <c r="V87" s="146" t="n"/>
      <c r="W87" s="146" t="n"/>
      <c r="X87" s="146" t="n"/>
      <c r="Y87" s="146" t="n"/>
      <c r="Z87" s="146" t="n"/>
      <c r="AA87" s="146" t="n"/>
      <c r="AB87" s="146" t="n"/>
      <c r="AC87" s="146" t="n"/>
    </row>
    <row r="88" customFormat="1" s="59">
      <c r="G88" s="203" t="n"/>
      <c r="T88" s="146" t="n"/>
      <c r="U88" s="146" t="n"/>
      <c r="V88" s="146" t="n"/>
      <c r="W88" s="146" t="n"/>
      <c r="X88" s="146" t="n"/>
      <c r="Y88" s="146" t="n"/>
      <c r="Z88" s="146" t="n"/>
      <c r="AA88" s="146" t="n"/>
      <c r="AB88" s="146" t="n"/>
      <c r="AC88" s="146" t="n"/>
    </row>
    <row r="89" customFormat="1" s="59">
      <c r="G89" s="203" t="n"/>
      <c r="T89" s="146" t="n"/>
      <c r="U89" s="146" t="n"/>
      <c r="V89" s="146" t="n"/>
      <c r="W89" s="146" t="n"/>
      <c r="X89" s="146" t="n"/>
      <c r="Y89" s="146" t="n"/>
      <c r="Z89" s="146" t="n"/>
      <c r="AA89" s="146" t="n"/>
      <c r="AB89" s="146" t="n"/>
      <c r="AC89" s="146" t="n"/>
    </row>
    <row r="90" customFormat="1" s="59">
      <c r="D90" s="593" t="inlineStr">
        <is>
          <t>S2-Secondary seller note</t>
        </is>
      </c>
      <c r="G90" s="203" t="n"/>
      <c r="T90" s="146" t="n"/>
      <c r="U90" s="146" t="n"/>
      <c r="V90" s="146" t="n"/>
      <c r="W90" s="146" t="n"/>
      <c r="X90" s="146" t="n"/>
      <c r="Y90" s="146" t="n"/>
      <c r="Z90" s="146" t="n"/>
      <c r="AA90" s="146" t="n"/>
      <c r="AB90" s="146" t="n"/>
      <c r="AC90" s="146"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46" t="n"/>
      <c r="U91" s="146" t="n"/>
      <c r="V91" s="146" t="n"/>
      <c r="W91" s="146" t="n"/>
      <c r="X91" s="146" t="n"/>
      <c r="Y91" s="146" t="n"/>
      <c r="Z91" s="146" t="n"/>
      <c r="AA91" s="146" t="n"/>
      <c r="AB91" s="146" t="n"/>
      <c r="AC91" s="146"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46" t="n"/>
      <c r="U92" s="146" t="n"/>
      <c r="V92" s="146" t="n"/>
      <c r="W92" s="146" t="n"/>
      <c r="X92" s="146" t="n"/>
      <c r="Y92" s="146" t="n"/>
      <c r="Z92" s="146" t="n"/>
      <c r="AA92" s="146" t="n"/>
      <c r="AB92" s="146" t="n"/>
      <c r="AC92" s="146"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46" t="n"/>
      <c r="U93" s="146" t="n"/>
      <c r="V93" s="146" t="n"/>
      <c r="W93" s="146" t="n"/>
      <c r="X93" s="146" t="n"/>
      <c r="Y93" s="146" t="n"/>
      <c r="Z93" s="146" t="n"/>
      <c r="AA93" s="146" t="n"/>
      <c r="AB93" s="146" t="n"/>
      <c r="AC93" s="146" t="n"/>
    </row>
    <row r="94" customFormat="1" s="59">
      <c r="F94" s="601" t="inlineStr">
        <is>
          <t>Refi Cashout</t>
        </is>
      </c>
      <c r="G94" s="203" t="n"/>
      <c r="H94" s="894" t="n"/>
      <c r="I94" s="894" t="n"/>
      <c r="J94" s="386" t="n"/>
      <c r="K94" s="894" t="n"/>
      <c r="L94" s="894">
        <f>L56/7%/1.25</f>
        <v/>
      </c>
      <c r="M94" s="894" t="n"/>
      <c r="N94" s="894" t="n"/>
      <c r="O94" s="894" t="n"/>
      <c r="P94" s="894" t="n"/>
      <c r="Q94" s="895" t="n"/>
      <c r="T94" s="146" t="n"/>
      <c r="U94" s="146" t="n"/>
      <c r="V94" s="146" t="n"/>
      <c r="W94" s="146" t="n"/>
      <c r="X94" s="146" t="n"/>
      <c r="Y94" s="146" t="n"/>
      <c r="Z94" s="146" t="n"/>
      <c r="AA94" s="146" t="n"/>
      <c r="AB94" s="146" t="n"/>
      <c r="AC94" s="146"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46" t="n"/>
      <c r="U95" s="146" t="n"/>
      <c r="V95" s="146" t="n"/>
      <c r="W95" s="146" t="n"/>
      <c r="X95" s="146" t="n"/>
      <c r="Y95" s="146" t="n"/>
      <c r="Z95" s="146" t="n"/>
      <c r="AA95" s="146" t="n"/>
      <c r="AB95" s="146" t="n"/>
      <c r="AC95" s="146"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46" t="n"/>
      <c r="U96" s="146" t="n"/>
      <c r="V96" s="146" t="n"/>
      <c r="W96" s="146" t="n"/>
      <c r="X96" s="146" t="n"/>
      <c r="Y96" s="146" t="n"/>
      <c r="Z96" s="146" t="n"/>
      <c r="AA96" s="146" t="n"/>
      <c r="AB96" s="146" t="n"/>
      <c r="AC96" s="146" t="n"/>
    </row>
    <row r="97" customFormat="1" s="59">
      <c r="F97" s="605" t="inlineStr">
        <is>
          <t>Free Cash Flow</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46" t="n"/>
      <c r="U97" s="146" t="n"/>
      <c r="V97" s="146" t="n"/>
      <c r="W97" s="146" t="n"/>
      <c r="X97" s="146" t="n"/>
      <c r="Y97" s="146" t="n"/>
      <c r="Z97" s="146" t="n"/>
      <c r="AA97" s="146" t="n"/>
      <c r="AB97" s="146" t="n"/>
      <c r="AC97" s="146"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46" t="n"/>
      <c r="U98" s="146" t="n"/>
      <c r="V98" s="146" t="n"/>
      <c r="W98" s="146" t="n"/>
      <c r="X98" s="146" t="n"/>
      <c r="Y98" s="146" t="n"/>
      <c r="Z98" s="146" t="n"/>
      <c r="AA98" s="146" t="n"/>
      <c r="AB98" s="146" t="n"/>
      <c r="AC98" s="146"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46" t="n"/>
      <c r="U99" s="146" t="n"/>
      <c r="V99" s="146" t="n"/>
      <c r="W99" s="146" t="n"/>
      <c r="X99" s="146" t="n"/>
      <c r="Y99" s="146" t="n"/>
      <c r="Z99" s="146" t="n"/>
      <c r="AA99" s="146" t="n"/>
      <c r="AB99" s="146" t="n"/>
      <c r="AC99" s="146" t="n"/>
    </row>
    <row r="100" customFormat="1" s="59">
      <c r="F100" s="59" t="inlineStr">
        <is>
          <t>Avg CoC Y1-Y4</t>
        </is>
      </c>
      <c r="G100" s="695">
        <f>AVERAGE(H99:K99)</f>
        <v/>
      </c>
      <c r="T100" s="146" t="n"/>
      <c r="U100" s="146" t="n"/>
      <c r="V100" s="146" t="n"/>
      <c r="W100" s="146" t="n"/>
      <c r="X100" s="146" t="n"/>
      <c r="Y100" s="146" t="n"/>
      <c r="Z100" s="146" t="n"/>
      <c r="AA100" s="146" t="n"/>
      <c r="AB100" s="146" t="n"/>
      <c r="AC100" s="146" t="n"/>
    </row>
    <row r="101" customFormat="1" s="59">
      <c r="F101" s="59" t="inlineStr">
        <is>
          <t>IRR</t>
        </is>
      </c>
      <c r="G101" s="696">
        <f>IRR(G97:Q97)</f>
        <v/>
      </c>
      <c r="T101" s="146" t="n"/>
      <c r="U101" s="146" t="n"/>
      <c r="V101" s="146" t="n"/>
      <c r="W101" s="146" t="n"/>
      <c r="X101" s="146" t="n"/>
      <c r="Y101" s="146" t="n"/>
      <c r="Z101" s="146" t="n"/>
      <c r="AA101" s="146" t="n"/>
      <c r="AB101" s="146" t="n"/>
      <c r="AC101" s="146" t="n"/>
    </row>
    <row r="102" customFormat="1" s="59">
      <c r="F102" s="59" t="inlineStr">
        <is>
          <t>MOIC</t>
        </is>
      </c>
      <c r="G102" s="898">
        <f>SUM(H97:Q97)/-G97</f>
        <v/>
      </c>
      <c r="T102" s="146" t="n"/>
      <c r="U102" s="146" t="n"/>
      <c r="V102" s="146" t="n"/>
      <c r="W102" s="146" t="n"/>
      <c r="X102" s="146" t="n"/>
      <c r="Y102" s="146" t="n"/>
      <c r="Z102" s="146" t="n"/>
      <c r="AA102" s="146" t="n"/>
      <c r="AB102" s="146" t="n"/>
      <c r="AC102" s="146" t="n"/>
    </row>
    <row r="103" customFormat="1" s="59">
      <c r="G103" s="203" t="n"/>
      <c r="T103" s="146" t="n"/>
      <c r="U103" s="146" t="n"/>
      <c r="V103" s="146" t="n"/>
      <c r="W103" s="146" t="n"/>
      <c r="X103" s="146" t="n"/>
      <c r="Y103" s="146" t="n"/>
      <c r="Z103" s="146" t="n"/>
      <c r="AA103" s="146" t="n"/>
      <c r="AB103" s="146" t="n"/>
      <c r="AC103" s="146" t="n"/>
    </row>
    <row r="104" customFormat="1" s="59">
      <c r="G104" s="203" t="n"/>
      <c r="T104" s="146" t="n"/>
      <c r="U104" s="146" t="n"/>
      <c r="V104" s="146" t="n"/>
      <c r="W104" s="146" t="n"/>
      <c r="X104" s="146" t="n"/>
      <c r="Y104" s="146" t="n"/>
      <c r="Z104" s="146" t="n"/>
      <c r="AA104" s="146" t="n"/>
      <c r="AB104" s="146" t="n"/>
      <c r="AC104" s="146" t="n"/>
    </row>
    <row r="105" customFormat="1" s="59">
      <c r="G105" s="203" t="n"/>
      <c r="T105" s="146" t="n"/>
      <c r="U105" s="146" t="n"/>
      <c r="V105" s="146" t="n"/>
      <c r="W105" s="146" t="n"/>
      <c r="X105" s="146" t="n"/>
      <c r="Y105" s="146" t="n"/>
      <c r="Z105" s="146" t="n"/>
      <c r="AA105" s="146" t="n"/>
      <c r="AB105" s="146" t="n"/>
      <c r="AC105" s="146" t="n"/>
    </row>
    <row r="106" customFormat="1" s="59">
      <c r="G106" s="203" t="n"/>
      <c r="T106" s="146" t="n"/>
      <c r="U106" s="146" t="n"/>
      <c r="V106" s="146" t="n"/>
      <c r="W106" s="146" t="n"/>
      <c r="X106" s="146" t="n"/>
      <c r="Y106" s="146" t="n"/>
      <c r="Z106" s="146" t="n"/>
      <c r="AA106" s="146" t="n"/>
      <c r="AB106" s="146" t="n"/>
      <c r="AC106" s="146" t="n"/>
    </row>
    <row r="107" customFormat="1" s="59">
      <c r="G107" s="203" t="n"/>
      <c r="T107" s="146" t="n"/>
      <c r="U107" s="146" t="n"/>
      <c r="V107" s="146" t="n"/>
      <c r="W107" s="146" t="n"/>
      <c r="X107" s="146" t="n"/>
      <c r="Y107" s="146" t="n"/>
      <c r="Z107" s="146" t="n"/>
      <c r="AA107" s="146" t="n"/>
      <c r="AB107" s="146" t="n"/>
      <c r="AC107" s="146" t="n"/>
    </row>
    <row r="108" customFormat="1" s="59">
      <c r="G108" s="203" t="n"/>
      <c r="T108" s="146" t="n"/>
      <c r="U108" s="146" t="n"/>
      <c r="V108" s="146" t="n"/>
      <c r="W108" s="146" t="n"/>
      <c r="X108" s="146" t="n"/>
      <c r="Y108" s="146" t="n"/>
      <c r="Z108" s="146" t="n"/>
      <c r="AA108" s="146" t="n"/>
      <c r="AB108" s="146" t="n"/>
      <c r="AC108" s="146" t="n"/>
    </row>
    <row r="109" customFormat="1" s="59">
      <c r="G109" s="203" t="n"/>
      <c r="T109" s="146" t="n"/>
      <c r="U109" s="146" t="n"/>
      <c r="V109" s="146" t="n"/>
      <c r="W109" s="146" t="n"/>
      <c r="X109" s="146" t="n"/>
      <c r="Y109" s="146" t="n"/>
      <c r="Z109" s="146" t="n"/>
      <c r="AA109" s="146" t="n"/>
      <c r="AB109" s="146" t="n"/>
      <c r="AC109" s="146" t="n"/>
    </row>
    <row r="110" customFormat="1" s="59">
      <c r="G110" s="203" t="n"/>
      <c r="T110" s="146" t="n"/>
      <c r="U110" s="146" t="n"/>
      <c r="V110" s="146" t="n"/>
      <c r="W110" s="146" t="n"/>
      <c r="X110" s="146" t="n"/>
      <c r="Y110" s="146" t="n"/>
      <c r="Z110" s="146" t="n"/>
      <c r="AA110" s="146" t="n"/>
      <c r="AB110" s="146" t="n"/>
      <c r="AC110" s="146" t="n"/>
    </row>
    <row r="111" customFormat="1" s="59">
      <c r="G111" s="203" t="n"/>
      <c r="T111" s="146" t="n"/>
      <c r="U111" s="146" t="n"/>
      <c r="V111" s="146" t="n"/>
      <c r="W111" s="146" t="n"/>
      <c r="X111" s="146" t="n"/>
      <c r="Y111" s="146" t="n"/>
      <c r="Z111" s="146" t="n"/>
      <c r="AA111" s="146" t="n"/>
      <c r="AB111" s="146" t="n"/>
      <c r="AC111" s="146" t="n"/>
    </row>
    <row r="112" customFormat="1" s="59">
      <c r="G112" s="203" t="n"/>
      <c r="T112" s="146" t="n"/>
      <c r="U112" s="146" t="n"/>
      <c r="V112" s="146" t="n"/>
      <c r="W112" s="146" t="n"/>
      <c r="X112" s="146" t="n"/>
      <c r="Y112" s="146" t="n"/>
      <c r="Z112" s="146" t="n"/>
      <c r="AA112" s="146" t="n"/>
      <c r="AB112" s="146" t="n"/>
      <c r="AC112" s="146" t="n"/>
    </row>
    <row r="113" customFormat="1" s="59">
      <c r="G113" s="203" t="n"/>
      <c r="T113" s="146" t="n"/>
      <c r="U113" s="146" t="n"/>
      <c r="V113" s="146" t="n"/>
      <c r="W113" s="146" t="n"/>
      <c r="X113" s="146" t="n"/>
      <c r="Y113" s="146" t="n"/>
      <c r="Z113" s="146" t="n"/>
      <c r="AA113" s="146" t="n"/>
      <c r="AB113" s="146" t="n"/>
      <c r="AC113" s="146" t="n"/>
    </row>
    <row r="114" customFormat="1" s="59">
      <c r="G114" s="203" t="n"/>
      <c r="T114" s="146" t="n"/>
      <c r="U114" s="146" t="n"/>
      <c r="V114" s="146" t="n"/>
      <c r="W114" s="146" t="n"/>
      <c r="X114" s="146" t="n"/>
      <c r="Y114" s="146" t="n"/>
      <c r="Z114" s="146" t="n"/>
      <c r="AA114" s="146" t="n"/>
      <c r="AB114" s="146" t="n"/>
      <c r="AC114" s="146" t="n"/>
    </row>
    <row r="115" customFormat="1" s="59">
      <c r="G115" s="203" t="n"/>
      <c r="T115" s="146" t="n"/>
      <c r="U115" s="146" t="n"/>
      <c r="V115" s="146" t="n"/>
      <c r="W115" s="146" t="n"/>
      <c r="X115" s="146" t="n"/>
      <c r="Y115" s="146" t="n"/>
      <c r="Z115" s="146" t="n"/>
      <c r="AA115" s="146" t="n"/>
      <c r="AB115" s="146" t="n"/>
      <c r="AC115" s="146" t="n"/>
    </row>
    <row r="116" customFormat="1" s="59">
      <c r="G116" s="203" t="n"/>
      <c r="T116" s="146" t="n"/>
      <c r="U116" s="146" t="n"/>
      <c r="V116" s="146" t="n"/>
      <c r="W116" s="146" t="n"/>
      <c r="X116" s="146" t="n"/>
      <c r="Y116" s="146" t="n"/>
      <c r="Z116" s="146" t="n"/>
      <c r="AA116" s="146" t="n"/>
      <c r="AB116" s="146" t="n"/>
      <c r="AC116" s="146" t="n"/>
    </row>
    <row r="117" customFormat="1" s="59">
      <c r="G117" s="203" t="n"/>
      <c r="T117" s="146" t="n"/>
      <c r="U117" s="146" t="n"/>
      <c r="V117" s="146" t="n"/>
      <c r="W117" s="146" t="n"/>
      <c r="X117" s="146" t="n"/>
      <c r="Y117" s="146" t="n"/>
      <c r="Z117" s="146" t="n"/>
      <c r="AA117" s="146" t="n"/>
      <c r="AB117" s="146" t="n"/>
      <c r="AC117" s="146" t="n"/>
    </row>
    <row r="118" customFormat="1" s="59">
      <c r="G118" s="203" t="n"/>
      <c r="T118" s="146" t="n"/>
      <c r="U118" s="146" t="n"/>
      <c r="V118" s="146" t="n"/>
      <c r="W118" s="146" t="n"/>
      <c r="X118" s="146" t="n"/>
      <c r="Y118" s="146" t="n"/>
      <c r="Z118" s="146" t="n"/>
      <c r="AA118" s="146" t="n"/>
      <c r="AB118" s="146" t="n"/>
      <c r="AC118" s="146" t="n"/>
    </row>
    <row r="119" customFormat="1" s="59">
      <c r="G119" s="203" t="n"/>
      <c r="T119" s="146" t="n"/>
      <c r="U119" s="146" t="n"/>
      <c r="V119" s="146" t="n"/>
      <c r="W119" s="146" t="n"/>
      <c r="X119" s="146" t="n"/>
      <c r="Y119" s="146" t="n"/>
      <c r="Z119" s="146" t="n"/>
      <c r="AA119" s="146" t="n"/>
      <c r="AB119" s="146" t="n"/>
      <c r="AC119" s="146" t="n"/>
    </row>
    <row r="120" customFormat="1" s="59">
      <c r="G120" s="203" t="n"/>
      <c r="T120" s="146" t="n"/>
      <c r="U120" s="146" t="n"/>
      <c r="V120" s="146" t="n"/>
      <c r="W120" s="146" t="n"/>
      <c r="X120" s="146" t="n"/>
      <c r="Y120" s="146" t="n"/>
      <c r="Z120" s="146" t="n"/>
      <c r="AA120" s="146" t="n"/>
      <c r="AB120" s="146" t="n"/>
      <c r="AC120" s="146" t="n"/>
    </row>
    <row r="121" customFormat="1" s="59">
      <c r="G121" s="203" t="n"/>
      <c r="T121" s="146" t="n"/>
      <c r="U121" s="146" t="n"/>
      <c r="V121" s="146" t="n"/>
      <c r="W121" s="146" t="n"/>
      <c r="X121" s="146" t="n"/>
      <c r="Y121" s="146" t="n"/>
      <c r="Z121" s="146" t="n"/>
      <c r="AA121" s="146" t="n"/>
      <c r="AB121" s="146" t="n"/>
      <c r="AC121" s="146" t="n"/>
    </row>
    <row r="122" customFormat="1" s="59">
      <c r="G122" s="203" t="n"/>
      <c r="T122" s="146" t="n"/>
      <c r="U122" s="146" t="n"/>
      <c r="V122" s="146" t="n"/>
      <c r="W122" s="146" t="n"/>
      <c r="X122" s="146" t="n"/>
      <c r="Y122" s="146" t="n"/>
      <c r="Z122" s="146" t="n"/>
      <c r="AA122" s="146" t="n"/>
      <c r="AB122" s="146" t="n"/>
      <c r="AC122" s="146" t="n"/>
    </row>
    <row r="123" customFormat="1" s="59">
      <c r="G123" s="203" t="n"/>
      <c r="T123" s="146" t="n"/>
      <c r="U123" s="146" t="n"/>
      <c r="V123" s="146" t="n"/>
      <c r="W123" s="146" t="n"/>
      <c r="X123" s="146" t="n"/>
      <c r="Y123" s="146" t="n"/>
      <c r="Z123" s="146" t="n"/>
      <c r="AA123" s="146" t="n"/>
      <c r="AB123" s="146" t="n"/>
      <c r="AC123" s="146" t="n"/>
    </row>
    <row r="124" customFormat="1" s="59">
      <c r="G124" s="203" t="n"/>
      <c r="T124" s="146" t="n"/>
      <c r="U124" s="146" t="n"/>
      <c r="V124" s="146" t="n"/>
      <c r="W124" s="146" t="n"/>
      <c r="X124" s="146" t="n"/>
      <c r="Y124" s="146" t="n"/>
      <c r="Z124" s="146" t="n"/>
      <c r="AA124" s="146" t="n"/>
      <c r="AB124" s="146" t="n"/>
      <c r="AC124" s="146" t="n"/>
    </row>
    <row r="125" customFormat="1" s="59">
      <c r="G125" s="203" t="n"/>
      <c r="T125" s="146" t="n"/>
      <c r="U125" s="146" t="n"/>
      <c r="V125" s="146" t="n"/>
      <c r="W125" s="146" t="n"/>
      <c r="X125" s="146" t="n"/>
      <c r="Y125" s="146" t="n"/>
      <c r="Z125" s="146" t="n"/>
      <c r="AA125" s="146" t="n"/>
      <c r="AB125" s="146" t="n"/>
      <c r="AC125" s="146" t="n"/>
    </row>
    <row r="126" customFormat="1" s="59">
      <c r="G126" s="203" t="n"/>
      <c r="T126" s="146" t="n"/>
      <c r="U126" s="146" t="n"/>
      <c r="V126" s="146" t="n"/>
      <c r="W126" s="146" t="n"/>
      <c r="X126" s="146" t="n"/>
      <c r="Y126" s="146" t="n"/>
      <c r="Z126" s="146" t="n"/>
      <c r="AA126" s="146" t="n"/>
      <c r="AB126" s="146" t="n"/>
      <c r="AC126" s="146" t="n"/>
    </row>
    <row r="127" customFormat="1" s="59">
      <c r="G127" s="203" t="n"/>
      <c r="T127" s="146" t="n"/>
      <c r="U127" s="146" t="n"/>
      <c r="V127" s="146" t="n"/>
      <c r="W127" s="146" t="n"/>
      <c r="X127" s="146" t="n"/>
      <c r="Y127" s="146" t="n"/>
      <c r="Z127" s="146" t="n"/>
      <c r="AA127" s="146" t="n"/>
      <c r="AB127" s="146" t="n"/>
      <c r="AC127" s="146" t="n"/>
    </row>
    <row r="128" customFormat="1" s="59">
      <c r="G128" s="203" t="n"/>
      <c r="T128" s="146" t="n"/>
      <c r="U128" s="146" t="n"/>
      <c r="V128" s="146" t="n"/>
      <c r="W128" s="146" t="n"/>
      <c r="X128" s="146" t="n"/>
      <c r="Y128" s="146" t="n"/>
      <c r="Z128" s="146" t="n"/>
      <c r="AA128" s="146" t="n"/>
      <c r="AB128" s="146" t="n"/>
      <c r="AC128" s="146" t="n"/>
    </row>
    <row r="129" customFormat="1" s="59">
      <c r="G129" s="203" t="n"/>
      <c r="T129" s="146" t="n"/>
      <c r="U129" s="146" t="n"/>
      <c r="V129" s="146" t="n"/>
      <c r="W129" s="146" t="n"/>
      <c r="X129" s="146" t="n"/>
      <c r="Y129" s="146" t="n"/>
      <c r="Z129" s="146" t="n"/>
      <c r="AA129" s="146" t="n"/>
      <c r="AB129" s="146" t="n"/>
      <c r="AC129" s="146" t="n"/>
    </row>
    <row r="130" customFormat="1" s="59">
      <c r="G130" s="203" t="n"/>
      <c r="T130" s="146" t="n"/>
      <c r="U130" s="146" t="n"/>
      <c r="V130" s="146" t="n"/>
      <c r="W130" s="146" t="n"/>
      <c r="X130" s="146" t="n"/>
      <c r="Y130" s="146" t="n"/>
      <c r="Z130" s="146" t="n"/>
      <c r="AA130" s="146" t="n"/>
      <c r="AB130" s="146" t="n"/>
      <c r="AC130" s="146" t="n"/>
    </row>
    <row r="131" customFormat="1" s="59">
      <c r="G131" s="203" t="n"/>
      <c r="T131" s="146" t="n"/>
      <c r="U131" s="146" t="n"/>
      <c r="V131" s="146" t="n"/>
      <c r="W131" s="146" t="n"/>
      <c r="X131" s="146" t="n"/>
      <c r="Y131" s="146" t="n"/>
      <c r="Z131" s="146" t="n"/>
      <c r="AA131" s="146" t="n"/>
      <c r="AB131" s="146" t="n"/>
      <c r="AC131" s="146" t="n"/>
    </row>
    <row r="132" customFormat="1" s="59">
      <c r="G132" s="203" t="n"/>
      <c r="T132" s="146" t="n"/>
      <c r="U132" s="146" t="n"/>
      <c r="V132" s="146" t="n"/>
      <c r="W132" s="146" t="n"/>
      <c r="X132" s="146" t="n"/>
      <c r="Y132" s="146" t="n"/>
      <c r="Z132" s="146" t="n"/>
      <c r="AA132" s="146" t="n"/>
      <c r="AB132" s="146" t="n"/>
      <c r="AC132" s="146" t="n"/>
    </row>
    <row r="133" customFormat="1" s="59">
      <c r="G133" s="203" t="n"/>
      <c r="T133" s="146" t="n"/>
      <c r="U133" s="146" t="n"/>
      <c r="V133" s="146" t="n"/>
      <c r="W133" s="146" t="n"/>
      <c r="X133" s="146" t="n"/>
      <c r="Y133" s="146" t="n"/>
      <c r="Z133" s="146" t="n"/>
      <c r="AA133" s="146" t="n"/>
      <c r="AB133" s="146" t="n"/>
      <c r="AC133" s="146" t="n"/>
    </row>
    <row r="134" customFormat="1" s="59">
      <c r="G134" s="203" t="n"/>
      <c r="T134" s="146" t="n"/>
      <c r="U134" s="146" t="n"/>
      <c r="V134" s="146" t="n"/>
      <c r="W134" s="146" t="n"/>
      <c r="X134" s="146" t="n"/>
      <c r="Y134" s="146" t="n"/>
      <c r="Z134" s="146" t="n"/>
      <c r="AA134" s="146" t="n"/>
      <c r="AB134" s="146" t="n"/>
      <c r="AC134" s="146" t="n"/>
    </row>
    <row r="135" customFormat="1" s="59">
      <c r="G135" s="203" t="n"/>
      <c r="T135" s="146" t="n"/>
      <c r="U135" s="146" t="n"/>
      <c r="V135" s="146" t="n"/>
      <c r="W135" s="146" t="n"/>
      <c r="X135" s="146" t="n"/>
      <c r="Y135" s="146" t="n"/>
      <c r="Z135" s="146" t="n"/>
      <c r="AA135" s="146" t="n"/>
      <c r="AB135" s="146" t="n"/>
      <c r="AC135" s="146" t="n"/>
    </row>
    <row r="136" customFormat="1" s="59">
      <c r="G136" s="203" t="n"/>
      <c r="T136" s="146" t="n"/>
      <c r="U136" s="146" t="n"/>
      <c r="V136" s="146" t="n"/>
      <c r="W136" s="146" t="n"/>
      <c r="X136" s="146" t="n"/>
      <c r="Y136" s="146" t="n"/>
      <c r="Z136" s="146" t="n"/>
      <c r="AA136" s="146" t="n"/>
      <c r="AB136" s="146" t="n"/>
      <c r="AC136" s="146" t="n"/>
    </row>
    <row r="137" customFormat="1" s="59">
      <c r="G137" s="203" t="n"/>
      <c r="T137" s="146" t="n"/>
      <c r="U137" s="146" t="n"/>
      <c r="V137" s="146" t="n"/>
      <c r="W137" s="146" t="n"/>
      <c r="X137" s="146" t="n"/>
      <c r="Y137" s="146" t="n"/>
      <c r="Z137" s="146" t="n"/>
      <c r="AA137" s="146" t="n"/>
      <c r="AB137" s="146" t="n"/>
      <c r="AC137" s="146" t="n"/>
    </row>
    <row r="138" customFormat="1" s="59">
      <c r="G138" s="203" t="n"/>
      <c r="T138" s="146" t="n"/>
      <c r="U138" s="146" t="n"/>
      <c r="V138" s="146" t="n"/>
      <c r="W138" s="146" t="n"/>
      <c r="X138" s="146" t="n"/>
      <c r="Y138" s="146" t="n"/>
      <c r="Z138" s="146" t="n"/>
      <c r="AA138" s="146" t="n"/>
      <c r="AB138" s="146" t="n"/>
      <c r="AC138" s="146" t="n"/>
    </row>
    <row r="139" customFormat="1" s="59">
      <c r="G139" s="203" t="n"/>
      <c r="T139" s="146" t="n"/>
      <c r="U139" s="146" t="n"/>
      <c r="V139" s="146" t="n"/>
      <c r="W139" s="146" t="n"/>
      <c r="X139" s="146" t="n"/>
      <c r="Y139" s="146" t="n"/>
      <c r="Z139" s="146" t="n"/>
      <c r="AA139" s="146" t="n"/>
      <c r="AB139" s="146" t="n"/>
      <c r="AC139" s="146" t="n"/>
    </row>
    <row r="140" customFormat="1" s="59">
      <c r="G140" s="203" t="n"/>
      <c r="T140" s="146" t="n"/>
      <c r="U140" s="146" t="n"/>
      <c r="V140" s="146" t="n"/>
      <c r="W140" s="146" t="n"/>
      <c r="X140" s="146" t="n"/>
      <c r="Y140" s="146" t="n"/>
      <c r="Z140" s="146" t="n"/>
      <c r="AA140" s="146" t="n"/>
      <c r="AB140" s="146" t="n"/>
      <c r="AC140" s="146" t="n"/>
    </row>
    <row r="141" customFormat="1" s="59">
      <c r="G141" s="203" t="n"/>
      <c r="T141" s="146" t="n"/>
      <c r="U141" s="146" t="n"/>
      <c r="V141" s="146" t="n"/>
      <c r="W141" s="146" t="n"/>
      <c r="X141" s="146" t="n"/>
      <c r="Y141" s="146" t="n"/>
      <c r="Z141" s="146" t="n"/>
      <c r="AA141" s="146" t="n"/>
      <c r="AB141" s="146" t="n"/>
      <c r="AC141" s="146" t="n"/>
    </row>
    <row r="142" customFormat="1" s="59">
      <c r="G142" s="203" t="n"/>
      <c r="T142" s="146" t="n"/>
      <c r="U142" s="146" t="n"/>
      <c r="V142" s="146" t="n"/>
      <c r="W142" s="146" t="n"/>
      <c r="X142" s="146" t="n"/>
      <c r="Y142" s="146" t="n"/>
      <c r="Z142" s="146" t="n"/>
      <c r="AA142" s="146" t="n"/>
      <c r="AB142" s="146" t="n"/>
      <c r="AC142" s="146" t="n"/>
    </row>
    <row r="143" customFormat="1" s="59">
      <c r="G143" s="203" t="n"/>
      <c r="T143" s="146" t="n"/>
      <c r="U143" s="146" t="n"/>
      <c r="V143" s="146" t="n"/>
      <c r="W143" s="146" t="n"/>
      <c r="X143" s="146" t="n"/>
      <c r="Y143" s="146" t="n"/>
      <c r="Z143" s="146" t="n"/>
      <c r="AA143" s="146" t="n"/>
      <c r="AB143" s="146" t="n"/>
      <c r="AC143" s="146" t="n"/>
    </row>
    <row r="144" customFormat="1" s="59">
      <c r="G144" s="203" t="n"/>
      <c r="T144" s="146" t="n"/>
      <c r="U144" s="146" t="n"/>
      <c r="V144" s="146" t="n"/>
      <c r="W144" s="146" t="n"/>
      <c r="X144" s="146" t="n"/>
      <c r="Y144" s="146" t="n"/>
      <c r="Z144" s="146" t="n"/>
      <c r="AA144" s="146" t="n"/>
      <c r="AB144" s="146" t="n"/>
      <c r="AC144" s="146" t="n"/>
    </row>
    <row r="145" customFormat="1" s="59">
      <c r="G145" s="203" t="n"/>
      <c r="T145" s="146" t="n"/>
      <c r="U145" s="146" t="n"/>
      <c r="V145" s="146" t="n"/>
      <c r="W145" s="146" t="n"/>
      <c r="X145" s="146" t="n"/>
      <c r="Y145" s="146" t="n"/>
      <c r="Z145" s="146" t="n"/>
      <c r="AA145" s="146" t="n"/>
      <c r="AB145" s="146" t="n"/>
      <c r="AC145" s="146" t="n"/>
    </row>
    <row r="146" customFormat="1" s="59">
      <c r="G146" s="203" t="n"/>
      <c r="T146" s="146" t="n"/>
      <c r="U146" s="146" t="n"/>
      <c r="V146" s="146" t="n"/>
      <c r="W146" s="146" t="n"/>
      <c r="X146" s="146" t="n"/>
      <c r="Y146" s="146" t="n"/>
      <c r="Z146" s="146" t="n"/>
      <c r="AA146" s="146" t="n"/>
      <c r="AB146" s="146" t="n"/>
      <c r="AC146" s="146" t="n"/>
    </row>
    <row r="147" customFormat="1" s="59">
      <c r="G147" s="203" t="n"/>
      <c r="T147" s="146" t="n"/>
      <c r="U147" s="146" t="n"/>
      <c r="V147" s="146" t="n"/>
      <c r="W147" s="146" t="n"/>
      <c r="X147" s="146" t="n"/>
      <c r="Y147" s="146" t="n"/>
      <c r="Z147" s="146" t="n"/>
      <c r="AA147" s="146" t="n"/>
      <c r="AB147" s="146" t="n"/>
      <c r="AC147" s="146" t="n"/>
    </row>
    <row r="148" customFormat="1" s="59">
      <c r="G148" s="203" t="n"/>
      <c r="T148" s="146" t="n"/>
      <c r="U148" s="146" t="n"/>
      <c r="V148" s="146" t="n"/>
      <c r="W148" s="146" t="n"/>
      <c r="X148" s="146" t="n"/>
      <c r="Y148" s="146" t="n"/>
      <c r="Z148" s="146" t="n"/>
      <c r="AA148" s="146" t="n"/>
      <c r="AB148" s="146" t="n"/>
      <c r="AC148" s="146" t="n"/>
    </row>
    <row r="149" customFormat="1" s="59">
      <c r="G149" s="203" t="n"/>
      <c r="T149" s="146" t="n"/>
      <c r="U149" s="146" t="n"/>
      <c r="V149" s="146" t="n"/>
      <c r="W149" s="146" t="n"/>
      <c r="X149" s="146" t="n"/>
      <c r="Y149" s="146" t="n"/>
      <c r="Z149" s="146" t="n"/>
      <c r="AA149" s="146" t="n"/>
      <c r="AB149" s="146" t="n"/>
      <c r="AC149" s="146" t="n"/>
    </row>
    <row r="150" customFormat="1" s="59">
      <c r="G150" s="203" t="n"/>
      <c r="T150" s="146" t="n"/>
      <c r="U150" s="146" t="n"/>
      <c r="V150" s="146" t="n"/>
      <c r="W150" s="146" t="n"/>
      <c r="X150" s="146" t="n"/>
      <c r="Y150" s="146" t="n"/>
      <c r="Z150" s="146" t="n"/>
      <c r="AA150" s="146" t="n"/>
      <c r="AB150" s="146" t="n"/>
      <c r="AC150" s="146" t="n"/>
    </row>
    <row r="151" customFormat="1" s="59">
      <c r="G151" s="203" t="n"/>
      <c r="T151" s="146" t="n"/>
      <c r="U151" s="146" t="n"/>
      <c r="V151" s="146" t="n"/>
      <c r="W151" s="146" t="n"/>
      <c r="X151" s="146" t="n"/>
      <c r="Y151" s="146" t="n"/>
      <c r="Z151" s="146" t="n"/>
      <c r="AA151" s="146" t="n"/>
      <c r="AB151" s="146" t="n"/>
      <c r="AC151" s="146" t="n"/>
    </row>
    <row r="152" customFormat="1" s="59">
      <c r="G152" s="203" t="n"/>
      <c r="T152" s="146" t="n"/>
      <c r="U152" s="146" t="n"/>
      <c r="V152" s="146" t="n"/>
      <c r="W152" s="146" t="n"/>
      <c r="X152" s="146" t="n"/>
      <c r="Y152" s="146" t="n"/>
      <c r="Z152" s="146" t="n"/>
      <c r="AA152" s="146" t="n"/>
      <c r="AB152" s="146" t="n"/>
      <c r="AC152" s="146" t="n"/>
    </row>
    <row r="153" customFormat="1" s="59">
      <c r="G153" s="203" t="n"/>
      <c r="T153" s="146" t="n"/>
      <c r="U153" s="146" t="n"/>
      <c r="V153" s="146" t="n"/>
      <c r="W153" s="146" t="n"/>
      <c r="X153" s="146" t="n"/>
      <c r="Y153" s="146" t="n"/>
      <c r="Z153" s="146" t="n"/>
      <c r="AA153" s="146" t="n"/>
      <c r="AB153" s="146" t="n"/>
      <c r="AC153" s="146" t="n"/>
    </row>
    <row r="154" customFormat="1" s="59">
      <c r="G154" s="203" t="n"/>
      <c r="T154" s="146" t="n"/>
      <c r="U154" s="146" t="n"/>
      <c r="V154" s="146" t="n"/>
      <c r="W154" s="146" t="n"/>
      <c r="X154" s="146" t="n"/>
      <c r="Y154" s="146" t="n"/>
      <c r="Z154" s="146" t="n"/>
      <c r="AA154" s="146" t="n"/>
      <c r="AB154" s="146" t="n"/>
      <c r="AC154" s="146" t="n"/>
    </row>
    <row r="155" customFormat="1" s="59">
      <c r="G155" s="203" t="n"/>
      <c r="T155" s="146" t="n"/>
      <c r="U155" s="146" t="n"/>
      <c r="V155" s="146" t="n"/>
      <c r="W155" s="146" t="n"/>
      <c r="X155" s="146" t="n"/>
      <c r="Y155" s="146" t="n"/>
      <c r="Z155" s="146" t="n"/>
      <c r="AA155" s="146" t="n"/>
      <c r="AB155" s="146" t="n"/>
      <c r="AC155" s="146" t="n"/>
    </row>
    <row r="156" customFormat="1" s="59">
      <c r="G156" s="203" t="n"/>
      <c r="T156" s="146" t="n"/>
      <c r="U156" s="146" t="n"/>
      <c r="V156" s="146" t="n"/>
      <c r="W156" s="146" t="n"/>
      <c r="X156" s="146" t="n"/>
      <c r="Y156" s="146" t="n"/>
      <c r="Z156" s="146" t="n"/>
      <c r="AA156" s="146" t="n"/>
      <c r="AB156" s="146" t="n"/>
      <c r="AC156" s="146" t="n"/>
    </row>
    <row r="157" customFormat="1" s="59">
      <c r="G157" s="203" t="n"/>
      <c r="T157" s="146" t="n"/>
      <c r="U157" s="146" t="n"/>
      <c r="V157" s="146" t="n"/>
      <c r="W157" s="146" t="n"/>
      <c r="X157" s="146" t="n"/>
      <c r="Y157" s="146" t="n"/>
      <c r="Z157" s="146" t="n"/>
      <c r="AA157" s="146" t="n"/>
      <c r="AB157" s="146" t="n"/>
      <c r="AC157" s="146" t="n"/>
    </row>
    <row r="158" customFormat="1" s="59">
      <c r="G158" s="203" t="n"/>
      <c r="T158" s="146" t="n"/>
      <c r="U158" s="146" t="n"/>
      <c r="V158" s="146" t="n"/>
      <c r="W158" s="146" t="n"/>
      <c r="X158" s="146" t="n"/>
      <c r="Y158" s="146" t="n"/>
      <c r="Z158" s="146" t="n"/>
      <c r="AA158" s="146" t="n"/>
      <c r="AB158" s="146" t="n"/>
      <c r="AC158" s="146" t="n"/>
    </row>
    <row r="159" customFormat="1" s="59">
      <c r="G159" s="203" t="n"/>
      <c r="T159" s="146" t="n"/>
      <c r="U159" s="146" t="n"/>
      <c r="V159" s="146" t="n"/>
      <c r="W159" s="146" t="n"/>
      <c r="X159" s="146" t="n"/>
      <c r="Y159" s="146" t="n"/>
      <c r="Z159" s="146" t="n"/>
      <c r="AA159" s="146" t="n"/>
      <c r="AB159" s="146" t="n"/>
      <c r="AC159" s="146" t="n"/>
    </row>
    <row r="160" customFormat="1" s="59">
      <c r="G160" s="203" t="n"/>
      <c r="T160" s="146" t="n"/>
      <c r="U160" s="146" t="n"/>
      <c r="V160" s="146" t="n"/>
      <c r="W160" s="146" t="n"/>
      <c r="X160" s="146" t="n"/>
      <c r="Y160" s="146" t="n"/>
      <c r="Z160" s="146" t="n"/>
      <c r="AA160" s="146" t="n"/>
      <c r="AB160" s="146" t="n"/>
      <c r="AC160" s="146" t="n"/>
    </row>
    <row r="161" customFormat="1" s="59">
      <c r="G161" s="203" t="n"/>
      <c r="T161" s="146" t="n"/>
      <c r="U161" s="146" t="n"/>
      <c r="V161" s="146" t="n"/>
      <c r="W161" s="146" t="n"/>
      <c r="X161" s="146" t="n"/>
      <c r="Y161" s="146" t="n"/>
      <c r="Z161" s="146" t="n"/>
      <c r="AA161" s="146" t="n"/>
      <c r="AB161" s="146" t="n"/>
      <c r="AC161" s="146" t="n"/>
    </row>
    <row r="162" customFormat="1" s="59">
      <c r="G162" s="203" t="n"/>
      <c r="T162" s="146" t="n"/>
      <c r="U162" s="146" t="n"/>
      <c r="V162" s="146" t="n"/>
      <c r="W162" s="146" t="n"/>
      <c r="X162" s="146" t="n"/>
      <c r="Y162" s="146" t="n"/>
      <c r="Z162" s="146" t="n"/>
      <c r="AA162" s="146" t="n"/>
      <c r="AB162" s="146" t="n"/>
      <c r="AC162" s="146" t="n"/>
    </row>
    <row r="163" customFormat="1" s="59">
      <c r="G163" s="203" t="n"/>
      <c r="T163" s="146" t="n"/>
      <c r="U163" s="146" t="n"/>
      <c r="V163" s="146" t="n"/>
      <c r="W163" s="146" t="n"/>
      <c r="X163" s="146" t="n"/>
      <c r="Y163" s="146" t="n"/>
      <c r="Z163" s="146" t="n"/>
      <c r="AA163" s="146" t="n"/>
      <c r="AB163" s="146" t="n"/>
      <c r="AC163" s="146" t="n"/>
    </row>
    <row r="164" customFormat="1" s="59">
      <c r="G164" s="203" t="n"/>
      <c r="T164" s="146" t="n"/>
      <c r="U164" s="146" t="n"/>
      <c r="V164" s="146" t="n"/>
      <c r="W164" s="146" t="n"/>
      <c r="X164" s="146" t="n"/>
      <c r="Y164" s="146" t="n"/>
      <c r="Z164" s="146" t="n"/>
      <c r="AA164" s="146" t="n"/>
      <c r="AB164" s="146" t="n"/>
      <c r="AC164" s="146" t="n"/>
    </row>
    <row r="165" customFormat="1" s="59">
      <c r="G165" s="203" t="n"/>
      <c r="T165" s="146" t="n"/>
      <c r="U165" s="146" t="n"/>
      <c r="V165" s="146" t="n"/>
      <c r="W165" s="146" t="n"/>
      <c r="X165" s="146" t="n"/>
      <c r="Y165" s="146" t="n"/>
      <c r="Z165" s="146" t="n"/>
      <c r="AA165" s="146" t="n"/>
      <c r="AB165" s="146" t="n"/>
      <c r="AC165" s="146" t="n"/>
    </row>
    <row r="166" customFormat="1" s="59">
      <c r="G166" s="203" t="n"/>
      <c r="T166" s="146" t="n"/>
      <c r="U166" s="146" t="n"/>
      <c r="V166" s="146" t="n"/>
      <c r="W166" s="146" t="n"/>
      <c r="X166" s="146" t="n"/>
      <c r="Y166" s="146" t="n"/>
      <c r="Z166" s="146" t="n"/>
      <c r="AA166" s="146" t="n"/>
      <c r="AB166" s="146" t="n"/>
      <c r="AC166" s="146" t="n"/>
    </row>
    <row r="167" customFormat="1" s="59">
      <c r="G167" s="203" t="n"/>
      <c r="T167" s="146" t="n"/>
      <c r="U167" s="146" t="n"/>
      <c r="V167" s="146" t="n"/>
      <c r="W167" s="146" t="n"/>
      <c r="X167" s="146" t="n"/>
      <c r="Y167" s="146" t="n"/>
      <c r="Z167" s="146" t="n"/>
      <c r="AA167" s="146" t="n"/>
      <c r="AB167" s="146" t="n"/>
      <c r="AC167" s="146" t="n"/>
    </row>
    <row r="168" customFormat="1" s="59">
      <c r="G168" s="203" t="n"/>
      <c r="T168" s="146" t="n"/>
      <c r="U168" s="146" t="n"/>
      <c r="V168" s="146" t="n"/>
      <c r="W168" s="146" t="n"/>
      <c r="X168" s="146" t="n"/>
      <c r="Y168" s="146" t="n"/>
      <c r="Z168" s="146" t="n"/>
      <c r="AA168" s="146" t="n"/>
      <c r="AB168" s="146" t="n"/>
      <c r="AC168" s="146" t="n"/>
    </row>
    <row r="169" customFormat="1" s="59">
      <c r="G169" s="203" t="n"/>
      <c r="T169" s="146" t="n"/>
      <c r="U169" s="146" t="n"/>
      <c r="V169" s="146" t="n"/>
      <c r="W169" s="146" t="n"/>
      <c r="X169" s="146" t="n"/>
      <c r="Y169" s="146" t="n"/>
      <c r="Z169" s="146" t="n"/>
      <c r="AA169" s="146" t="n"/>
      <c r="AB169" s="146" t="n"/>
      <c r="AC169" s="146" t="n"/>
    </row>
    <row r="170" customFormat="1" s="59">
      <c r="G170" s="203" t="n"/>
      <c r="T170" s="146" t="n"/>
      <c r="U170" s="146" t="n"/>
      <c r="V170" s="146" t="n"/>
      <c r="W170" s="146" t="n"/>
      <c r="X170" s="146" t="n"/>
      <c r="Y170" s="146" t="n"/>
      <c r="Z170" s="146" t="n"/>
      <c r="AA170" s="146" t="n"/>
      <c r="AB170" s="146" t="n"/>
      <c r="AC170" s="146" t="n"/>
    </row>
    <row r="171" customFormat="1" s="59">
      <c r="G171" s="203" t="n"/>
      <c r="T171" s="146" t="n"/>
      <c r="U171" s="146" t="n"/>
      <c r="V171" s="146" t="n"/>
      <c r="W171" s="146" t="n"/>
      <c r="X171" s="146" t="n"/>
      <c r="Y171" s="146" t="n"/>
      <c r="Z171" s="146" t="n"/>
      <c r="AA171" s="146" t="n"/>
      <c r="AB171" s="146" t="n"/>
      <c r="AC171" s="146" t="n"/>
    </row>
    <row r="172" customFormat="1" s="59">
      <c r="G172" s="203" t="n"/>
      <c r="T172" s="146" t="n"/>
      <c r="U172" s="146" t="n"/>
      <c r="V172" s="146" t="n"/>
      <c r="W172" s="146" t="n"/>
      <c r="X172" s="146" t="n"/>
      <c r="Y172" s="146" t="n"/>
      <c r="Z172" s="146" t="n"/>
      <c r="AA172" s="146" t="n"/>
      <c r="AB172" s="146" t="n"/>
      <c r="AC172" s="146" t="n"/>
    </row>
    <row r="173" customFormat="1" s="59">
      <c r="G173" s="203" t="n"/>
      <c r="T173" s="146" t="n"/>
      <c r="U173" s="146" t="n"/>
      <c r="V173" s="146" t="n"/>
      <c r="W173" s="146" t="n"/>
      <c r="X173" s="146" t="n"/>
      <c r="Y173" s="146" t="n"/>
      <c r="Z173" s="146" t="n"/>
      <c r="AA173" s="146" t="n"/>
      <c r="AB173" s="146" t="n"/>
      <c r="AC173" s="146" t="n"/>
    </row>
    <row r="174" customFormat="1" s="59">
      <c r="G174" s="203" t="n"/>
      <c r="T174" s="146" t="n"/>
      <c r="U174" s="146" t="n"/>
      <c r="V174" s="146" t="n"/>
      <c r="W174" s="146" t="n"/>
      <c r="X174" s="146" t="n"/>
      <c r="Y174" s="146" t="n"/>
      <c r="Z174" s="146" t="n"/>
      <c r="AA174" s="146" t="n"/>
      <c r="AB174" s="146" t="n"/>
      <c r="AC174" s="146" t="n"/>
    </row>
    <row r="175" customFormat="1" s="59">
      <c r="G175" s="203" t="n"/>
      <c r="T175" s="146" t="n"/>
      <c r="U175" s="146" t="n"/>
      <c r="V175" s="146" t="n"/>
      <c r="W175" s="146" t="n"/>
      <c r="X175" s="146" t="n"/>
      <c r="Y175" s="146" t="n"/>
      <c r="Z175" s="146" t="n"/>
      <c r="AA175" s="146" t="n"/>
      <c r="AB175" s="146" t="n"/>
      <c r="AC175" s="146" t="n"/>
    </row>
    <row r="176" customFormat="1" s="59">
      <c r="G176" s="203" t="n"/>
      <c r="T176" s="146" t="n"/>
      <c r="U176" s="146" t="n"/>
      <c r="V176" s="146" t="n"/>
      <c r="W176" s="146" t="n"/>
      <c r="X176" s="146" t="n"/>
      <c r="Y176" s="146" t="n"/>
      <c r="Z176" s="146" t="n"/>
      <c r="AA176" s="146" t="n"/>
      <c r="AB176" s="146" t="n"/>
      <c r="AC176" s="146" t="n"/>
    </row>
    <row r="177" customFormat="1" s="59">
      <c r="G177" s="203" t="n"/>
      <c r="T177" s="146" t="n"/>
      <c r="U177" s="146" t="n"/>
      <c r="V177" s="146" t="n"/>
      <c r="W177" s="146" t="n"/>
      <c r="X177" s="146" t="n"/>
      <c r="Y177" s="146" t="n"/>
      <c r="Z177" s="146" t="n"/>
      <c r="AA177" s="146" t="n"/>
      <c r="AB177" s="146" t="n"/>
      <c r="AC177" s="146" t="n"/>
    </row>
    <row r="178" customFormat="1" s="59">
      <c r="G178" s="203" t="n"/>
      <c r="T178" s="146" t="n"/>
      <c r="U178" s="146" t="n"/>
      <c r="V178" s="146" t="n"/>
      <c r="W178" s="146" t="n"/>
      <c r="X178" s="146" t="n"/>
      <c r="Y178" s="146" t="n"/>
      <c r="Z178" s="146" t="n"/>
      <c r="AA178" s="146" t="n"/>
      <c r="AB178" s="146" t="n"/>
      <c r="AC178" s="146" t="n"/>
    </row>
    <row r="179" customFormat="1" s="59">
      <c r="G179" s="203" t="n"/>
      <c r="T179" s="146" t="n"/>
      <c r="U179" s="146" t="n"/>
      <c r="V179" s="146" t="n"/>
      <c r="W179" s="146" t="n"/>
      <c r="X179" s="146" t="n"/>
      <c r="Y179" s="146" t="n"/>
      <c r="Z179" s="146" t="n"/>
      <c r="AA179" s="146" t="n"/>
      <c r="AB179" s="146" t="n"/>
      <c r="AC179" s="146" t="n"/>
    </row>
    <row r="180" customFormat="1" s="59">
      <c r="G180" s="203" t="n"/>
      <c r="T180" s="146" t="n"/>
      <c r="U180" s="146" t="n"/>
      <c r="V180" s="146" t="n"/>
      <c r="W180" s="146" t="n"/>
      <c r="X180" s="146" t="n"/>
      <c r="Y180" s="146" t="n"/>
      <c r="Z180" s="146" t="n"/>
      <c r="AA180" s="146" t="n"/>
      <c r="AB180" s="146" t="n"/>
      <c r="AC180" s="146" t="n"/>
    </row>
    <row r="181" customFormat="1" s="59">
      <c r="G181" s="203" t="n"/>
      <c r="T181" s="146" t="n"/>
      <c r="U181" s="146" t="n"/>
      <c r="V181" s="146" t="n"/>
      <c r="W181" s="146" t="n"/>
      <c r="X181" s="146" t="n"/>
      <c r="Y181" s="146" t="n"/>
      <c r="Z181" s="146" t="n"/>
      <c r="AA181" s="146" t="n"/>
      <c r="AB181" s="146" t="n"/>
      <c r="AC181" s="146"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012" t="n"/>
      <c r="U2" s="1012" t="n"/>
      <c r="V2" s="1012" t="n"/>
      <c r="W2" s="1012" t="n"/>
      <c r="X2" s="1012" t="n"/>
      <c r="Y2" s="1012" t="n"/>
      <c r="Z2" s="1012" t="n"/>
      <c r="AA2" s="1012" t="n"/>
      <c r="AB2" s="1012" t="n"/>
      <c r="AC2" s="101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012" t="n"/>
      <c r="U3" s="1012" t="n"/>
      <c r="V3" s="1012" t="n"/>
      <c r="W3" s="1012" t="n"/>
      <c r="X3" s="1012" t="n"/>
      <c r="Y3" s="1012" t="n"/>
      <c r="Z3" s="1012" t="n"/>
      <c r="AA3" s="1012" t="n"/>
      <c r="AB3" s="1012" t="n"/>
      <c r="AC3" s="101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012" t="n"/>
      <c r="U4" s="1012" t="n"/>
      <c r="V4" s="1012" t="n"/>
      <c r="W4" s="1012" t="n"/>
      <c r="X4" s="1012" t="n"/>
      <c r="Y4" s="1012" t="n"/>
      <c r="Z4" s="1012" t="n"/>
      <c r="AA4" s="1012" t="n"/>
      <c r="AB4" s="1012" t="n"/>
      <c r="AC4" s="1012" t="n"/>
    </row>
    <row r="5" ht="30" customFormat="1" customHeight="1" s="517">
      <c r="D5" s="524" t="n"/>
      <c r="E5" s="524" t="n"/>
      <c r="F5" s="525" t="n"/>
      <c r="G5" s="526" t="n"/>
      <c r="H5" s="527" t="n"/>
      <c r="I5" s="527" t="n"/>
      <c r="J5" s="527" t="n"/>
      <c r="K5" s="527" t="n"/>
      <c r="L5" s="527" t="n"/>
      <c r="M5" s="527" t="n"/>
      <c r="N5" s="527" t="n"/>
      <c r="O5" s="525" t="n"/>
      <c r="P5" s="525" t="n"/>
      <c r="Q5" s="525" t="n"/>
      <c r="T5" s="1012" t="n"/>
      <c r="U5" s="1012" t="n"/>
      <c r="V5" s="1012" t="n"/>
      <c r="W5" s="1012" t="n"/>
      <c r="X5" s="1012" t="n"/>
      <c r="Y5" s="1012" t="n"/>
      <c r="Z5" s="1012" t="n"/>
      <c r="AA5" s="1012" t="n"/>
      <c r="AB5" s="1012" t="n"/>
      <c r="AC5" s="1012"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46" t="n"/>
      <c r="U6" s="146" t="n"/>
      <c r="V6" s="146" t="n"/>
      <c r="W6" s="146" t="n"/>
      <c r="X6" s="146" t="n"/>
      <c r="Y6" s="146" t="n"/>
      <c r="Z6" s="146" t="n"/>
      <c r="AA6" s="146" t="n"/>
      <c r="AB6" s="146" t="n"/>
      <c r="AC6" s="146"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539">
        <f>'GGC Underwriting'!I5</f>
        <v/>
      </c>
      <c r="G9" s="539">
        <f>F9/'GGC Underwriting'!$N$7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Underwriting'!$N$7</f>
        <v/>
      </c>
      <c r="H19" s="751">
        <f>75%*H33</f>
        <v/>
      </c>
      <c r="I19" s="151">
        <f>75%*I33</f>
        <v/>
      </c>
      <c r="J19" s="151">
        <f>75%*J33</f>
        <v/>
      </c>
      <c r="K19" s="151">
        <f>75%*K33</f>
        <v/>
      </c>
      <c r="L19" s="751">
        <f>75%*L33</f>
        <v/>
      </c>
      <c r="M19" s="151">
        <f>75%*M33</f>
        <v/>
      </c>
      <c r="N19" s="151">
        <f>75%*N33</f>
        <v/>
      </c>
      <c r="O19" s="751">
        <f>75%*O33</f>
        <v/>
      </c>
      <c r="P19" s="751">
        <f>75%*P33</f>
        <v/>
      </c>
      <c r="Q19" s="751">
        <f>75%*Q33</f>
        <v/>
      </c>
      <c r="S19" s="59" t="n"/>
      <c r="T19" s="146" t="n"/>
      <c r="U19" s="146" t="n"/>
      <c r="V19" s="146" t="n"/>
      <c r="W19" s="146" t="n"/>
      <c r="X19" s="146" t="n"/>
      <c r="Y19" s="146" t="n"/>
      <c r="Z19" s="146" t="n"/>
      <c r="AA19" s="146" t="n"/>
      <c r="AB19" s="146" t="n"/>
      <c r="AC19" s="146"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1013" t="n"/>
      <c r="U20" s="1013" t="n"/>
      <c r="V20" s="1013" t="n"/>
      <c r="W20" s="1013" t="n"/>
      <c r="X20" s="635" t="n">
        <v>0</v>
      </c>
      <c r="Y20" s="1014" t="n"/>
      <c r="Z20" s="1015" t="n"/>
      <c r="AA20" s="1016" t="n"/>
      <c r="AB20" s="1016" t="n"/>
      <c r="AC20" s="1016" t="n"/>
    </row>
    <row r="21" ht="16.5" customHeight="1" thickBot="1">
      <c r="A21" s="59" t="n"/>
      <c r="B21" s="59" t="n"/>
      <c r="C21" s="538" t="inlineStr">
        <is>
          <t>Lease to Own</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013" t="n"/>
      <c r="U21" s="1013" t="n"/>
      <c r="V21" s="1013" t="n"/>
      <c r="W21" s="1013" t="n"/>
      <c r="X21" s="635" t="n">
        <v>0</v>
      </c>
      <c r="Y21" s="1014" t="n"/>
      <c r="Z21" s="1015" t="n"/>
      <c r="AA21" s="146" t="n"/>
      <c r="AB21" s="146" t="n"/>
      <c r="AC21" s="146"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46" t="n"/>
      <c r="U22" s="146" t="n"/>
      <c r="V22" s="146" t="n"/>
      <c r="W22" s="146" t="n"/>
      <c r="X22" s="146" t="n"/>
      <c r="Y22" s="146" t="n"/>
      <c r="Z22" s="146" t="n"/>
      <c r="AA22" s="146" t="n"/>
      <c r="AB22" s="146" t="n"/>
      <c r="AC22" s="146"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46" t="n"/>
      <c r="U23" s="146" t="n"/>
      <c r="V23" s="146" t="n"/>
      <c r="W23" s="146" t="n"/>
      <c r="X23" s="146" t="n"/>
      <c r="Y23" s="146" t="n"/>
      <c r="Z23" s="146" t="n"/>
      <c r="AA23" s="146" t="n"/>
      <c r="AB23" s="146" t="n"/>
      <c r="AC23" s="146"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46" t="n"/>
      <c r="U24" s="146" t="n"/>
      <c r="V24" s="146" t="n"/>
      <c r="W24" s="146" t="n"/>
      <c r="X24" s="146" t="n"/>
      <c r="Y24" s="146" t="n"/>
      <c r="Z24" s="146" t="n"/>
      <c r="AA24" s="146" t="n"/>
      <c r="AB24" s="146" t="n"/>
      <c r="AC24" s="146"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46" t="n"/>
      <c r="U25" s="146" t="n"/>
      <c r="V25" s="146" t="n"/>
      <c r="W25" s="146" t="n"/>
      <c r="X25" s="146" t="n"/>
      <c r="Y25" s="146" t="n"/>
      <c r="Z25" s="146" t="n"/>
      <c r="AA25" s="146" t="n"/>
      <c r="AB25" s="146" t="n"/>
      <c r="AC25" s="146"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46" t="n"/>
      <c r="U26" s="146" t="n"/>
      <c r="V26" s="146" t="n"/>
      <c r="W26" s="146" t="n"/>
      <c r="X26" s="146" t="n"/>
      <c r="Y26" s="146" t="n"/>
      <c r="Z26" s="146" t="n"/>
      <c r="AA26" s="146" t="n"/>
      <c r="AB26" s="146" t="n"/>
      <c r="AC26" s="146"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46" t="n"/>
      <c r="U27" s="146" t="n"/>
      <c r="V27" s="146" t="n"/>
      <c r="W27" s="146" t="n"/>
      <c r="X27" s="146" t="n"/>
      <c r="Y27" s="146" t="n"/>
      <c r="Z27" s="146" t="n"/>
      <c r="AA27" s="146" t="n"/>
      <c r="AB27" s="146" t="n"/>
      <c r="AC27" s="146"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46" t="n"/>
      <c r="U28" s="146" t="n"/>
      <c r="V28" s="146" t="n"/>
      <c r="W28" s="146" t="n"/>
      <c r="X28" s="146" t="n"/>
      <c r="Y28" s="146" t="n"/>
      <c r="Z28" s="146" t="n"/>
      <c r="AA28" s="146" t="n"/>
      <c r="AB28" s="146" t="n"/>
      <c r="AC28" s="146"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46" t="n"/>
      <c r="U29" s="146" t="n"/>
      <c r="V29" s="146" t="n"/>
      <c r="W29" s="146" t="n"/>
      <c r="X29" s="146" t="n"/>
      <c r="Y29" s="146" t="n"/>
      <c r="Z29" s="146" t="n"/>
      <c r="AA29" s="146" t="n"/>
      <c r="AB29" s="146" t="n"/>
      <c r="AC29" s="146"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46" t="n"/>
      <c r="U30" s="146" t="n"/>
      <c r="V30" s="146" t="n"/>
      <c r="W30" s="146" t="n"/>
      <c r="X30" s="146" t="n"/>
      <c r="Y30" s="146" t="n"/>
      <c r="Z30" s="146" t="n"/>
      <c r="AA30" s="146" t="n"/>
      <c r="AB30" s="146" t="n"/>
      <c r="AC30" s="146"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46" t="n"/>
      <c r="U31" s="146" t="n"/>
      <c r="V31" s="146" t="n"/>
      <c r="W31" s="146" t="n"/>
      <c r="X31" s="146" t="n"/>
      <c r="Y31" s="146" t="n"/>
      <c r="Z31" s="146" t="n"/>
      <c r="AA31" s="146" t="n"/>
      <c r="AB31" s="146" t="n"/>
      <c r="AC31" s="146"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46" t="n"/>
      <c r="U32" s="146" t="n"/>
      <c r="V32" s="146" t="n"/>
      <c r="W32" s="146" t="n"/>
      <c r="X32" s="146" t="n"/>
      <c r="Y32" s="146" t="n"/>
      <c r="Z32" s="146" t="n"/>
      <c r="AA32" s="146" t="n"/>
      <c r="AB32" s="146" t="n"/>
      <c r="AC32" s="146"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46" t="n"/>
      <c r="U33" s="146" t="n"/>
      <c r="V33" s="146" t="n"/>
      <c r="W33" s="146" t="n"/>
      <c r="X33" s="146" t="n"/>
      <c r="Y33" s="146" t="n"/>
      <c r="Z33" s="146" t="n"/>
      <c r="AA33" s="146" t="n"/>
      <c r="AB33" s="146" t="n"/>
      <c r="AC33" s="146"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46" t="n"/>
      <c r="U34" s="146" t="n"/>
      <c r="V34" s="146" t="n"/>
      <c r="W34" s="146" t="n"/>
      <c r="X34" s="146" t="n"/>
      <c r="Y34" s="146" t="n"/>
      <c r="Z34" s="146" t="n"/>
      <c r="AA34" s="146" t="n"/>
      <c r="AB34" s="146" t="n"/>
      <c r="AC34" s="146"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46" t="n"/>
      <c r="U35" s="146" t="n"/>
      <c r="V35" s="146" t="n"/>
      <c r="W35" s="146" t="n"/>
      <c r="X35" s="146" t="n"/>
      <c r="Y35" s="146" t="n"/>
      <c r="Z35" s="146" t="n"/>
      <c r="AA35" s="146" t="n"/>
      <c r="AB35" s="146" t="n"/>
      <c r="AC35" s="146"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46" t="n"/>
      <c r="U36" s="146" t="n"/>
      <c r="V36" s="146" t="n"/>
      <c r="W36" s="146" t="n"/>
      <c r="X36" s="146" t="n"/>
      <c r="Y36" s="146" t="n"/>
      <c r="Z36" s="146" t="n"/>
      <c r="AA36" s="146" t="n"/>
      <c r="AB36" s="146" t="n"/>
      <c r="AC36" s="146"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46" t="n"/>
      <c r="U37" s="146" t="n"/>
      <c r="V37" s="146" t="n"/>
      <c r="W37" s="146" t="n"/>
      <c r="X37" s="146" t="n"/>
      <c r="Y37" s="146" t="n"/>
      <c r="Z37" s="146" t="n"/>
      <c r="AA37" s="146" t="n"/>
      <c r="AB37" s="146" t="n"/>
      <c r="AC37" s="146"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46" t="n"/>
      <c r="U38" s="146" t="n"/>
      <c r="V38" s="146" t="n"/>
      <c r="W38" s="146" t="n"/>
      <c r="X38" s="146" t="n"/>
      <c r="Y38" s="146" t="n"/>
      <c r="Z38" s="146" t="n"/>
      <c r="AA38" s="146" t="n"/>
      <c r="AB38" s="146" t="n"/>
      <c r="AC38" s="146"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46" t="n"/>
      <c r="U39" s="146" t="n"/>
      <c r="V39" s="146" t="n"/>
      <c r="W39" s="146" t="n"/>
      <c r="X39" s="146" t="n"/>
      <c r="Y39" s="146" t="n"/>
      <c r="Z39" s="146" t="n"/>
      <c r="AA39" s="146" t="n"/>
      <c r="AB39" s="146" t="n"/>
      <c r="AC39" s="146"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017" t="n"/>
      <c r="U40" s="1017" t="n"/>
      <c r="V40" s="1017" t="n"/>
      <c r="W40" s="1017" t="n"/>
      <c r="X40" s="1017" t="n"/>
      <c r="Y40" s="1017" t="n"/>
      <c r="Z40" s="1017" t="n"/>
      <c r="AA40" s="1017" t="n"/>
      <c r="AB40" s="1017" t="n"/>
      <c r="AC40" s="101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46" t="n"/>
      <c r="U41" s="146" t="n"/>
      <c r="V41" s="146" t="n"/>
      <c r="W41" s="146" t="n"/>
      <c r="X41" s="146" t="n"/>
      <c r="Y41" s="146" t="n"/>
      <c r="Z41" s="146" t="n"/>
      <c r="AA41" s="146" t="n"/>
      <c r="AB41" s="146" t="n"/>
      <c r="AC41" s="146"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46" t="n"/>
      <c r="U42" s="146" t="n"/>
      <c r="V42" s="146" t="n"/>
      <c r="W42" s="146" t="n"/>
      <c r="X42" s="146" t="n"/>
      <c r="Y42" s="146" t="n"/>
      <c r="Z42" s="146" t="n"/>
      <c r="AA42" s="146" t="n"/>
      <c r="AB42" s="146" t="n"/>
      <c r="AC42" s="146"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46" t="n"/>
      <c r="U43" s="146" t="n"/>
      <c r="V43" s="146" t="n"/>
      <c r="W43" s="146" t="n"/>
      <c r="X43" s="146" t="n"/>
      <c r="Y43" s="146" t="n"/>
      <c r="Z43" s="146" t="n"/>
      <c r="AA43" s="146" t="n"/>
      <c r="AB43" s="146" t="n"/>
      <c r="AC43" s="146"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46" t="n"/>
      <c r="U44" s="146" t="n"/>
      <c r="V44" s="146" t="n"/>
      <c r="W44" s="146" t="n"/>
      <c r="X44" s="146" t="n"/>
      <c r="Y44" s="146" t="n"/>
      <c r="Z44" s="146" t="n"/>
      <c r="AA44" s="146" t="n"/>
      <c r="AB44" s="146" t="n"/>
      <c r="AC44" s="146"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46" t="n"/>
      <c r="U45" s="146" t="n"/>
      <c r="V45" s="146" t="n"/>
      <c r="W45" s="146" t="n"/>
      <c r="X45" s="146" t="n"/>
      <c r="Y45" s="146" t="n"/>
      <c r="Z45" s="146" t="n"/>
      <c r="AA45" s="146" t="n"/>
      <c r="AB45" s="146" t="n"/>
      <c r="AC45" s="146"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46" t="n"/>
      <c r="U46" s="146" t="n"/>
      <c r="V46" s="146" t="n"/>
      <c r="W46" s="146" t="n"/>
      <c r="X46" s="146" t="n"/>
      <c r="Y46" s="146" t="n"/>
      <c r="Z46" s="146" t="n"/>
      <c r="AA46" s="146" t="n"/>
      <c r="AB46" s="146" t="n"/>
      <c r="AC46" s="146" t="n"/>
    </row>
    <row r="47" ht="18.75" customHeight="1">
      <c r="A47" s="59" t="n"/>
      <c r="B47" s="679" t="n"/>
      <c r="C47" s="538" t="inlineStr">
        <is>
          <t>Home Rent Expense (MH)</t>
        </is>
      </c>
      <c r="D47" s="151">
        <f>'GGC Underwriting'!D41</f>
        <v/>
      </c>
      <c r="E47" s="151">
        <f>'GGC Underwriting'!E41</f>
        <v/>
      </c>
      <c r="F47" s="541">
        <f>'GGC Underwriting'!I41</f>
        <v/>
      </c>
      <c r="G47" s="541">
        <f>F47/'GGC Underwriting'!$N$7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46" t="n"/>
      <c r="U47" s="146" t="n"/>
      <c r="V47" s="146" t="n"/>
      <c r="W47" s="146" t="n"/>
      <c r="X47" s="146" t="n"/>
      <c r="Y47" s="146" t="n"/>
      <c r="Z47" s="146" t="n"/>
      <c r="AA47" s="146" t="n"/>
      <c r="AB47" s="146" t="n"/>
      <c r="AC47" s="146"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46" t="n"/>
      <c r="U48" s="146" t="n"/>
      <c r="V48" s="146" t="n"/>
      <c r="W48" s="146" t="n"/>
      <c r="X48" s="146" t="n"/>
      <c r="Y48" s="146" t="n"/>
      <c r="Z48" s="146" t="n"/>
      <c r="AA48" s="146" t="n"/>
      <c r="AB48" s="146" t="n"/>
      <c r="AC48" s="146"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46" t="n"/>
      <c r="U49" s="146" t="n"/>
      <c r="V49" s="146" t="n"/>
      <c r="W49" s="146" t="n"/>
      <c r="X49" s="146" t="n"/>
      <c r="Y49" s="146" t="n"/>
      <c r="Z49" s="146" t="n"/>
      <c r="AA49" s="146" t="n"/>
      <c r="AB49" s="146" t="n"/>
      <c r="AC49" s="146"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46" t="n"/>
      <c r="U50" s="146" t="n"/>
      <c r="V50" s="146" t="n"/>
      <c r="W50" s="146" t="n"/>
      <c r="X50" s="146" t="n"/>
      <c r="Y50" s="146" t="n"/>
      <c r="Z50" s="146" t="n"/>
      <c r="AA50" s="146" t="n"/>
      <c r="AB50" s="146" t="n"/>
      <c r="AC50" s="146"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017" t="n"/>
      <c r="U51" s="1017" t="n"/>
      <c r="V51" s="1017" t="n"/>
      <c r="W51" s="1017" t="n"/>
      <c r="X51" s="1017" t="n"/>
      <c r="Y51" s="1017" t="n"/>
      <c r="Z51" s="1017" t="n"/>
      <c r="AA51" s="1017" t="n"/>
      <c r="AB51" s="1017" t="n"/>
      <c r="AC51" s="101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46" t="n"/>
      <c r="U52" s="146" t="n"/>
      <c r="V52" s="146" t="n"/>
      <c r="W52" s="146" t="n"/>
      <c r="X52" s="146" t="n"/>
      <c r="Y52" s="146" t="n"/>
      <c r="Z52" s="146" t="n"/>
      <c r="AA52" s="146" t="n"/>
      <c r="AB52" s="146" t="n"/>
      <c r="AC52" s="146"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46" t="n"/>
      <c r="U53" s="146" t="n"/>
      <c r="V53" s="146" t="n"/>
      <c r="W53" s="146" t="n"/>
      <c r="X53" s="146" t="n"/>
      <c r="Y53" s="146" t="n"/>
      <c r="Z53" s="146" t="n"/>
      <c r="AA53" s="146" t="n"/>
      <c r="AB53" s="146" t="n"/>
      <c r="AC53" s="146"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017" t="n"/>
      <c r="U54" s="1017" t="n"/>
      <c r="V54" s="1017" t="n"/>
      <c r="W54" s="1017" t="n"/>
      <c r="X54" s="1017" t="n"/>
      <c r="Y54" s="1017" t="n"/>
      <c r="Z54" s="1017" t="n"/>
      <c r="AA54" s="1017" t="n"/>
      <c r="AB54" s="1017" t="n"/>
      <c r="AC54" s="101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46" t="n"/>
      <c r="U55" s="146" t="n"/>
      <c r="V55" s="146" t="n"/>
      <c r="W55" s="146" t="n"/>
      <c r="X55" s="146" t="n"/>
      <c r="Y55" s="146" t="n"/>
      <c r="Z55" s="146" t="n"/>
      <c r="AA55" s="146" t="n"/>
      <c r="AB55" s="146" t="n"/>
      <c r="AC55" s="146"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46" t="n"/>
      <c r="U56" s="146" t="n"/>
      <c r="V56" s="146" t="n"/>
      <c r="W56" s="146" t="n"/>
      <c r="X56" s="146" t="n"/>
      <c r="Y56" s="146" t="n"/>
      <c r="Z56" s="146" t="n"/>
      <c r="AA56" s="146" t="n"/>
      <c r="AB56" s="146" t="n"/>
      <c r="AC56" s="146"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46" t="n"/>
      <c r="U57" s="146" t="n"/>
      <c r="V57" s="146" t="n"/>
      <c r="W57" s="146" t="n"/>
      <c r="X57" s="146" t="n"/>
      <c r="Y57" s="146" t="n"/>
      <c r="Z57" s="146" t="n"/>
      <c r="AA57" s="146" t="n"/>
      <c r="AB57" s="146" t="n"/>
      <c r="AC57" s="146" t="n"/>
    </row>
    <row r="58" ht="21.75" customFormat="1" customHeight="1" s="59">
      <c r="E58" s="593" t="inlineStr">
        <is>
          <t>Exit Summaries</t>
        </is>
      </c>
      <c r="G58" s="203" t="n"/>
      <c r="H58" s="594" t="n"/>
      <c r="I58" s="594" t="n"/>
      <c r="J58" s="594" t="n"/>
      <c r="K58" s="594" t="n"/>
      <c r="L58" s="594" t="n"/>
      <c r="M58" s="594" t="n"/>
      <c r="N58" s="595" t="n"/>
      <c r="O58" s="595" t="n"/>
      <c r="P58" s="595" t="n"/>
      <c r="Q58" s="595" t="n"/>
      <c r="T58" s="146" t="n"/>
      <c r="U58" s="146" t="n"/>
      <c r="V58" s="146" t="n"/>
      <c r="W58" s="146" t="n"/>
      <c r="X58" s="146" t="n"/>
      <c r="Y58" s="146" t="n"/>
      <c r="Z58" s="146" t="n"/>
      <c r="AA58" s="146" t="n"/>
      <c r="AB58" s="146" t="n"/>
      <c r="AC58" s="146" t="n"/>
    </row>
    <row r="59" customFormat="1" s="59">
      <c r="G59" s="203" t="n"/>
      <c r="N59" s="891" t="n"/>
      <c r="O59" s="891" t="n"/>
      <c r="P59" s="891" t="n"/>
      <c r="Q59" s="891" t="n"/>
      <c r="T59" s="146" t="n"/>
      <c r="U59" s="146" t="n"/>
      <c r="V59" s="146" t="n"/>
      <c r="W59" s="146" t="n"/>
      <c r="X59" s="146" t="n"/>
      <c r="Y59" s="146" t="n"/>
      <c r="Z59" s="146" t="n"/>
      <c r="AA59" s="146" t="n"/>
      <c r="AB59" s="146" t="n"/>
      <c r="AC59" s="146"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46" t="n"/>
      <c r="U60" s="146" t="n"/>
      <c r="V60" s="146" t="n"/>
      <c r="W60" s="146" t="n"/>
      <c r="X60" s="146" t="n"/>
      <c r="Y60" s="146" t="n"/>
      <c r="Z60" s="146" t="n"/>
      <c r="AA60" s="146" t="n"/>
      <c r="AB60" s="146" t="n"/>
      <c r="AC60" s="146"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46" t="n"/>
      <c r="U61" s="146" t="n"/>
      <c r="V61" s="146" t="n"/>
      <c r="W61" s="146" t="n"/>
      <c r="X61" s="146" t="n"/>
      <c r="Y61" s="146" t="n"/>
      <c r="Z61" s="146" t="n"/>
      <c r="AA61" s="146" t="n"/>
      <c r="AB61" s="146" t="n"/>
      <c r="AC61" s="146" t="n"/>
    </row>
    <row r="62" customFormat="1" s="59">
      <c r="F62" s="601" t="inlineStr">
        <is>
          <t>Total Sale - Community</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46" t="n"/>
      <c r="U62" s="146" t="n"/>
      <c r="V62" s="146" t="n"/>
      <c r="W62" s="146" t="n"/>
      <c r="X62" s="146" t="n"/>
      <c r="Y62" s="146" t="n"/>
      <c r="Z62" s="146" t="n"/>
      <c r="AA62" s="146" t="n"/>
      <c r="AB62" s="146" t="n"/>
      <c r="AC62" s="146" t="n"/>
    </row>
    <row r="63" customFormat="1" s="59">
      <c r="F63" s="601" t="inlineStr">
        <is>
          <t>Refi Cashout</t>
        </is>
      </c>
      <c r="G63" s="203" t="n"/>
      <c r="H63" s="894" t="n"/>
      <c r="I63" s="894" t="n"/>
      <c r="J63" s="386" t="n"/>
      <c r="K63" s="894" t="n"/>
      <c r="L63" s="894" t="n"/>
      <c r="M63" s="894" t="n"/>
      <c r="N63" s="894" t="n"/>
      <c r="O63" s="894" t="n"/>
      <c r="P63" s="894" t="n"/>
      <c r="Q63" s="895" t="n"/>
      <c r="T63" s="146" t="n"/>
      <c r="U63" s="146" t="n"/>
      <c r="V63" s="146" t="n"/>
      <c r="W63" s="146" t="n"/>
      <c r="X63" s="146" t="n"/>
      <c r="Y63" s="146" t="n"/>
      <c r="Z63" s="146" t="n"/>
      <c r="AA63" s="146" t="n"/>
      <c r="AB63" s="146" t="n"/>
      <c r="AC63" s="146"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c r="T64" s="146" t="n"/>
      <c r="U64" s="146" t="n"/>
      <c r="V64" s="146" t="n"/>
      <c r="W64" s="146" t="n"/>
      <c r="X64" s="146" t="n"/>
      <c r="Y64" s="146" t="n"/>
      <c r="Z64" s="146" t="n"/>
      <c r="AA64" s="146" t="n"/>
      <c r="AB64" s="146" t="n"/>
      <c r="AC64" s="146"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46" t="n"/>
      <c r="U65" s="146" t="n"/>
      <c r="V65" s="146" t="n"/>
      <c r="W65" s="146" t="n"/>
      <c r="X65" s="146" t="n"/>
      <c r="Y65" s="146" t="n"/>
      <c r="Z65" s="146" t="n"/>
      <c r="AA65" s="146" t="n"/>
      <c r="AB65" s="146" t="n"/>
      <c r="AC65" s="146" t="n"/>
    </row>
    <row r="66" customFormat="1" s="59">
      <c r="F66" s="605" t="inlineStr">
        <is>
          <t>Free Cash Flow</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46" t="n"/>
      <c r="U66" s="146" t="n"/>
      <c r="V66" s="146" t="n"/>
      <c r="W66" s="146" t="n"/>
      <c r="X66" s="146" t="n"/>
      <c r="Y66" s="146" t="n"/>
      <c r="Z66" s="146" t="n"/>
      <c r="AA66" s="146" t="n"/>
      <c r="AB66" s="146" t="n"/>
      <c r="AC66" s="146"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46" t="n"/>
      <c r="U67" s="146" t="n"/>
      <c r="V67" s="146" t="n"/>
      <c r="W67" s="146" t="n"/>
      <c r="X67" s="146" t="n"/>
      <c r="Y67" s="146" t="n"/>
      <c r="Z67" s="146" t="n"/>
      <c r="AA67" s="146" t="n"/>
      <c r="AB67" s="146" t="n"/>
      <c r="AC67" s="146"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46" t="n"/>
      <c r="U68" s="146" t="n"/>
      <c r="V68" s="146" t="n"/>
      <c r="W68" s="146" t="n"/>
      <c r="X68" s="146" t="n"/>
      <c r="Y68" s="146" t="n"/>
      <c r="Z68" s="146" t="n"/>
      <c r="AA68" s="146" t="n"/>
      <c r="AB68" s="146" t="n"/>
      <c r="AC68" s="146" t="n"/>
    </row>
    <row r="69" hidden="1" customFormat="1" s="59">
      <c r="E69" s="144" t="inlineStr">
        <is>
          <t>7 Year</t>
        </is>
      </c>
      <c r="F69" s="59" t="inlineStr">
        <is>
          <t>Avg CoC Y1-Y4</t>
        </is>
      </c>
      <c r="G69" s="695">
        <f>AVERAGE(H68:K68)</f>
        <v/>
      </c>
      <c r="T69" s="146" t="n"/>
      <c r="U69" s="146" t="n"/>
      <c r="V69" s="146" t="n"/>
      <c r="W69" s="146" t="n"/>
      <c r="X69" s="146" t="n"/>
      <c r="Y69" s="146" t="n"/>
      <c r="Z69" s="146" t="n"/>
      <c r="AA69" s="146" t="n"/>
      <c r="AB69" s="146" t="n"/>
      <c r="AC69" s="146" t="n"/>
    </row>
    <row r="70" hidden="1" ht="15.75" customFormat="1" customHeight="1" s="59">
      <c r="F70" s="59" t="inlineStr">
        <is>
          <t>IRR</t>
        </is>
      </c>
      <c r="G70" s="696">
        <f>IRR(G66:Q66)</f>
        <v/>
      </c>
      <c r="T70" s="146" t="n"/>
      <c r="U70" s="146" t="n"/>
      <c r="V70" s="146" t="n"/>
      <c r="W70" s="146" t="n"/>
      <c r="X70" s="146" t="n"/>
      <c r="Y70" s="146" t="n"/>
      <c r="Z70" s="146" t="n"/>
      <c r="AA70" s="146" t="n"/>
      <c r="AB70" s="146" t="n"/>
      <c r="AC70" s="146" t="n"/>
    </row>
    <row r="71" hidden="1" customFormat="1" s="59">
      <c r="F71" s="59" t="inlineStr">
        <is>
          <t>MOIC</t>
        </is>
      </c>
      <c r="G71" s="898">
        <f>SUM(H66:Q66)/-G66</f>
        <v/>
      </c>
      <c r="T71" s="146" t="n"/>
      <c r="U71" s="146" t="n"/>
      <c r="V71" s="146" t="n"/>
      <c r="W71" s="146" t="n"/>
      <c r="X71" s="146" t="n"/>
      <c r="Y71" s="146" t="n"/>
      <c r="Z71" s="146" t="n"/>
      <c r="AA71" s="146" t="n"/>
      <c r="AB71" s="146" t="n"/>
      <c r="AC71" s="146" t="n"/>
    </row>
    <row r="72" hidden="1" customFormat="1" s="59">
      <c r="F72" s="601" t="inlineStr">
        <is>
          <t>New Loan</t>
        </is>
      </c>
      <c r="G72" s="203" t="n"/>
      <c r="H72" s="894" t="n"/>
      <c r="I72" s="894" t="n"/>
      <c r="J72" s="894" t="n"/>
      <c r="K72" s="894" t="n"/>
      <c r="L72" s="894" t="n"/>
      <c r="M72" s="894" t="n"/>
      <c r="N72" s="895" t="n"/>
      <c r="O72" s="894" t="n"/>
      <c r="P72" s="894" t="n"/>
      <c r="Q72" s="894" t="n"/>
      <c r="T72" s="146" t="n"/>
      <c r="U72" s="146" t="n"/>
      <c r="V72" s="146" t="n"/>
      <c r="W72" s="146" t="n"/>
      <c r="X72" s="146" t="n"/>
      <c r="Y72" s="146" t="n"/>
      <c r="Z72" s="146" t="n"/>
      <c r="AA72" s="146" t="n"/>
      <c r="AB72" s="146" t="n"/>
      <c r="AC72" s="146"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46" t="n"/>
      <c r="U73" s="146" t="n"/>
      <c r="V73" s="146" t="n"/>
      <c r="W73" s="146" t="n"/>
      <c r="X73" s="146" t="n"/>
      <c r="Y73" s="146" t="n"/>
      <c r="Z73" s="146" t="n"/>
      <c r="AA73" s="146" t="n"/>
      <c r="AB73" s="146" t="n"/>
      <c r="AC73" s="146" t="n"/>
    </row>
    <row r="74" hidden="1" ht="21" customFormat="1" customHeight="1" s="59">
      <c r="F74" s="605" t="inlineStr">
        <is>
          <t>Free Cash Flow</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46" t="n"/>
      <c r="U74" s="146" t="n"/>
      <c r="V74" s="146" t="n"/>
      <c r="W74" s="146" t="n"/>
      <c r="X74" s="146" t="n"/>
      <c r="Y74" s="146" t="n"/>
      <c r="Z74" s="146" t="n"/>
      <c r="AA74" s="146" t="n"/>
      <c r="AB74" s="146" t="n"/>
      <c r="AC74" s="146"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46" t="n"/>
      <c r="U75" s="146" t="n"/>
      <c r="V75" s="146" t="n"/>
      <c r="W75" s="146" t="n"/>
      <c r="X75" s="146" t="n"/>
      <c r="Y75" s="146" t="n"/>
      <c r="Z75" s="146" t="n"/>
      <c r="AA75" s="146" t="n"/>
      <c r="AB75" s="146" t="n"/>
      <c r="AC75" s="146" t="n"/>
    </row>
    <row r="76" hidden="1" customFormat="1" s="59">
      <c r="G76" s="203" t="n"/>
      <c r="T76" s="146" t="n"/>
      <c r="U76" s="146" t="n"/>
      <c r="V76" s="146" t="n"/>
      <c r="W76" s="146" t="n"/>
      <c r="X76" s="146" t="n"/>
      <c r="Y76" s="146" t="n"/>
      <c r="Z76" s="146" t="n"/>
      <c r="AA76" s="146" t="n"/>
      <c r="AB76" s="146" t="n"/>
      <c r="AC76" s="146" t="n"/>
    </row>
    <row r="77" hidden="1" customFormat="1" s="59">
      <c r="G77" s="203" t="n"/>
      <c r="T77" s="146" t="n"/>
      <c r="U77" s="146" t="n"/>
      <c r="V77" s="146" t="n"/>
      <c r="W77" s="146" t="n"/>
      <c r="X77" s="146" t="n"/>
      <c r="Y77" s="146" t="n"/>
      <c r="Z77" s="146" t="n"/>
      <c r="AA77" s="146" t="n"/>
      <c r="AB77" s="146" t="n"/>
      <c r="AC77" s="146" t="n"/>
    </row>
    <row r="78" customFormat="1" s="59">
      <c r="F78" s="59" t="inlineStr">
        <is>
          <t>Avg CoC Y1-Y4</t>
        </is>
      </c>
      <c r="G78" s="695">
        <f>AVERAGE(H68:P68)</f>
        <v/>
      </c>
      <c r="T78" s="146" t="n"/>
      <c r="U78" s="146" t="n"/>
      <c r="V78" s="146" t="n"/>
      <c r="W78" s="146" t="n"/>
      <c r="X78" s="146" t="n"/>
      <c r="Y78" s="146" t="n"/>
      <c r="Z78" s="146" t="n"/>
      <c r="AA78" s="146" t="n"/>
      <c r="AB78" s="146" t="n"/>
      <c r="AC78" s="146" t="n"/>
    </row>
    <row r="79" customFormat="1" s="59">
      <c r="F79" s="59" t="inlineStr">
        <is>
          <t>IRR</t>
        </is>
      </c>
      <c r="G79" s="696">
        <f>IRR(G85:L85)</f>
        <v/>
      </c>
      <c r="T79" s="146" t="n"/>
      <c r="U79" s="146" t="n"/>
      <c r="V79" s="146" t="n"/>
      <c r="W79" s="146" t="n"/>
      <c r="X79" s="146" t="n"/>
      <c r="Y79" s="146" t="n"/>
      <c r="Z79" s="146" t="n"/>
      <c r="AA79" s="146" t="n"/>
      <c r="AB79" s="146" t="n"/>
      <c r="AC79" s="146"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46" t="n"/>
      <c r="U80" s="146" t="n"/>
      <c r="V80" s="146" t="n"/>
      <c r="W80" s="146" t="n"/>
      <c r="X80" s="146" t="n"/>
      <c r="Y80" s="146" t="n"/>
      <c r="Z80" s="146" t="n"/>
      <c r="AA80" s="146" t="n"/>
      <c r="AB80" s="146" t="n"/>
      <c r="AC80" s="146" t="n"/>
    </row>
    <row r="81" hidden="1" outlineLevel="1" customFormat="1" s="59">
      <c r="F81" s="601" t="inlineStr">
        <is>
          <t>Debt Payoff</t>
        </is>
      </c>
      <c r="G81" s="386" t="n"/>
      <c r="H81" s="894" t="n"/>
      <c r="I81" s="894" t="n"/>
      <c r="J81" s="386" t="n"/>
      <c r="K81" s="894" t="n"/>
      <c r="L81" s="895">
        <f>-'Loan Scenario (acquisition)'!J66</f>
        <v/>
      </c>
      <c r="T81" s="146" t="n"/>
      <c r="U81" s="146" t="n"/>
      <c r="V81" s="146" t="n"/>
      <c r="W81" s="146" t="n"/>
      <c r="X81" s="146" t="n"/>
      <c r="Y81" s="146" t="n"/>
      <c r="Z81" s="146" t="n"/>
      <c r="AA81" s="146" t="n"/>
      <c r="AB81" s="146" t="n"/>
      <c r="AC81" s="146" t="n"/>
    </row>
    <row r="82" hidden="1" outlineLevel="1" customFormat="1" s="59">
      <c r="F82" s="601" t="inlineStr">
        <is>
          <t>Refi Cashout</t>
        </is>
      </c>
      <c r="G82" s="386" t="n"/>
      <c r="H82" s="894" t="n"/>
      <c r="I82" s="894" t="n"/>
      <c r="J82" s="386" t="n"/>
      <c r="K82" s="894" t="n"/>
      <c r="L82" s="895" t="n"/>
      <c r="T82" s="146" t="n"/>
      <c r="U82" s="146" t="n"/>
      <c r="V82" s="146" t="n"/>
      <c r="W82" s="146" t="n"/>
      <c r="X82" s="146" t="n"/>
      <c r="Y82" s="146" t="n"/>
      <c r="Z82" s="146" t="n"/>
      <c r="AA82" s="146" t="n"/>
      <c r="AB82" s="146" t="n"/>
      <c r="AC82" s="146" t="n"/>
    </row>
    <row r="83" hidden="1" outlineLevel="1" customFormat="1" s="59">
      <c r="F83" s="601" t="inlineStr">
        <is>
          <t>New Loan</t>
        </is>
      </c>
      <c r="G83" s="386" t="n"/>
      <c r="H83" s="894" t="n"/>
      <c r="I83" s="894" t="n"/>
      <c r="J83" s="894" t="n"/>
      <c r="K83" s="894" t="n"/>
      <c r="L83" s="895" t="n"/>
      <c r="M83" s="59" t="inlineStr">
        <is>
          <t>Lot Rent NOI Exit</t>
        </is>
      </c>
      <c r="N83" s="604" t="n"/>
      <c r="T83" s="146" t="n"/>
      <c r="U83" s="146" t="n"/>
      <c r="V83" s="146" t="n"/>
      <c r="W83" s="146" t="n"/>
      <c r="X83" s="146" t="n"/>
      <c r="Y83" s="146" t="n"/>
      <c r="Z83" s="146" t="n"/>
      <c r="AA83" s="146" t="n"/>
      <c r="AB83" s="146" t="n"/>
      <c r="AC83" s="146"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46" t="n"/>
      <c r="U84" s="146" t="n"/>
      <c r="V84" s="146" t="n"/>
      <c r="W84" s="146" t="n"/>
      <c r="X84" s="146" t="n"/>
      <c r="Y84" s="146" t="n"/>
      <c r="Z84" s="146" t="n"/>
      <c r="AA84" s="146" t="n"/>
      <c r="AB84" s="146" t="n"/>
      <c r="AC84" s="146" t="n"/>
    </row>
    <row r="85" hidden="1" outlineLevel="1" customFormat="1" s="59">
      <c r="F85" s="605" t="inlineStr">
        <is>
          <t>Free Cash Flow</t>
        </is>
      </c>
      <c r="G85" s="899">
        <f>-'Sources and Uses'!$C$7-'Sources and Uses'!$C$8</f>
        <v/>
      </c>
      <c r="H85" s="607">
        <f>H53+SUM(H80:H84)</f>
        <v/>
      </c>
      <c r="I85" s="607">
        <f>I53+SUM(I80:I84)</f>
        <v/>
      </c>
      <c r="J85" s="607">
        <f>J53+SUM(J80:J84)</f>
        <v/>
      </c>
      <c r="K85" s="607">
        <f>K53+SUM(K80:K84)</f>
        <v/>
      </c>
      <c r="L85" s="608">
        <f>L53+SUM(L80:L84)</f>
        <v/>
      </c>
      <c r="T85" s="146" t="n"/>
      <c r="U85" s="146" t="n"/>
      <c r="V85" s="146" t="n"/>
      <c r="W85" s="146" t="n"/>
      <c r="X85" s="146" t="n"/>
      <c r="Y85" s="146" t="n"/>
      <c r="Z85" s="146" t="n"/>
      <c r="AA85" s="146" t="n"/>
      <c r="AB85" s="146" t="n"/>
      <c r="AC85" s="146" t="n"/>
    </row>
    <row r="86" hidden="1" outlineLevel="1" customFormat="1" s="59">
      <c r="F86" s="609" t="inlineStr">
        <is>
          <t>DSCR</t>
        </is>
      </c>
      <c r="G86" s="386" t="n"/>
      <c r="H86" s="897">
        <f>-H53/H80</f>
        <v/>
      </c>
      <c r="I86" s="897">
        <f>-I53/I80</f>
        <v/>
      </c>
      <c r="J86" s="897">
        <f>-J53/J80</f>
        <v/>
      </c>
      <c r="K86" s="897">
        <f>-K53/K80</f>
        <v/>
      </c>
      <c r="L86" s="897">
        <f>-L53/L80</f>
        <v/>
      </c>
      <c r="T86" s="146" t="n"/>
      <c r="U86" s="146" t="n"/>
      <c r="V86" s="146" t="n"/>
      <c r="W86" s="146" t="n"/>
      <c r="X86" s="146" t="n"/>
      <c r="Y86" s="146" t="n"/>
      <c r="Z86" s="146" t="n"/>
      <c r="AA86" s="146" t="n"/>
      <c r="AB86" s="146" t="n"/>
      <c r="AC86" s="146" t="n"/>
    </row>
    <row r="87" collapsed="1" customFormat="1" s="59">
      <c r="F87" s="59" t="inlineStr">
        <is>
          <t>MOIC</t>
        </is>
      </c>
      <c r="G87" s="900">
        <f>SUM(H85:L85)/-G85</f>
        <v/>
      </c>
      <c r="T87" s="146" t="n"/>
      <c r="U87" s="146" t="n"/>
      <c r="V87" s="146" t="n"/>
      <c r="W87" s="146" t="n"/>
      <c r="X87" s="146" t="n"/>
      <c r="Y87" s="146" t="n"/>
      <c r="Z87" s="146" t="n"/>
      <c r="AA87" s="146" t="n"/>
      <c r="AB87" s="146" t="n"/>
      <c r="AC87" s="146" t="n"/>
    </row>
    <row r="88" customFormat="1" s="59">
      <c r="G88" s="203" t="n"/>
      <c r="T88" s="146" t="n"/>
      <c r="U88" s="146" t="n"/>
      <c r="V88" s="146" t="n"/>
      <c r="W88" s="146" t="n"/>
      <c r="X88" s="146" t="n"/>
      <c r="Y88" s="146" t="n"/>
      <c r="Z88" s="146" t="n"/>
      <c r="AA88" s="146" t="n"/>
      <c r="AB88" s="146" t="n"/>
      <c r="AC88" s="146" t="n"/>
    </row>
    <row r="89" customFormat="1" s="59">
      <c r="G89" s="203" t="n"/>
      <c r="T89" s="146" t="n"/>
      <c r="U89" s="146" t="n"/>
      <c r="V89" s="146" t="n"/>
      <c r="W89" s="146" t="n"/>
      <c r="X89" s="146" t="n"/>
      <c r="Y89" s="146" t="n"/>
      <c r="Z89" s="146" t="n"/>
      <c r="AA89" s="146" t="n"/>
      <c r="AB89" s="146" t="n"/>
      <c r="AC89" s="146" t="n"/>
    </row>
    <row r="90" customFormat="1" s="59">
      <c r="G90" s="203" t="n"/>
      <c r="T90" s="146" t="n"/>
      <c r="U90" s="146" t="n"/>
      <c r="V90" s="146" t="n"/>
      <c r="W90" s="146" t="n"/>
      <c r="X90" s="146" t="n"/>
      <c r="Y90" s="146" t="n"/>
      <c r="Z90" s="146" t="n"/>
      <c r="AA90" s="146" t="n"/>
      <c r="AB90" s="146" t="n"/>
      <c r="AC90" s="146" t="n"/>
    </row>
    <row r="91" customFormat="1" s="59">
      <c r="D91" s="593" t="n"/>
      <c r="G91" s="203" t="n"/>
      <c r="T91" s="146" t="n"/>
      <c r="U91" s="146" t="n"/>
      <c r="V91" s="146" t="n"/>
      <c r="W91" s="146" t="n"/>
      <c r="X91" s="146" t="n"/>
      <c r="Y91" s="146" t="n"/>
      <c r="Z91" s="146" t="n"/>
      <c r="AA91" s="146" t="n"/>
      <c r="AB91" s="146" t="n"/>
      <c r="AC91" s="146"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46" t="n"/>
      <c r="U92" s="146" t="n"/>
      <c r="V92" s="146" t="n"/>
      <c r="W92" s="146" t="n"/>
      <c r="X92" s="146" t="n"/>
      <c r="Y92" s="146" t="n"/>
      <c r="Z92" s="146" t="n"/>
      <c r="AA92" s="146" t="n"/>
      <c r="AB92" s="146" t="n"/>
      <c r="AC92" s="146"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46" t="n"/>
      <c r="U93" s="146" t="n"/>
      <c r="V93" s="146" t="n"/>
      <c r="W93" s="146" t="n"/>
      <c r="X93" s="146" t="n"/>
      <c r="Y93" s="146" t="n"/>
      <c r="Z93" s="146" t="n"/>
      <c r="AA93" s="146" t="n"/>
      <c r="AB93" s="146" t="n"/>
      <c r="AC93" s="146"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46" t="n"/>
      <c r="U94" s="146" t="n"/>
      <c r="V94" s="146" t="n"/>
      <c r="W94" s="146" t="n"/>
      <c r="X94" s="146" t="n"/>
      <c r="Y94" s="146" t="n"/>
      <c r="Z94" s="146" t="n"/>
      <c r="AA94" s="146" t="n"/>
      <c r="AB94" s="146" t="n"/>
      <c r="AC94" s="146"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46" t="n"/>
      <c r="U95" s="146" t="n"/>
      <c r="V95" s="146" t="n"/>
      <c r="W95" s="146" t="n"/>
      <c r="X95" s="146" t="n"/>
      <c r="Y95" s="146" t="n"/>
      <c r="Z95" s="146" t="n"/>
      <c r="AA95" s="146" t="n"/>
      <c r="AB95" s="146" t="n"/>
      <c r="AC95" s="146"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46" t="n"/>
      <c r="U96" s="146" t="n"/>
      <c r="V96" s="146" t="n"/>
      <c r="W96" s="146" t="n"/>
      <c r="X96" s="146" t="n"/>
      <c r="Y96" s="146" t="n"/>
      <c r="Z96" s="146" t="n"/>
      <c r="AA96" s="146" t="n"/>
      <c r="AB96" s="146" t="n"/>
      <c r="AC96" s="146"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c r="T97" s="146" t="n"/>
      <c r="U97" s="146" t="n"/>
      <c r="V97" s="146" t="n"/>
      <c r="W97" s="146" t="n"/>
      <c r="X97" s="146" t="n"/>
      <c r="Y97" s="146" t="n"/>
      <c r="Z97" s="146" t="n"/>
      <c r="AA97" s="146" t="n"/>
      <c r="AB97" s="146" t="n"/>
      <c r="AC97" s="146"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46" t="n"/>
      <c r="U98" s="146" t="n"/>
      <c r="V98" s="146" t="n"/>
      <c r="W98" s="146" t="n"/>
      <c r="X98" s="146" t="n"/>
      <c r="Y98" s="146" t="n"/>
      <c r="Z98" s="146" t="n"/>
      <c r="AA98" s="146" t="n"/>
      <c r="AB98" s="146" t="n"/>
      <c r="AC98" s="146" t="n"/>
    </row>
    <row r="99" customFormat="1" s="59">
      <c r="F99" s="605" t="inlineStr">
        <is>
          <t>Free Cash Flow</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46" t="n"/>
      <c r="U99" s="146" t="n"/>
      <c r="V99" s="146" t="n"/>
      <c r="W99" s="146" t="n"/>
      <c r="X99" s="146" t="n"/>
      <c r="Y99" s="146" t="n"/>
      <c r="Z99" s="146" t="n"/>
      <c r="AA99" s="146" t="n"/>
      <c r="AB99" s="146" t="n"/>
      <c r="AC99" s="146"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46" t="n"/>
      <c r="U100" s="146" t="n"/>
      <c r="V100" s="146" t="n"/>
      <c r="W100" s="146" t="n"/>
      <c r="X100" s="146" t="n"/>
      <c r="Y100" s="146" t="n"/>
      <c r="Z100" s="146" t="n"/>
      <c r="AA100" s="146" t="n"/>
      <c r="AB100" s="146" t="n"/>
      <c r="AC100" s="146"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46" t="n"/>
      <c r="U101" s="146" t="n"/>
      <c r="V101" s="146" t="n"/>
      <c r="W101" s="146" t="n"/>
      <c r="X101" s="146" t="n"/>
      <c r="Y101" s="146" t="n"/>
      <c r="Z101" s="146" t="n"/>
      <c r="AA101" s="146" t="n"/>
      <c r="AB101" s="146" t="n"/>
      <c r="AC101" s="146" t="n"/>
    </row>
    <row r="102" customFormat="1" s="59">
      <c r="F102" s="59" t="inlineStr">
        <is>
          <t>Avg CoC Y1-Y4</t>
        </is>
      </c>
      <c r="G102" s="695">
        <f>AVERAGE(H101:K101)</f>
        <v/>
      </c>
      <c r="T102" s="146" t="n"/>
      <c r="U102" s="146" t="n"/>
      <c r="V102" s="146" t="n"/>
      <c r="W102" s="146" t="n"/>
      <c r="X102" s="146" t="n"/>
      <c r="Y102" s="146" t="n"/>
      <c r="Z102" s="146" t="n"/>
      <c r="AA102" s="146" t="n"/>
      <c r="AB102" s="146" t="n"/>
      <c r="AC102" s="146" t="n"/>
    </row>
    <row r="103" customFormat="1" s="59">
      <c r="F103" s="59" t="inlineStr">
        <is>
          <t>IRR</t>
        </is>
      </c>
      <c r="G103" s="696">
        <f>IRR(G99:Q99)</f>
        <v/>
      </c>
      <c r="T103" s="146" t="n"/>
      <c r="U103" s="146" t="n"/>
      <c r="V103" s="146" t="n"/>
      <c r="W103" s="146" t="n"/>
      <c r="X103" s="146" t="n"/>
      <c r="Y103" s="146" t="n"/>
      <c r="Z103" s="146" t="n"/>
      <c r="AA103" s="146" t="n"/>
      <c r="AB103" s="146" t="n"/>
      <c r="AC103" s="146" t="n"/>
    </row>
    <row r="104" customFormat="1" s="59">
      <c r="F104" s="59" t="inlineStr">
        <is>
          <t>MOIC</t>
        </is>
      </c>
      <c r="G104" s="898">
        <f>SUM(H99:Q99)/-G99</f>
        <v/>
      </c>
      <c r="T104" s="146" t="n"/>
      <c r="U104" s="146" t="n"/>
      <c r="V104" s="146" t="n"/>
      <c r="W104" s="146" t="n"/>
      <c r="X104" s="146" t="n"/>
      <c r="Y104" s="146" t="n"/>
      <c r="Z104" s="146" t="n"/>
      <c r="AA104" s="146" t="n"/>
      <c r="AB104" s="146" t="n"/>
      <c r="AC104" s="146" t="n"/>
    </row>
    <row r="105" customFormat="1" s="59">
      <c r="G105" s="203" t="n"/>
      <c r="T105" s="146" t="n"/>
      <c r="U105" s="146" t="n"/>
      <c r="V105" s="146" t="n"/>
      <c r="W105" s="146" t="n"/>
      <c r="X105" s="146" t="n"/>
      <c r="Y105" s="146" t="n"/>
      <c r="Z105" s="146" t="n"/>
      <c r="AA105" s="146" t="n"/>
      <c r="AB105" s="146" t="n"/>
      <c r="AC105" s="146" t="n"/>
    </row>
    <row r="106" customFormat="1" s="59">
      <c r="G106" s="203" t="n"/>
      <c r="T106" s="146" t="n"/>
      <c r="U106" s="146" t="n"/>
      <c r="V106" s="146" t="n"/>
      <c r="W106" s="146" t="n"/>
      <c r="X106" s="146" t="n"/>
      <c r="Y106" s="146" t="n"/>
      <c r="Z106" s="146" t="n"/>
      <c r="AA106" s="146" t="n"/>
      <c r="AB106" s="146" t="n"/>
      <c r="AC106" s="146" t="n"/>
    </row>
    <row r="107" customFormat="1" s="59">
      <c r="G107" s="203" t="n"/>
      <c r="T107" s="146" t="n"/>
      <c r="U107" s="146" t="n"/>
      <c r="V107" s="146" t="n"/>
      <c r="W107" s="146" t="n"/>
      <c r="X107" s="146" t="n"/>
      <c r="Y107" s="146" t="n"/>
      <c r="Z107" s="146" t="n"/>
      <c r="AA107" s="146" t="n"/>
      <c r="AB107" s="146" t="n"/>
      <c r="AC107" s="146"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46" t="n"/>
      <c r="U108" s="146" t="n"/>
      <c r="V108" s="146" t="n"/>
      <c r="W108" s="146" t="n"/>
      <c r="X108" s="146" t="n"/>
      <c r="Y108" s="146" t="n"/>
      <c r="Z108" s="146" t="n"/>
      <c r="AA108" s="146" t="n"/>
      <c r="AB108" s="146" t="n"/>
      <c r="AC108" s="146"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46" t="n"/>
      <c r="U109" s="146" t="n"/>
      <c r="V109" s="146" t="n"/>
      <c r="W109" s="146" t="n"/>
      <c r="X109" s="146" t="n"/>
      <c r="Y109" s="146" t="n"/>
      <c r="Z109" s="146" t="n"/>
      <c r="AA109" s="146" t="n"/>
      <c r="AB109" s="146" t="n"/>
      <c r="AC109" s="146"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46" t="n"/>
      <c r="U110" s="146" t="n"/>
      <c r="V110" s="146" t="n"/>
      <c r="W110" s="146" t="n"/>
      <c r="X110" s="146" t="n"/>
      <c r="Y110" s="146" t="n"/>
      <c r="Z110" s="146" t="n"/>
      <c r="AA110" s="146" t="n"/>
      <c r="AB110" s="146" t="n"/>
      <c r="AC110" s="146"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46" t="n"/>
      <c r="U111" s="146" t="n"/>
      <c r="V111" s="146" t="n"/>
      <c r="W111" s="146" t="n"/>
      <c r="X111" s="146" t="n"/>
      <c r="Y111" s="146" t="n"/>
      <c r="Z111" s="146" t="n"/>
      <c r="AA111" s="146" t="n"/>
      <c r="AB111" s="146" t="n"/>
      <c r="AC111" s="146" t="n"/>
    </row>
    <row r="112" customFormat="1" s="59">
      <c r="F112" s="601" t="inlineStr">
        <is>
          <t>Refi Cashout</t>
        </is>
      </c>
      <c r="G112" s="203" t="n"/>
      <c r="H112" s="894" t="n"/>
      <c r="I112" s="894" t="n"/>
      <c r="J112" s="386" t="n"/>
      <c r="K112" s="894" t="n"/>
      <c r="L112" s="894">
        <f>L96</f>
        <v/>
      </c>
      <c r="M112" s="894" t="n"/>
      <c r="N112" s="894" t="n"/>
      <c r="O112" s="894" t="n"/>
      <c r="P112" s="894" t="n"/>
      <c r="Q112" s="895" t="n"/>
      <c r="T112" s="146" t="n"/>
      <c r="U112" s="146" t="n"/>
      <c r="V112" s="146" t="n"/>
      <c r="W112" s="146" t="n"/>
      <c r="X112" s="146" t="n"/>
      <c r="Y112" s="146" t="n"/>
      <c r="Z112" s="146" t="n"/>
      <c r="AA112" s="146" t="n"/>
      <c r="AB112" s="146" t="n"/>
      <c r="AC112" s="146" t="n"/>
    </row>
    <row r="113" customFormat="1" s="59">
      <c r="F113" s="601" t="inlineStr">
        <is>
          <t>Total Sale - Community</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c r="T113" s="146" t="n"/>
      <c r="U113" s="146" t="n"/>
      <c r="V113" s="146" t="n"/>
      <c r="W113" s="146" t="n"/>
      <c r="X113" s="146" t="n"/>
      <c r="Y113" s="146" t="n"/>
      <c r="Z113" s="146" t="n"/>
      <c r="AA113" s="146" t="n"/>
      <c r="AB113" s="146" t="n"/>
      <c r="AC113" s="146"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46" t="n"/>
      <c r="U114" s="146" t="n"/>
      <c r="V114" s="146" t="n"/>
      <c r="W114" s="146" t="n"/>
      <c r="X114" s="146" t="n"/>
      <c r="Y114" s="146" t="n"/>
      <c r="Z114" s="146" t="n"/>
      <c r="AA114" s="146" t="n"/>
      <c r="AB114" s="146" t="n"/>
      <c r="AC114" s="146" t="n"/>
    </row>
    <row r="115" customFormat="1" s="59">
      <c r="F115" s="605" t="inlineStr">
        <is>
          <t>Free Cash Flow</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46" t="n"/>
      <c r="U115" s="146" t="n"/>
      <c r="V115" s="146" t="n"/>
      <c r="W115" s="146" t="n"/>
      <c r="X115" s="146" t="n"/>
      <c r="Y115" s="146" t="n"/>
      <c r="Z115" s="146" t="n"/>
      <c r="AA115" s="146" t="n"/>
      <c r="AB115" s="146" t="n"/>
      <c r="AC115" s="146"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46" t="n"/>
      <c r="U116" s="146" t="n"/>
      <c r="V116" s="146" t="n"/>
      <c r="W116" s="146" t="n"/>
      <c r="X116" s="146" t="n"/>
      <c r="Y116" s="146" t="n"/>
      <c r="Z116" s="146" t="n"/>
      <c r="AA116" s="146" t="n"/>
      <c r="AB116" s="146" t="n"/>
      <c r="AC116" s="146"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46" t="n"/>
      <c r="U117" s="146" t="n"/>
      <c r="V117" s="146" t="n"/>
      <c r="W117" s="146" t="n"/>
      <c r="X117" s="146" t="n"/>
      <c r="Y117" s="146" t="n"/>
      <c r="Z117" s="146" t="n"/>
      <c r="AA117" s="146" t="n"/>
      <c r="AB117" s="146" t="n"/>
      <c r="AC117" s="146" t="n"/>
    </row>
    <row r="118" customFormat="1" s="59">
      <c r="G118" s="203" t="n"/>
      <c r="T118" s="146" t="n"/>
      <c r="U118" s="146" t="n"/>
      <c r="V118" s="146" t="n"/>
      <c r="W118" s="146" t="n"/>
      <c r="X118" s="146" t="n"/>
      <c r="Y118" s="146" t="n"/>
      <c r="Z118" s="146" t="n"/>
      <c r="AA118" s="146" t="n"/>
      <c r="AB118" s="146" t="n"/>
      <c r="AC118" s="146" t="n"/>
    </row>
    <row r="119" customFormat="1" s="59">
      <c r="G119" s="203" t="n"/>
      <c r="T119" s="146" t="n"/>
      <c r="U119" s="146" t="n"/>
      <c r="V119" s="146" t="n"/>
      <c r="W119" s="146" t="n"/>
      <c r="X119" s="146" t="n"/>
      <c r="Y119" s="146" t="n"/>
      <c r="Z119" s="146" t="n"/>
      <c r="AA119" s="146" t="n"/>
      <c r="AB119" s="146" t="n"/>
      <c r="AC119" s="146" t="n"/>
    </row>
    <row r="120" customFormat="1" s="59">
      <c r="G120" s="203" t="n"/>
      <c r="T120" s="146" t="n"/>
      <c r="U120" s="146" t="n"/>
      <c r="V120" s="146" t="n"/>
      <c r="W120" s="146" t="n"/>
      <c r="X120" s="146" t="n"/>
      <c r="Y120" s="146" t="n"/>
      <c r="Z120" s="146" t="n"/>
      <c r="AA120" s="146" t="n"/>
      <c r="AB120" s="146" t="n"/>
      <c r="AC120" s="146" t="n"/>
    </row>
    <row r="121" customFormat="1" s="59">
      <c r="G121" s="203" t="n"/>
      <c r="T121" s="146" t="n"/>
      <c r="U121" s="146" t="n"/>
      <c r="V121" s="146" t="n"/>
      <c r="W121" s="146" t="n"/>
      <c r="X121" s="146" t="n"/>
      <c r="Y121" s="146" t="n"/>
      <c r="Z121" s="146" t="n"/>
      <c r="AA121" s="146" t="n"/>
      <c r="AB121" s="146" t="n"/>
      <c r="AC121" s="146" t="n"/>
    </row>
    <row r="122" customFormat="1" s="59">
      <c r="G122" s="203" t="n"/>
      <c r="T122" s="146" t="n"/>
      <c r="U122" s="146" t="n"/>
      <c r="V122" s="146" t="n"/>
      <c r="W122" s="146" t="n"/>
      <c r="X122" s="146" t="n"/>
      <c r="Y122" s="146" t="n"/>
      <c r="Z122" s="146" t="n"/>
      <c r="AA122" s="146" t="n"/>
      <c r="AB122" s="146" t="n"/>
      <c r="AC122" s="146" t="n"/>
    </row>
    <row r="123" customFormat="1" s="59">
      <c r="G123" s="203" t="n"/>
      <c r="T123" s="146" t="n"/>
      <c r="U123" s="146" t="n"/>
      <c r="V123" s="146" t="n"/>
      <c r="W123" s="146" t="n"/>
      <c r="X123" s="146" t="n"/>
      <c r="Y123" s="146" t="n"/>
      <c r="Z123" s="146" t="n"/>
      <c r="AA123" s="146" t="n"/>
      <c r="AB123" s="146" t="n"/>
      <c r="AC123" s="146" t="n"/>
    </row>
    <row r="124" customFormat="1" s="59">
      <c r="G124" s="203" t="n"/>
      <c r="T124" s="146" t="n"/>
      <c r="U124" s="146" t="n"/>
      <c r="V124" s="146" t="n"/>
      <c r="W124" s="146" t="n"/>
      <c r="X124" s="146" t="n"/>
      <c r="Y124" s="146" t="n"/>
      <c r="Z124" s="146" t="n"/>
      <c r="AA124" s="146" t="n"/>
      <c r="AB124" s="146" t="n"/>
      <c r="AC124" s="146" t="n"/>
    </row>
    <row r="125" customFormat="1" s="59">
      <c r="G125" s="203" t="n"/>
      <c r="T125" s="146" t="n"/>
      <c r="U125" s="146" t="n"/>
      <c r="V125" s="146" t="n"/>
      <c r="W125" s="146" t="n"/>
      <c r="X125" s="146" t="n"/>
      <c r="Y125" s="146" t="n"/>
      <c r="Z125" s="146" t="n"/>
      <c r="AA125" s="146" t="n"/>
      <c r="AB125" s="146" t="n"/>
      <c r="AC125" s="146" t="n"/>
    </row>
    <row r="126" customFormat="1" s="59">
      <c r="G126" s="203" t="n"/>
      <c r="T126" s="146" t="n"/>
      <c r="U126" s="146" t="n"/>
      <c r="V126" s="146" t="n"/>
      <c r="W126" s="146" t="n"/>
      <c r="X126" s="146" t="n"/>
      <c r="Y126" s="146" t="n"/>
      <c r="Z126" s="146" t="n"/>
      <c r="AA126" s="146" t="n"/>
      <c r="AB126" s="146" t="n"/>
      <c r="AC126" s="146" t="n"/>
    </row>
    <row r="127" customFormat="1" s="59">
      <c r="G127" s="203" t="n"/>
      <c r="T127" s="146" t="n"/>
      <c r="U127" s="146" t="n"/>
      <c r="V127" s="146" t="n"/>
      <c r="W127" s="146" t="n"/>
      <c r="X127" s="146" t="n"/>
      <c r="Y127" s="146" t="n"/>
      <c r="Z127" s="146" t="n"/>
      <c r="AA127" s="146" t="n"/>
      <c r="AB127" s="146" t="n"/>
      <c r="AC127" s="146" t="n"/>
    </row>
    <row r="128" customFormat="1" s="59">
      <c r="G128" s="203" t="n"/>
      <c r="T128" s="146" t="n"/>
      <c r="U128" s="146" t="n"/>
      <c r="V128" s="146" t="n"/>
      <c r="W128" s="146" t="n"/>
      <c r="X128" s="146" t="n"/>
      <c r="Y128" s="146" t="n"/>
      <c r="Z128" s="146" t="n"/>
      <c r="AA128" s="146" t="n"/>
      <c r="AB128" s="146" t="n"/>
      <c r="AC128" s="146" t="n"/>
    </row>
    <row r="129" customFormat="1" s="59">
      <c r="G129" s="203" t="n"/>
      <c r="T129" s="146" t="n"/>
      <c r="U129" s="146" t="n"/>
      <c r="V129" s="146" t="n"/>
      <c r="W129" s="146" t="n"/>
      <c r="X129" s="146" t="n"/>
      <c r="Y129" s="146" t="n"/>
      <c r="Z129" s="146" t="n"/>
      <c r="AA129" s="146" t="n"/>
      <c r="AB129" s="146" t="n"/>
      <c r="AC129" s="146" t="n"/>
    </row>
    <row r="130" customFormat="1" s="59">
      <c r="G130" s="203" t="n"/>
      <c r="T130" s="146" t="n"/>
      <c r="U130" s="146" t="n"/>
      <c r="V130" s="146" t="n"/>
      <c r="W130" s="146" t="n"/>
      <c r="X130" s="146" t="n"/>
      <c r="Y130" s="146" t="n"/>
      <c r="Z130" s="146" t="n"/>
      <c r="AA130" s="146" t="n"/>
      <c r="AB130" s="146" t="n"/>
      <c r="AC130" s="146" t="n"/>
    </row>
    <row r="131" customFormat="1" s="59">
      <c r="G131" s="203" t="n"/>
      <c r="T131" s="146" t="n"/>
      <c r="U131" s="146" t="n"/>
      <c r="V131" s="146" t="n"/>
      <c r="W131" s="146" t="n"/>
      <c r="X131" s="146" t="n"/>
      <c r="Y131" s="146" t="n"/>
      <c r="Z131" s="146" t="n"/>
      <c r="AA131" s="146" t="n"/>
      <c r="AB131" s="146" t="n"/>
      <c r="AC131" s="146" t="n"/>
    </row>
    <row r="132" customFormat="1" s="59">
      <c r="G132" s="203" t="n"/>
      <c r="T132" s="146" t="n"/>
      <c r="U132" s="146" t="n"/>
      <c r="V132" s="146" t="n"/>
      <c r="W132" s="146" t="n"/>
      <c r="X132" s="146" t="n"/>
      <c r="Y132" s="146" t="n"/>
      <c r="Z132" s="146" t="n"/>
      <c r="AA132" s="146" t="n"/>
      <c r="AB132" s="146" t="n"/>
      <c r="AC132" s="146" t="n"/>
    </row>
    <row r="133" customFormat="1" s="59">
      <c r="G133" s="203" t="n"/>
      <c r="T133" s="146" t="n"/>
      <c r="U133" s="146" t="n"/>
      <c r="V133" s="146" t="n"/>
      <c r="W133" s="146" t="n"/>
      <c r="X133" s="146" t="n"/>
      <c r="Y133" s="146" t="n"/>
      <c r="Z133" s="146" t="n"/>
      <c r="AA133" s="146" t="n"/>
      <c r="AB133" s="146" t="n"/>
      <c r="AC133" s="146" t="n"/>
    </row>
    <row r="134" customFormat="1" s="59">
      <c r="G134" s="203" t="n"/>
      <c r="T134" s="146" t="n"/>
      <c r="U134" s="146" t="n"/>
      <c r="V134" s="146" t="n"/>
      <c r="W134" s="146" t="n"/>
      <c r="X134" s="146" t="n"/>
      <c r="Y134" s="146" t="n"/>
      <c r="Z134" s="146" t="n"/>
      <c r="AA134" s="146" t="n"/>
      <c r="AB134" s="146" t="n"/>
      <c r="AC134" s="146" t="n"/>
    </row>
    <row r="135" customFormat="1" s="59">
      <c r="G135" s="203" t="n"/>
      <c r="T135" s="146" t="n"/>
      <c r="U135" s="146" t="n"/>
      <c r="V135" s="146" t="n"/>
      <c r="W135" s="146" t="n"/>
      <c r="X135" s="146" t="n"/>
      <c r="Y135" s="146" t="n"/>
      <c r="Z135" s="146" t="n"/>
      <c r="AA135" s="146" t="n"/>
      <c r="AB135" s="146" t="n"/>
      <c r="AC135" s="146" t="n"/>
    </row>
    <row r="136" customFormat="1" s="59">
      <c r="G136" s="203" t="n"/>
      <c r="T136" s="146" t="n"/>
      <c r="U136" s="146" t="n"/>
      <c r="V136" s="146" t="n"/>
      <c r="W136" s="146" t="n"/>
      <c r="X136" s="146" t="n"/>
      <c r="Y136" s="146" t="n"/>
      <c r="Z136" s="146" t="n"/>
      <c r="AA136" s="146" t="n"/>
      <c r="AB136" s="146" t="n"/>
      <c r="AC136" s="146" t="n"/>
    </row>
    <row r="137" customFormat="1" s="59">
      <c r="G137" s="203" t="n"/>
      <c r="T137" s="146" t="n"/>
      <c r="U137" s="146" t="n"/>
      <c r="V137" s="146" t="n"/>
      <c r="W137" s="146" t="n"/>
      <c r="X137" s="146" t="n"/>
      <c r="Y137" s="146" t="n"/>
      <c r="Z137" s="146" t="n"/>
      <c r="AA137" s="146" t="n"/>
      <c r="AB137" s="146" t="n"/>
      <c r="AC137" s="146" t="n"/>
    </row>
    <row r="138" customFormat="1" s="59">
      <c r="G138" s="203" t="n"/>
      <c r="T138" s="146" t="n"/>
      <c r="U138" s="146" t="n"/>
      <c r="V138" s="146" t="n"/>
      <c r="W138" s="146" t="n"/>
      <c r="X138" s="146" t="n"/>
      <c r="Y138" s="146" t="n"/>
      <c r="Z138" s="146" t="n"/>
      <c r="AA138" s="146" t="n"/>
      <c r="AB138" s="146" t="n"/>
      <c r="AC138" s="146" t="n"/>
    </row>
    <row r="139" customFormat="1" s="59">
      <c r="G139" s="203" t="n"/>
      <c r="T139" s="146" t="n"/>
      <c r="U139" s="146" t="n"/>
      <c r="V139" s="146" t="n"/>
      <c r="W139" s="146" t="n"/>
      <c r="X139" s="146" t="n"/>
      <c r="Y139" s="146" t="n"/>
      <c r="Z139" s="146" t="n"/>
      <c r="AA139" s="146" t="n"/>
      <c r="AB139" s="146" t="n"/>
      <c r="AC139" s="146" t="n"/>
    </row>
    <row r="140" customFormat="1" s="59">
      <c r="G140" s="203" t="n"/>
      <c r="T140" s="146" t="n"/>
      <c r="U140" s="146" t="n"/>
      <c r="V140" s="146" t="n"/>
      <c r="W140" s="146" t="n"/>
      <c r="X140" s="146" t="n"/>
      <c r="Y140" s="146" t="n"/>
      <c r="Z140" s="146" t="n"/>
      <c r="AA140" s="146" t="n"/>
      <c r="AB140" s="146" t="n"/>
      <c r="AC140" s="146" t="n"/>
    </row>
    <row r="141" customFormat="1" s="59">
      <c r="G141" s="203" t="n"/>
      <c r="T141" s="146" t="n"/>
      <c r="U141" s="146" t="n"/>
      <c r="V141" s="146" t="n"/>
      <c r="W141" s="146" t="n"/>
      <c r="X141" s="146" t="n"/>
      <c r="Y141" s="146" t="n"/>
      <c r="Z141" s="146" t="n"/>
      <c r="AA141" s="146" t="n"/>
      <c r="AB141" s="146" t="n"/>
      <c r="AC141" s="146" t="n"/>
    </row>
    <row r="142" customFormat="1" s="59">
      <c r="G142" s="203" t="n"/>
      <c r="T142" s="146" t="n"/>
      <c r="U142" s="146" t="n"/>
      <c r="V142" s="146" t="n"/>
      <c r="W142" s="146" t="n"/>
      <c r="X142" s="146" t="n"/>
      <c r="Y142" s="146" t="n"/>
      <c r="Z142" s="146" t="n"/>
      <c r="AA142" s="146" t="n"/>
      <c r="AB142" s="146" t="n"/>
      <c r="AC142" s="146" t="n"/>
    </row>
    <row r="143" customFormat="1" s="59">
      <c r="G143" s="203" t="n"/>
      <c r="T143" s="146" t="n"/>
      <c r="U143" s="146" t="n"/>
      <c r="V143" s="146" t="n"/>
      <c r="W143" s="146" t="n"/>
      <c r="X143" s="146" t="n"/>
      <c r="Y143" s="146" t="n"/>
      <c r="Z143" s="146" t="n"/>
      <c r="AA143" s="146" t="n"/>
      <c r="AB143" s="146" t="n"/>
      <c r="AC143" s="146" t="n"/>
    </row>
    <row r="144" customFormat="1" s="59">
      <c r="G144" s="203" t="n"/>
      <c r="T144" s="146" t="n"/>
      <c r="U144" s="146" t="n"/>
      <c r="V144" s="146" t="n"/>
      <c r="W144" s="146" t="n"/>
      <c r="X144" s="146" t="n"/>
      <c r="Y144" s="146" t="n"/>
      <c r="Z144" s="146" t="n"/>
      <c r="AA144" s="146" t="n"/>
      <c r="AB144" s="146" t="n"/>
      <c r="AC144" s="146" t="n"/>
    </row>
    <row r="145" customFormat="1" s="59">
      <c r="G145" s="203" t="n"/>
      <c r="T145" s="146" t="n"/>
      <c r="U145" s="146" t="n"/>
      <c r="V145" s="146" t="n"/>
      <c r="W145" s="146" t="n"/>
      <c r="X145" s="146" t="n"/>
      <c r="Y145" s="146" t="n"/>
      <c r="Z145" s="146" t="n"/>
      <c r="AA145" s="146" t="n"/>
      <c r="AB145" s="146" t="n"/>
      <c r="AC145" s="146" t="n"/>
    </row>
    <row r="146" customFormat="1" s="59">
      <c r="G146" s="203" t="n"/>
      <c r="T146" s="146" t="n"/>
      <c r="U146" s="146" t="n"/>
      <c r="V146" s="146" t="n"/>
      <c r="W146" s="146" t="n"/>
      <c r="X146" s="146" t="n"/>
      <c r="Y146" s="146" t="n"/>
      <c r="Z146" s="146" t="n"/>
      <c r="AA146" s="146" t="n"/>
      <c r="AB146" s="146" t="n"/>
      <c r="AC146" s="146" t="n"/>
    </row>
    <row r="147" customFormat="1" s="59">
      <c r="G147" s="203" t="n"/>
      <c r="T147" s="146" t="n"/>
      <c r="U147" s="146" t="n"/>
      <c r="V147" s="146" t="n"/>
      <c r="W147" s="146" t="n"/>
      <c r="X147" s="146" t="n"/>
      <c r="Y147" s="146" t="n"/>
      <c r="Z147" s="146" t="n"/>
      <c r="AA147" s="146" t="n"/>
      <c r="AB147" s="146" t="n"/>
      <c r="AC147" s="146" t="n"/>
    </row>
    <row r="148" customFormat="1" s="59">
      <c r="G148" s="203" t="n"/>
      <c r="T148" s="146" t="n"/>
      <c r="U148" s="146" t="n"/>
      <c r="V148" s="146" t="n"/>
      <c r="W148" s="146" t="n"/>
      <c r="X148" s="146" t="n"/>
      <c r="Y148" s="146" t="n"/>
      <c r="Z148" s="146" t="n"/>
      <c r="AA148" s="146" t="n"/>
      <c r="AB148" s="146" t="n"/>
      <c r="AC148" s="146" t="n"/>
    </row>
    <row r="149" customFormat="1" s="59">
      <c r="G149" s="203" t="n"/>
      <c r="T149" s="146" t="n"/>
      <c r="U149" s="146" t="n"/>
      <c r="V149" s="146" t="n"/>
      <c r="W149" s="146" t="n"/>
      <c r="X149" s="146" t="n"/>
      <c r="Y149" s="146" t="n"/>
      <c r="Z149" s="146" t="n"/>
      <c r="AA149" s="146" t="n"/>
      <c r="AB149" s="146" t="n"/>
      <c r="AC149" s="146" t="n"/>
    </row>
    <row r="150" customFormat="1" s="59">
      <c r="G150" s="203" t="n"/>
      <c r="T150" s="146" t="n"/>
      <c r="U150" s="146" t="n"/>
      <c r="V150" s="146" t="n"/>
      <c r="W150" s="146" t="n"/>
      <c r="X150" s="146" t="n"/>
      <c r="Y150" s="146" t="n"/>
      <c r="Z150" s="146" t="n"/>
      <c r="AA150" s="146" t="n"/>
      <c r="AB150" s="146" t="n"/>
      <c r="AC150" s="146" t="n"/>
    </row>
    <row r="151" customFormat="1" s="59">
      <c r="G151" s="203" t="n"/>
      <c r="T151" s="146" t="n"/>
      <c r="U151" s="146" t="n"/>
      <c r="V151" s="146" t="n"/>
      <c r="W151" s="146" t="n"/>
      <c r="X151" s="146" t="n"/>
      <c r="Y151" s="146" t="n"/>
      <c r="Z151" s="146" t="n"/>
      <c r="AA151" s="146" t="n"/>
      <c r="AB151" s="146" t="n"/>
      <c r="AC151" s="146" t="n"/>
    </row>
    <row r="152" customFormat="1" s="59">
      <c r="G152" s="203" t="n"/>
      <c r="T152" s="146" t="n"/>
      <c r="U152" s="146" t="n"/>
      <c r="V152" s="146" t="n"/>
      <c r="W152" s="146" t="n"/>
      <c r="X152" s="146" t="n"/>
      <c r="Y152" s="146" t="n"/>
      <c r="Z152" s="146" t="n"/>
      <c r="AA152" s="146" t="n"/>
      <c r="AB152" s="146" t="n"/>
      <c r="AC152" s="146" t="n"/>
    </row>
    <row r="153" customFormat="1" s="59">
      <c r="G153" s="203" t="n"/>
      <c r="T153" s="146" t="n"/>
      <c r="U153" s="146" t="n"/>
      <c r="V153" s="146" t="n"/>
      <c r="W153" s="146" t="n"/>
      <c r="X153" s="146" t="n"/>
      <c r="Y153" s="146" t="n"/>
      <c r="Z153" s="146" t="n"/>
      <c r="AA153" s="146" t="n"/>
      <c r="AB153" s="146" t="n"/>
      <c r="AC153" s="146" t="n"/>
    </row>
    <row r="154" customFormat="1" s="59">
      <c r="G154" s="203" t="n"/>
      <c r="T154" s="146" t="n"/>
      <c r="U154" s="146" t="n"/>
      <c r="V154" s="146" t="n"/>
      <c r="W154" s="146" t="n"/>
      <c r="X154" s="146" t="n"/>
      <c r="Y154" s="146" t="n"/>
      <c r="Z154" s="146" t="n"/>
      <c r="AA154" s="146" t="n"/>
      <c r="AB154" s="146" t="n"/>
      <c r="AC154" s="146" t="n"/>
    </row>
    <row r="155" customFormat="1" s="59">
      <c r="G155" s="203" t="n"/>
      <c r="T155" s="146" t="n"/>
      <c r="U155" s="146" t="n"/>
      <c r="V155" s="146" t="n"/>
      <c r="W155" s="146" t="n"/>
      <c r="X155" s="146" t="n"/>
      <c r="Y155" s="146" t="n"/>
      <c r="Z155" s="146" t="n"/>
      <c r="AA155" s="146" t="n"/>
      <c r="AB155" s="146" t="n"/>
      <c r="AC155" s="146" t="n"/>
    </row>
    <row r="156" customFormat="1" s="59">
      <c r="G156" s="203" t="n"/>
      <c r="T156" s="146" t="n"/>
      <c r="U156" s="146" t="n"/>
      <c r="V156" s="146" t="n"/>
      <c r="W156" s="146" t="n"/>
      <c r="X156" s="146" t="n"/>
      <c r="Y156" s="146" t="n"/>
      <c r="Z156" s="146" t="n"/>
      <c r="AA156" s="146" t="n"/>
      <c r="AB156" s="146" t="n"/>
      <c r="AC156" s="146" t="n"/>
    </row>
    <row r="157" customFormat="1" s="59">
      <c r="G157" s="203" t="n"/>
      <c r="T157" s="146" t="n"/>
      <c r="U157" s="146" t="n"/>
      <c r="V157" s="146" t="n"/>
      <c r="W157" s="146" t="n"/>
      <c r="X157" s="146" t="n"/>
      <c r="Y157" s="146" t="n"/>
      <c r="Z157" s="146" t="n"/>
      <c r="AA157" s="146" t="n"/>
      <c r="AB157" s="146" t="n"/>
      <c r="AC157" s="146" t="n"/>
    </row>
    <row r="158" customFormat="1" s="59">
      <c r="G158" s="203" t="n"/>
      <c r="T158" s="146" t="n"/>
      <c r="U158" s="146" t="n"/>
      <c r="V158" s="146" t="n"/>
      <c r="W158" s="146" t="n"/>
      <c r="X158" s="146" t="n"/>
      <c r="Y158" s="146" t="n"/>
      <c r="Z158" s="146" t="n"/>
      <c r="AA158" s="146" t="n"/>
      <c r="AB158" s="146" t="n"/>
      <c r="AC158" s="146" t="n"/>
    </row>
    <row r="159" customFormat="1" s="59">
      <c r="G159" s="203" t="n"/>
      <c r="T159" s="146" t="n"/>
      <c r="U159" s="146" t="n"/>
      <c r="V159" s="146" t="n"/>
      <c r="W159" s="146" t="n"/>
      <c r="X159" s="146" t="n"/>
      <c r="Y159" s="146" t="n"/>
      <c r="Z159" s="146" t="n"/>
      <c r="AA159" s="146" t="n"/>
      <c r="AB159" s="146" t="n"/>
      <c r="AC159" s="146" t="n"/>
    </row>
    <row r="160" customFormat="1" s="59">
      <c r="G160" s="203" t="n"/>
      <c r="T160" s="146" t="n"/>
      <c r="U160" s="146" t="n"/>
      <c r="V160" s="146" t="n"/>
      <c r="W160" s="146" t="n"/>
      <c r="X160" s="146" t="n"/>
      <c r="Y160" s="146" t="n"/>
      <c r="Z160" s="146" t="n"/>
      <c r="AA160" s="146" t="n"/>
      <c r="AB160" s="146" t="n"/>
      <c r="AC160" s="146" t="n"/>
    </row>
    <row r="161" customFormat="1" s="59">
      <c r="G161" s="203" t="n"/>
      <c r="T161" s="146" t="n"/>
      <c r="U161" s="146" t="n"/>
      <c r="V161" s="146" t="n"/>
      <c r="W161" s="146" t="n"/>
      <c r="X161" s="146" t="n"/>
      <c r="Y161" s="146" t="n"/>
      <c r="Z161" s="146" t="n"/>
      <c r="AA161" s="146" t="n"/>
      <c r="AB161" s="146" t="n"/>
      <c r="AC161" s="146" t="n"/>
    </row>
    <row r="162" customFormat="1" s="59">
      <c r="G162" s="203" t="n"/>
      <c r="T162" s="146" t="n"/>
      <c r="U162" s="146" t="n"/>
      <c r="V162" s="146" t="n"/>
      <c r="W162" s="146" t="n"/>
      <c r="X162" s="146" t="n"/>
      <c r="Y162" s="146" t="n"/>
      <c r="Z162" s="146" t="n"/>
      <c r="AA162" s="146" t="n"/>
      <c r="AB162" s="146" t="n"/>
      <c r="AC162" s="146" t="n"/>
    </row>
    <row r="163" customFormat="1" s="59">
      <c r="G163" s="203" t="n"/>
      <c r="T163" s="146" t="n"/>
      <c r="U163" s="146" t="n"/>
      <c r="V163" s="146" t="n"/>
      <c r="W163" s="146" t="n"/>
      <c r="X163" s="146" t="n"/>
      <c r="Y163" s="146" t="n"/>
      <c r="Z163" s="146" t="n"/>
      <c r="AA163" s="146" t="n"/>
      <c r="AB163" s="146" t="n"/>
      <c r="AC163" s="146" t="n"/>
    </row>
    <row r="164" customFormat="1" s="59">
      <c r="G164" s="203" t="n"/>
      <c r="T164" s="146" t="n"/>
      <c r="U164" s="146" t="n"/>
      <c r="V164" s="146" t="n"/>
      <c r="W164" s="146" t="n"/>
      <c r="X164" s="146" t="n"/>
      <c r="Y164" s="146" t="n"/>
      <c r="Z164" s="146" t="n"/>
      <c r="AA164" s="146" t="n"/>
      <c r="AB164" s="146" t="n"/>
      <c r="AC164" s="146" t="n"/>
    </row>
    <row r="165" customFormat="1" s="59">
      <c r="G165" s="203" t="n"/>
      <c r="T165" s="146" t="n"/>
      <c r="U165" s="146" t="n"/>
      <c r="V165" s="146" t="n"/>
      <c r="W165" s="146" t="n"/>
      <c r="X165" s="146" t="n"/>
      <c r="Y165" s="146" t="n"/>
      <c r="Z165" s="146" t="n"/>
      <c r="AA165" s="146" t="n"/>
      <c r="AB165" s="146" t="n"/>
      <c r="AC165" s="146" t="n"/>
    </row>
    <row r="166" customFormat="1" s="59">
      <c r="G166" s="203" t="n"/>
      <c r="T166" s="146" t="n"/>
      <c r="U166" s="146" t="n"/>
      <c r="V166" s="146" t="n"/>
      <c r="W166" s="146" t="n"/>
      <c r="X166" s="146" t="n"/>
      <c r="Y166" s="146" t="n"/>
      <c r="Z166" s="146" t="n"/>
      <c r="AA166" s="146" t="n"/>
      <c r="AB166" s="146" t="n"/>
      <c r="AC166" s="146" t="n"/>
    </row>
    <row r="167" customFormat="1" s="59">
      <c r="G167" s="203" t="n"/>
      <c r="T167" s="146" t="n"/>
      <c r="U167" s="146" t="n"/>
      <c r="V167" s="146" t="n"/>
      <c r="W167" s="146" t="n"/>
      <c r="X167" s="146" t="n"/>
      <c r="Y167" s="146" t="n"/>
      <c r="Z167" s="146" t="n"/>
      <c r="AA167" s="146" t="n"/>
      <c r="AB167" s="146" t="n"/>
      <c r="AC167" s="146" t="n"/>
    </row>
    <row r="168" customFormat="1" s="59">
      <c r="G168" s="203" t="n"/>
      <c r="T168" s="146" t="n"/>
      <c r="U168" s="146" t="n"/>
      <c r="V168" s="146" t="n"/>
      <c r="W168" s="146" t="n"/>
      <c r="X168" s="146" t="n"/>
      <c r="Y168" s="146" t="n"/>
      <c r="Z168" s="146" t="n"/>
      <c r="AA168" s="146" t="n"/>
      <c r="AB168" s="146" t="n"/>
      <c r="AC168" s="146" t="n"/>
    </row>
    <row r="169" customFormat="1" s="59">
      <c r="G169" s="203" t="n"/>
      <c r="T169" s="146" t="n"/>
      <c r="U169" s="146" t="n"/>
      <c r="V169" s="146" t="n"/>
      <c r="W169" s="146" t="n"/>
      <c r="X169" s="146" t="n"/>
      <c r="Y169" s="146" t="n"/>
      <c r="Z169" s="146" t="n"/>
      <c r="AA169" s="146" t="n"/>
      <c r="AB169" s="146" t="n"/>
      <c r="AC169" s="146" t="n"/>
    </row>
    <row r="170" customFormat="1" s="59">
      <c r="G170" s="203" t="n"/>
      <c r="T170" s="146" t="n"/>
      <c r="U170" s="146" t="n"/>
      <c r="V170" s="146" t="n"/>
      <c r="W170" s="146" t="n"/>
      <c r="X170" s="146" t="n"/>
      <c r="Y170" s="146" t="n"/>
      <c r="Z170" s="146" t="n"/>
      <c r="AA170" s="146" t="n"/>
      <c r="AB170" s="146" t="n"/>
      <c r="AC170" s="146" t="n"/>
    </row>
    <row r="171" customFormat="1" s="59">
      <c r="G171" s="203" t="n"/>
      <c r="T171" s="146" t="n"/>
      <c r="U171" s="146" t="n"/>
      <c r="V171" s="146" t="n"/>
      <c r="W171" s="146" t="n"/>
      <c r="X171" s="146" t="n"/>
      <c r="Y171" s="146" t="n"/>
      <c r="Z171" s="146" t="n"/>
      <c r="AA171" s="146" t="n"/>
      <c r="AB171" s="146" t="n"/>
      <c r="AC171" s="146" t="n"/>
    </row>
    <row r="172" customFormat="1" s="59">
      <c r="G172" s="203" t="n"/>
      <c r="T172" s="146" t="n"/>
      <c r="U172" s="146" t="n"/>
      <c r="V172" s="146" t="n"/>
      <c r="W172" s="146" t="n"/>
      <c r="X172" s="146" t="n"/>
      <c r="Y172" s="146" t="n"/>
      <c r="Z172" s="146" t="n"/>
      <c r="AA172" s="146" t="n"/>
      <c r="AB172" s="146" t="n"/>
      <c r="AC172" s="146" t="n"/>
    </row>
    <row r="173" customFormat="1" s="59">
      <c r="G173" s="203" t="n"/>
      <c r="T173" s="146" t="n"/>
      <c r="U173" s="146" t="n"/>
      <c r="V173" s="146" t="n"/>
      <c r="W173" s="146" t="n"/>
      <c r="X173" s="146" t="n"/>
      <c r="Y173" s="146" t="n"/>
      <c r="Z173" s="146" t="n"/>
      <c r="AA173" s="146" t="n"/>
      <c r="AB173" s="146" t="n"/>
      <c r="AC173" s="146" t="n"/>
    </row>
    <row r="174" customFormat="1" s="59">
      <c r="G174" s="203" t="n"/>
      <c r="T174" s="146" t="n"/>
      <c r="U174" s="146" t="n"/>
      <c r="V174" s="146" t="n"/>
      <c r="W174" s="146" t="n"/>
      <c r="X174" s="146" t="n"/>
      <c r="Y174" s="146" t="n"/>
      <c r="Z174" s="146" t="n"/>
      <c r="AA174" s="146" t="n"/>
      <c r="AB174" s="146" t="n"/>
      <c r="AC174" s="146" t="n"/>
    </row>
    <row r="175" customFormat="1" s="59">
      <c r="G175" s="203" t="n"/>
      <c r="T175" s="146" t="n"/>
      <c r="U175" s="146" t="n"/>
      <c r="V175" s="146" t="n"/>
      <c r="W175" s="146" t="n"/>
      <c r="X175" s="146" t="n"/>
      <c r="Y175" s="146" t="n"/>
      <c r="Z175" s="146" t="n"/>
      <c r="AA175" s="146" t="n"/>
      <c r="AB175" s="146" t="n"/>
      <c r="AC175" s="146" t="n"/>
    </row>
    <row r="176" customFormat="1" s="59">
      <c r="G176" s="203" t="n"/>
      <c r="T176" s="146" t="n"/>
      <c r="U176" s="146" t="n"/>
      <c r="V176" s="146" t="n"/>
      <c r="W176" s="146" t="n"/>
      <c r="X176" s="146" t="n"/>
      <c r="Y176" s="146" t="n"/>
      <c r="Z176" s="146" t="n"/>
      <c r="AA176" s="146" t="n"/>
      <c r="AB176" s="146" t="n"/>
      <c r="AC176" s="146" t="n"/>
    </row>
    <row r="177" customFormat="1" s="59">
      <c r="G177" s="203" t="n"/>
      <c r="T177" s="146" t="n"/>
      <c r="U177" s="146" t="n"/>
      <c r="V177" s="146" t="n"/>
      <c r="W177" s="146" t="n"/>
      <c r="X177" s="146" t="n"/>
      <c r="Y177" s="146" t="n"/>
      <c r="Z177" s="146" t="n"/>
      <c r="AA177" s="146" t="n"/>
      <c r="AB177" s="146" t="n"/>
      <c r="AC177" s="146" t="n"/>
    </row>
    <row r="178" customFormat="1" s="59">
      <c r="G178" s="203" t="n"/>
      <c r="T178" s="146" t="n"/>
      <c r="U178" s="146" t="n"/>
      <c r="V178" s="146" t="n"/>
      <c r="W178" s="146" t="n"/>
      <c r="X178" s="146" t="n"/>
      <c r="Y178" s="146" t="n"/>
      <c r="Z178" s="146" t="n"/>
      <c r="AA178" s="146" t="n"/>
      <c r="AB178" s="146" t="n"/>
      <c r="AC178" s="146" t="n"/>
    </row>
    <row r="179" customFormat="1" s="59">
      <c r="G179" s="203" t="n"/>
      <c r="T179" s="146" t="n"/>
      <c r="U179" s="146" t="n"/>
      <c r="V179" s="146" t="n"/>
      <c r="W179" s="146" t="n"/>
      <c r="X179" s="146" t="n"/>
      <c r="Y179" s="146" t="n"/>
      <c r="Z179" s="146" t="n"/>
      <c r="AA179" s="146" t="n"/>
      <c r="AB179" s="146" t="n"/>
      <c r="AC179" s="146" t="n"/>
    </row>
    <row r="180" customFormat="1" s="59">
      <c r="G180" s="203" t="n"/>
      <c r="T180" s="146" t="n"/>
      <c r="U180" s="146" t="n"/>
      <c r="V180" s="146" t="n"/>
      <c r="W180" s="146" t="n"/>
      <c r="X180" s="146" t="n"/>
      <c r="Y180" s="146" t="n"/>
      <c r="Z180" s="146" t="n"/>
      <c r="AA180" s="146" t="n"/>
      <c r="AB180" s="146" t="n"/>
      <c r="AC180" s="146" t="n"/>
    </row>
    <row r="181" customFormat="1" s="59">
      <c r="G181" s="203" t="n"/>
      <c r="T181" s="146" t="n"/>
      <c r="U181" s="146" t="n"/>
      <c r="V181" s="146" t="n"/>
      <c r="W181" s="146" t="n"/>
      <c r="X181" s="146" t="n"/>
      <c r="Y181" s="146" t="n"/>
      <c r="Z181" s="146" t="n"/>
      <c r="AA181" s="146" t="n"/>
      <c r="AB181" s="146" t="n"/>
      <c r="AC181" s="146" t="n"/>
    </row>
    <row r="182" customFormat="1" s="59">
      <c r="G182" s="203" t="n"/>
      <c r="T182" s="146" t="n"/>
      <c r="U182" s="146" t="n"/>
      <c r="V182" s="146" t="n"/>
      <c r="W182" s="146" t="n"/>
      <c r="X182" s="146" t="n"/>
      <c r="Y182" s="146" t="n"/>
      <c r="Z182" s="146" t="n"/>
      <c r="AA182" s="146" t="n"/>
      <c r="AB182" s="146" t="n"/>
      <c r="AC182" s="146" t="n"/>
    </row>
    <row r="183" customFormat="1" s="59">
      <c r="G183" s="203" t="n"/>
      <c r="T183" s="146" t="n"/>
      <c r="U183" s="146" t="n"/>
      <c r="V183" s="146" t="n"/>
      <c r="W183" s="146" t="n"/>
      <c r="X183" s="146" t="n"/>
      <c r="Y183" s="146" t="n"/>
      <c r="Z183" s="146" t="n"/>
      <c r="AA183" s="146" t="n"/>
      <c r="AB183" s="146" t="n"/>
      <c r="AC183" s="146"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3" ht="21" customHeight="1">
      <c r="C3" s="794" t="inlineStr">
        <is>
          <t>Investor Return Summary</t>
        </is>
      </c>
    </row>
    <row r="4" ht="20.45" customHeight="1">
      <c r="C4" s="245" t="inlineStr">
        <is>
          <t>10  Year Return Summary</t>
        </is>
      </c>
      <c r="M4" s="494" t="inlineStr">
        <is>
          <t>Send LOI?</t>
        </is>
      </c>
      <c r="N4" t="inlineStr">
        <is>
          <t>No</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(10-yr-S1)'!D30</f>
        <v/>
      </c>
      <c r="G6" s="466" t="n"/>
    </row>
    <row r="7" ht="17.45" customHeight="1">
      <c r="C7" s="465" t="inlineStr">
        <is>
          <t>Equity Multiple</t>
        </is>
      </c>
      <c r="D7" s="466" t="n"/>
      <c r="E7" s="466" t="n"/>
      <c r="F7" s="901">
        <f>'Waterfall (10-yr-S1)'!D31</f>
        <v/>
      </c>
      <c r="G7" s="466" t="n"/>
    </row>
    <row r="8" ht="15.95" customHeight="1">
      <c r="C8" s="465" t="inlineStr">
        <is>
          <t>Cash on Cash Avg Y1-Y9</t>
        </is>
      </c>
      <c r="D8" s="466" t="n"/>
      <c r="E8" s="466" t="n"/>
      <c r="F8" s="902">
        <f>IFERROR(AVERAGE('Waterfall (10-yr-S1)'!G30:O30)/ABS('Waterfall (10-yr-S1)'!F28),0)</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IFERROR(AVERAGE('Waterfall (5-yr-S1)'!G30:J30)/ABS('Waterfall (5-yr-S1)'!F28),0)</f>
        <v/>
      </c>
    </row>
    <row r="22" hidden="1" outlineLevel="1" ht="15.75" customHeight="1" thickBot="1">
      <c r="C22" s="490" t="n"/>
    </row>
    <row r="23" collapsed="1" ht="16.5" customHeight="1" thickTop="1">
      <c r="C23" s="476" t="n"/>
      <c r="D23" s="472" t="n"/>
      <c r="E23" s="472" t="n"/>
      <c r="F23" s="472" t="n"/>
      <c r="G23" s="472" t="n"/>
    </row>
    <row r="25" ht="18.75" customHeight="1">
      <c r="C25" s="245" t="n"/>
    </row>
    <row r="26" ht="15.75" customHeight="1">
      <c r="B26" s="244" t="n"/>
      <c r="C26" s="462" t="n"/>
      <c r="D26" s="463" t="n"/>
      <c r="E26" s="464" t="n"/>
      <c r="F26" s="464" t="n"/>
    </row>
    <row r="27" ht="15.75" customHeight="1">
      <c r="C27" s="465" t="n"/>
      <c r="D27" s="466" t="n"/>
      <c r="E27" s="466" t="n"/>
      <c r="F27" s="762" t="n"/>
    </row>
    <row r="28" ht="15.75" customHeight="1">
      <c r="C28" s="465" t="n"/>
      <c r="D28" s="466" t="n"/>
      <c r="E28" s="466" t="n"/>
      <c r="F28" s="901" t="n"/>
    </row>
    <row r="29" ht="15.75" customHeight="1">
      <c r="C29" s="465" t="n"/>
      <c r="D29" s="466" t="n"/>
      <c r="E29" s="466" t="n"/>
      <c r="F29" s="902" t="n"/>
    </row>
    <row r="30"/>
    <row r="31"/>
    <row r="32"/>
    <row r="33"/>
    <row r="34" ht="45" customHeight="1">
      <c r="C34" s="146" t="n"/>
      <c r="H34" s="750" t="n"/>
    </row>
    <row r="35" ht="30" customHeight="1">
      <c r="C35" s="146" t="n"/>
    </row>
    <row r="36" ht="30" customHeight="1">
      <c r="C36" s="146" t="n"/>
    </row>
    <row r="37" ht="45" customHeight="1">
      <c r="C37" s="146" t="n"/>
    </row>
    <row r="38" ht="30" customHeight="1">
      <c r="C38" s="146" t="n"/>
    </row>
    <row r="39" ht="75" customHeight="1">
      <c r="C39" s="146" t="n"/>
    </row>
    <row r="40" ht="30" customHeight="1">
      <c r="C40" s="146" t="n"/>
    </row>
    <row r="41"/>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width="13" customWidth="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8" t="n"/>
      <c r="K3" s="338" t="n"/>
      <c r="L3" s="338" t="n"/>
      <c r="M3" s="338" t="n"/>
      <c r="N3" s="338" t="n"/>
      <c r="O3" s="338" t="n"/>
      <c r="P3" s="338" t="n"/>
    </row>
    <row r="4" ht="15.75" customHeight="1">
      <c r="B4" s="141" t="inlineStr">
        <is>
          <t>Promote Hurdle Method</t>
        </is>
      </c>
      <c r="C4" s="74" t="n"/>
      <c r="D4" s="336" t="inlineStr">
        <is>
          <t>IRR</t>
        </is>
      </c>
      <c r="E4" s="337" t="inlineStr">
        <is>
          <t>GP Catch Up?</t>
        </is>
      </c>
      <c r="F4" s="338" t="n"/>
      <c r="G4" s="338" t="n"/>
      <c r="H4" s="338" t="n"/>
      <c r="I4" s="338" t="n"/>
      <c r="J4" s="338" t="n"/>
      <c r="K4" s="338" t="n"/>
      <c r="L4" s="338" t="n"/>
      <c r="M4" s="338" t="n"/>
      <c r="N4" s="338" t="n"/>
      <c r="O4" s="338" t="n"/>
      <c r="P4" s="338" t="n"/>
    </row>
    <row r="5" ht="15.75" customHeight="1">
      <c r="B5" s="141" t="inlineStr">
        <is>
          <t># of Tiers</t>
        </is>
      </c>
      <c r="C5" s="74" t="n"/>
      <c r="D5" s="336" t="inlineStr">
        <is>
          <t>3-Tier</t>
        </is>
      </c>
      <c r="E5" s="337" t="n"/>
      <c r="F5" s="338" t="n"/>
      <c r="G5" s="338" t="n"/>
      <c r="H5" s="338" t="n"/>
      <c r="I5" s="338" t="n"/>
      <c r="J5" s="338" t="n"/>
      <c r="K5" s="338" t="n"/>
      <c r="L5" s="338" t="n"/>
      <c r="M5" s="338" t="n"/>
      <c r="N5" s="338" t="n"/>
      <c r="O5" s="338" t="n"/>
      <c r="P5" s="33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8" t="n"/>
      <c r="K6" s="338" t="n"/>
      <c r="L6" s="338" t="n"/>
      <c r="M6" s="338" t="n"/>
      <c r="N6" s="338" t="n"/>
      <c r="O6" s="338" t="n"/>
      <c r="P6" s="338" t="n"/>
    </row>
    <row r="7" ht="5.1" customHeight="1">
      <c r="B7" s="59" t="n"/>
      <c r="C7" s="59" t="n"/>
      <c r="D7" s="341" t="n"/>
      <c r="F7" s="145" t="n"/>
      <c r="G7" s="145" t="n"/>
      <c r="H7" s="145" t="n"/>
      <c r="I7" s="145" t="n"/>
      <c r="J7" s="145" t="n"/>
      <c r="K7" s="145" t="n"/>
      <c r="L7" s="145" t="n"/>
      <c r="M7" s="338" t="n"/>
      <c r="N7" s="338" t="n"/>
      <c r="O7" s="338" t="n"/>
      <c r="P7" s="338" t="n"/>
    </row>
    <row r="8" ht="16.5" customHeight="1" thickBot="1">
      <c r="B8" s="342" t="inlineStr">
        <is>
          <t>Equity Contributions</t>
        </is>
      </c>
      <c r="C8" s="343" t="inlineStr">
        <is>
          <t>%</t>
        </is>
      </c>
      <c r="D8" s="343" t="inlineStr">
        <is>
          <t>Amount</t>
        </is>
      </c>
      <c r="F8" s="344" t="n"/>
      <c r="G8" s="145" t="n"/>
      <c r="H8" s="145" t="n"/>
      <c r="I8" s="145" t="n"/>
      <c r="J8" s="145" t="n"/>
      <c r="K8" s="145" t="n"/>
      <c r="L8" s="145" t="n"/>
      <c r="M8" s="338" t="n"/>
      <c r="N8" s="338" t="n"/>
      <c r="O8" s="338" t="n"/>
      <c r="P8" s="338" t="n"/>
    </row>
    <row r="9">
      <c r="B9" s="59" t="inlineStr">
        <is>
          <t>General Partner (GP)</t>
        </is>
      </c>
      <c r="C9" s="905">
        <f>'Sources and Uses'!E8</f>
        <v/>
      </c>
      <c r="D9" s="346">
        <f>Equity_Share_GP*Total_Equity</f>
        <v/>
      </c>
      <c r="E9" s="59" t="n"/>
      <c r="F9" s="347" t="n"/>
      <c r="G9" s="348" t="n"/>
      <c r="H9" s="203" t="n"/>
      <c r="I9" s="203" t="n"/>
      <c r="J9" s="145" t="n"/>
      <c r="K9" s="349" t="inlineStr">
        <is>
          <t>Error Check:</t>
        </is>
      </c>
      <c r="L9" s="350">
        <f>IF(ROUND(L11,0)=ROUND(L10,0),"OK","Error")</f>
        <v/>
      </c>
      <c r="M9" s="145" t="n"/>
      <c r="N9" s="145" t="n"/>
      <c r="O9" s="145" t="n"/>
      <c r="P9" s="145" t="n"/>
    </row>
    <row r="10">
      <c r="B10" s="59" t="inlineStr">
        <is>
          <t>Limited Partner (LP)</t>
        </is>
      </c>
      <c r="C10" s="906">
        <f>1-C9</f>
        <v/>
      </c>
      <c r="D10" s="352">
        <f>Total_Equity*Equity_Share_LP</f>
        <v/>
      </c>
      <c r="E10" s="59" t="n"/>
      <c r="F10" s="347" t="n"/>
      <c r="G10" s="348" t="n"/>
      <c r="H10" s="203" t="n"/>
      <c r="I10" s="203" t="n"/>
      <c r="J10" s="145" t="n"/>
      <c r="K10" s="353" t="inlineStr">
        <is>
          <t>Profit Dist.:</t>
        </is>
      </c>
      <c r="L10" s="907">
        <f>(D29+D41)/1000000</f>
        <v/>
      </c>
      <c r="M10" s="145" t="n"/>
      <c r="N10" s="145" t="n"/>
      <c r="O10" s="145" t="n"/>
      <c r="P10" s="145" t="n"/>
    </row>
    <row r="11" ht="15.75" customHeight="1" thickBot="1">
      <c r="B11" s="59" t="inlineStr">
        <is>
          <t>Total Equity</t>
        </is>
      </c>
      <c r="C11" s="908" t="n"/>
      <c r="D11" s="346">
        <f>-SUMIF(F51:M51,"&lt;0")</f>
        <v/>
      </c>
      <c r="E11" s="59" t="n"/>
      <c r="F11" s="347" t="n"/>
      <c r="G11" s="348" t="n"/>
      <c r="H11" s="203" t="n"/>
      <c r="I11" s="203" t="n"/>
      <c r="J11" s="145" t="n"/>
      <c r="K11" s="356" t="inlineStr">
        <is>
          <t>Net BTCF:</t>
        </is>
      </c>
      <c r="L11" s="909">
        <f>SUM(F47:M47)/1000000</f>
        <v/>
      </c>
      <c r="M11" s="145" t="n"/>
      <c r="N11" s="145" t="n"/>
      <c r="O11" s="145" t="n"/>
      <c r="P11" s="145" t="n"/>
    </row>
    <row r="12" ht="5.1" customHeight="1">
      <c r="B12" s="59" t="n"/>
      <c r="C12" s="908" t="n"/>
      <c r="D12" s="910" t="n"/>
      <c r="E12" s="59" t="n"/>
      <c r="F12" s="347" t="n"/>
      <c r="G12" s="348" t="n"/>
      <c r="H12" s="203" t="n"/>
      <c r="I12" s="203" t="n"/>
      <c r="J12" s="145" t="n"/>
      <c r="K12" s="145" t="n"/>
      <c r="L12" s="145" t="n"/>
      <c r="M12" s="145" t="n"/>
      <c r="N12" s="145" t="n"/>
      <c r="O12" s="145" t="n"/>
      <c r="P12" s="145"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45" t="n"/>
      <c r="K13" s="145" t="n"/>
      <c r="L13" s="145" t="n"/>
      <c r="M13" s="145" t="n"/>
      <c r="N13" s="145" t="n"/>
      <c r="O13" s="145" t="n"/>
      <c r="P13" s="145"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45" t="n"/>
      <c r="L14" s="145" t="n"/>
      <c r="M14" s="145" t="n"/>
      <c r="N14" s="145" t="n"/>
      <c r="O14" s="145" t="n"/>
      <c r="P14" s="145"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493" t="n"/>
      <c r="L15" s="493" t="n"/>
      <c r="M15" s="493" t="n"/>
      <c r="N15" s="493" t="n"/>
      <c r="O15" s="493" t="n"/>
      <c r="P15" s="493" t="n"/>
    </row>
    <row r="16">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493" t="n"/>
      <c r="L16" s="493" t="n"/>
      <c r="M16" s="493" t="n"/>
      <c r="N16" s="493" t="n"/>
      <c r="O16" s="493" t="n"/>
      <c r="P16" s="493" t="n"/>
    </row>
    <row r="17">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493" t="n"/>
      <c r="L17" s="493" t="n"/>
      <c r="M17" s="493" t="n"/>
      <c r="N17" s="493" t="n"/>
      <c r="O17" s="493" t="n"/>
      <c r="P17" s="493" t="n"/>
    </row>
    <row r="18">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493" t="n"/>
      <c r="L18" s="493" t="n"/>
      <c r="M18" s="493" t="n"/>
      <c r="N18" s="493" t="n"/>
      <c r="O18" s="493" t="n"/>
      <c r="P18" s="493"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493" t="n"/>
      <c r="L19" s="493" t="n"/>
      <c r="M19" s="493" t="n"/>
      <c r="N19" s="493" t="n"/>
      <c r="O19" s="493" t="n"/>
      <c r="P19" s="493" t="n"/>
    </row>
    <row r="20" ht="5.1" customHeight="1">
      <c r="B20" s="59" t="n"/>
      <c r="D20" s="1018" t="n"/>
      <c r="E20" s="1019" t="n"/>
      <c r="F20" s="348" t="n"/>
      <c r="G20" s="377" t="n"/>
      <c r="H20" s="378" t="n"/>
      <c r="I20" s="378" t="n"/>
      <c r="J20" s="145" t="n"/>
      <c r="K20" s="145" t="n"/>
      <c r="L20" s="145" t="n"/>
      <c r="M20" s="145" t="n"/>
      <c r="N20" s="145" t="n"/>
      <c r="O20" s="145" t="n"/>
      <c r="P20" s="145" t="n"/>
    </row>
    <row r="21" ht="15.75" customHeight="1">
      <c r="B21" s="342" t="inlineStr">
        <is>
          <t>Summary of Partnership-Level Returns</t>
        </is>
      </c>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D22" s="1018" t="n"/>
      <c r="E22" s="1019" t="n"/>
      <c r="F22" s="383" t="n"/>
      <c r="G22" s="384" t="n"/>
      <c r="H22" s="385" t="n"/>
      <c r="I22" s="385" t="n"/>
      <c r="J22" s="341" t="n"/>
      <c r="K22" s="341" t="n"/>
      <c r="L22" s="341" t="n"/>
      <c r="M22" s="341" t="n"/>
      <c r="N22" s="341" t="n"/>
      <c r="O22" s="341" t="n"/>
      <c r="P22" s="341" t="n"/>
    </row>
    <row r="23">
      <c r="B23" s="387" t="n"/>
      <c r="C23" s="388" t="inlineStr">
        <is>
          <t>Check</t>
        </is>
      </c>
      <c r="D23" s="1020" t="n"/>
      <c r="E23" s="1019" t="n"/>
      <c r="F23" s="346" t="n"/>
      <c r="G23" s="346" t="n"/>
      <c r="H23" s="346" t="n"/>
      <c r="I23" s="346" t="n"/>
      <c r="J23" s="1021" t="n"/>
      <c r="K23" s="1021" t="n"/>
      <c r="L23" s="1021" t="n"/>
      <c r="M23" s="1021" t="n"/>
      <c r="N23" s="1021" t="n"/>
      <c r="O23" s="1021" t="n"/>
      <c r="P23" s="1021" t="n"/>
    </row>
    <row r="24">
      <c r="B24" s="387" t="inlineStr">
        <is>
          <t>Preferred Return</t>
        </is>
      </c>
      <c r="C24" s="390">
        <f>IF(ROUND(D24,0)=ROUND(SUM(F24:P24),0),"OK","ERROR")</f>
        <v/>
      </c>
      <c r="D24" s="125">
        <f>(C13="IRR")*(SUM(F97:P97)-D25)+(C13="Equity Multiple")*(SUM(F205:P205)-D25)</f>
        <v/>
      </c>
      <c r="E24" s="1019"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1019"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1019"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1022" t="n"/>
      <c r="D27" s="389">
        <f>SUM(F27:P27)</f>
        <v/>
      </c>
      <c r="E27" s="1019"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1022" t="n"/>
      <c r="D28" s="389">
        <f>SUM(F28:P28)</f>
        <v/>
      </c>
      <c r="E28" s="1019"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1022" t="n"/>
      <c r="D29" s="389">
        <f>D27-D28</f>
        <v/>
      </c>
      <c r="E29" s="1019" t="n"/>
      <c r="F29" s="394" t="n"/>
      <c r="G29" s="346" t="n"/>
      <c r="H29" s="395" t="n"/>
      <c r="I29" s="395" t="n"/>
      <c r="J29" s="1023" t="n"/>
      <c r="K29" s="1023" t="n"/>
      <c r="L29" s="1023" t="n"/>
      <c r="M29" s="1023" t="n"/>
      <c r="N29" s="1023" t="n"/>
      <c r="O29" s="1023" t="n"/>
      <c r="P29" s="1023" t="n"/>
    </row>
    <row r="30">
      <c r="B30" s="396" t="inlineStr">
        <is>
          <t>LP IRR</t>
        </is>
      </c>
      <c r="C30" s="1024" t="n"/>
      <c r="D30" s="398">
        <f>IRR(F30:P30)</f>
        <v/>
      </c>
      <c r="E30" s="1019"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1024" t="n"/>
      <c r="D31" s="923">
        <f>D27/D28</f>
        <v/>
      </c>
      <c r="E31" s="1019"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1022" t="n"/>
      <c r="D32" s="1018" t="n"/>
      <c r="E32" s="1019" t="n"/>
      <c r="F32" s="394" t="n"/>
      <c r="G32" s="346" t="n"/>
      <c r="H32" s="395" t="n"/>
      <c r="I32" s="395" t="n"/>
      <c r="J32" s="1023" t="n"/>
      <c r="K32" s="1023" t="n"/>
      <c r="L32" s="1023" t="n"/>
      <c r="M32" s="1023" t="n"/>
      <c r="N32" s="1023" t="n"/>
      <c r="O32" s="1023" t="n"/>
      <c r="P32" s="1023" t="n"/>
    </row>
    <row r="33">
      <c r="B33" s="382" t="inlineStr">
        <is>
          <t>GP Returns</t>
        </is>
      </c>
      <c r="C33" s="1022" t="n"/>
      <c r="D33" s="1018" t="n"/>
      <c r="E33" s="1019" t="n"/>
      <c r="F33" s="394" t="n"/>
      <c r="G33" s="346" t="n"/>
      <c r="H33" s="395" t="n"/>
      <c r="I33" s="395" t="n"/>
      <c r="J33" s="1023" t="n"/>
      <c r="K33" s="1023" t="n"/>
      <c r="L33" s="1023" t="n"/>
      <c r="M33" s="1023" t="n"/>
      <c r="N33" s="1023" t="n"/>
      <c r="O33" s="1023" t="n"/>
      <c r="P33" s="1023" t="n"/>
    </row>
    <row r="34">
      <c r="B34" s="387" t="inlineStr">
        <is>
          <t>Preferred Return</t>
        </is>
      </c>
      <c r="C34" s="390">
        <f>IF(ROUND(D34,0)=ROUND(SUM(F34:P34),0),"OK","ERROR")</f>
        <v/>
      </c>
      <c r="D34" s="460">
        <f>(C13="IRR")*(SUM(F105:P105)-D35)+(C13="Equity Multiple")*(SUM(F213:P213)-D35)</f>
        <v/>
      </c>
      <c r="E34" s="1019"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1019"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1019"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1019"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1022" t="n"/>
      <c r="D38" s="346">
        <f>SUM(F38:P38)</f>
        <v/>
      </c>
      <c r="E38" s="1019"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1022" t="n"/>
      <c r="D39" s="346">
        <f>SUM(F39:P39)</f>
        <v/>
      </c>
      <c r="E39" s="1019"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1022" t="n"/>
      <c r="D40" s="346">
        <f>SUM(F40:P40)</f>
        <v/>
      </c>
      <c r="E40" s="1019"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1022" t="n"/>
      <c r="D41" s="346">
        <f>+D38+D39-D40</f>
        <v/>
      </c>
      <c r="E41" s="1019" t="n"/>
      <c r="F41" s="394" t="n"/>
      <c r="G41" s="346" t="n"/>
      <c r="H41" s="395" t="n"/>
      <c r="I41" s="395" t="n"/>
      <c r="J41" s="1023" t="n"/>
      <c r="K41" s="1023" t="n"/>
      <c r="L41" s="1023" t="n"/>
      <c r="M41" s="1023" t="n"/>
      <c r="N41" s="1023" t="n"/>
      <c r="O41" s="1023" t="n"/>
      <c r="P41" s="1023" t="n"/>
    </row>
    <row r="42">
      <c r="B42" s="387" t="inlineStr">
        <is>
          <t>GP IRR</t>
        </is>
      </c>
      <c r="C42" s="1022" t="n"/>
      <c r="D42" s="401">
        <f>IFERROR(IRR(F42:P42),"NA")</f>
        <v/>
      </c>
      <c r="E42" s="1019"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1022" t="n"/>
      <c r="D43" s="925">
        <f>IFERROR(D38/D40,"NA")</f>
        <v/>
      </c>
      <c r="E43" s="1019" t="n"/>
      <c r="F43" s="383" t="n"/>
      <c r="G43" s="384" t="n"/>
      <c r="H43" s="385" t="n"/>
      <c r="I43" s="385" t="n"/>
      <c r="J43" s="341" t="n"/>
      <c r="K43" s="341" t="n"/>
      <c r="L43" s="341" t="n"/>
      <c r="M43" s="341" t="n"/>
      <c r="N43" s="341" t="n"/>
      <c r="O43" s="341" t="n"/>
      <c r="P43" s="341" t="n"/>
    </row>
    <row r="44" ht="5.1" customHeight="1">
      <c r="B44" s="403" t="n"/>
      <c r="C44" s="994" t="n"/>
      <c r="D44" s="1025" t="n"/>
      <c r="F44" s="386" t="n"/>
      <c r="G44" s="386" t="n"/>
      <c r="H44" s="386" t="n"/>
      <c r="I44" s="386" t="n"/>
      <c r="J44" s="341" t="n"/>
      <c r="K44" s="341" t="n"/>
      <c r="L44" s="341" t="n"/>
      <c r="M44" s="341" t="n"/>
      <c r="N44" s="341" t="n"/>
      <c r="O44" s="341" t="n"/>
      <c r="P44" s="341" t="n"/>
    </row>
    <row r="45" ht="15.75" customHeight="1">
      <c r="B45" s="342" t="inlineStr">
        <is>
          <t>Property-Level Cash and GP Fees</t>
        </is>
      </c>
      <c r="E45" s="145"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E47" s="1026"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E48" s="1026"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E49" s="1026"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E50" s="1026" t="n"/>
      <c r="F50" s="410" t="n"/>
      <c r="G50" s="410" t="n"/>
      <c r="H50" s="410" t="n"/>
      <c r="I50" s="410" t="n"/>
      <c r="J50" s="410" t="n"/>
      <c r="K50" s="410" t="n"/>
      <c r="L50" s="410" t="n"/>
      <c r="M50" s="410" t="n"/>
      <c r="N50" s="410" t="n"/>
      <c r="O50" s="410" t="n"/>
      <c r="P50" s="410" t="n"/>
    </row>
    <row r="51">
      <c r="B51" s="125" t="inlineStr">
        <is>
          <t>Adjusted Net Property-Level Cash Flow</t>
        </is>
      </c>
      <c r="E51" s="1026"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F52" s="385">
        <f>IRR(F51:P51)</f>
        <v/>
      </c>
      <c r="G52" s="386" t="n"/>
      <c r="H52" s="386" t="n"/>
      <c r="I52" s="386" t="n"/>
      <c r="J52" s="341" t="n"/>
      <c r="K52" s="341" t="n"/>
      <c r="L52" s="341" t="n"/>
      <c r="M52" s="341" t="n"/>
      <c r="N52" s="341" t="n"/>
      <c r="O52" s="341" t="n"/>
      <c r="P52" s="341" t="n"/>
    </row>
    <row r="53">
      <c r="B53" s="59" t="inlineStr">
        <is>
          <t>Equity Multiple</t>
        </is>
      </c>
      <c r="F53" s="929">
        <f>SUMIF(F51:P51,"&gt;0")/-SUMIF(F51:P51,"&lt;0")</f>
        <v/>
      </c>
      <c r="G53" s="386" t="n"/>
      <c r="H53" s="386" t="n"/>
      <c r="I53" s="386" t="n"/>
      <c r="J53" s="341" t="n"/>
      <c r="K53" s="341" t="n"/>
      <c r="L53" s="341" t="n"/>
      <c r="M53" s="341" t="n"/>
      <c r="N53" s="341" t="n"/>
      <c r="O53" s="341" t="n"/>
      <c r="P53" s="341" t="n"/>
    </row>
    <row r="54" ht="5.1" customHeight="1">
      <c r="B54" s="59" t="n"/>
      <c r="E54" s="341" t="n"/>
      <c r="F54" s="414" t="n"/>
      <c r="G54" s="386" t="n"/>
      <c r="H54" s="386" t="n"/>
      <c r="I54" s="386" t="n"/>
      <c r="J54" s="341" t="n"/>
      <c r="K54" s="341" t="n"/>
      <c r="L54" s="341" t="n"/>
      <c r="M54" s="341" t="n"/>
      <c r="N54" s="341" t="n"/>
      <c r="O54" s="341" t="n"/>
      <c r="P54" s="341" t="n"/>
    </row>
    <row r="55"/>
    <row r="56" outlineLevel="1" ht="18.75" customHeight="1">
      <c r="B56" s="415" t="inlineStr">
        <is>
          <t>PARTNERSHIP LEVEL RETURNS - IRR EQUITY WATERFALL</t>
        </is>
      </c>
      <c r="C56" s="991" t="n"/>
      <c r="D56" s="991" t="n"/>
      <c r="E56" s="991" t="n"/>
      <c r="F56" s="417" t="n"/>
      <c r="G56" s="417" t="n"/>
      <c r="H56" s="417" t="n"/>
      <c r="I56" s="417" t="n"/>
      <c r="J56" s="338" t="n"/>
      <c r="K56" s="338" t="n"/>
      <c r="L56" s="338" t="n"/>
      <c r="M56" s="338" t="n"/>
      <c r="N56" s="338" t="n"/>
      <c r="O56" s="338" t="n"/>
      <c r="P56" s="338" t="n"/>
    </row>
    <row r="57" outlineLevel="1" ht="15" customHeight="1">
      <c r="B57" s="203" t="n"/>
      <c r="C57" s="145" t="n"/>
      <c r="D57" s="634">
        <f>$D$4</f>
        <v/>
      </c>
      <c r="E57" s="145" t="n"/>
      <c r="F57" s="203" t="n"/>
      <c r="G57" s="203" t="n"/>
      <c r="H57" s="203" t="n"/>
      <c r="I57" s="203" t="n"/>
      <c r="J57" s="145" t="n"/>
      <c r="K57" s="145" t="n"/>
      <c r="L57" s="145" t="n"/>
      <c r="M57" s="145" t="n"/>
      <c r="N57" s="145" t="n"/>
      <c r="O57" s="145" t="n"/>
      <c r="P57" s="145" t="n"/>
    </row>
    <row r="58" outlineLevel="1">
      <c r="B58" s="418" t="n"/>
      <c r="D58" s="341" t="n"/>
      <c r="F58" s="797" t="inlineStr">
        <is>
          <t>Promote Structure Incentive Breakdown</t>
        </is>
      </c>
      <c r="H58" s="798" t="inlineStr">
        <is>
          <t>Distribution as %</t>
        </is>
      </c>
      <c r="J58" s="145" t="n"/>
      <c r="K58" s="145" t="n"/>
      <c r="L58" s="145" t="n"/>
      <c r="M58" s="145" t="n"/>
      <c r="N58" s="145" t="n"/>
      <c r="O58" s="145" t="n"/>
      <c r="P58" s="145" t="n"/>
    </row>
    <row r="59" outlineLevel="1" ht="15.75" customHeight="1">
      <c r="B59" s="421">
        <f>IF(D57="Equity Multiple","Partnership Distribution Assumptions (Equity Multiple Hurdles)","Partnership Distribution Assumptions (IRR Hurdles)")</f>
        <v/>
      </c>
      <c r="D59" s="341" t="n"/>
      <c r="H59" s="422" t="inlineStr">
        <is>
          <t>GP %</t>
        </is>
      </c>
      <c r="I59" s="423" t="inlineStr">
        <is>
          <t>LP %</t>
        </is>
      </c>
      <c r="J59" s="423" t="inlineStr">
        <is>
          <t>Notes</t>
        </is>
      </c>
      <c r="K59" s="145" t="n"/>
      <c r="L59" s="145" t="n"/>
      <c r="M59" s="145" t="n"/>
      <c r="N59" s="145" t="n"/>
      <c r="O59" s="145" t="n"/>
      <c r="P59" s="145" t="n"/>
    </row>
    <row r="60" outlineLevel="1">
      <c r="B60" s="59">
        <f>B15</f>
        <v/>
      </c>
      <c r="C60" s="1027" t="n"/>
      <c r="D60" s="1028"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493" t="n"/>
      <c r="L60" s="493" t="n"/>
      <c r="M60" s="493" t="n"/>
      <c r="N60" s="493" t="n"/>
      <c r="O60" s="493" t="n"/>
      <c r="P60" s="493"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493" t="n"/>
      <c r="L61" s="493" t="n"/>
      <c r="M61" s="493" t="n"/>
      <c r="N61" s="493" t="n"/>
      <c r="O61" s="493" t="n"/>
      <c r="P61" s="493"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493" t="n"/>
      <c r="L62" s="493" t="n"/>
      <c r="M62" s="493" t="n"/>
      <c r="N62" s="493" t="n"/>
      <c r="O62" s="493" t="n"/>
      <c r="P62" s="493"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029" t="n"/>
      <c r="L63" s="1029" t="n"/>
      <c r="M63" s="1029" t="n"/>
      <c r="N63" s="1029" t="n"/>
      <c r="O63" s="1029" t="n"/>
      <c r="P63" s="1029" t="n"/>
    </row>
    <row r="64" outlineLevel="1">
      <c r="B64" s="59">
        <f>B19</f>
        <v/>
      </c>
      <c r="C64" s="915" t="n"/>
      <c r="D64" s="931">
        <f>D19</f>
        <v/>
      </c>
      <c r="E64" s="1019" t="n"/>
      <c r="F64" s="930">
        <f>F19</f>
        <v/>
      </c>
      <c r="G64" s="908" t="n"/>
      <c r="H64" s="918">
        <f>H19</f>
        <v/>
      </c>
      <c r="I64" s="908">
        <f>1-H64</f>
        <v/>
      </c>
      <c r="J64" s="371">
        <f>TEXT(I63,"0.0%")&amp;"/"&amp;TEXT(H63,"0.0%")&amp;" to "&amp;(IF(D59="IRR",TEXT(E63,"0.0%"),TEXT(E63,"0.0X")))&amp;", then "&amp;TEXT(I64,"0.0%")&amp;"/"&amp;TEXT(H64,"0.0%")&amp;" to "&amp;(IF(D59="IRR",TEXT(E64,"0.0%"),TEXT(E64,"0.0X")))</f>
        <v/>
      </c>
      <c r="K64" s="493" t="n"/>
      <c r="L64" s="493" t="n"/>
      <c r="M64" s="493" t="n"/>
      <c r="N64" s="493" t="n"/>
      <c r="O64" s="493" t="n"/>
      <c r="P64" s="493" t="n"/>
    </row>
    <row r="65" outlineLevel="1">
      <c r="B65" s="59" t="n"/>
      <c r="D65" s="1018" t="n"/>
      <c r="E65" s="1019" t="n"/>
      <c r="F65" s="348" t="n"/>
      <c r="G65" s="377" t="n"/>
      <c r="H65" s="378" t="n"/>
      <c r="I65" s="378" t="n"/>
      <c r="J65" s="145" t="n"/>
      <c r="K65" s="145" t="n"/>
      <c r="L65" s="145" t="n"/>
      <c r="M65" s="145" t="n"/>
      <c r="N65" s="145" t="n"/>
      <c r="O65" s="145" t="n"/>
      <c r="P65" s="145" t="n"/>
    </row>
    <row r="66" outlineLevel="1" ht="15.75" customHeight="1">
      <c r="B66" s="421" t="inlineStr">
        <is>
          <t>Summary of Partnership-Level Returns</t>
        </is>
      </c>
      <c r="D66" s="1018" t="n"/>
      <c r="E66" s="1019"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D67" s="1018" t="n"/>
      <c r="E67" s="1019" t="n"/>
      <c r="F67" s="383" t="n"/>
      <c r="G67" s="384" t="n"/>
      <c r="H67" s="385" t="n"/>
      <c r="I67" s="385" t="n"/>
      <c r="J67" s="341" t="n"/>
      <c r="K67" s="341" t="n"/>
      <c r="L67" s="341" t="n"/>
      <c r="M67" s="341" t="n"/>
      <c r="N67" s="341" t="n"/>
      <c r="O67" s="341" t="n"/>
      <c r="P67" s="341" t="n"/>
    </row>
    <row r="68" outlineLevel="1">
      <c r="B68" s="387" t="inlineStr">
        <is>
          <t>Total LP Distributions</t>
        </is>
      </c>
      <c r="D68" s="389">
        <f>SUM(F68:P68)</f>
        <v/>
      </c>
      <c r="E68" s="1019"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D69" s="389">
        <f>SUM(F69:P69)</f>
        <v/>
      </c>
      <c r="E69" s="1019"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D70" s="389">
        <f>D68-D69</f>
        <v/>
      </c>
      <c r="E70" s="1019" t="n"/>
      <c r="F70" s="394" t="n"/>
      <c r="G70" s="346" t="n"/>
      <c r="H70" s="395" t="n"/>
      <c r="I70" s="395" t="n"/>
      <c r="J70" s="1023" t="n"/>
      <c r="K70" s="1023" t="n"/>
      <c r="L70" s="1023" t="n"/>
      <c r="M70" s="1023" t="n"/>
      <c r="N70" s="1023" t="n"/>
      <c r="O70" s="1023" t="n"/>
      <c r="P70" s="1023" t="n"/>
    </row>
    <row r="71" outlineLevel="1">
      <c r="B71" s="387" t="inlineStr">
        <is>
          <t>LP IRR</t>
        </is>
      </c>
      <c r="D71" s="430">
        <f>IRR(F71:P71)</f>
        <v/>
      </c>
      <c r="E71" s="1019"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D72" s="935">
        <f>D68/D69</f>
        <v/>
      </c>
      <c r="E72" s="1019" t="n"/>
      <c r="F72" s="394" t="n"/>
      <c r="G72" s="346" t="n"/>
      <c r="H72" s="395" t="n"/>
      <c r="I72" s="395" t="n"/>
      <c r="J72" s="1023" t="n"/>
      <c r="K72" s="1023" t="n"/>
      <c r="L72" s="1023" t="n"/>
      <c r="M72" s="1023" t="n"/>
      <c r="N72" s="1023" t="n"/>
      <c r="O72" s="1023" t="n"/>
      <c r="P72" s="1023" t="n"/>
    </row>
    <row r="73" outlineLevel="1">
      <c r="B73" s="387" t="n"/>
      <c r="D73" s="1018" t="n"/>
      <c r="E73" s="1019" t="n"/>
      <c r="F73" s="394" t="n"/>
      <c r="G73" s="346" t="n"/>
      <c r="H73" s="395" t="n"/>
      <c r="I73" s="395" t="n"/>
      <c r="J73" s="1023" t="n"/>
      <c r="K73" s="1023" t="n"/>
      <c r="L73" s="1023" t="n"/>
      <c r="M73" s="1023" t="n"/>
      <c r="N73" s="1023" t="n"/>
      <c r="O73" s="1023" t="n"/>
      <c r="P73" s="1023" t="n"/>
    </row>
    <row r="74" outlineLevel="1">
      <c r="B74" s="382" t="inlineStr">
        <is>
          <t>GP Returns</t>
        </is>
      </c>
      <c r="D74" s="1018" t="n"/>
      <c r="E74" s="1019" t="n"/>
      <c r="F74" s="394" t="n"/>
      <c r="G74" s="346" t="n"/>
      <c r="H74" s="395" t="n"/>
      <c r="I74" s="395" t="n"/>
      <c r="J74" s="1023" t="n"/>
      <c r="K74" s="1023" t="n"/>
      <c r="L74" s="1023" t="n"/>
      <c r="M74" s="1023" t="n"/>
      <c r="N74" s="1023" t="n"/>
      <c r="O74" s="1023" t="n"/>
      <c r="P74" s="1023" t="n"/>
    </row>
    <row r="75" outlineLevel="1">
      <c r="B75" s="387" t="inlineStr">
        <is>
          <t>Total GP Distributions</t>
        </is>
      </c>
      <c r="D75" s="346">
        <f>SUM(F75:P75)</f>
        <v/>
      </c>
      <c r="E75" s="1019"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D76" s="346">
        <f>SUM(F76:P76)</f>
        <v/>
      </c>
      <c r="E76" s="1019"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D77" s="346">
        <f>SUM(F77:P77)</f>
        <v/>
      </c>
      <c r="E77" s="1019"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D78" s="346">
        <f>+D75+D76-D77</f>
        <v/>
      </c>
      <c r="E78" s="1019" t="n"/>
      <c r="F78" s="394" t="n"/>
      <c r="G78" s="346" t="n"/>
      <c r="H78" s="395" t="n"/>
      <c r="I78" s="395" t="n"/>
      <c r="J78" s="1023" t="n"/>
      <c r="K78" s="1023" t="n"/>
      <c r="L78" s="1023" t="n"/>
      <c r="M78" s="1023" t="n"/>
      <c r="N78" s="1023" t="n"/>
      <c r="O78" s="1023" t="n"/>
      <c r="P78" s="1023" t="n"/>
    </row>
    <row r="79" outlineLevel="1">
      <c r="B79" s="387" t="inlineStr">
        <is>
          <t>GP IRR</t>
        </is>
      </c>
      <c r="D79" s="401">
        <f>IFERROR(IRR(F79:P79),"NA")</f>
        <v/>
      </c>
      <c r="E79" s="1019"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D80" s="925">
        <f>IFERROR(D75/D77,"NA")</f>
        <v/>
      </c>
      <c r="E80" s="1019" t="n"/>
      <c r="F80" s="383" t="n"/>
      <c r="G80" s="384" t="n"/>
      <c r="H80" s="385" t="n"/>
      <c r="I80" s="385" t="n"/>
      <c r="J80" s="341" t="n"/>
      <c r="K80" s="341" t="n"/>
      <c r="L80" s="341" t="n"/>
      <c r="M80" s="341" t="n"/>
      <c r="N80" s="341" t="n"/>
      <c r="O80" s="341" t="n"/>
      <c r="P80" s="341" t="n"/>
    </row>
    <row r="81" outlineLevel="1">
      <c r="B81" s="403" t="n"/>
      <c r="C81" s="994" t="n"/>
      <c r="D81" s="1025" t="n"/>
      <c r="F81" s="386" t="n"/>
      <c r="G81" s="386" t="n"/>
      <c r="H81" s="386" t="n"/>
      <c r="I81" s="386" t="n"/>
      <c r="J81" s="341" t="n"/>
      <c r="K81" s="341" t="n"/>
      <c r="L81" s="341" t="n"/>
      <c r="M81" s="341" t="n"/>
      <c r="N81" s="341" t="n"/>
      <c r="O81" s="341" t="n"/>
      <c r="P81" s="341" t="n"/>
    </row>
    <row r="82" outlineLevel="1" ht="15.75" customHeight="1">
      <c r="B82" s="421" t="inlineStr">
        <is>
          <t>Property-Level Cash and GP Fees</t>
        </is>
      </c>
      <c r="E82" s="145"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E84" s="1026"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E85" s="1026"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E86" s="1026"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E87" s="1026"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F88" s="385">
        <f>IRR(F87:M87)</f>
        <v/>
      </c>
      <c r="G88" s="386" t="n"/>
      <c r="H88" s="386" t="n"/>
      <c r="I88" s="386" t="n"/>
      <c r="J88" s="341" t="n"/>
      <c r="K88" s="341" t="n"/>
      <c r="L88" s="341" t="n"/>
      <c r="M88" s="341" t="n"/>
      <c r="N88" s="341" t="n"/>
      <c r="O88" s="341" t="n"/>
      <c r="P88" s="341" t="n"/>
    </row>
    <row r="89" outlineLevel="1">
      <c r="B89" s="59" t="inlineStr">
        <is>
          <t>Equity Multiple</t>
        </is>
      </c>
      <c r="F89" s="929">
        <f>SUMIF(F87:M87,"&gt;0")/-SUMIF(F87:M87,"&lt;0")</f>
        <v/>
      </c>
      <c r="G89" s="386" t="n"/>
      <c r="H89" s="386" t="n"/>
      <c r="I89" s="386" t="n"/>
      <c r="J89" s="341" t="n"/>
      <c r="K89" s="341" t="n"/>
      <c r="L89" s="341" t="n"/>
      <c r="M89" s="341" t="n"/>
      <c r="N89" s="341" t="n"/>
      <c r="O89" s="341" t="n"/>
      <c r="P89" s="341" t="n"/>
    </row>
    <row r="90" outlineLevel="1">
      <c r="B90" s="59" t="n"/>
      <c r="E90" s="341" t="n"/>
      <c r="F90" s="414" t="n"/>
      <c r="G90" s="386" t="n"/>
      <c r="H90" s="386" t="n"/>
      <c r="I90" s="386" t="n"/>
      <c r="J90" s="341" t="n"/>
      <c r="K90" s="341" t="n"/>
      <c r="L90" s="341" t="n"/>
      <c r="M90" s="341" t="n"/>
      <c r="N90" s="341" t="n"/>
      <c r="O90" s="341" t="n"/>
      <c r="P90" s="341" t="n"/>
    </row>
    <row r="91" outlineLevel="1" ht="15.75" customHeight="1">
      <c r="B91" s="421" t="inlineStr">
        <is>
          <t>Tier 1 - Preferred Return + Return of Capital</t>
        </is>
      </c>
      <c r="F91" s="419" t="n"/>
      <c r="G91" s="436" t="n"/>
      <c r="H91" s="419" t="n"/>
      <c r="I91" s="419" t="n"/>
      <c r="J91" s="341" t="n"/>
      <c r="K91" s="341" t="n"/>
      <c r="L91" s="341" t="n"/>
      <c r="M91" s="341" t="n"/>
      <c r="N91" s="341" t="n"/>
      <c r="O91" s="341" t="n"/>
      <c r="P91" s="341" t="n"/>
    </row>
    <row r="92" outlineLevel="1">
      <c r="B92" s="437" t="inlineStr">
        <is>
          <t>Return Threshold - Up to:</t>
        </is>
      </c>
      <c r="C92" s="938">
        <f>E60</f>
        <v/>
      </c>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F101" s="395" t="n"/>
      <c r="G101" s="395" t="n"/>
      <c r="H101" s="395" t="n"/>
      <c r="I101" s="395" t="n"/>
      <c r="J101" s="1023" t="n"/>
      <c r="K101" s="1023" t="n"/>
      <c r="L101" s="1023" t="n"/>
      <c r="M101" s="1023" t="n"/>
      <c r="N101" s="1023" t="n"/>
      <c r="O101" s="1023" t="n"/>
      <c r="P101" s="1023" t="n"/>
    </row>
    <row r="102" outlineLevel="1">
      <c r="B102" s="59" t="inlineStr">
        <is>
          <t>Beginning Balance (GP Capital Account)</t>
        </is>
      </c>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F108" s="395" t="n"/>
      <c r="G108" s="346" t="n"/>
      <c r="H108" s="346" t="n"/>
      <c r="I108" s="346" t="n"/>
      <c r="J108" s="1021" t="n"/>
      <c r="K108" s="1021" t="n"/>
      <c r="L108" s="1021" t="n"/>
      <c r="M108" s="1021" t="n"/>
      <c r="N108" s="1021" t="n"/>
      <c r="O108" s="1021" t="n"/>
      <c r="P108" s="1021" t="n"/>
    </row>
    <row r="109" outlineLevel="1">
      <c r="B109" s="59">
        <f>"Total Distributions ("&amp;B91&amp;")"</f>
        <v/>
      </c>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F111" s="386" t="n"/>
      <c r="G111" s="386" t="n"/>
      <c r="H111" s="386" t="n"/>
      <c r="I111" s="386" t="n"/>
      <c r="J111" s="341" t="n"/>
      <c r="K111" s="341" t="n"/>
      <c r="L111" s="341" t="n"/>
      <c r="M111" s="341" t="n"/>
      <c r="N111" s="341" t="n"/>
      <c r="O111" s="341" t="n"/>
      <c r="P111" s="341" t="n"/>
    </row>
    <row r="112" outlineLevel="1" ht="15.75" customHeight="1">
      <c r="B112" s="421" t="inlineStr">
        <is>
          <t>Tier 2</t>
        </is>
      </c>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F113" s="386" t="n"/>
      <c r="G113" s="940" t="n"/>
      <c r="H113" s="940" t="n"/>
      <c r="I113" s="940" t="n"/>
      <c r="J113" s="1030" t="n"/>
      <c r="K113" s="1030" t="n"/>
      <c r="L113" s="1030" t="n"/>
      <c r="M113" s="1030" t="n"/>
      <c r="N113" s="1030" t="n"/>
      <c r="O113" s="1030" t="n"/>
      <c r="P113" s="1030" t="n"/>
    </row>
    <row r="114" outlineLevel="1">
      <c r="B114" s="59" t="inlineStr">
        <is>
          <t>Beginning Balance (LP Capital Account)</t>
        </is>
      </c>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991" t="n"/>
      <c r="D121" s="991" t="n"/>
      <c r="E121" s="991" t="n"/>
      <c r="F121" s="446" t="n"/>
      <c r="G121" s="446" t="n"/>
      <c r="H121" s="446" t="n"/>
      <c r="I121" s="446" t="n"/>
      <c r="J121" s="1031" t="n"/>
      <c r="K121" s="1031" t="n"/>
      <c r="L121" s="1031" t="n"/>
      <c r="M121" s="1031" t="n"/>
      <c r="N121" s="1031" t="n"/>
      <c r="O121" s="1031" t="n"/>
      <c r="P121" s="1031" t="n"/>
    </row>
    <row r="122" outlineLevel="1">
      <c r="B122" s="59" t="inlineStr">
        <is>
          <t>Distribution to LP</t>
        </is>
      </c>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F126" s="386" t="n"/>
      <c r="G126" s="386" t="n"/>
      <c r="H126" s="386" t="n"/>
      <c r="I126" s="386" t="n"/>
      <c r="J126" s="341" t="n"/>
      <c r="K126" s="341" t="n"/>
      <c r="L126" s="341" t="n"/>
      <c r="M126" s="341" t="n"/>
      <c r="N126" s="341" t="n"/>
      <c r="O126" s="341" t="n"/>
      <c r="P126" s="341" t="n"/>
    </row>
    <row r="127" outlineLevel="1" ht="15.75" customHeight="1">
      <c r="B127" s="421" t="inlineStr">
        <is>
          <t>Tier 3</t>
        </is>
      </c>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F128" s="386" t="n"/>
      <c r="G128" s="940" t="n"/>
      <c r="H128" s="940" t="n"/>
      <c r="I128" s="940" t="n"/>
      <c r="J128" s="1030" t="n"/>
      <c r="K128" s="1030" t="n"/>
      <c r="L128" s="1030" t="n"/>
      <c r="M128" s="1030" t="n"/>
      <c r="N128" s="1030" t="n"/>
      <c r="O128" s="1030" t="n"/>
      <c r="P128" s="1030" t="n"/>
    </row>
    <row r="129" outlineLevel="1">
      <c r="B129" s="59" t="inlineStr">
        <is>
          <t>Beginning Balance (LP Capital Account)</t>
        </is>
      </c>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991" t="n"/>
      <c r="D136" s="991" t="n"/>
      <c r="E136" s="991" t="n"/>
      <c r="F136" s="446" t="n"/>
      <c r="G136" s="446" t="n"/>
      <c r="H136" s="446" t="n"/>
      <c r="I136" s="446" t="n"/>
      <c r="J136" s="1031" t="n"/>
      <c r="K136" s="1031" t="n"/>
      <c r="L136" s="1031" t="n"/>
      <c r="M136" s="1031" t="n"/>
      <c r="N136" s="1031" t="n"/>
      <c r="O136" s="1031" t="n"/>
      <c r="P136" s="1031" t="n"/>
    </row>
    <row r="137" outlineLevel="1">
      <c r="B137" s="59" t="inlineStr">
        <is>
          <t>Distribution to LP</t>
        </is>
      </c>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F141" s="386" t="n"/>
      <c r="G141" s="386" t="n"/>
      <c r="H141" s="386" t="n"/>
      <c r="I141" s="386" t="n"/>
      <c r="J141" s="341" t="n"/>
      <c r="K141" s="341" t="n"/>
      <c r="L141" s="341" t="n"/>
      <c r="M141" s="341" t="n"/>
      <c r="N141" s="341" t="n"/>
      <c r="O141" s="341" t="n"/>
      <c r="P141" s="341" t="n"/>
    </row>
    <row r="142" outlineLevel="1" ht="15.75" customHeight="1">
      <c r="B142" s="421" t="inlineStr">
        <is>
          <t>Tier 4</t>
        </is>
      </c>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F143" s="386" t="n"/>
      <c r="G143" s="940" t="n"/>
      <c r="H143" s="940" t="n"/>
      <c r="I143" s="940" t="n"/>
      <c r="J143" s="1030" t="n"/>
      <c r="K143" s="1030" t="n"/>
      <c r="L143" s="1030" t="n"/>
      <c r="M143" s="1030" t="n"/>
      <c r="N143" s="1030" t="n"/>
      <c r="O143" s="1030" t="n"/>
      <c r="P143" s="1030" t="n"/>
    </row>
    <row r="144" outlineLevel="1">
      <c r="B144" s="59" t="inlineStr">
        <is>
          <t>Beginning Balance (LP Capital Account)</t>
        </is>
      </c>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991" t="n"/>
      <c r="D151" s="991" t="n"/>
      <c r="E151" s="991" t="n"/>
      <c r="F151" s="446" t="n"/>
      <c r="G151" s="446" t="n"/>
      <c r="H151" s="446" t="n"/>
      <c r="I151" s="446" t="n"/>
      <c r="J151" s="1031" t="n"/>
      <c r="K151" s="1031" t="n"/>
      <c r="L151" s="1031" t="n"/>
      <c r="M151" s="1031" t="n"/>
      <c r="N151" s="1031" t="n"/>
      <c r="O151" s="1031" t="n"/>
      <c r="P151" s="1031" t="n"/>
    </row>
    <row r="152" outlineLevel="1">
      <c r="B152" s="59" t="inlineStr">
        <is>
          <t>Distribution to LP</t>
        </is>
      </c>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F156" s="386" t="n"/>
      <c r="G156" s="386" t="n"/>
      <c r="H156" s="386" t="n"/>
      <c r="I156" s="386" t="n"/>
      <c r="J156" s="341" t="n"/>
      <c r="K156" s="341" t="n"/>
      <c r="L156" s="341" t="n"/>
      <c r="M156" s="341" t="n"/>
      <c r="N156" s="341" t="n"/>
      <c r="O156" s="341" t="n"/>
      <c r="P156" s="341" t="n"/>
    </row>
    <row r="157" outlineLevel="1" ht="15.75" customHeight="1">
      <c r="B157" s="421" t="inlineStr">
        <is>
          <t>Tier 5</t>
        </is>
      </c>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F158" s="386" t="n"/>
      <c r="G158" s="940" t="n"/>
      <c r="H158" s="940" t="n"/>
      <c r="I158" s="940" t="n"/>
      <c r="J158" s="1030" t="n"/>
      <c r="K158" s="1030" t="n"/>
      <c r="L158" s="1030" t="n"/>
      <c r="M158" s="1030" t="n"/>
      <c r="N158" s="1030" t="n"/>
      <c r="O158" s="1030" t="n"/>
      <c r="P158" s="1030" t="n"/>
    </row>
    <row r="159" outlineLevel="1">
      <c r="B159" s="59" t="inlineStr">
        <is>
          <t>Distribution to LP</t>
        </is>
      </c>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991" t="n"/>
      <c r="D164" s="991" t="n"/>
      <c r="E164" s="991" t="n"/>
      <c r="F164" s="417" t="n"/>
      <c r="G164" s="417" t="n"/>
      <c r="H164" s="417" t="n"/>
      <c r="I164" s="417" t="n"/>
      <c r="J164" s="338" t="n"/>
      <c r="K164" s="338" t="n"/>
      <c r="L164" s="338" t="n"/>
      <c r="M164" s="338" t="n"/>
      <c r="N164" s="338" t="n"/>
      <c r="O164" s="338" t="n"/>
      <c r="P164" s="338" t="n"/>
    </row>
    <row r="165" outlineLevel="1" ht="5.1" customHeight="1">
      <c r="B165" s="203" t="n"/>
      <c r="C165" s="145" t="n"/>
      <c r="D165" s="335" t="inlineStr">
        <is>
          <t>Equity Multiple</t>
        </is>
      </c>
      <c r="E165" s="145" t="n"/>
      <c r="F165" s="203" t="n"/>
      <c r="G165" s="203" t="n"/>
      <c r="H165" s="203" t="n"/>
      <c r="I165" s="203" t="n"/>
      <c r="J165" s="145" t="n"/>
      <c r="K165" s="145" t="n"/>
      <c r="L165" s="145" t="n"/>
      <c r="M165" s="145" t="n"/>
      <c r="N165" s="145" t="n"/>
      <c r="O165" s="145" t="n"/>
      <c r="P165" s="145" t="n"/>
    </row>
    <row r="166" outlineLevel="1">
      <c r="B166" s="418" t="n"/>
      <c r="D166" s="341" t="n"/>
      <c r="F166" s="797" t="inlineStr">
        <is>
          <t>Promote Structure Incentive Breakdown</t>
        </is>
      </c>
      <c r="H166" s="798" t="inlineStr">
        <is>
          <t>Distribution as %</t>
        </is>
      </c>
      <c r="J166" s="145" t="n"/>
      <c r="K166" s="145" t="n"/>
      <c r="L166" s="145" t="n"/>
      <c r="M166" s="145" t="n"/>
      <c r="N166" s="145" t="n"/>
      <c r="O166" s="145" t="n"/>
      <c r="P166" s="145" t="n"/>
    </row>
    <row r="167" outlineLevel="1" ht="15.75" customHeight="1">
      <c r="B167" s="421">
        <f>IF(D165="Equity Multiple","Partnership Distribution Assumptions (Equity Multiple Hurdles)","Partnership Distribution Assumptions (IRR Hurdles)")</f>
        <v/>
      </c>
      <c r="D167" s="341" t="n"/>
      <c r="H167" s="422" t="inlineStr">
        <is>
          <t>GP %</t>
        </is>
      </c>
      <c r="I167" s="423" t="inlineStr">
        <is>
          <t>LP %</t>
        </is>
      </c>
      <c r="J167" s="423" t="inlineStr">
        <is>
          <t>Notes</t>
        </is>
      </c>
      <c r="K167" s="145" t="n"/>
      <c r="L167" s="145" t="n"/>
      <c r="M167" s="145" t="n"/>
      <c r="N167" s="145" t="n"/>
      <c r="O167" s="145" t="n"/>
      <c r="P167" s="145" t="n"/>
    </row>
    <row r="168" outlineLevel="1">
      <c r="B168" s="59">
        <f>B15</f>
        <v/>
      </c>
      <c r="C168" s="365" t="inlineStr">
        <is>
          <t>Equity Multiple</t>
        </is>
      </c>
      <c r="D168" s="1028"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493" t="n"/>
      <c r="L168" s="493" t="n"/>
      <c r="M168" s="493" t="n"/>
      <c r="N168" s="493" t="n"/>
      <c r="O168" s="493" t="n"/>
      <c r="P168" s="493"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493" t="n"/>
      <c r="L169" s="493" t="n"/>
      <c r="M169" s="493" t="n"/>
      <c r="N169" s="493" t="n"/>
      <c r="O169" s="493" t="n"/>
      <c r="P169" s="493"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493" t="n"/>
      <c r="L170" s="493" t="n"/>
      <c r="M170" s="493" t="n"/>
      <c r="N170" s="493" t="n"/>
      <c r="O170" s="493" t="n"/>
      <c r="P170" s="493"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029" t="n"/>
      <c r="L171" s="1029" t="n"/>
      <c r="M171" s="1029" t="n"/>
      <c r="N171" s="1029" t="n"/>
      <c r="O171" s="1029" t="n"/>
      <c r="P171" s="1029" t="n"/>
    </row>
    <row r="172" outlineLevel="1">
      <c r="B172" s="59">
        <f>B19</f>
        <v/>
      </c>
      <c r="C172" s="943">
        <f>C19</f>
        <v/>
      </c>
      <c r="D172" s="916" t="n"/>
      <c r="E172" s="1019" t="n"/>
      <c r="F172" s="914" t="n"/>
      <c r="G172" s="908" t="n"/>
      <c r="H172" s="930">
        <f>IF(H19="","",H19)</f>
        <v/>
      </c>
      <c r="I172" s="908">
        <f>1-H172</f>
        <v/>
      </c>
      <c r="J172" s="371">
        <f>TEXT(I171,"0.0%")&amp;"/"&amp;TEXT(H171,"0.0%")&amp;" to "&amp;(IF(D167="IRR",TEXT(E171,"0.0%"),TEXT(E171,"0.0X")))&amp;", then "&amp;TEXT(I172,"0.0%")&amp;"/"&amp;TEXT(H172,"0.0%")&amp;" to "&amp;(IF(D167="IRR",TEXT(E172,"0.0%"),TEXT(E172,"0.0X")))</f>
        <v/>
      </c>
      <c r="K172" s="493" t="n"/>
      <c r="L172" s="493" t="n"/>
      <c r="M172" s="493" t="n"/>
      <c r="N172" s="493" t="n"/>
      <c r="O172" s="493" t="n"/>
      <c r="P172" s="493" t="n"/>
    </row>
    <row r="173" outlineLevel="1">
      <c r="B173" s="59" t="n"/>
      <c r="D173" s="1018" t="n"/>
      <c r="E173" s="1019" t="n"/>
      <c r="F173" s="348" t="n"/>
      <c r="G173" s="377" t="n"/>
      <c r="H173" s="378" t="n"/>
      <c r="I173" s="378" t="n"/>
      <c r="J173" s="145" t="n"/>
      <c r="K173" s="145" t="n"/>
      <c r="L173" s="145" t="n"/>
      <c r="M173" s="145" t="n"/>
      <c r="N173" s="145" t="n"/>
      <c r="O173" s="145" t="n"/>
      <c r="P173" s="145" t="n"/>
    </row>
    <row r="174" outlineLevel="1" ht="15.75" customHeight="1">
      <c r="B174" s="421" t="inlineStr">
        <is>
          <t>Summary of Partnership-Level Returns</t>
        </is>
      </c>
      <c r="D174" s="1018" t="n"/>
      <c r="E174" s="1019"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D175" s="1018" t="n"/>
      <c r="E175" s="1019" t="n"/>
      <c r="F175" s="383" t="n"/>
      <c r="G175" s="384" t="n"/>
      <c r="H175" s="385" t="n"/>
      <c r="I175" s="385" t="n"/>
      <c r="J175" s="386" t="n"/>
      <c r="K175" s="386" t="n"/>
      <c r="L175" s="386" t="n"/>
      <c r="M175" s="386" t="n"/>
      <c r="N175" s="386" t="n"/>
      <c r="O175" s="386" t="n"/>
      <c r="P175" s="386" t="n"/>
    </row>
    <row r="176" outlineLevel="1">
      <c r="B176" s="387" t="inlineStr">
        <is>
          <t>Total LP Distributions</t>
        </is>
      </c>
      <c r="D176" s="389">
        <f>SUM(F176:P176)</f>
        <v/>
      </c>
      <c r="E176" s="1019"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D177" s="389">
        <f>SUM(F177:P177)</f>
        <v/>
      </c>
      <c r="E177" s="1019"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D178" s="389">
        <f>D176-D177</f>
        <v/>
      </c>
      <c r="E178" s="1019" t="n"/>
      <c r="F178" s="394" t="n"/>
      <c r="G178" s="346" t="n"/>
      <c r="H178" s="395" t="n"/>
      <c r="I178" s="395" t="n"/>
      <c r="J178" s="395" t="n"/>
      <c r="K178" s="395" t="n"/>
      <c r="L178" s="395" t="n"/>
      <c r="M178" s="395" t="n"/>
      <c r="N178" s="395" t="n"/>
      <c r="O178" s="395" t="n"/>
      <c r="P178" s="395" t="n"/>
    </row>
    <row r="179" outlineLevel="1">
      <c r="B179" s="387" t="inlineStr">
        <is>
          <t>LP IRR</t>
        </is>
      </c>
      <c r="D179" s="430">
        <f>IRR(F179:P179)</f>
        <v/>
      </c>
      <c r="E179" s="1019"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D180" s="935">
        <f>D176/D177</f>
        <v/>
      </c>
      <c r="E180" s="1019" t="n"/>
      <c r="F180" s="394" t="n"/>
      <c r="G180" s="346" t="n"/>
      <c r="H180" s="395" t="n"/>
      <c r="I180" s="395" t="n"/>
      <c r="J180" s="395" t="n"/>
      <c r="K180" s="395" t="n"/>
      <c r="L180" s="395" t="n"/>
      <c r="M180" s="395" t="n"/>
      <c r="N180" s="395" t="n"/>
      <c r="O180" s="395" t="n"/>
      <c r="P180" s="395" t="n"/>
    </row>
    <row r="181" outlineLevel="1">
      <c r="B181" s="387" t="n"/>
      <c r="D181" s="1018" t="n"/>
      <c r="E181" s="1019" t="n"/>
      <c r="F181" s="394" t="n"/>
      <c r="G181" s="346" t="n"/>
      <c r="H181" s="395" t="n"/>
      <c r="I181" s="395" t="n"/>
      <c r="J181" s="395" t="n"/>
      <c r="K181" s="395" t="n"/>
      <c r="L181" s="395" t="n"/>
      <c r="M181" s="395" t="n"/>
      <c r="N181" s="395" t="n"/>
      <c r="O181" s="395" t="n"/>
      <c r="P181" s="395" t="n"/>
    </row>
    <row r="182" outlineLevel="1">
      <c r="B182" s="382" t="inlineStr">
        <is>
          <t>GP Returns</t>
        </is>
      </c>
      <c r="D182" s="1018" t="n"/>
      <c r="E182" s="1019" t="n"/>
      <c r="F182" s="394" t="n"/>
      <c r="G182" s="346" t="n"/>
      <c r="H182" s="395" t="n"/>
      <c r="I182" s="395" t="n"/>
      <c r="J182" s="395" t="n"/>
      <c r="K182" s="395" t="n"/>
      <c r="L182" s="395" t="n"/>
      <c r="M182" s="395" t="n"/>
      <c r="N182" s="395" t="n"/>
      <c r="O182" s="395" t="n"/>
      <c r="P182" s="395" t="n"/>
    </row>
    <row r="183" outlineLevel="1">
      <c r="B183" s="387" t="inlineStr">
        <is>
          <t>Total GP Distributions</t>
        </is>
      </c>
      <c r="D183" s="346">
        <f>SUM(F183:P183)</f>
        <v/>
      </c>
      <c r="E183" s="1019"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D184" s="346">
        <f>SUM(F184:P184)</f>
        <v/>
      </c>
      <c r="E184" s="1019"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D185" s="346">
        <f>SUM(F185:P185)</f>
        <v/>
      </c>
      <c r="E185" s="1019"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D186" s="346">
        <f>+D183+D184-D185</f>
        <v/>
      </c>
      <c r="E186" s="1019" t="n"/>
      <c r="F186" s="394" t="n"/>
      <c r="G186" s="346" t="n"/>
      <c r="H186" s="395" t="n"/>
      <c r="I186" s="395" t="n"/>
      <c r="J186" s="395" t="n"/>
      <c r="K186" s="395" t="n"/>
      <c r="L186" s="395" t="n"/>
      <c r="M186" s="395" t="n"/>
      <c r="N186" s="395" t="n"/>
      <c r="O186" s="395" t="n"/>
      <c r="P186" s="395" t="n"/>
    </row>
    <row r="187" outlineLevel="1">
      <c r="B187" s="387" t="inlineStr">
        <is>
          <t>GP IRR</t>
        </is>
      </c>
      <c r="D187" s="401">
        <f>IFERROR(IRR(F187:P187),"NA")</f>
        <v/>
      </c>
      <c r="E187" s="1019"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D188" s="925">
        <f>IFERROR(D183/D185,"NA")</f>
        <v/>
      </c>
      <c r="E188" s="1019" t="n"/>
      <c r="F188" s="383" t="n"/>
      <c r="G188" s="384" t="n"/>
      <c r="H188" s="385" t="n"/>
      <c r="I188" s="385" t="n"/>
      <c r="J188" s="386" t="n"/>
      <c r="K188" s="386" t="n"/>
      <c r="L188" s="386" t="n"/>
      <c r="M188" s="386" t="n"/>
      <c r="N188" s="386" t="n"/>
      <c r="O188" s="386" t="n"/>
      <c r="P188" s="386" t="n"/>
    </row>
    <row r="189" outlineLevel="1">
      <c r="B189" s="403" t="n"/>
      <c r="C189" s="994" t="n"/>
      <c r="D189" s="1025"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E190" s="145"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1032" t="n"/>
      <c r="D191" s="1032"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1032" t="n"/>
      <c r="D192" s="1032" t="n"/>
      <c r="E192" s="1033"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1032" t="n"/>
      <c r="D193" s="1032" t="n"/>
      <c r="E193" s="1033"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1032" t="n"/>
      <c r="D194" s="1032" t="n"/>
      <c r="E194" s="1033"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E195" s="1026"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F196" s="385">
        <f>IRR(F195:M195)</f>
        <v/>
      </c>
      <c r="G196" s="386" t="n"/>
      <c r="H196" s="386" t="n"/>
      <c r="I196" s="386" t="n"/>
      <c r="J196" s="386" t="n"/>
      <c r="K196" s="386" t="n"/>
      <c r="L196" s="386" t="n"/>
      <c r="M196" s="386" t="n"/>
      <c r="N196" s="386" t="n"/>
      <c r="O196" s="386" t="n"/>
      <c r="P196" s="386" t="n"/>
    </row>
    <row r="197" outlineLevel="1">
      <c r="B197" s="59" t="inlineStr">
        <is>
          <t>Equity Multiple</t>
        </is>
      </c>
      <c r="F197" s="929">
        <f>SUMIF(F195:M195,"&gt;0")/-SUMIF(F195:M195,"&lt;0")</f>
        <v/>
      </c>
      <c r="G197" s="386" t="n"/>
      <c r="H197" s="386" t="n"/>
      <c r="I197" s="386" t="n"/>
      <c r="J197" s="386" t="n"/>
      <c r="K197" s="386" t="n"/>
      <c r="L197" s="386" t="n"/>
      <c r="M197" s="386" t="n"/>
      <c r="N197" s="386" t="n"/>
      <c r="O197" s="386" t="n"/>
      <c r="P197" s="386" t="n"/>
    </row>
    <row r="198" outlineLevel="1">
      <c r="B198" s="59" t="n"/>
      <c r="E198" s="341"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F216" s="395" t="n"/>
      <c r="G216" s="346" t="n"/>
      <c r="H216" s="346" t="n"/>
      <c r="I216" s="346" t="n"/>
      <c r="J216" s="346" t="n"/>
      <c r="K216" s="346" t="n"/>
      <c r="L216" s="346" t="n"/>
      <c r="M216" s="346" t="n"/>
      <c r="N216" s="346" t="n"/>
      <c r="O216" s="346" t="n"/>
      <c r="P216" s="346" t="n"/>
    </row>
    <row r="217" outlineLevel="1">
      <c r="B217" s="59">
        <f>"Total Distributions ("&amp;B199&amp;")"</f>
        <v/>
      </c>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F219" s="386" t="n"/>
      <c r="G219" s="386" t="n"/>
      <c r="H219" s="386" t="n"/>
      <c r="I219" s="386" t="n"/>
      <c r="J219" s="386" t="n"/>
      <c r="K219" s="386" t="n"/>
      <c r="L219" s="386" t="n"/>
      <c r="M219" s="386" t="n"/>
      <c r="N219" s="386" t="n"/>
      <c r="O219" s="386" t="n"/>
      <c r="P219" s="386" t="n"/>
    </row>
    <row r="220" outlineLevel="1" ht="15.75" customHeight="1">
      <c r="B220" s="421" t="inlineStr">
        <is>
          <t>Tier 2</t>
        </is>
      </c>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F221" s="386" t="n"/>
      <c r="G221" s="940" t="n"/>
      <c r="H221" s="940" t="n"/>
      <c r="I221" s="940" t="n"/>
      <c r="J221" s="940" t="n"/>
      <c r="K221" s="940" t="n"/>
      <c r="L221" s="940" t="n"/>
      <c r="M221" s="940" t="n"/>
      <c r="N221" s="940" t="n"/>
      <c r="O221" s="940" t="n"/>
      <c r="P221" s="940" t="n"/>
    </row>
    <row r="222" outlineLevel="1">
      <c r="B222" s="59" t="inlineStr">
        <is>
          <t>Beginning Balance (LP Capital Account)</t>
        </is>
      </c>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991" t="n"/>
      <c r="D229" s="991" t="n"/>
      <c r="E229" s="991" t="n"/>
      <c r="F229" s="446" t="n"/>
      <c r="G229" s="446" t="n"/>
      <c r="H229" s="446" t="n"/>
      <c r="I229" s="446" t="n"/>
      <c r="J229" s="446" t="n"/>
      <c r="K229" s="446" t="n"/>
      <c r="L229" s="446" t="n"/>
      <c r="M229" s="446" t="n"/>
      <c r="N229" s="446" t="n"/>
      <c r="O229" s="446" t="n"/>
      <c r="P229" s="446" t="n"/>
    </row>
    <row r="230" outlineLevel="1">
      <c r="B230" s="59" t="inlineStr">
        <is>
          <t>Distribution to LP</t>
        </is>
      </c>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F234" s="386" t="n"/>
      <c r="G234" s="386" t="n"/>
      <c r="H234" s="386" t="n"/>
      <c r="I234" s="386" t="n"/>
      <c r="J234" s="386" t="n"/>
      <c r="K234" s="386" t="n"/>
      <c r="L234" s="386" t="n"/>
      <c r="M234" s="386" t="n"/>
      <c r="N234" s="386" t="n"/>
      <c r="O234" s="386" t="n"/>
      <c r="P234" s="386" t="n"/>
    </row>
    <row r="235" outlineLevel="1" ht="15.75" customHeight="1">
      <c r="B235" s="421" t="inlineStr">
        <is>
          <t>Tier 3</t>
        </is>
      </c>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F236" s="386" t="n"/>
      <c r="G236" s="940" t="n"/>
      <c r="H236" s="940" t="n"/>
      <c r="I236" s="940" t="n"/>
      <c r="J236" s="940" t="n"/>
      <c r="K236" s="940" t="n"/>
      <c r="L236" s="940" t="n"/>
      <c r="M236" s="940" t="n"/>
      <c r="N236" s="940" t="n"/>
      <c r="O236" s="940" t="n"/>
      <c r="P236" s="940" t="n"/>
    </row>
    <row r="237" outlineLevel="1">
      <c r="B237" s="59" t="inlineStr">
        <is>
          <t>Beginning Balance (LP Capital Account)</t>
        </is>
      </c>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991" t="n"/>
      <c r="D244" s="991" t="n"/>
      <c r="E244" s="991" t="n"/>
      <c r="F244" s="446" t="n"/>
      <c r="G244" s="446" t="n"/>
      <c r="H244" s="446" t="n"/>
      <c r="I244" s="446" t="n"/>
      <c r="J244" s="446" t="n"/>
      <c r="K244" s="446" t="n"/>
      <c r="L244" s="446" t="n"/>
      <c r="M244" s="446" t="n"/>
      <c r="N244" s="446" t="n"/>
      <c r="O244" s="446" t="n"/>
      <c r="P244" s="446" t="n"/>
    </row>
    <row r="245" outlineLevel="1">
      <c r="B245" s="59" t="inlineStr">
        <is>
          <t>Distribution to LP</t>
        </is>
      </c>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F249" s="386" t="n"/>
      <c r="G249" s="386" t="n"/>
      <c r="H249" s="386" t="n"/>
      <c r="I249" s="386" t="n"/>
      <c r="J249" s="386" t="n"/>
      <c r="K249" s="386" t="n"/>
      <c r="L249" s="386" t="n"/>
      <c r="M249" s="386" t="n"/>
      <c r="N249" s="386" t="n"/>
      <c r="O249" s="386" t="n"/>
      <c r="P249" s="386" t="n"/>
    </row>
    <row r="250" outlineLevel="1" ht="15.75" customHeight="1">
      <c r="B250" s="421" t="inlineStr">
        <is>
          <t>Tier 4</t>
        </is>
      </c>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F251" s="386" t="n"/>
      <c r="G251" s="940" t="n"/>
      <c r="H251" s="940" t="n"/>
      <c r="I251" s="940" t="n"/>
      <c r="J251" s="940" t="n"/>
      <c r="K251" s="940" t="n"/>
      <c r="L251" s="940" t="n"/>
      <c r="M251" s="940" t="n"/>
      <c r="N251" s="940" t="n"/>
      <c r="O251" s="940" t="n"/>
      <c r="P251" s="940" t="n"/>
    </row>
    <row r="252" outlineLevel="1">
      <c r="B252" s="59" t="inlineStr">
        <is>
          <t>Beginning Balance (LP Capital Account)</t>
        </is>
      </c>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991" t="n"/>
      <c r="D259" s="991" t="n"/>
      <c r="E259" s="991" t="n"/>
      <c r="F259" s="446" t="n"/>
      <c r="G259" s="446" t="n"/>
      <c r="H259" s="446" t="n"/>
      <c r="I259" s="446" t="n"/>
      <c r="J259" s="446" t="n"/>
      <c r="K259" s="446" t="n"/>
      <c r="L259" s="446" t="n"/>
      <c r="M259" s="446" t="n"/>
      <c r="N259" s="446" t="n"/>
      <c r="O259" s="446" t="n"/>
      <c r="P259" s="446" t="n"/>
    </row>
    <row r="260" outlineLevel="1">
      <c r="B260" s="59" t="inlineStr">
        <is>
          <t>Distribution to LP</t>
        </is>
      </c>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F264" s="386" t="n"/>
      <c r="G264" s="386" t="n"/>
      <c r="H264" s="386" t="n"/>
      <c r="I264" s="386" t="n"/>
      <c r="J264" s="386" t="n"/>
      <c r="K264" s="386" t="n"/>
      <c r="L264" s="386" t="n"/>
      <c r="M264" s="386" t="n"/>
      <c r="N264" s="386" t="n"/>
      <c r="O264" s="386" t="n"/>
      <c r="P264" s="386" t="n"/>
    </row>
    <row r="265" outlineLevel="1" ht="15.75" customHeight="1">
      <c r="B265" s="421" t="inlineStr">
        <is>
          <t>Tier 5</t>
        </is>
      </c>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F266" s="386" t="n"/>
      <c r="G266" s="940" t="n"/>
      <c r="H266" s="940" t="n"/>
      <c r="I266" s="940" t="n"/>
      <c r="J266" s="940" t="n"/>
      <c r="K266" s="940" t="n"/>
      <c r="L266" s="940" t="n"/>
      <c r="M266" s="940" t="n"/>
      <c r="N266" s="940" t="n"/>
      <c r="O266" s="940" t="n"/>
      <c r="P266" s="940" t="n"/>
    </row>
    <row r="267" outlineLevel="1">
      <c r="B267" s="59" t="inlineStr">
        <is>
          <t>Distribution to LP</t>
        </is>
      </c>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width="13" customWidth="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338" t="n"/>
      <c r="K3" s="338" t="n"/>
    </row>
    <row r="4" ht="15.75" customHeight="1">
      <c r="B4" s="141" t="inlineStr">
        <is>
          <t>Promote Hurdle Method</t>
        </is>
      </c>
      <c r="C4" s="74" t="n"/>
      <c r="D4" s="336" t="inlineStr">
        <is>
          <t>IRR</t>
        </is>
      </c>
      <c r="E4" s="337" t="inlineStr">
        <is>
          <t>GP Catch Up?</t>
        </is>
      </c>
      <c r="F4" s="338" t="n"/>
      <c r="G4" s="338" t="n"/>
      <c r="H4" s="338" t="n"/>
      <c r="I4" s="338" t="n"/>
      <c r="J4" s="338" t="n"/>
      <c r="K4" s="338" t="n"/>
    </row>
    <row r="5" ht="15.75" customHeight="1">
      <c r="B5" s="141" t="inlineStr">
        <is>
          <t># of Tiers</t>
        </is>
      </c>
      <c r="C5" s="74" t="n"/>
      <c r="D5" s="336" t="inlineStr">
        <is>
          <t>3-Tier</t>
        </is>
      </c>
      <c r="E5" s="337" t="n"/>
      <c r="F5" s="338" t="n"/>
      <c r="G5" s="338" t="n"/>
      <c r="H5" s="338" t="n"/>
      <c r="I5" s="338" t="n"/>
      <c r="J5" s="338" t="n"/>
      <c r="K5" s="33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8" t="n"/>
      <c r="K6" s="338" t="n"/>
    </row>
    <row r="7" ht="5.1" customHeight="1">
      <c r="B7" s="59" t="n"/>
      <c r="C7" s="59" t="n"/>
      <c r="D7" s="341" t="n"/>
      <c r="F7" s="145" t="n"/>
      <c r="G7" s="145" t="n"/>
      <c r="H7" s="145" t="n"/>
      <c r="I7" s="145" t="n"/>
      <c r="J7" s="145" t="n"/>
      <c r="K7" s="145" t="n"/>
    </row>
    <row r="8" ht="16.5" customHeight="1" thickBot="1">
      <c r="B8" s="342" t="inlineStr">
        <is>
          <t>Equity Contributions</t>
        </is>
      </c>
      <c r="C8" s="343" t="inlineStr">
        <is>
          <t>%</t>
        </is>
      </c>
      <c r="D8" s="343" t="inlineStr">
        <is>
          <t>Amount</t>
        </is>
      </c>
      <c r="F8" s="344" t="n"/>
      <c r="G8" s="145" t="n"/>
      <c r="H8" s="145" t="n"/>
      <c r="I8" s="145" t="n"/>
      <c r="J8" s="145" t="n"/>
      <c r="K8" s="145" t="n"/>
    </row>
    <row r="9" ht="15" customHeight="1">
      <c r="B9" s="59" t="inlineStr">
        <is>
          <t>General Partner (GP)</t>
        </is>
      </c>
      <c r="C9" s="905">
        <f>'Sources and Uses'!E8</f>
        <v/>
      </c>
      <c r="D9" s="346">
        <f>Equity_Share_GP*Total_Equity</f>
        <v/>
      </c>
      <c r="E9" s="59" t="n"/>
      <c r="F9" s="347" t="n"/>
      <c r="G9" s="348" t="n"/>
      <c r="H9" s="203" t="n"/>
      <c r="I9" s="203" t="n"/>
      <c r="J9" s="145"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145" t="n"/>
      <c r="K10" s="353" t="inlineStr">
        <is>
          <t>Profit Dist.:</t>
        </is>
      </c>
    </row>
    <row r="11" ht="15.75" customHeight="1" thickBot="1">
      <c r="B11" s="59" t="inlineStr">
        <is>
          <t>Total Equity</t>
        </is>
      </c>
      <c r="C11" s="908" t="n"/>
      <c r="D11" s="346">
        <f>-SUMIF(F51:K51,"&lt;0")</f>
        <v/>
      </c>
      <c r="E11" s="59" t="n"/>
      <c r="F11" s="347" t="n"/>
      <c r="G11" s="348" t="n"/>
      <c r="H11" s="203" t="n"/>
      <c r="I11" s="203" t="n"/>
      <c r="J11" s="145" t="n"/>
      <c r="K11" s="356" t="inlineStr">
        <is>
          <t>Net BTCF:</t>
        </is>
      </c>
    </row>
    <row r="12" ht="5.1" customHeight="1">
      <c r="B12" s="59" t="n"/>
      <c r="C12" s="908" t="n"/>
      <c r="D12" s="910" t="n"/>
      <c r="E12" s="59" t="n"/>
      <c r="F12" s="347" t="n"/>
      <c r="G12" s="348" t="n"/>
      <c r="H12" s="203" t="n"/>
      <c r="I12" s="203" t="n"/>
      <c r="J12" s="145" t="n"/>
      <c r="K12" s="145"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45" t="n"/>
      <c r="K13" s="145"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45"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493" t="n"/>
    </row>
    <row r="16" ht="15" customHeight="1">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493" t="n"/>
    </row>
    <row r="17" ht="15" customHeight="1">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493" t="n"/>
    </row>
    <row r="18" ht="15" customHeight="1">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493"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493" t="n"/>
    </row>
    <row r="20" ht="5.1" customHeight="1">
      <c r="B20" s="59" t="n"/>
      <c r="D20" s="1018" t="n"/>
      <c r="E20" s="1019" t="n"/>
      <c r="F20" s="348" t="n"/>
      <c r="G20" s="377" t="n"/>
      <c r="H20" s="378" t="n"/>
      <c r="I20" s="378" t="n"/>
      <c r="J20" s="145" t="n"/>
      <c r="K20" s="145" t="n"/>
    </row>
    <row r="21" ht="15.75" customHeight="1">
      <c r="B21" s="342" t="inlineStr">
        <is>
          <t>Summary of Partnership-Level Returns</t>
        </is>
      </c>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D22" s="1018" t="n"/>
      <c r="E22" s="1019" t="n"/>
      <c r="F22" s="383" t="n"/>
      <c r="G22" s="384" t="n"/>
      <c r="H22" s="385" t="n"/>
      <c r="I22" s="385" t="n"/>
      <c r="J22" s="341" t="n"/>
      <c r="K22" s="341" t="n"/>
    </row>
    <row r="23" ht="15" customHeight="1">
      <c r="B23" s="387" t="n"/>
      <c r="C23" s="388" t="inlineStr">
        <is>
          <t>Check</t>
        </is>
      </c>
      <c r="D23" s="1020" t="n"/>
      <c r="E23" s="1019" t="n"/>
      <c r="F23" s="346" t="n"/>
      <c r="G23" s="346" t="n"/>
      <c r="H23" s="346" t="n"/>
      <c r="I23" s="346" t="n"/>
      <c r="J23" s="1021" t="n"/>
      <c r="K23" s="1021" t="n"/>
    </row>
    <row r="24" ht="15" customHeight="1">
      <c r="B24" s="387" t="inlineStr">
        <is>
          <t>Preferred Return</t>
        </is>
      </c>
      <c r="C24" s="390">
        <f>IF(ROUND(D24,0)=ROUND(SUM(F24:K24),0),"OK","ERROR")</f>
        <v/>
      </c>
      <c r="D24" s="125">
        <f>(C13="IRR")*(SUM(F97:K97)-D25)+(C13="Equity Multiple")*(SUM(F205:K205)-D25)</f>
        <v/>
      </c>
      <c r="E24" s="1019"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1019"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1019"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1022" t="n"/>
      <c r="D27" s="389">
        <f>SUM(F27:K27)</f>
        <v/>
      </c>
      <c r="E27" s="1019"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1022" t="n"/>
      <c r="D28" s="389">
        <f>SUM(F28:K28)</f>
        <v/>
      </c>
      <c r="E28" s="1019" t="n"/>
      <c r="F28" s="346">
        <f>F96</f>
        <v/>
      </c>
      <c r="G28" s="346">
        <f>G96</f>
        <v/>
      </c>
      <c r="H28" s="346">
        <f>H96</f>
        <v/>
      </c>
      <c r="I28" s="346">
        <f>I96</f>
        <v/>
      </c>
      <c r="J28" s="346">
        <f>J96</f>
        <v/>
      </c>
      <c r="K28" s="346">
        <f>K96</f>
        <v/>
      </c>
    </row>
    <row r="29" ht="15" customHeight="1">
      <c r="B29" s="387" t="inlineStr">
        <is>
          <t>Total LP Profit</t>
        </is>
      </c>
      <c r="C29" s="1022" t="n"/>
      <c r="D29" s="389">
        <f>D27-D28</f>
        <v/>
      </c>
      <c r="E29" s="1019" t="n"/>
      <c r="F29" s="394" t="n"/>
      <c r="G29" s="346" t="n"/>
      <c r="H29" s="395" t="n"/>
      <c r="I29" s="395" t="n"/>
      <c r="J29" s="1023" t="n"/>
      <c r="K29" s="1023" t="n"/>
    </row>
    <row r="30" ht="15" customHeight="1">
      <c r="B30" s="396" t="inlineStr">
        <is>
          <t>LP IRR</t>
        </is>
      </c>
      <c r="C30" s="1024" t="n"/>
      <c r="D30" s="398">
        <f>IRR(F30:K30)</f>
        <v/>
      </c>
      <c r="E30" s="1019" t="n"/>
      <c r="F30" s="346">
        <f>IF(F21="","",(-F28)+F27)</f>
        <v/>
      </c>
      <c r="G30" s="346">
        <f>IF(G21="","",(-G28)+G27)</f>
        <v/>
      </c>
      <c r="H30" s="346">
        <f>IF(H21="","",(-H28)+H27)</f>
        <v/>
      </c>
      <c r="I30" s="346">
        <f>IF(I21="","",(-I28)+I27)</f>
        <v/>
      </c>
      <c r="J30" s="346">
        <f>IF(J21="","",(-J28)+J27)</f>
        <v/>
      </c>
      <c r="K30" s="346">
        <f>IF(K21="","",(-K28)+K27)</f>
        <v/>
      </c>
    </row>
    <row r="31" ht="15" customHeight="1">
      <c r="B31" s="396" t="inlineStr">
        <is>
          <t>LP Equity Multiple</t>
        </is>
      </c>
      <c r="C31" s="1024" t="n"/>
      <c r="D31" s="923">
        <f>D27/D28</f>
        <v/>
      </c>
      <c r="E31" s="1019" t="n"/>
      <c r="F31" s="394" t="n"/>
      <c r="G31" s="924">
        <f>IF($D$4="IRR", G30/G93,G30/G201)</f>
        <v/>
      </c>
      <c r="H31" s="924">
        <f>IF($D$4="IRR", H30/H93,H30/H201)</f>
        <v/>
      </c>
      <c r="I31" s="924">
        <f>IF($D$4="IRR", I30/I93,I30/I201)</f>
        <v/>
      </c>
      <c r="J31" s="924">
        <f>IF($D$4="IRR", J30/J93,J30/J201)</f>
        <v/>
      </c>
      <c r="K31" s="924">
        <f>IF($D$4="IRR", K30/K93,K30/K201)</f>
        <v/>
      </c>
    </row>
    <row r="32" ht="5.1" customHeight="1">
      <c r="B32" s="387" t="n"/>
      <c r="C32" s="1022" t="n"/>
      <c r="D32" s="1018" t="n"/>
      <c r="E32" s="1019" t="n"/>
      <c r="F32" s="394" t="n"/>
      <c r="G32" s="346" t="n"/>
      <c r="H32" s="395" t="n"/>
      <c r="I32" s="395" t="n"/>
      <c r="J32" s="1023" t="n"/>
      <c r="K32" s="1023" t="n"/>
    </row>
    <row r="33" ht="15" customHeight="1">
      <c r="B33" s="382" t="inlineStr">
        <is>
          <t>GP Returns</t>
        </is>
      </c>
      <c r="C33" s="1022" t="n"/>
      <c r="D33" s="1018" t="n"/>
      <c r="E33" s="1019" t="n"/>
      <c r="F33" s="394" t="n"/>
      <c r="G33" s="346" t="n"/>
      <c r="H33" s="395" t="n"/>
      <c r="I33" s="395" t="n"/>
      <c r="J33" s="1023" t="n"/>
      <c r="K33" s="1023" t="n"/>
    </row>
    <row r="34" ht="15" customHeight="1">
      <c r="B34" s="387" t="inlineStr">
        <is>
          <t>Preferred Return</t>
        </is>
      </c>
      <c r="C34" s="390">
        <f>IF(ROUND(D34,0)=ROUND(SUM(F34:K34),0),"OK","ERROR")</f>
        <v/>
      </c>
      <c r="D34" s="460">
        <f>(C13="IRR")*(SUM(F105:K105)-D35)+(C13="Equity Multiple")*(SUM(F213:K213)-D35)</f>
        <v/>
      </c>
      <c r="E34" s="1019"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1019"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1019"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1019"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1022" t="n"/>
      <c r="D38" s="346">
        <f>SUM(F38:K38)</f>
        <v/>
      </c>
      <c r="E38" s="1019"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1022" t="n"/>
      <c r="D39" s="346">
        <f>SUM(F39:K39)</f>
        <v/>
      </c>
      <c r="E39" s="1019"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1022" t="n"/>
      <c r="D40" s="346">
        <f>SUM(F40:K40)</f>
        <v/>
      </c>
      <c r="E40" s="1019" t="n"/>
      <c r="F40" s="346">
        <f>F104</f>
        <v/>
      </c>
      <c r="G40" s="346">
        <f>G104</f>
        <v/>
      </c>
      <c r="H40" s="346">
        <f>H104</f>
        <v/>
      </c>
      <c r="I40" s="346">
        <f>I104</f>
        <v/>
      </c>
      <c r="J40" s="346">
        <f>J104</f>
        <v/>
      </c>
      <c r="K40" s="346">
        <f>K104</f>
        <v/>
      </c>
    </row>
    <row r="41" ht="15" customHeight="1">
      <c r="B41" s="387" t="inlineStr">
        <is>
          <t>Total GP Profit (Including Fees)</t>
        </is>
      </c>
      <c r="C41" s="1022" t="n"/>
      <c r="D41" s="346">
        <f>+D38+D39-D40</f>
        <v/>
      </c>
      <c r="E41" s="1019" t="n"/>
      <c r="F41" s="394" t="n"/>
      <c r="G41" s="346" t="n"/>
      <c r="H41" s="395" t="n"/>
      <c r="I41" s="395" t="n"/>
      <c r="J41" s="1023" t="n"/>
      <c r="K41" s="1023" t="n"/>
    </row>
    <row r="42" ht="15" customHeight="1">
      <c r="B42" s="387" t="inlineStr">
        <is>
          <t>GP IRR</t>
        </is>
      </c>
      <c r="C42" s="1022" t="n"/>
      <c r="D42" s="401">
        <f>IFERROR(IRR(F42:K42),"NA")</f>
        <v/>
      </c>
      <c r="E42" s="1019"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1022" t="n"/>
      <c r="D43" s="925">
        <f>IFERROR(D38/D40,"NA")</f>
        <v/>
      </c>
      <c r="E43" s="1019" t="n"/>
      <c r="F43" s="383" t="n"/>
      <c r="G43" s="384" t="n"/>
      <c r="H43" s="385" t="n"/>
      <c r="I43" s="385" t="n"/>
      <c r="J43" s="341" t="n"/>
      <c r="K43" s="341" t="n"/>
    </row>
    <row r="44" ht="5.1" customHeight="1">
      <c r="B44" s="403" t="n"/>
      <c r="C44" s="994" t="n"/>
      <c r="D44" s="1025" t="n"/>
      <c r="F44" s="386" t="n"/>
      <c r="G44" s="386" t="n"/>
      <c r="H44" s="386" t="n"/>
      <c r="I44" s="386" t="n"/>
      <c r="J44" s="341" t="n"/>
      <c r="K44" s="341" t="n"/>
    </row>
    <row r="45" ht="15.75" customHeight="1">
      <c r="B45" s="342" t="inlineStr">
        <is>
          <t>Property-Level Cash and GP Fees</t>
        </is>
      </c>
      <c r="E45" s="145" t="n"/>
      <c r="F45" s="361" t="inlineStr">
        <is>
          <t>Year 0</t>
        </is>
      </c>
      <c r="G45" s="922">
        <f>G$21</f>
        <v/>
      </c>
      <c r="H45" s="922">
        <f>H$21</f>
        <v/>
      </c>
      <c r="I45" s="922">
        <f>I$21</f>
        <v/>
      </c>
      <c r="J45" s="922">
        <f>J$21</f>
        <v/>
      </c>
      <c r="K45" s="922">
        <f>K$21</f>
        <v/>
      </c>
      <c r="L45" s="406" t="n"/>
      <c r="M45" s="406" t="n"/>
      <c r="N45" s="406" t="n"/>
    </row>
    <row r="46" ht="15" customHeight="1">
      <c r="B46" s="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E47" s="1026"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E48" s="1026"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E49" s="1026" t="n"/>
      <c r="F49" s="410">
        <f>'Sources and Uses'!C15</f>
        <v/>
      </c>
      <c r="G49" s="410" t="n">
        <v>0</v>
      </c>
      <c r="H49" s="410" t="n">
        <v>0</v>
      </c>
      <c r="I49" s="410" t="n">
        <v>0</v>
      </c>
      <c r="J49" s="410" t="n">
        <v>0</v>
      </c>
      <c r="K49" s="410" t="n">
        <v>0</v>
      </c>
    </row>
    <row r="50" ht="15" customHeight="1">
      <c r="B50" s="411" t="n"/>
      <c r="E50" s="1026" t="n"/>
      <c r="F50" s="410" t="n"/>
      <c r="G50" s="410" t="n"/>
      <c r="H50" s="410" t="n"/>
      <c r="I50" s="410" t="n"/>
      <c r="J50" s="410" t="n"/>
      <c r="K50" s="410" t="n"/>
    </row>
    <row r="51" ht="15" customHeight="1">
      <c r="B51" s="125" t="inlineStr">
        <is>
          <t>Adjusted Net Property-Level Cash Flow</t>
        </is>
      </c>
      <c r="E51" s="1026"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F52" s="385">
        <f>IRR(F51:K51)</f>
        <v/>
      </c>
      <c r="G52" s="386" t="n"/>
      <c r="H52" s="386" t="n"/>
      <c r="I52" s="386" t="n"/>
      <c r="J52" s="341" t="n"/>
      <c r="K52" s="341" t="n"/>
    </row>
    <row r="53" ht="15" customHeight="1">
      <c r="B53" s="59" t="inlineStr">
        <is>
          <t>Equity Multiple</t>
        </is>
      </c>
      <c r="F53" s="929">
        <f>SUMIF(F51:K51,"&gt;0")/-SUMIF(F51:K51,"&lt;0")</f>
        <v/>
      </c>
      <c r="G53" s="386" t="n"/>
      <c r="H53" s="386" t="n"/>
      <c r="I53" s="386" t="n"/>
      <c r="J53" s="341" t="n"/>
      <c r="K53" s="341" t="n"/>
    </row>
    <row r="54" ht="5.1" customHeight="1">
      <c r="B54" s="59" t="n"/>
      <c r="E54" s="341" t="n"/>
      <c r="F54" s="414" t="n"/>
      <c r="G54" s="386" t="n"/>
      <c r="H54" s="386" t="n"/>
      <c r="I54" s="386" t="n"/>
      <c r="J54" s="341" t="n"/>
      <c r="K54" s="341" t="n"/>
    </row>
    <row r="55" ht="15" customHeight="1"/>
    <row r="56" outlineLevel="1" ht="18.75" customHeight="1">
      <c r="B56" s="415" t="inlineStr">
        <is>
          <t>PARTNERSHIP LEVEL RETURNS - IRR EQUITY WATERFALL</t>
        </is>
      </c>
      <c r="C56" s="991" t="n"/>
      <c r="D56" s="991" t="n"/>
      <c r="E56" s="991" t="n"/>
      <c r="F56" s="417" t="n"/>
      <c r="G56" s="417" t="n"/>
      <c r="H56" s="417" t="n"/>
      <c r="I56" s="417" t="n"/>
      <c r="J56" s="338" t="n"/>
      <c r="K56" s="338" t="n"/>
    </row>
    <row r="57" outlineLevel="1" ht="15" customHeight="1">
      <c r="B57" s="203" t="n"/>
      <c r="C57" s="145" t="n"/>
      <c r="D57" s="634">
        <f>$D$4</f>
        <v/>
      </c>
      <c r="E57" s="145" t="n"/>
      <c r="F57" s="203" t="n"/>
      <c r="G57" s="203" t="n"/>
      <c r="H57" s="203" t="n"/>
      <c r="I57" s="203" t="n"/>
      <c r="J57" s="145" t="n"/>
      <c r="K57" s="145" t="n"/>
    </row>
    <row r="58" outlineLevel="1" ht="15" customHeight="1">
      <c r="B58" s="418" t="n"/>
      <c r="D58" s="341" t="n"/>
      <c r="F58" s="797" t="inlineStr">
        <is>
          <t>Promote Structure Incentive Breakdown</t>
        </is>
      </c>
      <c r="H58" s="798" t="inlineStr">
        <is>
          <t>Distribution as %</t>
        </is>
      </c>
      <c r="J58" s="145" t="n"/>
      <c r="K58" s="145" t="n"/>
    </row>
    <row r="59" outlineLevel="1" ht="15.75" customHeight="1">
      <c r="B59" s="421">
        <f>IF(D57="Equity Multiple","Partnership Distribution Assumptions (Equity Multiple Hurdles)","Partnership Distribution Assumptions (IRR Hurdles)")</f>
        <v/>
      </c>
      <c r="D59" s="341" t="n"/>
      <c r="H59" s="422" t="inlineStr">
        <is>
          <t>GP %</t>
        </is>
      </c>
      <c r="I59" s="423" t="inlineStr">
        <is>
          <t>LP %</t>
        </is>
      </c>
      <c r="J59" s="423" t="inlineStr">
        <is>
          <t>Notes</t>
        </is>
      </c>
      <c r="K59" s="145" t="n"/>
    </row>
    <row r="60" outlineLevel="1" ht="15" customHeight="1">
      <c r="B60" s="59">
        <f>B15</f>
        <v/>
      </c>
      <c r="C60" s="1027" t="n"/>
      <c r="D60" s="1028"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493" t="n"/>
    </row>
    <row r="61" outlineLevel="1" ht="15" customHeight="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493" t="n"/>
    </row>
    <row r="62" outlineLevel="1" ht="15" customHeight="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493" t="n"/>
    </row>
    <row r="63" outlineLevel="1" ht="15" customHeight="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029" t="n"/>
    </row>
    <row r="64" outlineLevel="1" ht="15" customHeight="1">
      <c r="B64" s="59">
        <f>B19</f>
        <v/>
      </c>
      <c r="C64" s="915" t="n"/>
      <c r="D64" s="931">
        <f>D19</f>
        <v/>
      </c>
      <c r="E64" s="1019" t="n"/>
      <c r="F64" s="930">
        <f>F19</f>
        <v/>
      </c>
      <c r="G64" s="908" t="n"/>
      <c r="H64" s="918">
        <f>H19</f>
        <v/>
      </c>
      <c r="I64" s="908">
        <f>1-H64</f>
        <v/>
      </c>
      <c r="J64" s="371">
        <f>TEXT(I63,"0.0%")&amp;"/"&amp;TEXT(H63,"0.0%")&amp;" to "&amp;(IF(D59="IRR",TEXT(E63,"0.0%"),TEXT(E63,"0.0X")))&amp;", then "&amp;TEXT(I64,"0.0%")&amp;"/"&amp;TEXT(H64,"0.0%")&amp;" to "&amp;(IF(D59="IRR",TEXT(E64,"0.0%"),TEXT(E64,"0.0X")))</f>
        <v/>
      </c>
      <c r="K64" s="493" t="n"/>
    </row>
    <row r="65" outlineLevel="1" ht="15" customHeight="1">
      <c r="B65" s="59" t="n"/>
      <c r="D65" s="1018" t="n"/>
      <c r="E65" s="1019" t="n"/>
      <c r="F65" s="348" t="n"/>
      <c r="G65" s="377" t="n"/>
      <c r="H65" s="378" t="n"/>
      <c r="I65" s="378" t="n"/>
      <c r="J65" s="145" t="n"/>
      <c r="K65" s="145" t="n"/>
    </row>
    <row r="66" outlineLevel="1" ht="15.75" customHeight="1">
      <c r="B66" s="421" t="inlineStr">
        <is>
          <t>Summary of Partnership-Level Returns</t>
        </is>
      </c>
      <c r="D66" s="1018" t="n"/>
      <c r="E66" s="1019" t="n"/>
      <c r="F66" s="934" t="n">
        <v>0</v>
      </c>
      <c r="G66" s="934">
        <f>IF(G84="","",F66+1)</f>
        <v/>
      </c>
      <c r="H66" s="934">
        <f>IF(H84="","",G66+1)</f>
        <v/>
      </c>
      <c r="I66" s="934">
        <f>IF(I84="","",H66+1)</f>
        <v/>
      </c>
      <c r="J66" s="934">
        <f>IF(J84="","",I66+1)</f>
        <v/>
      </c>
      <c r="K66" s="934">
        <f>IF(K84="","",J66+1)</f>
        <v/>
      </c>
    </row>
    <row r="67" outlineLevel="1" ht="15" customHeight="1">
      <c r="B67" s="382" t="inlineStr">
        <is>
          <t>Limited Partner (LP) Returns</t>
        </is>
      </c>
      <c r="D67" s="1018" t="n"/>
      <c r="E67" s="1019" t="n"/>
      <c r="F67" s="383" t="n"/>
      <c r="G67" s="384" t="n"/>
      <c r="H67" s="385" t="n"/>
      <c r="I67" s="385" t="n"/>
      <c r="J67" s="341" t="n"/>
      <c r="K67" s="341" t="n"/>
    </row>
    <row r="68" outlineLevel="1" ht="15" customHeight="1">
      <c r="B68" s="387" t="inlineStr">
        <is>
          <t>Total LP Distributions</t>
        </is>
      </c>
      <c r="D68" s="389">
        <f>SUM(F68:K68)</f>
        <v/>
      </c>
      <c r="E68" s="1019"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D69" s="389">
        <f>SUM(F69:K69)</f>
        <v/>
      </c>
      <c r="E69" s="1019" t="n"/>
      <c r="F69" s="346">
        <f>F96</f>
        <v/>
      </c>
      <c r="G69" s="346">
        <f>G96</f>
        <v/>
      </c>
      <c r="H69" s="346">
        <f>H96</f>
        <v/>
      </c>
      <c r="I69" s="346">
        <f>I96</f>
        <v/>
      </c>
      <c r="J69" s="346">
        <f>J96</f>
        <v/>
      </c>
      <c r="K69" s="346">
        <f>K96</f>
        <v/>
      </c>
    </row>
    <row r="70" outlineLevel="1" ht="15" customHeight="1">
      <c r="B70" s="387" t="inlineStr">
        <is>
          <t>Total LP Profit</t>
        </is>
      </c>
      <c r="D70" s="389">
        <f>D68-D69</f>
        <v/>
      </c>
      <c r="E70" s="1019" t="n"/>
      <c r="F70" s="394" t="n"/>
      <c r="G70" s="346" t="n"/>
      <c r="H70" s="395" t="n"/>
      <c r="I70" s="395" t="n"/>
      <c r="J70" s="1023" t="n"/>
      <c r="K70" s="1023" t="n"/>
    </row>
    <row r="71" outlineLevel="1" ht="15" customHeight="1">
      <c r="B71" s="387" t="inlineStr">
        <is>
          <t>LP IRR</t>
        </is>
      </c>
      <c r="D71" s="430">
        <f>IRR(F71:K71)</f>
        <v/>
      </c>
      <c r="E71" s="1019"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D72" s="935">
        <f>D68/D69</f>
        <v/>
      </c>
      <c r="E72" s="1019" t="n"/>
      <c r="F72" s="394" t="n"/>
      <c r="G72" s="346" t="n"/>
      <c r="H72" s="395" t="n"/>
      <c r="I72" s="395" t="n"/>
      <c r="J72" s="1023" t="n"/>
      <c r="K72" s="1023" t="n"/>
    </row>
    <row r="73" outlineLevel="1" ht="15" customHeight="1">
      <c r="B73" s="387" t="n"/>
      <c r="D73" s="1018" t="n"/>
      <c r="E73" s="1019" t="n"/>
      <c r="F73" s="394" t="n"/>
      <c r="G73" s="346" t="n"/>
      <c r="H73" s="395" t="n"/>
      <c r="I73" s="395" t="n"/>
      <c r="J73" s="1023" t="n"/>
      <c r="K73" s="1023" t="n"/>
    </row>
    <row r="74" outlineLevel="1" ht="15" customHeight="1">
      <c r="B74" s="382" t="inlineStr">
        <is>
          <t>GP Returns</t>
        </is>
      </c>
      <c r="D74" s="1018" t="n"/>
      <c r="E74" s="1019" t="n"/>
      <c r="F74" s="394" t="n"/>
      <c r="G74" s="346" t="n"/>
      <c r="H74" s="395" t="n"/>
      <c r="I74" s="395" t="n"/>
      <c r="J74" s="1023" t="n"/>
      <c r="K74" s="1023" t="n"/>
    </row>
    <row r="75" outlineLevel="1" ht="15" customHeight="1">
      <c r="B75" s="387" t="inlineStr">
        <is>
          <t>Total GP Distributions</t>
        </is>
      </c>
      <c r="D75" s="346">
        <f>SUM(F75:K75)</f>
        <v/>
      </c>
      <c r="E75" s="1019"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D76" s="346">
        <f>SUM(F76:K76)</f>
        <v/>
      </c>
      <c r="E76" s="1019"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D77" s="346">
        <f>SUM(F77:K77)</f>
        <v/>
      </c>
      <c r="E77" s="1019"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D78" s="346">
        <f>+D75+D76-D77</f>
        <v/>
      </c>
      <c r="E78" s="1019" t="n"/>
      <c r="F78" s="394" t="n"/>
      <c r="G78" s="346" t="n"/>
      <c r="H78" s="395" t="n"/>
      <c r="I78" s="395" t="n"/>
      <c r="J78" s="1023" t="n"/>
      <c r="K78" s="1023" t="n"/>
    </row>
    <row r="79" outlineLevel="1" ht="15" customHeight="1">
      <c r="B79" s="387" t="inlineStr">
        <is>
          <t>GP IRR</t>
        </is>
      </c>
      <c r="D79" s="401">
        <f>IFERROR(IRR(F79:K79),"NA")</f>
        <v/>
      </c>
      <c r="E79" s="1019"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D80" s="925">
        <f>IFERROR(D75/D77,"NA")</f>
        <v/>
      </c>
      <c r="E80" s="1019" t="n"/>
      <c r="F80" s="383" t="n"/>
      <c r="G80" s="384" t="n"/>
      <c r="H80" s="385" t="n"/>
      <c r="I80" s="385" t="n"/>
      <c r="J80" s="341" t="n"/>
      <c r="K80" s="341" t="n"/>
    </row>
    <row r="81" outlineLevel="1" ht="15" customHeight="1">
      <c r="B81" s="403" t="n"/>
      <c r="C81" s="994" t="n"/>
      <c r="D81" s="1025" t="n"/>
      <c r="F81" s="386" t="n"/>
      <c r="G81" s="386" t="n"/>
      <c r="H81" s="386" t="n"/>
      <c r="I81" s="386" t="n"/>
      <c r="J81" s="341" t="n"/>
      <c r="K81" s="341" t="n"/>
    </row>
    <row r="82" outlineLevel="1" ht="15.75" customHeight="1">
      <c r="B82" s="421" t="inlineStr">
        <is>
          <t>Property-Level Cash and GP Fees</t>
        </is>
      </c>
      <c r="E82" s="145" t="n"/>
      <c r="F82" s="419" t="inlineStr">
        <is>
          <t>Year 0</t>
        </is>
      </c>
      <c r="G82" s="934">
        <f>G$21</f>
        <v/>
      </c>
      <c r="H82" s="934">
        <f>H$21</f>
        <v/>
      </c>
      <c r="I82" s="934">
        <f>I$21</f>
        <v/>
      </c>
      <c r="J82" s="934">
        <f>J$21</f>
        <v/>
      </c>
      <c r="K82" s="934">
        <f>K$21</f>
        <v/>
      </c>
    </row>
    <row r="83" outlineLevel="1" ht="15" customHeight="1">
      <c r="B83" s="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E84" s="1026" t="n"/>
      <c r="F84" s="434">
        <f>IF(F47="","",F47)</f>
        <v/>
      </c>
      <c r="G84" s="434">
        <f>IF(G47="","",G47)</f>
        <v/>
      </c>
      <c r="H84" s="434">
        <f>IF(H47="","",H47)</f>
        <v/>
      </c>
      <c r="I84" s="434">
        <f>IF(I47="","",I47)</f>
        <v/>
      </c>
      <c r="J84" s="434">
        <f>IF(J47="","",J47)</f>
        <v/>
      </c>
      <c r="K84" s="434">
        <f>IF(K47="","",K47)</f>
        <v/>
      </c>
    </row>
    <row r="85" outlineLevel="1" ht="15" customHeight="1">
      <c r="B85" s="435">
        <f>IF(B48="","",B48)</f>
        <v/>
      </c>
      <c r="E85" s="1026" t="n"/>
      <c r="F85" s="434">
        <f>IF(F48="","",F48)</f>
        <v/>
      </c>
      <c r="G85" s="434">
        <f>IF(G48="","",G48)</f>
        <v/>
      </c>
      <c r="H85" s="434">
        <f>IF(H48="","",H48)</f>
        <v/>
      </c>
      <c r="I85" s="434">
        <f>IF(I48="","",I48)</f>
        <v/>
      </c>
      <c r="J85" s="434">
        <f>IF(J48="","",J48)</f>
        <v/>
      </c>
      <c r="K85" s="434">
        <f>IF(K48="","",K48)</f>
        <v/>
      </c>
    </row>
    <row r="86" outlineLevel="1" ht="15" customHeight="1">
      <c r="B86" s="435">
        <f>IF(B49="","",B49)</f>
        <v/>
      </c>
      <c r="E86" s="1026"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E87" s="1026"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F88" s="385">
        <f>IRR(F87:K87)</f>
        <v/>
      </c>
      <c r="G88" s="386" t="n"/>
      <c r="H88" s="386" t="n"/>
      <c r="I88" s="386" t="n"/>
      <c r="J88" s="341" t="n"/>
      <c r="K88" s="341" t="n"/>
    </row>
    <row r="89" outlineLevel="1" ht="15" customHeight="1">
      <c r="B89" s="59" t="inlineStr">
        <is>
          <t>Equity Multiple</t>
        </is>
      </c>
      <c r="F89" s="929">
        <f>SUMIF(F87:K87,"&gt;0")/-SUMIF(F87:K87,"&lt;0")</f>
        <v/>
      </c>
      <c r="G89" s="386" t="n"/>
      <c r="H89" s="386" t="n"/>
      <c r="I89" s="386" t="n"/>
      <c r="J89" s="341" t="n"/>
      <c r="K89" s="341" t="n"/>
    </row>
    <row r="90" outlineLevel="1" ht="15" customHeight="1">
      <c r="B90" s="59" t="n"/>
      <c r="E90" s="341" t="n"/>
      <c r="F90" s="414" t="n"/>
      <c r="G90" s="386" t="n"/>
      <c r="H90" s="386" t="n"/>
      <c r="I90" s="386" t="n"/>
      <c r="J90" s="341" t="n"/>
      <c r="K90" s="341" t="n"/>
    </row>
    <row r="91" outlineLevel="1" ht="15.75" customHeight="1">
      <c r="B91" s="421" t="inlineStr">
        <is>
          <t>Tier 1 - Preferred Return + Return of Capital</t>
        </is>
      </c>
      <c r="F91" s="419" t="n"/>
      <c r="G91" s="436" t="n"/>
      <c r="H91" s="419" t="n"/>
      <c r="I91" s="419" t="n"/>
      <c r="J91" s="341" t="n"/>
      <c r="K91" s="341" t="n"/>
    </row>
    <row r="92" outlineLevel="1" ht="15" customHeight="1">
      <c r="B92" s="437" t="inlineStr">
        <is>
          <t>Return Threshold - Up to:</t>
        </is>
      </c>
      <c r="C92" s="938">
        <f>E60</f>
        <v/>
      </c>
      <c r="F92" s="419" t="inlineStr">
        <is>
          <t>Year 0</t>
        </is>
      </c>
      <c r="G92" s="934">
        <f>G$21</f>
        <v/>
      </c>
      <c r="H92" s="934">
        <f>H$21</f>
        <v/>
      </c>
      <c r="I92" s="934">
        <f>I$21</f>
        <v/>
      </c>
      <c r="J92" s="934">
        <f>J$21</f>
        <v/>
      </c>
      <c r="K92" s="934">
        <f>K$21</f>
        <v/>
      </c>
    </row>
    <row r="93" outlineLevel="1" ht="15" customHeight="1">
      <c r="B93" s="59" t="inlineStr">
        <is>
          <t>Beginning Balance (LP Capital Account)</t>
        </is>
      </c>
      <c r="F93" s="395">
        <f>IF(F92="","",E98)</f>
        <v/>
      </c>
      <c r="G93" s="395">
        <f>IF(G92="","",F98)</f>
        <v/>
      </c>
      <c r="H93" s="395">
        <f>IF(H92="","",G98)</f>
        <v/>
      </c>
      <c r="I93" s="395">
        <f>IF(I92="","",H98)</f>
        <v/>
      </c>
      <c r="J93" s="395">
        <f>IF(J92="","",I98)</f>
        <v/>
      </c>
      <c r="K93" s="395">
        <f>IF(K92="","",J98)</f>
        <v/>
      </c>
    </row>
    <row r="94" outlineLevel="1" ht="15" customHeight="1">
      <c r="B94" s="59" t="inlineStr">
        <is>
          <t>LP Return of Capital</t>
        </is>
      </c>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F101" s="395" t="n"/>
      <c r="G101" s="395" t="n"/>
      <c r="H101" s="395" t="n"/>
      <c r="I101" s="395" t="n"/>
      <c r="J101" s="1023" t="n"/>
      <c r="K101" s="1023" t="n"/>
    </row>
    <row r="102" outlineLevel="1" ht="15" customHeight="1">
      <c r="B102" s="59" t="inlineStr">
        <is>
          <t>Beginning Balance (GP Capital Account)</t>
        </is>
      </c>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F108" s="395" t="n"/>
      <c r="G108" s="346" t="n"/>
      <c r="H108" s="346" t="n"/>
      <c r="I108" s="346" t="n"/>
      <c r="J108" s="1021" t="n"/>
      <c r="K108" s="1021" t="n"/>
    </row>
    <row r="109" outlineLevel="1" ht="15" customHeight="1">
      <c r="B109" s="59">
        <f>"Total Distributions ("&amp;B91&amp;")"</f>
        <v/>
      </c>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F111" s="386" t="n"/>
      <c r="G111" s="386" t="n"/>
      <c r="H111" s="386" t="n"/>
      <c r="I111" s="386" t="n"/>
      <c r="J111" s="341" t="n"/>
      <c r="K111" s="341" t="n"/>
    </row>
    <row r="112" outlineLevel="1" ht="15.75" customHeight="1">
      <c r="B112" s="421" t="inlineStr">
        <is>
          <t>Tier 2</t>
        </is>
      </c>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F113" s="386" t="n"/>
      <c r="G113" s="940" t="n"/>
      <c r="H113" s="940" t="n"/>
      <c r="I113" s="940" t="n"/>
      <c r="J113" s="1030" t="n"/>
      <c r="K113" s="1030" t="n"/>
    </row>
    <row r="114" outlineLevel="1" ht="15" customHeight="1">
      <c r="B114" s="59" t="inlineStr">
        <is>
          <t>Beginning Balance (LP Capital Account)</t>
        </is>
      </c>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F117" s="395">
        <f>F100</f>
        <v/>
      </c>
      <c r="G117" s="395">
        <f>G100</f>
        <v/>
      </c>
      <c r="H117" s="395">
        <f>H100</f>
        <v/>
      </c>
      <c r="I117" s="395">
        <f>I100</f>
        <v/>
      </c>
      <c r="J117" s="395">
        <f>J100</f>
        <v/>
      </c>
      <c r="K117" s="395">
        <f>K100</f>
        <v/>
      </c>
    </row>
    <row r="118" outlineLevel="1" ht="15" customHeight="1">
      <c r="B118" s="59">
        <f>"Distributions to LP "&amp;B112</f>
        <v/>
      </c>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991" t="n"/>
      <c r="D121" s="991" t="n"/>
      <c r="E121" s="991" t="n"/>
      <c r="F121" s="446" t="n"/>
      <c r="G121" s="446" t="n"/>
      <c r="H121" s="446" t="n"/>
      <c r="I121" s="446" t="n"/>
      <c r="J121" s="1031" t="n"/>
      <c r="K121" s="1031" t="n"/>
    </row>
    <row r="122" outlineLevel="1" ht="15" customHeight="1">
      <c r="B122" s="59" t="inlineStr">
        <is>
          <t>Distribution to LP</t>
        </is>
      </c>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F126" s="386" t="n"/>
      <c r="G126" s="386" t="n"/>
      <c r="H126" s="386" t="n"/>
      <c r="I126" s="386" t="n"/>
      <c r="J126" s="341" t="n"/>
      <c r="K126" s="341" t="n"/>
    </row>
    <row r="127" outlineLevel="1" ht="15.75" customHeight="1">
      <c r="B127" s="421" t="inlineStr">
        <is>
          <t>Tier 3</t>
        </is>
      </c>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F128" s="386" t="n"/>
      <c r="G128" s="940" t="n"/>
      <c r="H128" s="940" t="n"/>
      <c r="I128" s="940" t="n"/>
      <c r="J128" s="1030" t="n"/>
      <c r="K128" s="1030" t="n"/>
    </row>
    <row r="129" outlineLevel="1" ht="15" customHeight="1">
      <c r="B129" s="59" t="inlineStr">
        <is>
          <t>Beginning Balance (LP Capital Account)</t>
        </is>
      </c>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991" t="n"/>
      <c r="D136" s="991" t="n"/>
      <c r="E136" s="991" t="n"/>
      <c r="F136" s="446" t="n"/>
      <c r="G136" s="446" t="n"/>
      <c r="H136" s="446" t="n"/>
      <c r="I136" s="446" t="n"/>
      <c r="J136" s="1031" t="n"/>
      <c r="K136" s="1031" t="n"/>
    </row>
    <row r="137" outlineLevel="1" ht="15" customHeight="1">
      <c r="B137" s="59" t="inlineStr">
        <is>
          <t>Distribution to LP</t>
        </is>
      </c>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F141" s="386" t="n"/>
      <c r="G141" s="386" t="n"/>
      <c r="H141" s="386" t="n"/>
      <c r="I141" s="386" t="n"/>
      <c r="J141" s="341" t="n"/>
      <c r="K141" s="341" t="n"/>
    </row>
    <row r="142" outlineLevel="1" ht="15.75" customHeight="1">
      <c r="B142" s="421" t="inlineStr">
        <is>
          <t>Tier 4</t>
        </is>
      </c>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F143" s="386" t="n"/>
      <c r="G143" s="940" t="n"/>
      <c r="H143" s="940" t="n"/>
      <c r="I143" s="940" t="n"/>
      <c r="J143" s="1030" t="n"/>
      <c r="K143" s="1030" t="n"/>
    </row>
    <row r="144" outlineLevel="1" ht="15" customHeight="1">
      <c r="B144" s="59" t="inlineStr">
        <is>
          <t>Beginning Balance (LP Capital Account)</t>
        </is>
      </c>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991" t="n"/>
      <c r="D151" s="991" t="n"/>
      <c r="E151" s="991" t="n"/>
      <c r="F151" s="446" t="n"/>
      <c r="G151" s="446" t="n"/>
      <c r="H151" s="446" t="n"/>
      <c r="I151" s="446" t="n"/>
      <c r="J151" s="1031" t="n"/>
      <c r="K151" s="1031" t="n"/>
    </row>
    <row r="152" outlineLevel="1" ht="15" customHeight="1">
      <c r="B152" s="59" t="inlineStr">
        <is>
          <t>Distribution to LP</t>
        </is>
      </c>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F156" s="386" t="n"/>
      <c r="G156" s="386" t="n"/>
      <c r="H156" s="386" t="n"/>
      <c r="I156" s="386" t="n"/>
      <c r="J156" s="341" t="n"/>
      <c r="K156" s="341" t="n"/>
    </row>
    <row r="157" outlineLevel="1" ht="15.75" customHeight="1">
      <c r="B157" s="421" t="inlineStr">
        <is>
          <t>Tier 5</t>
        </is>
      </c>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F158" s="386" t="n"/>
      <c r="G158" s="940" t="n"/>
      <c r="H158" s="940" t="n"/>
      <c r="I158" s="940" t="n"/>
      <c r="J158" s="1030" t="n"/>
      <c r="K158" s="1030" t="n"/>
    </row>
    <row r="159" outlineLevel="1" ht="15" customHeight="1">
      <c r="B159" s="59" t="inlineStr">
        <is>
          <t>Distribution to LP</t>
        </is>
      </c>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F162" s="395">
        <f>IF(F157="","",F155-F161)</f>
        <v/>
      </c>
      <c r="G162" s="395">
        <f>IF(G157="","",G155-G161)</f>
        <v/>
      </c>
      <c r="H162" s="395">
        <f>IF(H157="","",H155-H161)</f>
        <v/>
      </c>
      <c r="I162" s="395">
        <f>IF(I157="","",I155-I161)</f>
        <v/>
      </c>
      <c r="J162" s="395">
        <f>IF(J157="","",J155-J161)</f>
        <v/>
      </c>
      <c r="K162" s="395">
        <f>IF(K157="","",K155-K161)</f>
        <v/>
      </c>
    </row>
    <row r="163" outlineLevel="1" ht="15" customHeight="1">
      <c r="F163" s="145" t="n"/>
      <c r="G163" s="145" t="n"/>
      <c r="H163" s="145" t="n"/>
      <c r="I163" s="145" t="n"/>
      <c r="J163" s="145" t="n"/>
      <c r="K163" s="145" t="n"/>
    </row>
    <row r="164" outlineLevel="1" ht="18.75" customHeight="1">
      <c r="B164" s="415" t="inlineStr">
        <is>
          <t>PARTNERSHIP LEVEL RETURNS - EMx EQUITY WATERFALL</t>
        </is>
      </c>
      <c r="C164" s="991" t="n"/>
      <c r="D164" s="991" t="n"/>
      <c r="E164" s="991" t="n"/>
      <c r="F164" s="417" t="n"/>
      <c r="G164" s="417" t="n"/>
      <c r="H164" s="417" t="n"/>
      <c r="I164" s="417" t="n"/>
      <c r="J164" s="338" t="n"/>
      <c r="K164" s="338" t="n"/>
    </row>
    <row r="165" outlineLevel="1" ht="5.1" customHeight="1">
      <c r="B165" s="203" t="n"/>
      <c r="C165" s="145" t="n"/>
      <c r="D165" s="335" t="inlineStr">
        <is>
          <t>Equity Multiple</t>
        </is>
      </c>
      <c r="E165" s="145" t="n"/>
      <c r="F165" s="203" t="n"/>
      <c r="G165" s="203" t="n"/>
      <c r="H165" s="203" t="n"/>
      <c r="I165" s="203" t="n"/>
      <c r="J165" s="145" t="n"/>
      <c r="K165" s="145" t="n"/>
    </row>
    <row r="166" outlineLevel="1" ht="15" customHeight="1">
      <c r="B166" s="418" t="n"/>
      <c r="D166" s="341" t="n"/>
      <c r="F166" s="797" t="inlineStr">
        <is>
          <t>Promote Structure Incentive Breakdown</t>
        </is>
      </c>
      <c r="H166" s="798" t="inlineStr">
        <is>
          <t>Distribution as %</t>
        </is>
      </c>
      <c r="J166" s="145" t="n"/>
      <c r="K166" s="145" t="n"/>
    </row>
    <row r="167" outlineLevel="1" ht="15.75" customHeight="1">
      <c r="B167" s="421">
        <f>IF(D165="Equity Multiple","Partnership Distribution Assumptions (Equity Multiple Hurdles)","Partnership Distribution Assumptions (IRR Hurdles)")</f>
        <v/>
      </c>
      <c r="D167" s="341" t="n"/>
      <c r="H167" s="422" t="inlineStr">
        <is>
          <t>GP %</t>
        </is>
      </c>
      <c r="I167" s="423" t="inlineStr">
        <is>
          <t>LP %</t>
        </is>
      </c>
      <c r="J167" s="423" t="inlineStr">
        <is>
          <t>Notes</t>
        </is>
      </c>
      <c r="K167" s="145" t="n"/>
    </row>
    <row r="168" outlineLevel="1" ht="15" customHeight="1">
      <c r="B168" s="59">
        <f>B15</f>
        <v/>
      </c>
      <c r="C168" s="365" t="inlineStr">
        <is>
          <t>Equity Multiple</t>
        </is>
      </c>
      <c r="D168" s="1028"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493" t="n"/>
    </row>
    <row r="169" outlineLevel="1" ht="15" customHeight="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493" t="n"/>
    </row>
    <row r="170" outlineLevel="1" ht="15" customHeight="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493" t="n"/>
    </row>
    <row r="171" outlineLevel="1" ht="15" customHeight="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029" t="n"/>
    </row>
    <row r="172" outlineLevel="1" ht="15" customHeight="1">
      <c r="B172" s="59">
        <f>B19</f>
        <v/>
      </c>
      <c r="C172" s="943">
        <f>C19</f>
        <v/>
      </c>
      <c r="D172" s="916" t="n"/>
      <c r="E172" s="1019" t="n"/>
      <c r="F172" s="914" t="n"/>
      <c r="G172" s="908" t="n"/>
      <c r="H172" s="930">
        <f>IF(H19="","",H19)</f>
        <v/>
      </c>
      <c r="I172" s="908">
        <f>1-H172</f>
        <v/>
      </c>
      <c r="J172" s="371">
        <f>TEXT(I171,"0.0%")&amp;"/"&amp;TEXT(H171,"0.0%")&amp;" to "&amp;(IF(D167="IRR",TEXT(E171,"0.0%"),TEXT(E171,"0.0X")))&amp;", then "&amp;TEXT(I172,"0.0%")&amp;"/"&amp;TEXT(H172,"0.0%")&amp;" to "&amp;(IF(D167="IRR",TEXT(E172,"0.0%"),TEXT(E172,"0.0X")))</f>
        <v/>
      </c>
      <c r="K172" s="493" t="n"/>
    </row>
    <row r="173" outlineLevel="1" ht="15" customHeight="1">
      <c r="B173" s="59" t="n"/>
      <c r="D173" s="1018" t="n"/>
      <c r="E173" s="1019" t="n"/>
      <c r="F173" s="348" t="n"/>
      <c r="G173" s="377" t="n"/>
      <c r="H173" s="378" t="n"/>
      <c r="I173" s="378" t="n"/>
      <c r="J173" s="145" t="n"/>
      <c r="K173" s="145" t="n"/>
    </row>
    <row r="174" outlineLevel="1" ht="15.75" customHeight="1">
      <c r="B174" s="421" t="inlineStr">
        <is>
          <t>Summary of Partnership-Level Returns</t>
        </is>
      </c>
      <c r="D174" s="1018" t="n"/>
      <c r="E174" s="1019"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D175" s="1018" t="n"/>
      <c r="E175" s="1019" t="n"/>
      <c r="F175" s="383" t="n"/>
      <c r="G175" s="384" t="n"/>
      <c r="H175" s="385" t="n"/>
      <c r="I175" s="385" t="n"/>
      <c r="J175" s="386" t="n"/>
      <c r="K175" s="386" t="n"/>
    </row>
    <row r="176" outlineLevel="1" ht="15" customHeight="1">
      <c r="B176" s="387" t="inlineStr">
        <is>
          <t>Total LP Distributions</t>
        </is>
      </c>
      <c r="D176" s="389">
        <f>SUM(F176:K176)</f>
        <v/>
      </c>
      <c r="E176" s="1019"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D177" s="389">
        <f>SUM(F177:K177)</f>
        <v/>
      </c>
      <c r="E177" s="1019" t="n"/>
      <c r="F177" s="346">
        <f>F204</f>
        <v/>
      </c>
      <c r="G177" s="346">
        <f>G204</f>
        <v/>
      </c>
      <c r="H177" s="346">
        <f>H204</f>
        <v/>
      </c>
      <c r="I177" s="346">
        <f>I204</f>
        <v/>
      </c>
      <c r="J177" s="346">
        <f>J204</f>
        <v/>
      </c>
      <c r="K177" s="346">
        <f>K204</f>
        <v/>
      </c>
    </row>
    <row r="178" outlineLevel="1" ht="15" customHeight="1">
      <c r="B178" s="387" t="inlineStr">
        <is>
          <t>Total LP Profit</t>
        </is>
      </c>
      <c r="D178" s="389">
        <f>D176-D177</f>
        <v/>
      </c>
      <c r="E178" s="1019" t="n"/>
      <c r="F178" s="394" t="n"/>
      <c r="G178" s="346" t="n"/>
      <c r="H178" s="395" t="n"/>
      <c r="I178" s="395" t="n"/>
      <c r="J178" s="395" t="n"/>
      <c r="K178" s="395" t="n"/>
    </row>
    <row r="179" outlineLevel="1" ht="15" customHeight="1">
      <c r="B179" s="387" t="inlineStr">
        <is>
          <t>LP IRR</t>
        </is>
      </c>
      <c r="D179" s="430">
        <f>IRR(F179:K179)</f>
        <v/>
      </c>
      <c r="E179" s="1019"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D180" s="935">
        <f>D176/D177</f>
        <v/>
      </c>
      <c r="E180" s="1019" t="n"/>
      <c r="F180" s="394" t="n"/>
      <c r="G180" s="346" t="n"/>
      <c r="H180" s="395" t="n"/>
      <c r="I180" s="395" t="n"/>
      <c r="J180" s="395" t="n"/>
      <c r="K180" s="395" t="n"/>
    </row>
    <row r="181" outlineLevel="1" ht="15" customHeight="1">
      <c r="B181" s="387" t="n"/>
      <c r="D181" s="1018" t="n"/>
      <c r="E181" s="1019" t="n"/>
      <c r="F181" s="394" t="n"/>
      <c r="G181" s="346" t="n"/>
      <c r="H181" s="395" t="n"/>
      <c r="I181" s="395" t="n"/>
      <c r="J181" s="395" t="n"/>
      <c r="K181" s="395" t="n"/>
    </row>
    <row r="182" outlineLevel="1" ht="15" customHeight="1">
      <c r="B182" s="382" t="inlineStr">
        <is>
          <t>GP Returns</t>
        </is>
      </c>
      <c r="D182" s="1018" t="n"/>
      <c r="E182" s="1019" t="n"/>
      <c r="F182" s="394" t="n"/>
      <c r="G182" s="346" t="n"/>
      <c r="H182" s="395" t="n"/>
      <c r="I182" s="395" t="n"/>
      <c r="J182" s="395" t="n"/>
      <c r="K182" s="395" t="n"/>
    </row>
    <row r="183" outlineLevel="1" ht="15" customHeight="1">
      <c r="B183" s="387" t="inlineStr">
        <is>
          <t>Total GP Distributions</t>
        </is>
      </c>
      <c r="D183" s="346">
        <f>SUM(F183:K183)</f>
        <v/>
      </c>
      <c r="E183" s="1019"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D184" s="346">
        <f>SUM(F184:K184)</f>
        <v/>
      </c>
      <c r="E184" s="1019"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D185" s="346">
        <f>SUM(F185:K185)</f>
        <v/>
      </c>
      <c r="E185" s="1019"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D186" s="346">
        <f>+D183+D184-D185</f>
        <v/>
      </c>
      <c r="E186" s="1019" t="n"/>
      <c r="F186" s="394" t="n"/>
      <c r="G186" s="346" t="n"/>
      <c r="H186" s="395" t="n"/>
      <c r="I186" s="395" t="n"/>
      <c r="J186" s="395" t="n"/>
      <c r="K186" s="395" t="n"/>
    </row>
    <row r="187" outlineLevel="1" ht="15" customHeight="1">
      <c r="B187" s="387" t="inlineStr">
        <is>
          <t>GP IRR</t>
        </is>
      </c>
      <c r="D187" s="401">
        <f>IFERROR(IRR(F187:K187),"NA")</f>
        <v/>
      </c>
      <c r="E187" s="1019"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D188" s="925">
        <f>IFERROR(D183/D185,"NA")</f>
        <v/>
      </c>
      <c r="E188" s="1019" t="n"/>
      <c r="F188" s="383" t="n"/>
      <c r="G188" s="384" t="n"/>
      <c r="H188" s="385" t="n"/>
      <c r="I188" s="385" t="n"/>
      <c r="J188" s="386" t="n"/>
      <c r="K188" s="386" t="n"/>
    </row>
    <row r="189" outlineLevel="1" ht="15" customHeight="1">
      <c r="B189" s="403" t="n"/>
      <c r="C189" s="994" t="n"/>
      <c r="D189" s="1025" t="n"/>
      <c r="F189" s="386" t="n"/>
      <c r="G189" s="386" t="n"/>
      <c r="H189" s="386" t="n"/>
      <c r="I189" s="386" t="n"/>
      <c r="J189" s="386" t="n"/>
      <c r="K189" s="386" t="n"/>
    </row>
    <row r="190" outlineLevel="1" ht="15.75" customHeight="1">
      <c r="B190" s="421" t="inlineStr">
        <is>
          <t>Property-Level Cash and GP Fees</t>
        </is>
      </c>
      <c r="E190" s="145" t="n"/>
      <c r="F190" s="419" t="inlineStr">
        <is>
          <t>Year 0</t>
        </is>
      </c>
      <c r="G190" s="934">
        <f>G$21</f>
        <v/>
      </c>
      <c r="H190" s="934">
        <f>H$21</f>
        <v/>
      </c>
      <c r="I190" s="934">
        <f>I$21</f>
        <v/>
      </c>
      <c r="J190" s="934">
        <f>J$21</f>
        <v/>
      </c>
      <c r="K190" s="934">
        <f>K$21</f>
        <v/>
      </c>
    </row>
    <row r="191" outlineLevel="1" ht="15" customHeight="1">
      <c r="B191" s="449" t="n"/>
      <c r="C191" s="1032" t="n"/>
      <c r="D191" s="1032"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1032" t="n"/>
      <c r="D192" s="1032" t="n"/>
      <c r="E192" s="1033" t="n"/>
      <c r="F192" s="434">
        <f>IF(F47="","",F47)</f>
        <v/>
      </c>
      <c r="G192" s="434">
        <f>IF(G47="","",G47)</f>
        <v/>
      </c>
      <c r="H192" s="434">
        <f>IF(H47="","",H47)</f>
        <v/>
      </c>
      <c r="I192" s="434">
        <f>IF(I47="","",I47)</f>
        <v/>
      </c>
      <c r="J192" s="434">
        <f>IF(J47="","",J47)</f>
        <v/>
      </c>
      <c r="K192" s="434">
        <f>IF(K47="","",K47)</f>
        <v/>
      </c>
    </row>
    <row r="193" outlineLevel="1" ht="15" customHeight="1">
      <c r="B193" s="435">
        <f>IF(B48="","",B48)</f>
        <v/>
      </c>
      <c r="C193" s="1032" t="n"/>
      <c r="D193" s="1032" t="n"/>
      <c r="E193" s="1033" t="n"/>
      <c r="F193" s="434">
        <f>IF(F48="","",F48)</f>
        <v/>
      </c>
      <c r="G193" s="434">
        <f>IF(G48="","",G48)</f>
        <v/>
      </c>
      <c r="H193" s="434">
        <f>IF(H48="","",H48)</f>
        <v/>
      </c>
      <c r="I193" s="434">
        <f>IF(I48="","",I48)</f>
        <v/>
      </c>
      <c r="J193" s="434">
        <f>IF(J48="","",J48)</f>
        <v/>
      </c>
      <c r="K193" s="434">
        <f>IF(K48="","",K48)</f>
        <v/>
      </c>
    </row>
    <row r="194" outlineLevel="1" ht="15" customHeight="1">
      <c r="B194" s="435">
        <f>IF(B49="","",B49)</f>
        <v/>
      </c>
      <c r="C194" s="1032" t="n"/>
      <c r="D194" s="1032" t="n"/>
      <c r="E194" s="1033"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E195" s="1026"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F196" s="385">
        <f>IRR(F195:K195)</f>
        <v/>
      </c>
      <c r="G196" s="386" t="n"/>
      <c r="H196" s="386" t="n"/>
      <c r="I196" s="386" t="n"/>
      <c r="J196" s="386" t="n"/>
      <c r="K196" s="386" t="n"/>
    </row>
    <row r="197" outlineLevel="1" ht="15" customHeight="1">
      <c r="B197" s="59" t="inlineStr">
        <is>
          <t>Equity Multiple</t>
        </is>
      </c>
      <c r="F197" s="929">
        <f>SUMIF(F195:K195,"&gt;0")/-SUMIF(F195:K195,"&lt;0")</f>
        <v/>
      </c>
      <c r="G197" s="386" t="n"/>
      <c r="H197" s="386" t="n"/>
      <c r="I197" s="386" t="n"/>
      <c r="J197" s="386" t="n"/>
      <c r="K197" s="386" t="n"/>
    </row>
    <row r="198" outlineLevel="1" ht="15" customHeight="1">
      <c r="B198" s="59" t="n"/>
      <c r="E198" s="341" t="n"/>
      <c r="F198" s="414" t="n"/>
      <c r="G198" s="386" t="n"/>
      <c r="H198" s="386" t="n"/>
      <c r="I198" s="386" t="n"/>
      <c r="J198" s="386" t="n"/>
      <c r="K198" s="386" t="n"/>
    </row>
    <row r="199" outlineLevel="1" ht="15.75" customHeight="1">
      <c r="B199" s="421" t="inlineStr">
        <is>
          <t>Tier 1 - Preferred Return + Return of Capital</t>
        </is>
      </c>
      <c r="F199" s="419" t="n"/>
      <c r="G199" s="419" t="n"/>
      <c r="H199" s="419" t="n"/>
      <c r="I199" s="419" t="n"/>
      <c r="J199" s="419" t="n"/>
      <c r="K199" s="419" t="n"/>
    </row>
    <row r="200" outlineLevel="1" ht="15" customHeight="1">
      <c r="B200" s="437" t="inlineStr">
        <is>
          <t>Return Threshold - Up to:</t>
        </is>
      </c>
      <c r="C200" s="944">
        <f>E168</f>
        <v/>
      </c>
      <c r="F200" s="419" t="inlineStr">
        <is>
          <t>Year 0</t>
        </is>
      </c>
      <c r="G200" s="934">
        <f>G$21</f>
        <v/>
      </c>
      <c r="H200" s="934">
        <f>H$21</f>
        <v/>
      </c>
      <c r="I200" s="934">
        <f>I$21</f>
        <v/>
      </c>
      <c r="J200" s="934">
        <f>J$21</f>
        <v/>
      </c>
      <c r="K200" s="934">
        <f>K$21</f>
        <v/>
      </c>
    </row>
    <row r="201" outlineLevel="1" ht="15" customHeight="1">
      <c r="B201" s="59" t="inlineStr">
        <is>
          <t>Beginning Balance (LP Capital Account)</t>
        </is>
      </c>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F209" s="395" t="n"/>
      <c r="G209" s="395" t="n"/>
      <c r="H209" s="395" t="n"/>
      <c r="I209" s="395" t="n"/>
      <c r="J209" s="395" t="n"/>
      <c r="K209" s="395" t="n"/>
    </row>
    <row r="210" outlineLevel="1" ht="15" customHeight="1">
      <c r="B210" s="59" t="inlineStr">
        <is>
          <t>Beginning Balance (GP Capital Account)</t>
        </is>
      </c>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F216" s="395" t="n"/>
      <c r="G216" s="346" t="n"/>
      <c r="H216" s="346" t="n"/>
      <c r="I216" s="346" t="n"/>
      <c r="J216" s="346" t="n"/>
      <c r="K216" s="346" t="n"/>
    </row>
    <row r="217" outlineLevel="1" ht="15" customHeight="1">
      <c r="B217" s="59">
        <f>"Total Distributions ("&amp;B199&amp;")"</f>
        <v/>
      </c>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F219" s="386" t="n"/>
      <c r="G219" s="386" t="n"/>
      <c r="H219" s="386" t="n"/>
      <c r="I219" s="386" t="n"/>
      <c r="J219" s="386" t="n"/>
      <c r="K219" s="386" t="n"/>
    </row>
    <row r="220" outlineLevel="1" ht="15.75" customHeight="1">
      <c r="B220" s="421" t="inlineStr">
        <is>
          <t>Tier 2</t>
        </is>
      </c>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F221" s="386" t="n"/>
      <c r="G221" s="940" t="n"/>
      <c r="H221" s="940" t="n"/>
      <c r="I221" s="940" t="n"/>
      <c r="J221" s="940" t="n"/>
      <c r="K221" s="940" t="n"/>
    </row>
    <row r="222" outlineLevel="1" ht="15" customHeight="1">
      <c r="B222" s="59" t="inlineStr">
        <is>
          <t>Beginning Balance (LP Capital Account)</t>
        </is>
      </c>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F225" s="395">
        <f>F208</f>
        <v/>
      </c>
      <c r="G225" s="395">
        <f>G208</f>
        <v/>
      </c>
      <c r="H225" s="395">
        <f>H208</f>
        <v/>
      </c>
      <c r="I225" s="395">
        <f>I208</f>
        <v/>
      </c>
      <c r="J225" s="395">
        <f>J208</f>
        <v/>
      </c>
      <c r="K225" s="395">
        <f>K208</f>
        <v/>
      </c>
    </row>
    <row r="226" outlineLevel="1" ht="15" customHeight="1">
      <c r="B226" s="59">
        <f>"Distributions to LP "&amp;B220</f>
        <v/>
      </c>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991" t="n"/>
      <c r="D229" s="991" t="n"/>
      <c r="E229" s="991" t="n"/>
      <c r="F229" s="446" t="n"/>
      <c r="G229" s="446" t="n"/>
      <c r="H229" s="446" t="n"/>
      <c r="I229" s="446" t="n"/>
      <c r="J229" s="446" t="n"/>
      <c r="K229" s="446" t="n"/>
    </row>
    <row r="230" outlineLevel="1" ht="15" customHeight="1">
      <c r="B230" s="59" t="inlineStr">
        <is>
          <t>Distribution to LP</t>
        </is>
      </c>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F234" s="386" t="n"/>
      <c r="G234" s="386" t="n"/>
      <c r="H234" s="386" t="n"/>
      <c r="I234" s="386" t="n"/>
      <c r="J234" s="386" t="n"/>
      <c r="K234" s="386" t="n"/>
    </row>
    <row r="235" outlineLevel="1" ht="15.75" customHeight="1">
      <c r="B235" s="421" t="inlineStr">
        <is>
          <t>Tier 3</t>
        </is>
      </c>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F236" s="386" t="n"/>
      <c r="G236" s="940" t="n"/>
      <c r="H236" s="940" t="n"/>
      <c r="I236" s="940" t="n"/>
      <c r="J236" s="940" t="n"/>
      <c r="K236" s="940" t="n"/>
    </row>
    <row r="237" outlineLevel="1" ht="15" customHeight="1">
      <c r="B237" s="59" t="inlineStr">
        <is>
          <t>Beginning Balance (LP Capital Account)</t>
        </is>
      </c>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991" t="n"/>
      <c r="D244" s="991" t="n"/>
      <c r="E244" s="991" t="n"/>
      <c r="F244" s="446" t="n"/>
      <c r="G244" s="446" t="n"/>
      <c r="H244" s="446" t="n"/>
      <c r="I244" s="446" t="n"/>
      <c r="J244" s="446" t="n"/>
      <c r="K244" s="446" t="n"/>
    </row>
    <row r="245" outlineLevel="1" ht="15" customHeight="1">
      <c r="B245" s="59" t="inlineStr">
        <is>
          <t>Distribution to LP</t>
        </is>
      </c>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F249" s="386" t="n"/>
      <c r="G249" s="386" t="n"/>
      <c r="H249" s="386" t="n"/>
      <c r="I249" s="386" t="n"/>
      <c r="J249" s="386" t="n"/>
      <c r="K249" s="386" t="n"/>
    </row>
    <row r="250" outlineLevel="1" ht="15.75" customHeight="1">
      <c r="B250" s="421" t="inlineStr">
        <is>
          <t>Tier 4</t>
        </is>
      </c>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F251" s="386" t="n"/>
      <c r="G251" s="940" t="n"/>
      <c r="H251" s="940" t="n"/>
      <c r="I251" s="940" t="n"/>
      <c r="J251" s="940" t="n"/>
      <c r="K251" s="940" t="n"/>
    </row>
    <row r="252" outlineLevel="1" ht="15" customHeight="1">
      <c r="B252" s="59" t="inlineStr">
        <is>
          <t>Beginning Balance (LP Capital Account)</t>
        </is>
      </c>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991" t="n"/>
      <c r="D259" s="991" t="n"/>
      <c r="E259" s="991" t="n"/>
      <c r="F259" s="446" t="n"/>
      <c r="G259" s="446" t="n"/>
      <c r="H259" s="446" t="n"/>
      <c r="I259" s="446" t="n"/>
      <c r="J259" s="446" t="n"/>
      <c r="K259" s="446" t="n"/>
    </row>
    <row r="260" outlineLevel="1" ht="15" customHeight="1">
      <c r="B260" s="59" t="inlineStr">
        <is>
          <t>Distribution to LP</t>
        </is>
      </c>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F264" s="386" t="n"/>
      <c r="G264" s="386" t="n"/>
      <c r="H264" s="386" t="n"/>
      <c r="I264" s="386" t="n"/>
      <c r="J264" s="386" t="n"/>
      <c r="K264" s="386" t="n"/>
    </row>
    <row r="265" outlineLevel="1" ht="15.75" customHeight="1">
      <c r="B265" s="421" t="inlineStr">
        <is>
          <t>Tier 5</t>
        </is>
      </c>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F266" s="386" t="n"/>
      <c r="G266" s="940" t="n"/>
      <c r="H266" s="940" t="n"/>
      <c r="I266" s="940" t="n"/>
      <c r="J266" s="940" t="n"/>
      <c r="K266" s="940" t="n"/>
    </row>
    <row r="267" outlineLevel="1" ht="15" customHeight="1">
      <c r="B267" s="59" t="inlineStr">
        <is>
          <t>Distribution to LP</t>
        </is>
      </c>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034" t="n"/>
      <c r="F3" s="1034" t="n"/>
      <c r="G3" s="1034" t="n"/>
      <c r="H3" s="123" t="inlineStr">
        <is>
          <t>S2</t>
        </is>
      </c>
    </row>
    <row r="4" ht="28.5" customHeight="1">
      <c r="B4" s="799" t="inlineStr">
        <is>
          <t>Sources of Funds</t>
        </is>
      </c>
      <c r="D4" s="166" t="inlineStr">
        <is>
          <t>/ Unit</t>
        </is>
      </c>
      <c r="E4" s="1035" t="n"/>
      <c r="F4" s="1035" t="n"/>
      <c r="G4" s="1035" t="n"/>
      <c r="H4" s="799" t="inlineStr">
        <is>
          <t>Sources of Funds</t>
        </is>
      </c>
      <c r="J4" s="166" t="inlineStr">
        <is>
          <t>/ Unit</t>
        </is>
      </c>
      <c r="K4" s="217" t="n"/>
    </row>
    <row r="5" ht="21" customHeight="1">
      <c r="B5" s="155" t="inlineStr">
        <is>
          <t>Senior Loan</t>
        </is>
      </c>
      <c r="C5" s="306">
        <f>'Loan Scenario (acquisition)'!C31</f>
        <v/>
      </c>
      <c r="D5" s="233">
        <f>C5/'GGC Underwriting'!$N$7</f>
        <v/>
      </c>
      <c r="E5" s="1036" t="n"/>
      <c r="F5" s="1037" t="n"/>
      <c r="G5" s="1037" t="n"/>
      <c r="H5" s="155" t="inlineStr">
        <is>
          <t>Senior Loan</t>
        </is>
      </c>
      <c r="I5" s="306">
        <f>'Loan Scenario (acquisition)'!C31</f>
        <v/>
      </c>
      <c r="J5" s="233">
        <f>I5/'GGC Underwriting'!$N$7</f>
        <v/>
      </c>
      <c r="K5" s="215" t="n"/>
      <c r="L5" s="678" t="n"/>
      <c r="O5" s="995" t="n"/>
      <c r="P5" s="1038" t="n"/>
      <c r="Q5" s="995" t="n"/>
    </row>
    <row r="6" ht="21" customHeight="1">
      <c r="B6" s="139" t="inlineStr">
        <is>
          <t>Mezz Debt</t>
        </is>
      </c>
      <c r="C6" s="226" t="n">
        <v>0</v>
      </c>
      <c r="D6" s="233">
        <f>C6/'GGC Underwriting'!$N$7</f>
        <v/>
      </c>
      <c r="E6" s="1036" t="n"/>
      <c r="F6" s="1037" t="n"/>
      <c r="G6" s="1037" t="n"/>
      <c r="H6" s="139" t="inlineStr">
        <is>
          <t>Seller note</t>
        </is>
      </c>
      <c r="I6" s="761" t="n">
        <v>0</v>
      </c>
      <c r="J6" s="233">
        <f>I6/'GGC Underwriting'!$N$7</f>
        <v/>
      </c>
      <c r="K6" s="215" t="n"/>
      <c r="O6" s="995" t="n"/>
      <c r="P6" s="1038" t="n"/>
      <c r="Q6" s="995" t="n"/>
    </row>
    <row r="7" ht="21" customHeight="1">
      <c r="B7" s="139" t="inlineStr">
        <is>
          <t>LP - Equity</t>
        </is>
      </c>
      <c r="C7" s="227">
        <f>C18-C5-C6-C8</f>
        <v/>
      </c>
      <c r="D7" s="233">
        <f>C7/'GGC Underwriting'!$N$7</f>
        <v/>
      </c>
      <c r="E7" s="1036" t="n"/>
      <c r="F7" s="1037" t="n"/>
      <c r="G7" s="1037" t="n"/>
      <c r="H7" s="139" t="inlineStr">
        <is>
          <t>LP - Equity</t>
        </is>
      </c>
      <c r="I7" s="227">
        <f>I18-I5-I6-I8</f>
        <v/>
      </c>
      <c r="J7" s="233">
        <f>I7/'GGC Underwriting'!$N$7</f>
        <v/>
      </c>
      <c r="K7" s="215" t="n"/>
      <c r="O7" s="995" t="n"/>
      <c r="P7" s="1038" t="n"/>
      <c r="Q7" s="995" t="n"/>
    </row>
    <row r="8" ht="21" customHeight="1">
      <c r="B8" s="235" t="inlineStr">
        <is>
          <t>GP</t>
        </is>
      </c>
      <c r="C8" s="697">
        <f>C15</f>
        <v/>
      </c>
      <c r="D8" s="233">
        <f>C8/'GGC Underwriting'!$N$7</f>
        <v/>
      </c>
      <c r="E8" s="461">
        <f>C8/(C7+C8)</f>
        <v/>
      </c>
      <c r="F8" s="1037" t="n"/>
      <c r="G8" s="1037" t="n"/>
      <c r="H8" s="235" t="inlineStr">
        <is>
          <t>GP</t>
        </is>
      </c>
      <c r="I8" s="697">
        <f>I15</f>
        <v/>
      </c>
      <c r="J8" s="233">
        <f>I8/'GGC Underwriting'!$N$7</f>
        <v/>
      </c>
      <c r="K8" s="461">
        <f>I8/(I7+I8)</f>
        <v/>
      </c>
      <c r="O8" s="995" t="n"/>
      <c r="P8" s="1038" t="n"/>
      <c r="Q8" s="995" t="n"/>
    </row>
    <row r="9" ht="21" customHeight="1" thickBot="1">
      <c r="B9" s="142" t="inlineStr">
        <is>
          <t>Total</t>
        </is>
      </c>
      <c r="C9" s="228">
        <f>C5+C6+C7+C8</f>
        <v/>
      </c>
      <c r="D9" s="234">
        <f>C9/'GGC Underwriting'!$N$7</f>
        <v/>
      </c>
      <c r="E9" s="1036" t="n"/>
      <c r="F9" s="1037" t="n"/>
      <c r="G9" s="1037" t="n"/>
      <c r="H9" s="142" t="inlineStr">
        <is>
          <t>Total</t>
        </is>
      </c>
      <c r="I9" s="228">
        <f>I5+I6+I7+I8</f>
        <v/>
      </c>
      <c r="J9" s="234">
        <f>I9/'GGC Underwriting'!$N$7</f>
        <v/>
      </c>
      <c r="K9" s="215" t="n"/>
      <c r="O9" s="995" t="n"/>
      <c r="P9" s="1038" t="n"/>
      <c r="Q9" s="995" t="n"/>
    </row>
    <row r="10" ht="15.75" customHeight="1" thickTop="1">
      <c r="B10" s="140" t="n"/>
      <c r="C10" s="138" t="n"/>
      <c r="D10" s="138" t="n"/>
      <c r="E10" s="1039" t="n"/>
      <c r="F10" s="1040" t="n"/>
      <c r="G10" s="1040" t="n"/>
      <c r="H10" s="140" t="n"/>
      <c r="I10" s="138" t="n"/>
      <c r="J10" s="138" t="n"/>
      <c r="K10" s="138" t="n"/>
    </row>
    <row r="11">
      <c r="B11" s="140" t="n"/>
      <c r="C11" s="138" t="n"/>
      <c r="D11" s="138" t="n"/>
      <c r="E11" s="1039" t="n"/>
      <c r="F11" s="1040" t="n"/>
      <c r="G11" s="1040" t="n"/>
      <c r="H11" s="140" t="n"/>
      <c r="I11" s="138" t="n"/>
      <c r="J11" s="138" t="n"/>
      <c r="K11" s="138" t="n"/>
    </row>
    <row r="12" ht="18.75" customHeight="1">
      <c r="B12" s="799" t="inlineStr">
        <is>
          <t>Uses of Funds</t>
        </is>
      </c>
      <c r="D12" s="166" t="inlineStr">
        <is>
          <t>/ Unit</t>
        </is>
      </c>
      <c r="H12" s="799" t="inlineStr">
        <is>
          <t>Uses of Funds</t>
        </is>
      </c>
      <c r="J12" s="166" t="inlineStr">
        <is>
          <t>/ Unit</t>
        </is>
      </c>
    </row>
    <row r="13" ht="21" customHeight="1">
      <c r="B13" s="155" t="inlineStr">
        <is>
          <t>Purchase Price</t>
        </is>
      </c>
      <c r="C13" s="306">
        <f>'GGC Underwriting'!P4</f>
        <v/>
      </c>
      <c r="D13" s="232">
        <f>C13/'GGC Underwriting'!$N$7</f>
        <v/>
      </c>
      <c r="H13" s="155" t="inlineStr">
        <is>
          <t>Purchase Price</t>
        </is>
      </c>
      <c r="I13" s="306">
        <f>'GGC Underwriting'!P4</f>
        <v/>
      </c>
      <c r="J13" s="232">
        <f>I13/'GGC Underwriting'!$N$7</f>
        <v/>
      </c>
      <c r="L13" s="772" t="n"/>
    </row>
    <row r="14" ht="21" customHeight="1">
      <c r="B14" s="139" t="inlineStr">
        <is>
          <t>Closing Costs</t>
        </is>
      </c>
      <c r="C14" s="226">
        <f>C13*1.5%</f>
        <v/>
      </c>
      <c r="D14" s="233">
        <f>C14/'GGC Underwriting'!$N$7</f>
        <v/>
      </c>
      <c r="H14" s="139" t="inlineStr">
        <is>
          <t>Closing Costs</t>
        </is>
      </c>
      <c r="I14" s="226">
        <f>I13*1.5%</f>
        <v/>
      </c>
      <c r="J14" s="233">
        <f>I14/'GGC Underwriting'!$N$7</f>
        <v/>
      </c>
    </row>
    <row r="15" ht="21" customHeight="1">
      <c r="B15" s="139" t="inlineStr">
        <is>
          <t>Acquisition Fee (2%)</t>
        </is>
      </c>
      <c r="C15" s="226">
        <f>C13*2%</f>
        <v/>
      </c>
      <c r="D15" s="233">
        <f>C15/'GGC Underwriting'!$N$7</f>
        <v/>
      </c>
      <c r="H15" s="139" t="inlineStr">
        <is>
          <t>Acquisition Fee (2%)</t>
        </is>
      </c>
      <c r="I15" s="226">
        <f>I13*2%</f>
        <v/>
      </c>
      <c r="J15" s="233">
        <f>I15/'GGC Underwriting'!$N$7</f>
        <v/>
      </c>
    </row>
    <row r="16" ht="21" customHeight="1">
      <c r="B16" s="139" t="inlineStr">
        <is>
          <t>Equity Broker Fee (3%)</t>
        </is>
      </c>
      <c r="C16" s="226">
        <f>3%*C20</f>
        <v/>
      </c>
      <c r="D16" s="233">
        <f>C16/'GGC Underwriting'!$N$7</f>
        <v/>
      </c>
      <c r="H16" s="139" t="inlineStr">
        <is>
          <t>Equity Broker Fee (3%)</t>
        </is>
      </c>
      <c r="I16" s="226">
        <f>3%*I20</f>
        <v/>
      </c>
      <c r="J16" s="233">
        <f>I16/'GGC Underwriting'!$N$7</f>
        <v/>
      </c>
    </row>
    <row r="17" ht="21" customHeight="1">
      <c r="B17" s="139" t="inlineStr">
        <is>
          <t>Capex Budget</t>
        </is>
      </c>
      <c r="C17" s="688">
        <f>C24</f>
        <v/>
      </c>
      <c r="D17" s="233">
        <f>C17/'GGC Underwriting'!$N$7</f>
        <v/>
      </c>
      <c r="H17" s="139" t="inlineStr">
        <is>
          <t>Capex Budget</t>
        </is>
      </c>
      <c r="I17" s="688">
        <f>I24</f>
        <v/>
      </c>
      <c r="J17" s="233">
        <f>I17/'GGC Underwriting'!$N$7</f>
        <v/>
      </c>
      <c r="K17" s="125" t="inlineStr">
        <is>
          <t>Working Capital</t>
        </is>
      </c>
    </row>
    <row r="18" ht="21" customHeight="1" thickBot="1">
      <c r="B18" s="142" t="inlineStr">
        <is>
          <t>Total</t>
        </is>
      </c>
      <c r="C18" s="228">
        <f>SUM(C13:C17)</f>
        <v/>
      </c>
      <c r="D18" s="234">
        <f>C18/'GGC Underwriting'!$N$7</f>
        <v/>
      </c>
      <c r="H18" s="142" t="inlineStr">
        <is>
          <t>Total</t>
        </is>
      </c>
      <c r="I18" s="228">
        <f>SUM(I13:I17)</f>
        <v/>
      </c>
      <c r="J18" s="234">
        <f>I18/'GGC Underwriting'!$N$7</f>
        <v/>
      </c>
    </row>
    <row r="19" ht="15.75" customHeight="1" thickTop="1"/>
    <row r="20">
      <c r="A20" s="311" t="n"/>
      <c r="C20" s="311" t="n"/>
    </row>
    <row r="21">
      <c r="B21" t="inlineStr">
        <is>
          <t>Water / Septic / Utilities (per deal)</t>
        </is>
      </c>
      <c r="C21" s="947" t="n">
        <v>0</v>
      </c>
      <c r="I21" t="n">
        <v>0</v>
      </c>
    </row>
    <row r="22">
      <c r="B22" t="inlineStr">
        <is>
          <t>Add Homes / In-fill (per deal)</t>
        </is>
      </c>
      <c r="C22" s="947" t="n">
        <v>0</v>
      </c>
      <c r="I22" t="n">
        <v>0</v>
      </c>
    </row>
    <row r="23">
      <c r="B23" t="inlineStr">
        <is>
          <t>Working Capital</t>
        </is>
      </c>
      <c r="C23" s="947" t="n">
        <v>0</v>
      </c>
      <c r="I23" t="n">
        <v>0</v>
      </c>
    </row>
    <row r="24">
      <c r="B24" s="140" t="inlineStr">
        <is>
          <t>Capex Budget Total</t>
        </is>
      </c>
      <c r="C24" s="948">
        <f>SUM(C21:C23)</f>
        <v/>
      </c>
      <c r="I24">
        <f>SUM(I21:I23)</f>
        <v/>
      </c>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n"/>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71" t="n"/>
      <c r="Y2" s="171" t="n"/>
      <c r="Z2" s="171" t="n"/>
      <c r="AA2" s="171" t="n"/>
      <c r="AB2" s="171"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71" t="n"/>
      <c r="Y3" s="171" t="n"/>
      <c r="Z3" s="171" t="n"/>
      <c r="AA3" s="171" t="n"/>
      <c r="AB3" s="171"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71" t="n"/>
      <c r="Y4" s="171" t="n"/>
      <c r="Z4" s="171" t="n"/>
      <c r="AA4" s="171" t="n"/>
      <c r="AB4" s="171"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71" t="n"/>
      <c r="Y5" s="171" t="n"/>
      <c r="Z5" s="171" t="n"/>
      <c r="AA5" s="171" t="n"/>
      <c r="AB5" s="171"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71" t="n"/>
      <c r="Y6" s="171" t="n"/>
      <c r="Z6" s="171" t="n"/>
      <c r="AA6" s="171" t="n"/>
      <c r="AB6" s="171"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Principal</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71" t="n"/>
      <c r="Y7" s="171" t="n"/>
      <c r="Z7" s="171" t="n"/>
      <c r="AA7" s="171" t="n"/>
      <c r="AB7" s="171"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SUM(H43:H54)</f>
        <v/>
      </c>
      <c r="Q8" s="950">
        <f>SUM(H55:H66)</f>
        <v/>
      </c>
      <c r="R8" s="950">
        <f>SUM(H67:H78)</f>
        <v/>
      </c>
      <c r="S8" s="950">
        <f>SUM(H79:H90)</f>
        <v/>
      </c>
      <c r="T8" s="950">
        <f>SUM(H91:H102)</f>
        <v/>
      </c>
      <c r="U8" s="950">
        <f>SUM(H103:H114)</f>
        <v/>
      </c>
      <c r="V8" s="950">
        <f>SUM(H115:H126)</f>
        <v/>
      </c>
      <c r="W8" s="951">
        <f>SUM(M8:V8)</f>
        <v/>
      </c>
      <c r="X8" s="171" t="n"/>
      <c r="Y8" s="171" t="n"/>
      <c r="Z8" s="171" t="n"/>
      <c r="AA8" s="171" t="n"/>
      <c r="AB8" s="171"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71" t="n"/>
      <c r="Y9" s="171" t="n"/>
      <c r="Z9" s="171" t="n"/>
      <c r="AA9" s="171" t="n"/>
      <c r="AB9" s="171"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71" t="n"/>
      <c r="Y10" s="171" t="n"/>
      <c r="Z10" s="171" t="n"/>
      <c r="AA10" s="171" t="n"/>
      <c r="AB10" s="171"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1041" t="n"/>
      <c r="X11" s="171" t="n"/>
      <c r="Y11" s="171" t="n"/>
      <c r="Z11" s="171" t="n"/>
      <c r="AA11" s="171" t="n"/>
      <c r="AB11" s="171" t="n"/>
    </row>
    <row r="12" ht="16.5" customHeight="1">
      <c r="A12" s="181" t="n"/>
      <c r="B12" s="59" t="n"/>
      <c r="C12" s="59" t="n"/>
      <c r="D12" s="181" t="n"/>
      <c r="E12" s="181" t="n"/>
      <c r="F12" s="208" t="n">
        <v>6</v>
      </c>
      <c r="G12" s="209">
        <f>$C$39</f>
        <v/>
      </c>
      <c r="H12" s="209">
        <f>(J11*$C$16)/12</f>
        <v/>
      </c>
      <c r="I12" s="209" t="n">
        <v>0</v>
      </c>
      <c r="J12" s="209">
        <f>J11-I12</f>
        <v/>
      </c>
      <c r="K12" s="1041" t="n"/>
      <c r="X12" s="171" t="n"/>
      <c r="Y12" s="171" t="n"/>
      <c r="Z12" s="171" t="n"/>
      <c r="AA12" s="171" t="n"/>
      <c r="AB12" s="171" t="n"/>
    </row>
    <row r="13" ht="16.5" customHeight="1">
      <c r="A13" s="181" t="n"/>
      <c r="B13" s="195" t="inlineStr">
        <is>
          <t>Interest Rate Stack</t>
        </is>
      </c>
      <c r="C13" s="181" t="n"/>
      <c r="D13" s="181" t="n"/>
      <c r="E13" s="181" t="n"/>
      <c r="F13" s="208" t="n">
        <v>7</v>
      </c>
      <c r="G13" s="209">
        <f>$C$39</f>
        <v/>
      </c>
      <c r="H13" s="209">
        <f>(J12*$C$16)/12</f>
        <v/>
      </c>
      <c r="I13" s="209" t="n">
        <v>0</v>
      </c>
      <c r="J13" s="209">
        <f>J12-I13</f>
        <v/>
      </c>
      <c r="K13" s="1041" t="n"/>
      <c r="L13" s="171" t="n"/>
      <c r="M13" s="1042" t="n"/>
      <c r="N13" s="171" t="n"/>
      <c r="O13" s="171" t="n"/>
      <c r="P13" s="171" t="n"/>
      <c r="Q13" s="171" t="n"/>
      <c r="R13" s="171" t="n"/>
      <c r="S13" s="171" t="n"/>
      <c r="T13" s="171" t="n"/>
      <c r="U13" s="171" t="n"/>
      <c r="V13" s="171" t="n"/>
      <c r="W13" s="171" t="n"/>
      <c r="X13" s="171" t="n"/>
      <c r="Y13" s="171" t="n"/>
      <c r="Z13" s="171" t="n"/>
      <c r="AA13" s="171" t="n"/>
      <c r="AB13" s="171" t="n"/>
    </row>
    <row r="14" ht="16.5" customHeight="1">
      <c r="A14" s="181" t="n"/>
      <c r="B14" s="181" t="inlineStr">
        <is>
          <t>US Treasury or SOFR</t>
        </is>
      </c>
      <c r="C14" s="190" t="n">
        <v>0.0405</v>
      </c>
      <c r="D14" s="181" t="inlineStr">
        <is>
          <t>as of 2026-06</t>
        </is>
      </c>
      <c r="E14" s="181" t="n"/>
      <c r="F14" s="208" t="n">
        <v>8</v>
      </c>
      <c r="G14" s="209">
        <f>$C$39</f>
        <v/>
      </c>
      <c r="H14" s="209">
        <f>(J13*$C$16)/12</f>
        <v/>
      </c>
      <c r="I14" s="209" t="n">
        <v>0</v>
      </c>
      <c r="J14" s="209">
        <f>J13-I14</f>
        <v/>
      </c>
      <c r="K14" s="171" t="n"/>
      <c r="L14" s="171" t="n"/>
      <c r="M14" s="1042" t="n"/>
      <c r="N14" s="171" t="n"/>
      <c r="O14" s="171" t="n"/>
      <c r="P14" s="171" t="n"/>
      <c r="Q14" s="171" t="n"/>
      <c r="R14" s="171" t="n"/>
      <c r="S14" s="171" t="n"/>
      <c r="T14" s="171" t="n"/>
      <c r="U14" s="171" t="n"/>
      <c r="V14" s="171" t="n"/>
      <c r="W14" s="171" t="n"/>
      <c r="X14" s="171" t="n"/>
      <c r="Y14" s="171" t="n"/>
      <c r="Z14" s="171" t="n"/>
      <c r="AA14" s="171" t="n"/>
      <c r="AB14" s="171" t="n"/>
    </row>
    <row r="15" ht="16.5" customHeight="1">
      <c r="A15" s="181" t="n"/>
      <c r="B15" s="181" t="inlineStr">
        <is>
          <t>Spread</t>
        </is>
      </c>
      <c r="C15" s="190" t="n">
        <v>0.0185</v>
      </c>
      <c r="D15" s="181" t="inlineStr">
        <is>
          <t>GGC standard spread</t>
        </is>
      </c>
      <c r="E15" s="181" t="n"/>
      <c r="F15" s="208" t="n">
        <v>9</v>
      </c>
      <c r="G15" s="209">
        <f>$C$39</f>
        <v/>
      </c>
      <c r="H15" s="209">
        <f>(J14*$C$16)/12</f>
        <v/>
      </c>
      <c r="I15" s="209" t="n">
        <v>0</v>
      </c>
      <c r="J15" s="209">
        <f>J14-I15</f>
        <v/>
      </c>
      <c r="K15" s="171" t="n"/>
      <c r="L15" s="171" t="n"/>
      <c r="M15" s="171" t="n"/>
      <c r="N15" s="171" t="n"/>
      <c r="O15" s="1043" t="n"/>
      <c r="P15" s="171" t="n"/>
      <c r="Q15" s="171" t="n"/>
      <c r="R15" s="171" t="n"/>
      <c r="S15" s="171" t="n"/>
      <c r="T15" s="171" t="n"/>
      <c r="U15" s="171" t="n"/>
      <c r="V15" s="171" t="n"/>
      <c r="W15" s="171" t="n"/>
      <c r="X15" s="171" t="n"/>
      <c r="Y15" s="171" t="n"/>
      <c r="Z15" s="171" t="n"/>
      <c r="AA15" s="171" t="n"/>
      <c r="AB15" s="171"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71" t="n"/>
      <c r="L16" s="1044" t="n"/>
      <c r="M16" s="171" t="n"/>
      <c r="N16" s="171" t="n"/>
      <c r="O16" s="1045" t="n"/>
      <c r="P16" s="171" t="n"/>
      <c r="Q16" s="171" t="n"/>
      <c r="R16" s="171" t="n"/>
      <c r="S16" s="171" t="n"/>
      <c r="T16" s="171" t="n"/>
      <c r="U16" s="171" t="n"/>
      <c r="V16" s="171" t="n"/>
      <c r="W16" s="171" t="n"/>
      <c r="X16" s="171" t="n"/>
      <c r="Y16" s="171" t="n"/>
      <c r="Z16" s="171" t="n"/>
      <c r="AA16" s="171" t="n"/>
      <c r="AB16" s="171" t="n"/>
    </row>
    <row r="17" ht="16.5" customHeight="1">
      <c r="A17" s="181" t="n"/>
      <c r="B17" s="181" t="inlineStr">
        <is>
          <t>Mortgage Constant</t>
        </is>
      </c>
      <c r="C17" s="193">
        <f>IFERROR(PMT(C16/12,C$10,(-1))*12," ")</f>
        <v/>
      </c>
      <c r="D17" s="181" t="n"/>
      <c r="E17" s="181" t="n"/>
      <c r="F17" s="208" t="n">
        <v>11</v>
      </c>
      <c r="G17" s="209">
        <f>$C$39</f>
        <v/>
      </c>
      <c r="H17" s="209">
        <f>(J16*$C$16)/12</f>
        <v/>
      </c>
      <c r="I17" s="209" t="n">
        <v>0</v>
      </c>
      <c r="J17" s="209">
        <f>J16-I17</f>
        <v/>
      </c>
      <c r="K17" s="171" t="n"/>
      <c r="L17" s="171" t="n"/>
      <c r="M17" s="171" t="n"/>
      <c r="N17" s="171" t="n"/>
      <c r="O17" s="1045" t="n"/>
      <c r="P17" s="171" t="n"/>
      <c r="Q17" s="171" t="n"/>
      <c r="R17" s="171" t="n"/>
      <c r="S17" s="171" t="n"/>
      <c r="T17" s="171" t="n"/>
      <c r="U17" s="171" t="n"/>
      <c r="V17" s="171" t="n"/>
      <c r="W17" s="171" t="n"/>
      <c r="X17" s="171" t="n"/>
      <c r="Y17" s="171" t="n"/>
      <c r="Z17" s="171" t="n"/>
      <c r="AA17" s="171" t="n"/>
      <c r="AB17" s="171" t="n"/>
    </row>
    <row r="18" ht="16.5" customHeight="1">
      <c r="A18" s="181" t="n"/>
      <c r="D18" s="181" t="n"/>
      <c r="E18" s="181" t="n"/>
      <c r="F18" s="491" t="n">
        <v>12</v>
      </c>
      <c r="G18" s="492">
        <f>$C$39</f>
        <v/>
      </c>
      <c r="H18" s="492">
        <f>(J17*$C$16)/12</f>
        <v/>
      </c>
      <c r="I18" s="492" t="n">
        <v>0</v>
      </c>
      <c r="J18" s="492">
        <f>J17-I18</f>
        <v/>
      </c>
      <c r="K18" s="171" t="n"/>
      <c r="L18" s="171" t="n"/>
      <c r="M18" s="171" t="n"/>
      <c r="N18" s="171" t="n"/>
      <c r="O18" s="1045" t="n"/>
      <c r="P18" s="171" t="n"/>
      <c r="Q18" s="171" t="n"/>
      <c r="R18" s="171" t="n"/>
      <c r="S18" s="171" t="n"/>
      <c r="T18" s="171" t="n"/>
      <c r="U18" s="171" t="n"/>
      <c r="V18" s="171" t="n"/>
      <c r="W18" s="171" t="n"/>
      <c r="X18" s="171" t="n"/>
      <c r="Y18" s="171" t="n"/>
      <c r="Z18" s="171" t="n"/>
      <c r="AA18" s="171" t="n"/>
      <c r="AB18" s="171"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71" t="n"/>
      <c r="L19" s="171" t="n"/>
      <c r="M19" s="171" t="n"/>
      <c r="N19" s="171" t="n"/>
      <c r="O19" s="1045" t="n"/>
      <c r="P19" s="171" t="n"/>
      <c r="Q19" s="171" t="n"/>
      <c r="R19" s="171" t="n"/>
      <c r="S19" s="171" t="n"/>
      <c r="T19" s="171" t="n"/>
      <c r="U19" s="171" t="n"/>
      <c r="V19" s="171" t="n"/>
      <c r="W19" s="171" t="n"/>
      <c r="X19" s="171" t="n"/>
      <c r="Y19" s="171" t="n"/>
      <c r="Z19" s="171" t="n"/>
      <c r="AA19" s="171" t="n"/>
      <c r="AB19" s="171" t="n"/>
    </row>
    <row r="20" ht="16.5" customHeight="1">
      <c r="A20" s="181" t="n"/>
      <c r="B20" s="181" t="inlineStr">
        <is>
          <t>Closing Costs</t>
        </is>
      </c>
      <c r="C20" s="265" t="n">
        <v>0</v>
      </c>
      <c r="D20" s="181" t="n"/>
      <c r="E20" s="181" t="n"/>
      <c r="F20" s="208" t="n">
        <v>14</v>
      </c>
      <c r="G20" s="209">
        <f>$C$39</f>
        <v/>
      </c>
      <c r="H20" s="209">
        <f>(J19*$C$16)/12</f>
        <v/>
      </c>
      <c r="I20" s="209" t="n">
        <v>0</v>
      </c>
      <c r="J20" s="209">
        <f>J19-I20</f>
        <v/>
      </c>
      <c r="K20" s="171" t="n"/>
      <c r="L20" s="171" t="n"/>
      <c r="M20" s="171" t="n"/>
      <c r="N20" s="171" t="n"/>
      <c r="O20" s="1045" t="n"/>
      <c r="P20" s="171" t="n"/>
      <c r="Q20" s="1046" t="n"/>
      <c r="R20" s="1046" t="n"/>
      <c r="S20" s="1047" t="n"/>
      <c r="T20" s="171" t="n"/>
      <c r="U20" s="171" t="n"/>
      <c r="V20" s="171" t="n"/>
      <c r="W20" s="171" t="n"/>
      <c r="X20" s="171" t="n"/>
      <c r="Y20" s="171" t="n"/>
      <c r="Z20" s="171" t="n"/>
      <c r="AA20" s="171" t="n"/>
      <c r="AB20" s="171"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71" t="n"/>
      <c r="L21" s="171" t="n"/>
      <c r="M21" s="171" t="n"/>
      <c r="N21" s="171" t="n"/>
      <c r="O21" s="171" t="n"/>
      <c r="P21" s="171" t="n"/>
      <c r="Q21" s="171" t="n"/>
      <c r="R21" s="171" t="n"/>
      <c r="S21" s="1047" t="n"/>
      <c r="T21" s="171" t="n"/>
      <c r="U21" s="171" t="n"/>
      <c r="V21" s="171" t="n"/>
      <c r="W21" s="171" t="n"/>
      <c r="X21" s="171" t="n"/>
      <c r="Y21" s="171" t="n"/>
      <c r="Z21" s="171" t="n"/>
      <c r="AA21" s="171" t="n"/>
      <c r="AB21" s="171"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71" t="n"/>
      <c r="L22" s="171" t="n"/>
      <c r="M22" s="171" t="n"/>
      <c r="N22" s="171" t="n"/>
      <c r="O22" s="171" t="n"/>
      <c r="P22" s="171" t="n"/>
      <c r="Q22" s="171" t="n"/>
      <c r="R22" s="171" t="n"/>
      <c r="S22" s="1047" t="n"/>
      <c r="T22" s="171" t="n"/>
      <c r="U22" s="171" t="n"/>
      <c r="V22" s="171" t="n"/>
      <c r="W22" s="171" t="n"/>
      <c r="X22" s="171" t="n"/>
      <c r="Y22" s="171" t="n"/>
      <c r="Z22" s="171" t="n"/>
      <c r="AA22" s="171" t="n"/>
      <c r="AB22" s="171" t="n"/>
    </row>
    <row r="23" ht="16.5" customHeight="1">
      <c r="A23" s="181" t="n"/>
      <c r="B23" s="59" t="n"/>
      <c r="C23" s="59" t="n"/>
      <c r="D23" s="181" t="n"/>
      <c r="E23" s="181" t="n"/>
      <c r="F23" s="208" t="n">
        <v>17</v>
      </c>
      <c r="G23" s="209">
        <f>$C$39</f>
        <v/>
      </c>
      <c r="H23" s="209">
        <f>(J22*$C$16)/12</f>
        <v/>
      </c>
      <c r="I23" s="209" t="n">
        <v>0</v>
      </c>
      <c r="J23" s="209">
        <f>J22-I23</f>
        <v/>
      </c>
      <c r="K23" s="171" t="n"/>
      <c r="L23" s="171" t="n"/>
      <c r="M23" s="171" t="n"/>
      <c r="N23" s="171" t="n"/>
      <c r="O23" s="171" t="n"/>
      <c r="P23" s="171" t="n"/>
      <c r="Q23" s="171" t="n"/>
      <c r="R23" s="171" t="n"/>
      <c r="S23" s="171" t="n"/>
      <c r="T23" s="171" t="n"/>
      <c r="U23" s="171" t="n"/>
      <c r="V23" s="171" t="n"/>
      <c r="W23" s="171" t="n"/>
      <c r="X23" s="171" t="n"/>
      <c r="Y23" s="171" t="n"/>
      <c r="Z23" s="171" t="n"/>
      <c r="AA23" s="171" t="n"/>
      <c r="AB23" s="171" t="n"/>
    </row>
    <row r="24" ht="16.5" customHeight="1">
      <c r="A24" s="181" t="n"/>
      <c r="B24" s="144" t="inlineStr">
        <is>
          <t>Max Loan to Value</t>
        </is>
      </c>
      <c r="C24" s="219" t="n">
        <v>0.7</v>
      </c>
      <c r="D24" s="181" t="n"/>
      <c r="E24" s="181" t="n"/>
      <c r="F24" s="208" t="n">
        <v>18</v>
      </c>
      <c r="G24" s="209">
        <f>$C$39</f>
        <v/>
      </c>
      <c r="H24" s="209">
        <f>(J23*$C$16)/12</f>
        <v/>
      </c>
      <c r="I24" s="209" t="n">
        <v>0</v>
      </c>
      <c r="J24" s="209">
        <f>J23-I24</f>
        <v/>
      </c>
      <c r="K24" s="171" t="n"/>
      <c r="L24" s="171" t="n"/>
      <c r="M24" s="171" t="n"/>
      <c r="N24" s="171" t="n"/>
      <c r="O24" s="171" t="n"/>
      <c r="P24" s="171" t="n"/>
      <c r="Q24" s="1042" t="n"/>
      <c r="R24" s="1042" t="n"/>
      <c r="S24" s="171" t="n"/>
      <c r="T24" s="171" t="n"/>
      <c r="U24" s="171" t="n"/>
      <c r="V24" s="171" t="n"/>
      <c r="W24" s="171" t="n"/>
      <c r="X24" s="171" t="n"/>
      <c r="Y24" s="171" t="n"/>
      <c r="Z24" s="171" t="n"/>
      <c r="AA24" s="171" t="n"/>
      <c r="AB24" s="171" t="n"/>
    </row>
    <row r="25" ht="16.5" customHeight="1">
      <c r="A25" s="181" t="n"/>
      <c r="B25" s="144" t="inlineStr">
        <is>
          <t>Min DSCR</t>
        </is>
      </c>
      <c r="C25" s="220" t="n">
        <v>1.25</v>
      </c>
      <c r="D25" s="181" t="n"/>
      <c r="E25" s="181" t="n"/>
      <c r="F25" s="208" t="n">
        <v>19</v>
      </c>
      <c r="G25" s="209">
        <f>$C$39</f>
        <v/>
      </c>
      <c r="H25" s="209">
        <f>(J24*$C$16)/12</f>
        <v/>
      </c>
      <c r="I25" s="209" t="n">
        <v>0</v>
      </c>
      <c r="J25" s="209">
        <f>J24-I25</f>
        <v/>
      </c>
      <c r="K25" s="171" t="n"/>
      <c r="L25" s="171" t="n"/>
      <c r="M25" s="171" t="n"/>
      <c r="N25" s="171" t="n"/>
      <c r="O25" s="171" t="n"/>
      <c r="P25" s="171" t="n"/>
      <c r="Q25" s="171" t="n"/>
      <c r="R25" s="171" t="n"/>
      <c r="S25" s="171" t="n"/>
      <c r="T25" s="171" t="n"/>
      <c r="U25" s="171" t="n"/>
      <c r="V25" s="171" t="n"/>
      <c r="W25" s="171" t="n"/>
      <c r="X25" s="171" t="n"/>
      <c r="Y25" s="171" t="n"/>
      <c r="Z25" s="171" t="n"/>
      <c r="AA25" s="171" t="n"/>
      <c r="AB25" s="171" t="n"/>
    </row>
    <row r="26" ht="16.5" customHeight="1">
      <c r="A26" s="181" t="n"/>
      <c r="B26" s="59" t="n"/>
      <c r="C26" s="59" t="n"/>
      <c r="D26" s="181" t="n"/>
      <c r="E26" s="181" t="n"/>
      <c r="F26" s="208" t="n">
        <v>20</v>
      </c>
      <c r="G26" s="209">
        <f>$C$39</f>
        <v/>
      </c>
      <c r="H26" s="209">
        <f>(J25*$C$16)/12</f>
        <v/>
      </c>
      <c r="I26" s="209" t="n">
        <v>0</v>
      </c>
      <c r="J26" s="209">
        <f>J25-I26</f>
        <v/>
      </c>
      <c r="K26" s="171" t="n"/>
      <c r="L26" s="171" t="n"/>
      <c r="M26" s="171" t="n"/>
      <c r="N26" s="171" t="n"/>
      <c r="O26" s="171" t="n"/>
      <c r="P26" s="171" t="n"/>
      <c r="Q26" s="171" t="n"/>
      <c r="R26" s="171" t="n"/>
      <c r="S26" s="1047" t="n"/>
      <c r="T26" s="171" t="n"/>
      <c r="U26" s="171" t="n"/>
      <c r="V26" s="171" t="n"/>
      <c r="W26" s="171" t="n"/>
      <c r="X26" s="171" t="n"/>
      <c r="Y26" s="171" t="n"/>
      <c r="Z26" s="171" t="n"/>
      <c r="AA26" s="171" t="n"/>
      <c r="AB26" s="171" t="n"/>
    </row>
    <row r="27" ht="16.5" customHeight="1">
      <c r="A27" s="186" t="inlineStr">
        <is>
          <t>Lot Rents</t>
        </is>
      </c>
      <c r="B27" s="186" t="inlineStr">
        <is>
          <t>Net Operating Income</t>
        </is>
      </c>
      <c r="C27" s="269">
        <f>'GGC Underwriting'!I47</f>
        <v/>
      </c>
      <c r="D27" s="181" t="n"/>
      <c r="E27" s="181" t="n"/>
      <c r="F27" s="208" t="n">
        <v>21</v>
      </c>
      <c r="G27" s="209">
        <f>$C$39</f>
        <v/>
      </c>
      <c r="H27" s="209">
        <f>(J26*$C$16)/12</f>
        <v/>
      </c>
      <c r="I27" s="209" t="n">
        <v>0</v>
      </c>
      <c r="J27" s="209">
        <f>J26-I27</f>
        <v/>
      </c>
      <c r="K27" s="171" t="n"/>
      <c r="L27" s="171" t="n"/>
      <c r="M27" s="1047" t="n"/>
      <c r="N27" s="171" t="n"/>
      <c r="O27" s="171" t="n"/>
      <c r="P27" s="171" t="n"/>
      <c r="Q27" s="171" t="n"/>
      <c r="R27" s="171" t="n"/>
      <c r="S27" s="171" t="n"/>
      <c r="T27" s="171" t="n"/>
      <c r="U27" s="171" t="n"/>
      <c r="V27" s="171" t="n"/>
      <c r="W27" s="171" t="n"/>
      <c r="X27" s="171" t="n"/>
      <c r="Y27" s="171" t="n"/>
      <c r="Z27" s="171" t="n"/>
      <c r="AA27" s="171" t="n"/>
      <c r="AB27" s="171" t="n"/>
    </row>
    <row r="28" ht="16.5" customHeight="1">
      <c r="A28" s="181" t="n"/>
      <c r="B28" s="181" t="n"/>
      <c r="C28" s="181" t="n"/>
      <c r="D28" s="181" t="n"/>
      <c r="E28" s="181" t="n"/>
      <c r="F28" s="208" t="n">
        <v>22</v>
      </c>
      <c r="G28" s="209">
        <f>$C$39</f>
        <v/>
      </c>
      <c r="H28" s="209">
        <f>(J27*$C$16)/12</f>
        <v/>
      </c>
      <c r="I28" s="209" t="n">
        <v>0</v>
      </c>
      <c r="J28" s="209">
        <f>J27-I28</f>
        <v/>
      </c>
      <c r="K28" s="171" t="n"/>
      <c r="L28" s="171" t="n"/>
      <c r="M28" s="1047" t="n"/>
      <c r="N28" s="171" t="n"/>
      <c r="O28" s="1045" t="n"/>
      <c r="P28" s="171" t="n"/>
      <c r="Q28" s="171" t="n"/>
      <c r="R28" s="171" t="n"/>
      <c r="S28" s="171" t="n"/>
      <c r="T28" s="171" t="n"/>
      <c r="U28" s="171" t="n"/>
      <c r="V28" s="171" t="n"/>
      <c r="W28" s="171" t="n"/>
      <c r="X28" s="171" t="n"/>
      <c r="Y28" s="171" t="n"/>
      <c r="Z28" s="171" t="n"/>
      <c r="AA28" s="171" t="n"/>
      <c r="AB28" s="171"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71" t="n"/>
      <c r="L29" s="171" t="n"/>
      <c r="M29" s="171" t="n"/>
      <c r="N29" s="171" t="n"/>
      <c r="O29" s="1045" t="n"/>
      <c r="P29" s="171" t="n"/>
      <c r="Q29" s="171" t="n"/>
      <c r="R29" s="171" t="n"/>
      <c r="S29" s="171" t="n"/>
      <c r="T29" s="171" t="n"/>
      <c r="U29" s="171" t="n"/>
      <c r="V29" s="171" t="n"/>
      <c r="W29" s="171" t="n"/>
      <c r="X29" s="171" t="n"/>
      <c r="Y29" s="171" t="n"/>
      <c r="Z29" s="171" t="n"/>
      <c r="AA29" s="171" t="n"/>
      <c r="AB29" s="171"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71" t="n"/>
      <c r="L30" s="171" t="n"/>
      <c r="M30" s="1042" t="n"/>
      <c r="N30" s="171" t="n"/>
      <c r="O30" s="1045" t="n"/>
      <c r="P30" s="171" t="n"/>
      <c r="Q30" s="171" t="n"/>
      <c r="R30" s="171" t="n"/>
      <c r="S30" s="171" t="n"/>
      <c r="T30" s="171" t="n"/>
      <c r="U30" s="171" t="n"/>
      <c r="V30" s="171" t="n"/>
      <c r="W30" s="171" t="n"/>
      <c r="X30" s="171" t="n"/>
      <c r="Y30" s="171" t="n"/>
      <c r="Z30" s="171" t="n"/>
      <c r="AA30" s="171" t="n"/>
      <c r="AB30" s="171"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71" t="n"/>
      <c r="L31" s="171" t="n"/>
      <c r="M31" s="171" t="n"/>
      <c r="N31" s="171" t="n"/>
      <c r="O31" s="1045" t="n"/>
      <c r="P31" s="171" t="n"/>
      <c r="Q31" s="171" t="n"/>
      <c r="R31" s="171" t="n"/>
      <c r="S31" s="171" t="n"/>
      <c r="T31" s="171" t="n"/>
      <c r="U31" s="171" t="n"/>
      <c r="V31" s="171" t="n"/>
      <c r="W31" s="171" t="n"/>
      <c r="X31" s="171" t="n"/>
      <c r="Y31" s="171" t="n"/>
      <c r="Z31" s="171" t="n"/>
      <c r="AA31" s="171" t="n"/>
      <c r="AB31" s="171" t="n"/>
    </row>
    <row r="32" ht="16.5" customHeight="1">
      <c r="A32" s="181" t="n"/>
      <c r="B32" s="181" t="n"/>
      <c r="C32" s="181" t="n"/>
      <c r="D32" s="181" t="n"/>
      <c r="E32" s="181" t="n"/>
      <c r="F32" s="208" t="n">
        <v>26</v>
      </c>
      <c r="G32" s="209">
        <f>$C$39</f>
        <v/>
      </c>
      <c r="H32" s="209">
        <f>(J31*$C$16)/12</f>
        <v/>
      </c>
      <c r="I32" s="209">
        <f>G32-H32</f>
        <v/>
      </c>
      <c r="J32" s="209">
        <f>J31-I32</f>
        <v/>
      </c>
      <c r="K32" s="171" t="n"/>
      <c r="L32" s="171" t="n"/>
      <c r="M32" s="171" t="n"/>
      <c r="N32" s="171" t="n"/>
      <c r="O32" s="1045" t="n"/>
      <c r="P32" s="171" t="n"/>
      <c r="Q32" s="171" t="n"/>
      <c r="R32" s="171" t="n"/>
      <c r="S32" s="171" t="n"/>
      <c r="T32" s="171" t="n"/>
      <c r="U32" s="171" t="n"/>
      <c r="V32" s="171" t="n"/>
      <c r="W32" s="171" t="n"/>
      <c r="X32" s="171" t="n"/>
      <c r="Y32" s="171" t="n"/>
      <c r="Z32" s="171" t="n"/>
      <c r="AA32" s="171" t="n"/>
      <c r="AB32" s="171"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71" t="n"/>
      <c r="L33" s="171" t="n"/>
      <c r="M33" s="171" t="n"/>
      <c r="N33" s="171" t="n"/>
      <c r="O33" s="171" t="n"/>
      <c r="P33" s="1043" t="n"/>
      <c r="Q33" s="1043" t="n"/>
      <c r="R33" s="171" t="n"/>
      <c r="S33" s="171" t="n"/>
      <c r="T33" s="171" t="n"/>
      <c r="U33" s="171" t="n"/>
      <c r="V33" s="171" t="n"/>
      <c r="W33" s="171" t="n"/>
      <c r="X33" s="171" t="n"/>
      <c r="Y33" s="171" t="n"/>
      <c r="Z33" s="171" t="n"/>
      <c r="AA33" s="171" t="n"/>
      <c r="AB33" s="171"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71" t="n"/>
      <c r="L34" s="171" t="n"/>
      <c r="M34" s="171" t="n"/>
      <c r="N34" s="171" t="n"/>
      <c r="O34" s="171" t="n"/>
      <c r="P34" s="171" t="n"/>
      <c r="Q34" s="171" t="n"/>
      <c r="R34" s="1048" t="n"/>
      <c r="S34" s="171" t="n"/>
      <c r="T34" s="171" t="n"/>
      <c r="U34" s="171" t="n"/>
      <c r="V34" s="171" t="n"/>
      <c r="W34" s="171" t="n"/>
      <c r="X34" s="171" t="n"/>
      <c r="Y34" s="171" t="n"/>
      <c r="Z34" s="171" t="n"/>
      <c r="AA34" s="171" t="n"/>
      <c r="AB34" s="171"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71" t="n"/>
      <c r="L35" s="171" t="n"/>
      <c r="M35" s="171" t="n"/>
      <c r="N35" s="171" t="n"/>
      <c r="O35" s="171" t="n"/>
      <c r="P35" s="171" t="n"/>
      <c r="Q35" s="171" t="n"/>
      <c r="R35" s="171" t="n"/>
      <c r="S35" s="171" t="n"/>
      <c r="T35" s="171" t="n"/>
      <c r="U35" s="171" t="n"/>
      <c r="V35" s="171" t="n"/>
      <c r="W35" s="171" t="n"/>
      <c r="X35" s="171" t="n"/>
      <c r="Y35" s="171" t="n"/>
      <c r="Z35" s="171" t="n"/>
      <c r="AA35" s="171" t="n"/>
      <c r="AB35" s="171"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71" t="n"/>
      <c r="L36" s="171" t="n"/>
      <c r="M36" s="1047" t="n"/>
      <c r="N36" s="171" t="n"/>
      <c r="O36" s="171" t="n"/>
      <c r="P36" s="171" t="n"/>
      <c r="Q36" s="171" t="n"/>
      <c r="R36" s="1049" t="n"/>
      <c r="S36" s="171" t="n"/>
      <c r="T36" s="171" t="n"/>
      <c r="U36" s="171" t="n"/>
      <c r="V36" s="171" t="n"/>
      <c r="W36" s="171" t="n"/>
      <c r="X36" s="171" t="n"/>
      <c r="Y36" s="171" t="n"/>
      <c r="Z36" s="171" t="n"/>
      <c r="AA36" s="171" t="n"/>
      <c r="AB36" s="171" t="n"/>
    </row>
    <row r="37" ht="16.5" customHeight="1">
      <c r="A37" s="181" t="n"/>
      <c r="B37" s="59" t="n"/>
      <c r="C37" s="59" t="n"/>
      <c r="D37" s="181" t="n"/>
      <c r="E37" s="181" t="n"/>
      <c r="F37" s="208" t="n">
        <v>31</v>
      </c>
      <c r="G37" s="209">
        <f>$C$39</f>
        <v/>
      </c>
      <c r="H37" s="209">
        <f>(J36*$C$16)/12</f>
        <v/>
      </c>
      <c r="I37" s="209">
        <f>G37-H37</f>
        <v/>
      </c>
      <c r="J37" s="209">
        <f>J36-I37</f>
        <v/>
      </c>
      <c r="K37" s="171" t="n"/>
      <c r="L37" s="171" t="n"/>
      <c r="M37" s="1047" t="n"/>
      <c r="N37" s="171" t="n"/>
      <c r="O37" s="171" t="n"/>
      <c r="P37" s="171" t="n"/>
      <c r="Q37" s="171" t="n"/>
      <c r="R37" s="171" t="n"/>
      <c r="S37" s="171" t="n"/>
      <c r="T37" s="171" t="n"/>
      <c r="U37" s="171" t="n"/>
      <c r="V37" s="171" t="n"/>
      <c r="W37" s="171" t="n"/>
      <c r="X37" s="171" t="n"/>
      <c r="Y37" s="171" t="n"/>
      <c r="Z37" s="171" t="n"/>
      <c r="AA37" s="171" t="n"/>
      <c r="AB37" s="171" t="n"/>
    </row>
    <row r="38">
      <c r="A38" s="181" t="n"/>
      <c r="B38" s="181" t="inlineStr">
        <is>
          <t>Annual Debt Service</t>
        </is>
      </c>
      <c r="C38" s="263">
        <f>C31*C17</f>
        <v/>
      </c>
      <c r="D38" s="181" t="n"/>
      <c r="E38" s="181" t="n"/>
      <c r="F38" s="208" t="n">
        <v>32</v>
      </c>
      <c r="G38" s="209">
        <f>$C$39</f>
        <v/>
      </c>
      <c r="H38" s="209">
        <f>(J37*$C$16)/12</f>
        <v/>
      </c>
      <c r="I38" s="209">
        <f>G38-H38</f>
        <v/>
      </c>
      <c r="J38" s="209">
        <f>J37-I38</f>
        <v/>
      </c>
      <c r="K38" s="171" t="n"/>
      <c r="L38" s="171" t="n"/>
      <c r="M38" s="1047" t="n"/>
      <c r="N38" s="171" t="n"/>
      <c r="O38" s="171" t="n"/>
      <c r="P38" s="171" t="n"/>
      <c r="Q38" s="171" t="n"/>
      <c r="R38" s="171" t="n"/>
      <c r="S38" s="171" t="n"/>
      <c r="T38" s="171" t="n"/>
      <c r="U38" s="171" t="n"/>
      <c r="V38" s="171" t="n"/>
      <c r="W38" s="171" t="n"/>
      <c r="X38" s="171" t="n"/>
      <c r="Y38" s="171" t="n"/>
      <c r="Z38" s="171" t="n"/>
      <c r="AA38" s="171" t="n"/>
      <c r="AB38" s="171" t="n"/>
    </row>
    <row r="39">
      <c r="A39" s="181" t="n"/>
      <c r="B39" s="181" t="inlineStr">
        <is>
          <t>Monthly Debt Service</t>
        </is>
      </c>
      <c r="C39" s="270">
        <f>C38/12</f>
        <v/>
      </c>
      <c r="D39" s="181" t="n"/>
      <c r="E39" s="181" t="n"/>
      <c r="F39" s="208" t="n">
        <v>33</v>
      </c>
      <c r="G39" s="209">
        <f>$C$39</f>
        <v/>
      </c>
      <c r="H39" s="209">
        <f>(J38*$C$16)/12</f>
        <v/>
      </c>
      <c r="I39" s="209">
        <f>G39-H39</f>
        <v/>
      </c>
      <c r="J39" s="209">
        <f>J38-I39</f>
        <v/>
      </c>
      <c r="K39" s="171" t="n"/>
      <c r="L39" s="171" t="n"/>
      <c r="M39" s="171" t="n"/>
      <c r="N39" s="171" t="n"/>
      <c r="O39" s="171" t="n"/>
      <c r="P39" s="171" t="n"/>
      <c r="Q39" s="171" t="n"/>
      <c r="R39" s="171" t="n"/>
      <c r="S39" s="171" t="n"/>
      <c r="T39" s="171" t="n"/>
      <c r="U39" s="171" t="n"/>
      <c r="V39" s="171" t="n"/>
      <c r="W39" s="171" t="n"/>
      <c r="X39" s="171" t="n"/>
      <c r="Y39" s="171" t="n"/>
      <c r="Z39" s="171" t="n"/>
      <c r="AA39" s="171" t="n"/>
      <c r="AB39" s="171" t="n"/>
    </row>
    <row r="40">
      <c r="A40" s="181" t="n"/>
      <c r="B40" s="181" t="n"/>
      <c r="C40" s="181" t="n"/>
      <c r="D40" s="181" t="n"/>
      <c r="E40" s="181" t="n"/>
      <c r="F40" s="208" t="n">
        <v>34</v>
      </c>
      <c r="G40" s="209">
        <f>$C$39</f>
        <v/>
      </c>
      <c r="H40" s="209">
        <f>(J39*$C$16)/12</f>
        <v/>
      </c>
      <c r="I40" s="209">
        <f>G40-H40</f>
        <v/>
      </c>
      <c r="J40" s="209">
        <f>J39-I40</f>
        <v/>
      </c>
      <c r="K40" s="171" t="n"/>
      <c r="L40" s="171" t="n"/>
      <c r="M40" s="171" t="n"/>
      <c r="N40" s="171" t="n"/>
      <c r="O40" s="171" t="n"/>
      <c r="P40" s="171" t="n"/>
      <c r="Q40" s="171" t="n"/>
      <c r="R40" s="171" t="n"/>
      <c r="S40" s="171" t="n"/>
      <c r="T40" s="171" t="n"/>
      <c r="U40" s="171" t="n"/>
      <c r="V40" s="171" t="n"/>
      <c r="W40" s="171" t="n"/>
      <c r="X40" s="171" t="n"/>
      <c r="Y40" s="171" t="n"/>
      <c r="Z40" s="171" t="n"/>
      <c r="AA40" s="171" t="n"/>
      <c r="AB40" s="171" t="n"/>
    </row>
    <row r="41">
      <c r="A41" s="181" t="n"/>
      <c r="B41" s="181" t="n"/>
      <c r="C41" s="181" t="n"/>
      <c r="D41" s="181" t="n"/>
      <c r="E41" s="181" t="n"/>
      <c r="F41" s="208" t="n">
        <v>35</v>
      </c>
      <c r="G41" s="209">
        <f>$C$39</f>
        <v/>
      </c>
      <c r="H41" s="209">
        <f>(J40*$C$16)/12</f>
        <v/>
      </c>
      <c r="I41" s="209">
        <f>G41-H41</f>
        <v/>
      </c>
      <c r="J41" s="209">
        <f>J40-I41</f>
        <v/>
      </c>
      <c r="K41" s="171" t="n"/>
      <c r="L41" s="171" t="n"/>
      <c r="M41" s="171" t="n"/>
      <c r="N41" s="171" t="n"/>
      <c r="O41" s="171" t="n"/>
      <c r="P41" s="171" t="n"/>
      <c r="Q41" s="171" t="n"/>
      <c r="R41" s="171" t="n"/>
      <c r="S41" s="171" t="n"/>
      <c r="T41" s="171" t="n"/>
      <c r="U41" s="171" t="n"/>
      <c r="V41" s="171" t="n"/>
      <c r="W41" s="171" t="n"/>
      <c r="X41" s="171" t="n"/>
      <c r="Y41" s="171" t="n"/>
      <c r="Z41" s="171" t="n"/>
      <c r="AA41" s="171" t="n"/>
      <c r="AB41" s="171" t="n"/>
    </row>
    <row r="42">
      <c r="A42" s="181" t="n"/>
      <c r="B42" s="181" t="n"/>
      <c r="C42" s="181" t="n"/>
      <c r="D42" s="181" t="n"/>
      <c r="E42" s="181" t="n"/>
      <c r="F42" s="491" t="n">
        <v>36</v>
      </c>
      <c r="G42" s="492">
        <f>$C$39</f>
        <v/>
      </c>
      <c r="H42" s="492">
        <f>(J41*$C$16)/12</f>
        <v/>
      </c>
      <c r="I42" s="492">
        <f>G42-H42</f>
        <v/>
      </c>
      <c r="J42" s="492">
        <f>J41-I42</f>
        <v/>
      </c>
      <c r="K42" s="171" t="n"/>
      <c r="L42" s="171" t="n"/>
      <c r="M42" s="171" t="n"/>
      <c r="N42" s="171" t="n"/>
      <c r="O42" s="171" t="n"/>
      <c r="P42" s="171" t="n"/>
      <c r="Q42" s="171" t="n"/>
      <c r="R42" s="171" t="n"/>
      <c r="S42" s="171" t="n"/>
      <c r="T42" s="171" t="n"/>
      <c r="U42" s="171" t="n"/>
      <c r="V42" s="171" t="n"/>
      <c r="W42" s="171" t="n"/>
      <c r="X42" s="171" t="n"/>
      <c r="Y42" s="171" t="n"/>
      <c r="Z42" s="171" t="n"/>
      <c r="AA42" s="171" t="n"/>
      <c r="AB42" s="171" t="n"/>
    </row>
    <row r="43">
      <c r="A43" s="181" t="n"/>
      <c r="B43" s="181" t="n"/>
      <c r="C43" s="181" t="n"/>
      <c r="D43" s="181" t="n"/>
      <c r="E43" s="181" t="n"/>
      <c r="F43" s="208" t="n">
        <v>37</v>
      </c>
      <c r="G43" s="209">
        <f>$C$39</f>
        <v/>
      </c>
      <c r="H43" s="209">
        <f>(J42*$C$16)/12</f>
        <v/>
      </c>
      <c r="I43" s="209">
        <f>G43-H43</f>
        <v/>
      </c>
      <c r="J43" s="209">
        <f>J42-I43</f>
        <v/>
      </c>
      <c r="K43" s="171" t="n"/>
      <c r="L43" s="171" t="n"/>
      <c r="M43" s="171" t="n"/>
      <c r="N43" s="171" t="n"/>
      <c r="O43" s="171" t="n"/>
      <c r="P43" s="171" t="n"/>
      <c r="Q43" s="171" t="n"/>
      <c r="R43" s="171" t="n"/>
      <c r="S43" s="171" t="n"/>
      <c r="T43" s="171" t="n"/>
      <c r="U43" s="171" t="n"/>
      <c r="V43" s="171" t="n"/>
      <c r="W43" s="171" t="n"/>
      <c r="X43" s="171" t="n"/>
      <c r="Y43" s="171" t="n"/>
      <c r="Z43" s="171" t="n"/>
      <c r="AA43" s="171" t="n"/>
      <c r="AB43" s="171" t="n"/>
    </row>
    <row r="44">
      <c r="A44" s="181" t="n"/>
      <c r="B44" s="181" t="n"/>
      <c r="C44" s="181" t="n"/>
      <c r="D44" s="181" t="n"/>
      <c r="E44" s="181" t="n"/>
      <c r="F44" s="208" t="n">
        <v>38</v>
      </c>
      <c r="G44" s="209">
        <f>$C$39</f>
        <v/>
      </c>
      <c r="H44" s="209">
        <f>(J43*$C$16)/12</f>
        <v/>
      </c>
      <c r="I44" s="209">
        <f>G44-H44</f>
        <v/>
      </c>
      <c r="J44" s="209">
        <f>J43-I44</f>
        <v/>
      </c>
      <c r="K44" s="171" t="n"/>
      <c r="L44" s="171" t="n"/>
      <c r="M44" s="171" t="n"/>
      <c r="N44" s="171" t="n"/>
      <c r="O44" s="171" t="n"/>
      <c r="P44" s="171" t="n"/>
      <c r="Q44" s="171" t="n"/>
      <c r="R44" s="171" t="n"/>
      <c r="S44" s="171" t="n"/>
      <c r="T44" s="171" t="n"/>
      <c r="U44" s="171" t="n"/>
      <c r="V44" s="171" t="n"/>
      <c r="W44" s="171" t="n"/>
      <c r="X44" s="171" t="n"/>
      <c r="Y44" s="171" t="n"/>
      <c r="Z44" s="171" t="n"/>
      <c r="AA44" s="171" t="n"/>
      <c r="AB44" s="171" t="n"/>
    </row>
    <row r="45">
      <c r="A45" s="181" t="n"/>
      <c r="B45" s="181" t="n"/>
      <c r="C45" s="181" t="n"/>
      <c r="D45" s="181" t="n"/>
      <c r="E45" s="181" t="n"/>
      <c r="F45" s="208" t="n">
        <v>39</v>
      </c>
      <c r="G45" s="209">
        <f>$C$39</f>
        <v/>
      </c>
      <c r="H45" s="209">
        <f>(J44*$C$16)/12</f>
        <v/>
      </c>
      <c r="I45" s="209">
        <f>G45-H45</f>
        <v/>
      </c>
      <c r="J45" s="209">
        <f>J44-I45</f>
        <v/>
      </c>
      <c r="K45" s="171" t="n"/>
      <c r="L45" s="171" t="n"/>
      <c r="M45" s="171" t="n"/>
      <c r="N45" s="171" t="n"/>
      <c r="O45" s="171" t="n"/>
      <c r="P45" s="171" t="n"/>
      <c r="Q45" s="171" t="n"/>
      <c r="R45" s="171" t="n"/>
      <c r="S45" s="171" t="n"/>
      <c r="T45" s="171" t="n"/>
      <c r="U45" s="171" t="n"/>
      <c r="V45" s="171" t="n"/>
      <c r="W45" s="171" t="n"/>
      <c r="X45" s="171" t="n"/>
      <c r="Y45" s="171" t="n"/>
      <c r="Z45" s="171" t="n"/>
      <c r="AA45" s="171" t="n"/>
      <c r="AB45" s="171" t="n"/>
    </row>
    <row r="46">
      <c r="A46" s="181" t="n"/>
      <c r="B46" s="181" t="n"/>
      <c r="C46" s="181" t="n"/>
      <c r="D46" s="181" t="n"/>
      <c r="E46" s="181" t="n"/>
      <c r="F46" s="208" t="n">
        <v>40</v>
      </c>
      <c r="G46" s="209">
        <f>$C$39</f>
        <v/>
      </c>
      <c r="H46" s="209">
        <f>(J45*$C$16)/12</f>
        <v/>
      </c>
      <c r="I46" s="209">
        <f>G46-H46</f>
        <v/>
      </c>
      <c r="J46" s="209">
        <f>J45-I46</f>
        <v/>
      </c>
      <c r="K46" s="171" t="n"/>
      <c r="L46" s="171" t="n"/>
      <c r="M46" s="171" t="n"/>
      <c r="N46" s="171" t="n"/>
      <c r="O46" s="171" t="n"/>
      <c r="P46" s="171" t="n"/>
      <c r="Q46" s="171" t="n"/>
      <c r="R46" s="171" t="n"/>
      <c r="S46" s="171" t="n"/>
      <c r="T46" s="171" t="n"/>
      <c r="U46" s="171" t="n"/>
      <c r="V46" s="171" t="n"/>
      <c r="W46" s="171" t="n"/>
      <c r="X46" s="171" t="n"/>
      <c r="Y46" s="171" t="n"/>
      <c r="Z46" s="171" t="n"/>
      <c r="AA46" s="171" t="n"/>
      <c r="AB46" s="171" t="n"/>
    </row>
    <row r="47">
      <c r="A47" s="181" t="n"/>
      <c r="B47" s="181" t="n"/>
      <c r="C47" s="181" t="n"/>
      <c r="D47" s="181" t="n"/>
      <c r="E47" s="181" t="n"/>
      <c r="F47" s="208" t="n">
        <v>41</v>
      </c>
      <c r="G47" s="209">
        <f>$C$39</f>
        <v/>
      </c>
      <c r="H47" s="209">
        <f>(J46*$C$16)/12</f>
        <v/>
      </c>
      <c r="I47" s="209">
        <f>G47-H47</f>
        <v/>
      </c>
      <c r="J47" s="209">
        <f>J46-I47</f>
        <v/>
      </c>
      <c r="K47" s="171" t="n"/>
      <c r="L47" s="171" t="n"/>
      <c r="M47" s="171" t="n"/>
      <c r="N47" s="171" t="n"/>
      <c r="O47" s="171" t="n"/>
      <c r="P47" s="171" t="n"/>
      <c r="Q47" s="171" t="n"/>
      <c r="R47" s="171" t="n"/>
      <c r="S47" s="171" t="n"/>
      <c r="T47" s="171" t="n"/>
      <c r="U47" s="171" t="n"/>
      <c r="V47" s="171" t="n"/>
      <c r="W47" s="171" t="n"/>
      <c r="X47" s="171" t="n"/>
      <c r="Y47" s="171" t="n"/>
      <c r="Z47" s="171" t="n"/>
      <c r="AA47" s="171" t="n"/>
      <c r="AB47" s="171" t="n"/>
    </row>
    <row r="48">
      <c r="A48" s="181" t="n"/>
      <c r="B48" s="181" t="n"/>
      <c r="C48" s="181" t="n"/>
      <c r="D48" s="181" t="n"/>
      <c r="E48" s="181" t="n"/>
      <c r="F48" s="208" t="n">
        <v>42</v>
      </c>
      <c r="G48" s="209">
        <f>$C$39</f>
        <v/>
      </c>
      <c r="H48" s="209">
        <f>(J47*$C$16)/12</f>
        <v/>
      </c>
      <c r="I48" s="209">
        <f>G48-H48</f>
        <v/>
      </c>
      <c r="J48" s="209">
        <f>J47-I48</f>
        <v/>
      </c>
      <c r="K48" s="171" t="n"/>
      <c r="L48" s="171" t="n"/>
      <c r="M48" s="171" t="n"/>
      <c r="N48" s="171" t="n"/>
      <c r="O48" s="171" t="n"/>
      <c r="P48" s="171" t="n"/>
      <c r="Q48" s="171" t="n"/>
      <c r="R48" s="171" t="n"/>
      <c r="S48" s="171" t="n"/>
      <c r="T48" s="171" t="n"/>
      <c r="U48" s="171" t="n"/>
      <c r="V48" s="171" t="n"/>
      <c r="W48" s="171" t="n"/>
      <c r="X48" s="171" t="n"/>
      <c r="Y48" s="171" t="n"/>
      <c r="Z48" s="171" t="n"/>
      <c r="AA48" s="171" t="n"/>
      <c r="AB48" s="171" t="n"/>
    </row>
    <row r="49">
      <c r="A49" s="181" t="n"/>
      <c r="B49" s="181" t="n"/>
      <c r="C49" s="181" t="n"/>
      <c r="D49" s="181" t="n"/>
      <c r="E49" s="181" t="n"/>
      <c r="F49" s="208" t="n">
        <v>43</v>
      </c>
      <c r="G49" s="209">
        <f>$C$39</f>
        <v/>
      </c>
      <c r="H49" s="209">
        <f>(J48*$C$16)/12</f>
        <v/>
      </c>
      <c r="I49" s="209">
        <f>G49-H49</f>
        <v/>
      </c>
      <c r="J49" s="209">
        <f>J48-I49</f>
        <v/>
      </c>
      <c r="K49" s="171" t="n"/>
      <c r="L49" s="171" t="n"/>
      <c r="M49" s="171" t="n"/>
      <c r="N49" s="171" t="n"/>
      <c r="O49" s="171" t="n"/>
      <c r="P49" s="171" t="n"/>
      <c r="Q49" s="171" t="n"/>
      <c r="R49" s="171" t="n"/>
      <c r="S49" s="171" t="n"/>
      <c r="T49" s="171" t="n"/>
      <c r="U49" s="171" t="n"/>
      <c r="V49" s="171" t="n"/>
      <c r="W49" s="171" t="n"/>
      <c r="X49" s="171" t="n"/>
      <c r="Y49" s="171" t="n"/>
      <c r="Z49" s="171" t="n"/>
      <c r="AA49" s="171" t="n"/>
      <c r="AB49" s="171" t="n"/>
    </row>
    <row r="50">
      <c r="A50" s="181" t="n"/>
      <c r="B50" s="181" t="n"/>
      <c r="C50" s="181" t="n"/>
      <c r="D50" s="181" t="n"/>
      <c r="E50" s="181" t="n"/>
      <c r="F50" s="208" t="n">
        <v>44</v>
      </c>
      <c r="G50" s="209">
        <f>$C$39</f>
        <v/>
      </c>
      <c r="H50" s="209">
        <f>(J49*$C$16)/12</f>
        <v/>
      </c>
      <c r="I50" s="209">
        <f>G50-H50</f>
        <v/>
      </c>
      <c r="J50" s="209">
        <f>J49-I50</f>
        <v/>
      </c>
      <c r="K50" s="171" t="n"/>
      <c r="L50" s="171" t="n"/>
      <c r="M50" s="171" t="n"/>
      <c r="N50" s="171" t="n"/>
      <c r="O50" s="171" t="n"/>
      <c r="P50" s="171" t="n"/>
      <c r="Q50" s="171" t="n"/>
      <c r="R50" s="171" t="n"/>
      <c r="S50" s="171" t="n"/>
      <c r="T50" s="171" t="n"/>
      <c r="U50" s="171" t="n"/>
      <c r="V50" s="171" t="n"/>
      <c r="W50" s="171" t="n"/>
      <c r="X50" s="171" t="n"/>
      <c r="Y50" s="171" t="n"/>
      <c r="Z50" s="171" t="n"/>
      <c r="AA50" s="171" t="n"/>
      <c r="AB50" s="171" t="n"/>
    </row>
    <row r="51">
      <c r="A51" s="181" t="n"/>
      <c r="B51" s="181" t="n"/>
      <c r="C51" s="181" t="n"/>
      <c r="D51" s="181" t="n"/>
      <c r="E51" s="181" t="n"/>
      <c r="F51" s="208" t="n">
        <v>45</v>
      </c>
      <c r="G51" s="209">
        <f>$C$39</f>
        <v/>
      </c>
      <c r="H51" s="209">
        <f>(J50*$C$16)/12</f>
        <v/>
      </c>
      <c r="I51" s="209">
        <f>G51-H51</f>
        <v/>
      </c>
      <c r="J51" s="209">
        <f>J50-I51</f>
        <v/>
      </c>
      <c r="K51" s="171" t="n"/>
      <c r="L51" s="171" t="n"/>
      <c r="M51" s="171" t="n"/>
      <c r="N51" s="171" t="n"/>
      <c r="O51" s="171" t="n"/>
      <c r="P51" s="171" t="n"/>
      <c r="Q51" s="171" t="n"/>
      <c r="R51" s="171" t="n"/>
      <c r="S51" s="171" t="n"/>
      <c r="T51" s="171" t="n"/>
      <c r="U51" s="171" t="n"/>
      <c r="V51" s="171" t="n"/>
      <c r="W51" s="171" t="n"/>
      <c r="X51" s="171" t="n"/>
      <c r="Y51" s="171" t="n"/>
      <c r="Z51" s="171" t="n"/>
      <c r="AA51" s="171" t="n"/>
      <c r="AB51" s="171" t="n"/>
    </row>
    <row r="52">
      <c r="A52" s="181" t="n"/>
      <c r="B52" s="181" t="n"/>
      <c r="C52" s="181" t="n"/>
      <c r="D52" s="181" t="n"/>
      <c r="E52" s="181" t="n"/>
      <c r="F52" s="208" t="n">
        <v>46</v>
      </c>
      <c r="G52" s="209">
        <f>$C$39</f>
        <v/>
      </c>
      <c r="H52" s="209">
        <f>(J51*$C$16)/12</f>
        <v/>
      </c>
      <c r="I52" s="209">
        <f>G52-H52</f>
        <v/>
      </c>
      <c r="J52" s="209">
        <f>J51-I52</f>
        <v/>
      </c>
      <c r="K52" s="171" t="n"/>
      <c r="L52" s="171" t="n"/>
      <c r="M52" s="171" t="n"/>
      <c r="N52" s="171" t="n"/>
      <c r="O52" s="171" t="n"/>
      <c r="P52" s="171" t="n"/>
      <c r="Q52" s="171" t="n"/>
      <c r="R52" s="171" t="n"/>
      <c r="S52" s="171" t="n"/>
      <c r="T52" s="171" t="n"/>
      <c r="U52" s="171" t="n"/>
      <c r="V52" s="171" t="n"/>
      <c r="W52" s="171" t="n"/>
      <c r="X52" s="171" t="n"/>
      <c r="Y52" s="171" t="n"/>
      <c r="Z52" s="171" t="n"/>
      <c r="AA52" s="171" t="n"/>
      <c r="AB52" s="171" t="n"/>
    </row>
    <row r="53">
      <c r="A53" s="181" t="n"/>
      <c r="B53" s="181" t="n"/>
      <c r="C53" s="181" t="n"/>
      <c r="D53" s="181" t="n"/>
      <c r="E53" s="181" t="n"/>
      <c r="F53" s="208" t="n">
        <v>47</v>
      </c>
      <c r="G53" s="209">
        <f>$C$39</f>
        <v/>
      </c>
      <c r="H53" s="209">
        <f>(J52*$C$16)/12</f>
        <v/>
      </c>
      <c r="I53" s="209">
        <f>G53-H53</f>
        <v/>
      </c>
      <c r="J53" s="209">
        <f>J52-I53</f>
        <v/>
      </c>
      <c r="K53" s="171" t="n"/>
      <c r="L53" s="171" t="n"/>
      <c r="M53" s="171" t="n"/>
      <c r="N53" s="171" t="n"/>
      <c r="O53" s="171" t="n"/>
      <c r="P53" s="171" t="n"/>
      <c r="Q53" s="171" t="n"/>
      <c r="R53" s="171" t="n"/>
      <c r="S53" s="171" t="n"/>
      <c r="T53" s="171" t="n"/>
      <c r="U53" s="171" t="n"/>
      <c r="V53" s="171" t="n"/>
      <c r="W53" s="171" t="n"/>
      <c r="X53" s="171" t="n"/>
      <c r="Y53" s="171" t="n"/>
      <c r="Z53" s="171" t="n"/>
      <c r="AA53" s="171" t="n"/>
      <c r="AB53" s="171" t="n"/>
    </row>
    <row r="54">
      <c r="A54" s="181" t="n"/>
      <c r="B54" s="181" t="n"/>
      <c r="C54" s="181" t="n"/>
      <c r="D54" s="181" t="n"/>
      <c r="E54" s="181" t="n"/>
      <c r="F54" s="491" t="n">
        <v>48</v>
      </c>
      <c r="G54" s="492">
        <f>$C$39</f>
        <v/>
      </c>
      <c r="H54" s="492">
        <f>(J53*$C$16)/12</f>
        <v/>
      </c>
      <c r="I54" s="492">
        <f>G54-H54</f>
        <v/>
      </c>
      <c r="J54" s="492">
        <f>J53-I54</f>
        <v/>
      </c>
      <c r="K54" s="171" t="n"/>
      <c r="L54" s="171" t="n"/>
      <c r="M54" s="171" t="n"/>
      <c r="N54" s="171" t="n"/>
      <c r="O54" s="171" t="n"/>
      <c r="P54" s="171" t="n"/>
      <c r="Q54" s="171" t="n"/>
      <c r="R54" s="171" t="n"/>
      <c r="S54" s="171" t="n"/>
      <c r="T54" s="171" t="n"/>
      <c r="U54" s="171" t="n"/>
      <c r="V54" s="171" t="n"/>
      <c r="W54" s="171" t="n"/>
      <c r="X54" s="171" t="n"/>
      <c r="Y54" s="171" t="n"/>
      <c r="Z54" s="171" t="n"/>
      <c r="AA54" s="171" t="n"/>
      <c r="AB54" s="171" t="n"/>
    </row>
    <row r="55">
      <c r="A55" s="181" t="n"/>
      <c r="B55" s="181" t="n"/>
      <c r="C55" s="181" t="n"/>
      <c r="D55" s="181" t="n"/>
      <c r="E55" s="181" t="n"/>
      <c r="F55" s="208" t="n">
        <v>49</v>
      </c>
      <c r="G55" s="209">
        <f>$C$39</f>
        <v/>
      </c>
      <c r="H55" s="209">
        <f>(J54*$C$16)/12</f>
        <v/>
      </c>
      <c r="I55" s="209">
        <f>G55-H55</f>
        <v/>
      </c>
      <c r="J55" s="209">
        <f>J54-I55</f>
        <v/>
      </c>
      <c r="K55" s="171" t="n"/>
      <c r="L55" s="171" t="n"/>
      <c r="M55" s="171" t="n"/>
      <c r="N55" s="171" t="n"/>
      <c r="O55" s="171" t="n"/>
      <c r="P55" s="171" t="n"/>
      <c r="Q55" s="171" t="n"/>
      <c r="R55" s="171" t="n"/>
      <c r="S55" s="171" t="n"/>
      <c r="T55" s="171" t="n"/>
      <c r="U55" s="171" t="n"/>
      <c r="V55" s="171" t="n"/>
      <c r="W55" s="171" t="n"/>
      <c r="X55" s="171" t="n"/>
      <c r="Y55" s="171" t="n"/>
      <c r="Z55" s="171" t="n"/>
      <c r="AA55" s="171" t="n"/>
      <c r="AB55" s="171" t="n"/>
    </row>
    <row r="56">
      <c r="A56" s="181" t="n"/>
      <c r="B56" s="181" t="n"/>
      <c r="C56" s="181" t="n"/>
      <c r="D56" s="181" t="n"/>
      <c r="E56" s="181" t="n"/>
      <c r="F56" s="208" t="n">
        <v>50</v>
      </c>
      <c r="G56" s="209">
        <f>$C$39</f>
        <v/>
      </c>
      <c r="H56" s="209">
        <f>(J55*$C$16)/12</f>
        <v/>
      </c>
      <c r="I56" s="209">
        <f>G56-H56</f>
        <v/>
      </c>
      <c r="J56" s="209">
        <f>J55-I56</f>
        <v/>
      </c>
      <c r="K56" s="171" t="n"/>
      <c r="L56" s="171" t="n"/>
      <c r="M56" s="171" t="n"/>
      <c r="N56" s="171" t="n"/>
      <c r="O56" s="171" t="n"/>
      <c r="P56" s="171" t="n"/>
      <c r="Q56" s="171" t="n"/>
      <c r="R56" s="171" t="n"/>
      <c r="S56" s="171" t="n"/>
      <c r="T56" s="171" t="n"/>
      <c r="U56" s="171" t="n"/>
      <c r="V56" s="171" t="n"/>
      <c r="W56" s="171" t="n"/>
      <c r="X56" s="171" t="n"/>
      <c r="Y56" s="171" t="n"/>
      <c r="Z56" s="171" t="n"/>
      <c r="AA56" s="171" t="n"/>
      <c r="AB56" s="171" t="n"/>
    </row>
    <row r="57">
      <c r="A57" s="181" t="n"/>
      <c r="B57" s="181" t="n"/>
      <c r="C57" s="181" t="n"/>
      <c r="D57" s="181" t="n"/>
      <c r="E57" s="181" t="n"/>
      <c r="F57" s="208" t="n">
        <v>51</v>
      </c>
      <c r="G57" s="209">
        <f>$C$39</f>
        <v/>
      </c>
      <c r="H57" s="209">
        <f>(J56*$C$16)/12</f>
        <v/>
      </c>
      <c r="I57" s="209">
        <f>G57-H57</f>
        <v/>
      </c>
      <c r="J57" s="209">
        <f>J56-I57</f>
        <v/>
      </c>
      <c r="K57" s="171" t="n"/>
      <c r="L57" s="171" t="n"/>
      <c r="M57" s="171" t="n"/>
      <c r="N57" s="171" t="n"/>
      <c r="O57" s="171" t="n"/>
      <c r="P57" s="171" t="n"/>
      <c r="Q57" s="171" t="n"/>
      <c r="R57" s="171" t="n"/>
      <c r="S57" s="171" t="n"/>
      <c r="T57" s="171" t="n"/>
      <c r="U57" s="171" t="n"/>
      <c r="V57" s="171" t="n"/>
      <c r="W57" s="171" t="n"/>
      <c r="X57" s="171" t="n"/>
      <c r="Y57" s="171" t="n"/>
      <c r="Z57" s="171" t="n"/>
      <c r="AA57" s="171" t="n"/>
      <c r="AB57" s="171" t="n"/>
    </row>
    <row r="58">
      <c r="A58" s="181" t="n"/>
      <c r="B58" s="181" t="n"/>
      <c r="C58" s="181" t="n"/>
      <c r="D58" s="181" t="n"/>
      <c r="E58" s="181" t="n"/>
      <c r="F58" s="208" t="n">
        <v>52</v>
      </c>
      <c r="G58" s="209">
        <f>$C$39</f>
        <v/>
      </c>
      <c r="H58" s="209">
        <f>(J57*$C$16)/12</f>
        <v/>
      </c>
      <c r="I58" s="209">
        <f>G58-H58</f>
        <v/>
      </c>
      <c r="J58" s="209">
        <f>J57-I58</f>
        <v/>
      </c>
      <c r="K58" s="171" t="n"/>
      <c r="L58" s="171" t="n"/>
      <c r="M58" s="171" t="n"/>
      <c r="N58" s="171" t="n"/>
      <c r="O58" s="171" t="n"/>
      <c r="P58" s="171" t="n"/>
      <c r="Q58" s="171" t="n"/>
      <c r="R58" s="171" t="n"/>
      <c r="S58" s="171" t="n"/>
      <c r="T58" s="171" t="n"/>
      <c r="U58" s="171" t="n"/>
      <c r="V58" s="171" t="n"/>
      <c r="W58" s="171" t="n"/>
      <c r="X58" s="171" t="n"/>
      <c r="Y58" s="171" t="n"/>
      <c r="Z58" s="171" t="n"/>
      <c r="AA58" s="171" t="n"/>
      <c r="AB58" s="171" t="n"/>
    </row>
    <row r="59">
      <c r="A59" s="181" t="n"/>
      <c r="B59" s="181" t="n"/>
      <c r="C59" s="181" t="n"/>
      <c r="D59" s="181" t="n"/>
      <c r="E59" s="181" t="n"/>
      <c r="F59" s="208" t="n">
        <v>53</v>
      </c>
      <c r="G59" s="209">
        <f>$C$39</f>
        <v/>
      </c>
      <c r="H59" s="209">
        <f>(J58*$C$16)/12</f>
        <v/>
      </c>
      <c r="I59" s="209">
        <f>G59-H59</f>
        <v/>
      </c>
      <c r="J59" s="209">
        <f>J58-I59</f>
        <v/>
      </c>
      <c r="K59" s="171" t="n"/>
      <c r="L59" s="171" t="n"/>
      <c r="M59" s="171" t="n"/>
      <c r="N59" s="171" t="n"/>
      <c r="O59" s="171" t="n"/>
      <c r="P59" s="171" t="n"/>
      <c r="Q59" s="171" t="n"/>
      <c r="R59" s="171" t="n"/>
      <c r="S59" s="171" t="n"/>
      <c r="T59" s="171" t="n"/>
      <c r="U59" s="171" t="n"/>
      <c r="V59" s="171" t="n"/>
      <c r="W59" s="171" t="n"/>
      <c r="X59" s="171" t="n"/>
      <c r="Y59" s="171" t="n"/>
      <c r="Z59" s="171" t="n"/>
      <c r="AA59" s="171" t="n"/>
      <c r="AB59" s="171" t="n"/>
    </row>
    <row r="60">
      <c r="A60" s="181" t="n"/>
      <c r="B60" s="181" t="n"/>
      <c r="C60" s="181" t="n"/>
      <c r="D60" s="181" t="n"/>
      <c r="E60" s="181" t="n"/>
      <c r="F60" s="208" t="n">
        <v>54</v>
      </c>
      <c r="G60" s="209">
        <f>$C$39</f>
        <v/>
      </c>
      <c r="H60" s="209">
        <f>(J59*$C$16)/12</f>
        <v/>
      </c>
      <c r="I60" s="209">
        <f>G60-H60</f>
        <v/>
      </c>
      <c r="J60" s="209">
        <f>J59-I60</f>
        <v/>
      </c>
      <c r="K60" s="171" t="n"/>
      <c r="L60" s="171" t="n"/>
      <c r="M60" s="171" t="n"/>
      <c r="N60" s="171" t="n"/>
      <c r="O60" s="171" t="n"/>
      <c r="P60" s="171" t="n"/>
      <c r="Q60" s="171" t="n"/>
      <c r="R60" s="171" t="n"/>
      <c r="S60" s="171" t="n"/>
      <c r="T60" s="171" t="n"/>
      <c r="U60" s="171" t="n"/>
      <c r="V60" s="171" t="n"/>
      <c r="W60" s="171" t="n"/>
      <c r="X60" s="171" t="n"/>
      <c r="Y60" s="171" t="n"/>
      <c r="Z60" s="171" t="n"/>
      <c r="AA60" s="171" t="n"/>
      <c r="AB60" s="171" t="n"/>
    </row>
    <row r="61">
      <c r="A61" s="181" t="n"/>
      <c r="B61" s="181" t="n"/>
      <c r="C61" s="181" t="n"/>
      <c r="D61" s="181" t="n"/>
      <c r="E61" s="181" t="n"/>
      <c r="F61" s="208" t="n">
        <v>55</v>
      </c>
      <c r="G61" s="209">
        <f>$C$39</f>
        <v/>
      </c>
      <c r="H61" s="209">
        <f>(J60*$C$16)/12</f>
        <v/>
      </c>
      <c r="I61" s="209">
        <f>G61-H61</f>
        <v/>
      </c>
      <c r="J61" s="209">
        <f>J60-I61</f>
        <v/>
      </c>
      <c r="K61" s="171" t="n"/>
      <c r="L61" s="171" t="n"/>
      <c r="M61" s="171" t="n"/>
      <c r="N61" s="171" t="n"/>
      <c r="O61" s="171" t="n"/>
      <c r="P61" s="171" t="n"/>
      <c r="Q61" s="171" t="n"/>
      <c r="R61" s="171" t="n"/>
      <c r="S61" s="171" t="n"/>
      <c r="T61" s="171" t="n"/>
      <c r="U61" s="171" t="n"/>
      <c r="V61" s="171" t="n"/>
      <c r="W61" s="171" t="n"/>
      <c r="X61" s="171" t="n"/>
      <c r="Y61" s="171" t="n"/>
      <c r="Z61" s="171" t="n"/>
      <c r="AA61" s="171" t="n"/>
      <c r="AB61" s="171" t="n"/>
    </row>
    <row r="62">
      <c r="A62" s="181" t="n"/>
      <c r="B62" s="181" t="n"/>
      <c r="C62" s="181" t="n"/>
      <c r="D62" s="181" t="n"/>
      <c r="E62" s="181" t="n"/>
      <c r="F62" s="208" t="n">
        <v>56</v>
      </c>
      <c r="G62" s="209">
        <f>$C$39</f>
        <v/>
      </c>
      <c r="H62" s="209">
        <f>(J61*$C$16)/12</f>
        <v/>
      </c>
      <c r="I62" s="209">
        <f>G62-H62</f>
        <v/>
      </c>
      <c r="J62" s="209">
        <f>J61-I62</f>
        <v/>
      </c>
      <c r="K62" s="171" t="n"/>
      <c r="L62" s="171" t="n"/>
      <c r="M62" s="171" t="n"/>
      <c r="N62" s="171" t="n"/>
      <c r="O62" s="171" t="n"/>
      <c r="P62" s="171" t="n"/>
      <c r="Q62" s="171" t="n"/>
      <c r="R62" s="171" t="n"/>
      <c r="S62" s="171" t="n"/>
      <c r="T62" s="171" t="n"/>
      <c r="U62" s="171" t="n"/>
      <c r="V62" s="171" t="n"/>
      <c r="W62" s="171" t="n"/>
      <c r="X62" s="171" t="n"/>
      <c r="Y62" s="171" t="n"/>
      <c r="Z62" s="171" t="n"/>
      <c r="AA62" s="171" t="n"/>
      <c r="AB62" s="171" t="n"/>
    </row>
    <row r="63">
      <c r="A63" s="181" t="n"/>
      <c r="B63" s="181" t="n"/>
      <c r="C63" s="181" t="n"/>
      <c r="D63" s="181" t="n"/>
      <c r="E63" s="181" t="n"/>
      <c r="F63" s="208" t="n">
        <v>57</v>
      </c>
      <c r="G63" s="209">
        <f>$C$39</f>
        <v/>
      </c>
      <c r="H63" s="209">
        <f>(J62*$C$16)/12</f>
        <v/>
      </c>
      <c r="I63" s="209">
        <f>G63-H63</f>
        <v/>
      </c>
      <c r="J63" s="209">
        <f>J62-I63</f>
        <v/>
      </c>
      <c r="K63" s="171" t="n"/>
      <c r="L63" s="171" t="n"/>
      <c r="M63" s="171" t="n"/>
      <c r="N63" s="171" t="n"/>
      <c r="O63" s="171" t="n"/>
      <c r="P63" s="171" t="n"/>
      <c r="Q63" s="171" t="n"/>
      <c r="R63" s="171" t="n"/>
      <c r="S63" s="171" t="n"/>
      <c r="T63" s="171" t="n"/>
      <c r="U63" s="171" t="n"/>
      <c r="V63" s="171" t="n"/>
      <c r="W63" s="171" t="n"/>
      <c r="X63" s="171" t="n"/>
      <c r="Y63" s="171" t="n"/>
      <c r="Z63" s="171" t="n"/>
      <c r="AA63" s="171" t="n"/>
      <c r="AB63" s="171" t="n"/>
    </row>
    <row r="64">
      <c r="A64" s="181" t="n"/>
      <c r="B64" s="181" t="n"/>
      <c r="C64" s="181" t="n"/>
      <c r="D64" s="181" t="n"/>
      <c r="E64" s="181" t="n"/>
      <c r="F64" s="208" t="n">
        <v>58</v>
      </c>
      <c r="G64" s="209">
        <f>$C$39</f>
        <v/>
      </c>
      <c r="H64" s="209">
        <f>(J63*$C$16)/12</f>
        <v/>
      </c>
      <c r="I64" s="209">
        <f>G64-H64</f>
        <v/>
      </c>
      <c r="J64" s="209">
        <f>J63-I64</f>
        <v/>
      </c>
      <c r="K64" s="171" t="n"/>
      <c r="L64" s="171" t="n"/>
      <c r="M64" s="171" t="n"/>
      <c r="N64" s="171" t="n"/>
      <c r="O64" s="171" t="n"/>
      <c r="P64" s="171" t="n"/>
      <c r="Q64" s="171" t="n"/>
      <c r="R64" s="171" t="n"/>
      <c r="S64" s="171" t="n"/>
      <c r="T64" s="171" t="n"/>
      <c r="U64" s="171" t="n"/>
      <c r="V64" s="171" t="n"/>
      <c r="W64" s="171" t="n"/>
      <c r="X64" s="171" t="n"/>
      <c r="Y64" s="171" t="n"/>
      <c r="Z64" s="171" t="n"/>
      <c r="AA64" s="171" t="n"/>
      <c r="AB64" s="171" t="n"/>
    </row>
    <row r="65">
      <c r="A65" s="181" t="n"/>
      <c r="B65" s="181" t="n"/>
      <c r="C65" s="181" t="n"/>
      <c r="D65" s="181" t="n"/>
      <c r="E65" s="181" t="n"/>
      <c r="F65" s="208" t="n">
        <v>59</v>
      </c>
      <c r="G65" s="209">
        <f>$C$39</f>
        <v/>
      </c>
      <c r="H65" s="209">
        <f>(J64*$C$16)/12</f>
        <v/>
      </c>
      <c r="I65" s="209">
        <f>G65-H65</f>
        <v/>
      </c>
      <c r="J65" s="209">
        <f>J64-I65</f>
        <v/>
      </c>
      <c r="K65" s="171" t="n"/>
      <c r="L65" s="171" t="n"/>
      <c r="M65" s="171" t="n"/>
      <c r="N65" s="171" t="n"/>
      <c r="O65" s="171" t="n"/>
      <c r="P65" s="171" t="n"/>
      <c r="Q65" s="171" t="n"/>
      <c r="R65" s="171" t="n"/>
      <c r="S65" s="171" t="n"/>
      <c r="T65" s="171" t="n"/>
      <c r="U65" s="171" t="n"/>
      <c r="V65" s="171" t="n"/>
      <c r="W65" s="171" t="n"/>
      <c r="X65" s="171" t="n"/>
      <c r="Y65" s="171" t="n"/>
      <c r="Z65" s="171" t="n"/>
      <c r="AA65" s="171" t="n"/>
      <c r="AB65" s="171" t="n"/>
    </row>
    <row r="66">
      <c r="A66" s="181" t="n"/>
      <c r="B66" s="181" t="n"/>
      <c r="C66" s="181" t="n"/>
      <c r="D66" s="181" t="n"/>
      <c r="E66" s="181" t="n"/>
      <c r="F66" s="483" t="n">
        <v>60</v>
      </c>
      <c r="G66" s="484">
        <f>$C$39</f>
        <v/>
      </c>
      <c r="H66" s="484">
        <f>(J65*$C$16)/12</f>
        <v/>
      </c>
      <c r="I66" s="484">
        <f>G66-H66</f>
        <v/>
      </c>
      <c r="J66" s="484">
        <f>J65-I66</f>
        <v/>
      </c>
      <c r="K66" s="171" t="n"/>
      <c r="L66" s="171" t="n"/>
      <c r="M66" s="171" t="n"/>
      <c r="N66" s="171" t="n"/>
      <c r="O66" s="171" t="n"/>
      <c r="P66" s="171" t="n"/>
      <c r="Q66" s="171" t="n"/>
      <c r="R66" s="171" t="n"/>
      <c r="S66" s="171" t="n"/>
      <c r="T66" s="171" t="n"/>
      <c r="U66" s="171" t="n"/>
      <c r="V66" s="171" t="n"/>
      <c r="W66" s="171" t="n"/>
      <c r="X66" s="171" t="n"/>
      <c r="Y66" s="171" t="n"/>
      <c r="Z66" s="171" t="n"/>
      <c r="AA66" s="171" t="n"/>
      <c r="AB66" s="171" t="n"/>
    </row>
    <row r="67">
      <c r="A67" s="181" t="n"/>
      <c r="B67" s="181" t="n"/>
      <c r="C67" s="181" t="n"/>
      <c r="D67" s="181" t="n"/>
      <c r="E67" s="181" t="n"/>
      <c r="F67" s="208" t="n">
        <v>61</v>
      </c>
      <c r="G67" s="209">
        <f>$C$39</f>
        <v/>
      </c>
      <c r="H67" s="209">
        <f>(J66*$C$16)/12</f>
        <v/>
      </c>
      <c r="I67" s="209">
        <f>G67-H67</f>
        <v/>
      </c>
      <c r="J67" s="209">
        <f>J66-I67</f>
        <v/>
      </c>
      <c r="K67" s="171" t="n"/>
      <c r="L67" s="171" t="n"/>
      <c r="M67" s="171" t="n"/>
      <c r="N67" s="171" t="n"/>
      <c r="O67" s="171" t="n"/>
      <c r="P67" s="171" t="n"/>
      <c r="Q67" s="171" t="n"/>
      <c r="R67" s="171" t="n"/>
      <c r="S67" s="171" t="n"/>
      <c r="T67" s="171" t="n"/>
      <c r="U67" s="171" t="n"/>
      <c r="V67" s="171" t="n"/>
      <c r="W67" s="171" t="n"/>
      <c r="X67" s="171" t="n"/>
      <c r="Y67" s="171" t="n"/>
      <c r="Z67" s="171" t="n"/>
      <c r="AA67" s="171" t="n"/>
      <c r="AB67" s="171" t="n"/>
    </row>
    <row r="68">
      <c r="A68" s="181" t="n"/>
      <c r="B68" s="181" t="n"/>
      <c r="C68" s="181" t="n"/>
      <c r="D68" s="181" t="n"/>
      <c r="E68" s="181" t="n"/>
      <c r="F68" s="208" t="n">
        <v>62</v>
      </c>
      <c r="G68" s="209">
        <f>$C$39</f>
        <v/>
      </c>
      <c r="H68" s="209">
        <f>(J67*$C$16)/12</f>
        <v/>
      </c>
      <c r="I68" s="209">
        <f>G68-H68</f>
        <v/>
      </c>
      <c r="J68" s="209">
        <f>J67-I68</f>
        <v/>
      </c>
      <c r="K68" s="171" t="n"/>
      <c r="L68" s="171" t="n"/>
      <c r="M68" s="171" t="n"/>
      <c r="N68" s="171" t="n"/>
      <c r="O68" s="171" t="n"/>
      <c r="P68" s="171" t="n"/>
      <c r="Q68" s="171" t="n"/>
      <c r="R68" s="171" t="n"/>
      <c r="S68" s="171" t="n"/>
      <c r="T68" s="171" t="n"/>
      <c r="U68" s="171" t="n"/>
      <c r="V68" s="171" t="n"/>
      <c r="W68" s="171" t="n"/>
      <c r="X68" s="171" t="n"/>
      <c r="Y68" s="171" t="n"/>
      <c r="Z68" s="171" t="n"/>
      <c r="AA68" s="171" t="n"/>
      <c r="AB68" s="171" t="n"/>
    </row>
    <row r="69">
      <c r="A69" s="181" t="n"/>
      <c r="B69" s="181" t="n"/>
      <c r="C69" s="181" t="n"/>
      <c r="D69" s="181" t="n"/>
      <c r="E69" s="181" t="n"/>
      <c r="F69" s="208" t="n">
        <v>63</v>
      </c>
      <c r="G69" s="209">
        <f>$C$39</f>
        <v/>
      </c>
      <c r="H69" s="209">
        <f>(J68*$C$16)/12</f>
        <v/>
      </c>
      <c r="I69" s="209">
        <f>G69-H69</f>
        <v/>
      </c>
      <c r="J69" s="209">
        <f>J68-I69</f>
        <v/>
      </c>
      <c r="K69" s="171" t="n"/>
      <c r="L69" s="171" t="n"/>
      <c r="M69" s="171" t="n"/>
      <c r="N69" s="171" t="n"/>
      <c r="O69" s="171" t="n"/>
      <c r="P69" s="171" t="n"/>
      <c r="Q69" s="171" t="n"/>
      <c r="R69" s="171" t="n"/>
      <c r="S69" s="171" t="n"/>
      <c r="T69" s="171" t="n"/>
      <c r="U69" s="171" t="n"/>
      <c r="V69" s="171" t="n"/>
      <c r="W69" s="171" t="n"/>
      <c r="X69" s="171" t="n"/>
      <c r="Y69" s="171" t="n"/>
      <c r="Z69" s="171" t="n"/>
      <c r="AA69" s="171" t="n"/>
      <c r="AB69" s="171" t="n"/>
    </row>
    <row r="70">
      <c r="A70" s="181" t="n"/>
      <c r="B70" s="181" t="n"/>
      <c r="C70" s="181" t="n"/>
      <c r="D70" s="181" t="n"/>
      <c r="E70" s="181" t="n"/>
      <c r="F70" s="208" t="n">
        <v>64</v>
      </c>
      <c r="G70" s="209">
        <f>$C$39</f>
        <v/>
      </c>
      <c r="H70" s="209">
        <f>(J69*$C$16)/12</f>
        <v/>
      </c>
      <c r="I70" s="209">
        <f>G70-H70</f>
        <v/>
      </c>
      <c r="J70" s="209">
        <f>J69-I70</f>
        <v/>
      </c>
      <c r="K70" s="171" t="n"/>
      <c r="L70" s="171" t="n"/>
      <c r="M70" s="171" t="n"/>
      <c r="N70" s="171" t="n"/>
      <c r="O70" s="171" t="n"/>
      <c r="P70" s="171" t="n"/>
      <c r="Q70" s="171" t="n"/>
      <c r="R70" s="171" t="n"/>
      <c r="S70" s="171" t="n"/>
      <c r="T70" s="171" t="n"/>
      <c r="U70" s="171" t="n"/>
      <c r="V70" s="171" t="n"/>
      <c r="W70" s="171" t="n"/>
      <c r="X70" s="171" t="n"/>
      <c r="Y70" s="171" t="n"/>
      <c r="Z70" s="171" t="n"/>
      <c r="AA70" s="171" t="n"/>
      <c r="AB70" s="171" t="n"/>
    </row>
    <row r="71">
      <c r="A71" s="181" t="n"/>
      <c r="B71" s="181" t="n"/>
      <c r="C71" s="181" t="n"/>
      <c r="D71" s="181" t="n"/>
      <c r="E71" s="181" t="n"/>
      <c r="F71" s="208" t="n">
        <v>65</v>
      </c>
      <c r="G71" s="209">
        <f>$C$39</f>
        <v/>
      </c>
      <c r="H71" s="209">
        <f>(J70*$C$16)/12</f>
        <v/>
      </c>
      <c r="I71" s="209">
        <f>G71-H71</f>
        <v/>
      </c>
      <c r="J71" s="209">
        <f>J70-I71</f>
        <v/>
      </c>
      <c r="K71" s="171" t="n"/>
      <c r="L71" s="171" t="n"/>
      <c r="M71" s="171" t="n"/>
      <c r="N71" s="171" t="n"/>
      <c r="O71" s="171" t="n"/>
      <c r="P71" s="171" t="n"/>
      <c r="Q71" s="171" t="n"/>
      <c r="R71" s="171" t="n"/>
      <c r="S71" s="171" t="n"/>
      <c r="T71" s="171" t="n"/>
      <c r="U71" s="171" t="n"/>
      <c r="V71" s="171" t="n"/>
      <c r="W71" s="171" t="n"/>
      <c r="X71" s="171" t="n"/>
      <c r="Y71" s="171" t="n"/>
      <c r="Z71" s="171" t="n"/>
      <c r="AA71" s="171" t="n"/>
      <c r="AB71" s="171" t="n"/>
    </row>
    <row r="72">
      <c r="A72" s="181" t="n"/>
      <c r="B72" s="181" t="n"/>
      <c r="C72" s="181" t="n"/>
      <c r="D72" s="181" t="n"/>
      <c r="E72" s="181" t="n"/>
      <c r="F72" s="208" t="n">
        <v>66</v>
      </c>
      <c r="G72" s="209">
        <f>$C$39</f>
        <v/>
      </c>
      <c r="H72" s="209">
        <f>(J71*$C$16)/12</f>
        <v/>
      </c>
      <c r="I72" s="209">
        <f>G72-H72</f>
        <v/>
      </c>
      <c r="J72" s="209">
        <f>J71-I72</f>
        <v/>
      </c>
      <c r="K72" s="171" t="n"/>
      <c r="L72" s="171" t="n"/>
      <c r="M72" s="171" t="n"/>
      <c r="N72" s="171" t="n"/>
      <c r="O72" s="171" t="n"/>
      <c r="P72" s="171" t="n"/>
      <c r="Q72" s="171" t="n"/>
      <c r="R72" s="171" t="n"/>
      <c r="S72" s="171" t="n"/>
      <c r="T72" s="171" t="n"/>
      <c r="U72" s="171" t="n"/>
      <c r="V72" s="171" t="n"/>
      <c r="W72" s="171" t="n"/>
      <c r="X72" s="171" t="n"/>
      <c r="Y72" s="171" t="n"/>
      <c r="Z72" s="171" t="n"/>
      <c r="AA72" s="171" t="n"/>
      <c r="AB72" s="171" t="n"/>
    </row>
    <row r="73">
      <c r="A73" s="181" t="n"/>
      <c r="B73" s="181" t="n"/>
      <c r="C73" s="181" t="n"/>
      <c r="D73" s="181" t="n"/>
      <c r="E73" s="181" t="n"/>
      <c r="F73" s="208" t="n">
        <v>67</v>
      </c>
      <c r="G73" s="209">
        <f>$C$39</f>
        <v/>
      </c>
      <c r="H73" s="209">
        <f>(J72*$C$16)/12</f>
        <v/>
      </c>
      <c r="I73" s="209">
        <f>G73-H73</f>
        <v/>
      </c>
      <c r="J73" s="209">
        <f>J72-I73</f>
        <v/>
      </c>
      <c r="K73" s="171" t="n"/>
      <c r="L73" s="171" t="n"/>
      <c r="M73" s="171" t="n"/>
      <c r="N73" s="171" t="n"/>
      <c r="O73" s="171" t="n"/>
      <c r="P73" s="171" t="n"/>
      <c r="Q73" s="171" t="n"/>
      <c r="R73" s="171" t="n"/>
      <c r="S73" s="171" t="n"/>
      <c r="T73" s="171" t="n"/>
      <c r="U73" s="171" t="n"/>
      <c r="V73" s="171" t="n"/>
      <c r="W73" s="171" t="n"/>
      <c r="X73" s="171" t="n"/>
      <c r="Y73" s="171" t="n"/>
      <c r="Z73" s="171" t="n"/>
      <c r="AA73" s="171" t="n"/>
      <c r="AB73" s="171" t="n"/>
    </row>
    <row r="74">
      <c r="A74" s="181" t="n"/>
      <c r="B74" s="181" t="n"/>
      <c r="C74" s="181" t="n"/>
      <c r="D74" s="181" t="n"/>
      <c r="E74" s="181" t="n"/>
      <c r="F74" s="208" t="n">
        <v>68</v>
      </c>
      <c r="G74" s="209">
        <f>$C$39</f>
        <v/>
      </c>
      <c r="H74" s="209">
        <f>(J73*$C$16)/12</f>
        <v/>
      </c>
      <c r="I74" s="209">
        <f>G74-H74</f>
        <v/>
      </c>
      <c r="J74" s="209">
        <f>J73-I74</f>
        <v/>
      </c>
      <c r="K74" s="171" t="n"/>
      <c r="L74" s="171" t="n"/>
      <c r="M74" s="171" t="n"/>
      <c r="N74" s="171" t="n"/>
      <c r="O74" s="171" t="n"/>
      <c r="P74" s="171" t="n"/>
      <c r="Q74" s="171" t="n"/>
      <c r="R74" s="171" t="n"/>
      <c r="S74" s="171" t="n"/>
      <c r="T74" s="171" t="n"/>
      <c r="U74" s="171" t="n"/>
      <c r="V74" s="171" t="n"/>
      <c r="W74" s="171" t="n"/>
      <c r="X74" s="171" t="n"/>
      <c r="Y74" s="171" t="n"/>
      <c r="Z74" s="171" t="n"/>
      <c r="AA74" s="171" t="n"/>
      <c r="AB74" s="171" t="n"/>
    </row>
    <row r="75">
      <c r="A75" s="181" t="n"/>
      <c r="B75" s="181" t="n"/>
      <c r="C75" s="181" t="n"/>
      <c r="D75" s="181" t="n"/>
      <c r="E75" s="181" t="n"/>
      <c r="F75" s="208" t="n">
        <v>69</v>
      </c>
      <c r="G75" s="209">
        <f>$C$39</f>
        <v/>
      </c>
      <c r="H75" s="209">
        <f>(J74*$C$16)/12</f>
        <v/>
      </c>
      <c r="I75" s="209">
        <f>G75-H75</f>
        <v/>
      </c>
      <c r="J75" s="209">
        <f>J74-I75</f>
        <v/>
      </c>
      <c r="K75" s="171" t="n"/>
      <c r="L75" s="171" t="n"/>
      <c r="M75" s="171" t="n"/>
      <c r="N75" s="171" t="n"/>
      <c r="O75" s="171" t="n"/>
      <c r="P75" s="171" t="n"/>
      <c r="Q75" s="171" t="n"/>
      <c r="R75" s="171" t="n"/>
      <c r="S75" s="171" t="n"/>
      <c r="T75" s="171" t="n"/>
      <c r="U75" s="171" t="n"/>
      <c r="V75" s="171" t="n"/>
      <c r="W75" s="171" t="n"/>
      <c r="X75" s="171" t="n"/>
      <c r="Y75" s="171" t="n"/>
      <c r="Z75" s="171" t="n"/>
      <c r="AA75" s="171" t="n"/>
      <c r="AB75" s="171" t="n"/>
    </row>
    <row r="76">
      <c r="A76" s="181" t="n"/>
      <c r="B76" s="181" t="n"/>
      <c r="C76" s="181" t="n"/>
      <c r="D76" s="181" t="n"/>
      <c r="E76" s="181" t="n"/>
      <c r="F76" s="208" t="n">
        <v>70</v>
      </c>
      <c r="G76" s="209">
        <f>$C$39</f>
        <v/>
      </c>
      <c r="H76" s="209">
        <f>(J75*$C$16)/12</f>
        <v/>
      </c>
      <c r="I76" s="209">
        <f>G76-H76</f>
        <v/>
      </c>
      <c r="J76" s="209">
        <f>J75-I76</f>
        <v/>
      </c>
      <c r="K76" s="171" t="n"/>
      <c r="L76" s="171" t="n"/>
      <c r="M76" s="171" t="n"/>
      <c r="N76" s="171" t="n"/>
      <c r="O76" s="171" t="n"/>
      <c r="P76" s="171" t="n"/>
      <c r="Q76" s="171" t="n"/>
      <c r="R76" s="171" t="n"/>
      <c r="S76" s="171" t="n"/>
      <c r="T76" s="171" t="n"/>
      <c r="U76" s="171" t="n"/>
      <c r="V76" s="171" t="n"/>
      <c r="W76" s="171" t="n"/>
      <c r="X76" s="171" t="n"/>
      <c r="Y76" s="171" t="n"/>
      <c r="Z76" s="171" t="n"/>
      <c r="AA76" s="171" t="n"/>
      <c r="AB76" s="171" t="n"/>
    </row>
    <row r="77">
      <c r="A77" s="181" t="n"/>
      <c r="B77" s="181" t="n"/>
      <c r="C77" s="181" t="n"/>
      <c r="D77" s="181" t="n"/>
      <c r="E77" s="181" t="n"/>
      <c r="F77" s="208" t="n">
        <v>71</v>
      </c>
      <c r="G77" s="209">
        <f>$C$39</f>
        <v/>
      </c>
      <c r="H77" s="209">
        <f>(J76*$C$16)/12</f>
        <v/>
      </c>
      <c r="I77" s="209">
        <f>G77-H77</f>
        <v/>
      </c>
      <c r="J77" s="209">
        <f>J76-I77</f>
        <v/>
      </c>
      <c r="K77" s="171" t="n"/>
      <c r="L77" s="171" t="n"/>
      <c r="M77" s="171" t="n"/>
      <c r="N77" s="171" t="n"/>
      <c r="O77" s="171" t="n"/>
      <c r="P77" s="171" t="n"/>
      <c r="Q77" s="171" t="n"/>
      <c r="R77" s="171" t="n"/>
      <c r="S77" s="171" t="n"/>
      <c r="T77" s="171" t="n"/>
      <c r="U77" s="171" t="n"/>
      <c r="V77" s="171" t="n"/>
      <c r="W77" s="171" t="n"/>
      <c r="X77" s="171" t="n"/>
      <c r="Y77" s="171" t="n"/>
      <c r="Z77" s="171" t="n"/>
      <c r="AA77" s="171" t="n"/>
      <c r="AB77" s="171" t="n"/>
    </row>
    <row r="78">
      <c r="A78" s="181" t="n"/>
      <c r="B78" s="181" t="n"/>
      <c r="C78" s="181" t="n"/>
      <c r="D78" s="181" t="n"/>
      <c r="E78" s="181" t="n"/>
      <c r="F78" s="491" t="n">
        <v>72</v>
      </c>
      <c r="G78" s="492">
        <f>$C$39</f>
        <v/>
      </c>
      <c r="H78" s="492">
        <f>(J77*$C$16)/12</f>
        <v/>
      </c>
      <c r="I78" s="492">
        <f>G78-H78</f>
        <v/>
      </c>
      <c r="J78" s="492">
        <f>J77-I78</f>
        <v/>
      </c>
      <c r="K78" s="171" t="n"/>
      <c r="L78" s="171" t="n"/>
      <c r="M78" s="171" t="n"/>
      <c r="N78" s="171" t="n"/>
      <c r="O78" s="171" t="n"/>
      <c r="P78" s="171" t="n"/>
      <c r="Q78" s="171" t="n"/>
      <c r="R78" s="171" t="n"/>
      <c r="S78" s="171" t="n"/>
      <c r="T78" s="171" t="n"/>
      <c r="U78" s="171" t="n"/>
      <c r="V78" s="171" t="n"/>
      <c r="W78" s="171" t="n"/>
      <c r="X78" s="171" t="n"/>
      <c r="Y78" s="171" t="n"/>
      <c r="Z78" s="171" t="n"/>
      <c r="AA78" s="171" t="n"/>
      <c r="AB78" s="171" t="n"/>
    </row>
    <row r="79">
      <c r="A79" s="181" t="n"/>
      <c r="B79" s="181" t="n"/>
      <c r="C79" s="181" t="n"/>
      <c r="D79" s="181" t="n"/>
      <c r="E79" s="181" t="n"/>
      <c r="F79" s="208" t="inlineStr">
        <is>
          <t>10yrs</t>
        </is>
      </c>
      <c r="G79" s="209">
        <f>$C$39</f>
        <v/>
      </c>
      <c r="H79" s="209">
        <f>(J78*$C$16)/12</f>
        <v/>
      </c>
      <c r="I79" s="209">
        <f>G79-H79</f>
        <v/>
      </c>
      <c r="J79" s="209">
        <f>J78-I79</f>
        <v/>
      </c>
      <c r="K79" s="171" t="n"/>
      <c r="L79" s="171" t="n"/>
      <c r="M79" s="171" t="n"/>
      <c r="N79" s="171" t="n"/>
      <c r="O79" s="171" t="n"/>
      <c r="P79" s="171" t="n"/>
      <c r="Q79" s="171" t="n"/>
      <c r="R79" s="171" t="n"/>
      <c r="S79" s="171" t="n"/>
      <c r="T79" s="171" t="n"/>
      <c r="U79" s="171" t="n"/>
      <c r="V79" s="171" t="n"/>
      <c r="W79" s="171" t="n"/>
      <c r="X79" s="171" t="n"/>
      <c r="Y79" s="171" t="n"/>
      <c r="Z79" s="171" t="n"/>
      <c r="AA79" s="171" t="n"/>
      <c r="AB79" s="171" t="n"/>
    </row>
    <row r="80">
      <c r="A80" s="181" t="n"/>
      <c r="B80" s="181" t="n"/>
      <c r="C80" s="181" t="n"/>
      <c r="D80" s="181" t="n"/>
      <c r="E80" s="181" t="n"/>
      <c r="F80" s="208" t="n">
        <v>74</v>
      </c>
      <c r="G80" s="209">
        <f>$C$39</f>
        <v/>
      </c>
      <c r="H80" s="209">
        <f>(J79*$C$16)/12</f>
        <v/>
      </c>
      <c r="I80" s="209">
        <f>G80-H80</f>
        <v/>
      </c>
      <c r="J80" s="209">
        <f>J79-I80</f>
        <v/>
      </c>
      <c r="K80" s="171" t="n"/>
      <c r="L80" s="171" t="n"/>
      <c r="M80" s="171" t="n"/>
      <c r="N80" s="171" t="n"/>
      <c r="O80" s="171" t="n"/>
      <c r="P80" s="171" t="n"/>
      <c r="Q80" s="171" t="n"/>
      <c r="R80" s="171" t="n"/>
      <c r="S80" s="171" t="n"/>
      <c r="T80" s="171" t="n"/>
      <c r="U80" s="171" t="n"/>
      <c r="V80" s="171" t="n"/>
      <c r="W80" s="171" t="n"/>
      <c r="X80" s="171" t="n"/>
      <c r="Y80" s="171" t="n"/>
      <c r="Z80" s="171" t="n"/>
      <c r="AA80" s="171" t="n"/>
      <c r="AB80" s="171" t="n"/>
    </row>
    <row r="81">
      <c r="A81" s="181" t="n"/>
      <c r="B81" s="181" t="n"/>
      <c r="C81" s="181" t="n"/>
      <c r="D81" s="181" t="n"/>
      <c r="E81" s="181" t="n"/>
      <c r="F81" s="208" t="n">
        <v>75</v>
      </c>
      <c r="G81" s="209">
        <f>$C$39</f>
        <v/>
      </c>
      <c r="H81" s="209">
        <f>(J80*$C$16)/12</f>
        <v/>
      </c>
      <c r="I81" s="209">
        <f>G81-H81</f>
        <v/>
      </c>
      <c r="J81" s="209">
        <f>J80-I81</f>
        <v/>
      </c>
      <c r="K81" s="171" t="n"/>
      <c r="L81" s="171" t="n"/>
      <c r="M81" s="171" t="n"/>
      <c r="N81" s="171" t="n"/>
      <c r="O81" s="171" t="n"/>
      <c r="P81" s="171" t="n"/>
      <c r="Q81" s="171" t="n"/>
      <c r="R81" s="171" t="n"/>
      <c r="S81" s="171" t="n"/>
      <c r="T81" s="171" t="n"/>
      <c r="U81" s="171" t="n"/>
      <c r="V81" s="171" t="n"/>
      <c r="W81" s="171" t="n"/>
      <c r="X81" s="171" t="n"/>
      <c r="Y81" s="171" t="n"/>
      <c r="Z81" s="171" t="n"/>
      <c r="AA81" s="171" t="n"/>
      <c r="AB81" s="171" t="n"/>
    </row>
    <row r="82">
      <c r="A82" s="181" t="n"/>
      <c r="B82" s="181" t="n"/>
      <c r="C82" s="181" t="n"/>
      <c r="D82" s="181" t="n"/>
      <c r="E82" s="181" t="n"/>
      <c r="F82" s="208" t="n">
        <v>76</v>
      </c>
      <c r="G82" s="209">
        <f>$C$39</f>
        <v/>
      </c>
      <c r="H82" s="209">
        <f>(J81*$C$16)/12</f>
        <v/>
      </c>
      <c r="I82" s="209">
        <f>G82-H82</f>
        <v/>
      </c>
      <c r="J82" s="209">
        <f>J81-I82</f>
        <v/>
      </c>
      <c r="K82" s="171" t="n"/>
      <c r="L82" s="171" t="n"/>
      <c r="M82" s="171" t="n"/>
      <c r="N82" s="171" t="n"/>
      <c r="O82" s="171" t="n"/>
      <c r="P82" s="171" t="n"/>
      <c r="Q82" s="171" t="n"/>
      <c r="R82" s="171" t="n"/>
      <c r="S82" s="171" t="n"/>
      <c r="T82" s="171" t="n"/>
      <c r="U82" s="171" t="n"/>
      <c r="V82" s="171" t="n"/>
      <c r="W82" s="171" t="n"/>
      <c r="X82" s="171" t="n"/>
      <c r="Y82" s="171" t="n"/>
      <c r="Z82" s="171" t="n"/>
      <c r="AA82" s="171" t="n"/>
      <c r="AB82" s="171" t="n"/>
    </row>
    <row r="83">
      <c r="A83" s="181" t="n"/>
      <c r="B83" s="181" t="n"/>
      <c r="C83" s="181" t="n"/>
      <c r="D83" s="181" t="n"/>
      <c r="E83" s="181" t="n"/>
      <c r="F83" s="208" t="n">
        <v>77</v>
      </c>
      <c r="G83" s="209">
        <f>$C$39</f>
        <v/>
      </c>
      <c r="H83" s="209">
        <f>(J82*$C$16)/12</f>
        <v/>
      </c>
      <c r="I83" s="209">
        <f>G83-H83</f>
        <v/>
      </c>
      <c r="J83" s="209">
        <f>J82-I83</f>
        <v/>
      </c>
      <c r="K83" s="171" t="n"/>
      <c r="L83" s="171" t="n"/>
      <c r="M83" s="171" t="n"/>
      <c r="N83" s="171" t="n"/>
      <c r="O83" s="171" t="n"/>
      <c r="P83" s="171" t="n"/>
      <c r="Q83" s="171" t="n"/>
      <c r="R83" s="171" t="n"/>
      <c r="S83" s="171" t="n"/>
      <c r="T83" s="171" t="n"/>
      <c r="U83" s="171" t="n"/>
      <c r="V83" s="171" t="n"/>
      <c r="W83" s="171" t="n"/>
      <c r="X83" s="171" t="n"/>
      <c r="Y83" s="171" t="n"/>
      <c r="Z83" s="171" t="n"/>
      <c r="AA83" s="171" t="n"/>
      <c r="AB83" s="171" t="n"/>
    </row>
    <row r="84">
      <c r="A84" s="181" t="n"/>
      <c r="B84" s="181" t="n"/>
      <c r="C84" s="181" t="n"/>
      <c r="D84" s="181" t="n"/>
      <c r="E84" s="181" t="n"/>
      <c r="F84" s="208" t="n">
        <v>78</v>
      </c>
      <c r="G84" s="209">
        <f>$C$39</f>
        <v/>
      </c>
      <c r="H84" s="209">
        <f>(J83*$C$16)/12</f>
        <v/>
      </c>
      <c r="I84" s="209">
        <f>G84-H84</f>
        <v/>
      </c>
      <c r="J84" s="209">
        <f>J83-I84</f>
        <v/>
      </c>
      <c r="K84" s="171" t="n"/>
      <c r="L84" s="171" t="n"/>
      <c r="M84" s="171" t="n"/>
      <c r="N84" s="171" t="n"/>
      <c r="O84" s="171" t="n"/>
      <c r="P84" s="171" t="n"/>
      <c r="Q84" s="171" t="n"/>
      <c r="R84" s="171" t="n"/>
      <c r="S84" s="171" t="n"/>
      <c r="T84" s="171" t="n"/>
      <c r="U84" s="171" t="n"/>
      <c r="V84" s="171" t="n"/>
      <c r="W84" s="171" t="n"/>
      <c r="X84" s="171" t="n"/>
      <c r="Y84" s="171" t="n"/>
      <c r="Z84" s="171" t="n"/>
      <c r="AA84" s="171" t="n"/>
      <c r="AB84" s="171" t="n"/>
    </row>
    <row r="85">
      <c r="A85" s="181" t="n"/>
      <c r="B85" s="181" t="n"/>
      <c r="C85" s="181" t="n"/>
      <c r="D85" s="181" t="n"/>
      <c r="E85" s="181" t="n"/>
      <c r="F85" s="208" t="n">
        <v>79</v>
      </c>
      <c r="G85" s="209">
        <f>$C$39</f>
        <v/>
      </c>
      <c r="H85" s="209">
        <f>(J84*$C$16)/12</f>
        <v/>
      </c>
      <c r="I85" s="209">
        <f>G85-H85</f>
        <v/>
      </c>
      <c r="J85" s="209">
        <f>J84-I85</f>
        <v/>
      </c>
      <c r="K85" s="171" t="n"/>
      <c r="L85" s="171" t="n"/>
      <c r="M85" s="171" t="n"/>
      <c r="N85" s="171" t="n"/>
      <c r="O85" s="171" t="n"/>
      <c r="P85" s="171" t="n"/>
      <c r="Q85" s="171" t="n"/>
      <c r="R85" s="171" t="n"/>
      <c r="S85" s="171" t="n"/>
      <c r="T85" s="171" t="n"/>
      <c r="U85" s="171" t="n"/>
      <c r="V85" s="171" t="n"/>
      <c r="W85" s="171" t="n"/>
      <c r="X85" s="171" t="n"/>
      <c r="Y85" s="171" t="n"/>
      <c r="Z85" s="171" t="n"/>
      <c r="AA85" s="171" t="n"/>
      <c r="AB85" s="171" t="n"/>
    </row>
    <row r="86">
      <c r="A86" s="181" t="n"/>
      <c r="B86" s="181" t="n"/>
      <c r="C86" s="181" t="n"/>
      <c r="D86" s="181" t="n"/>
      <c r="E86" s="181" t="n"/>
      <c r="F86" s="208" t="n">
        <v>80</v>
      </c>
      <c r="G86" s="209">
        <f>$C$39</f>
        <v/>
      </c>
      <c r="H86" s="209">
        <f>(J85*$C$16)/12</f>
        <v/>
      </c>
      <c r="I86" s="209">
        <f>G86-H86</f>
        <v/>
      </c>
      <c r="J86" s="209">
        <f>J85-I86</f>
        <v/>
      </c>
      <c r="K86" s="171" t="n"/>
      <c r="L86" s="171" t="n"/>
      <c r="M86" s="171" t="n"/>
      <c r="N86" s="171" t="n"/>
      <c r="O86" s="171" t="n"/>
      <c r="P86" s="171" t="n"/>
      <c r="Q86" s="171" t="n"/>
      <c r="R86" s="171" t="n"/>
      <c r="S86" s="171" t="n"/>
      <c r="T86" s="171" t="n"/>
      <c r="U86" s="171" t="n"/>
      <c r="V86" s="171" t="n"/>
      <c r="W86" s="171" t="n"/>
      <c r="X86" s="171" t="n"/>
      <c r="Y86" s="171" t="n"/>
      <c r="Z86" s="171" t="n"/>
      <c r="AA86" s="171" t="n"/>
      <c r="AB86" s="171" t="n"/>
    </row>
    <row r="87">
      <c r="A87" s="181" t="n"/>
      <c r="B87" s="181" t="n"/>
      <c r="C87" s="181" t="n"/>
      <c r="D87" s="181" t="n"/>
      <c r="E87" s="181" t="n"/>
      <c r="F87" s="208" t="n">
        <v>81</v>
      </c>
      <c r="G87" s="209">
        <f>$C$39</f>
        <v/>
      </c>
      <c r="H87" s="209">
        <f>(J86*$C$16)/12</f>
        <v/>
      </c>
      <c r="I87" s="209">
        <f>G87-H87</f>
        <v/>
      </c>
      <c r="J87" s="209">
        <f>J86-I87</f>
        <v/>
      </c>
      <c r="K87" s="171" t="n"/>
      <c r="L87" s="171" t="n"/>
      <c r="M87" s="171" t="n"/>
      <c r="N87" s="171" t="n"/>
      <c r="O87" s="171" t="n"/>
      <c r="P87" s="171" t="n"/>
      <c r="Q87" s="171" t="n"/>
      <c r="R87" s="171" t="n"/>
      <c r="S87" s="171" t="n"/>
      <c r="T87" s="171" t="n"/>
      <c r="U87" s="171" t="n"/>
      <c r="V87" s="171" t="n"/>
      <c r="W87" s="171" t="n"/>
      <c r="X87" s="171" t="n"/>
      <c r="Y87" s="171" t="n"/>
      <c r="Z87" s="171" t="n"/>
      <c r="AA87" s="171" t="n"/>
      <c r="AB87" s="171" t="n"/>
    </row>
    <row r="88">
      <c r="A88" s="181" t="n"/>
      <c r="B88" s="181" t="n"/>
      <c r="C88" s="181" t="n"/>
      <c r="D88" s="181" t="n"/>
      <c r="E88" s="181" t="n"/>
      <c r="F88" s="208" t="n">
        <v>82</v>
      </c>
      <c r="G88" s="209">
        <f>$C$39</f>
        <v/>
      </c>
      <c r="H88" s="209">
        <f>(J87*$C$16)/12</f>
        <v/>
      </c>
      <c r="I88" s="209">
        <f>G88-H88</f>
        <v/>
      </c>
      <c r="J88" s="209">
        <f>J87-I88</f>
        <v/>
      </c>
      <c r="K88" s="171" t="n"/>
      <c r="L88" s="171" t="n"/>
      <c r="M88" s="171" t="n"/>
      <c r="N88" s="171" t="n"/>
      <c r="O88" s="171" t="n"/>
      <c r="P88" s="171" t="n"/>
      <c r="Q88" s="171" t="n"/>
      <c r="R88" s="171" t="n"/>
      <c r="S88" s="171" t="n"/>
      <c r="T88" s="171" t="n"/>
      <c r="U88" s="171" t="n"/>
      <c r="V88" s="171" t="n"/>
      <c r="W88" s="171" t="n"/>
      <c r="X88" s="171" t="n"/>
      <c r="Y88" s="171" t="n"/>
      <c r="Z88" s="171" t="n"/>
      <c r="AA88" s="171" t="n"/>
      <c r="AB88" s="171" t="n"/>
    </row>
    <row r="89">
      <c r="A89" s="181" t="n"/>
      <c r="B89" s="181" t="n"/>
      <c r="C89" s="181" t="n"/>
      <c r="D89" s="181" t="n"/>
      <c r="E89" s="181" t="n"/>
      <c r="F89" s="208" t="n">
        <v>83</v>
      </c>
      <c r="G89" s="209">
        <f>$C$39</f>
        <v/>
      </c>
      <c r="H89" s="209">
        <f>(J88*$C$16)/12</f>
        <v/>
      </c>
      <c r="I89" s="209">
        <f>G89-H89</f>
        <v/>
      </c>
      <c r="J89" s="209" t="n"/>
      <c r="K89" s="171" t="n"/>
      <c r="L89" s="171" t="n"/>
      <c r="M89" s="171" t="n"/>
      <c r="N89" s="171" t="n"/>
      <c r="O89" s="171" t="n"/>
      <c r="P89" s="171" t="n"/>
      <c r="Q89" s="171" t="n"/>
      <c r="R89" s="171" t="n"/>
      <c r="S89" s="171" t="n"/>
      <c r="T89" s="171" t="n"/>
      <c r="U89" s="171" t="n"/>
      <c r="V89" s="171" t="n"/>
      <c r="W89" s="171" t="n"/>
      <c r="X89" s="171" t="n"/>
      <c r="Y89" s="171" t="n"/>
      <c r="Z89" s="171" t="n"/>
      <c r="AA89" s="171" t="n"/>
      <c r="AB89" s="171" t="n"/>
    </row>
    <row r="90">
      <c r="A90" s="181" t="n"/>
      <c r="B90" s="181" t="n"/>
      <c r="C90" s="181" t="n"/>
      <c r="D90" s="181" t="n"/>
      <c r="E90" s="181" t="n"/>
      <c r="F90" s="485" t="n">
        <v>84</v>
      </c>
      <c r="G90" s="486">
        <f>$C$39</f>
        <v/>
      </c>
      <c r="H90" s="486">
        <f>(J89*$C$16)/12</f>
        <v/>
      </c>
      <c r="I90" s="486">
        <f>G90-H90</f>
        <v/>
      </c>
      <c r="J90" s="486">
        <f>J89-I90</f>
        <v/>
      </c>
      <c r="K90" s="171" t="n"/>
      <c r="L90" s="171" t="n"/>
      <c r="M90" s="171" t="n"/>
      <c r="N90" s="171" t="n"/>
      <c r="O90" s="171" t="n"/>
      <c r="P90" s="171" t="n"/>
      <c r="Q90" s="171" t="n"/>
      <c r="R90" s="171" t="n"/>
      <c r="S90" s="171" t="n"/>
      <c r="T90" s="171" t="n"/>
      <c r="U90" s="171" t="n"/>
      <c r="V90" s="171" t="n"/>
      <c r="W90" s="171" t="n"/>
      <c r="X90" s="171" t="n"/>
      <c r="Y90" s="171" t="n"/>
      <c r="Z90" s="171" t="n"/>
      <c r="AA90" s="171" t="n"/>
      <c r="AB90" s="171" t="n"/>
    </row>
    <row r="91">
      <c r="A91" s="181" t="n"/>
      <c r="B91" s="181" t="n"/>
      <c r="C91" s="181" t="n"/>
      <c r="D91" s="181" t="n"/>
      <c r="E91" s="181" t="n"/>
      <c r="F91" s="208" t="n">
        <v>85</v>
      </c>
      <c r="G91" s="209">
        <f>$C$39</f>
        <v/>
      </c>
      <c r="H91" s="209">
        <f>(J90*$C$16)/12</f>
        <v/>
      </c>
      <c r="I91" s="209">
        <f>G91-H91</f>
        <v/>
      </c>
      <c r="J91" s="209">
        <f>J90-I91</f>
        <v/>
      </c>
      <c r="K91" s="171" t="n"/>
      <c r="L91" s="171" t="n"/>
      <c r="M91" s="171" t="n"/>
      <c r="N91" s="171" t="n"/>
      <c r="O91" s="171" t="n"/>
      <c r="P91" s="171" t="n"/>
      <c r="Q91" s="171" t="n"/>
      <c r="R91" s="171" t="n"/>
      <c r="S91" s="171" t="n"/>
      <c r="T91" s="171" t="n"/>
      <c r="U91" s="171" t="n"/>
      <c r="V91" s="171" t="n"/>
      <c r="W91" s="171" t="n"/>
      <c r="X91" s="171" t="n"/>
      <c r="Y91" s="171" t="n"/>
      <c r="Z91" s="171" t="n"/>
      <c r="AA91" s="171" t="n"/>
      <c r="AB91" s="171" t="n"/>
    </row>
    <row r="92">
      <c r="A92" s="181" t="n"/>
      <c r="B92" s="181" t="n"/>
      <c r="C92" s="181" t="n"/>
      <c r="D92" s="181" t="n"/>
      <c r="E92" s="181" t="n"/>
      <c r="F92" s="208" t="n">
        <v>86</v>
      </c>
      <c r="G92" s="209">
        <f>$C$39</f>
        <v/>
      </c>
      <c r="H92" s="209">
        <f>(J91*$C$16)/12</f>
        <v/>
      </c>
      <c r="I92" s="209">
        <f>G92-H92</f>
        <v/>
      </c>
      <c r="J92" s="209">
        <f>J91-I92</f>
        <v/>
      </c>
      <c r="K92" s="171" t="n"/>
      <c r="L92" s="171" t="n"/>
      <c r="M92" s="171" t="n"/>
      <c r="N92" s="171" t="n"/>
      <c r="O92" s="171" t="n"/>
      <c r="P92" s="171" t="n"/>
      <c r="Q92" s="171" t="n"/>
      <c r="R92" s="171" t="n"/>
      <c r="S92" s="171" t="n"/>
      <c r="T92" s="171" t="n"/>
      <c r="U92" s="171" t="n"/>
      <c r="V92" s="171" t="n"/>
      <c r="W92" s="171" t="n"/>
      <c r="X92" s="171" t="n"/>
      <c r="Y92" s="171" t="n"/>
      <c r="Z92" s="171" t="n"/>
      <c r="AA92" s="171" t="n"/>
      <c r="AB92" s="171" t="n"/>
    </row>
    <row r="93">
      <c r="A93" s="181" t="n"/>
      <c r="B93" s="181" t="n"/>
      <c r="C93" s="181" t="n"/>
      <c r="D93" s="181" t="n"/>
      <c r="E93" s="181" t="n"/>
      <c r="F93" s="208" t="n">
        <v>87</v>
      </c>
      <c r="G93" s="209">
        <f>$C$39</f>
        <v/>
      </c>
      <c r="H93" s="209">
        <f>(J92*$C$16)/12</f>
        <v/>
      </c>
      <c r="I93" s="209">
        <f>G93-H93</f>
        <v/>
      </c>
      <c r="J93" s="209">
        <f>J92-I93</f>
        <v/>
      </c>
      <c r="K93" s="171" t="n"/>
      <c r="L93" s="171" t="n"/>
      <c r="M93" s="171" t="n"/>
      <c r="N93" s="171" t="n"/>
      <c r="O93" s="171" t="n"/>
      <c r="P93" s="171" t="n"/>
      <c r="Q93" s="171" t="n"/>
      <c r="R93" s="171" t="n"/>
      <c r="S93" s="171" t="n"/>
      <c r="T93" s="171" t="n"/>
      <c r="U93" s="171" t="n"/>
      <c r="V93" s="171" t="n"/>
      <c r="W93" s="171" t="n"/>
      <c r="X93" s="171" t="n"/>
      <c r="Y93" s="171" t="n"/>
      <c r="Z93" s="171" t="n"/>
      <c r="AA93" s="171" t="n"/>
      <c r="AB93" s="171" t="n"/>
    </row>
    <row r="94">
      <c r="A94" s="181" t="n"/>
      <c r="B94" s="181" t="n"/>
      <c r="C94" s="181" t="n"/>
      <c r="D94" s="181" t="n"/>
      <c r="E94" s="181" t="n"/>
      <c r="F94" s="208" t="n">
        <v>88</v>
      </c>
      <c r="G94" s="209">
        <f>$C$39</f>
        <v/>
      </c>
      <c r="H94" s="209">
        <f>(J93*$C$16)/12</f>
        <v/>
      </c>
      <c r="I94" s="209">
        <f>G94-H94</f>
        <v/>
      </c>
      <c r="J94" s="209">
        <f>J93-I94</f>
        <v/>
      </c>
      <c r="K94" s="171" t="n"/>
      <c r="L94" s="171" t="n"/>
      <c r="M94" s="171" t="n"/>
      <c r="N94" s="171" t="n"/>
      <c r="O94" s="171" t="n"/>
      <c r="P94" s="171" t="n"/>
      <c r="Q94" s="171" t="n"/>
      <c r="R94" s="171" t="n"/>
      <c r="S94" s="171" t="n"/>
      <c r="T94" s="171" t="n"/>
      <c r="U94" s="171" t="n"/>
      <c r="V94" s="171" t="n"/>
      <c r="W94" s="171" t="n"/>
      <c r="X94" s="171" t="n"/>
      <c r="Y94" s="171" t="n"/>
      <c r="Z94" s="171" t="n"/>
      <c r="AA94" s="171" t="n"/>
      <c r="AB94" s="171" t="n"/>
    </row>
    <row r="95">
      <c r="A95" s="181" t="n"/>
      <c r="B95" s="181" t="n"/>
      <c r="C95" s="181" t="n"/>
      <c r="D95" s="181" t="n"/>
      <c r="E95" s="181" t="n"/>
      <c r="F95" s="208" t="n">
        <v>89</v>
      </c>
      <c r="G95" s="209">
        <f>$C$39</f>
        <v/>
      </c>
      <c r="H95" s="209">
        <f>(J94*$C$16)/12</f>
        <v/>
      </c>
      <c r="I95" s="209">
        <f>G95-H95</f>
        <v/>
      </c>
      <c r="J95" s="209">
        <f>J94-I95</f>
        <v/>
      </c>
      <c r="K95" s="171" t="n"/>
      <c r="L95" s="171" t="n"/>
      <c r="M95" s="171" t="n"/>
      <c r="N95" s="171" t="n"/>
      <c r="O95" s="171" t="n"/>
      <c r="P95" s="171" t="n"/>
      <c r="Q95" s="171" t="n"/>
      <c r="R95" s="171" t="n"/>
      <c r="S95" s="171" t="n"/>
      <c r="T95" s="171" t="n"/>
      <c r="U95" s="171" t="n"/>
      <c r="V95" s="171" t="n"/>
      <c r="W95" s="171" t="n"/>
      <c r="X95" s="171" t="n"/>
      <c r="Y95" s="171" t="n"/>
      <c r="Z95" s="171" t="n"/>
      <c r="AA95" s="171" t="n"/>
      <c r="AB95" s="171" t="n"/>
    </row>
    <row r="96">
      <c r="A96" s="181" t="n"/>
      <c r="B96" s="181" t="n"/>
      <c r="C96" s="181" t="n"/>
      <c r="D96" s="181" t="n"/>
      <c r="E96" s="181" t="n"/>
      <c r="F96" s="208" t="n">
        <v>90</v>
      </c>
      <c r="G96" s="209">
        <f>$C$39</f>
        <v/>
      </c>
      <c r="H96" s="209">
        <f>(J95*$C$16)/12</f>
        <v/>
      </c>
      <c r="I96" s="209">
        <f>G96-H96</f>
        <v/>
      </c>
      <c r="J96" s="209">
        <f>J95-I96</f>
        <v/>
      </c>
      <c r="K96" s="171" t="n"/>
      <c r="L96" s="171" t="n"/>
      <c r="M96" s="171" t="n"/>
      <c r="N96" s="171" t="n"/>
      <c r="O96" s="171" t="n"/>
      <c r="P96" s="171" t="n"/>
      <c r="Q96" s="171" t="n"/>
      <c r="R96" s="171" t="n"/>
      <c r="S96" s="171" t="n"/>
      <c r="T96" s="171" t="n"/>
      <c r="U96" s="171" t="n"/>
      <c r="V96" s="171" t="n"/>
      <c r="W96" s="171" t="n"/>
      <c r="X96" s="171" t="n"/>
      <c r="Y96" s="171" t="n"/>
      <c r="Z96" s="171" t="n"/>
      <c r="AA96" s="171" t="n"/>
      <c r="AB96" s="171" t="n"/>
    </row>
    <row r="97">
      <c r="A97" s="181" t="n"/>
      <c r="B97" s="181" t="n"/>
      <c r="C97" s="181" t="n"/>
      <c r="D97" s="181" t="n"/>
      <c r="E97" s="181" t="n"/>
      <c r="F97" s="208" t="n">
        <v>91</v>
      </c>
      <c r="G97" s="209">
        <f>$C$39</f>
        <v/>
      </c>
      <c r="H97" s="209">
        <f>(J96*$C$16)/12</f>
        <v/>
      </c>
      <c r="I97" s="209">
        <f>G97-H97</f>
        <v/>
      </c>
      <c r="J97" s="209">
        <f>J96-I97</f>
        <v/>
      </c>
      <c r="K97" s="171" t="n"/>
      <c r="L97" s="171" t="n"/>
      <c r="M97" s="171" t="n"/>
      <c r="N97" s="171" t="n"/>
      <c r="O97" s="171" t="n"/>
      <c r="P97" s="171" t="n"/>
      <c r="Q97" s="171" t="n"/>
      <c r="R97" s="171" t="n"/>
      <c r="S97" s="171" t="n"/>
      <c r="T97" s="171" t="n"/>
      <c r="U97" s="171" t="n"/>
      <c r="V97" s="171" t="n"/>
      <c r="W97" s="171" t="n"/>
      <c r="X97" s="171" t="n"/>
      <c r="Y97" s="171" t="n"/>
      <c r="Z97" s="171" t="n"/>
      <c r="AA97" s="171" t="n"/>
      <c r="AB97" s="171" t="n"/>
    </row>
    <row r="98">
      <c r="A98" s="181" t="n"/>
      <c r="B98" s="181" t="n"/>
      <c r="C98" s="181" t="n"/>
      <c r="D98" s="181" t="n"/>
      <c r="E98" s="181" t="n"/>
      <c r="F98" s="208" t="n">
        <v>92</v>
      </c>
      <c r="G98" s="209">
        <f>$C$39</f>
        <v/>
      </c>
      <c r="H98" s="209">
        <f>(J97*$C$16)/12</f>
        <v/>
      </c>
      <c r="I98" s="209">
        <f>G98-H98</f>
        <v/>
      </c>
      <c r="J98" s="209">
        <f>J97-I98</f>
        <v/>
      </c>
      <c r="K98" s="171" t="n"/>
      <c r="L98" s="171" t="n"/>
      <c r="M98" s="171" t="n"/>
      <c r="N98" s="171" t="n"/>
      <c r="O98" s="171" t="n"/>
      <c r="P98" s="171" t="n"/>
      <c r="Q98" s="171" t="n"/>
      <c r="R98" s="171" t="n"/>
      <c r="S98" s="171" t="n"/>
      <c r="T98" s="171" t="n"/>
      <c r="U98" s="171" t="n"/>
      <c r="V98" s="171" t="n"/>
      <c r="W98" s="171" t="n"/>
      <c r="X98" s="171" t="n"/>
      <c r="Y98" s="171" t="n"/>
      <c r="Z98" s="171" t="n"/>
      <c r="AA98" s="171" t="n"/>
      <c r="AB98" s="171" t="n"/>
    </row>
    <row r="99">
      <c r="A99" s="181" t="n"/>
      <c r="B99" s="181" t="n"/>
      <c r="C99" s="181" t="n"/>
      <c r="D99" s="181" t="n"/>
      <c r="E99" s="181" t="n"/>
      <c r="F99" s="208" t="n">
        <v>93</v>
      </c>
      <c r="G99" s="209">
        <f>$C$39</f>
        <v/>
      </c>
      <c r="H99" s="209">
        <f>(J98*$C$16)/12</f>
        <v/>
      </c>
      <c r="I99" s="209">
        <f>G99-H99</f>
        <v/>
      </c>
      <c r="J99" s="209">
        <f>J98-I99</f>
        <v/>
      </c>
      <c r="K99" s="171" t="n"/>
      <c r="L99" s="171" t="n"/>
      <c r="M99" s="171" t="n"/>
      <c r="N99" s="171" t="n"/>
      <c r="O99" s="171" t="n"/>
      <c r="P99" s="171" t="n"/>
      <c r="Q99" s="171" t="n"/>
      <c r="R99" s="171" t="n"/>
      <c r="S99" s="171" t="n"/>
      <c r="T99" s="171" t="n"/>
      <c r="U99" s="171" t="n"/>
      <c r="V99" s="171" t="n"/>
      <c r="W99" s="171" t="n"/>
      <c r="X99" s="171" t="n"/>
      <c r="Y99" s="171" t="n"/>
      <c r="Z99" s="171" t="n"/>
      <c r="AA99" s="171" t="n"/>
      <c r="AB99" s="171" t="n"/>
    </row>
    <row r="100">
      <c r="A100" s="181" t="n"/>
      <c r="B100" s="181" t="n"/>
      <c r="C100" s="181" t="n"/>
      <c r="D100" s="181" t="n"/>
      <c r="E100" s="181" t="n"/>
      <c r="F100" s="208" t="n">
        <v>94</v>
      </c>
      <c r="G100" s="209">
        <f>$C$39</f>
        <v/>
      </c>
      <c r="H100" s="209">
        <f>(J99*$C$16)/12</f>
        <v/>
      </c>
      <c r="I100" s="209">
        <f>G100-H100</f>
        <v/>
      </c>
      <c r="J100" s="209">
        <f>J99-I100</f>
        <v/>
      </c>
      <c r="K100" s="171" t="n"/>
      <c r="L100" s="171" t="n"/>
      <c r="M100" s="171" t="n"/>
      <c r="N100" s="171" t="n"/>
      <c r="O100" s="171" t="n"/>
      <c r="P100" s="171" t="n"/>
      <c r="Q100" s="171" t="n"/>
      <c r="R100" s="171" t="n"/>
      <c r="S100" s="171" t="n"/>
      <c r="T100" s="171" t="n"/>
      <c r="U100" s="171" t="n"/>
      <c r="V100" s="171" t="n"/>
      <c r="W100" s="171" t="n"/>
      <c r="X100" s="171" t="n"/>
      <c r="Y100" s="171" t="n"/>
      <c r="Z100" s="171" t="n"/>
      <c r="AA100" s="171" t="n"/>
      <c r="AB100" s="171" t="n"/>
    </row>
    <row r="101">
      <c r="A101" s="181" t="n"/>
      <c r="B101" s="181" t="n"/>
      <c r="C101" s="181" t="n"/>
      <c r="D101" s="181" t="n"/>
      <c r="E101" s="181" t="n"/>
      <c r="F101" s="208" t="n">
        <v>95</v>
      </c>
      <c r="G101" s="209">
        <f>$C$39</f>
        <v/>
      </c>
      <c r="H101" s="209">
        <f>(J100*$C$16)/12</f>
        <v/>
      </c>
      <c r="I101" s="209">
        <f>G101-H101</f>
        <v/>
      </c>
      <c r="J101" s="209">
        <f>J100-I101</f>
        <v/>
      </c>
      <c r="K101" s="171" t="n"/>
      <c r="L101" s="171" t="n"/>
      <c r="M101" s="171" t="n"/>
      <c r="N101" s="171" t="n"/>
      <c r="O101" s="171" t="n"/>
      <c r="P101" s="171" t="n"/>
      <c r="Q101" s="171" t="n"/>
      <c r="R101" s="171" t="n"/>
      <c r="S101" s="171" t="n"/>
      <c r="T101" s="171" t="n"/>
      <c r="U101" s="171" t="n"/>
      <c r="V101" s="171" t="n"/>
      <c r="W101" s="171" t="n"/>
      <c r="X101" s="171" t="n"/>
      <c r="Y101" s="171" t="n"/>
      <c r="Z101" s="171" t="n"/>
      <c r="AA101" s="171" t="n"/>
      <c r="AB101" s="171" t="n"/>
    </row>
    <row r="102">
      <c r="A102" s="181" t="n"/>
      <c r="B102" s="181" t="n"/>
      <c r="C102" s="181" t="n"/>
      <c r="D102" s="181" t="n"/>
      <c r="E102" s="181" t="n"/>
      <c r="F102" s="491" t="n">
        <v>96</v>
      </c>
      <c r="G102" s="492">
        <f>$C$39</f>
        <v/>
      </c>
      <c r="H102" s="492">
        <f>(J101*$C$16)/12</f>
        <v/>
      </c>
      <c r="I102" s="492">
        <f>G102-H102</f>
        <v/>
      </c>
      <c r="J102" s="492">
        <f>J101-I102</f>
        <v/>
      </c>
      <c r="K102" s="171" t="n"/>
      <c r="L102" s="171" t="n"/>
      <c r="M102" s="171" t="n"/>
      <c r="N102" s="171" t="n"/>
      <c r="O102" s="171" t="n"/>
      <c r="P102" s="171" t="n"/>
      <c r="Q102" s="171" t="n"/>
      <c r="R102" s="171" t="n"/>
      <c r="S102" s="171" t="n"/>
      <c r="T102" s="171" t="n"/>
      <c r="U102" s="171" t="n"/>
      <c r="V102" s="171" t="n"/>
      <c r="W102" s="171" t="n"/>
      <c r="X102" s="171" t="n"/>
      <c r="Y102" s="171" t="n"/>
      <c r="Z102" s="171" t="n"/>
      <c r="AA102" s="171" t="n"/>
      <c r="AB102" s="171" t="n"/>
    </row>
    <row r="103">
      <c r="A103" s="181" t="n"/>
      <c r="B103" s="181" t="n"/>
      <c r="C103" s="181" t="n"/>
      <c r="D103" s="181" t="n"/>
      <c r="E103" s="181" t="n"/>
      <c r="F103" s="208" t="n">
        <v>97</v>
      </c>
      <c r="G103" s="209">
        <f>$C$39</f>
        <v/>
      </c>
      <c r="H103" s="209">
        <f>(J102*$C$16)/12</f>
        <v/>
      </c>
      <c r="I103" s="209">
        <f>G103-H103</f>
        <v/>
      </c>
      <c r="J103" s="209">
        <f>J102-I103</f>
        <v/>
      </c>
      <c r="K103" s="171" t="n"/>
      <c r="L103" s="171" t="n"/>
      <c r="M103" s="171" t="n"/>
      <c r="N103" s="171" t="n"/>
      <c r="O103" s="171" t="n"/>
      <c r="P103" s="171" t="n"/>
      <c r="Q103" s="171" t="n"/>
      <c r="R103" s="171" t="n"/>
      <c r="S103" s="171" t="n"/>
      <c r="T103" s="171" t="n"/>
      <c r="U103" s="171" t="n"/>
      <c r="V103" s="171" t="n"/>
      <c r="W103" s="171" t="n"/>
      <c r="X103" s="171" t="n"/>
      <c r="Y103" s="171" t="n"/>
      <c r="Z103" s="171" t="n"/>
      <c r="AA103" s="171" t="n"/>
      <c r="AB103" s="171" t="n"/>
    </row>
    <row r="104">
      <c r="A104" s="181" t="n"/>
      <c r="B104" s="181" t="n"/>
      <c r="C104" s="181" t="n"/>
      <c r="D104" s="181" t="n"/>
      <c r="E104" s="181" t="n"/>
      <c r="F104" s="208" t="n">
        <v>98</v>
      </c>
      <c r="G104" s="209">
        <f>$C$39</f>
        <v/>
      </c>
      <c r="H104" s="209">
        <f>(J103*$C$16)/12</f>
        <v/>
      </c>
      <c r="I104" s="209">
        <f>G104-H104</f>
        <v/>
      </c>
      <c r="J104" s="209">
        <f>J103-I104</f>
        <v/>
      </c>
      <c r="K104" s="171" t="n"/>
      <c r="L104" s="171" t="n"/>
      <c r="M104" s="171" t="n"/>
      <c r="N104" s="171" t="n"/>
      <c r="O104" s="171" t="n"/>
      <c r="P104" s="171" t="n"/>
      <c r="Q104" s="171" t="n"/>
      <c r="R104" s="171" t="n"/>
      <c r="S104" s="171" t="n"/>
      <c r="T104" s="171" t="n"/>
      <c r="U104" s="171" t="n"/>
      <c r="V104" s="171" t="n"/>
      <c r="W104" s="171" t="n"/>
      <c r="X104" s="171" t="n"/>
      <c r="Y104" s="171" t="n"/>
      <c r="Z104" s="171" t="n"/>
      <c r="AA104" s="171" t="n"/>
      <c r="AB104" s="171" t="n"/>
    </row>
    <row r="105">
      <c r="A105" s="181" t="n"/>
      <c r="B105" s="181" t="n"/>
      <c r="C105" s="181" t="n"/>
      <c r="D105" s="181" t="n"/>
      <c r="E105" s="181" t="n"/>
      <c r="F105" s="208" t="n">
        <v>99</v>
      </c>
      <c r="G105" s="209">
        <f>$C$39</f>
        <v/>
      </c>
      <c r="H105" s="209">
        <f>(J104*$C$16)/12</f>
        <v/>
      </c>
      <c r="I105" s="209">
        <f>G105-H105</f>
        <v/>
      </c>
      <c r="J105" s="209">
        <f>J104-I105</f>
        <v/>
      </c>
      <c r="K105" s="171" t="n"/>
      <c r="L105" s="171" t="n"/>
      <c r="M105" s="171" t="n"/>
      <c r="N105" s="171" t="n"/>
      <c r="O105" s="171" t="n"/>
      <c r="P105" s="171" t="n"/>
      <c r="Q105" s="171" t="n"/>
      <c r="R105" s="171" t="n"/>
      <c r="S105" s="171" t="n"/>
      <c r="T105" s="171" t="n"/>
      <c r="U105" s="171" t="n"/>
      <c r="V105" s="171" t="n"/>
      <c r="W105" s="171" t="n"/>
      <c r="X105" s="171" t="n"/>
      <c r="Y105" s="171" t="n"/>
      <c r="Z105" s="171" t="n"/>
      <c r="AA105" s="171" t="n"/>
      <c r="AB105" s="171" t="n"/>
    </row>
    <row r="106">
      <c r="A106" s="181" t="n"/>
      <c r="B106" s="181" t="n"/>
      <c r="C106" s="181" t="n"/>
      <c r="D106" s="181" t="n"/>
      <c r="E106" s="181" t="n"/>
      <c r="F106" s="208" t="n">
        <v>100</v>
      </c>
      <c r="G106" s="209">
        <f>$C$39</f>
        <v/>
      </c>
      <c r="H106" s="209">
        <f>(J105*$C$16)/12</f>
        <v/>
      </c>
      <c r="I106" s="209">
        <f>G106-H106</f>
        <v/>
      </c>
      <c r="J106" s="209">
        <f>J105-I106</f>
        <v/>
      </c>
      <c r="K106" s="171" t="n"/>
      <c r="L106" s="171" t="n"/>
      <c r="M106" s="171" t="n"/>
      <c r="N106" s="171" t="n"/>
      <c r="O106" s="171" t="n"/>
      <c r="P106" s="171" t="n"/>
      <c r="Q106" s="171" t="n"/>
      <c r="R106" s="171" t="n"/>
      <c r="S106" s="171" t="n"/>
      <c r="T106" s="171" t="n"/>
      <c r="U106" s="171" t="n"/>
      <c r="V106" s="171" t="n"/>
      <c r="W106" s="171" t="n"/>
      <c r="X106" s="171" t="n"/>
      <c r="Y106" s="171" t="n"/>
      <c r="Z106" s="171" t="n"/>
      <c r="AA106" s="171" t="n"/>
      <c r="AB106" s="171" t="n"/>
    </row>
    <row r="107">
      <c r="A107" s="181" t="n"/>
      <c r="B107" s="181" t="n"/>
      <c r="C107" s="181" t="n"/>
      <c r="D107" s="181" t="n"/>
      <c r="E107" s="181" t="n"/>
      <c r="F107" s="208" t="n">
        <v>101</v>
      </c>
      <c r="G107" s="209">
        <f>$C$39</f>
        <v/>
      </c>
      <c r="H107" s="209">
        <f>(J106*$C$16)/12</f>
        <v/>
      </c>
      <c r="I107" s="209">
        <f>G107-H107</f>
        <v/>
      </c>
      <c r="J107" s="209">
        <f>J106-I107</f>
        <v/>
      </c>
      <c r="K107" s="171" t="n"/>
      <c r="L107" s="171" t="n"/>
      <c r="M107" s="171" t="n"/>
      <c r="N107" s="171" t="n"/>
      <c r="O107" s="171" t="n"/>
      <c r="P107" s="171" t="n"/>
      <c r="Q107" s="171" t="n"/>
      <c r="R107" s="171" t="n"/>
      <c r="S107" s="171" t="n"/>
      <c r="T107" s="171" t="n"/>
      <c r="U107" s="171" t="n"/>
      <c r="V107" s="171" t="n"/>
      <c r="W107" s="171" t="n"/>
      <c r="X107" s="171" t="n"/>
      <c r="Y107" s="171" t="n"/>
      <c r="Z107" s="171" t="n"/>
      <c r="AA107" s="171" t="n"/>
      <c r="AB107" s="171" t="n"/>
    </row>
    <row r="108">
      <c r="A108" s="181" t="n"/>
      <c r="B108" s="181" t="n"/>
      <c r="C108" s="181" t="n"/>
      <c r="D108" s="181" t="n"/>
      <c r="E108" s="181" t="n"/>
      <c r="F108" s="208" t="n">
        <v>102</v>
      </c>
      <c r="G108" s="209">
        <f>$C$39</f>
        <v/>
      </c>
      <c r="H108" s="209">
        <f>(J107*$C$16)/12</f>
        <v/>
      </c>
      <c r="I108" s="209">
        <f>G108-H108</f>
        <v/>
      </c>
      <c r="J108" s="209">
        <f>J107-I108</f>
        <v/>
      </c>
      <c r="K108" s="171" t="n"/>
      <c r="L108" s="171" t="n"/>
      <c r="M108" s="171" t="n"/>
      <c r="N108" s="171" t="n"/>
      <c r="O108" s="171" t="n"/>
      <c r="P108" s="171" t="n"/>
      <c r="Q108" s="171" t="n"/>
      <c r="R108" s="171" t="n"/>
      <c r="S108" s="171" t="n"/>
      <c r="T108" s="171" t="n"/>
      <c r="U108" s="171" t="n"/>
      <c r="V108" s="171" t="n"/>
      <c r="W108" s="171" t="n"/>
      <c r="X108" s="171" t="n"/>
      <c r="Y108" s="171" t="n"/>
      <c r="Z108" s="171" t="n"/>
      <c r="AA108" s="171" t="n"/>
      <c r="AB108" s="171" t="n"/>
    </row>
    <row r="109">
      <c r="A109" s="181" t="n"/>
      <c r="B109" s="181" t="n"/>
      <c r="C109" s="181" t="n"/>
      <c r="D109" s="181" t="n"/>
      <c r="E109" s="181" t="n"/>
      <c r="F109" s="208" t="n">
        <v>103</v>
      </c>
      <c r="G109" s="209">
        <f>$C$39</f>
        <v/>
      </c>
      <c r="H109" s="209">
        <f>(J108*$C$16)/12</f>
        <v/>
      </c>
      <c r="I109" s="209">
        <f>G109-H109</f>
        <v/>
      </c>
      <c r="J109" s="209">
        <f>J108-I109</f>
        <v/>
      </c>
      <c r="K109" s="171" t="n"/>
      <c r="L109" s="171" t="n"/>
      <c r="M109" s="171" t="n"/>
      <c r="N109" s="171" t="n"/>
      <c r="O109" s="171" t="n"/>
      <c r="P109" s="171" t="n"/>
      <c r="Q109" s="171" t="n"/>
      <c r="R109" s="171" t="n"/>
      <c r="S109" s="171" t="n"/>
      <c r="T109" s="171" t="n"/>
      <c r="U109" s="171" t="n"/>
      <c r="V109" s="171" t="n"/>
      <c r="W109" s="171" t="n"/>
      <c r="X109" s="171" t="n"/>
      <c r="Y109" s="171" t="n"/>
      <c r="Z109" s="171" t="n"/>
      <c r="AA109" s="171" t="n"/>
      <c r="AB109" s="171" t="n"/>
    </row>
    <row r="110">
      <c r="A110" s="181" t="n"/>
      <c r="B110" s="181" t="n"/>
      <c r="C110" s="181" t="n"/>
      <c r="D110" s="181" t="n"/>
      <c r="E110" s="181" t="n"/>
      <c r="F110" s="208" t="n">
        <v>104</v>
      </c>
      <c r="G110" s="209">
        <f>$C$39</f>
        <v/>
      </c>
      <c r="H110" s="209">
        <f>(J109*$C$16)/12</f>
        <v/>
      </c>
      <c r="I110" s="209">
        <f>G110-H110</f>
        <v/>
      </c>
      <c r="J110" s="209">
        <f>J109-I110</f>
        <v/>
      </c>
      <c r="K110" s="171" t="n"/>
      <c r="L110" s="171" t="n"/>
      <c r="M110" s="171" t="n"/>
      <c r="N110" s="171" t="n"/>
      <c r="O110" s="171" t="n"/>
      <c r="P110" s="171" t="n"/>
      <c r="Q110" s="171" t="n"/>
      <c r="R110" s="171" t="n"/>
      <c r="S110" s="171" t="n"/>
      <c r="T110" s="171" t="n"/>
      <c r="U110" s="171" t="n"/>
      <c r="V110" s="171" t="n"/>
      <c r="W110" s="171" t="n"/>
      <c r="X110" s="171" t="n"/>
      <c r="Y110" s="171" t="n"/>
      <c r="Z110" s="171" t="n"/>
      <c r="AA110" s="171" t="n"/>
      <c r="AB110" s="171" t="n"/>
    </row>
    <row r="111">
      <c r="A111" s="181" t="n"/>
      <c r="B111" s="181" t="n"/>
      <c r="C111" s="181" t="n"/>
      <c r="D111" s="181" t="n"/>
      <c r="E111" s="181" t="n"/>
      <c r="F111" s="208" t="n">
        <v>105</v>
      </c>
      <c r="G111" s="209">
        <f>$C$39</f>
        <v/>
      </c>
      <c r="H111" s="209">
        <f>(J110*$C$16)/12</f>
        <v/>
      </c>
      <c r="I111" s="209">
        <f>G111-H111</f>
        <v/>
      </c>
      <c r="J111" s="209">
        <f>J110-I111</f>
        <v/>
      </c>
      <c r="K111" s="171" t="n"/>
      <c r="L111" s="171" t="n"/>
      <c r="M111" s="171" t="n"/>
      <c r="N111" s="171" t="n"/>
      <c r="O111" s="171" t="n"/>
      <c r="P111" s="171" t="n"/>
      <c r="Q111" s="171" t="n"/>
      <c r="R111" s="171" t="n"/>
      <c r="S111" s="171" t="n"/>
      <c r="T111" s="171" t="n"/>
      <c r="U111" s="171" t="n"/>
      <c r="V111" s="171" t="n"/>
      <c r="W111" s="171" t="n"/>
      <c r="X111" s="171" t="n"/>
      <c r="Y111" s="171" t="n"/>
      <c r="Z111" s="171" t="n"/>
      <c r="AA111" s="171" t="n"/>
      <c r="AB111" s="171" t="n"/>
    </row>
    <row r="112">
      <c r="A112" s="181" t="n"/>
      <c r="B112" s="181" t="n"/>
      <c r="C112" s="181" t="n"/>
      <c r="D112" s="181" t="n"/>
      <c r="E112" s="181" t="n"/>
      <c r="F112" s="208" t="n">
        <v>106</v>
      </c>
      <c r="G112" s="209">
        <f>$C$39</f>
        <v/>
      </c>
      <c r="H112" s="209">
        <f>(J111*$C$16)/12</f>
        <v/>
      </c>
      <c r="I112" s="209">
        <f>G112-H112</f>
        <v/>
      </c>
      <c r="J112" s="209">
        <f>J111-I112</f>
        <v/>
      </c>
      <c r="K112" s="171" t="n"/>
      <c r="L112" s="171" t="n"/>
      <c r="M112" s="171" t="n"/>
      <c r="N112" s="171" t="n"/>
      <c r="O112" s="171" t="n"/>
      <c r="P112" s="171" t="n"/>
      <c r="Q112" s="171" t="n"/>
      <c r="R112" s="171" t="n"/>
      <c r="S112" s="171" t="n"/>
      <c r="T112" s="171" t="n"/>
      <c r="U112" s="171" t="n"/>
      <c r="V112" s="171" t="n"/>
      <c r="W112" s="171" t="n"/>
      <c r="X112" s="171" t="n"/>
      <c r="Y112" s="171" t="n"/>
      <c r="Z112" s="171" t="n"/>
      <c r="AA112" s="171" t="n"/>
      <c r="AB112" s="171" t="n"/>
    </row>
    <row r="113">
      <c r="A113" s="181" t="n"/>
      <c r="B113" s="181" t="n"/>
      <c r="C113" s="181" t="n"/>
      <c r="D113" s="181" t="n"/>
      <c r="E113" s="181" t="n"/>
      <c r="F113" s="208" t="n">
        <v>107</v>
      </c>
      <c r="G113" s="209">
        <f>$C$39</f>
        <v/>
      </c>
      <c r="H113" s="209">
        <f>(J112*$C$16)/12</f>
        <v/>
      </c>
      <c r="I113" s="209">
        <f>G113-H113</f>
        <v/>
      </c>
      <c r="J113" s="209">
        <f>J112-I113</f>
        <v/>
      </c>
      <c r="K113" s="171" t="n"/>
      <c r="L113" s="171" t="n"/>
      <c r="M113" s="171" t="n"/>
      <c r="N113" s="171" t="n"/>
      <c r="O113" s="171" t="n"/>
      <c r="P113" s="171" t="n"/>
      <c r="Q113" s="171" t="n"/>
      <c r="R113" s="171" t="n"/>
      <c r="S113" s="171" t="n"/>
      <c r="T113" s="171" t="n"/>
      <c r="U113" s="171" t="n"/>
      <c r="V113" s="171" t="n"/>
      <c r="W113" s="171" t="n"/>
      <c r="X113" s="171" t="n"/>
      <c r="Y113" s="171" t="n"/>
      <c r="Z113" s="171" t="n"/>
      <c r="AA113" s="171" t="n"/>
      <c r="AB113" s="171" t="n"/>
    </row>
    <row r="114">
      <c r="A114" s="181" t="n"/>
      <c r="B114" s="181" t="n"/>
      <c r="C114" s="181" t="n"/>
      <c r="D114" s="181" t="n"/>
      <c r="E114" s="181" t="n"/>
      <c r="F114" s="491" t="n">
        <v>108</v>
      </c>
      <c r="G114" s="492">
        <f>$C$39</f>
        <v/>
      </c>
      <c r="H114" s="492">
        <f>(J113*$C$16)/12</f>
        <v/>
      </c>
      <c r="I114" s="492">
        <f>G114-H114</f>
        <v/>
      </c>
      <c r="J114" s="492">
        <f>J113-I114</f>
        <v/>
      </c>
      <c r="K114" s="171" t="n"/>
      <c r="L114" s="171" t="n"/>
      <c r="M114" s="171" t="n"/>
      <c r="N114" s="171" t="n"/>
      <c r="O114" s="171" t="n"/>
      <c r="P114" s="171" t="n"/>
      <c r="Q114" s="171" t="n"/>
      <c r="R114" s="171" t="n"/>
      <c r="S114" s="171" t="n"/>
      <c r="T114" s="171" t="n"/>
      <c r="U114" s="171" t="n"/>
      <c r="V114" s="171" t="n"/>
      <c r="W114" s="171" t="n"/>
      <c r="X114" s="171" t="n"/>
      <c r="Y114" s="171" t="n"/>
      <c r="Z114" s="171" t="n"/>
      <c r="AA114" s="171" t="n"/>
      <c r="AB114" s="171" t="n"/>
    </row>
    <row r="115">
      <c r="A115" s="181" t="n"/>
      <c r="B115" s="181" t="n"/>
      <c r="C115" s="181" t="n"/>
      <c r="D115" s="181" t="n"/>
      <c r="E115" s="181" t="n"/>
      <c r="F115" s="208" t="n">
        <v>109</v>
      </c>
      <c r="G115" s="209">
        <f>$C$39</f>
        <v/>
      </c>
      <c r="H115" s="209">
        <f>(J114*$C$16)/12</f>
        <v/>
      </c>
      <c r="I115" s="209">
        <f>G115-H115</f>
        <v/>
      </c>
      <c r="J115" s="209">
        <f>J114-I115</f>
        <v/>
      </c>
      <c r="K115" s="171" t="n"/>
      <c r="L115" s="171" t="n"/>
      <c r="M115" s="171" t="n"/>
      <c r="N115" s="171" t="n"/>
      <c r="O115" s="171" t="n"/>
      <c r="P115" s="171" t="n"/>
      <c r="Q115" s="171" t="n"/>
      <c r="R115" s="171" t="n"/>
      <c r="S115" s="171" t="n"/>
      <c r="T115" s="171" t="n"/>
      <c r="U115" s="171" t="n"/>
      <c r="V115" s="171" t="n"/>
      <c r="W115" s="171" t="n"/>
      <c r="X115" s="171" t="n"/>
      <c r="Y115" s="171" t="n"/>
      <c r="Z115" s="171" t="n"/>
      <c r="AA115" s="171" t="n"/>
      <c r="AB115" s="171" t="n"/>
    </row>
    <row r="116">
      <c r="A116" s="181" t="n"/>
      <c r="B116" s="181" t="n"/>
      <c r="C116" s="181" t="n"/>
      <c r="D116" s="181" t="n"/>
      <c r="E116" s="181" t="n"/>
      <c r="F116" s="208" t="n">
        <v>110</v>
      </c>
      <c r="G116" s="209">
        <f>$C$39</f>
        <v/>
      </c>
      <c r="H116" s="209">
        <f>(J115*$C$16)/12</f>
        <v/>
      </c>
      <c r="I116" s="209">
        <f>G116-H116</f>
        <v/>
      </c>
      <c r="J116" s="209">
        <f>J115-I116</f>
        <v/>
      </c>
      <c r="K116" s="171" t="n"/>
      <c r="L116" s="171" t="n"/>
      <c r="M116" s="171" t="n"/>
      <c r="N116" s="171" t="n"/>
      <c r="O116" s="171" t="n"/>
      <c r="P116" s="171" t="n"/>
      <c r="Q116" s="171" t="n"/>
      <c r="R116" s="171" t="n"/>
      <c r="S116" s="171" t="n"/>
      <c r="T116" s="171" t="n"/>
      <c r="U116" s="171" t="n"/>
      <c r="V116" s="171" t="n"/>
      <c r="W116" s="171" t="n"/>
      <c r="X116" s="171" t="n"/>
      <c r="Y116" s="171" t="n"/>
      <c r="Z116" s="171" t="n"/>
      <c r="AA116" s="171" t="n"/>
      <c r="AB116" s="171" t="n"/>
    </row>
    <row r="117">
      <c r="A117" s="181" t="n"/>
      <c r="B117" s="181" t="n"/>
      <c r="C117" s="181" t="n"/>
      <c r="D117" s="181" t="n"/>
      <c r="E117" s="181" t="n"/>
      <c r="F117" s="208" t="n">
        <v>111</v>
      </c>
      <c r="G117" s="209">
        <f>$C$39</f>
        <v/>
      </c>
      <c r="H117" s="209">
        <f>(J116*$C$16)/12</f>
        <v/>
      </c>
      <c r="I117" s="209">
        <f>G117-H117</f>
        <v/>
      </c>
      <c r="J117" s="209">
        <f>J116-I117</f>
        <v/>
      </c>
      <c r="K117" s="171" t="n"/>
      <c r="L117" s="171" t="n"/>
      <c r="M117" s="171" t="n"/>
      <c r="N117" s="171" t="n"/>
      <c r="O117" s="171" t="n"/>
      <c r="P117" s="171" t="n"/>
      <c r="Q117" s="171" t="n"/>
      <c r="R117" s="171" t="n"/>
      <c r="S117" s="171" t="n"/>
      <c r="T117" s="171" t="n"/>
      <c r="U117" s="171" t="n"/>
      <c r="V117" s="171" t="n"/>
      <c r="W117" s="171" t="n"/>
      <c r="X117" s="171" t="n"/>
      <c r="Y117" s="171" t="n"/>
      <c r="Z117" s="171" t="n"/>
      <c r="AA117" s="171" t="n"/>
      <c r="AB117" s="171" t="n"/>
    </row>
    <row r="118">
      <c r="A118" s="181" t="n"/>
      <c r="B118" s="181" t="n"/>
      <c r="C118" s="181" t="n"/>
      <c r="D118" s="181" t="n"/>
      <c r="E118" s="181" t="n"/>
      <c r="F118" s="208" t="n">
        <v>112</v>
      </c>
      <c r="G118" s="209">
        <f>$C$39</f>
        <v/>
      </c>
      <c r="H118" s="209">
        <f>(J117*$C$16)/12</f>
        <v/>
      </c>
      <c r="I118" s="209">
        <f>G118-H118</f>
        <v/>
      </c>
      <c r="J118" s="209">
        <f>J117-I118</f>
        <v/>
      </c>
      <c r="K118" s="171" t="n"/>
      <c r="L118" s="171" t="n"/>
      <c r="M118" s="171" t="n"/>
      <c r="N118" s="171" t="n"/>
      <c r="O118" s="171" t="n"/>
      <c r="P118" s="171" t="n"/>
      <c r="Q118" s="171" t="n"/>
      <c r="R118" s="171" t="n"/>
      <c r="S118" s="171" t="n"/>
      <c r="T118" s="171" t="n"/>
      <c r="U118" s="171" t="n"/>
      <c r="V118" s="171" t="n"/>
      <c r="W118" s="171" t="n"/>
      <c r="X118" s="171" t="n"/>
      <c r="Y118" s="171" t="n"/>
      <c r="Z118" s="171" t="n"/>
      <c r="AA118" s="171" t="n"/>
      <c r="AB118" s="171" t="n"/>
    </row>
    <row r="119">
      <c r="A119" s="181" t="n"/>
      <c r="B119" s="181" t="n"/>
      <c r="C119" s="181" t="n"/>
      <c r="D119" s="181" t="n"/>
      <c r="E119" s="181" t="n"/>
      <c r="F119" s="208" t="n">
        <v>113</v>
      </c>
      <c r="G119" s="209">
        <f>$C$39</f>
        <v/>
      </c>
      <c r="H119" s="209">
        <f>(J118*$C$16)/12</f>
        <v/>
      </c>
      <c r="I119" s="209">
        <f>G119-H119</f>
        <v/>
      </c>
      <c r="J119" s="209">
        <f>J118-I119</f>
        <v/>
      </c>
      <c r="K119" s="171" t="n"/>
      <c r="L119" s="171" t="n"/>
      <c r="M119" s="171" t="n"/>
      <c r="N119" s="171" t="n"/>
      <c r="O119" s="171" t="n"/>
      <c r="P119" s="171" t="n"/>
      <c r="Q119" s="171" t="n"/>
      <c r="R119" s="171" t="n"/>
      <c r="S119" s="171" t="n"/>
      <c r="T119" s="171" t="n"/>
      <c r="U119" s="171" t="n"/>
      <c r="V119" s="171" t="n"/>
      <c r="W119" s="171" t="n"/>
      <c r="X119" s="171" t="n"/>
      <c r="Y119" s="171" t="n"/>
      <c r="Z119" s="171" t="n"/>
      <c r="AA119" s="171" t="n"/>
      <c r="AB119" s="171" t="n"/>
    </row>
    <row r="120">
      <c r="A120" s="181" t="n"/>
      <c r="B120" s="181" t="n"/>
      <c r="C120" s="181" t="n"/>
      <c r="D120" s="181" t="n"/>
      <c r="E120" s="181" t="n"/>
      <c r="F120" s="208" t="n">
        <v>114</v>
      </c>
      <c r="G120" s="209">
        <f>$C$39</f>
        <v/>
      </c>
      <c r="H120" s="209">
        <f>(J119*$C$16)/12</f>
        <v/>
      </c>
      <c r="I120" s="209">
        <f>G120-H120</f>
        <v/>
      </c>
      <c r="J120" s="209">
        <f>J119-I120</f>
        <v/>
      </c>
      <c r="K120" s="171" t="n"/>
      <c r="L120" s="171" t="n"/>
      <c r="M120" s="171" t="n"/>
      <c r="N120" s="171" t="n"/>
      <c r="O120" s="171" t="n"/>
      <c r="P120" s="171" t="n"/>
      <c r="Q120" s="171" t="n"/>
      <c r="R120" s="171" t="n"/>
      <c r="S120" s="171" t="n"/>
      <c r="T120" s="171" t="n"/>
      <c r="U120" s="171" t="n"/>
      <c r="V120" s="171" t="n"/>
      <c r="W120" s="171" t="n"/>
      <c r="X120" s="171" t="n"/>
      <c r="Y120" s="171" t="n"/>
      <c r="Z120" s="171" t="n"/>
      <c r="AA120" s="171" t="n"/>
      <c r="AB120" s="171" t="n"/>
    </row>
    <row r="121">
      <c r="A121" s="181" t="n"/>
      <c r="B121" s="181" t="n"/>
      <c r="C121" s="181" t="n"/>
      <c r="D121" s="181" t="n"/>
      <c r="E121" s="181" t="n"/>
      <c r="F121" s="208" t="n">
        <v>115</v>
      </c>
      <c r="G121" s="209">
        <f>$C$39</f>
        <v/>
      </c>
      <c r="H121" s="209">
        <f>(J120*$C$16)/12</f>
        <v/>
      </c>
      <c r="I121" s="209">
        <f>G121-H121</f>
        <v/>
      </c>
      <c r="J121" s="209">
        <f>J120-I121</f>
        <v/>
      </c>
      <c r="K121" s="171" t="n"/>
      <c r="L121" s="171" t="n"/>
      <c r="M121" s="171" t="n"/>
      <c r="N121" s="171" t="n"/>
      <c r="O121" s="171" t="n"/>
      <c r="P121" s="171" t="n"/>
      <c r="Q121" s="171" t="n"/>
      <c r="R121" s="171" t="n"/>
      <c r="S121" s="171" t="n"/>
      <c r="T121" s="171" t="n"/>
      <c r="U121" s="171" t="n"/>
      <c r="V121" s="171" t="n"/>
      <c r="W121" s="171" t="n"/>
      <c r="X121" s="171" t="n"/>
      <c r="Y121" s="171" t="n"/>
      <c r="Z121" s="171" t="n"/>
      <c r="AA121" s="171" t="n"/>
      <c r="AB121" s="171" t="n"/>
    </row>
    <row r="122">
      <c r="A122" s="181" t="n"/>
      <c r="B122" s="181" t="n"/>
      <c r="C122" s="181" t="n"/>
      <c r="D122" s="181" t="n"/>
      <c r="E122" s="181" t="n"/>
      <c r="F122" s="208" t="n">
        <v>116</v>
      </c>
      <c r="G122" s="209">
        <f>$C$39</f>
        <v/>
      </c>
      <c r="H122" s="209">
        <f>(J121*$C$16)/12</f>
        <v/>
      </c>
      <c r="I122" s="209">
        <f>G122-H122</f>
        <v/>
      </c>
      <c r="J122" s="209">
        <f>J121-I122</f>
        <v/>
      </c>
      <c r="K122" s="171" t="n"/>
      <c r="L122" s="171" t="n"/>
      <c r="M122" s="171" t="n"/>
      <c r="N122" s="171" t="n"/>
      <c r="O122" s="171" t="n"/>
      <c r="P122" s="171" t="n"/>
      <c r="Q122" s="171" t="n"/>
      <c r="R122" s="171" t="n"/>
      <c r="S122" s="171" t="n"/>
      <c r="T122" s="171" t="n"/>
      <c r="U122" s="171" t="n"/>
      <c r="V122" s="171" t="n"/>
      <c r="W122" s="171" t="n"/>
      <c r="X122" s="171" t="n"/>
      <c r="Y122" s="171" t="n"/>
      <c r="Z122" s="171" t="n"/>
      <c r="AA122" s="171" t="n"/>
      <c r="AB122" s="171" t="n"/>
    </row>
    <row r="123">
      <c r="A123" s="181" t="n"/>
      <c r="B123" s="181" t="n"/>
      <c r="C123" s="181" t="n"/>
      <c r="D123" s="181" t="n"/>
      <c r="E123" s="181" t="n"/>
      <c r="F123" s="208" t="n">
        <v>117</v>
      </c>
      <c r="G123" s="209">
        <f>$C$39</f>
        <v/>
      </c>
      <c r="H123" s="209">
        <f>(J122*$C$16)/12</f>
        <v/>
      </c>
      <c r="I123" s="209">
        <f>G123-H123</f>
        <v/>
      </c>
      <c r="J123" s="209">
        <f>J122-I123</f>
        <v/>
      </c>
      <c r="K123" s="171" t="n"/>
      <c r="L123" s="171" t="n"/>
      <c r="M123" s="171" t="n"/>
      <c r="N123" s="171" t="n"/>
      <c r="O123" s="171" t="n"/>
      <c r="P123" s="171" t="n"/>
      <c r="Q123" s="171" t="n"/>
      <c r="R123" s="171" t="n"/>
      <c r="S123" s="171" t="n"/>
      <c r="T123" s="171" t="n"/>
      <c r="U123" s="171" t="n"/>
      <c r="V123" s="171" t="n"/>
      <c r="W123" s="171" t="n"/>
      <c r="X123" s="171" t="n"/>
      <c r="Y123" s="171" t="n"/>
      <c r="Z123" s="171" t="n"/>
      <c r="AA123" s="171" t="n"/>
      <c r="AB123" s="171" t="n"/>
    </row>
    <row r="124">
      <c r="A124" s="181" t="n"/>
      <c r="B124" s="181" t="n"/>
      <c r="C124" s="181" t="n"/>
      <c r="D124" s="181" t="n"/>
      <c r="E124" s="181" t="n"/>
      <c r="F124" s="208" t="n">
        <v>118</v>
      </c>
      <c r="G124" s="209">
        <f>$C$39</f>
        <v/>
      </c>
      <c r="H124" s="209">
        <f>(J123*$C$16)/12</f>
        <v/>
      </c>
      <c r="I124" s="209">
        <f>G124-H124</f>
        <v/>
      </c>
      <c r="J124" s="209">
        <f>J123-I124</f>
        <v/>
      </c>
      <c r="K124" s="171" t="n"/>
      <c r="L124" s="171" t="n"/>
      <c r="M124" s="171" t="n"/>
      <c r="N124" s="171" t="n"/>
      <c r="O124" s="171" t="n"/>
      <c r="P124" s="171" t="n"/>
      <c r="Q124" s="171" t="n"/>
      <c r="R124" s="171" t="n"/>
      <c r="S124" s="171" t="n"/>
      <c r="T124" s="171" t="n"/>
      <c r="U124" s="171" t="n"/>
      <c r="V124" s="171" t="n"/>
      <c r="W124" s="171" t="n"/>
      <c r="X124" s="171" t="n"/>
      <c r="Y124" s="171" t="n"/>
      <c r="Z124" s="171" t="n"/>
      <c r="AA124" s="171" t="n"/>
      <c r="AB124" s="171" t="n"/>
    </row>
    <row r="125">
      <c r="A125" s="181" t="n"/>
      <c r="B125" s="181" t="n"/>
      <c r="C125" s="181" t="n"/>
      <c r="D125" s="181" t="n"/>
      <c r="E125" s="181" t="n"/>
      <c r="F125" s="208" t="n">
        <v>119</v>
      </c>
      <c r="G125" s="209">
        <f>$C$39</f>
        <v/>
      </c>
      <c r="H125" s="209">
        <f>(J124*$C$16)/12</f>
        <v/>
      </c>
      <c r="I125" s="209">
        <f>G125-H125</f>
        <v/>
      </c>
      <c r="J125" s="209">
        <f>J124-I125</f>
        <v/>
      </c>
      <c r="K125" s="171" t="n"/>
      <c r="L125" s="171" t="n"/>
      <c r="M125" s="171" t="n"/>
      <c r="N125" s="171" t="n"/>
      <c r="O125" s="171" t="n"/>
      <c r="P125" s="171" t="n"/>
      <c r="Q125" s="171" t="n"/>
      <c r="R125" s="171" t="n"/>
      <c r="S125" s="171" t="n"/>
      <c r="T125" s="171" t="n"/>
      <c r="U125" s="171" t="n"/>
      <c r="V125" s="171" t="n"/>
      <c r="W125" s="171" t="n"/>
      <c r="X125" s="171" t="n"/>
      <c r="Y125" s="171" t="n"/>
      <c r="Z125" s="171" t="n"/>
      <c r="AA125" s="171" t="n"/>
      <c r="AB125" s="171" t="n"/>
    </row>
    <row r="126">
      <c r="A126" s="181" t="n"/>
      <c r="B126" s="181" t="n"/>
      <c r="C126" s="181" t="n"/>
      <c r="D126" s="181" t="n"/>
      <c r="E126" s="181" t="n"/>
      <c r="F126" s="208" t="n">
        <v>120</v>
      </c>
      <c r="G126" s="209">
        <f>$C$39</f>
        <v/>
      </c>
      <c r="H126" s="209">
        <f>(J125*$C$16)/12</f>
        <v/>
      </c>
      <c r="I126" s="209">
        <f>G126-H126</f>
        <v/>
      </c>
      <c r="J126" s="209">
        <f>J125-I126</f>
        <v/>
      </c>
      <c r="K126" s="171" t="n"/>
      <c r="L126" s="171" t="n"/>
      <c r="M126" s="171" t="n"/>
      <c r="N126" s="171" t="n"/>
      <c r="O126" s="171" t="n"/>
      <c r="P126" s="171" t="n"/>
      <c r="Q126" s="171" t="n"/>
      <c r="R126" s="171" t="n"/>
      <c r="S126" s="171" t="n"/>
      <c r="T126" s="171" t="n"/>
      <c r="U126" s="171" t="n"/>
      <c r="V126" s="171" t="n"/>
      <c r="W126" s="171" t="n"/>
      <c r="X126" s="171" t="n"/>
      <c r="Y126" s="171" t="n"/>
      <c r="Z126" s="171" t="n"/>
      <c r="AA126" s="171" t="n"/>
      <c r="AB126" s="171" t="n"/>
    </row>
    <row r="127">
      <c r="A127" s="181" t="n"/>
      <c r="B127" s="181" t="n"/>
      <c r="C127" s="181" t="n"/>
      <c r="D127" s="181" t="n"/>
      <c r="E127" s="181" t="n"/>
      <c r="F127" s="145" t="n"/>
      <c r="G127" s="145" t="n"/>
      <c r="H127" s="145" t="n"/>
      <c r="I127" s="145" t="n"/>
      <c r="J127" s="145" t="n"/>
      <c r="K127" s="171" t="n"/>
      <c r="L127" s="171" t="n"/>
      <c r="M127" s="171" t="n"/>
      <c r="N127" s="171" t="n"/>
      <c r="O127" s="171" t="n"/>
      <c r="P127" s="171" t="n"/>
      <c r="Q127" s="171" t="n"/>
      <c r="R127" s="171" t="n"/>
      <c r="S127" s="171" t="n"/>
      <c r="T127" s="171" t="n"/>
      <c r="U127" s="171" t="n"/>
      <c r="V127" s="171" t="n"/>
      <c r="W127" s="171" t="n"/>
      <c r="X127" s="171" t="n"/>
      <c r="Y127" s="171" t="n"/>
      <c r="Z127" s="171" t="n"/>
      <c r="AA127" s="171" t="n"/>
      <c r="AB127" s="171" t="n"/>
    </row>
    <row r="128">
      <c r="A128" s="181" t="n"/>
      <c r="B128" s="181" t="n"/>
      <c r="C128" s="181" t="n"/>
      <c r="D128" s="181" t="n"/>
      <c r="E128" s="181" t="n"/>
      <c r="F128" s="145" t="n"/>
      <c r="G128" s="145" t="n"/>
      <c r="H128" s="145" t="n"/>
      <c r="I128" s="145" t="n"/>
      <c r="J128" s="145" t="n"/>
      <c r="K128" s="171" t="n"/>
      <c r="L128" s="171" t="n"/>
      <c r="M128" s="171" t="n"/>
      <c r="N128" s="171" t="n"/>
      <c r="O128" s="171" t="n"/>
      <c r="P128" s="171" t="n"/>
      <c r="Q128" s="171" t="n"/>
      <c r="R128" s="171" t="n"/>
      <c r="S128" s="171" t="n"/>
      <c r="T128" s="171" t="n"/>
      <c r="U128" s="171" t="n"/>
      <c r="V128" s="171" t="n"/>
      <c r="W128" s="171" t="n"/>
      <c r="X128" s="171" t="n"/>
      <c r="Y128" s="171" t="n"/>
      <c r="Z128" s="171" t="n"/>
      <c r="AA128" s="171" t="n"/>
      <c r="AB128" s="171" t="n"/>
    </row>
    <row r="129">
      <c r="A129" s="181" t="n"/>
      <c r="B129" s="181" t="n"/>
      <c r="C129" s="181" t="n"/>
      <c r="D129" s="181" t="n"/>
      <c r="E129" s="181" t="n"/>
      <c r="F129" s="145" t="n"/>
      <c r="G129" s="145" t="n"/>
      <c r="H129" s="145" t="n"/>
      <c r="I129" s="145" t="n"/>
      <c r="J129" s="145" t="n"/>
      <c r="K129" s="171" t="n"/>
      <c r="L129" s="171" t="n"/>
      <c r="M129" s="171" t="n"/>
      <c r="N129" s="171" t="n"/>
      <c r="O129" s="171" t="n"/>
      <c r="P129" s="171" t="n"/>
      <c r="Q129" s="171" t="n"/>
      <c r="R129" s="171" t="n"/>
      <c r="S129" s="171" t="n"/>
      <c r="T129" s="171" t="n"/>
      <c r="U129" s="171" t="n"/>
      <c r="V129" s="171" t="n"/>
      <c r="W129" s="171" t="n"/>
      <c r="X129" s="171" t="n"/>
      <c r="Y129" s="171" t="n"/>
      <c r="Z129" s="171" t="n"/>
      <c r="AA129" s="171" t="n"/>
      <c r="AB129" s="171" t="n"/>
    </row>
    <row r="130">
      <c r="A130" s="181" t="n"/>
      <c r="B130" s="181" t="n"/>
      <c r="C130" s="181" t="n"/>
      <c r="D130" s="181" t="n"/>
      <c r="E130" s="181" t="n"/>
      <c r="F130" s="145" t="n"/>
      <c r="G130" s="145" t="n"/>
      <c r="H130" s="145" t="n"/>
      <c r="I130" s="145" t="n"/>
      <c r="J130" s="145" t="n"/>
      <c r="K130" s="171" t="n"/>
      <c r="L130" s="171" t="n"/>
      <c r="M130" s="171" t="n"/>
      <c r="N130" s="171" t="n"/>
      <c r="O130" s="171" t="n"/>
      <c r="P130" s="171" t="n"/>
      <c r="Q130" s="171" t="n"/>
      <c r="R130" s="171" t="n"/>
      <c r="S130" s="171" t="n"/>
      <c r="T130" s="171" t="n"/>
      <c r="U130" s="171" t="n"/>
      <c r="V130" s="171" t="n"/>
      <c r="W130" s="171" t="n"/>
      <c r="X130" s="171" t="n"/>
      <c r="Y130" s="171" t="n"/>
      <c r="Z130" s="171" t="n"/>
      <c r="AA130" s="171" t="n"/>
      <c r="AB130" s="171" t="n"/>
    </row>
    <row r="131">
      <c r="A131" s="181" t="n"/>
      <c r="B131" s="181" t="n"/>
      <c r="C131" s="181" t="n"/>
      <c r="D131" s="181" t="n"/>
      <c r="E131" s="181" t="n"/>
      <c r="F131" s="145" t="n"/>
      <c r="G131" s="145" t="n"/>
      <c r="H131" s="145" t="n"/>
      <c r="I131" s="145" t="n"/>
      <c r="J131" s="145" t="n"/>
      <c r="K131" s="171" t="n"/>
      <c r="L131" s="171" t="n"/>
      <c r="M131" s="171" t="n"/>
      <c r="N131" s="171" t="n"/>
      <c r="O131" s="171" t="n"/>
      <c r="P131" s="171" t="n"/>
      <c r="Q131" s="171" t="n"/>
      <c r="R131" s="171" t="n"/>
      <c r="S131" s="171" t="n"/>
      <c r="T131" s="171" t="n"/>
      <c r="U131" s="171" t="n"/>
      <c r="V131" s="171" t="n"/>
      <c r="W131" s="171" t="n"/>
      <c r="X131" s="171" t="n"/>
      <c r="Y131" s="171" t="n"/>
      <c r="Z131" s="171" t="n"/>
      <c r="AA131" s="171" t="n"/>
      <c r="AB131" s="171" t="n"/>
    </row>
    <row r="132">
      <c r="A132" s="181" t="n"/>
      <c r="B132" s="181" t="n"/>
      <c r="C132" s="181" t="n"/>
      <c r="D132" s="181" t="n"/>
      <c r="E132" s="181" t="n"/>
      <c r="F132" s="145" t="n"/>
      <c r="G132" s="145" t="n"/>
      <c r="H132" s="145" t="n"/>
      <c r="I132" s="145" t="n"/>
      <c r="J132" s="145" t="n"/>
      <c r="K132" s="171" t="n"/>
      <c r="L132" s="171" t="n"/>
      <c r="M132" s="171" t="n"/>
      <c r="N132" s="171" t="n"/>
      <c r="O132" s="171" t="n"/>
      <c r="P132" s="171" t="n"/>
      <c r="Q132" s="171" t="n"/>
      <c r="R132" s="171" t="n"/>
      <c r="S132" s="171" t="n"/>
      <c r="T132" s="171" t="n"/>
      <c r="U132" s="171" t="n"/>
      <c r="V132" s="171" t="n"/>
      <c r="W132" s="171" t="n"/>
      <c r="X132" s="171" t="n"/>
      <c r="Y132" s="171" t="n"/>
      <c r="Z132" s="171" t="n"/>
      <c r="AA132" s="171" t="n"/>
      <c r="AB132" s="171" t="n"/>
    </row>
    <row r="133">
      <c r="A133" s="181" t="n"/>
      <c r="B133" s="181" t="n"/>
      <c r="C133" s="181" t="n"/>
      <c r="D133" s="181" t="n"/>
      <c r="E133" s="181" t="n"/>
      <c r="F133" s="145" t="n"/>
      <c r="G133" s="145" t="n"/>
      <c r="H133" s="145" t="n"/>
      <c r="I133" s="145" t="n"/>
      <c r="J133" s="145" t="n"/>
      <c r="K133" s="171" t="n"/>
      <c r="L133" s="171" t="n"/>
      <c r="M133" s="171" t="n"/>
      <c r="N133" s="171" t="n"/>
      <c r="O133" s="171" t="n"/>
      <c r="P133" s="171" t="n"/>
      <c r="Q133" s="171" t="n"/>
      <c r="R133" s="171" t="n"/>
      <c r="S133" s="171" t="n"/>
      <c r="T133" s="171" t="n"/>
      <c r="U133" s="171" t="n"/>
      <c r="V133" s="171" t="n"/>
      <c r="W133" s="171" t="n"/>
      <c r="X133" s="171" t="n"/>
      <c r="Y133" s="171" t="n"/>
      <c r="Z133" s="171" t="n"/>
      <c r="AA133" s="171" t="n"/>
      <c r="AB133" s="171" t="n"/>
    </row>
    <row r="134">
      <c r="A134" s="181" t="n"/>
      <c r="B134" s="181" t="n"/>
      <c r="C134" s="181" t="n"/>
      <c r="D134" s="181" t="n"/>
      <c r="E134" s="181" t="n"/>
      <c r="F134" s="145" t="n"/>
      <c r="G134" s="145" t="n"/>
      <c r="H134" s="145" t="n"/>
      <c r="I134" s="145" t="n"/>
      <c r="J134" s="145" t="n"/>
      <c r="K134" s="171" t="n"/>
      <c r="L134" s="171" t="n"/>
      <c r="M134" s="171" t="n"/>
      <c r="N134" s="171" t="n"/>
      <c r="O134" s="171" t="n"/>
      <c r="P134" s="171" t="n"/>
      <c r="Q134" s="171" t="n"/>
      <c r="R134" s="171" t="n"/>
      <c r="S134" s="171" t="n"/>
      <c r="T134" s="171" t="n"/>
      <c r="U134" s="171" t="n"/>
      <c r="V134" s="171" t="n"/>
      <c r="W134" s="171" t="n"/>
      <c r="X134" s="171" t="n"/>
      <c r="Y134" s="171" t="n"/>
      <c r="Z134" s="171" t="n"/>
      <c r="AA134" s="171" t="n"/>
      <c r="AB134" s="171" t="n"/>
    </row>
    <row r="135">
      <c r="A135" s="181" t="n"/>
      <c r="B135" s="181" t="n"/>
      <c r="C135" s="181" t="n"/>
      <c r="D135" s="181" t="n"/>
      <c r="E135" s="181" t="n"/>
      <c r="F135" s="145" t="n"/>
      <c r="G135" s="145" t="n"/>
      <c r="H135" s="145" t="n"/>
      <c r="I135" s="145" t="n"/>
      <c r="J135" s="145" t="n"/>
      <c r="K135" s="171" t="n"/>
      <c r="L135" s="171" t="n"/>
      <c r="M135" s="171" t="n"/>
      <c r="N135" s="171" t="n"/>
      <c r="O135" s="171" t="n"/>
      <c r="P135" s="171" t="n"/>
      <c r="Q135" s="171" t="n"/>
      <c r="R135" s="171" t="n"/>
      <c r="S135" s="171" t="n"/>
      <c r="T135" s="171" t="n"/>
      <c r="U135" s="171" t="n"/>
      <c r="V135" s="171" t="n"/>
      <c r="W135" s="171" t="n"/>
      <c r="X135" s="171" t="n"/>
      <c r="Y135" s="171" t="n"/>
      <c r="Z135" s="171" t="n"/>
      <c r="AA135" s="171" t="n"/>
      <c r="AB135" s="171" t="n"/>
    </row>
    <row r="136">
      <c r="A136" s="181" t="n"/>
      <c r="B136" s="181" t="n"/>
      <c r="C136" s="181" t="n"/>
      <c r="D136" s="181" t="n"/>
      <c r="E136" s="181" t="n"/>
      <c r="F136" s="145" t="n"/>
      <c r="G136" s="145" t="n"/>
      <c r="H136" s="145" t="n"/>
      <c r="I136" s="145" t="n"/>
      <c r="J136" s="145" t="n"/>
      <c r="K136" s="171" t="n"/>
      <c r="L136" s="171" t="n"/>
      <c r="M136" s="171" t="n"/>
      <c r="N136" s="171" t="n"/>
      <c r="O136" s="171" t="n"/>
      <c r="P136" s="171" t="n"/>
      <c r="Q136" s="171" t="n"/>
      <c r="R136" s="171" t="n"/>
      <c r="S136" s="171" t="n"/>
      <c r="T136" s="171" t="n"/>
      <c r="U136" s="171" t="n"/>
      <c r="V136" s="171" t="n"/>
      <c r="W136" s="171" t="n"/>
      <c r="X136" s="171" t="n"/>
      <c r="Y136" s="171" t="n"/>
      <c r="Z136" s="171" t="n"/>
      <c r="AA136" s="171" t="n"/>
      <c r="AB136" s="171" t="n"/>
    </row>
    <row r="137">
      <c r="A137" s="181" t="n"/>
      <c r="B137" s="181" t="n"/>
      <c r="C137" s="181" t="n"/>
      <c r="D137" s="181" t="n"/>
      <c r="E137" s="181" t="n"/>
      <c r="F137" s="208" t="n"/>
      <c r="G137" s="208" t="n"/>
      <c r="H137" s="208" t="n"/>
      <c r="I137" s="208" t="n"/>
      <c r="J137" s="208" t="n"/>
      <c r="K137" s="171" t="n"/>
      <c r="L137" s="171" t="n"/>
      <c r="M137" s="171" t="n"/>
      <c r="N137" s="171" t="n"/>
      <c r="O137" s="171" t="n"/>
      <c r="P137" s="171" t="n"/>
      <c r="Q137" s="171" t="n"/>
      <c r="R137" s="171" t="n"/>
      <c r="S137" s="171" t="n"/>
      <c r="T137" s="171" t="n"/>
      <c r="U137" s="171" t="n"/>
      <c r="V137" s="171" t="n"/>
      <c r="W137" s="171" t="n"/>
      <c r="X137" s="171" t="n"/>
      <c r="Y137" s="171" t="n"/>
      <c r="Z137" s="171" t="n"/>
      <c r="AA137" s="171" t="n"/>
      <c r="AB137" s="171" t="n"/>
    </row>
    <row r="138">
      <c r="A138" s="181" t="n"/>
      <c r="B138" s="181" t="n"/>
      <c r="C138" s="181" t="n"/>
      <c r="D138" s="181" t="n"/>
      <c r="E138" s="181" t="n"/>
      <c r="F138" s="208" t="n"/>
      <c r="G138" s="208" t="n"/>
      <c r="H138" s="208" t="n"/>
      <c r="I138" s="208" t="n"/>
      <c r="J138" s="208" t="n"/>
      <c r="K138" s="171" t="n"/>
      <c r="L138" s="171" t="n"/>
      <c r="M138" s="171" t="n"/>
      <c r="N138" s="171" t="n"/>
      <c r="O138" s="171" t="n"/>
      <c r="P138" s="171" t="n"/>
      <c r="Q138" s="171" t="n"/>
      <c r="R138" s="171" t="n"/>
      <c r="S138" s="171" t="n"/>
      <c r="T138" s="171" t="n"/>
      <c r="U138" s="171" t="n"/>
      <c r="V138" s="171" t="n"/>
      <c r="W138" s="171" t="n"/>
      <c r="X138" s="171" t="n"/>
      <c r="Y138" s="171" t="n"/>
      <c r="Z138" s="171" t="n"/>
      <c r="AA138" s="171" t="n"/>
      <c r="AB138" s="171" t="n"/>
    </row>
    <row r="139">
      <c r="A139" s="181" t="n"/>
      <c r="B139" s="181" t="n"/>
      <c r="C139" s="181" t="n"/>
      <c r="D139" s="181" t="n"/>
      <c r="E139" s="181" t="n"/>
      <c r="F139" s="208" t="n"/>
      <c r="G139" s="208" t="n"/>
      <c r="H139" s="208" t="n"/>
      <c r="I139" s="208" t="n"/>
      <c r="J139" s="208" t="n"/>
      <c r="K139" s="171" t="n"/>
      <c r="L139" s="171" t="n"/>
      <c r="M139" s="171" t="n"/>
      <c r="N139" s="171" t="n"/>
      <c r="O139" s="171" t="n"/>
      <c r="P139" s="171" t="n"/>
      <c r="Q139" s="171" t="n"/>
      <c r="R139" s="171" t="n"/>
      <c r="S139" s="171" t="n"/>
      <c r="T139" s="171" t="n"/>
      <c r="U139" s="171" t="n"/>
      <c r="V139" s="171" t="n"/>
      <c r="W139" s="171" t="n"/>
      <c r="X139" s="171" t="n"/>
      <c r="Y139" s="171" t="n"/>
      <c r="Z139" s="171" t="n"/>
      <c r="AA139" s="171" t="n"/>
      <c r="AB139" s="171" t="n"/>
    </row>
    <row r="140">
      <c r="A140" s="181" t="n"/>
      <c r="B140" s="181" t="n"/>
      <c r="C140" s="181" t="n"/>
      <c r="D140" s="181" t="n"/>
      <c r="E140" s="181" t="n"/>
      <c r="F140" s="208" t="n"/>
      <c r="G140" s="208" t="n"/>
      <c r="H140" s="208" t="n"/>
      <c r="I140" s="208" t="n"/>
      <c r="J140" s="208" t="n"/>
      <c r="K140" s="171" t="n"/>
      <c r="L140" s="171" t="n"/>
      <c r="M140" s="171" t="n"/>
      <c r="N140" s="171" t="n"/>
      <c r="O140" s="171" t="n"/>
      <c r="P140" s="171" t="n"/>
      <c r="Q140" s="171" t="n"/>
      <c r="R140" s="171" t="n"/>
      <c r="S140" s="171" t="n"/>
      <c r="T140" s="171" t="n"/>
      <c r="U140" s="171" t="n"/>
      <c r="V140" s="171" t="n"/>
      <c r="W140" s="171" t="n"/>
      <c r="X140" s="171" t="n"/>
      <c r="Y140" s="171" t="n"/>
      <c r="Z140" s="171" t="n"/>
      <c r="AA140" s="171" t="n"/>
      <c r="AB140" s="171" t="n"/>
    </row>
    <row r="141">
      <c r="A141" s="181" t="n"/>
      <c r="B141" s="181" t="n"/>
      <c r="C141" s="181" t="n"/>
      <c r="D141" s="181" t="n"/>
      <c r="E141" s="181" t="n"/>
      <c r="F141" s="208" t="n"/>
      <c r="G141" s="208" t="n"/>
      <c r="H141" s="208" t="n"/>
      <c r="I141" s="208" t="n"/>
      <c r="J141" s="208" t="n"/>
      <c r="K141" s="171" t="n"/>
      <c r="L141" s="171" t="n"/>
      <c r="M141" s="171" t="n"/>
      <c r="N141" s="171" t="n"/>
      <c r="O141" s="171" t="n"/>
      <c r="P141" s="171" t="n"/>
      <c r="Q141" s="171" t="n"/>
      <c r="R141" s="171" t="n"/>
      <c r="S141" s="171" t="n"/>
      <c r="T141" s="171" t="n"/>
      <c r="U141" s="171" t="n"/>
      <c r="V141" s="171" t="n"/>
      <c r="W141" s="171" t="n"/>
      <c r="X141" s="171" t="n"/>
      <c r="Y141" s="171" t="n"/>
      <c r="Z141" s="171" t="n"/>
      <c r="AA141" s="171" t="n"/>
      <c r="AB141" s="171" t="n"/>
    </row>
    <row r="142">
      <c r="A142" s="181" t="n"/>
      <c r="B142" s="181" t="n"/>
      <c r="C142" s="181" t="n"/>
      <c r="D142" s="181" t="n"/>
      <c r="E142" s="181" t="n"/>
      <c r="F142" s="208" t="n"/>
      <c r="G142" s="208" t="n"/>
      <c r="H142" s="208" t="n"/>
      <c r="I142" s="208" t="n"/>
      <c r="J142" s="208" t="n"/>
      <c r="K142" s="171" t="n"/>
      <c r="L142" s="171" t="n"/>
      <c r="M142" s="171" t="n"/>
      <c r="N142" s="171" t="n"/>
      <c r="O142" s="171" t="n"/>
      <c r="P142" s="171" t="n"/>
      <c r="Q142" s="171" t="n"/>
      <c r="R142" s="171" t="n"/>
      <c r="S142" s="171" t="n"/>
      <c r="T142" s="171" t="n"/>
      <c r="U142" s="171" t="n"/>
      <c r="V142" s="171" t="n"/>
      <c r="W142" s="171" t="n"/>
      <c r="X142" s="171" t="n"/>
      <c r="Y142" s="171" t="n"/>
      <c r="Z142" s="171" t="n"/>
      <c r="AA142" s="171" t="n"/>
      <c r="AB142" s="171" t="n"/>
    </row>
    <row r="143">
      <c r="A143" s="181" t="n"/>
      <c r="B143" s="181" t="n"/>
      <c r="C143" s="181" t="n"/>
      <c r="D143" s="181" t="n"/>
      <c r="E143" s="181" t="n"/>
      <c r="F143" s="208" t="n"/>
      <c r="G143" s="208" t="n"/>
      <c r="H143" s="208" t="n"/>
      <c r="I143" s="208" t="n"/>
      <c r="J143" s="208" t="n"/>
      <c r="K143" s="171" t="n"/>
      <c r="L143" s="171" t="n"/>
      <c r="M143" s="171" t="n"/>
      <c r="N143" s="171" t="n"/>
      <c r="O143" s="171" t="n"/>
      <c r="P143" s="171" t="n"/>
      <c r="Q143" s="171" t="n"/>
      <c r="R143" s="171" t="n"/>
      <c r="S143" s="171" t="n"/>
      <c r="T143" s="171" t="n"/>
      <c r="U143" s="171" t="n"/>
      <c r="V143" s="171" t="n"/>
      <c r="W143" s="171" t="n"/>
      <c r="X143" s="171" t="n"/>
      <c r="Y143" s="171" t="n"/>
      <c r="Z143" s="171" t="n"/>
      <c r="AA143" s="171" t="n"/>
      <c r="AB143" s="171" t="n"/>
    </row>
    <row r="144">
      <c r="A144" s="181" t="n"/>
      <c r="B144" s="181" t="n"/>
      <c r="C144" s="181" t="n"/>
      <c r="D144" s="181" t="n"/>
      <c r="E144" s="181" t="n"/>
      <c r="F144" s="208" t="n"/>
      <c r="G144" s="208" t="n"/>
      <c r="H144" s="208" t="n"/>
      <c r="I144" s="208" t="n"/>
      <c r="J144" s="208" t="n"/>
      <c r="K144" s="171" t="n"/>
      <c r="L144" s="171" t="n"/>
      <c r="M144" s="171" t="n"/>
      <c r="N144" s="171" t="n"/>
      <c r="O144" s="171" t="n"/>
      <c r="P144" s="171" t="n"/>
      <c r="Q144" s="171" t="n"/>
      <c r="R144" s="171" t="n"/>
      <c r="S144" s="171" t="n"/>
      <c r="T144" s="171" t="n"/>
      <c r="U144" s="171" t="n"/>
      <c r="V144" s="171" t="n"/>
      <c r="W144" s="171" t="n"/>
      <c r="X144" s="171" t="n"/>
      <c r="Y144" s="171" t="n"/>
      <c r="Z144" s="171" t="n"/>
      <c r="AA144" s="171" t="n"/>
      <c r="AB144" s="171" t="n"/>
    </row>
    <row r="145">
      <c r="A145" s="181" t="n"/>
      <c r="B145" s="181" t="n"/>
      <c r="C145" s="181" t="n"/>
      <c r="D145" s="181" t="n"/>
      <c r="E145" s="181" t="n"/>
      <c r="F145" s="208" t="n"/>
      <c r="G145" s="208" t="n"/>
      <c r="H145" s="208" t="n"/>
      <c r="I145" s="208" t="n"/>
      <c r="J145" s="208" t="n"/>
      <c r="K145" s="171" t="n"/>
      <c r="L145" s="171" t="n"/>
      <c r="M145" s="171" t="n"/>
      <c r="N145" s="171" t="n"/>
      <c r="O145" s="171" t="n"/>
      <c r="P145" s="171" t="n"/>
      <c r="Q145" s="171" t="n"/>
      <c r="R145" s="171" t="n"/>
      <c r="S145" s="171" t="n"/>
      <c r="T145" s="171" t="n"/>
      <c r="U145" s="171" t="n"/>
      <c r="V145" s="171" t="n"/>
      <c r="W145" s="171" t="n"/>
      <c r="X145" s="171" t="n"/>
      <c r="Y145" s="171" t="n"/>
      <c r="Z145" s="171" t="n"/>
      <c r="AA145" s="171" t="n"/>
      <c r="AB145" s="171" t="n"/>
    </row>
    <row r="146">
      <c r="A146" s="181" t="n"/>
      <c r="B146" s="181" t="n"/>
      <c r="C146" s="181" t="n"/>
      <c r="D146" s="181" t="n"/>
      <c r="E146" s="181" t="n"/>
      <c r="F146" s="208" t="n"/>
      <c r="G146" s="208" t="n"/>
      <c r="H146" s="208" t="n"/>
      <c r="I146" s="208" t="n"/>
      <c r="J146" s="208" t="n"/>
      <c r="K146" s="171" t="n"/>
      <c r="L146" s="171" t="n"/>
      <c r="M146" s="171" t="n"/>
      <c r="N146" s="171" t="n"/>
      <c r="O146" s="171" t="n"/>
      <c r="P146" s="171" t="n"/>
      <c r="Q146" s="171" t="n"/>
      <c r="R146" s="171" t="n"/>
      <c r="S146" s="171" t="n"/>
      <c r="T146" s="171" t="n"/>
      <c r="U146" s="171" t="n"/>
      <c r="V146" s="171" t="n"/>
      <c r="W146" s="171" t="n"/>
      <c r="X146" s="171" t="n"/>
      <c r="Y146" s="171" t="n"/>
      <c r="Z146" s="171" t="n"/>
      <c r="AA146" s="171" t="n"/>
      <c r="AB146" s="171" t="n"/>
    </row>
    <row r="147">
      <c r="A147" s="181" t="n"/>
      <c r="B147" s="181" t="n"/>
      <c r="C147" s="181" t="n"/>
      <c r="D147" s="181" t="n"/>
      <c r="E147" s="181" t="n"/>
      <c r="F147" s="208" t="n"/>
      <c r="G147" s="208" t="n"/>
      <c r="H147" s="208" t="n"/>
      <c r="I147" s="208" t="n"/>
      <c r="J147" s="208" t="n"/>
      <c r="K147" s="171" t="n"/>
      <c r="L147" s="171" t="n"/>
      <c r="M147" s="171" t="n"/>
      <c r="N147" s="171" t="n"/>
      <c r="O147" s="171" t="n"/>
      <c r="P147" s="171" t="n"/>
      <c r="Q147" s="171" t="n"/>
      <c r="R147" s="171" t="n"/>
      <c r="S147" s="171" t="n"/>
      <c r="T147" s="171" t="n"/>
      <c r="U147" s="171" t="n"/>
      <c r="V147" s="171" t="n"/>
      <c r="W147" s="171" t="n"/>
      <c r="X147" s="171" t="n"/>
      <c r="Y147" s="171" t="n"/>
      <c r="Z147" s="171" t="n"/>
      <c r="AA147" s="171" t="n"/>
      <c r="AB147" s="171" t="n"/>
    </row>
    <row r="148">
      <c r="A148" s="181" t="n"/>
      <c r="B148" s="181" t="n"/>
      <c r="C148" s="181" t="n"/>
      <c r="D148" s="181" t="n"/>
      <c r="E148" s="181" t="n"/>
      <c r="F148" s="208" t="n"/>
      <c r="G148" s="208" t="n"/>
      <c r="H148" s="208" t="n"/>
      <c r="I148" s="208" t="n"/>
      <c r="J148" s="208" t="n"/>
      <c r="K148" s="171" t="n"/>
      <c r="L148" s="171" t="n"/>
      <c r="M148" s="171" t="n"/>
      <c r="N148" s="171" t="n"/>
      <c r="O148" s="171" t="n"/>
      <c r="P148" s="171" t="n"/>
      <c r="Q148" s="171" t="n"/>
      <c r="R148" s="171" t="n"/>
      <c r="S148" s="171" t="n"/>
      <c r="T148" s="171" t="n"/>
      <c r="U148" s="171" t="n"/>
      <c r="V148" s="171" t="n"/>
      <c r="W148" s="171" t="n"/>
      <c r="X148" s="171" t="n"/>
      <c r="Y148" s="171" t="n"/>
      <c r="Z148" s="171" t="n"/>
      <c r="AA148" s="171" t="n"/>
      <c r="AB148" s="171" t="n"/>
    </row>
    <row r="149">
      <c r="A149" s="181" t="n"/>
      <c r="B149" s="181" t="n"/>
      <c r="C149" s="181" t="n"/>
      <c r="D149" s="181" t="n"/>
      <c r="E149" s="181" t="n"/>
      <c r="F149" s="208" t="n"/>
      <c r="G149" s="208" t="n"/>
      <c r="H149" s="208" t="n"/>
      <c r="I149" s="208" t="n"/>
      <c r="J149" s="208" t="n"/>
      <c r="K149" s="171" t="n"/>
      <c r="L149" s="171" t="n"/>
      <c r="M149" s="171" t="n"/>
      <c r="N149" s="171" t="n"/>
      <c r="O149" s="171" t="n"/>
      <c r="P149" s="171" t="n"/>
      <c r="Q149" s="171" t="n"/>
      <c r="R149" s="171" t="n"/>
      <c r="S149" s="171" t="n"/>
      <c r="T149" s="171" t="n"/>
      <c r="U149" s="171" t="n"/>
      <c r="V149" s="171" t="n"/>
      <c r="W149" s="171" t="n"/>
      <c r="X149" s="171" t="n"/>
      <c r="Y149" s="171" t="n"/>
      <c r="Z149" s="171" t="n"/>
      <c r="AA149" s="171" t="n"/>
      <c r="AB149" s="171" t="n"/>
    </row>
    <row r="150">
      <c r="A150" s="181" t="n"/>
      <c r="B150" s="181" t="n"/>
      <c r="C150" s="181" t="n"/>
      <c r="D150" s="181" t="n"/>
      <c r="E150" s="181" t="n"/>
      <c r="F150" s="208" t="n"/>
      <c r="G150" s="208" t="n"/>
      <c r="H150" s="208" t="n"/>
      <c r="I150" s="208" t="n"/>
      <c r="J150" s="208" t="n"/>
      <c r="K150" s="171" t="n"/>
      <c r="L150" s="171" t="n"/>
      <c r="M150" s="171" t="n"/>
      <c r="N150" s="171" t="n"/>
      <c r="O150" s="171" t="n"/>
      <c r="P150" s="171" t="n"/>
      <c r="Q150" s="171" t="n"/>
      <c r="R150" s="171" t="n"/>
      <c r="S150" s="171" t="n"/>
      <c r="T150" s="171" t="n"/>
      <c r="U150" s="171" t="n"/>
      <c r="V150" s="171" t="n"/>
      <c r="W150" s="171" t="n"/>
      <c r="X150" s="171" t="n"/>
      <c r="Y150" s="171" t="n"/>
      <c r="Z150" s="171" t="n"/>
      <c r="AA150" s="171" t="n"/>
      <c r="AB150" s="171" t="n"/>
    </row>
    <row r="151">
      <c r="A151" s="181" t="n"/>
      <c r="B151" s="181" t="n"/>
      <c r="C151" s="181" t="n"/>
      <c r="D151" s="181" t="n"/>
      <c r="E151" s="181" t="n"/>
      <c r="F151" s="208" t="n"/>
      <c r="G151" s="208" t="n"/>
      <c r="H151" s="208" t="n"/>
      <c r="I151" s="208" t="n"/>
      <c r="J151" s="208" t="n"/>
      <c r="K151" s="171" t="n"/>
      <c r="L151" s="171" t="n"/>
      <c r="M151" s="171" t="n"/>
      <c r="N151" s="171" t="n"/>
      <c r="O151" s="171" t="n"/>
      <c r="P151" s="171" t="n"/>
      <c r="Q151" s="171" t="n"/>
      <c r="R151" s="171" t="n"/>
      <c r="S151" s="171" t="n"/>
      <c r="T151" s="171" t="n"/>
      <c r="U151" s="171" t="n"/>
      <c r="V151" s="171" t="n"/>
      <c r="W151" s="171" t="n"/>
      <c r="X151" s="171" t="n"/>
      <c r="Y151" s="171" t="n"/>
      <c r="Z151" s="171" t="n"/>
      <c r="AA151" s="171" t="n"/>
      <c r="AB151" s="171" t="n"/>
    </row>
    <row r="152">
      <c r="A152" s="181" t="n"/>
      <c r="B152" s="181" t="n"/>
      <c r="C152" s="181" t="n"/>
      <c r="D152" s="181" t="n"/>
      <c r="E152" s="181" t="n"/>
      <c r="F152" s="208" t="n"/>
      <c r="G152" s="208" t="n"/>
      <c r="H152" s="208" t="n"/>
      <c r="I152" s="208" t="n"/>
      <c r="J152" s="208" t="n"/>
      <c r="K152" s="171" t="n"/>
      <c r="L152" s="171" t="n"/>
      <c r="M152" s="171" t="n"/>
      <c r="N152" s="171" t="n"/>
      <c r="O152" s="171" t="n"/>
      <c r="P152" s="171" t="n"/>
      <c r="Q152" s="171" t="n"/>
      <c r="R152" s="171" t="n"/>
      <c r="S152" s="171" t="n"/>
      <c r="T152" s="171" t="n"/>
      <c r="U152" s="171" t="n"/>
      <c r="V152" s="171" t="n"/>
      <c r="W152" s="171" t="n"/>
      <c r="X152" s="171" t="n"/>
      <c r="Y152" s="171" t="n"/>
      <c r="Z152" s="171" t="n"/>
      <c r="AA152" s="171" t="n"/>
      <c r="AB152" s="171" t="n"/>
    </row>
    <row r="153">
      <c r="A153" s="181" t="n"/>
      <c r="B153" s="181" t="n"/>
      <c r="C153" s="181" t="n"/>
      <c r="D153" s="181" t="n"/>
      <c r="E153" s="181" t="n"/>
      <c r="F153" s="208" t="n"/>
      <c r="G153" s="208" t="n"/>
      <c r="H153" s="208" t="n"/>
      <c r="I153" s="208" t="n"/>
      <c r="J153" s="208" t="n"/>
      <c r="K153" s="171" t="n"/>
      <c r="L153" s="171" t="n"/>
      <c r="M153" s="171" t="n"/>
      <c r="N153" s="171" t="n"/>
      <c r="O153" s="171" t="n"/>
      <c r="P153" s="171" t="n"/>
      <c r="Q153" s="171" t="n"/>
      <c r="R153" s="171" t="n"/>
      <c r="S153" s="171" t="n"/>
      <c r="T153" s="171" t="n"/>
      <c r="U153" s="171" t="n"/>
      <c r="V153" s="171" t="n"/>
      <c r="W153" s="171" t="n"/>
      <c r="X153" s="171" t="n"/>
      <c r="Y153" s="171" t="n"/>
      <c r="Z153" s="171" t="n"/>
      <c r="AA153" s="171" t="n"/>
      <c r="AB153" s="171" t="n"/>
    </row>
    <row r="154">
      <c r="A154" s="181" t="n"/>
      <c r="B154" s="181" t="n"/>
      <c r="C154" s="181" t="n"/>
      <c r="D154" s="181" t="n"/>
      <c r="E154" s="181" t="n"/>
      <c r="F154" s="208" t="n"/>
      <c r="G154" s="208" t="n"/>
      <c r="H154" s="208" t="n"/>
      <c r="I154" s="208" t="n"/>
      <c r="J154" s="208" t="n"/>
      <c r="K154" s="171" t="n"/>
      <c r="L154" s="171" t="n"/>
      <c r="M154" s="171" t="n"/>
      <c r="N154" s="171" t="n"/>
      <c r="O154" s="171" t="n"/>
      <c r="P154" s="171" t="n"/>
      <c r="Q154" s="171" t="n"/>
      <c r="R154" s="171" t="n"/>
      <c r="S154" s="171" t="n"/>
      <c r="T154" s="171" t="n"/>
      <c r="U154" s="171" t="n"/>
      <c r="V154" s="171" t="n"/>
      <c r="W154" s="171" t="n"/>
      <c r="X154" s="171" t="n"/>
      <c r="Y154" s="171" t="n"/>
      <c r="Z154" s="171" t="n"/>
      <c r="AA154" s="171" t="n"/>
      <c r="AB154" s="171" t="n"/>
    </row>
    <row r="155">
      <c r="A155" s="181" t="n"/>
      <c r="B155" s="181" t="n"/>
      <c r="C155" s="181" t="n"/>
      <c r="D155" s="181" t="n"/>
      <c r="E155" s="181" t="n"/>
      <c r="F155" s="208" t="n"/>
      <c r="G155" s="208" t="n"/>
      <c r="H155" s="208" t="n"/>
      <c r="I155" s="208" t="n"/>
      <c r="J155" s="208" t="n"/>
      <c r="K155" s="171" t="n"/>
      <c r="L155" s="171" t="n"/>
      <c r="M155" s="171" t="n"/>
      <c r="N155" s="171" t="n"/>
      <c r="O155" s="171" t="n"/>
      <c r="P155" s="171" t="n"/>
      <c r="Q155" s="171" t="n"/>
      <c r="R155" s="171" t="n"/>
      <c r="S155" s="171" t="n"/>
      <c r="T155" s="171" t="n"/>
      <c r="U155" s="171" t="n"/>
      <c r="V155" s="171" t="n"/>
      <c r="W155" s="171" t="n"/>
      <c r="X155" s="171" t="n"/>
      <c r="Y155" s="171" t="n"/>
      <c r="Z155" s="171" t="n"/>
      <c r="AA155" s="171" t="n"/>
      <c r="AB155" s="171" t="n"/>
    </row>
    <row r="156">
      <c r="A156" s="181" t="n"/>
      <c r="B156" s="181" t="n"/>
      <c r="C156" s="181" t="n"/>
      <c r="D156" s="181" t="n"/>
      <c r="E156" s="181" t="n"/>
      <c r="F156" s="208" t="n"/>
      <c r="G156" s="208" t="n"/>
      <c r="H156" s="208" t="n"/>
      <c r="I156" s="208" t="n"/>
      <c r="J156" s="208" t="n"/>
      <c r="K156" s="171" t="n"/>
      <c r="L156" s="171" t="n"/>
      <c r="M156" s="171" t="n"/>
      <c r="N156" s="171" t="n"/>
      <c r="O156" s="171" t="n"/>
      <c r="P156" s="171" t="n"/>
      <c r="Q156" s="171" t="n"/>
      <c r="R156" s="171" t="n"/>
      <c r="S156" s="171" t="n"/>
      <c r="T156" s="171" t="n"/>
      <c r="U156" s="171" t="n"/>
      <c r="V156" s="171" t="n"/>
      <c r="W156" s="171" t="n"/>
      <c r="X156" s="171" t="n"/>
      <c r="Y156" s="171" t="n"/>
      <c r="Z156" s="171" t="n"/>
      <c r="AA156" s="171" t="n"/>
      <c r="AB156" s="171" t="n"/>
    </row>
    <row r="157">
      <c r="A157" s="181" t="n"/>
      <c r="B157" s="181" t="n"/>
      <c r="C157" s="181" t="n"/>
      <c r="D157" s="181" t="n"/>
      <c r="E157" s="181" t="n"/>
      <c r="F157" s="208" t="n"/>
      <c r="G157" s="208" t="n"/>
      <c r="H157" s="208" t="n"/>
      <c r="I157" s="208" t="n"/>
      <c r="J157" s="208" t="n"/>
      <c r="K157" s="171" t="n"/>
      <c r="L157" s="171" t="n"/>
      <c r="M157" s="171" t="n"/>
      <c r="N157" s="171" t="n"/>
      <c r="O157" s="171" t="n"/>
      <c r="P157" s="171" t="n"/>
      <c r="Q157" s="171" t="n"/>
      <c r="R157" s="171" t="n"/>
      <c r="S157" s="171" t="n"/>
      <c r="T157" s="171" t="n"/>
      <c r="U157" s="171" t="n"/>
      <c r="V157" s="171" t="n"/>
      <c r="W157" s="171" t="n"/>
      <c r="X157" s="171" t="n"/>
      <c r="Y157" s="171" t="n"/>
      <c r="Z157" s="171" t="n"/>
      <c r="AA157" s="171" t="n"/>
      <c r="AB157" s="171" t="n"/>
    </row>
    <row r="158">
      <c r="A158" s="181" t="n"/>
      <c r="B158" s="181" t="n"/>
      <c r="C158" s="181" t="n"/>
      <c r="D158" s="181" t="n"/>
      <c r="E158" s="181" t="n"/>
      <c r="F158" s="208" t="n"/>
      <c r="G158" s="208" t="n"/>
      <c r="H158" s="208" t="n"/>
      <c r="I158" s="208" t="n"/>
      <c r="J158" s="208" t="n"/>
      <c r="K158" s="171" t="n"/>
      <c r="L158" s="171" t="n"/>
      <c r="M158" s="171" t="n"/>
      <c r="N158" s="171" t="n"/>
      <c r="O158" s="171" t="n"/>
      <c r="P158" s="171" t="n"/>
      <c r="Q158" s="171" t="n"/>
      <c r="R158" s="171" t="n"/>
      <c r="S158" s="171" t="n"/>
      <c r="T158" s="171" t="n"/>
      <c r="U158" s="171" t="n"/>
      <c r="V158" s="171" t="n"/>
      <c r="W158" s="171" t="n"/>
      <c r="X158" s="171" t="n"/>
      <c r="Y158" s="171" t="n"/>
      <c r="Z158" s="171" t="n"/>
      <c r="AA158" s="171" t="n"/>
      <c r="AB158" s="171" t="n"/>
    </row>
    <row r="159">
      <c r="A159" s="181" t="n"/>
      <c r="B159" s="181" t="n"/>
      <c r="C159" s="181" t="n"/>
      <c r="D159" s="181" t="n"/>
      <c r="E159" s="181" t="n"/>
      <c r="F159" s="208" t="n"/>
      <c r="G159" s="208" t="n"/>
      <c r="H159" s="208" t="n"/>
      <c r="I159" s="208" t="n"/>
      <c r="J159" s="208" t="n"/>
      <c r="K159" s="171" t="n"/>
      <c r="L159" s="171" t="n"/>
      <c r="M159" s="171" t="n"/>
      <c r="N159" s="171" t="n"/>
      <c r="O159" s="171" t="n"/>
      <c r="P159" s="171" t="n"/>
      <c r="Q159" s="171" t="n"/>
      <c r="R159" s="171" t="n"/>
      <c r="S159" s="171" t="n"/>
      <c r="T159" s="171" t="n"/>
      <c r="U159" s="171" t="n"/>
      <c r="V159" s="171" t="n"/>
      <c r="W159" s="171" t="n"/>
      <c r="X159" s="171" t="n"/>
      <c r="Y159" s="171" t="n"/>
      <c r="Z159" s="171" t="n"/>
      <c r="AA159" s="171" t="n"/>
      <c r="AB159" s="171" t="n"/>
    </row>
    <row r="160">
      <c r="A160" s="181" t="n"/>
      <c r="B160" s="181" t="n"/>
      <c r="C160" s="181" t="n"/>
      <c r="D160" s="181" t="n"/>
      <c r="E160" s="181" t="n"/>
      <c r="F160" s="208" t="n"/>
      <c r="G160" s="208" t="n"/>
      <c r="H160" s="208" t="n"/>
      <c r="I160" s="208" t="n"/>
      <c r="J160" s="208" t="n"/>
      <c r="K160" s="171" t="n"/>
      <c r="L160" s="171" t="n"/>
      <c r="M160" s="171" t="n"/>
      <c r="N160" s="171" t="n"/>
      <c r="O160" s="171" t="n"/>
      <c r="P160" s="171" t="n"/>
      <c r="Q160" s="171" t="n"/>
      <c r="R160" s="171" t="n"/>
      <c r="S160" s="171" t="n"/>
      <c r="T160" s="171" t="n"/>
      <c r="U160" s="171" t="n"/>
      <c r="V160" s="171" t="n"/>
      <c r="W160" s="171" t="n"/>
      <c r="X160" s="171" t="n"/>
      <c r="Y160" s="171" t="n"/>
      <c r="Z160" s="171" t="n"/>
      <c r="AA160" s="171" t="n"/>
      <c r="AB160" s="171" t="n"/>
    </row>
    <row r="161">
      <c r="A161" s="181" t="n"/>
      <c r="B161" s="181" t="n"/>
      <c r="C161" s="181" t="n"/>
      <c r="D161" s="181" t="n"/>
      <c r="E161" s="181" t="n"/>
      <c r="F161" s="208" t="n"/>
      <c r="G161" s="208" t="n"/>
      <c r="H161" s="208" t="n"/>
      <c r="I161" s="208" t="n"/>
      <c r="J161" s="208" t="n"/>
      <c r="K161" s="171" t="n"/>
      <c r="L161" s="171" t="n"/>
      <c r="M161" s="171" t="n"/>
      <c r="N161" s="171" t="n"/>
      <c r="O161" s="171" t="n"/>
      <c r="P161" s="171" t="n"/>
      <c r="Q161" s="171" t="n"/>
      <c r="R161" s="171" t="n"/>
      <c r="S161" s="171" t="n"/>
      <c r="T161" s="171" t="n"/>
      <c r="U161" s="171" t="n"/>
      <c r="V161" s="171" t="n"/>
      <c r="W161" s="171" t="n"/>
      <c r="X161" s="171" t="n"/>
      <c r="Y161" s="171" t="n"/>
      <c r="Z161" s="171" t="n"/>
      <c r="AA161" s="171" t="n"/>
      <c r="AB161" s="171" t="n"/>
    </row>
    <row r="162">
      <c r="A162" s="181" t="n"/>
      <c r="B162" s="181" t="n"/>
      <c r="C162" s="181" t="n"/>
      <c r="D162" s="181" t="n"/>
      <c r="E162" s="181" t="n"/>
      <c r="F162" s="208" t="n"/>
      <c r="G162" s="208" t="n"/>
      <c r="H162" s="208" t="n"/>
      <c r="I162" s="208" t="n"/>
      <c r="J162" s="208" t="n"/>
      <c r="K162" s="171" t="n"/>
      <c r="L162" s="171" t="n"/>
      <c r="M162" s="171" t="n"/>
      <c r="N162" s="171" t="n"/>
      <c r="O162" s="171" t="n"/>
      <c r="P162" s="171" t="n"/>
      <c r="Q162" s="171" t="n"/>
      <c r="R162" s="171" t="n"/>
      <c r="S162" s="171" t="n"/>
      <c r="T162" s="171" t="n"/>
      <c r="U162" s="171" t="n"/>
      <c r="V162" s="171" t="n"/>
      <c r="W162" s="171" t="n"/>
      <c r="X162" s="171" t="n"/>
      <c r="Y162" s="171" t="n"/>
      <c r="Z162" s="171" t="n"/>
      <c r="AA162" s="171" t="n"/>
      <c r="AB162" s="171" t="n"/>
    </row>
    <row r="163">
      <c r="A163" s="181" t="n"/>
      <c r="B163" s="181" t="n"/>
      <c r="C163" s="181" t="n"/>
      <c r="D163" s="181" t="n"/>
      <c r="E163" s="181" t="n"/>
      <c r="F163" s="208" t="n"/>
      <c r="G163" s="208" t="n"/>
      <c r="H163" s="208" t="n"/>
      <c r="I163" s="208" t="n"/>
      <c r="J163" s="208" t="n"/>
      <c r="K163" s="171" t="n"/>
      <c r="L163" s="171" t="n"/>
      <c r="M163" s="171" t="n"/>
      <c r="N163" s="171" t="n"/>
      <c r="O163" s="171" t="n"/>
      <c r="P163" s="171" t="n"/>
      <c r="Q163" s="171" t="n"/>
      <c r="R163" s="171" t="n"/>
      <c r="S163" s="171" t="n"/>
      <c r="T163" s="171" t="n"/>
      <c r="U163" s="171" t="n"/>
      <c r="V163" s="171" t="n"/>
      <c r="W163" s="171" t="n"/>
      <c r="X163" s="171" t="n"/>
      <c r="Y163" s="171" t="n"/>
      <c r="Z163" s="171" t="n"/>
      <c r="AA163" s="171" t="n"/>
      <c r="AB163" s="171" t="n"/>
    </row>
    <row r="164">
      <c r="A164" s="181" t="n"/>
      <c r="B164" s="181" t="n"/>
      <c r="C164" s="181" t="n"/>
      <c r="D164" s="181" t="n"/>
      <c r="E164" s="181" t="n"/>
      <c r="F164" s="208" t="n"/>
      <c r="G164" s="208" t="n"/>
      <c r="H164" s="208" t="n"/>
      <c r="I164" s="208" t="n"/>
      <c r="J164" s="208" t="n"/>
      <c r="K164" s="171" t="n"/>
      <c r="L164" s="171" t="n"/>
      <c r="M164" s="171" t="n"/>
      <c r="N164" s="171" t="n"/>
      <c r="O164" s="171" t="n"/>
      <c r="P164" s="171" t="n"/>
      <c r="Q164" s="171" t="n"/>
      <c r="R164" s="171" t="n"/>
      <c r="S164" s="171" t="n"/>
      <c r="T164" s="171" t="n"/>
      <c r="U164" s="171" t="n"/>
      <c r="V164" s="171" t="n"/>
      <c r="W164" s="171" t="n"/>
      <c r="X164" s="171" t="n"/>
      <c r="Y164" s="171" t="n"/>
      <c r="Z164" s="171" t="n"/>
      <c r="AA164" s="171" t="n"/>
      <c r="AB164" s="171" t="n"/>
    </row>
    <row r="165">
      <c r="A165" s="181" t="n"/>
      <c r="B165" s="181" t="n"/>
      <c r="C165" s="181" t="n"/>
      <c r="D165" s="181" t="n"/>
      <c r="E165" s="181" t="n"/>
      <c r="F165" s="208" t="n"/>
      <c r="G165" s="208" t="n"/>
      <c r="H165" s="208" t="n"/>
      <c r="I165" s="208" t="n"/>
      <c r="J165" s="208" t="n"/>
      <c r="K165" s="171" t="n"/>
      <c r="L165" s="171" t="n"/>
      <c r="M165" s="171" t="n"/>
      <c r="N165" s="171" t="n"/>
      <c r="O165" s="171" t="n"/>
      <c r="P165" s="171" t="n"/>
      <c r="Q165" s="171" t="n"/>
      <c r="R165" s="171" t="n"/>
      <c r="S165" s="171" t="n"/>
      <c r="T165" s="171" t="n"/>
      <c r="U165" s="171" t="n"/>
      <c r="V165" s="171" t="n"/>
      <c r="W165" s="171" t="n"/>
      <c r="X165" s="171" t="n"/>
      <c r="Y165" s="171" t="n"/>
      <c r="Z165" s="171" t="n"/>
      <c r="AA165" s="171" t="n"/>
      <c r="AB165" s="171" t="n"/>
    </row>
    <row r="166">
      <c r="A166" s="181" t="n"/>
      <c r="B166" s="181" t="n"/>
      <c r="C166" s="181" t="n"/>
      <c r="D166" s="181" t="n"/>
      <c r="E166" s="181" t="n"/>
      <c r="F166" s="208" t="n"/>
      <c r="G166" s="208" t="n"/>
      <c r="H166" s="208" t="n"/>
      <c r="I166" s="208" t="n"/>
      <c r="J166" s="208" t="n"/>
      <c r="K166" s="171" t="n"/>
      <c r="L166" s="171" t="n"/>
      <c r="M166" s="171" t="n"/>
      <c r="N166" s="171" t="n"/>
      <c r="O166" s="171" t="n"/>
      <c r="P166" s="171" t="n"/>
      <c r="Q166" s="171" t="n"/>
      <c r="R166" s="171" t="n"/>
      <c r="S166" s="171" t="n"/>
      <c r="T166" s="171" t="n"/>
      <c r="U166" s="171" t="n"/>
      <c r="V166" s="171" t="n"/>
      <c r="W166" s="171" t="n"/>
      <c r="X166" s="171" t="n"/>
      <c r="Y166" s="171" t="n"/>
      <c r="Z166" s="171" t="n"/>
      <c r="AA166" s="171" t="n"/>
      <c r="AB166" s="171" t="n"/>
    </row>
    <row r="167">
      <c r="A167" s="181" t="n"/>
      <c r="B167" s="181" t="n"/>
      <c r="C167" s="181" t="n"/>
      <c r="D167" s="181" t="n"/>
      <c r="E167" s="181" t="n"/>
      <c r="F167" s="208" t="n"/>
      <c r="G167" s="208" t="n"/>
      <c r="H167" s="208" t="n"/>
      <c r="I167" s="208" t="n"/>
      <c r="J167" s="208" t="n"/>
      <c r="K167" s="171" t="n"/>
      <c r="L167" s="171" t="n"/>
      <c r="M167" s="171" t="n"/>
      <c r="N167" s="171" t="n"/>
      <c r="O167" s="171" t="n"/>
      <c r="P167" s="171" t="n"/>
      <c r="Q167" s="171" t="n"/>
      <c r="R167" s="171" t="n"/>
      <c r="S167" s="171" t="n"/>
      <c r="T167" s="171" t="n"/>
      <c r="U167" s="171" t="n"/>
      <c r="V167" s="171" t="n"/>
      <c r="W167" s="171" t="n"/>
      <c r="X167" s="171" t="n"/>
      <c r="Y167" s="171" t="n"/>
      <c r="Z167" s="171" t="n"/>
      <c r="AA167" s="171" t="n"/>
      <c r="AB167" s="171" t="n"/>
    </row>
    <row r="168">
      <c r="A168" s="181" t="n"/>
      <c r="B168" s="181" t="n"/>
      <c r="C168" s="181" t="n"/>
      <c r="D168" s="181" t="n"/>
      <c r="E168" s="181" t="n"/>
      <c r="F168" s="208" t="n"/>
      <c r="G168" s="208" t="n"/>
      <c r="H168" s="208" t="n"/>
      <c r="I168" s="208" t="n"/>
      <c r="J168" s="208" t="n"/>
      <c r="K168" s="171" t="n"/>
      <c r="L168" s="171" t="n"/>
      <c r="M168" s="171" t="n"/>
      <c r="N168" s="171" t="n"/>
      <c r="O168" s="171" t="n"/>
      <c r="P168" s="171" t="n"/>
      <c r="Q168" s="171" t="n"/>
      <c r="R168" s="171" t="n"/>
      <c r="S168" s="171" t="n"/>
      <c r="T168" s="171" t="n"/>
      <c r="U168" s="171" t="n"/>
      <c r="V168" s="171" t="n"/>
      <c r="W168" s="171" t="n"/>
      <c r="X168" s="171" t="n"/>
      <c r="Y168" s="171" t="n"/>
      <c r="Z168" s="171" t="n"/>
      <c r="AA168" s="171" t="n"/>
      <c r="AB168" s="171" t="n"/>
    </row>
    <row r="169">
      <c r="A169" s="181" t="n"/>
      <c r="B169" s="181" t="n"/>
      <c r="C169" s="181" t="n"/>
      <c r="D169" s="181" t="n"/>
      <c r="E169" s="181" t="n"/>
      <c r="F169" s="208" t="n"/>
      <c r="G169" s="208" t="n"/>
      <c r="H169" s="208" t="n"/>
      <c r="I169" s="208" t="n"/>
      <c r="J169" s="208" t="n"/>
      <c r="K169" s="171" t="n"/>
      <c r="L169" s="171" t="n"/>
      <c r="M169" s="171" t="n"/>
      <c r="N169" s="171" t="n"/>
      <c r="O169" s="171" t="n"/>
      <c r="P169" s="171" t="n"/>
      <c r="Q169" s="171" t="n"/>
      <c r="R169" s="171" t="n"/>
      <c r="S169" s="171" t="n"/>
      <c r="T169" s="171" t="n"/>
      <c r="U169" s="171" t="n"/>
      <c r="V169" s="171" t="n"/>
      <c r="W169" s="171" t="n"/>
      <c r="X169" s="171" t="n"/>
      <c r="Y169" s="171" t="n"/>
      <c r="Z169" s="171" t="n"/>
      <c r="AA169" s="171" t="n"/>
      <c r="AB169" s="171" t="n"/>
    </row>
    <row r="170">
      <c r="A170" s="181" t="n"/>
      <c r="B170" s="181" t="n"/>
      <c r="C170" s="181" t="n"/>
      <c r="D170" s="181" t="n"/>
      <c r="E170" s="181" t="n"/>
      <c r="F170" s="208" t="n"/>
      <c r="G170" s="208" t="n"/>
      <c r="H170" s="208" t="n"/>
      <c r="I170" s="208" t="n"/>
      <c r="J170" s="208" t="n"/>
      <c r="K170" s="171" t="n"/>
      <c r="L170" s="171" t="n"/>
      <c r="M170" s="171" t="n"/>
      <c r="N170" s="171" t="n"/>
      <c r="O170" s="171" t="n"/>
      <c r="P170" s="171" t="n"/>
      <c r="Q170" s="171" t="n"/>
      <c r="R170" s="171" t="n"/>
      <c r="S170" s="171" t="n"/>
      <c r="T170" s="171" t="n"/>
      <c r="U170" s="171" t="n"/>
      <c r="V170" s="171" t="n"/>
      <c r="W170" s="171" t="n"/>
      <c r="X170" s="171" t="n"/>
      <c r="Y170" s="171" t="n"/>
      <c r="Z170" s="171" t="n"/>
      <c r="AA170" s="171" t="n"/>
      <c r="AB170" s="171" t="n"/>
    </row>
    <row r="171">
      <c r="A171" s="181" t="n"/>
      <c r="B171" s="181" t="n"/>
      <c r="C171" s="181" t="n"/>
      <c r="D171" s="181" t="n"/>
      <c r="E171" s="181" t="n"/>
      <c r="F171" s="208" t="n"/>
      <c r="G171" s="208" t="n"/>
      <c r="H171" s="208" t="n"/>
      <c r="I171" s="208" t="n"/>
      <c r="J171" s="208" t="n"/>
      <c r="K171" s="171" t="n"/>
      <c r="L171" s="171" t="n"/>
      <c r="M171" s="171" t="n"/>
      <c r="N171" s="171" t="n"/>
      <c r="O171" s="171" t="n"/>
      <c r="P171" s="171" t="n"/>
      <c r="Q171" s="171" t="n"/>
      <c r="R171" s="171" t="n"/>
      <c r="S171" s="171" t="n"/>
      <c r="T171" s="171" t="n"/>
      <c r="U171" s="171" t="n"/>
      <c r="V171" s="171" t="n"/>
      <c r="W171" s="171" t="n"/>
      <c r="X171" s="171" t="n"/>
      <c r="Y171" s="171" t="n"/>
      <c r="Z171" s="171" t="n"/>
      <c r="AA171" s="171" t="n"/>
      <c r="AB171" s="171" t="n"/>
    </row>
    <row r="172">
      <c r="A172" s="181" t="n"/>
      <c r="B172" s="181" t="n"/>
      <c r="C172" s="181" t="n"/>
      <c r="D172" s="181" t="n"/>
      <c r="E172" s="181" t="n"/>
      <c r="F172" s="208" t="n"/>
      <c r="G172" s="208" t="n"/>
      <c r="H172" s="208" t="n"/>
      <c r="I172" s="208" t="n"/>
      <c r="J172" s="208" t="n"/>
      <c r="K172" s="171" t="n"/>
      <c r="L172" s="171" t="n"/>
      <c r="M172" s="171" t="n"/>
      <c r="N172" s="171" t="n"/>
      <c r="O172" s="171" t="n"/>
      <c r="P172" s="171" t="n"/>
      <c r="Q172" s="171" t="n"/>
      <c r="R172" s="171" t="n"/>
      <c r="S172" s="171" t="n"/>
      <c r="T172" s="171" t="n"/>
      <c r="U172" s="171" t="n"/>
      <c r="V172" s="171" t="n"/>
      <c r="W172" s="171" t="n"/>
      <c r="X172" s="171" t="n"/>
      <c r="Y172" s="171" t="n"/>
      <c r="Z172" s="171" t="n"/>
      <c r="AA172" s="171" t="n"/>
      <c r="AB172" s="171" t="n"/>
    </row>
    <row r="173">
      <c r="A173" s="181" t="n"/>
      <c r="B173" s="181" t="n"/>
      <c r="C173" s="181" t="n"/>
      <c r="D173" s="181" t="n"/>
      <c r="E173" s="181" t="n"/>
      <c r="F173" s="208" t="n"/>
      <c r="G173" s="208" t="n"/>
      <c r="H173" s="208" t="n"/>
      <c r="I173" s="208" t="n"/>
      <c r="J173" s="208" t="n"/>
      <c r="K173" s="171" t="n"/>
      <c r="L173" s="171" t="n"/>
      <c r="M173" s="171" t="n"/>
      <c r="N173" s="171" t="n"/>
      <c r="O173" s="171" t="n"/>
      <c r="P173" s="171" t="n"/>
      <c r="Q173" s="171" t="n"/>
      <c r="R173" s="171" t="n"/>
      <c r="S173" s="171" t="n"/>
      <c r="T173" s="171" t="n"/>
      <c r="U173" s="171" t="n"/>
      <c r="V173" s="171" t="n"/>
      <c r="W173" s="171" t="n"/>
      <c r="X173" s="171" t="n"/>
      <c r="Y173" s="171" t="n"/>
      <c r="Z173" s="171" t="n"/>
      <c r="AA173" s="171" t="n"/>
      <c r="AB173" s="171" t="n"/>
    </row>
    <row r="174">
      <c r="A174" s="181" t="n"/>
      <c r="B174" s="181" t="n"/>
      <c r="C174" s="181" t="n"/>
      <c r="D174" s="181" t="n"/>
      <c r="E174" s="181" t="n"/>
      <c r="F174" s="208" t="n"/>
      <c r="G174" s="208" t="n"/>
      <c r="H174" s="208" t="n"/>
      <c r="I174" s="208" t="n"/>
      <c r="J174" s="208" t="n"/>
      <c r="K174" s="171" t="n"/>
      <c r="L174" s="171" t="n"/>
      <c r="M174" s="171" t="n"/>
      <c r="N174" s="171" t="n"/>
      <c r="O174" s="171" t="n"/>
      <c r="P174" s="171" t="n"/>
      <c r="Q174" s="171" t="n"/>
      <c r="R174" s="171" t="n"/>
      <c r="S174" s="171" t="n"/>
      <c r="T174" s="171" t="n"/>
      <c r="U174" s="171" t="n"/>
      <c r="V174" s="171" t="n"/>
      <c r="W174" s="171" t="n"/>
      <c r="X174" s="171" t="n"/>
      <c r="Y174" s="171" t="n"/>
      <c r="Z174" s="171" t="n"/>
      <c r="AA174" s="171" t="n"/>
      <c r="AB174" s="171" t="n"/>
    </row>
    <row r="175">
      <c r="A175" s="181" t="n"/>
      <c r="B175" s="181" t="n"/>
      <c r="C175" s="181" t="n"/>
      <c r="D175" s="181" t="n"/>
      <c r="E175" s="181" t="n"/>
      <c r="F175" s="208" t="n"/>
      <c r="G175" s="208" t="n"/>
      <c r="H175" s="208" t="n"/>
      <c r="I175" s="208" t="n"/>
      <c r="J175" s="208" t="n"/>
      <c r="K175" s="171" t="n"/>
      <c r="L175" s="171" t="n"/>
      <c r="M175" s="171" t="n"/>
      <c r="N175" s="171" t="n"/>
      <c r="O175" s="171" t="n"/>
      <c r="P175" s="171" t="n"/>
      <c r="Q175" s="171" t="n"/>
      <c r="R175" s="171" t="n"/>
      <c r="S175" s="171" t="n"/>
      <c r="T175" s="171" t="n"/>
      <c r="U175" s="171" t="n"/>
      <c r="V175" s="171" t="n"/>
      <c r="W175" s="171" t="n"/>
      <c r="X175" s="171" t="n"/>
      <c r="Y175" s="171" t="n"/>
      <c r="Z175" s="171" t="n"/>
      <c r="AA175" s="171" t="n"/>
      <c r="AB175" s="171" t="n"/>
    </row>
    <row r="176">
      <c r="A176" s="181" t="n"/>
      <c r="B176" s="181" t="n"/>
      <c r="C176" s="181" t="n"/>
      <c r="D176" s="181" t="n"/>
      <c r="E176" s="181" t="n"/>
      <c r="F176" s="208" t="n"/>
      <c r="G176" s="208" t="n"/>
      <c r="H176" s="208" t="n"/>
      <c r="I176" s="208" t="n"/>
      <c r="J176" s="208" t="n"/>
      <c r="K176" s="171" t="n"/>
      <c r="L176" s="171" t="n"/>
      <c r="M176" s="171" t="n"/>
      <c r="N176" s="171" t="n"/>
      <c r="O176" s="171" t="n"/>
      <c r="P176" s="171" t="n"/>
      <c r="Q176" s="171" t="n"/>
      <c r="R176" s="171" t="n"/>
      <c r="S176" s="171" t="n"/>
      <c r="T176" s="171" t="n"/>
      <c r="U176" s="171" t="n"/>
      <c r="V176" s="171" t="n"/>
      <c r="W176" s="171" t="n"/>
      <c r="X176" s="171" t="n"/>
      <c r="Y176" s="171" t="n"/>
      <c r="Z176" s="171" t="n"/>
      <c r="AA176" s="171" t="n"/>
      <c r="AB176" s="171" t="n"/>
    </row>
    <row r="177">
      <c r="A177" s="181" t="n"/>
      <c r="B177" s="181" t="n"/>
      <c r="C177" s="181" t="n"/>
      <c r="D177" s="181" t="n"/>
      <c r="E177" s="181" t="n"/>
      <c r="F177" s="208" t="n"/>
      <c r="G177" s="208" t="n"/>
      <c r="H177" s="208" t="n"/>
      <c r="I177" s="208" t="n"/>
      <c r="J177" s="208" t="n"/>
      <c r="K177" s="171" t="n"/>
      <c r="L177" s="171" t="n"/>
      <c r="M177" s="171" t="n"/>
      <c r="N177" s="171" t="n"/>
      <c r="O177" s="171" t="n"/>
      <c r="P177" s="171" t="n"/>
      <c r="Q177" s="171" t="n"/>
      <c r="R177" s="171" t="n"/>
      <c r="S177" s="171" t="n"/>
      <c r="T177" s="171" t="n"/>
      <c r="U177" s="171" t="n"/>
      <c r="V177" s="171" t="n"/>
      <c r="W177" s="171" t="n"/>
      <c r="X177" s="171" t="n"/>
      <c r="Y177" s="171" t="n"/>
      <c r="Z177" s="171" t="n"/>
      <c r="AA177" s="171" t="n"/>
      <c r="AB177" s="171" t="n"/>
    </row>
    <row r="178">
      <c r="A178" s="181" t="n"/>
      <c r="B178" s="181" t="n"/>
      <c r="C178" s="181" t="n"/>
      <c r="D178" s="181" t="n"/>
      <c r="E178" s="181" t="n"/>
      <c r="F178" s="208" t="n"/>
      <c r="G178" s="208" t="n"/>
      <c r="H178" s="208" t="n"/>
      <c r="I178" s="208" t="n"/>
      <c r="J178" s="208" t="n"/>
      <c r="K178" s="171" t="n"/>
      <c r="L178" s="171" t="n"/>
      <c r="M178" s="171" t="n"/>
      <c r="N178" s="171" t="n"/>
      <c r="O178" s="171" t="n"/>
      <c r="P178" s="171" t="n"/>
      <c r="Q178" s="171" t="n"/>
      <c r="R178" s="171" t="n"/>
      <c r="S178" s="171" t="n"/>
      <c r="T178" s="171" t="n"/>
      <c r="U178" s="171" t="n"/>
      <c r="V178" s="171" t="n"/>
      <c r="W178" s="171" t="n"/>
      <c r="X178" s="171" t="n"/>
      <c r="Y178" s="171" t="n"/>
      <c r="Z178" s="171" t="n"/>
      <c r="AA178" s="171" t="n"/>
      <c r="AB178" s="171" t="n"/>
    </row>
    <row r="179">
      <c r="A179" s="181" t="n"/>
      <c r="B179" s="181" t="n"/>
      <c r="C179" s="181" t="n"/>
      <c r="D179" s="181" t="n"/>
      <c r="E179" s="181" t="n"/>
      <c r="F179" s="208" t="n"/>
      <c r="G179" s="208" t="n"/>
      <c r="H179" s="208" t="n"/>
      <c r="I179" s="208" t="n"/>
      <c r="J179" s="208" t="n"/>
      <c r="K179" s="171" t="n"/>
      <c r="L179" s="171" t="n"/>
      <c r="M179" s="171" t="n"/>
      <c r="N179" s="171" t="n"/>
      <c r="O179" s="171" t="n"/>
      <c r="P179" s="171" t="n"/>
      <c r="Q179" s="171" t="n"/>
      <c r="R179" s="171" t="n"/>
      <c r="S179" s="171" t="n"/>
      <c r="T179" s="171" t="n"/>
      <c r="U179" s="171" t="n"/>
      <c r="V179" s="171" t="n"/>
      <c r="W179" s="171" t="n"/>
      <c r="X179" s="171" t="n"/>
      <c r="Y179" s="171" t="n"/>
      <c r="Z179" s="171" t="n"/>
      <c r="AA179" s="171" t="n"/>
      <c r="AB179" s="171" t="n"/>
    </row>
    <row r="180">
      <c r="A180" s="181" t="n"/>
      <c r="B180" s="181" t="n"/>
      <c r="C180" s="181" t="n"/>
      <c r="D180" s="181" t="n"/>
      <c r="E180" s="181" t="n"/>
      <c r="F180" s="208" t="n"/>
      <c r="G180" s="208" t="n"/>
      <c r="H180" s="208" t="n"/>
      <c r="I180" s="208" t="n"/>
      <c r="J180" s="208" t="n"/>
      <c r="K180" s="171" t="n"/>
      <c r="L180" s="171" t="n"/>
      <c r="M180" s="171" t="n"/>
      <c r="N180" s="171" t="n"/>
      <c r="O180" s="171" t="n"/>
      <c r="P180" s="171" t="n"/>
      <c r="Q180" s="171" t="n"/>
      <c r="R180" s="171" t="n"/>
      <c r="S180" s="171" t="n"/>
      <c r="T180" s="171" t="n"/>
      <c r="U180" s="171" t="n"/>
      <c r="V180" s="171" t="n"/>
      <c r="W180" s="171" t="n"/>
      <c r="X180" s="171" t="n"/>
      <c r="Y180" s="171" t="n"/>
      <c r="Z180" s="171" t="n"/>
      <c r="AA180" s="171" t="n"/>
      <c r="AB180" s="171" t="n"/>
    </row>
    <row r="181">
      <c r="A181" s="181" t="n"/>
      <c r="B181" s="181" t="n"/>
      <c r="C181" s="181" t="n"/>
      <c r="D181" s="181" t="n"/>
      <c r="E181" s="181" t="n"/>
      <c r="F181" s="208" t="n"/>
      <c r="G181" s="208" t="n"/>
      <c r="H181" s="208" t="n"/>
      <c r="I181" s="208" t="n"/>
      <c r="J181" s="208" t="n"/>
      <c r="K181" s="171" t="n"/>
      <c r="L181" s="171" t="n"/>
      <c r="M181" s="171" t="n"/>
      <c r="N181" s="171" t="n"/>
      <c r="O181" s="171" t="n"/>
      <c r="P181" s="171" t="n"/>
      <c r="Q181" s="171" t="n"/>
      <c r="R181" s="171" t="n"/>
      <c r="S181" s="171" t="n"/>
      <c r="T181" s="171" t="n"/>
      <c r="U181" s="171" t="n"/>
      <c r="V181" s="171" t="n"/>
      <c r="W181" s="171" t="n"/>
      <c r="X181" s="171" t="n"/>
      <c r="Y181" s="171" t="n"/>
      <c r="Z181" s="171" t="n"/>
      <c r="AA181" s="171" t="n"/>
      <c r="AB181" s="171" t="n"/>
    </row>
    <row r="182">
      <c r="A182" s="181" t="n"/>
      <c r="B182" s="181" t="n"/>
      <c r="C182" s="181" t="n"/>
      <c r="D182" s="181" t="n"/>
      <c r="E182" s="181" t="n"/>
      <c r="F182" s="208" t="n"/>
      <c r="G182" s="208" t="n"/>
      <c r="H182" s="208" t="n"/>
      <c r="I182" s="208" t="n"/>
      <c r="J182" s="208" t="n"/>
      <c r="K182" s="171" t="n"/>
      <c r="L182" s="171" t="n"/>
      <c r="M182" s="171" t="n"/>
      <c r="N182" s="171" t="n"/>
      <c r="O182" s="171" t="n"/>
      <c r="P182" s="171" t="n"/>
      <c r="Q182" s="171" t="n"/>
      <c r="R182" s="171" t="n"/>
      <c r="S182" s="171" t="n"/>
      <c r="T182" s="171" t="n"/>
      <c r="U182" s="171" t="n"/>
      <c r="V182" s="171" t="n"/>
      <c r="W182" s="171" t="n"/>
      <c r="X182" s="171" t="n"/>
      <c r="Y182" s="171" t="n"/>
      <c r="Z182" s="171" t="n"/>
      <c r="AA182" s="171" t="n"/>
      <c r="AB182" s="171" t="n"/>
    </row>
    <row r="183">
      <c r="A183" s="181" t="n"/>
      <c r="B183" s="181" t="n"/>
      <c r="C183" s="181" t="n"/>
      <c r="D183" s="181" t="n"/>
      <c r="E183" s="181" t="n"/>
      <c r="F183" s="208" t="n"/>
      <c r="G183" s="208" t="n"/>
      <c r="H183" s="208" t="n"/>
      <c r="I183" s="208" t="n"/>
      <c r="J183" s="208" t="n"/>
      <c r="K183" s="171" t="n"/>
      <c r="L183" s="171" t="n"/>
      <c r="M183" s="171" t="n"/>
      <c r="N183" s="171" t="n"/>
      <c r="O183" s="171" t="n"/>
      <c r="P183" s="171" t="n"/>
      <c r="Q183" s="171" t="n"/>
      <c r="R183" s="171" t="n"/>
      <c r="S183" s="171" t="n"/>
      <c r="T183" s="171" t="n"/>
      <c r="U183" s="171" t="n"/>
      <c r="V183" s="171" t="n"/>
      <c r="W183" s="171" t="n"/>
      <c r="X183" s="171" t="n"/>
      <c r="Y183" s="171" t="n"/>
      <c r="Z183" s="171" t="n"/>
      <c r="AA183" s="171" t="n"/>
      <c r="AB183" s="171" t="n"/>
    </row>
    <row r="184">
      <c r="A184" s="181" t="n"/>
      <c r="B184" s="181" t="n"/>
      <c r="C184" s="181" t="n"/>
      <c r="D184" s="181" t="n"/>
      <c r="E184" s="181" t="n"/>
      <c r="F184" s="208" t="n"/>
      <c r="G184" s="208" t="n"/>
      <c r="H184" s="208" t="n"/>
      <c r="I184" s="208" t="n"/>
      <c r="J184" s="208" t="n"/>
      <c r="K184" s="171" t="n"/>
      <c r="L184" s="171" t="n"/>
      <c r="M184" s="171" t="n"/>
      <c r="N184" s="171" t="n"/>
      <c r="O184" s="171" t="n"/>
      <c r="P184" s="171" t="n"/>
      <c r="Q184" s="171" t="n"/>
      <c r="R184" s="171" t="n"/>
      <c r="S184" s="171" t="n"/>
      <c r="T184" s="171" t="n"/>
      <c r="U184" s="171" t="n"/>
      <c r="V184" s="171" t="n"/>
      <c r="W184" s="171" t="n"/>
      <c r="X184" s="171" t="n"/>
      <c r="Y184" s="171" t="n"/>
      <c r="Z184" s="171" t="n"/>
      <c r="AA184" s="171" t="n"/>
      <c r="AB184" s="171" t="n"/>
    </row>
    <row r="185">
      <c r="A185" s="181" t="n"/>
      <c r="B185" s="181" t="n"/>
      <c r="C185" s="181" t="n"/>
      <c r="D185" s="181" t="n"/>
      <c r="E185" s="181" t="n"/>
      <c r="F185" s="208" t="n"/>
      <c r="G185" s="208" t="n"/>
      <c r="H185" s="208" t="n"/>
      <c r="I185" s="208" t="n"/>
      <c r="J185" s="208" t="n"/>
      <c r="K185" s="171" t="n"/>
      <c r="L185" s="171" t="n"/>
      <c r="M185" s="171" t="n"/>
      <c r="N185" s="171" t="n"/>
      <c r="O185" s="171" t="n"/>
      <c r="P185" s="171" t="n"/>
      <c r="Q185" s="171" t="n"/>
      <c r="R185" s="171" t="n"/>
      <c r="S185" s="171" t="n"/>
      <c r="T185" s="171" t="n"/>
      <c r="U185" s="171" t="n"/>
      <c r="V185" s="171" t="n"/>
      <c r="W185" s="171" t="n"/>
      <c r="X185" s="171" t="n"/>
      <c r="Y185" s="171" t="n"/>
      <c r="Z185" s="171" t="n"/>
      <c r="AA185" s="171" t="n"/>
      <c r="AB185" s="171" t="n"/>
    </row>
    <row r="186">
      <c r="A186" s="181" t="n"/>
      <c r="B186" s="181" t="n"/>
      <c r="C186" s="181" t="n"/>
      <c r="D186" s="181" t="n"/>
      <c r="E186" s="181" t="n"/>
      <c r="F186" s="208" t="n"/>
      <c r="G186" s="208" t="n"/>
      <c r="H186" s="208" t="n"/>
      <c r="I186" s="208" t="n"/>
      <c r="J186" s="208" t="n"/>
      <c r="K186" s="171" t="n"/>
      <c r="L186" s="171" t="n"/>
      <c r="M186" s="171" t="n"/>
      <c r="N186" s="171" t="n"/>
      <c r="O186" s="171" t="n"/>
      <c r="P186" s="171" t="n"/>
      <c r="Q186" s="171" t="n"/>
      <c r="R186" s="171" t="n"/>
      <c r="S186" s="171" t="n"/>
      <c r="T186" s="171" t="n"/>
      <c r="U186" s="171" t="n"/>
      <c r="V186" s="171" t="n"/>
      <c r="W186" s="171" t="n"/>
      <c r="X186" s="171" t="n"/>
      <c r="Y186" s="171" t="n"/>
      <c r="Z186" s="171" t="n"/>
      <c r="AA186" s="171" t="n"/>
      <c r="AB186" s="171" t="n"/>
    </row>
    <row r="187">
      <c r="A187" s="181" t="n"/>
      <c r="B187" s="181" t="n"/>
      <c r="C187" s="181" t="n"/>
      <c r="D187" s="181" t="n"/>
      <c r="E187" s="181" t="n"/>
      <c r="F187" s="208" t="n"/>
      <c r="G187" s="208" t="n"/>
      <c r="H187" s="208" t="n"/>
      <c r="I187" s="208" t="n"/>
      <c r="J187" s="208" t="n"/>
      <c r="K187" s="171" t="n"/>
      <c r="L187" s="171" t="n"/>
      <c r="M187" s="171" t="n"/>
      <c r="N187" s="171" t="n"/>
      <c r="O187" s="171" t="n"/>
      <c r="P187" s="171" t="n"/>
      <c r="Q187" s="171" t="n"/>
      <c r="R187" s="171" t="n"/>
      <c r="S187" s="171" t="n"/>
      <c r="T187" s="171" t="n"/>
      <c r="U187" s="171" t="n"/>
      <c r="V187" s="171" t="n"/>
      <c r="W187" s="171" t="n"/>
      <c r="X187" s="171" t="n"/>
      <c r="Y187" s="171" t="n"/>
      <c r="Z187" s="171" t="n"/>
      <c r="AA187" s="171" t="n"/>
      <c r="AB187" s="171" t="n"/>
    </row>
    <row r="188">
      <c r="A188" s="181" t="n"/>
      <c r="B188" s="181" t="n"/>
      <c r="C188" s="181" t="n"/>
      <c r="D188" s="181" t="n"/>
      <c r="E188" s="181" t="n"/>
      <c r="F188" s="208" t="n"/>
      <c r="G188" s="208" t="n"/>
      <c r="H188" s="208" t="n"/>
      <c r="I188" s="208" t="n"/>
      <c r="J188" s="208" t="n"/>
      <c r="K188" s="171" t="n"/>
      <c r="L188" s="171" t="n"/>
      <c r="M188" s="171" t="n"/>
      <c r="N188" s="171" t="n"/>
      <c r="O188" s="171" t="n"/>
      <c r="P188" s="171" t="n"/>
      <c r="Q188" s="171" t="n"/>
      <c r="R188" s="171" t="n"/>
      <c r="S188" s="171" t="n"/>
      <c r="T188" s="171" t="n"/>
      <c r="U188" s="171" t="n"/>
      <c r="V188" s="171" t="n"/>
      <c r="W188" s="171" t="n"/>
      <c r="X188" s="171" t="n"/>
      <c r="Y188" s="171" t="n"/>
      <c r="Z188" s="171" t="n"/>
      <c r="AA188" s="171" t="n"/>
      <c r="AB188" s="171" t="n"/>
    </row>
    <row r="189">
      <c r="A189" s="181" t="n"/>
      <c r="B189" s="181" t="n"/>
      <c r="C189" s="181" t="n"/>
      <c r="D189" s="181" t="n"/>
      <c r="E189" s="181" t="n"/>
      <c r="F189" s="208" t="n"/>
      <c r="G189" s="208" t="n"/>
      <c r="H189" s="208" t="n"/>
      <c r="I189" s="208" t="n"/>
      <c r="J189" s="208" t="n"/>
      <c r="K189" s="171" t="n"/>
      <c r="L189" s="171" t="n"/>
      <c r="M189" s="171" t="n"/>
      <c r="N189" s="171" t="n"/>
      <c r="O189" s="171" t="n"/>
      <c r="P189" s="171" t="n"/>
      <c r="Q189" s="171" t="n"/>
      <c r="R189" s="171" t="n"/>
      <c r="S189" s="171" t="n"/>
      <c r="T189" s="171" t="n"/>
      <c r="U189" s="171" t="n"/>
      <c r="V189" s="171" t="n"/>
      <c r="W189" s="171" t="n"/>
      <c r="X189" s="171" t="n"/>
      <c r="Y189" s="171" t="n"/>
      <c r="Z189" s="171" t="n"/>
      <c r="AA189" s="171" t="n"/>
      <c r="AB189" s="171" t="n"/>
    </row>
    <row r="190">
      <c r="A190" s="181" t="n"/>
      <c r="B190" s="181" t="n"/>
      <c r="C190" s="181" t="n"/>
      <c r="D190" s="181" t="n"/>
      <c r="E190" s="181" t="n"/>
      <c r="F190" s="208" t="n"/>
      <c r="G190" s="208" t="n"/>
      <c r="H190" s="208" t="n"/>
      <c r="I190" s="208" t="n"/>
      <c r="J190" s="208" t="n"/>
      <c r="K190" s="171" t="n"/>
      <c r="L190" s="171" t="n"/>
      <c r="M190" s="171" t="n"/>
      <c r="N190" s="171" t="n"/>
      <c r="O190" s="171" t="n"/>
      <c r="P190" s="171" t="n"/>
      <c r="Q190" s="171" t="n"/>
      <c r="R190" s="171" t="n"/>
      <c r="S190" s="171" t="n"/>
      <c r="T190" s="171" t="n"/>
      <c r="U190" s="171" t="n"/>
      <c r="V190" s="171" t="n"/>
      <c r="W190" s="171" t="n"/>
      <c r="X190" s="171" t="n"/>
      <c r="Y190" s="171" t="n"/>
      <c r="Z190" s="171" t="n"/>
      <c r="AA190" s="171" t="n"/>
      <c r="AB190" s="171" t="n"/>
    </row>
    <row r="191">
      <c r="A191" s="181" t="n"/>
      <c r="B191" s="181" t="n"/>
      <c r="C191" s="181" t="n"/>
      <c r="D191" s="181" t="n"/>
      <c r="E191" s="181" t="n"/>
      <c r="F191" s="208" t="n"/>
      <c r="G191" s="208" t="n"/>
      <c r="H191" s="208" t="n"/>
      <c r="I191" s="208" t="n"/>
      <c r="J191" s="208" t="n"/>
      <c r="K191" s="171" t="n"/>
      <c r="L191" s="171" t="n"/>
      <c r="M191" s="171" t="n"/>
      <c r="N191" s="171" t="n"/>
      <c r="O191" s="171" t="n"/>
      <c r="P191" s="171" t="n"/>
      <c r="Q191" s="171" t="n"/>
      <c r="R191" s="171" t="n"/>
      <c r="S191" s="171" t="n"/>
      <c r="T191" s="171" t="n"/>
      <c r="U191" s="171" t="n"/>
      <c r="V191" s="171" t="n"/>
      <c r="W191" s="171" t="n"/>
      <c r="X191" s="171" t="n"/>
      <c r="Y191" s="171" t="n"/>
      <c r="Z191" s="171" t="n"/>
      <c r="AA191" s="171" t="n"/>
      <c r="AB191" s="171" t="n"/>
    </row>
    <row r="192">
      <c r="A192" s="181" t="n"/>
      <c r="B192" s="181" t="n"/>
      <c r="C192" s="181" t="n"/>
      <c r="D192" s="181" t="n"/>
      <c r="E192" s="181" t="n"/>
      <c r="F192" s="208" t="n"/>
      <c r="G192" s="208" t="n"/>
      <c r="H192" s="208" t="n"/>
      <c r="I192" s="208" t="n"/>
      <c r="J192" s="208" t="n"/>
      <c r="K192" s="171" t="n"/>
      <c r="L192" s="171" t="n"/>
      <c r="M192" s="171" t="n"/>
      <c r="N192" s="171" t="n"/>
      <c r="O192" s="171" t="n"/>
      <c r="P192" s="171" t="n"/>
      <c r="Q192" s="171" t="n"/>
      <c r="R192" s="171" t="n"/>
      <c r="S192" s="171" t="n"/>
      <c r="T192" s="171" t="n"/>
      <c r="U192" s="171" t="n"/>
      <c r="V192" s="171" t="n"/>
      <c r="W192" s="171" t="n"/>
      <c r="X192" s="171" t="n"/>
      <c r="Y192" s="171" t="n"/>
      <c r="Z192" s="171" t="n"/>
      <c r="AA192" s="171" t="n"/>
      <c r="AB192" s="171" t="n"/>
    </row>
    <row r="193">
      <c r="A193" s="181" t="n"/>
      <c r="B193" s="181" t="n"/>
      <c r="C193" s="181" t="n"/>
      <c r="D193" s="181" t="n"/>
      <c r="E193" s="181" t="n"/>
      <c r="F193" s="208" t="n"/>
      <c r="G193" s="208" t="n"/>
      <c r="H193" s="208" t="n"/>
      <c r="I193" s="208" t="n"/>
      <c r="J193" s="208" t="n"/>
      <c r="K193" s="171" t="n"/>
      <c r="L193" s="171" t="n"/>
      <c r="M193" s="171" t="n"/>
      <c r="N193" s="171" t="n"/>
      <c r="O193" s="171" t="n"/>
      <c r="P193" s="171" t="n"/>
      <c r="Q193" s="171" t="n"/>
      <c r="R193" s="171" t="n"/>
      <c r="S193" s="171" t="n"/>
      <c r="T193" s="171" t="n"/>
      <c r="U193" s="171" t="n"/>
      <c r="V193" s="171" t="n"/>
      <c r="W193" s="171" t="n"/>
      <c r="X193" s="171" t="n"/>
      <c r="Y193" s="171" t="n"/>
      <c r="Z193" s="171" t="n"/>
      <c r="AA193" s="171" t="n"/>
      <c r="AB193" s="171" t="n"/>
    </row>
    <row r="194">
      <c r="A194" s="181" t="n"/>
      <c r="B194" s="181" t="n"/>
      <c r="C194" s="181" t="n"/>
      <c r="D194" s="181" t="n"/>
      <c r="E194" s="181" t="n"/>
      <c r="F194" s="208" t="n"/>
      <c r="G194" s="208" t="n"/>
      <c r="H194" s="208" t="n"/>
      <c r="I194" s="208" t="n"/>
      <c r="J194" s="208" t="n"/>
      <c r="K194" s="171" t="n"/>
      <c r="L194" s="171" t="n"/>
      <c r="M194" s="171" t="n"/>
      <c r="N194" s="171" t="n"/>
      <c r="O194" s="171" t="n"/>
      <c r="P194" s="171" t="n"/>
      <c r="Q194" s="171" t="n"/>
      <c r="R194" s="171" t="n"/>
      <c r="S194" s="171" t="n"/>
      <c r="T194" s="171" t="n"/>
      <c r="U194" s="171" t="n"/>
      <c r="V194" s="171" t="n"/>
      <c r="W194" s="171" t="n"/>
      <c r="X194" s="171" t="n"/>
      <c r="Y194" s="171" t="n"/>
      <c r="Z194" s="171" t="n"/>
      <c r="AA194" s="171" t="n"/>
      <c r="AB194" s="171" t="n"/>
    </row>
    <row r="195">
      <c r="A195" s="181" t="n"/>
      <c r="B195" s="181" t="n"/>
      <c r="C195" s="181" t="n"/>
      <c r="D195" s="181" t="n"/>
      <c r="E195" s="181" t="n"/>
      <c r="F195" s="208" t="n"/>
      <c r="G195" s="208" t="n"/>
      <c r="H195" s="208" t="n"/>
      <c r="I195" s="208" t="n"/>
      <c r="J195" s="208" t="n"/>
      <c r="K195" s="171" t="n"/>
      <c r="L195" s="171" t="n"/>
      <c r="M195" s="171" t="n"/>
      <c r="N195" s="171" t="n"/>
      <c r="O195" s="171" t="n"/>
      <c r="P195" s="171" t="n"/>
      <c r="Q195" s="171" t="n"/>
      <c r="R195" s="171" t="n"/>
      <c r="S195" s="171" t="n"/>
      <c r="T195" s="171" t="n"/>
      <c r="U195" s="171" t="n"/>
      <c r="V195" s="171" t="n"/>
      <c r="W195" s="171" t="n"/>
      <c r="X195" s="171" t="n"/>
      <c r="Y195" s="171" t="n"/>
      <c r="Z195" s="171" t="n"/>
      <c r="AA195" s="171" t="n"/>
      <c r="AB195" s="171" t="n"/>
    </row>
    <row r="196">
      <c r="A196" s="181" t="n"/>
      <c r="B196" s="181" t="n"/>
      <c r="C196" s="181" t="n"/>
      <c r="D196" s="181" t="n"/>
      <c r="E196" s="181" t="n"/>
      <c r="F196" s="208" t="n"/>
      <c r="G196" s="208" t="n"/>
      <c r="H196" s="208" t="n"/>
      <c r="I196" s="208" t="n"/>
      <c r="J196" s="208" t="n"/>
      <c r="K196" s="171" t="n"/>
      <c r="L196" s="171" t="n"/>
      <c r="M196" s="171" t="n"/>
      <c r="N196" s="171" t="n"/>
      <c r="O196" s="171" t="n"/>
      <c r="P196" s="171" t="n"/>
      <c r="Q196" s="171" t="n"/>
      <c r="R196" s="171" t="n"/>
      <c r="S196" s="171" t="n"/>
      <c r="T196" s="171" t="n"/>
      <c r="U196" s="171" t="n"/>
      <c r="V196" s="171" t="n"/>
      <c r="W196" s="171" t="n"/>
      <c r="X196" s="171" t="n"/>
      <c r="Y196" s="171" t="n"/>
      <c r="Z196" s="171" t="n"/>
      <c r="AA196" s="171" t="n"/>
      <c r="AB196" s="171" t="n"/>
    </row>
    <row r="197">
      <c r="A197" s="181" t="n"/>
      <c r="B197" s="181" t="n"/>
      <c r="C197" s="181" t="n"/>
      <c r="D197" s="181" t="n"/>
      <c r="E197" s="181" t="n"/>
      <c r="F197" s="208" t="n"/>
      <c r="G197" s="208" t="n"/>
      <c r="H197" s="208" t="n"/>
      <c r="I197" s="208" t="n"/>
      <c r="J197" s="208" t="n"/>
      <c r="K197" s="171" t="n"/>
      <c r="L197" s="171" t="n"/>
      <c r="M197" s="171" t="n"/>
      <c r="N197" s="171" t="n"/>
      <c r="O197" s="171" t="n"/>
      <c r="P197" s="171" t="n"/>
      <c r="Q197" s="171" t="n"/>
      <c r="R197" s="171" t="n"/>
      <c r="S197" s="171" t="n"/>
      <c r="T197" s="171" t="n"/>
      <c r="U197" s="171" t="n"/>
      <c r="V197" s="171" t="n"/>
      <c r="W197" s="171" t="n"/>
      <c r="X197" s="171" t="n"/>
      <c r="Y197" s="171" t="n"/>
      <c r="Z197" s="171" t="n"/>
      <c r="AA197" s="171" t="n"/>
      <c r="AB197" s="171" t="n"/>
    </row>
    <row r="198">
      <c r="A198" s="181" t="n"/>
      <c r="B198" s="181" t="n"/>
      <c r="C198" s="181" t="n"/>
      <c r="D198" s="181" t="n"/>
      <c r="E198" s="181" t="n"/>
      <c r="F198" s="208" t="n"/>
      <c r="G198" s="208" t="n"/>
      <c r="H198" s="208" t="n"/>
      <c r="I198" s="208" t="n"/>
      <c r="J198" s="208" t="n"/>
      <c r="K198" s="171" t="n"/>
      <c r="L198" s="171" t="n"/>
      <c r="M198" s="171" t="n"/>
      <c r="N198" s="171" t="n"/>
      <c r="O198" s="171" t="n"/>
      <c r="P198" s="171" t="n"/>
      <c r="Q198" s="171" t="n"/>
      <c r="R198" s="171" t="n"/>
      <c r="S198" s="171" t="n"/>
      <c r="T198" s="171" t="n"/>
      <c r="U198" s="171" t="n"/>
      <c r="V198" s="171" t="n"/>
      <c r="W198" s="171" t="n"/>
      <c r="X198" s="171" t="n"/>
      <c r="Y198" s="171" t="n"/>
      <c r="Z198" s="171" t="n"/>
      <c r="AA198" s="171" t="n"/>
      <c r="AB198" s="171" t="n"/>
    </row>
    <row r="199">
      <c r="A199" s="181" t="n"/>
      <c r="B199" s="181" t="n"/>
      <c r="C199" s="181" t="n"/>
      <c r="D199" s="181" t="n"/>
      <c r="E199" s="181" t="n"/>
      <c r="F199" s="208" t="n"/>
      <c r="G199" s="208" t="n"/>
      <c r="H199" s="208" t="n"/>
      <c r="I199" s="208" t="n"/>
      <c r="J199" s="208" t="n"/>
      <c r="K199" s="171" t="n"/>
      <c r="L199" s="171" t="n"/>
      <c r="M199" s="171" t="n"/>
      <c r="N199" s="171" t="n"/>
      <c r="O199" s="171" t="n"/>
      <c r="P199" s="171" t="n"/>
      <c r="Q199" s="171" t="n"/>
      <c r="R199" s="171" t="n"/>
      <c r="S199" s="171" t="n"/>
      <c r="T199" s="171" t="n"/>
      <c r="U199" s="171" t="n"/>
      <c r="V199" s="171" t="n"/>
      <c r="W199" s="171" t="n"/>
      <c r="X199" s="171" t="n"/>
      <c r="Y199" s="171" t="n"/>
      <c r="Z199" s="171" t="n"/>
      <c r="AA199" s="171" t="n"/>
      <c r="AB199" s="171" t="n"/>
    </row>
    <row r="200">
      <c r="A200" s="181" t="n"/>
      <c r="B200" s="181" t="n"/>
      <c r="C200" s="181" t="n"/>
      <c r="D200" s="181" t="n"/>
      <c r="E200" s="181" t="n"/>
      <c r="F200" s="208" t="n"/>
      <c r="G200" s="208" t="n"/>
      <c r="H200" s="208" t="n"/>
      <c r="I200" s="208" t="n"/>
      <c r="J200" s="208" t="n"/>
      <c r="K200" s="171" t="n"/>
      <c r="L200" s="171" t="n"/>
      <c r="M200" s="171" t="n"/>
      <c r="N200" s="171" t="n"/>
      <c r="O200" s="171" t="n"/>
      <c r="P200" s="171" t="n"/>
      <c r="Q200" s="171" t="n"/>
      <c r="R200" s="171" t="n"/>
      <c r="S200" s="171" t="n"/>
      <c r="T200" s="171" t="n"/>
      <c r="U200" s="171" t="n"/>
      <c r="V200" s="171" t="n"/>
      <c r="W200" s="171" t="n"/>
      <c r="X200" s="171" t="n"/>
      <c r="Y200" s="171" t="n"/>
      <c r="Z200" s="171" t="n"/>
      <c r="AA200" s="171" t="n"/>
      <c r="AB200" s="171" t="n"/>
    </row>
    <row r="201">
      <c r="A201" s="181" t="n"/>
      <c r="B201" s="181" t="n"/>
      <c r="C201" s="181" t="n"/>
      <c r="D201" s="181" t="n"/>
      <c r="E201" s="181" t="n"/>
      <c r="F201" s="208" t="n"/>
      <c r="G201" s="208" t="n"/>
      <c r="H201" s="208" t="n"/>
      <c r="I201" s="208" t="n"/>
      <c r="J201" s="208" t="n"/>
      <c r="K201" s="171" t="n"/>
      <c r="L201" s="171" t="n"/>
      <c r="M201" s="171" t="n"/>
      <c r="N201" s="171" t="n"/>
      <c r="O201" s="171" t="n"/>
      <c r="P201" s="171" t="n"/>
      <c r="Q201" s="171" t="n"/>
      <c r="R201" s="171" t="n"/>
      <c r="S201" s="171" t="n"/>
      <c r="T201" s="171" t="n"/>
      <c r="U201" s="171" t="n"/>
      <c r="V201" s="171" t="n"/>
      <c r="W201" s="171" t="n"/>
      <c r="X201" s="171" t="n"/>
      <c r="Y201" s="171" t="n"/>
      <c r="Z201" s="171" t="n"/>
      <c r="AA201" s="171" t="n"/>
      <c r="AB201" s="171" t="n"/>
    </row>
    <row r="202">
      <c r="A202" s="181" t="n"/>
      <c r="B202" s="181" t="n"/>
      <c r="C202" s="181" t="n"/>
      <c r="D202" s="181" t="n"/>
      <c r="E202" s="181" t="n"/>
      <c r="F202" s="208" t="n"/>
      <c r="G202" s="208" t="n"/>
      <c r="H202" s="208" t="n"/>
      <c r="I202" s="208" t="n"/>
      <c r="J202" s="208" t="n"/>
      <c r="K202" s="171" t="n"/>
      <c r="L202" s="171" t="n"/>
      <c r="M202" s="171" t="n"/>
      <c r="N202" s="171" t="n"/>
      <c r="O202" s="171" t="n"/>
      <c r="P202" s="171" t="n"/>
      <c r="Q202" s="171" t="n"/>
      <c r="R202" s="171" t="n"/>
      <c r="S202" s="171" t="n"/>
      <c r="T202" s="171" t="n"/>
      <c r="U202" s="171" t="n"/>
      <c r="V202" s="171" t="n"/>
      <c r="W202" s="171" t="n"/>
      <c r="X202" s="171" t="n"/>
      <c r="Y202" s="171" t="n"/>
      <c r="Z202" s="171" t="n"/>
      <c r="AA202" s="171" t="n"/>
      <c r="AB202" s="171" t="n"/>
    </row>
    <row r="203">
      <c r="A203" s="181" t="n"/>
      <c r="B203" s="181" t="n"/>
      <c r="C203" s="181" t="n"/>
      <c r="D203" s="181" t="n"/>
      <c r="E203" s="181" t="n"/>
      <c r="F203" s="208" t="n"/>
      <c r="G203" s="208" t="n"/>
      <c r="H203" s="208" t="n"/>
      <c r="I203" s="208" t="n"/>
      <c r="J203" s="208" t="n"/>
      <c r="K203" s="171" t="n"/>
      <c r="L203" s="171" t="n"/>
      <c r="M203" s="171" t="n"/>
      <c r="N203" s="171" t="n"/>
      <c r="O203" s="171" t="n"/>
      <c r="P203" s="171" t="n"/>
      <c r="Q203" s="171" t="n"/>
      <c r="R203" s="171" t="n"/>
      <c r="S203" s="171" t="n"/>
      <c r="T203" s="171" t="n"/>
      <c r="U203" s="171" t="n"/>
      <c r="V203" s="171" t="n"/>
      <c r="W203" s="171" t="n"/>
      <c r="X203" s="171" t="n"/>
      <c r="Y203" s="171" t="n"/>
      <c r="Z203" s="171" t="n"/>
      <c r="AA203" s="171" t="n"/>
      <c r="AB203" s="171" t="n"/>
    </row>
    <row r="204">
      <c r="A204" s="181" t="n"/>
      <c r="B204" s="181" t="n"/>
      <c r="C204" s="181" t="n"/>
      <c r="D204" s="181" t="n"/>
      <c r="E204" s="181" t="n"/>
      <c r="F204" s="208" t="n"/>
      <c r="G204" s="208" t="n"/>
      <c r="H204" s="208" t="n"/>
      <c r="I204" s="208" t="n"/>
      <c r="J204" s="208" t="n"/>
      <c r="K204" s="171" t="n"/>
      <c r="L204" s="171" t="n"/>
      <c r="M204" s="171" t="n"/>
      <c r="N204" s="171" t="n"/>
      <c r="O204" s="171" t="n"/>
      <c r="P204" s="171" t="n"/>
      <c r="Q204" s="171" t="n"/>
      <c r="R204" s="171" t="n"/>
      <c r="S204" s="171" t="n"/>
      <c r="T204" s="171" t="n"/>
      <c r="U204" s="171" t="n"/>
      <c r="V204" s="171" t="n"/>
      <c r="W204" s="171" t="n"/>
      <c r="X204" s="171" t="n"/>
      <c r="Y204" s="171" t="n"/>
      <c r="Z204" s="171" t="n"/>
      <c r="AA204" s="171" t="n"/>
      <c r="AB204" s="171" t="n"/>
    </row>
    <row r="205">
      <c r="A205" s="181" t="n"/>
      <c r="B205" s="181" t="n"/>
      <c r="C205" s="181" t="n"/>
      <c r="D205" s="181" t="n"/>
      <c r="E205" s="181" t="n"/>
      <c r="F205" s="208" t="n"/>
      <c r="G205" s="208" t="n"/>
      <c r="H205" s="208" t="n"/>
      <c r="I205" s="208" t="n"/>
      <c r="J205" s="208" t="n"/>
      <c r="K205" s="171" t="n"/>
      <c r="L205" s="171" t="n"/>
      <c r="M205" s="171" t="n"/>
      <c r="N205" s="171" t="n"/>
      <c r="O205" s="171" t="n"/>
      <c r="P205" s="171" t="n"/>
      <c r="Q205" s="171" t="n"/>
      <c r="R205" s="171" t="n"/>
      <c r="S205" s="171" t="n"/>
      <c r="T205" s="171" t="n"/>
      <c r="U205" s="171" t="n"/>
      <c r="V205" s="171" t="n"/>
      <c r="W205" s="171" t="n"/>
      <c r="X205" s="171" t="n"/>
      <c r="Y205" s="171" t="n"/>
      <c r="Z205" s="171" t="n"/>
      <c r="AA205" s="171" t="n"/>
      <c r="AB205" s="171" t="n"/>
    </row>
    <row r="206">
      <c r="A206" s="181" t="n"/>
      <c r="B206" s="181" t="n"/>
      <c r="C206" s="181" t="n"/>
      <c r="D206" s="181" t="n"/>
      <c r="E206" s="181" t="n"/>
      <c r="F206" s="208" t="n"/>
      <c r="G206" s="208" t="n"/>
      <c r="H206" s="208" t="n"/>
      <c r="I206" s="208" t="n"/>
      <c r="J206" s="208" t="n"/>
      <c r="K206" s="171" t="n"/>
      <c r="L206" s="171" t="n"/>
      <c r="M206" s="171" t="n"/>
      <c r="N206" s="171" t="n"/>
      <c r="O206" s="171" t="n"/>
      <c r="P206" s="171" t="n"/>
      <c r="Q206" s="171" t="n"/>
      <c r="R206" s="171" t="n"/>
      <c r="S206" s="171" t="n"/>
      <c r="T206" s="171" t="n"/>
      <c r="U206" s="171" t="n"/>
      <c r="V206" s="171" t="n"/>
      <c r="W206" s="171" t="n"/>
      <c r="X206" s="171" t="n"/>
      <c r="Y206" s="171" t="n"/>
      <c r="Z206" s="171" t="n"/>
      <c r="AA206" s="171" t="n"/>
      <c r="AB206" s="171" t="n"/>
    </row>
    <row r="207">
      <c r="A207" s="181" t="n"/>
      <c r="B207" s="181" t="n"/>
      <c r="C207" s="181" t="n"/>
      <c r="D207" s="181" t="n"/>
      <c r="E207" s="181" t="n"/>
      <c r="F207" s="208" t="n"/>
      <c r="G207" s="208" t="n"/>
      <c r="H207" s="208" t="n"/>
      <c r="I207" s="208" t="n"/>
      <c r="J207" s="208" t="n"/>
      <c r="K207" s="171" t="n"/>
      <c r="L207" s="171" t="n"/>
      <c r="M207" s="171" t="n"/>
      <c r="N207" s="171" t="n"/>
      <c r="O207" s="171" t="n"/>
      <c r="P207" s="171" t="n"/>
      <c r="Q207" s="171" t="n"/>
      <c r="R207" s="171" t="n"/>
      <c r="S207" s="171" t="n"/>
      <c r="T207" s="171" t="n"/>
      <c r="U207" s="171" t="n"/>
      <c r="V207" s="171" t="n"/>
      <c r="W207" s="171" t="n"/>
      <c r="X207" s="171" t="n"/>
      <c r="Y207" s="171" t="n"/>
      <c r="Z207" s="171" t="n"/>
      <c r="AA207" s="171" t="n"/>
      <c r="AB207" s="171" t="n"/>
    </row>
    <row r="208">
      <c r="A208" s="181" t="n"/>
      <c r="B208" s="181" t="n"/>
      <c r="C208" s="181" t="n"/>
      <c r="D208" s="181" t="n"/>
      <c r="E208" s="181" t="n"/>
      <c r="F208" s="208" t="n"/>
      <c r="G208" s="208" t="n"/>
      <c r="H208" s="208" t="n"/>
      <c r="I208" s="208" t="n"/>
      <c r="J208" s="208" t="n"/>
      <c r="K208" s="171" t="n"/>
      <c r="L208" s="171" t="n"/>
      <c r="M208" s="171" t="n"/>
      <c r="N208" s="171" t="n"/>
      <c r="O208" s="171" t="n"/>
      <c r="P208" s="171" t="n"/>
      <c r="Q208" s="171" t="n"/>
      <c r="R208" s="171" t="n"/>
      <c r="S208" s="171" t="n"/>
      <c r="T208" s="171" t="n"/>
      <c r="U208" s="171" t="n"/>
      <c r="V208" s="171" t="n"/>
      <c r="W208" s="171" t="n"/>
      <c r="X208" s="171" t="n"/>
      <c r="Y208" s="171" t="n"/>
      <c r="Z208" s="171" t="n"/>
      <c r="AA208" s="171" t="n"/>
      <c r="AB208" s="171" t="n"/>
    </row>
    <row r="209">
      <c r="A209" s="181" t="n"/>
      <c r="B209" s="181" t="n"/>
      <c r="C209" s="181" t="n"/>
      <c r="D209" s="181" t="n"/>
      <c r="E209" s="181" t="n"/>
      <c r="F209" s="208" t="n"/>
      <c r="G209" s="208" t="n"/>
      <c r="H209" s="208" t="n"/>
      <c r="I209" s="208" t="n"/>
      <c r="J209" s="208" t="n"/>
      <c r="K209" s="171" t="n"/>
      <c r="L209" s="171" t="n"/>
      <c r="M209" s="171" t="n"/>
      <c r="N209" s="171" t="n"/>
      <c r="O209" s="171" t="n"/>
      <c r="P209" s="171" t="n"/>
      <c r="Q209" s="171" t="n"/>
      <c r="R209" s="171" t="n"/>
      <c r="S209" s="171" t="n"/>
      <c r="T209" s="171" t="n"/>
      <c r="U209" s="171" t="n"/>
      <c r="V209" s="171" t="n"/>
      <c r="W209" s="171" t="n"/>
      <c r="X209" s="171" t="n"/>
      <c r="Y209" s="171" t="n"/>
      <c r="Z209" s="171" t="n"/>
      <c r="AA209" s="171" t="n"/>
      <c r="AB209" s="171" t="n"/>
    </row>
    <row r="210">
      <c r="A210" s="181" t="n"/>
      <c r="B210" s="181" t="n"/>
      <c r="C210" s="181" t="n"/>
      <c r="D210" s="181" t="n"/>
      <c r="E210" s="181" t="n"/>
      <c r="F210" s="208" t="n"/>
      <c r="G210" s="208" t="n"/>
      <c r="H210" s="208" t="n"/>
      <c r="I210" s="208" t="n"/>
      <c r="J210" s="208" t="n"/>
      <c r="K210" s="171" t="n"/>
      <c r="L210" s="171" t="n"/>
      <c r="M210" s="171" t="n"/>
      <c r="N210" s="171" t="n"/>
      <c r="O210" s="171" t="n"/>
      <c r="P210" s="171" t="n"/>
      <c r="Q210" s="171" t="n"/>
      <c r="R210" s="171" t="n"/>
      <c r="S210" s="171" t="n"/>
      <c r="T210" s="171" t="n"/>
      <c r="U210" s="171" t="n"/>
      <c r="V210" s="171" t="n"/>
      <c r="W210" s="171" t="n"/>
      <c r="X210" s="171" t="n"/>
      <c r="Y210" s="171" t="n"/>
      <c r="Z210" s="171" t="n"/>
      <c r="AA210" s="171" t="n"/>
      <c r="AB210" s="171" t="n"/>
    </row>
    <row r="211">
      <c r="A211" s="181" t="n"/>
      <c r="B211" s="181" t="n"/>
      <c r="C211" s="181" t="n"/>
      <c r="D211" s="181" t="n"/>
      <c r="E211" s="181" t="n"/>
      <c r="F211" s="208" t="n"/>
      <c r="G211" s="208" t="n"/>
      <c r="H211" s="208" t="n"/>
      <c r="I211" s="208" t="n"/>
      <c r="J211" s="208" t="n"/>
      <c r="K211" s="171" t="n"/>
      <c r="L211" s="171" t="n"/>
      <c r="M211" s="171" t="n"/>
      <c r="N211" s="171" t="n"/>
      <c r="O211" s="171" t="n"/>
      <c r="P211" s="171" t="n"/>
      <c r="Q211" s="171" t="n"/>
      <c r="R211" s="171" t="n"/>
      <c r="S211" s="171" t="n"/>
      <c r="T211" s="171" t="n"/>
      <c r="U211" s="171" t="n"/>
      <c r="V211" s="171" t="n"/>
      <c r="W211" s="171" t="n"/>
      <c r="X211" s="171" t="n"/>
      <c r="Y211" s="171" t="n"/>
      <c r="Z211" s="171" t="n"/>
      <c r="AA211" s="171" t="n"/>
      <c r="AB211" s="171" t="n"/>
    </row>
    <row r="212">
      <c r="A212" s="181" t="n"/>
      <c r="B212" s="181" t="n"/>
      <c r="C212" s="181" t="n"/>
      <c r="D212" s="181" t="n"/>
      <c r="E212" s="181" t="n"/>
      <c r="F212" s="208" t="n"/>
      <c r="G212" s="208" t="n"/>
      <c r="H212" s="208" t="n"/>
      <c r="I212" s="208" t="n"/>
      <c r="J212" s="208" t="n"/>
      <c r="K212" s="171" t="n"/>
      <c r="L212" s="171" t="n"/>
      <c r="M212" s="171" t="n"/>
      <c r="N212" s="171" t="n"/>
      <c r="O212" s="171" t="n"/>
      <c r="P212" s="171" t="n"/>
      <c r="Q212" s="171" t="n"/>
      <c r="R212" s="171" t="n"/>
      <c r="S212" s="171" t="n"/>
      <c r="T212" s="171" t="n"/>
      <c r="U212" s="171" t="n"/>
      <c r="V212" s="171" t="n"/>
      <c r="W212" s="171" t="n"/>
      <c r="X212" s="171" t="n"/>
      <c r="Y212" s="171" t="n"/>
      <c r="Z212" s="171" t="n"/>
      <c r="AA212" s="171" t="n"/>
      <c r="AB212" s="171" t="n"/>
    </row>
    <row r="213">
      <c r="A213" s="181" t="n"/>
      <c r="B213" s="181" t="n"/>
      <c r="C213" s="181" t="n"/>
      <c r="D213" s="181" t="n"/>
      <c r="E213" s="181" t="n"/>
      <c r="F213" s="208" t="n"/>
      <c r="G213" s="208" t="n"/>
      <c r="H213" s="208" t="n"/>
      <c r="I213" s="208" t="n"/>
      <c r="J213" s="208" t="n"/>
      <c r="K213" s="171" t="n"/>
      <c r="L213" s="171" t="n"/>
      <c r="M213" s="171" t="n"/>
      <c r="N213" s="171" t="n"/>
      <c r="O213" s="171" t="n"/>
      <c r="P213" s="171" t="n"/>
      <c r="Q213" s="171" t="n"/>
      <c r="R213" s="171" t="n"/>
      <c r="S213" s="171" t="n"/>
      <c r="T213" s="171" t="n"/>
      <c r="U213" s="171" t="n"/>
      <c r="V213" s="171" t="n"/>
      <c r="W213" s="171" t="n"/>
      <c r="X213" s="171" t="n"/>
      <c r="Y213" s="171" t="n"/>
      <c r="Z213" s="171" t="n"/>
      <c r="AA213" s="171" t="n"/>
      <c r="AB213" s="171" t="n"/>
    </row>
    <row r="214">
      <c r="A214" s="181" t="n"/>
      <c r="B214" s="181" t="n"/>
      <c r="C214" s="181" t="n"/>
      <c r="D214" s="181" t="n"/>
      <c r="E214" s="181" t="n"/>
      <c r="F214" s="208" t="n"/>
      <c r="G214" s="208" t="n"/>
      <c r="H214" s="208" t="n"/>
      <c r="I214" s="208" t="n"/>
      <c r="J214" s="208" t="n"/>
      <c r="K214" s="171" t="n"/>
      <c r="L214" s="171" t="n"/>
      <c r="M214" s="171" t="n"/>
      <c r="N214" s="171" t="n"/>
      <c r="O214" s="171" t="n"/>
      <c r="P214" s="171" t="n"/>
      <c r="Q214" s="171" t="n"/>
      <c r="R214" s="171" t="n"/>
      <c r="S214" s="171" t="n"/>
      <c r="T214" s="171" t="n"/>
      <c r="U214" s="171" t="n"/>
      <c r="V214" s="171" t="n"/>
      <c r="W214" s="171" t="n"/>
      <c r="X214" s="171" t="n"/>
      <c r="Y214" s="171" t="n"/>
      <c r="Z214" s="171" t="n"/>
      <c r="AA214" s="171" t="n"/>
      <c r="AB214" s="171" t="n"/>
    </row>
    <row r="215">
      <c r="A215" s="181" t="n"/>
      <c r="B215" s="181" t="n"/>
      <c r="C215" s="181" t="n"/>
      <c r="D215" s="181" t="n"/>
      <c r="E215" s="181" t="n"/>
      <c r="F215" s="208" t="n"/>
      <c r="G215" s="208" t="n"/>
      <c r="H215" s="208" t="n"/>
      <c r="I215" s="208" t="n"/>
      <c r="J215" s="208" t="n"/>
      <c r="K215" s="171" t="n"/>
      <c r="L215" s="171" t="n"/>
      <c r="M215" s="171" t="n"/>
      <c r="N215" s="171" t="n"/>
      <c r="O215" s="171" t="n"/>
      <c r="P215" s="171" t="n"/>
      <c r="Q215" s="171" t="n"/>
      <c r="R215" s="171" t="n"/>
      <c r="S215" s="171" t="n"/>
      <c r="T215" s="171" t="n"/>
      <c r="U215" s="171" t="n"/>
      <c r="V215" s="171" t="n"/>
      <c r="W215" s="171" t="n"/>
      <c r="X215" s="171" t="n"/>
      <c r="Y215" s="171" t="n"/>
      <c r="Z215" s="171" t="n"/>
      <c r="AA215" s="171" t="n"/>
      <c r="AB215" s="171" t="n"/>
    </row>
    <row r="216">
      <c r="A216" s="181" t="n"/>
      <c r="B216" s="181" t="n"/>
      <c r="C216" s="181" t="n"/>
      <c r="D216" s="181" t="n"/>
      <c r="E216" s="181" t="n"/>
      <c r="F216" s="208" t="n"/>
      <c r="G216" s="208" t="n"/>
      <c r="H216" s="208" t="n"/>
      <c r="I216" s="208" t="n"/>
      <c r="J216" s="208" t="n"/>
      <c r="K216" s="171" t="n"/>
      <c r="L216" s="171" t="n"/>
      <c r="M216" s="171" t="n"/>
      <c r="N216" s="171" t="n"/>
      <c r="O216" s="171" t="n"/>
      <c r="P216" s="171" t="n"/>
      <c r="Q216" s="171" t="n"/>
      <c r="R216" s="171" t="n"/>
      <c r="S216" s="171" t="n"/>
      <c r="T216" s="171" t="n"/>
      <c r="U216" s="171" t="n"/>
      <c r="V216" s="171" t="n"/>
      <c r="W216" s="171" t="n"/>
      <c r="X216" s="171" t="n"/>
      <c r="Y216" s="171" t="n"/>
      <c r="Z216" s="171" t="n"/>
      <c r="AA216" s="171" t="n"/>
      <c r="AB216" s="171" t="n"/>
    </row>
    <row r="217">
      <c r="A217" s="181" t="n"/>
      <c r="B217" s="181" t="n"/>
      <c r="C217" s="181" t="n"/>
      <c r="D217" s="181" t="n"/>
      <c r="E217" s="181" t="n"/>
      <c r="F217" s="208" t="n"/>
      <c r="G217" s="208" t="n"/>
      <c r="H217" s="208" t="n"/>
      <c r="I217" s="208" t="n"/>
      <c r="J217" s="208" t="n"/>
      <c r="K217" s="171" t="n"/>
      <c r="L217" s="171" t="n"/>
      <c r="M217" s="171" t="n"/>
      <c r="N217" s="171" t="n"/>
      <c r="O217" s="171" t="n"/>
      <c r="P217" s="171" t="n"/>
      <c r="Q217" s="171" t="n"/>
      <c r="R217" s="171" t="n"/>
      <c r="S217" s="171" t="n"/>
      <c r="T217" s="171" t="n"/>
      <c r="U217" s="171" t="n"/>
      <c r="V217" s="171" t="n"/>
      <c r="W217" s="171" t="n"/>
      <c r="X217" s="171" t="n"/>
      <c r="Y217" s="171" t="n"/>
      <c r="Z217" s="171" t="n"/>
      <c r="AA217" s="171" t="n"/>
      <c r="AB217" s="171" t="n"/>
    </row>
    <row r="218">
      <c r="A218" s="181" t="n"/>
      <c r="B218" s="181" t="n"/>
      <c r="C218" s="181" t="n"/>
      <c r="D218" s="181" t="n"/>
      <c r="E218" s="181" t="n"/>
      <c r="F218" s="208" t="n"/>
      <c r="G218" s="208" t="n"/>
      <c r="H218" s="208" t="n"/>
      <c r="I218" s="208" t="n"/>
      <c r="J218" s="208" t="n"/>
      <c r="K218" s="171" t="n"/>
      <c r="L218" s="171" t="n"/>
      <c r="M218" s="171" t="n"/>
      <c r="N218" s="171" t="n"/>
      <c r="O218" s="171" t="n"/>
      <c r="P218" s="171" t="n"/>
      <c r="Q218" s="171" t="n"/>
      <c r="R218" s="171" t="n"/>
      <c r="S218" s="171" t="n"/>
      <c r="T218" s="171" t="n"/>
      <c r="U218" s="171" t="n"/>
      <c r="V218" s="171" t="n"/>
      <c r="W218" s="171" t="n"/>
      <c r="X218" s="171" t="n"/>
      <c r="Y218" s="171" t="n"/>
      <c r="Z218" s="171" t="n"/>
      <c r="AA218" s="171" t="n"/>
      <c r="AB218" s="171" t="n"/>
    </row>
    <row r="219">
      <c r="A219" s="181" t="n"/>
      <c r="B219" s="181" t="n"/>
      <c r="C219" s="181" t="n"/>
      <c r="D219" s="181" t="n"/>
      <c r="E219" s="181" t="n"/>
      <c r="F219" s="208" t="n"/>
      <c r="G219" s="208" t="n"/>
      <c r="H219" s="208" t="n"/>
      <c r="I219" s="208" t="n"/>
      <c r="J219" s="208" t="n"/>
      <c r="K219" s="171" t="n"/>
      <c r="L219" s="171" t="n"/>
      <c r="M219" s="171" t="n"/>
      <c r="N219" s="171" t="n"/>
      <c r="O219" s="171" t="n"/>
      <c r="P219" s="171" t="n"/>
      <c r="Q219" s="171" t="n"/>
      <c r="R219" s="171" t="n"/>
      <c r="S219" s="171" t="n"/>
      <c r="T219" s="171" t="n"/>
      <c r="U219" s="171" t="n"/>
      <c r="V219" s="171" t="n"/>
      <c r="W219" s="171" t="n"/>
      <c r="X219" s="171" t="n"/>
      <c r="Y219" s="171" t="n"/>
      <c r="Z219" s="171" t="n"/>
      <c r="AA219" s="171" t="n"/>
      <c r="AB219" s="171" t="n"/>
    </row>
    <row r="220">
      <c r="A220" s="181" t="n"/>
      <c r="B220" s="181" t="n"/>
      <c r="C220" s="181" t="n"/>
      <c r="D220" s="181" t="n"/>
      <c r="E220" s="181" t="n"/>
      <c r="F220" s="208" t="n"/>
      <c r="G220" s="208" t="n"/>
      <c r="H220" s="208" t="n"/>
      <c r="I220" s="208" t="n"/>
      <c r="J220" s="208" t="n"/>
      <c r="K220" s="171" t="n"/>
      <c r="L220" s="171" t="n"/>
      <c r="M220" s="171" t="n"/>
      <c r="N220" s="171" t="n"/>
      <c r="O220" s="171" t="n"/>
      <c r="P220" s="171" t="n"/>
      <c r="Q220" s="171" t="n"/>
      <c r="R220" s="171" t="n"/>
      <c r="S220" s="171" t="n"/>
      <c r="T220" s="171" t="n"/>
      <c r="U220" s="171" t="n"/>
      <c r="V220" s="171" t="n"/>
      <c r="W220" s="171" t="n"/>
      <c r="X220" s="171" t="n"/>
      <c r="Y220" s="171" t="n"/>
      <c r="Z220" s="171" t="n"/>
      <c r="AA220" s="171" t="n"/>
      <c r="AB220" s="171" t="n"/>
    </row>
    <row r="221">
      <c r="A221" s="181" t="n"/>
      <c r="B221" s="181" t="n"/>
      <c r="C221" s="181" t="n"/>
      <c r="D221" s="181" t="n"/>
      <c r="E221" s="181" t="n"/>
      <c r="F221" s="208" t="n"/>
      <c r="G221" s="208" t="n"/>
      <c r="H221" s="208" t="n"/>
      <c r="I221" s="208" t="n"/>
      <c r="J221" s="208" t="n"/>
      <c r="K221" s="171" t="n"/>
      <c r="L221" s="171" t="n"/>
      <c r="M221" s="171" t="n"/>
      <c r="N221" s="171" t="n"/>
      <c r="O221" s="171" t="n"/>
      <c r="P221" s="171" t="n"/>
      <c r="Q221" s="171" t="n"/>
      <c r="R221" s="171" t="n"/>
      <c r="S221" s="171" t="n"/>
      <c r="T221" s="171" t="n"/>
      <c r="U221" s="171" t="n"/>
      <c r="V221" s="171" t="n"/>
      <c r="W221" s="171" t="n"/>
      <c r="X221" s="171" t="n"/>
      <c r="Y221" s="171" t="n"/>
      <c r="Z221" s="171" t="n"/>
      <c r="AA221" s="171" t="n"/>
      <c r="AB221" s="171" t="n"/>
    </row>
    <row r="222">
      <c r="A222" s="181" t="n"/>
      <c r="B222" s="181" t="n"/>
      <c r="C222" s="181" t="n"/>
      <c r="D222" s="181" t="n"/>
      <c r="E222" s="181" t="n"/>
      <c r="F222" s="208" t="n"/>
      <c r="G222" s="208" t="n"/>
      <c r="H222" s="208" t="n"/>
      <c r="I222" s="208" t="n"/>
      <c r="J222" s="208" t="n"/>
      <c r="K222" s="171" t="n"/>
      <c r="L222" s="171" t="n"/>
      <c r="M222" s="171" t="n"/>
      <c r="N222" s="171" t="n"/>
      <c r="O222" s="171" t="n"/>
      <c r="P222" s="171" t="n"/>
      <c r="Q222" s="171" t="n"/>
      <c r="R222" s="171" t="n"/>
      <c r="S222" s="171" t="n"/>
      <c r="T222" s="171" t="n"/>
      <c r="U222" s="171" t="n"/>
      <c r="V222" s="171" t="n"/>
      <c r="W222" s="171" t="n"/>
      <c r="X222" s="171" t="n"/>
      <c r="Y222" s="171" t="n"/>
      <c r="Z222" s="171" t="n"/>
      <c r="AA222" s="171" t="n"/>
      <c r="AB222" s="171" t="n"/>
    </row>
    <row r="223">
      <c r="A223" s="181" t="n"/>
      <c r="B223" s="181" t="n"/>
      <c r="C223" s="181" t="n"/>
      <c r="D223" s="181" t="n"/>
      <c r="E223" s="181" t="n"/>
      <c r="F223" s="208" t="n"/>
      <c r="G223" s="208" t="n"/>
      <c r="H223" s="208" t="n"/>
      <c r="I223" s="208" t="n"/>
      <c r="J223" s="208" t="n"/>
      <c r="K223" s="171" t="n"/>
      <c r="L223" s="171" t="n"/>
      <c r="M223" s="171" t="n"/>
      <c r="N223" s="171" t="n"/>
      <c r="O223" s="171" t="n"/>
      <c r="P223" s="171" t="n"/>
      <c r="Q223" s="171" t="n"/>
      <c r="R223" s="171" t="n"/>
      <c r="S223" s="171" t="n"/>
      <c r="T223" s="171" t="n"/>
      <c r="U223" s="171" t="n"/>
      <c r="V223" s="171" t="n"/>
      <c r="W223" s="171" t="n"/>
      <c r="X223" s="171" t="n"/>
      <c r="Y223" s="171" t="n"/>
      <c r="Z223" s="171" t="n"/>
      <c r="AA223" s="171" t="n"/>
      <c r="AB223" s="171" t="n"/>
    </row>
    <row r="224">
      <c r="A224" s="181" t="n"/>
      <c r="B224" s="181" t="n"/>
      <c r="C224" s="181" t="n"/>
      <c r="D224" s="181" t="n"/>
      <c r="E224" s="181" t="n"/>
      <c r="F224" s="208" t="n"/>
      <c r="G224" s="208" t="n"/>
      <c r="H224" s="208" t="n"/>
      <c r="I224" s="208" t="n"/>
      <c r="J224" s="208" t="n"/>
      <c r="K224" s="171" t="n"/>
      <c r="L224" s="171" t="n"/>
      <c r="M224" s="171" t="n"/>
      <c r="N224" s="171" t="n"/>
      <c r="O224" s="171" t="n"/>
      <c r="P224" s="171" t="n"/>
      <c r="Q224" s="171" t="n"/>
      <c r="R224" s="171" t="n"/>
      <c r="S224" s="171" t="n"/>
      <c r="T224" s="171" t="n"/>
      <c r="U224" s="171" t="n"/>
      <c r="V224" s="171" t="n"/>
      <c r="W224" s="171" t="n"/>
      <c r="X224" s="171" t="n"/>
      <c r="Y224" s="171" t="n"/>
      <c r="Z224" s="171" t="n"/>
      <c r="AA224" s="171" t="n"/>
      <c r="AB224" s="171" t="n"/>
    </row>
    <row r="225">
      <c r="A225" s="181" t="n"/>
      <c r="B225" s="181" t="n"/>
      <c r="C225" s="181" t="n"/>
      <c r="D225" s="181" t="n"/>
      <c r="E225" s="181" t="n"/>
      <c r="F225" s="208" t="n"/>
      <c r="G225" s="208" t="n"/>
      <c r="H225" s="208" t="n"/>
      <c r="I225" s="208" t="n"/>
      <c r="J225" s="208" t="n"/>
      <c r="K225" s="171" t="n"/>
      <c r="L225" s="171" t="n"/>
      <c r="M225" s="171" t="n"/>
      <c r="N225" s="171" t="n"/>
      <c r="O225" s="171" t="n"/>
      <c r="P225" s="171" t="n"/>
      <c r="Q225" s="171" t="n"/>
      <c r="R225" s="171" t="n"/>
      <c r="S225" s="171" t="n"/>
      <c r="T225" s="171" t="n"/>
      <c r="U225" s="171" t="n"/>
      <c r="V225" s="171" t="n"/>
      <c r="W225" s="171" t="n"/>
      <c r="X225" s="171" t="n"/>
      <c r="Y225" s="171" t="n"/>
      <c r="Z225" s="171" t="n"/>
      <c r="AA225" s="171" t="n"/>
      <c r="AB225" s="171" t="n"/>
    </row>
    <row r="226">
      <c r="A226" s="181" t="n"/>
      <c r="B226" s="181" t="n"/>
      <c r="C226" s="181" t="n"/>
      <c r="D226" s="181" t="n"/>
      <c r="E226" s="181" t="n"/>
      <c r="F226" s="208" t="n"/>
      <c r="G226" s="208" t="n"/>
      <c r="H226" s="208" t="n"/>
      <c r="I226" s="208" t="n"/>
      <c r="J226" s="208" t="n"/>
      <c r="K226" s="171" t="n"/>
      <c r="L226" s="171" t="n"/>
      <c r="M226" s="171" t="n"/>
      <c r="N226" s="171" t="n"/>
      <c r="O226" s="171" t="n"/>
      <c r="P226" s="171" t="n"/>
      <c r="Q226" s="171" t="n"/>
      <c r="R226" s="171" t="n"/>
      <c r="S226" s="171" t="n"/>
      <c r="T226" s="171" t="n"/>
      <c r="U226" s="171" t="n"/>
      <c r="V226" s="171" t="n"/>
      <c r="W226" s="171" t="n"/>
      <c r="X226" s="171" t="n"/>
      <c r="Y226" s="171" t="n"/>
      <c r="Z226" s="171" t="n"/>
      <c r="AA226" s="171" t="n"/>
      <c r="AB226" s="171" t="n"/>
    </row>
    <row r="227">
      <c r="A227" s="181" t="n"/>
      <c r="B227" s="181" t="n"/>
      <c r="C227" s="181" t="n"/>
      <c r="D227" s="181" t="n"/>
      <c r="E227" s="181" t="n"/>
      <c r="F227" s="208" t="n"/>
      <c r="G227" s="208" t="n"/>
      <c r="H227" s="208" t="n"/>
      <c r="I227" s="208" t="n"/>
      <c r="J227" s="208" t="n"/>
      <c r="K227" s="171" t="n"/>
      <c r="L227" s="171" t="n"/>
      <c r="M227" s="171" t="n"/>
      <c r="N227" s="171" t="n"/>
      <c r="O227" s="171" t="n"/>
      <c r="P227" s="171" t="n"/>
      <c r="Q227" s="171" t="n"/>
      <c r="R227" s="171" t="n"/>
      <c r="S227" s="171" t="n"/>
      <c r="T227" s="171" t="n"/>
      <c r="U227" s="171" t="n"/>
      <c r="V227" s="171" t="n"/>
      <c r="W227" s="171" t="n"/>
      <c r="X227" s="171" t="n"/>
      <c r="Y227" s="171" t="n"/>
      <c r="Z227" s="171" t="n"/>
      <c r="AA227" s="171" t="n"/>
      <c r="AB227" s="171" t="n"/>
    </row>
    <row r="228">
      <c r="A228" s="181" t="n"/>
      <c r="B228" s="181" t="n"/>
      <c r="C228" s="181" t="n"/>
      <c r="D228" s="181" t="n"/>
      <c r="E228" s="181" t="n"/>
      <c r="F228" s="208" t="n"/>
      <c r="G228" s="208" t="n"/>
      <c r="H228" s="208" t="n"/>
      <c r="I228" s="208" t="n"/>
      <c r="J228" s="208" t="n"/>
      <c r="K228" s="171" t="n"/>
      <c r="L228" s="171" t="n"/>
      <c r="M228" s="171" t="n"/>
      <c r="N228" s="171" t="n"/>
      <c r="O228" s="171" t="n"/>
      <c r="P228" s="171" t="n"/>
      <c r="Q228" s="171" t="n"/>
      <c r="R228" s="171" t="n"/>
      <c r="S228" s="171" t="n"/>
      <c r="T228" s="171" t="n"/>
      <c r="U228" s="171" t="n"/>
      <c r="V228" s="171" t="n"/>
      <c r="W228" s="171" t="n"/>
      <c r="X228" s="171" t="n"/>
      <c r="Y228" s="171" t="n"/>
      <c r="Z228" s="171" t="n"/>
      <c r="AA228" s="171" t="n"/>
      <c r="AB228" s="171" t="n"/>
    </row>
    <row r="229">
      <c r="A229" s="181" t="n"/>
      <c r="B229" s="181" t="n"/>
      <c r="C229" s="181" t="n"/>
      <c r="D229" s="181" t="n"/>
      <c r="E229" s="181" t="n"/>
      <c r="F229" s="208" t="n"/>
      <c r="G229" s="208" t="n"/>
      <c r="H229" s="208" t="n"/>
      <c r="I229" s="208" t="n"/>
      <c r="J229" s="208" t="n"/>
      <c r="K229" s="171" t="n"/>
      <c r="L229" s="171" t="n"/>
      <c r="M229" s="171" t="n"/>
      <c r="N229" s="171" t="n"/>
      <c r="O229" s="171" t="n"/>
      <c r="P229" s="171" t="n"/>
      <c r="Q229" s="171" t="n"/>
      <c r="R229" s="171" t="n"/>
      <c r="S229" s="171" t="n"/>
      <c r="T229" s="171" t="n"/>
      <c r="U229" s="171" t="n"/>
      <c r="V229" s="171" t="n"/>
      <c r="W229" s="171" t="n"/>
      <c r="X229" s="171" t="n"/>
      <c r="Y229" s="171" t="n"/>
      <c r="Z229" s="171" t="n"/>
      <c r="AA229" s="171" t="n"/>
      <c r="AB229" s="171" t="n"/>
    </row>
    <row r="230">
      <c r="A230" s="181" t="n"/>
      <c r="B230" s="181" t="n"/>
      <c r="C230" s="181" t="n"/>
      <c r="D230" s="181" t="n"/>
      <c r="E230" s="181" t="n"/>
      <c r="F230" s="208" t="n"/>
      <c r="G230" s="208" t="n"/>
      <c r="H230" s="208" t="n"/>
      <c r="I230" s="208" t="n"/>
      <c r="J230" s="208" t="n"/>
      <c r="K230" s="171" t="n"/>
      <c r="L230" s="171" t="n"/>
      <c r="M230" s="171" t="n"/>
      <c r="N230" s="171" t="n"/>
      <c r="O230" s="171" t="n"/>
      <c r="P230" s="171" t="n"/>
      <c r="Q230" s="171" t="n"/>
      <c r="R230" s="171" t="n"/>
      <c r="S230" s="171" t="n"/>
      <c r="T230" s="171" t="n"/>
      <c r="U230" s="171" t="n"/>
      <c r="V230" s="171" t="n"/>
      <c r="W230" s="171" t="n"/>
      <c r="X230" s="171" t="n"/>
      <c r="Y230" s="171" t="n"/>
      <c r="Z230" s="171" t="n"/>
      <c r="AA230" s="171" t="n"/>
      <c r="AB230" s="171" t="n"/>
    </row>
    <row r="231">
      <c r="A231" s="181" t="n"/>
      <c r="B231" s="181" t="n"/>
      <c r="C231" s="181" t="n"/>
      <c r="D231" s="181" t="n"/>
      <c r="E231" s="181" t="n"/>
      <c r="F231" s="208" t="n"/>
      <c r="G231" s="208" t="n"/>
      <c r="H231" s="208" t="n"/>
      <c r="I231" s="208" t="n"/>
      <c r="J231" s="208" t="n"/>
      <c r="K231" s="171" t="n"/>
      <c r="L231" s="171" t="n"/>
      <c r="M231" s="171" t="n"/>
      <c r="N231" s="171" t="n"/>
      <c r="O231" s="171" t="n"/>
      <c r="P231" s="171" t="n"/>
      <c r="Q231" s="171" t="n"/>
      <c r="R231" s="171" t="n"/>
      <c r="S231" s="171" t="n"/>
      <c r="T231" s="171" t="n"/>
      <c r="U231" s="171" t="n"/>
      <c r="V231" s="171" t="n"/>
      <c r="W231" s="171" t="n"/>
      <c r="X231" s="171" t="n"/>
      <c r="Y231" s="171" t="n"/>
      <c r="Z231" s="171" t="n"/>
      <c r="AA231" s="171" t="n"/>
      <c r="AB231" s="171" t="n"/>
    </row>
    <row r="232">
      <c r="A232" s="181" t="n"/>
      <c r="B232" s="181" t="n"/>
      <c r="C232" s="181" t="n"/>
      <c r="D232" s="181" t="n"/>
      <c r="E232" s="181" t="n"/>
      <c r="F232" s="208" t="n"/>
      <c r="G232" s="208" t="n"/>
      <c r="H232" s="208" t="n"/>
      <c r="I232" s="208" t="n"/>
      <c r="J232" s="208" t="n"/>
      <c r="K232" s="171" t="n"/>
      <c r="L232" s="171" t="n"/>
      <c r="M232" s="171" t="n"/>
      <c r="N232" s="171" t="n"/>
      <c r="O232" s="171" t="n"/>
      <c r="P232" s="171" t="n"/>
      <c r="Q232" s="171" t="n"/>
      <c r="R232" s="171" t="n"/>
      <c r="S232" s="171" t="n"/>
      <c r="T232" s="171" t="n"/>
      <c r="U232" s="171" t="n"/>
      <c r="V232" s="171" t="n"/>
      <c r="W232" s="171" t="n"/>
      <c r="X232" s="171" t="n"/>
      <c r="Y232" s="171" t="n"/>
      <c r="Z232" s="171" t="n"/>
      <c r="AA232" s="171" t="n"/>
      <c r="AB232" s="171" t="n"/>
    </row>
    <row r="233">
      <c r="A233" s="181" t="n"/>
      <c r="B233" s="181" t="n"/>
      <c r="C233" s="181" t="n"/>
      <c r="D233" s="181" t="n"/>
      <c r="E233" s="181" t="n"/>
      <c r="F233" s="208" t="n"/>
      <c r="G233" s="208" t="n"/>
      <c r="H233" s="208" t="n"/>
      <c r="I233" s="208" t="n"/>
      <c r="J233" s="208" t="n"/>
      <c r="K233" s="171" t="n"/>
      <c r="L233" s="171" t="n"/>
      <c r="M233" s="171" t="n"/>
      <c r="N233" s="171" t="n"/>
      <c r="O233" s="171" t="n"/>
      <c r="P233" s="171" t="n"/>
      <c r="Q233" s="171" t="n"/>
      <c r="R233" s="171" t="n"/>
      <c r="S233" s="171" t="n"/>
      <c r="T233" s="171" t="n"/>
      <c r="U233" s="171" t="n"/>
      <c r="V233" s="171" t="n"/>
      <c r="W233" s="171" t="n"/>
      <c r="X233" s="171" t="n"/>
      <c r="Y233" s="171" t="n"/>
      <c r="Z233" s="171" t="n"/>
      <c r="AA233" s="171" t="n"/>
      <c r="AB233" s="171" t="n"/>
    </row>
    <row r="234">
      <c r="A234" s="181" t="n"/>
      <c r="B234" s="181" t="n"/>
      <c r="C234" s="181" t="n"/>
      <c r="D234" s="181" t="n"/>
      <c r="E234" s="181" t="n"/>
      <c r="F234" s="208" t="n"/>
      <c r="G234" s="208" t="n"/>
      <c r="H234" s="208" t="n"/>
      <c r="I234" s="208" t="n"/>
      <c r="J234" s="208" t="n"/>
      <c r="K234" s="171" t="n"/>
      <c r="L234" s="171" t="n"/>
      <c r="M234" s="171" t="n"/>
      <c r="N234" s="171" t="n"/>
      <c r="O234" s="171" t="n"/>
      <c r="P234" s="171" t="n"/>
      <c r="Q234" s="171" t="n"/>
      <c r="R234" s="171" t="n"/>
      <c r="S234" s="171" t="n"/>
      <c r="T234" s="171" t="n"/>
      <c r="U234" s="171" t="n"/>
      <c r="V234" s="171" t="n"/>
      <c r="W234" s="171" t="n"/>
      <c r="X234" s="171" t="n"/>
      <c r="Y234" s="171" t="n"/>
      <c r="Z234" s="171" t="n"/>
      <c r="AA234" s="171" t="n"/>
      <c r="AB234" s="171" t="n"/>
    </row>
    <row r="235">
      <c r="A235" s="181" t="n"/>
      <c r="B235" s="181" t="n"/>
      <c r="C235" s="181" t="n"/>
      <c r="D235" s="181" t="n"/>
      <c r="E235" s="181" t="n"/>
      <c r="F235" s="208" t="n"/>
      <c r="G235" s="208" t="n"/>
      <c r="H235" s="208" t="n"/>
      <c r="I235" s="208" t="n"/>
      <c r="J235" s="208" t="n"/>
      <c r="K235" s="171" t="n"/>
      <c r="L235" s="171" t="n"/>
      <c r="M235" s="171" t="n"/>
      <c r="N235" s="171" t="n"/>
      <c r="O235" s="171" t="n"/>
      <c r="P235" s="171" t="n"/>
      <c r="Q235" s="171" t="n"/>
      <c r="R235" s="171" t="n"/>
      <c r="S235" s="171" t="n"/>
      <c r="T235" s="171" t="n"/>
      <c r="U235" s="171" t="n"/>
      <c r="V235" s="171" t="n"/>
      <c r="W235" s="171" t="n"/>
      <c r="X235" s="171" t="n"/>
      <c r="Y235" s="171" t="n"/>
      <c r="Z235" s="171" t="n"/>
      <c r="AA235" s="171" t="n"/>
      <c r="AB235" s="171" t="n"/>
    </row>
    <row r="236">
      <c r="A236" s="181" t="n"/>
      <c r="B236" s="181" t="n"/>
      <c r="C236" s="181" t="n"/>
      <c r="D236" s="181" t="n"/>
      <c r="E236" s="181" t="n"/>
      <c r="F236" s="208" t="n"/>
      <c r="G236" s="208" t="n"/>
      <c r="H236" s="208" t="n"/>
      <c r="I236" s="208" t="n"/>
      <c r="J236" s="208" t="n"/>
      <c r="K236" s="171" t="n"/>
      <c r="L236" s="171" t="n"/>
      <c r="M236" s="171" t="n"/>
      <c r="N236" s="171" t="n"/>
      <c r="O236" s="171" t="n"/>
      <c r="P236" s="171" t="n"/>
      <c r="Q236" s="171" t="n"/>
      <c r="R236" s="171" t="n"/>
      <c r="S236" s="171" t="n"/>
      <c r="T236" s="171" t="n"/>
      <c r="U236" s="171" t="n"/>
      <c r="V236" s="171" t="n"/>
      <c r="W236" s="171" t="n"/>
      <c r="X236" s="171" t="n"/>
      <c r="Y236" s="171" t="n"/>
      <c r="Z236" s="171" t="n"/>
      <c r="AA236" s="171" t="n"/>
      <c r="AB236" s="171" t="n"/>
    </row>
    <row r="237">
      <c r="A237" s="181" t="n"/>
      <c r="B237" s="181" t="n"/>
      <c r="C237" s="181" t="n"/>
      <c r="D237" s="181" t="n"/>
      <c r="E237" s="181" t="n"/>
      <c r="F237" s="208" t="n"/>
      <c r="G237" s="208" t="n"/>
      <c r="H237" s="208" t="n"/>
      <c r="I237" s="208" t="n"/>
      <c r="J237" s="208" t="n"/>
      <c r="K237" s="171" t="n"/>
      <c r="L237" s="171" t="n"/>
      <c r="M237" s="171" t="n"/>
      <c r="N237" s="171" t="n"/>
      <c r="O237" s="171" t="n"/>
      <c r="P237" s="171" t="n"/>
      <c r="Q237" s="171" t="n"/>
      <c r="R237" s="171" t="n"/>
      <c r="S237" s="171" t="n"/>
      <c r="T237" s="171" t="n"/>
      <c r="U237" s="171" t="n"/>
      <c r="V237" s="171" t="n"/>
      <c r="W237" s="171" t="n"/>
      <c r="X237" s="171" t="n"/>
      <c r="Y237" s="171" t="n"/>
      <c r="Z237" s="171" t="n"/>
      <c r="AA237" s="171" t="n"/>
      <c r="AB237" s="171" t="n"/>
    </row>
    <row r="238">
      <c r="A238" s="181" t="n"/>
      <c r="B238" s="181" t="n"/>
      <c r="C238" s="181" t="n"/>
      <c r="D238" s="181" t="n"/>
      <c r="E238" s="181" t="n"/>
      <c r="F238" s="208" t="n"/>
      <c r="G238" s="208" t="n"/>
      <c r="H238" s="208" t="n"/>
      <c r="I238" s="208" t="n"/>
      <c r="J238" s="208" t="n"/>
      <c r="K238" s="171" t="n"/>
      <c r="L238" s="171" t="n"/>
      <c r="M238" s="171" t="n"/>
      <c r="N238" s="171" t="n"/>
      <c r="O238" s="171" t="n"/>
      <c r="P238" s="171" t="n"/>
      <c r="Q238" s="171" t="n"/>
      <c r="R238" s="171" t="n"/>
      <c r="S238" s="171" t="n"/>
      <c r="T238" s="171" t="n"/>
      <c r="U238" s="171" t="n"/>
      <c r="V238" s="171" t="n"/>
      <c r="W238" s="171" t="n"/>
      <c r="X238" s="171" t="n"/>
      <c r="Y238" s="171" t="n"/>
      <c r="Z238" s="171" t="n"/>
      <c r="AA238" s="171" t="n"/>
      <c r="AB238" s="171" t="n"/>
    </row>
    <row r="239">
      <c r="A239" s="181" t="n"/>
      <c r="B239" s="181" t="n"/>
      <c r="C239" s="181" t="n"/>
      <c r="D239" s="181" t="n"/>
      <c r="E239" s="181" t="n"/>
      <c r="F239" s="208" t="n"/>
      <c r="G239" s="208" t="n"/>
      <c r="H239" s="208" t="n"/>
      <c r="I239" s="208" t="n"/>
      <c r="J239" s="208" t="n"/>
      <c r="K239" s="171" t="n"/>
      <c r="L239" s="171" t="n"/>
      <c r="M239" s="171" t="n"/>
      <c r="N239" s="171" t="n"/>
      <c r="O239" s="171" t="n"/>
      <c r="P239" s="171" t="n"/>
      <c r="Q239" s="171" t="n"/>
      <c r="R239" s="171" t="n"/>
      <c r="S239" s="171" t="n"/>
      <c r="T239" s="171" t="n"/>
      <c r="U239" s="171" t="n"/>
      <c r="V239" s="171" t="n"/>
      <c r="W239" s="171" t="n"/>
      <c r="X239" s="171" t="n"/>
      <c r="Y239" s="171" t="n"/>
      <c r="Z239" s="171" t="n"/>
      <c r="AA239" s="171" t="n"/>
      <c r="AB239" s="171" t="n"/>
    </row>
    <row r="240">
      <c r="A240" s="181" t="n"/>
      <c r="B240" s="181" t="n"/>
      <c r="C240" s="181" t="n"/>
      <c r="D240" s="181" t="n"/>
      <c r="E240" s="181" t="n"/>
      <c r="F240" s="208" t="n"/>
      <c r="G240" s="208" t="n"/>
      <c r="H240" s="208" t="n"/>
      <c r="I240" s="208" t="n"/>
      <c r="J240" s="208" t="n"/>
      <c r="K240" s="171" t="n"/>
      <c r="L240" s="171" t="n"/>
      <c r="M240" s="171" t="n"/>
      <c r="N240" s="171" t="n"/>
      <c r="O240" s="171" t="n"/>
      <c r="P240" s="171" t="n"/>
      <c r="Q240" s="171" t="n"/>
      <c r="R240" s="171" t="n"/>
      <c r="S240" s="171" t="n"/>
      <c r="T240" s="171" t="n"/>
      <c r="U240" s="171" t="n"/>
      <c r="V240" s="171" t="n"/>
      <c r="W240" s="171" t="n"/>
      <c r="X240" s="171" t="n"/>
      <c r="Y240" s="171" t="n"/>
      <c r="Z240" s="171" t="n"/>
      <c r="AA240" s="171" t="n"/>
      <c r="AB240" s="171" t="n"/>
    </row>
    <row r="241">
      <c r="A241" s="181" t="n"/>
      <c r="B241" s="181" t="n"/>
      <c r="C241" s="181" t="n"/>
      <c r="D241" s="181" t="n"/>
      <c r="E241" s="181" t="n"/>
      <c r="F241" s="208" t="n"/>
      <c r="G241" s="208" t="n"/>
      <c r="H241" s="208" t="n"/>
      <c r="I241" s="208" t="n"/>
      <c r="J241" s="208" t="n"/>
      <c r="K241" s="171" t="n"/>
      <c r="L241" s="171" t="n"/>
      <c r="M241" s="171" t="n"/>
      <c r="N241" s="171" t="n"/>
      <c r="O241" s="171" t="n"/>
      <c r="P241" s="171" t="n"/>
      <c r="Q241" s="171" t="n"/>
      <c r="R241" s="171" t="n"/>
      <c r="S241" s="171" t="n"/>
      <c r="T241" s="171" t="n"/>
      <c r="U241" s="171" t="n"/>
      <c r="V241" s="171" t="n"/>
      <c r="W241" s="171" t="n"/>
      <c r="X241" s="171" t="n"/>
      <c r="Y241" s="171" t="n"/>
      <c r="Z241" s="171" t="n"/>
      <c r="AA241" s="171" t="n"/>
      <c r="AB241" s="171" t="n"/>
    </row>
    <row r="242">
      <c r="A242" s="181" t="n"/>
      <c r="B242" s="181" t="n"/>
      <c r="C242" s="181" t="n"/>
      <c r="D242" s="181" t="n"/>
      <c r="E242" s="181" t="n"/>
      <c r="F242" s="208" t="n"/>
      <c r="G242" s="208" t="n"/>
      <c r="H242" s="208" t="n"/>
      <c r="I242" s="208" t="n"/>
      <c r="J242" s="208" t="n"/>
      <c r="K242" s="171" t="n"/>
      <c r="L242" s="171" t="n"/>
      <c r="M242" s="171" t="n"/>
      <c r="N242" s="171" t="n"/>
      <c r="O242" s="171" t="n"/>
      <c r="P242" s="171" t="n"/>
      <c r="Q242" s="171" t="n"/>
      <c r="R242" s="171" t="n"/>
      <c r="S242" s="171" t="n"/>
      <c r="T242" s="171" t="n"/>
      <c r="U242" s="171" t="n"/>
      <c r="V242" s="171" t="n"/>
      <c r="W242" s="171" t="n"/>
      <c r="X242" s="171" t="n"/>
      <c r="Y242" s="171" t="n"/>
      <c r="Z242" s="171" t="n"/>
      <c r="AA242" s="171" t="n"/>
      <c r="AB242" s="171" t="n"/>
    </row>
    <row r="243">
      <c r="A243" s="181" t="n"/>
      <c r="B243" s="181" t="n"/>
      <c r="C243" s="181" t="n"/>
      <c r="D243" s="181" t="n"/>
      <c r="E243" s="181" t="n"/>
      <c r="F243" s="208" t="n"/>
      <c r="G243" s="208" t="n"/>
      <c r="H243" s="208" t="n"/>
      <c r="I243" s="208" t="n"/>
      <c r="J243" s="208" t="n"/>
      <c r="K243" s="171" t="n"/>
      <c r="L243" s="171" t="n"/>
      <c r="M243" s="171" t="n"/>
      <c r="N243" s="171" t="n"/>
      <c r="O243" s="171" t="n"/>
      <c r="P243" s="171" t="n"/>
      <c r="Q243" s="171" t="n"/>
      <c r="R243" s="171" t="n"/>
      <c r="S243" s="171" t="n"/>
      <c r="T243" s="171" t="n"/>
      <c r="U243" s="171" t="n"/>
      <c r="V243" s="171" t="n"/>
      <c r="W243" s="171" t="n"/>
      <c r="X243" s="171" t="n"/>
      <c r="Y243" s="171" t="n"/>
      <c r="Z243" s="171" t="n"/>
      <c r="AA243" s="171" t="n"/>
      <c r="AB243" s="171" t="n"/>
    </row>
    <row r="244">
      <c r="A244" s="181" t="n"/>
      <c r="B244" s="181" t="n"/>
      <c r="C244" s="181" t="n"/>
      <c r="D244" s="181" t="n"/>
      <c r="E244" s="181" t="n"/>
      <c r="F244" s="208" t="n"/>
      <c r="G244" s="208" t="n"/>
      <c r="H244" s="208" t="n"/>
      <c r="I244" s="208" t="n"/>
      <c r="J244" s="208" t="n"/>
      <c r="K244" s="171" t="n"/>
      <c r="L244" s="171" t="n"/>
      <c r="M244" s="171" t="n"/>
      <c r="N244" s="171" t="n"/>
      <c r="O244" s="171" t="n"/>
      <c r="P244" s="171" t="n"/>
      <c r="Q244" s="171" t="n"/>
      <c r="R244" s="171" t="n"/>
      <c r="S244" s="171" t="n"/>
      <c r="T244" s="171" t="n"/>
      <c r="U244" s="171" t="n"/>
      <c r="V244" s="171" t="n"/>
      <c r="W244" s="171" t="n"/>
      <c r="X244" s="171" t="n"/>
      <c r="Y244" s="171" t="n"/>
      <c r="Z244" s="171" t="n"/>
      <c r="AA244" s="171" t="n"/>
      <c r="AB244" s="171" t="n"/>
    </row>
    <row r="245">
      <c r="A245" s="181" t="n"/>
      <c r="B245" s="181" t="n"/>
      <c r="C245" s="181" t="n"/>
      <c r="D245" s="181" t="n"/>
      <c r="E245" s="181" t="n"/>
      <c r="F245" s="208" t="n"/>
      <c r="G245" s="208" t="n"/>
      <c r="H245" s="208" t="n"/>
      <c r="I245" s="208" t="n"/>
      <c r="J245" s="208" t="n"/>
      <c r="K245" s="171" t="n"/>
      <c r="L245" s="171" t="n"/>
      <c r="M245" s="171" t="n"/>
      <c r="N245" s="171" t="n"/>
      <c r="O245" s="171" t="n"/>
      <c r="P245" s="171" t="n"/>
      <c r="Q245" s="171" t="n"/>
      <c r="R245" s="171" t="n"/>
      <c r="S245" s="171" t="n"/>
      <c r="T245" s="171" t="n"/>
      <c r="U245" s="171" t="n"/>
      <c r="V245" s="171" t="n"/>
      <c r="W245" s="171" t="n"/>
      <c r="X245" s="171" t="n"/>
      <c r="Y245" s="171" t="n"/>
      <c r="Z245" s="171" t="n"/>
      <c r="AA245" s="171" t="n"/>
      <c r="AB245" s="171" t="n"/>
    </row>
    <row r="246">
      <c r="A246" s="181" t="n"/>
      <c r="B246" s="181" t="n"/>
      <c r="C246" s="181" t="n"/>
      <c r="D246" s="181" t="n"/>
      <c r="E246" s="181" t="n"/>
      <c r="F246" s="208" t="n"/>
      <c r="G246" s="208" t="n"/>
      <c r="H246" s="208" t="n"/>
      <c r="I246" s="208" t="n"/>
      <c r="J246" s="208" t="n"/>
      <c r="K246" s="171" t="n"/>
      <c r="L246" s="171" t="n"/>
      <c r="M246" s="171" t="n"/>
      <c r="N246" s="171" t="n"/>
      <c r="O246" s="171" t="n"/>
      <c r="P246" s="171" t="n"/>
      <c r="Q246" s="171" t="n"/>
      <c r="R246" s="171" t="n"/>
      <c r="S246" s="171" t="n"/>
      <c r="T246" s="171" t="n"/>
      <c r="U246" s="171" t="n"/>
      <c r="V246" s="171" t="n"/>
      <c r="W246" s="171" t="n"/>
      <c r="X246" s="171" t="n"/>
      <c r="Y246" s="171" t="n"/>
      <c r="Z246" s="171" t="n"/>
      <c r="AA246" s="171" t="n"/>
      <c r="AB246" s="171" t="n"/>
    </row>
    <row r="247">
      <c r="A247" s="181" t="n"/>
      <c r="B247" s="181" t="n"/>
      <c r="C247" s="181" t="n"/>
      <c r="D247" s="181" t="n"/>
      <c r="E247" s="181" t="n"/>
      <c r="F247" s="208" t="n"/>
      <c r="G247" s="208" t="n"/>
      <c r="H247" s="208" t="n"/>
      <c r="I247" s="208" t="n"/>
      <c r="J247" s="208" t="n"/>
      <c r="K247" s="171" t="n"/>
      <c r="L247" s="171" t="n"/>
      <c r="M247" s="171" t="n"/>
      <c r="N247" s="171" t="n"/>
      <c r="O247" s="171" t="n"/>
      <c r="P247" s="171" t="n"/>
      <c r="Q247" s="171" t="n"/>
      <c r="R247" s="171" t="n"/>
      <c r="S247" s="171" t="n"/>
      <c r="T247" s="171" t="n"/>
      <c r="U247" s="171" t="n"/>
      <c r="V247" s="171" t="n"/>
      <c r="W247" s="171" t="n"/>
      <c r="X247" s="171" t="n"/>
      <c r="Y247" s="171" t="n"/>
      <c r="Z247" s="171" t="n"/>
      <c r="AA247" s="171" t="n"/>
      <c r="AB247" s="171" t="n"/>
    </row>
    <row r="248">
      <c r="A248" s="181" t="n"/>
      <c r="B248" s="181" t="n"/>
      <c r="C248" s="181" t="n"/>
      <c r="D248" s="181" t="n"/>
      <c r="E248" s="181" t="n"/>
      <c r="F248" s="208" t="n"/>
      <c r="G248" s="208" t="n"/>
      <c r="H248" s="208" t="n"/>
      <c r="I248" s="208" t="n"/>
      <c r="J248" s="208" t="n"/>
      <c r="K248" s="171" t="n"/>
      <c r="L248" s="171" t="n"/>
      <c r="M248" s="171" t="n"/>
      <c r="N248" s="171" t="n"/>
      <c r="O248" s="171" t="n"/>
      <c r="P248" s="171" t="n"/>
      <c r="Q248" s="171" t="n"/>
      <c r="R248" s="171" t="n"/>
      <c r="S248" s="171" t="n"/>
      <c r="T248" s="171" t="n"/>
      <c r="U248" s="171" t="n"/>
      <c r="V248" s="171" t="n"/>
      <c r="W248" s="171" t="n"/>
      <c r="X248" s="171" t="n"/>
      <c r="Y248" s="171" t="n"/>
      <c r="Z248" s="171" t="n"/>
      <c r="AA248" s="171" t="n"/>
      <c r="AB248" s="171" t="n"/>
    </row>
    <row r="249">
      <c r="A249" s="181" t="n"/>
      <c r="B249" s="181" t="n"/>
      <c r="C249" s="181" t="n"/>
      <c r="D249" s="181" t="n"/>
      <c r="E249" s="181" t="n"/>
      <c r="F249" s="208" t="n"/>
      <c r="G249" s="208" t="n"/>
      <c r="H249" s="208" t="n"/>
      <c r="I249" s="208" t="n"/>
      <c r="J249" s="208" t="n"/>
      <c r="K249" s="171" t="n"/>
      <c r="L249" s="171" t="n"/>
      <c r="M249" s="171" t="n"/>
      <c r="N249" s="171" t="n"/>
      <c r="O249" s="171" t="n"/>
      <c r="P249" s="171" t="n"/>
      <c r="Q249" s="171" t="n"/>
      <c r="R249" s="171" t="n"/>
      <c r="S249" s="171" t="n"/>
      <c r="T249" s="171" t="n"/>
      <c r="U249" s="171" t="n"/>
      <c r="V249" s="171" t="n"/>
      <c r="W249" s="171" t="n"/>
      <c r="X249" s="171" t="n"/>
      <c r="Y249" s="171" t="n"/>
      <c r="Z249" s="171" t="n"/>
      <c r="AA249" s="171" t="n"/>
      <c r="AB249" s="171" t="n"/>
    </row>
    <row r="250">
      <c r="A250" s="181" t="n"/>
      <c r="B250" s="181" t="n"/>
      <c r="C250" s="181" t="n"/>
      <c r="D250" s="181" t="n"/>
      <c r="E250" s="181" t="n"/>
      <c r="F250" s="208" t="n"/>
      <c r="G250" s="208" t="n"/>
      <c r="H250" s="208" t="n"/>
      <c r="I250" s="208" t="n"/>
      <c r="J250" s="208" t="n"/>
      <c r="K250" s="171" t="n"/>
      <c r="L250" s="171" t="n"/>
      <c r="M250" s="171" t="n"/>
      <c r="N250" s="171" t="n"/>
      <c r="O250" s="171" t="n"/>
      <c r="P250" s="171" t="n"/>
      <c r="Q250" s="171" t="n"/>
      <c r="R250" s="171" t="n"/>
      <c r="S250" s="171" t="n"/>
      <c r="T250" s="171" t="n"/>
      <c r="U250" s="171" t="n"/>
      <c r="V250" s="171" t="n"/>
      <c r="W250" s="171" t="n"/>
      <c r="X250" s="171" t="n"/>
      <c r="Y250" s="171" t="n"/>
      <c r="Z250" s="171" t="n"/>
      <c r="AA250" s="171" t="n"/>
      <c r="AB250" s="171" t="n"/>
    </row>
    <row r="251">
      <c r="A251" s="181" t="n"/>
      <c r="B251" s="181" t="n"/>
      <c r="C251" s="181" t="n"/>
      <c r="D251" s="181" t="n"/>
      <c r="E251" s="181" t="n"/>
      <c r="F251" s="208" t="n"/>
      <c r="G251" s="208" t="n"/>
      <c r="H251" s="208" t="n"/>
      <c r="I251" s="208" t="n"/>
      <c r="J251" s="208" t="n"/>
      <c r="K251" s="171" t="n"/>
      <c r="L251" s="171" t="n"/>
      <c r="M251" s="171" t="n"/>
      <c r="N251" s="171" t="n"/>
      <c r="O251" s="171" t="n"/>
      <c r="P251" s="171" t="n"/>
      <c r="Q251" s="171" t="n"/>
      <c r="R251" s="171" t="n"/>
      <c r="S251" s="171" t="n"/>
      <c r="T251" s="171" t="n"/>
      <c r="U251" s="171" t="n"/>
      <c r="V251" s="171" t="n"/>
      <c r="W251" s="171" t="n"/>
      <c r="X251" s="171" t="n"/>
      <c r="Y251" s="171" t="n"/>
      <c r="Z251" s="171" t="n"/>
      <c r="AA251" s="171" t="n"/>
      <c r="AB251" s="171" t="n"/>
    </row>
    <row r="252">
      <c r="A252" s="181" t="n"/>
      <c r="B252" s="181" t="n"/>
      <c r="C252" s="181" t="n"/>
      <c r="D252" s="181" t="n"/>
      <c r="E252" s="181" t="n"/>
      <c r="F252" s="208" t="n"/>
      <c r="G252" s="208" t="n"/>
      <c r="H252" s="208" t="n"/>
      <c r="I252" s="208" t="n"/>
      <c r="J252" s="208" t="n"/>
      <c r="K252" s="171" t="n"/>
      <c r="L252" s="171" t="n"/>
      <c r="M252" s="171" t="n"/>
      <c r="N252" s="171" t="n"/>
      <c r="O252" s="171" t="n"/>
      <c r="P252" s="171" t="n"/>
      <c r="Q252" s="171" t="n"/>
      <c r="R252" s="171" t="n"/>
      <c r="S252" s="171" t="n"/>
      <c r="T252" s="171" t="n"/>
      <c r="U252" s="171" t="n"/>
      <c r="V252" s="171" t="n"/>
      <c r="W252" s="171" t="n"/>
      <c r="X252" s="171" t="n"/>
      <c r="Y252" s="171" t="n"/>
      <c r="Z252" s="171" t="n"/>
      <c r="AA252" s="171" t="n"/>
      <c r="AB252" s="171" t="n"/>
    </row>
    <row r="253">
      <c r="A253" s="181" t="n"/>
      <c r="B253" s="181" t="n"/>
      <c r="C253" s="181" t="n"/>
      <c r="D253" s="181" t="n"/>
      <c r="E253" s="181" t="n"/>
      <c r="F253" s="208" t="n"/>
      <c r="G253" s="208" t="n"/>
      <c r="H253" s="208" t="n"/>
      <c r="I253" s="208" t="n"/>
      <c r="J253" s="208" t="n"/>
      <c r="K253" s="171" t="n"/>
      <c r="L253" s="171" t="n"/>
      <c r="M253" s="171" t="n"/>
      <c r="N253" s="171" t="n"/>
      <c r="O253" s="171" t="n"/>
      <c r="P253" s="171" t="n"/>
      <c r="Q253" s="171" t="n"/>
      <c r="R253" s="171" t="n"/>
      <c r="S253" s="171" t="n"/>
      <c r="T253" s="171" t="n"/>
      <c r="U253" s="171" t="n"/>
      <c r="V253" s="171" t="n"/>
      <c r="W253" s="171" t="n"/>
      <c r="X253" s="171" t="n"/>
      <c r="Y253" s="171" t="n"/>
      <c r="Z253" s="171" t="n"/>
      <c r="AA253" s="171" t="n"/>
      <c r="AB253" s="171" t="n"/>
    </row>
    <row r="254">
      <c r="A254" s="181" t="n"/>
      <c r="B254" s="181" t="n"/>
      <c r="C254" s="181" t="n"/>
      <c r="D254" s="181" t="n"/>
      <c r="E254" s="181" t="n"/>
      <c r="F254" s="208" t="n"/>
      <c r="G254" s="208" t="n"/>
      <c r="H254" s="208" t="n"/>
      <c r="I254" s="208" t="n"/>
      <c r="J254" s="208" t="n"/>
      <c r="K254" s="171" t="n"/>
      <c r="L254" s="171" t="n"/>
      <c r="M254" s="171" t="n"/>
      <c r="N254" s="171" t="n"/>
      <c r="O254" s="171" t="n"/>
      <c r="P254" s="171" t="n"/>
      <c r="Q254" s="171" t="n"/>
      <c r="R254" s="171" t="n"/>
      <c r="S254" s="171" t="n"/>
      <c r="T254" s="171" t="n"/>
      <c r="U254" s="171" t="n"/>
      <c r="V254" s="171" t="n"/>
      <c r="W254" s="171" t="n"/>
      <c r="X254" s="171" t="n"/>
      <c r="Y254" s="171" t="n"/>
      <c r="Z254" s="171" t="n"/>
      <c r="AA254" s="171" t="n"/>
      <c r="AB254" s="171" t="n"/>
    </row>
    <row r="255">
      <c r="A255" s="181" t="n"/>
      <c r="B255" s="181" t="n"/>
      <c r="C255" s="181" t="n"/>
      <c r="D255" s="181" t="n"/>
      <c r="E255" s="181" t="n"/>
      <c r="F255" s="208" t="n"/>
      <c r="G255" s="208" t="n"/>
      <c r="H255" s="208" t="n"/>
      <c r="I255" s="208" t="n"/>
      <c r="J255" s="208" t="n"/>
      <c r="K255" s="171" t="n"/>
      <c r="L255" s="171" t="n"/>
      <c r="M255" s="171" t="n"/>
      <c r="N255" s="171" t="n"/>
      <c r="O255" s="171" t="n"/>
      <c r="P255" s="171" t="n"/>
      <c r="Q255" s="171" t="n"/>
      <c r="R255" s="171" t="n"/>
      <c r="S255" s="171" t="n"/>
      <c r="T255" s="171" t="n"/>
      <c r="U255" s="171" t="n"/>
      <c r="V255" s="171" t="n"/>
      <c r="W255" s="171" t="n"/>
      <c r="X255" s="171" t="n"/>
      <c r="Y255" s="171" t="n"/>
      <c r="Z255" s="171" t="n"/>
      <c r="AA255" s="171" t="n"/>
      <c r="AB255" s="171" t="n"/>
    </row>
    <row r="256">
      <c r="A256" s="181" t="n"/>
      <c r="B256" s="181" t="n"/>
      <c r="C256" s="181" t="n"/>
      <c r="D256" s="181" t="n"/>
      <c r="E256" s="181" t="n"/>
      <c r="F256" s="208" t="n"/>
      <c r="G256" s="208" t="n"/>
      <c r="H256" s="208" t="n"/>
      <c r="I256" s="208" t="n"/>
      <c r="J256" s="208" t="n"/>
      <c r="K256" s="171" t="n"/>
      <c r="L256" s="171" t="n"/>
      <c r="M256" s="171" t="n"/>
      <c r="N256" s="171" t="n"/>
      <c r="O256" s="171" t="n"/>
      <c r="P256" s="171" t="n"/>
      <c r="Q256" s="171" t="n"/>
      <c r="R256" s="171" t="n"/>
      <c r="S256" s="171" t="n"/>
      <c r="T256" s="171" t="n"/>
      <c r="U256" s="171" t="n"/>
      <c r="V256" s="171" t="n"/>
      <c r="W256" s="171" t="n"/>
      <c r="X256" s="171" t="n"/>
      <c r="Y256" s="171" t="n"/>
      <c r="Z256" s="171" t="n"/>
      <c r="AA256" s="171" t="n"/>
      <c r="AB256" s="171" t="n"/>
    </row>
    <row r="257">
      <c r="A257" s="181" t="n"/>
      <c r="B257" s="181" t="n"/>
      <c r="C257" s="181" t="n"/>
      <c r="D257" s="181" t="n"/>
      <c r="E257" s="181" t="n"/>
      <c r="F257" s="208" t="n"/>
      <c r="G257" s="208" t="n"/>
      <c r="H257" s="208" t="n"/>
      <c r="I257" s="208" t="n"/>
      <c r="J257" s="208" t="n"/>
      <c r="K257" s="171" t="n"/>
      <c r="L257" s="171" t="n"/>
      <c r="M257" s="171" t="n"/>
      <c r="N257" s="171" t="n"/>
      <c r="O257" s="171" t="n"/>
      <c r="P257" s="171" t="n"/>
      <c r="Q257" s="171" t="n"/>
      <c r="R257" s="171" t="n"/>
      <c r="S257" s="171" t="n"/>
      <c r="T257" s="171" t="n"/>
      <c r="U257" s="171" t="n"/>
      <c r="V257" s="171" t="n"/>
      <c r="W257" s="171" t="n"/>
      <c r="X257" s="171" t="n"/>
      <c r="Y257" s="171" t="n"/>
      <c r="Z257" s="171" t="n"/>
      <c r="AA257" s="171" t="n"/>
      <c r="AB257" s="171" t="n"/>
    </row>
    <row r="258">
      <c r="A258" s="181" t="n"/>
      <c r="B258" s="181" t="n"/>
      <c r="C258" s="181" t="n"/>
      <c r="D258" s="181" t="n"/>
      <c r="E258" s="181" t="n"/>
      <c r="F258" s="208" t="n"/>
      <c r="G258" s="208" t="n"/>
      <c r="H258" s="208" t="n"/>
      <c r="I258" s="208" t="n"/>
      <c r="J258" s="208" t="n"/>
      <c r="K258" s="171" t="n"/>
      <c r="L258" s="171" t="n"/>
      <c r="M258" s="171" t="n"/>
      <c r="N258" s="171" t="n"/>
      <c r="O258" s="171" t="n"/>
      <c r="P258" s="171" t="n"/>
      <c r="Q258" s="171" t="n"/>
      <c r="R258" s="171" t="n"/>
      <c r="S258" s="171" t="n"/>
      <c r="T258" s="171" t="n"/>
      <c r="U258" s="171" t="n"/>
      <c r="V258" s="171" t="n"/>
      <c r="W258" s="171" t="n"/>
      <c r="X258" s="171" t="n"/>
      <c r="Y258" s="171" t="n"/>
      <c r="Z258" s="171" t="n"/>
      <c r="AA258" s="171" t="n"/>
      <c r="AB258" s="171" t="n"/>
    </row>
    <row r="259">
      <c r="A259" s="181" t="n"/>
      <c r="B259" s="181" t="n"/>
      <c r="C259" s="181" t="n"/>
      <c r="D259" s="181" t="n"/>
      <c r="E259" s="181" t="n"/>
      <c r="F259" s="208" t="n"/>
      <c r="G259" s="208" t="n"/>
      <c r="H259" s="208" t="n"/>
      <c r="I259" s="208" t="n"/>
      <c r="J259" s="208" t="n"/>
      <c r="K259" s="171" t="n"/>
      <c r="L259" s="171" t="n"/>
      <c r="M259" s="171" t="n"/>
      <c r="N259" s="171" t="n"/>
      <c r="O259" s="171" t="n"/>
      <c r="P259" s="171" t="n"/>
      <c r="Q259" s="171" t="n"/>
      <c r="R259" s="171" t="n"/>
      <c r="S259" s="171" t="n"/>
      <c r="T259" s="171" t="n"/>
      <c r="U259" s="171" t="n"/>
      <c r="V259" s="171" t="n"/>
      <c r="W259" s="171" t="n"/>
      <c r="X259" s="171" t="n"/>
      <c r="Y259" s="171" t="n"/>
      <c r="Z259" s="171" t="n"/>
      <c r="AA259" s="171" t="n"/>
      <c r="AB259" s="171" t="n"/>
    </row>
    <row r="260">
      <c r="A260" s="181" t="n"/>
      <c r="B260" s="181" t="n"/>
      <c r="C260" s="181" t="n"/>
      <c r="D260" s="181" t="n"/>
      <c r="E260" s="181" t="n"/>
      <c r="F260" s="208" t="n"/>
      <c r="G260" s="208" t="n"/>
      <c r="H260" s="208" t="n"/>
      <c r="I260" s="208" t="n"/>
      <c r="J260" s="208" t="n"/>
      <c r="K260" s="171" t="n"/>
      <c r="L260" s="171" t="n"/>
      <c r="M260" s="171" t="n"/>
      <c r="N260" s="171" t="n"/>
      <c r="O260" s="171" t="n"/>
      <c r="P260" s="171" t="n"/>
      <c r="Q260" s="171" t="n"/>
      <c r="R260" s="171" t="n"/>
      <c r="S260" s="171" t="n"/>
      <c r="T260" s="171" t="n"/>
      <c r="U260" s="171" t="n"/>
      <c r="V260" s="171" t="n"/>
      <c r="W260" s="171" t="n"/>
      <c r="X260" s="171" t="n"/>
      <c r="Y260" s="171" t="n"/>
      <c r="Z260" s="171" t="n"/>
      <c r="AA260" s="171" t="n"/>
      <c r="AB260" s="171" t="n"/>
    </row>
    <row r="261">
      <c r="A261" s="181" t="n"/>
      <c r="B261" s="181" t="n"/>
      <c r="C261" s="181" t="n"/>
      <c r="D261" s="181" t="n"/>
      <c r="E261" s="181" t="n"/>
      <c r="F261" s="208" t="n"/>
      <c r="G261" s="208" t="n"/>
      <c r="H261" s="208" t="n"/>
      <c r="I261" s="208" t="n"/>
      <c r="J261" s="208" t="n"/>
      <c r="K261" s="171" t="n"/>
      <c r="L261" s="171" t="n"/>
      <c r="M261" s="171" t="n"/>
      <c r="N261" s="171" t="n"/>
      <c r="O261" s="171" t="n"/>
      <c r="P261" s="171" t="n"/>
      <c r="Q261" s="171" t="n"/>
      <c r="R261" s="171" t="n"/>
      <c r="S261" s="171" t="n"/>
      <c r="T261" s="171" t="n"/>
      <c r="U261" s="171" t="n"/>
      <c r="V261" s="171" t="n"/>
      <c r="W261" s="171" t="n"/>
      <c r="X261" s="171" t="n"/>
      <c r="Y261" s="171" t="n"/>
      <c r="Z261" s="171" t="n"/>
      <c r="AA261" s="171" t="n"/>
      <c r="AB261" s="171" t="n"/>
    </row>
    <row r="262">
      <c r="A262" s="181" t="n"/>
      <c r="B262" s="181" t="n"/>
      <c r="C262" s="181" t="n"/>
      <c r="D262" s="181" t="n"/>
      <c r="E262" s="181" t="n"/>
      <c r="F262" s="208" t="n"/>
      <c r="G262" s="208" t="n"/>
      <c r="H262" s="208" t="n"/>
      <c r="I262" s="208" t="n"/>
      <c r="J262" s="208" t="n"/>
      <c r="K262" s="171" t="n"/>
      <c r="L262" s="171" t="n"/>
      <c r="M262" s="171" t="n"/>
      <c r="N262" s="171" t="n"/>
      <c r="O262" s="171" t="n"/>
      <c r="P262" s="171" t="n"/>
      <c r="Q262" s="171" t="n"/>
      <c r="R262" s="171" t="n"/>
      <c r="S262" s="171" t="n"/>
      <c r="T262" s="171" t="n"/>
      <c r="U262" s="171" t="n"/>
      <c r="V262" s="171" t="n"/>
      <c r="W262" s="171" t="n"/>
      <c r="X262" s="171" t="n"/>
      <c r="Y262" s="171" t="n"/>
      <c r="Z262" s="171" t="n"/>
      <c r="AA262" s="171" t="n"/>
      <c r="AB262" s="171" t="n"/>
    </row>
    <row r="263">
      <c r="A263" s="181" t="n"/>
      <c r="B263" s="181" t="n"/>
      <c r="C263" s="181" t="n"/>
      <c r="D263" s="181" t="n"/>
      <c r="E263" s="181" t="n"/>
      <c r="F263" s="208" t="n"/>
      <c r="G263" s="208" t="n"/>
      <c r="H263" s="208" t="n"/>
      <c r="I263" s="208" t="n"/>
      <c r="J263" s="208" t="n"/>
      <c r="K263" s="171" t="n"/>
      <c r="L263" s="171" t="n"/>
      <c r="M263" s="171" t="n"/>
      <c r="N263" s="171" t="n"/>
      <c r="O263" s="171" t="n"/>
      <c r="P263" s="171" t="n"/>
      <c r="Q263" s="171" t="n"/>
      <c r="R263" s="171" t="n"/>
      <c r="S263" s="171" t="n"/>
      <c r="T263" s="171" t="n"/>
      <c r="U263" s="171" t="n"/>
      <c r="V263" s="171" t="n"/>
      <c r="W263" s="171" t="n"/>
      <c r="X263" s="171" t="n"/>
      <c r="Y263" s="171" t="n"/>
      <c r="Z263" s="171" t="n"/>
      <c r="AA263" s="171" t="n"/>
      <c r="AB263" s="171" t="n"/>
    </row>
    <row r="264">
      <c r="A264" s="181" t="n"/>
      <c r="B264" s="181" t="n"/>
      <c r="C264" s="181" t="n"/>
      <c r="D264" s="181" t="n"/>
      <c r="E264" s="181" t="n"/>
      <c r="F264" s="208" t="n"/>
      <c r="G264" s="208" t="n"/>
      <c r="H264" s="208" t="n"/>
      <c r="I264" s="208" t="n"/>
      <c r="J264" s="208" t="n"/>
      <c r="K264" s="171" t="n"/>
      <c r="L264" s="171" t="n"/>
      <c r="M264" s="171" t="n"/>
      <c r="N264" s="171" t="n"/>
      <c r="O264" s="171" t="n"/>
      <c r="P264" s="171" t="n"/>
      <c r="Q264" s="171" t="n"/>
      <c r="R264" s="171" t="n"/>
      <c r="S264" s="171" t="n"/>
      <c r="T264" s="171" t="n"/>
      <c r="U264" s="171" t="n"/>
      <c r="V264" s="171" t="n"/>
      <c r="W264" s="171" t="n"/>
      <c r="X264" s="171" t="n"/>
      <c r="Y264" s="171" t="n"/>
      <c r="Z264" s="171" t="n"/>
      <c r="AA264" s="171" t="n"/>
      <c r="AB264" s="171" t="n"/>
    </row>
    <row r="265">
      <c r="A265" s="181" t="n"/>
      <c r="B265" s="181" t="n"/>
      <c r="C265" s="181" t="n"/>
      <c r="D265" s="181" t="n"/>
      <c r="E265" s="181" t="n"/>
      <c r="F265" s="208" t="n"/>
      <c r="G265" s="208" t="n"/>
      <c r="H265" s="208" t="n"/>
      <c r="I265" s="208" t="n"/>
      <c r="J265" s="208" t="n"/>
      <c r="K265" s="171" t="n"/>
      <c r="L265" s="171" t="n"/>
      <c r="M265" s="171" t="n"/>
      <c r="N265" s="171" t="n"/>
      <c r="O265" s="171" t="n"/>
      <c r="P265" s="171" t="n"/>
      <c r="Q265" s="171" t="n"/>
      <c r="R265" s="171" t="n"/>
      <c r="S265" s="171" t="n"/>
      <c r="T265" s="171" t="n"/>
      <c r="U265" s="171" t="n"/>
      <c r="V265" s="171" t="n"/>
      <c r="W265" s="171" t="n"/>
      <c r="X265" s="171" t="n"/>
      <c r="Y265" s="171" t="n"/>
      <c r="Z265" s="171" t="n"/>
      <c r="AA265" s="171" t="n"/>
      <c r="AB265" s="171" t="n"/>
    </row>
    <row r="266">
      <c r="A266" s="181" t="n"/>
      <c r="B266" s="181" t="n"/>
      <c r="C266" s="181" t="n"/>
      <c r="D266" s="181" t="n"/>
      <c r="E266" s="181" t="n"/>
      <c r="F266" s="208" t="n"/>
      <c r="G266" s="208" t="n"/>
      <c r="H266" s="208" t="n"/>
      <c r="I266" s="208" t="n"/>
      <c r="J266" s="208" t="n"/>
      <c r="K266" s="171" t="n"/>
      <c r="L266" s="171" t="n"/>
      <c r="M266" s="171" t="n"/>
      <c r="N266" s="171" t="n"/>
      <c r="O266" s="171" t="n"/>
      <c r="P266" s="171" t="n"/>
      <c r="Q266" s="171" t="n"/>
      <c r="R266" s="171" t="n"/>
      <c r="S266" s="171" t="n"/>
      <c r="T266" s="171" t="n"/>
      <c r="U266" s="171" t="n"/>
      <c r="V266" s="171" t="n"/>
      <c r="W266" s="171" t="n"/>
      <c r="X266" s="171" t="n"/>
      <c r="Y266" s="171" t="n"/>
      <c r="Z266" s="171" t="n"/>
      <c r="AA266" s="171" t="n"/>
      <c r="AB266" s="171" t="n"/>
    </row>
    <row r="267">
      <c r="A267" s="181" t="n"/>
      <c r="B267" s="181" t="n"/>
      <c r="C267" s="181" t="n"/>
      <c r="D267" s="181" t="n"/>
      <c r="E267" s="181" t="n"/>
      <c r="F267" s="208" t="n"/>
      <c r="G267" s="208" t="n"/>
      <c r="H267" s="208" t="n"/>
      <c r="I267" s="208" t="n"/>
      <c r="J267" s="208" t="n"/>
      <c r="K267" s="171" t="n"/>
      <c r="L267" s="171" t="n"/>
      <c r="M267" s="171" t="n"/>
      <c r="N267" s="171" t="n"/>
      <c r="O267" s="171" t="n"/>
      <c r="P267" s="171" t="n"/>
      <c r="Q267" s="171" t="n"/>
      <c r="R267" s="171" t="n"/>
      <c r="S267" s="171" t="n"/>
      <c r="T267" s="171" t="n"/>
      <c r="U267" s="171" t="n"/>
      <c r="V267" s="171" t="n"/>
      <c r="W267" s="171" t="n"/>
      <c r="X267" s="171" t="n"/>
      <c r="Y267" s="171" t="n"/>
      <c r="Z267" s="171" t="n"/>
      <c r="AA267" s="171" t="n"/>
      <c r="AB267" s="171" t="n"/>
    </row>
    <row r="268">
      <c r="A268" s="181" t="n"/>
      <c r="B268" s="181" t="n"/>
      <c r="C268" s="181" t="n"/>
      <c r="D268" s="181" t="n"/>
      <c r="E268" s="181" t="n"/>
      <c r="F268" s="208" t="n"/>
      <c r="G268" s="208" t="n"/>
      <c r="H268" s="208" t="n"/>
      <c r="I268" s="208" t="n"/>
      <c r="J268" s="208" t="n"/>
      <c r="K268" s="171" t="n"/>
      <c r="L268" s="171" t="n"/>
      <c r="M268" s="171" t="n"/>
      <c r="N268" s="171" t="n"/>
      <c r="O268" s="171" t="n"/>
      <c r="P268" s="171" t="n"/>
      <c r="Q268" s="171" t="n"/>
      <c r="R268" s="171" t="n"/>
      <c r="S268" s="171" t="n"/>
      <c r="T268" s="171" t="n"/>
      <c r="U268" s="171" t="n"/>
      <c r="V268" s="171" t="n"/>
      <c r="W268" s="171" t="n"/>
      <c r="X268" s="171" t="n"/>
      <c r="Y268" s="171" t="n"/>
      <c r="Z268" s="171" t="n"/>
      <c r="AA268" s="171" t="n"/>
      <c r="AB268" s="171" t="n"/>
    </row>
    <row r="269">
      <c r="A269" s="181" t="n"/>
      <c r="B269" s="181" t="n"/>
      <c r="C269" s="181" t="n"/>
      <c r="D269" s="181" t="n"/>
      <c r="E269" s="181" t="n"/>
      <c r="F269" s="208" t="n"/>
      <c r="G269" s="208" t="n"/>
      <c r="H269" s="208" t="n"/>
      <c r="I269" s="208" t="n"/>
      <c r="J269" s="208" t="n"/>
      <c r="K269" s="171" t="n"/>
      <c r="L269" s="171" t="n"/>
      <c r="M269" s="171" t="n"/>
      <c r="N269" s="171" t="n"/>
      <c r="O269" s="171" t="n"/>
      <c r="P269" s="171" t="n"/>
      <c r="Q269" s="171" t="n"/>
      <c r="R269" s="171" t="n"/>
      <c r="S269" s="171" t="n"/>
      <c r="T269" s="171" t="n"/>
      <c r="U269" s="171" t="n"/>
      <c r="V269" s="171" t="n"/>
      <c r="W269" s="171" t="n"/>
      <c r="X269" s="171" t="n"/>
      <c r="Y269" s="171" t="n"/>
      <c r="Z269" s="171" t="n"/>
      <c r="AA269" s="171" t="n"/>
      <c r="AB269" s="171" t="n"/>
    </row>
    <row r="270">
      <c r="A270" s="181" t="n"/>
      <c r="B270" s="181" t="n"/>
      <c r="C270" s="181" t="n"/>
      <c r="D270" s="181" t="n"/>
      <c r="E270" s="181" t="n"/>
      <c r="F270" s="208" t="n"/>
      <c r="G270" s="208" t="n"/>
      <c r="H270" s="208" t="n"/>
      <c r="I270" s="208" t="n"/>
      <c r="J270" s="208" t="n"/>
      <c r="K270" s="171" t="n"/>
      <c r="L270" s="171" t="n"/>
      <c r="M270" s="171" t="n"/>
      <c r="N270" s="171" t="n"/>
      <c r="O270" s="171" t="n"/>
      <c r="P270" s="171" t="n"/>
      <c r="Q270" s="171" t="n"/>
      <c r="R270" s="171" t="n"/>
      <c r="S270" s="171" t="n"/>
      <c r="T270" s="171" t="n"/>
      <c r="U270" s="171" t="n"/>
      <c r="V270" s="171" t="n"/>
      <c r="W270" s="171" t="n"/>
      <c r="X270" s="171" t="n"/>
      <c r="Y270" s="171" t="n"/>
      <c r="Z270" s="171" t="n"/>
      <c r="AA270" s="171" t="n"/>
      <c r="AB270" s="171" t="n"/>
    </row>
    <row r="271">
      <c r="A271" s="181" t="n"/>
      <c r="B271" s="181" t="n"/>
      <c r="C271" s="181" t="n"/>
      <c r="D271" s="181" t="n"/>
      <c r="E271" s="181" t="n"/>
      <c r="F271" s="208" t="n"/>
      <c r="G271" s="208" t="n"/>
      <c r="H271" s="208" t="n"/>
      <c r="I271" s="208" t="n"/>
      <c r="J271" s="208" t="n"/>
      <c r="K271" s="171" t="n"/>
      <c r="L271" s="171" t="n"/>
      <c r="M271" s="171" t="n"/>
      <c r="N271" s="171" t="n"/>
      <c r="O271" s="171" t="n"/>
      <c r="P271" s="171" t="n"/>
      <c r="Q271" s="171" t="n"/>
      <c r="R271" s="171" t="n"/>
      <c r="S271" s="171" t="n"/>
      <c r="T271" s="171" t="n"/>
      <c r="U271" s="171" t="n"/>
      <c r="V271" s="171" t="n"/>
      <c r="W271" s="171" t="n"/>
      <c r="X271" s="171" t="n"/>
      <c r="Y271" s="171" t="n"/>
      <c r="Z271" s="171" t="n"/>
      <c r="AA271" s="171" t="n"/>
      <c r="AB271" s="171" t="n"/>
    </row>
    <row r="272">
      <c r="A272" s="181" t="n"/>
      <c r="B272" s="181" t="n"/>
      <c r="C272" s="181" t="n"/>
      <c r="D272" s="181" t="n"/>
      <c r="E272" s="181" t="n"/>
      <c r="F272" s="208" t="n"/>
      <c r="G272" s="208" t="n"/>
      <c r="H272" s="208" t="n"/>
      <c r="I272" s="208" t="n"/>
      <c r="J272" s="208" t="n"/>
      <c r="K272" s="171" t="n"/>
      <c r="L272" s="171" t="n"/>
      <c r="M272" s="171" t="n"/>
      <c r="N272" s="171" t="n"/>
      <c r="O272" s="171" t="n"/>
      <c r="P272" s="171" t="n"/>
      <c r="Q272" s="171" t="n"/>
      <c r="R272" s="171" t="n"/>
      <c r="S272" s="171" t="n"/>
      <c r="T272" s="171" t="n"/>
      <c r="U272" s="171" t="n"/>
      <c r="V272" s="171" t="n"/>
      <c r="W272" s="171" t="n"/>
      <c r="X272" s="171" t="n"/>
      <c r="Y272" s="171" t="n"/>
      <c r="Z272" s="171" t="n"/>
      <c r="AA272" s="171" t="n"/>
      <c r="AB272" s="171" t="n"/>
    </row>
    <row r="273">
      <c r="A273" s="181" t="n"/>
      <c r="B273" s="181" t="n"/>
      <c r="C273" s="181" t="n"/>
      <c r="D273" s="181" t="n"/>
      <c r="E273" s="181" t="n"/>
      <c r="F273" s="208" t="n"/>
      <c r="G273" s="208" t="n"/>
      <c r="H273" s="208" t="n"/>
      <c r="I273" s="208" t="n"/>
      <c r="J273" s="208" t="n"/>
      <c r="K273" s="171" t="n"/>
      <c r="L273" s="171" t="n"/>
      <c r="M273" s="171" t="n"/>
      <c r="N273" s="171" t="n"/>
      <c r="O273" s="171" t="n"/>
      <c r="P273" s="171" t="n"/>
      <c r="Q273" s="171" t="n"/>
      <c r="R273" s="171" t="n"/>
      <c r="S273" s="171" t="n"/>
      <c r="T273" s="171" t="n"/>
      <c r="U273" s="171" t="n"/>
      <c r="V273" s="171" t="n"/>
      <c r="W273" s="171" t="n"/>
      <c r="X273" s="171" t="n"/>
      <c r="Y273" s="171" t="n"/>
      <c r="Z273" s="171" t="n"/>
      <c r="AA273" s="171" t="n"/>
      <c r="AB273" s="171" t="n"/>
    </row>
    <row r="274">
      <c r="A274" s="181" t="n"/>
      <c r="B274" s="181" t="n"/>
      <c r="C274" s="181" t="n"/>
      <c r="D274" s="181" t="n"/>
      <c r="E274" s="181" t="n"/>
      <c r="F274" s="208" t="n"/>
      <c r="G274" s="208" t="n"/>
      <c r="H274" s="208" t="n"/>
      <c r="I274" s="208" t="n"/>
      <c r="J274" s="208" t="n"/>
      <c r="K274" s="171" t="n"/>
      <c r="L274" s="171" t="n"/>
      <c r="M274" s="171" t="n"/>
      <c r="N274" s="171" t="n"/>
      <c r="O274" s="171" t="n"/>
      <c r="P274" s="171" t="n"/>
      <c r="Q274" s="171" t="n"/>
      <c r="R274" s="171" t="n"/>
      <c r="S274" s="171" t="n"/>
      <c r="T274" s="171" t="n"/>
      <c r="U274" s="171" t="n"/>
      <c r="V274" s="171" t="n"/>
      <c r="W274" s="171" t="n"/>
      <c r="X274" s="171" t="n"/>
      <c r="Y274" s="171" t="n"/>
      <c r="Z274" s="171" t="n"/>
      <c r="AA274" s="171" t="n"/>
      <c r="AB274" s="171" t="n"/>
    </row>
    <row r="275">
      <c r="A275" s="181" t="n"/>
      <c r="B275" s="181" t="n"/>
      <c r="C275" s="181" t="n"/>
      <c r="D275" s="181" t="n"/>
      <c r="E275" s="181" t="n"/>
      <c r="F275" s="208" t="n"/>
      <c r="G275" s="208" t="n"/>
      <c r="H275" s="208" t="n"/>
      <c r="I275" s="208" t="n"/>
      <c r="J275" s="208" t="n"/>
      <c r="K275" s="171" t="n"/>
      <c r="L275" s="171" t="n"/>
      <c r="M275" s="171" t="n"/>
      <c r="N275" s="171" t="n"/>
      <c r="O275" s="171" t="n"/>
      <c r="P275" s="171" t="n"/>
      <c r="Q275" s="171" t="n"/>
      <c r="R275" s="171" t="n"/>
      <c r="S275" s="171" t="n"/>
      <c r="T275" s="171" t="n"/>
      <c r="U275" s="171" t="n"/>
      <c r="V275" s="171" t="n"/>
      <c r="W275" s="171" t="n"/>
      <c r="X275" s="171" t="n"/>
      <c r="Y275" s="171" t="n"/>
      <c r="Z275" s="171" t="n"/>
      <c r="AA275" s="171" t="n"/>
      <c r="AB275" s="171" t="n"/>
    </row>
    <row r="276">
      <c r="A276" s="181" t="n"/>
      <c r="B276" s="181" t="n"/>
      <c r="C276" s="181" t="n"/>
      <c r="D276" s="181" t="n"/>
      <c r="E276" s="181" t="n"/>
      <c r="F276" s="208" t="n"/>
      <c r="G276" s="208" t="n"/>
      <c r="H276" s="208" t="n"/>
      <c r="I276" s="208" t="n"/>
      <c r="J276" s="208" t="n"/>
      <c r="K276" s="171" t="n"/>
      <c r="L276" s="171" t="n"/>
      <c r="M276" s="171" t="n"/>
      <c r="N276" s="171" t="n"/>
      <c r="O276" s="171" t="n"/>
      <c r="P276" s="171" t="n"/>
      <c r="Q276" s="171" t="n"/>
      <c r="R276" s="171" t="n"/>
      <c r="S276" s="171" t="n"/>
      <c r="T276" s="171" t="n"/>
      <c r="U276" s="171" t="n"/>
      <c r="V276" s="171" t="n"/>
      <c r="W276" s="171" t="n"/>
      <c r="X276" s="171" t="n"/>
      <c r="Y276" s="171" t="n"/>
      <c r="Z276" s="171" t="n"/>
      <c r="AA276" s="171" t="n"/>
      <c r="AB276" s="171" t="n"/>
    </row>
    <row r="277">
      <c r="A277" s="181" t="n"/>
      <c r="B277" s="181" t="n"/>
      <c r="C277" s="181" t="n"/>
      <c r="D277" s="181" t="n"/>
      <c r="E277" s="181" t="n"/>
      <c r="F277" s="208" t="n"/>
      <c r="G277" s="208" t="n"/>
      <c r="H277" s="208" t="n"/>
      <c r="I277" s="208" t="n"/>
      <c r="J277" s="208" t="n"/>
      <c r="K277" s="171" t="n"/>
      <c r="L277" s="171" t="n"/>
      <c r="M277" s="171" t="n"/>
      <c r="N277" s="171" t="n"/>
      <c r="O277" s="171" t="n"/>
      <c r="P277" s="171" t="n"/>
      <c r="Q277" s="171" t="n"/>
      <c r="R277" s="171" t="n"/>
      <c r="S277" s="171" t="n"/>
      <c r="T277" s="171" t="n"/>
      <c r="U277" s="171" t="n"/>
      <c r="V277" s="171" t="n"/>
      <c r="W277" s="171" t="n"/>
      <c r="X277" s="171" t="n"/>
      <c r="Y277" s="171" t="n"/>
      <c r="Z277" s="171" t="n"/>
      <c r="AA277" s="171" t="n"/>
      <c r="AB277" s="171" t="n"/>
    </row>
    <row r="278">
      <c r="A278" s="181" t="n"/>
      <c r="B278" s="181" t="n"/>
      <c r="C278" s="181" t="n"/>
      <c r="D278" s="181" t="n"/>
      <c r="E278" s="181" t="n"/>
      <c r="F278" s="208" t="n"/>
      <c r="G278" s="208" t="n"/>
      <c r="H278" s="208" t="n"/>
      <c r="I278" s="208" t="n"/>
      <c r="J278" s="208" t="n"/>
      <c r="K278" s="171" t="n"/>
      <c r="L278" s="171" t="n"/>
      <c r="M278" s="171" t="n"/>
      <c r="N278" s="171" t="n"/>
      <c r="O278" s="171" t="n"/>
      <c r="P278" s="171" t="n"/>
      <c r="Q278" s="171" t="n"/>
      <c r="R278" s="171" t="n"/>
      <c r="S278" s="171" t="n"/>
      <c r="T278" s="171" t="n"/>
      <c r="U278" s="171" t="n"/>
      <c r="V278" s="171" t="n"/>
      <c r="W278" s="171" t="n"/>
      <c r="X278" s="171" t="n"/>
      <c r="Y278" s="171" t="n"/>
      <c r="Z278" s="171" t="n"/>
      <c r="AA278" s="171" t="n"/>
      <c r="AB278" s="171" t="n"/>
    </row>
    <row r="279">
      <c r="A279" s="181" t="n"/>
      <c r="B279" s="181" t="n"/>
      <c r="C279" s="181" t="n"/>
      <c r="D279" s="181" t="n"/>
      <c r="E279" s="181" t="n"/>
      <c r="F279" s="208" t="n"/>
      <c r="G279" s="208" t="n"/>
      <c r="H279" s="208" t="n"/>
      <c r="I279" s="208" t="n"/>
      <c r="J279" s="208" t="n"/>
      <c r="K279" s="171" t="n"/>
      <c r="L279" s="171" t="n"/>
      <c r="M279" s="171" t="n"/>
      <c r="N279" s="171" t="n"/>
      <c r="O279" s="171" t="n"/>
      <c r="P279" s="171" t="n"/>
      <c r="Q279" s="171" t="n"/>
      <c r="R279" s="171" t="n"/>
      <c r="S279" s="171" t="n"/>
      <c r="T279" s="171" t="n"/>
      <c r="U279" s="171" t="n"/>
      <c r="V279" s="171" t="n"/>
      <c r="W279" s="171" t="n"/>
      <c r="X279" s="171" t="n"/>
      <c r="Y279" s="171" t="n"/>
      <c r="Z279" s="171" t="n"/>
      <c r="AA279" s="171" t="n"/>
      <c r="AB279" s="171" t="n"/>
    </row>
    <row r="280">
      <c r="A280" s="181" t="n"/>
      <c r="B280" s="181" t="n"/>
      <c r="C280" s="181" t="n"/>
      <c r="D280" s="181" t="n"/>
      <c r="E280" s="181" t="n"/>
      <c r="F280" s="208" t="n"/>
      <c r="G280" s="208" t="n"/>
      <c r="H280" s="208" t="n"/>
      <c r="I280" s="208" t="n"/>
      <c r="J280" s="208" t="n"/>
      <c r="K280" s="171" t="n"/>
      <c r="L280" s="171" t="n"/>
      <c r="M280" s="171" t="n"/>
      <c r="N280" s="171" t="n"/>
      <c r="O280" s="171" t="n"/>
      <c r="P280" s="171" t="n"/>
      <c r="Q280" s="171" t="n"/>
      <c r="R280" s="171" t="n"/>
      <c r="S280" s="171" t="n"/>
      <c r="T280" s="171" t="n"/>
      <c r="U280" s="171" t="n"/>
      <c r="V280" s="171" t="n"/>
      <c r="W280" s="171" t="n"/>
      <c r="X280" s="171" t="n"/>
      <c r="Y280" s="171" t="n"/>
      <c r="Z280" s="171" t="n"/>
      <c r="AA280" s="171" t="n"/>
      <c r="AB280" s="171" t="n"/>
    </row>
    <row r="281">
      <c r="A281" s="181" t="n"/>
      <c r="B281" s="181" t="n"/>
      <c r="C281" s="181" t="n"/>
      <c r="D281" s="181" t="n"/>
      <c r="E281" s="181" t="n"/>
      <c r="F281" s="208" t="n"/>
      <c r="G281" s="208" t="n"/>
      <c r="H281" s="208" t="n"/>
      <c r="I281" s="208" t="n"/>
      <c r="J281" s="208" t="n"/>
      <c r="K281" s="171" t="n"/>
      <c r="L281" s="171" t="n"/>
      <c r="M281" s="171" t="n"/>
      <c r="N281" s="171" t="n"/>
      <c r="O281" s="171" t="n"/>
      <c r="P281" s="171" t="n"/>
      <c r="Q281" s="171" t="n"/>
      <c r="R281" s="171" t="n"/>
      <c r="S281" s="171" t="n"/>
      <c r="T281" s="171" t="n"/>
      <c r="U281" s="171" t="n"/>
      <c r="V281" s="171" t="n"/>
      <c r="W281" s="171" t="n"/>
      <c r="X281" s="171" t="n"/>
      <c r="Y281" s="171" t="n"/>
      <c r="Z281" s="171" t="n"/>
      <c r="AA281" s="171" t="n"/>
      <c r="AB281" s="171" t="n"/>
    </row>
    <row r="282">
      <c r="A282" s="181" t="n"/>
      <c r="B282" s="181" t="n"/>
      <c r="C282" s="181" t="n"/>
      <c r="D282" s="181" t="n"/>
      <c r="E282" s="181" t="n"/>
      <c r="F282" s="208" t="n"/>
      <c r="G282" s="208" t="n"/>
      <c r="H282" s="208" t="n"/>
      <c r="I282" s="208" t="n"/>
      <c r="J282" s="208" t="n"/>
      <c r="K282" s="171" t="n"/>
      <c r="L282" s="171" t="n"/>
      <c r="M282" s="171" t="n"/>
      <c r="N282" s="171" t="n"/>
      <c r="O282" s="171" t="n"/>
      <c r="P282" s="171" t="n"/>
      <c r="Q282" s="171" t="n"/>
      <c r="R282" s="171" t="n"/>
      <c r="S282" s="171" t="n"/>
      <c r="T282" s="171" t="n"/>
      <c r="U282" s="171" t="n"/>
      <c r="V282" s="171" t="n"/>
      <c r="W282" s="171" t="n"/>
      <c r="X282" s="171" t="n"/>
      <c r="Y282" s="171" t="n"/>
      <c r="Z282" s="171" t="n"/>
      <c r="AA282" s="171" t="n"/>
      <c r="AB282" s="171" t="n"/>
    </row>
    <row r="283">
      <c r="A283" s="181" t="n"/>
      <c r="B283" s="181" t="n"/>
      <c r="C283" s="181" t="n"/>
      <c r="D283" s="181" t="n"/>
      <c r="E283" s="181" t="n"/>
      <c r="F283" s="208" t="n"/>
      <c r="G283" s="208" t="n"/>
      <c r="H283" s="208" t="n"/>
      <c r="I283" s="208" t="n"/>
      <c r="J283" s="208" t="n"/>
      <c r="K283" s="171" t="n"/>
      <c r="L283" s="171" t="n"/>
      <c r="M283" s="171" t="n"/>
      <c r="N283" s="171" t="n"/>
      <c r="O283" s="171" t="n"/>
      <c r="P283" s="171" t="n"/>
      <c r="Q283" s="171" t="n"/>
      <c r="R283" s="171" t="n"/>
      <c r="S283" s="171" t="n"/>
      <c r="T283" s="171" t="n"/>
      <c r="U283" s="171" t="n"/>
      <c r="V283" s="171" t="n"/>
      <c r="W283" s="171" t="n"/>
      <c r="X283" s="171" t="n"/>
      <c r="Y283" s="171" t="n"/>
      <c r="Z283" s="171" t="n"/>
      <c r="AA283" s="171" t="n"/>
      <c r="AB283" s="171" t="n"/>
    </row>
    <row r="284">
      <c r="A284" s="181" t="n"/>
      <c r="B284" s="181" t="n"/>
      <c r="C284" s="181" t="n"/>
      <c r="D284" s="181" t="n"/>
      <c r="E284" s="181" t="n"/>
      <c r="F284" s="208" t="n"/>
      <c r="G284" s="208" t="n"/>
      <c r="H284" s="208" t="n"/>
      <c r="I284" s="208" t="n"/>
      <c r="J284" s="208" t="n"/>
      <c r="K284" s="171" t="n"/>
      <c r="L284" s="171" t="n"/>
      <c r="M284" s="171" t="n"/>
      <c r="N284" s="171" t="n"/>
      <c r="O284" s="171" t="n"/>
      <c r="P284" s="171" t="n"/>
      <c r="Q284" s="171" t="n"/>
      <c r="R284" s="171" t="n"/>
      <c r="S284" s="171" t="n"/>
      <c r="T284" s="171" t="n"/>
      <c r="U284" s="171" t="n"/>
      <c r="V284" s="171" t="n"/>
      <c r="W284" s="171" t="n"/>
      <c r="X284" s="171" t="n"/>
      <c r="Y284" s="171" t="n"/>
      <c r="Z284" s="171" t="n"/>
      <c r="AA284" s="171" t="n"/>
      <c r="AB284" s="171" t="n"/>
    </row>
    <row r="285">
      <c r="A285" s="181" t="n"/>
      <c r="B285" s="181" t="n"/>
      <c r="C285" s="181" t="n"/>
      <c r="D285" s="181" t="n"/>
      <c r="E285" s="181" t="n"/>
      <c r="F285" s="208" t="n"/>
      <c r="G285" s="208" t="n"/>
      <c r="H285" s="208" t="n"/>
      <c r="I285" s="208" t="n"/>
      <c r="J285" s="208" t="n"/>
      <c r="K285" s="171" t="n"/>
      <c r="L285" s="171" t="n"/>
      <c r="M285" s="171" t="n"/>
      <c r="N285" s="171" t="n"/>
      <c r="O285" s="171" t="n"/>
      <c r="P285" s="171" t="n"/>
      <c r="Q285" s="171" t="n"/>
      <c r="R285" s="171" t="n"/>
      <c r="S285" s="171" t="n"/>
      <c r="T285" s="171" t="n"/>
      <c r="U285" s="171" t="n"/>
      <c r="V285" s="171" t="n"/>
      <c r="W285" s="171" t="n"/>
      <c r="X285" s="171" t="n"/>
      <c r="Y285" s="171" t="n"/>
      <c r="Z285" s="171" t="n"/>
      <c r="AA285" s="171" t="n"/>
      <c r="AB285" s="171" t="n"/>
    </row>
    <row r="286">
      <c r="A286" s="181" t="n"/>
      <c r="B286" s="181" t="n"/>
      <c r="C286" s="181" t="n"/>
      <c r="D286" s="181" t="n"/>
      <c r="E286" s="181" t="n"/>
      <c r="F286" s="208" t="n"/>
      <c r="G286" s="208" t="n"/>
      <c r="H286" s="208" t="n"/>
      <c r="I286" s="208" t="n"/>
      <c r="J286" s="208" t="n"/>
      <c r="K286" s="171" t="n"/>
      <c r="L286" s="171" t="n"/>
      <c r="M286" s="171" t="n"/>
      <c r="N286" s="171" t="n"/>
      <c r="O286" s="171" t="n"/>
      <c r="P286" s="171" t="n"/>
      <c r="Q286" s="171" t="n"/>
      <c r="R286" s="171" t="n"/>
      <c r="S286" s="171" t="n"/>
      <c r="T286" s="171" t="n"/>
      <c r="U286" s="171" t="n"/>
      <c r="V286" s="171" t="n"/>
      <c r="W286" s="171" t="n"/>
      <c r="X286" s="171" t="n"/>
      <c r="Y286" s="171" t="n"/>
      <c r="Z286" s="171" t="n"/>
      <c r="AA286" s="171" t="n"/>
      <c r="AB286" s="171" t="n"/>
    </row>
    <row r="287">
      <c r="A287" s="181" t="n"/>
      <c r="B287" s="181" t="n"/>
      <c r="C287" s="181" t="n"/>
      <c r="D287" s="181" t="n"/>
      <c r="E287" s="181" t="n"/>
      <c r="F287" s="208" t="n"/>
      <c r="G287" s="208" t="n"/>
      <c r="H287" s="208" t="n"/>
      <c r="I287" s="208" t="n"/>
      <c r="J287" s="208" t="n"/>
      <c r="K287" s="171" t="n"/>
      <c r="L287" s="171" t="n"/>
      <c r="M287" s="171" t="n"/>
      <c r="N287" s="171" t="n"/>
      <c r="O287" s="171" t="n"/>
      <c r="P287" s="171" t="n"/>
      <c r="Q287" s="171" t="n"/>
      <c r="R287" s="171" t="n"/>
      <c r="S287" s="171" t="n"/>
      <c r="T287" s="171" t="n"/>
      <c r="U287" s="171" t="n"/>
      <c r="V287" s="171" t="n"/>
      <c r="W287" s="171" t="n"/>
      <c r="X287" s="171" t="n"/>
      <c r="Y287" s="171" t="n"/>
      <c r="Z287" s="171" t="n"/>
      <c r="AA287" s="171" t="n"/>
      <c r="AB287" s="171" t="n"/>
    </row>
    <row r="288">
      <c r="A288" s="181" t="n"/>
      <c r="B288" s="181" t="n"/>
      <c r="C288" s="181" t="n"/>
      <c r="D288" s="181" t="n"/>
      <c r="E288" s="181" t="n"/>
      <c r="F288" s="208" t="n"/>
      <c r="G288" s="208" t="n"/>
      <c r="H288" s="208" t="n"/>
      <c r="I288" s="208" t="n"/>
      <c r="J288" s="208" t="n"/>
      <c r="K288" s="171" t="n"/>
      <c r="L288" s="171" t="n"/>
      <c r="M288" s="171" t="n"/>
      <c r="N288" s="171" t="n"/>
      <c r="O288" s="171" t="n"/>
      <c r="P288" s="171" t="n"/>
      <c r="Q288" s="171" t="n"/>
      <c r="R288" s="171" t="n"/>
      <c r="S288" s="171" t="n"/>
      <c r="T288" s="171" t="n"/>
      <c r="U288" s="171" t="n"/>
      <c r="V288" s="171" t="n"/>
      <c r="W288" s="171" t="n"/>
      <c r="X288" s="171" t="n"/>
      <c r="Y288" s="171" t="n"/>
      <c r="Z288" s="171" t="n"/>
      <c r="AA288" s="171" t="n"/>
      <c r="AB288" s="171" t="n"/>
    </row>
    <row r="289">
      <c r="A289" s="181" t="n"/>
      <c r="B289" s="181" t="n"/>
      <c r="C289" s="181" t="n"/>
      <c r="D289" s="181" t="n"/>
      <c r="E289" s="181" t="n"/>
      <c r="F289" s="208" t="n"/>
      <c r="G289" s="208" t="n"/>
      <c r="H289" s="208" t="n"/>
      <c r="I289" s="208" t="n"/>
      <c r="J289" s="208" t="n"/>
      <c r="K289" s="171" t="n"/>
      <c r="L289" s="171" t="n"/>
      <c r="M289" s="171" t="n"/>
      <c r="N289" s="171" t="n"/>
      <c r="O289" s="171" t="n"/>
      <c r="P289" s="171" t="n"/>
      <c r="Q289" s="171" t="n"/>
      <c r="R289" s="171" t="n"/>
      <c r="S289" s="171" t="n"/>
      <c r="T289" s="171" t="n"/>
      <c r="U289" s="171" t="n"/>
      <c r="V289" s="171" t="n"/>
      <c r="W289" s="171" t="n"/>
      <c r="X289" s="171" t="n"/>
      <c r="Y289" s="171" t="n"/>
      <c r="Z289" s="171" t="n"/>
      <c r="AA289" s="171" t="n"/>
      <c r="AB289" s="171" t="n"/>
    </row>
    <row r="290">
      <c r="A290" s="181" t="n"/>
      <c r="B290" s="181" t="n"/>
      <c r="C290" s="181" t="n"/>
      <c r="D290" s="181" t="n"/>
      <c r="E290" s="181" t="n"/>
      <c r="F290" s="208" t="n"/>
      <c r="G290" s="208" t="n"/>
      <c r="H290" s="208" t="n"/>
      <c r="I290" s="208" t="n"/>
      <c r="J290" s="208" t="n"/>
      <c r="K290" s="171" t="n"/>
      <c r="L290" s="171" t="n"/>
      <c r="M290" s="171" t="n"/>
      <c r="N290" s="171" t="n"/>
      <c r="O290" s="171" t="n"/>
      <c r="P290" s="171" t="n"/>
      <c r="Q290" s="171" t="n"/>
      <c r="R290" s="171" t="n"/>
      <c r="S290" s="171" t="n"/>
      <c r="T290" s="171" t="n"/>
      <c r="U290" s="171" t="n"/>
      <c r="V290" s="171" t="n"/>
      <c r="W290" s="171" t="n"/>
      <c r="X290" s="171" t="n"/>
      <c r="Y290" s="171" t="n"/>
      <c r="Z290" s="171" t="n"/>
      <c r="AA290" s="171" t="n"/>
      <c r="AB290" s="171" t="n"/>
    </row>
    <row r="291">
      <c r="A291" s="181" t="n"/>
      <c r="B291" s="181" t="n"/>
      <c r="C291" s="181" t="n"/>
      <c r="D291" s="181" t="n"/>
      <c r="E291" s="181" t="n"/>
      <c r="F291" s="208" t="n"/>
      <c r="G291" s="208" t="n"/>
      <c r="H291" s="208" t="n"/>
      <c r="I291" s="208" t="n"/>
      <c r="J291" s="208" t="n"/>
      <c r="K291" s="171" t="n"/>
      <c r="L291" s="171" t="n"/>
      <c r="M291" s="171" t="n"/>
      <c r="N291" s="171" t="n"/>
      <c r="O291" s="171" t="n"/>
      <c r="P291" s="171" t="n"/>
      <c r="Q291" s="171" t="n"/>
      <c r="R291" s="171" t="n"/>
      <c r="S291" s="171" t="n"/>
      <c r="T291" s="171" t="n"/>
      <c r="U291" s="171" t="n"/>
      <c r="V291" s="171" t="n"/>
      <c r="W291" s="171" t="n"/>
      <c r="X291" s="171" t="n"/>
      <c r="Y291" s="171" t="n"/>
      <c r="Z291" s="171" t="n"/>
      <c r="AA291" s="171" t="n"/>
      <c r="AB291" s="171" t="n"/>
    </row>
    <row r="292">
      <c r="A292" s="181" t="n"/>
      <c r="B292" s="181" t="n"/>
      <c r="C292" s="181" t="n"/>
      <c r="D292" s="181" t="n"/>
      <c r="E292" s="181" t="n"/>
      <c r="F292" s="208" t="n"/>
      <c r="G292" s="208" t="n"/>
      <c r="H292" s="208" t="n"/>
      <c r="I292" s="208" t="n"/>
      <c r="J292" s="208" t="n"/>
      <c r="K292" s="171" t="n"/>
      <c r="L292" s="171" t="n"/>
      <c r="M292" s="171" t="n"/>
      <c r="N292" s="171" t="n"/>
      <c r="O292" s="171" t="n"/>
      <c r="P292" s="171" t="n"/>
      <c r="Q292" s="171" t="n"/>
      <c r="R292" s="171" t="n"/>
      <c r="S292" s="171" t="n"/>
      <c r="T292" s="171" t="n"/>
      <c r="U292" s="171" t="n"/>
      <c r="V292" s="171" t="n"/>
      <c r="W292" s="171" t="n"/>
      <c r="X292" s="171" t="n"/>
      <c r="Y292" s="171" t="n"/>
      <c r="Z292" s="171" t="n"/>
      <c r="AA292" s="171" t="n"/>
      <c r="AB292" s="171" t="n"/>
    </row>
    <row r="293">
      <c r="A293" s="181" t="n"/>
      <c r="B293" s="181" t="n"/>
      <c r="C293" s="181" t="n"/>
      <c r="D293" s="181" t="n"/>
      <c r="E293" s="181" t="n"/>
      <c r="F293" s="208" t="n"/>
      <c r="G293" s="208" t="n"/>
      <c r="H293" s="208" t="n"/>
      <c r="I293" s="208" t="n"/>
      <c r="J293" s="208" t="n"/>
      <c r="K293" s="171" t="n"/>
      <c r="L293" s="171" t="n"/>
      <c r="M293" s="171" t="n"/>
      <c r="N293" s="171" t="n"/>
      <c r="O293" s="171" t="n"/>
      <c r="P293" s="171" t="n"/>
      <c r="Q293" s="171" t="n"/>
      <c r="R293" s="171" t="n"/>
      <c r="S293" s="171" t="n"/>
      <c r="T293" s="171" t="n"/>
      <c r="U293" s="171" t="n"/>
      <c r="V293" s="171" t="n"/>
      <c r="W293" s="171" t="n"/>
      <c r="X293" s="171" t="n"/>
      <c r="Y293" s="171" t="n"/>
      <c r="Z293" s="171" t="n"/>
      <c r="AA293" s="171" t="n"/>
      <c r="AB293" s="171" t="n"/>
    </row>
    <row r="294">
      <c r="A294" s="181" t="n"/>
      <c r="B294" s="181" t="n"/>
      <c r="C294" s="181" t="n"/>
      <c r="D294" s="181" t="n"/>
      <c r="E294" s="181" t="n"/>
      <c r="F294" s="208" t="n"/>
      <c r="G294" s="208" t="n"/>
      <c r="H294" s="208" t="n"/>
      <c r="I294" s="208" t="n"/>
      <c r="J294" s="208" t="n"/>
      <c r="K294" s="171" t="n"/>
      <c r="L294" s="171" t="n"/>
      <c r="M294" s="171" t="n"/>
      <c r="N294" s="171" t="n"/>
      <c r="O294" s="171" t="n"/>
      <c r="P294" s="171" t="n"/>
      <c r="Q294" s="171" t="n"/>
      <c r="R294" s="171" t="n"/>
      <c r="S294" s="171" t="n"/>
      <c r="T294" s="171" t="n"/>
      <c r="U294" s="171" t="n"/>
      <c r="V294" s="171" t="n"/>
      <c r="W294" s="171" t="n"/>
      <c r="X294" s="171" t="n"/>
      <c r="Y294" s="171" t="n"/>
      <c r="Z294" s="171" t="n"/>
      <c r="AA294" s="171" t="n"/>
      <c r="AB294" s="171" t="n"/>
    </row>
    <row r="295">
      <c r="A295" s="181" t="n"/>
      <c r="B295" s="181" t="n"/>
      <c r="C295" s="181" t="n"/>
      <c r="D295" s="181" t="n"/>
      <c r="E295" s="181" t="n"/>
      <c r="F295" s="208" t="n"/>
      <c r="G295" s="208" t="n"/>
      <c r="H295" s="208" t="n"/>
      <c r="I295" s="208" t="n"/>
      <c r="J295" s="208" t="n"/>
      <c r="K295" s="171" t="n"/>
      <c r="L295" s="171" t="n"/>
      <c r="M295" s="171" t="n"/>
      <c r="N295" s="171" t="n"/>
      <c r="O295" s="171" t="n"/>
      <c r="P295" s="171" t="n"/>
      <c r="Q295" s="171" t="n"/>
      <c r="R295" s="171" t="n"/>
      <c r="S295" s="171" t="n"/>
      <c r="T295" s="171" t="n"/>
      <c r="U295" s="171" t="n"/>
      <c r="V295" s="171" t="n"/>
      <c r="W295" s="171" t="n"/>
      <c r="X295" s="171" t="n"/>
      <c r="Y295" s="171" t="n"/>
      <c r="Z295" s="171" t="n"/>
      <c r="AA295" s="171" t="n"/>
      <c r="AB295" s="171" t="n"/>
    </row>
    <row r="296">
      <c r="A296" s="181" t="n"/>
      <c r="B296" s="181" t="n"/>
      <c r="C296" s="181" t="n"/>
      <c r="D296" s="181" t="n"/>
      <c r="E296" s="181" t="n"/>
      <c r="F296" s="208" t="n"/>
      <c r="G296" s="208" t="n"/>
      <c r="H296" s="208" t="n"/>
      <c r="I296" s="208" t="n"/>
      <c r="J296" s="208" t="n"/>
      <c r="K296" s="171" t="n"/>
      <c r="L296" s="171" t="n"/>
      <c r="M296" s="171" t="n"/>
      <c r="N296" s="171" t="n"/>
      <c r="O296" s="171" t="n"/>
      <c r="P296" s="171" t="n"/>
      <c r="Q296" s="171" t="n"/>
      <c r="R296" s="171" t="n"/>
      <c r="S296" s="171" t="n"/>
      <c r="T296" s="171" t="n"/>
      <c r="U296" s="171" t="n"/>
      <c r="V296" s="171" t="n"/>
      <c r="W296" s="171" t="n"/>
      <c r="X296" s="171" t="n"/>
      <c r="Y296" s="171" t="n"/>
      <c r="Z296" s="171" t="n"/>
      <c r="AA296" s="171" t="n"/>
      <c r="AB296" s="171" t="n"/>
    </row>
    <row r="297">
      <c r="A297" s="181" t="n"/>
      <c r="B297" s="181" t="n"/>
      <c r="C297" s="181" t="n"/>
      <c r="D297" s="181" t="n"/>
      <c r="E297" s="181" t="n"/>
      <c r="F297" s="208" t="n"/>
      <c r="G297" s="208" t="n"/>
      <c r="H297" s="208" t="n"/>
      <c r="I297" s="208" t="n"/>
      <c r="J297" s="208" t="n"/>
      <c r="K297" s="171" t="n"/>
      <c r="L297" s="171" t="n"/>
      <c r="M297" s="171" t="n"/>
      <c r="N297" s="171" t="n"/>
      <c r="O297" s="171" t="n"/>
      <c r="P297" s="171" t="n"/>
      <c r="Q297" s="171" t="n"/>
      <c r="R297" s="171" t="n"/>
      <c r="S297" s="171" t="n"/>
      <c r="T297" s="171" t="n"/>
      <c r="U297" s="171" t="n"/>
      <c r="V297" s="171" t="n"/>
      <c r="W297" s="171" t="n"/>
      <c r="X297" s="171" t="n"/>
      <c r="Y297" s="171" t="n"/>
      <c r="Z297" s="171" t="n"/>
      <c r="AA297" s="171" t="n"/>
      <c r="AB297" s="171" t="n"/>
    </row>
    <row r="298">
      <c r="A298" s="181" t="n"/>
      <c r="B298" s="181" t="n"/>
      <c r="C298" s="181" t="n"/>
      <c r="D298" s="181" t="n"/>
      <c r="E298" s="181" t="n"/>
      <c r="F298" s="208" t="n"/>
      <c r="G298" s="208" t="n"/>
      <c r="H298" s="208" t="n"/>
      <c r="I298" s="208" t="n"/>
      <c r="J298" s="208" t="n"/>
      <c r="K298" s="171" t="n"/>
      <c r="L298" s="171" t="n"/>
      <c r="M298" s="171" t="n"/>
      <c r="N298" s="171" t="n"/>
      <c r="O298" s="171" t="n"/>
      <c r="P298" s="171" t="n"/>
      <c r="Q298" s="171" t="n"/>
      <c r="R298" s="171" t="n"/>
      <c r="S298" s="171" t="n"/>
      <c r="T298" s="171" t="n"/>
      <c r="U298" s="171" t="n"/>
      <c r="V298" s="171" t="n"/>
      <c r="W298" s="171" t="n"/>
      <c r="X298" s="171" t="n"/>
      <c r="Y298" s="171" t="n"/>
      <c r="Z298" s="171" t="n"/>
      <c r="AA298" s="171" t="n"/>
      <c r="AB298" s="171" t="n"/>
    </row>
    <row r="299">
      <c r="A299" s="181" t="n"/>
      <c r="B299" s="181" t="n"/>
      <c r="C299" s="181" t="n"/>
      <c r="D299" s="181" t="n"/>
      <c r="E299" s="181" t="n"/>
      <c r="F299" s="208" t="n"/>
      <c r="G299" s="208" t="n"/>
      <c r="H299" s="208" t="n"/>
      <c r="I299" s="208" t="n"/>
      <c r="J299" s="208" t="n"/>
      <c r="K299" s="171" t="n"/>
      <c r="L299" s="171" t="n"/>
      <c r="M299" s="171" t="n"/>
      <c r="N299" s="171" t="n"/>
      <c r="O299" s="171" t="n"/>
      <c r="P299" s="171" t="n"/>
      <c r="Q299" s="171" t="n"/>
      <c r="R299" s="171" t="n"/>
      <c r="S299" s="171" t="n"/>
      <c r="T299" s="171" t="n"/>
      <c r="U299" s="171" t="n"/>
      <c r="V299" s="171" t="n"/>
      <c r="W299" s="171" t="n"/>
      <c r="X299" s="171" t="n"/>
      <c r="Y299" s="171" t="n"/>
      <c r="Z299" s="171" t="n"/>
      <c r="AA299" s="171" t="n"/>
      <c r="AB299" s="171" t="n"/>
    </row>
    <row r="300">
      <c r="A300" s="181" t="n"/>
      <c r="B300" s="181" t="n"/>
      <c r="C300" s="181" t="n"/>
      <c r="D300" s="181" t="n"/>
      <c r="E300" s="181" t="n"/>
      <c r="F300" s="208" t="n"/>
      <c r="G300" s="208" t="n"/>
      <c r="H300" s="208" t="n"/>
      <c r="I300" s="208" t="n"/>
      <c r="J300" s="208" t="n"/>
      <c r="K300" s="171" t="n"/>
      <c r="L300" s="171" t="n"/>
      <c r="M300" s="171" t="n"/>
      <c r="N300" s="171" t="n"/>
      <c r="O300" s="171" t="n"/>
      <c r="P300" s="171" t="n"/>
      <c r="Q300" s="171" t="n"/>
      <c r="R300" s="171" t="n"/>
      <c r="S300" s="171" t="n"/>
      <c r="T300" s="171" t="n"/>
      <c r="U300" s="171" t="n"/>
      <c r="V300" s="171" t="n"/>
      <c r="W300" s="171" t="n"/>
      <c r="X300" s="171" t="n"/>
      <c r="Y300" s="171" t="n"/>
      <c r="Z300" s="171" t="n"/>
      <c r="AA300" s="171" t="n"/>
      <c r="AB300" s="171" t="n"/>
    </row>
    <row r="301">
      <c r="A301" s="181" t="n"/>
      <c r="B301" s="181" t="n"/>
      <c r="C301" s="181" t="n"/>
      <c r="D301" s="181" t="n"/>
      <c r="E301" s="181" t="n"/>
      <c r="F301" s="208" t="n"/>
      <c r="G301" s="208" t="n"/>
      <c r="H301" s="208" t="n"/>
      <c r="I301" s="208" t="n"/>
      <c r="J301" s="208" t="n"/>
      <c r="K301" s="171" t="n"/>
      <c r="L301" s="171" t="n"/>
      <c r="M301" s="171" t="n"/>
      <c r="N301" s="171" t="n"/>
      <c r="O301" s="171" t="n"/>
      <c r="P301" s="171" t="n"/>
      <c r="Q301" s="171" t="n"/>
      <c r="R301" s="171" t="n"/>
      <c r="S301" s="171" t="n"/>
      <c r="T301" s="171" t="n"/>
      <c r="U301" s="171" t="n"/>
      <c r="V301" s="171" t="n"/>
      <c r="W301" s="171" t="n"/>
      <c r="X301" s="171" t="n"/>
      <c r="Y301" s="171" t="n"/>
      <c r="Z301" s="171" t="n"/>
      <c r="AA301" s="171" t="n"/>
      <c r="AB301" s="171" t="n"/>
    </row>
    <row r="302">
      <c r="A302" s="181" t="n"/>
      <c r="B302" s="181" t="n"/>
      <c r="C302" s="181" t="n"/>
      <c r="D302" s="181" t="n"/>
      <c r="E302" s="181" t="n"/>
      <c r="F302" s="208" t="n"/>
      <c r="G302" s="208" t="n"/>
      <c r="H302" s="208" t="n"/>
      <c r="I302" s="208" t="n"/>
      <c r="J302" s="208" t="n"/>
      <c r="K302" s="171" t="n"/>
      <c r="L302" s="171" t="n"/>
      <c r="M302" s="171" t="n"/>
      <c r="N302" s="171" t="n"/>
      <c r="O302" s="171" t="n"/>
      <c r="P302" s="171" t="n"/>
      <c r="Q302" s="171" t="n"/>
      <c r="R302" s="171" t="n"/>
      <c r="S302" s="171" t="n"/>
      <c r="T302" s="171" t="n"/>
      <c r="U302" s="171" t="n"/>
      <c r="V302" s="171" t="n"/>
      <c r="W302" s="171" t="n"/>
      <c r="X302" s="171" t="n"/>
      <c r="Y302" s="171" t="n"/>
      <c r="Z302" s="171" t="n"/>
      <c r="AA302" s="171" t="n"/>
      <c r="AB302" s="171" t="n"/>
    </row>
    <row r="303">
      <c r="A303" s="181" t="n"/>
      <c r="B303" s="181" t="n"/>
      <c r="C303" s="181" t="n"/>
      <c r="D303" s="181" t="n"/>
      <c r="E303" s="181" t="n"/>
      <c r="F303" s="208" t="n"/>
      <c r="G303" s="208" t="n"/>
      <c r="H303" s="208" t="n"/>
      <c r="I303" s="208" t="n"/>
      <c r="J303" s="208" t="n"/>
      <c r="K303" s="171" t="n"/>
      <c r="L303" s="171" t="n"/>
      <c r="M303" s="171" t="n"/>
      <c r="N303" s="171" t="n"/>
      <c r="O303" s="171" t="n"/>
      <c r="P303" s="171" t="n"/>
      <c r="Q303" s="171" t="n"/>
      <c r="R303" s="171" t="n"/>
      <c r="S303" s="171" t="n"/>
      <c r="T303" s="171" t="n"/>
      <c r="U303" s="171" t="n"/>
      <c r="V303" s="171" t="n"/>
      <c r="W303" s="171" t="n"/>
      <c r="X303" s="171" t="n"/>
      <c r="Y303" s="171" t="n"/>
      <c r="Z303" s="171" t="n"/>
      <c r="AA303" s="171" t="n"/>
      <c r="AB303" s="171" t="n"/>
    </row>
    <row r="304">
      <c r="A304" s="181" t="n"/>
      <c r="B304" s="181" t="n"/>
      <c r="C304" s="181" t="n"/>
      <c r="D304" s="181" t="n"/>
      <c r="E304" s="181" t="n"/>
      <c r="F304" s="208" t="n"/>
      <c r="G304" s="208" t="n"/>
      <c r="H304" s="208" t="n"/>
      <c r="I304" s="208" t="n"/>
      <c r="J304" s="208" t="n"/>
      <c r="K304" s="171" t="n"/>
      <c r="L304" s="171" t="n"/>
      <c r="M304" s="171" t="n"/>
      <c r="N304" s="171" t="n"/>
      <c r="O304" s="171" t="n"/>
      <c r="P304" s="171" t="n"/>
      <c r="Q304" s="171" t="n"/>
      <c r="R304" s="171" t="n"/>
      <c r="S304" s="171" t="n"/>
      <c r="T304" s="171" t="n"/>
      <c r="U304" s="171" t="n"/>
      <c r="V304" s="171" t="n"/>
      <c r="W304" s="171" t="n"/>
      <c r="X304" s="171" t="n"/>
      <c r="Y304" s="171" t="n"/>
      <c r="Z304" s="171" t="n"/>
      <c r="AA304" s="171" t="n"/>
      <c r="AB304" s="171" t="n"/>
    </row>
    <row r="305">
      <c r="A305" s="181" t="n"/>
      <c r="B305" s="181" t="n"/>
      <c r="C305" s="181" t="n"/>
      <c r="D305" s="181" t="n"/>
      <c r="E305" s="181" t="n"/>
      <c r="F305" s="208" t="n"/>
      <c r="G305" s="208" t="n"/>
      <c r="H305" s="208" t="n"/>
      <c r="I305" s="208" t="n"/>
      <c r="J305" s="208" t="n"/>
      <c r="K305" s="171" t="n"/>
      <c r="L305" s="171" t="n"/>
      <c r="M305" s="171" t="n"/>
      <c r="N305" s="171" t="n"/>
      <c r="O305" s="171" t="n"/>
      <c r="P305" s="171" t="n"/>
      <c r="Q305" s="171" t="n"/>
      <c r="R305" s="171" t="n"/>
      <c r="S305" s="171" t="n"/>
      <c r="T305" s="171" t="n"/>
      <c r="U305" s="171" t="n"/>
      <c r="V305" s="171" t="n"/>
      <c r="W305" s="171" t="n"/>
      <c r="X305" s="171" t="n"/>
      <c r="Y305" s="171" t="n"/>
      <c r="Z305" s="171" t="n"/>
      <c r="AA305" s="171" t="n"/>
      <c r="AB305" s="171" t="n"/>
    </row>
    <row r="306">
      <c r="A306" s="181" t="n"/>
      <c r="B306" s="181" t="n"/>
      <c r="C306" s="181" t="n"/>
      <c r="D306" s="181" t="n"/>
      <c r="E306" s="181" t="n"/>
      <c r="F306" s="208" t="n"/>
      <c r="G306" s="208" t="n"/>
      <c r="H306" s="208" t="n"/>
      <c r="I306" s="208" t="n"/>
      <c r="J306" s="208" t="n"/>
      <c r="K306" s="171" t="n"/>
      <c r="L306" s="171" t="n"/>
      <c r="M306" s="171" t="n"/>
      <c r="N306" s="171" t="n"/>
      <c r="O306" s="171" t="n"/>
      <c r="P306" s="171" t="n"/>
      <c r="Q306" s="171" t="n"/>
      <c r="R306" s="171" t="n"/>
      <c r="S306" s="171" t="n"/>
      <c r="T306" s="171" t="n"/>
      <c r="U306" s="171" t="n"/>
      <c r="V306" s="171" t="n"/>
      <c r="W306" s="171" t="n"/>
      <c r="X306" s="171" t="n"/>
      <c r="Y306" s="171" t="n"/>
      <c r="Z306" s="171" t="n"/>
      <c r="AA306" s="171" t="n"/>
      <c r="AB306" s="171" t="n"/>
    </row>
    <row r="307">
      <c r="A307" s="181" t="n"/>
      <c r="B307" s="181" t="n"/>
      <c r="C307" s="181" t="n"/>
      <c r="D307" s="181" t="n"/>
      <c r="E307" s="181" t="n"/>
      <c r="F307" s="208" t="n"/>
      <c r="G307" s="208" t="n"/>
      <c r="H307" s="208" t="n"/>
      <c r="I307" s="208" t="n"/>
      <c r="J307" s="208" t="n"/>
      <c r="K307" s="171" t="n"/>
      <c r="L307" s="171" t="n"/>
      <c r="M307" s="171" t="n"/>
      <c r="N307" s="171" t="n"/>
      <c r="O307" s="171" t="n"/>
      <c r="P307" s="171" t="n"/>
      <c r="Q307" s="171" t="n"/>
      <c r="R307" s="171" t="n"/>
      <c r="S307" s="171" t="n"/>
      <c r="T307" s="171" t="n"/>
      <c r="U307" s="171" t="n"/>
      <c r="V307" s="171" t="n"/>
      <c r="W307" s="171" t="n"/>
      <c r="X307" s="171" t="n"/>
      <c r="Y307" s="171" t="n"/>
      <c r="Z307" s="171" t="n"/>
      <c r="AA307" s="171" t="n"/>
      <c r="AB307" s="171" t="n"/>
    </row>
    <row r="308">
      <c r="A308" s="181" t="n"/>
      <c r="B308" s="181" t="n"/>
      <c r="C308" s="181" t="n"/>
      <c r="D308" s="181" t="n"/>
      <c r="E308" s="181" t="n"/>
      <c r="F308" s="208" t="n"/>
      <c r="G308" s="208" t="n"/>
      <c r="H308" s="208" t="n"/>
      <c r="I308" s="208" t="n"/>
      <c r="J308" s="208" t="n"/>
      <c r="K308" s="171" t="n"/>
      <c r="L308" s="171" t="n"/>
      <c r="M308" s="171" t="n"/>
      <c r="N308" s="171" t="n"/>
      <c r="O308" s="171" t="n"/>
      <c r="P308" s="171" t="n"/>
      <c r="Q308" s="171" t="n"/>
      <c r="R308" s="171" t="n"/>
      <c r="S308" s="171" t="n"/>
      <c r="T308" s="171" t="n"/>
      <c r="U308" s="171" t="n"/>
      <c r="V308" s="171" t="n"/>
      <c r="W308" s="171" t="n"/>
      <c r="X308" s="171" t="n"/>
      <c r="Y308" s="171" t="n"/>
      <c r="Z308" s="171" t="n"/>
      <c r="AA308" s="171" t="n"/>
      <c r="AB308" s="171" t="n"/>
    </row>
    <row r="309">
      <c r="A309" s="181" t="n"/>
      <c r="B309" s="181" t="n"/>
      <c r="C309" s="181" t="n"/>
      <c r="D309" s="181" t="n"/>
      <c r="E309" s="181" t="n"/>
      <c r="F309" s="208" t="n"/>
      <c r="G309" s="208" t="n"/>
      <c r="H309" s="208" t="n"/>
      <c r="I309" s="208" t="n"/>
      <c r="J309" s="208" t="n"/>
      <c r="K309" s="171" t="n"/>
      <c r="L309" s="171" t="n"/>
      <c r="M309" s="171" t="n"/>
      <c r="N309" s="171" t="n"/>
      <c r="O309" s="171" t="n"/>
      <c r="P309" s="171" t="n"/>
      <c r="Q309" s="171" t="n"/>
      <c r="R309" s="171" t="n"/>
      <c r="S309" s="171" t="n"/>
      <c r="T309" s="171" t="n"/>
      <c r="U309" s="171" t="n"/>
      <c r="V309" s="171" t="n"/>
      <c r="W309" s="171" t="n"/>
      <c r="X309" s="171" t="n"/>
      <c r="Y309" s="171" t="n"/>
      <c r="Z309" s="171" t="n"/>
      <c r="AA309" s="171" t="n"/>
      <c r="AB309" s="171" t="n"/>
    </row>
    <row r="310">
      <c r="A310" s="181" t="n"/>
      <c r="B310" s="181" t="n"/>
      <c r="C310" s="181" t="n"/>
      <c r="D310" s="181" t="n"/>
      <c r="E310" s="181" t="n"/>
      <c r="F310" s="208" t="n"/>
      <c r="G310" s="208" t="n"/>
      <c r="H310" s="208" t="n"/>
      <c r="I310" s="208" t="n"/>
      <c r="J310" s="208" t="n"/>
      <c r="K310" s="171" t="n"/>
      <c r="L310" s="171" t="n"/>
      <c r="M310" s="171" t="n"/>
      <c r="N310" s="171" t="n"/>
      <c r="O310" s="171" t="n"/>
      <c r="P310" s="171" t="n"/>
      <c r="Q310" s="171" t="n"/>
      <c r="R310" s="171" t="n"/>
      <c r="S310" s="171" t="n"/>
      <c r="T310" s="171" t="n"/>
      <c r="U310" s="171" t="n"/>
      <c r="V310" s="171" t="n"/>
      <c r="W310" s="171" t="n"/>
      <c r="X310" s="171" t="n"/>
      <c r="Y310" s="171" t="n"/>
      <c r="Z310" s="171" t="n"/>
      <c r="AA310" s="171" t="n"/>
      <c r="AB310" s="171" t="n"/>
    </row>
    <row r="311">
      <c r="A311" s="181" t="n"/>
      <c r="B311" s="181" t="n"/>
      <c r="C311" s="181" t="n"/>
      <c r="D311" s="181" t="n"/>
      <c r="E311" s="181" t="n"/>
      <c r="F311" s="208" t="n"/>
      <c r="G311" s="208" t="n"/>
      <c r="H311" s="208" t="n"/>
      <c r="I311" s="208" t="n"/>
      <c r="J311" s="208" t="n"/>
      <c r="K311" s="171" t="n"/>
      <c r="L311" s="171" t="n"/>
      <c r="M311" s="171" t="n"/>
      <c r="N311" s="171" t="n"/>
      <c r="O311" s="171" t="n"/>
      <c r="P311" s="171" t="n"/>
      <c r="Q311" s="171" t="n"/>
      <c r="R311" s="171" t="n"/>
      <c r="S311" s="171" t="n"/>
      <c r="T311" s="171" t="n"/>
      <c r="U311" s="171" t="n"/>
      <c r="V311" s="171" t="n"/>
      <c r="W311" s="171" t="n"/>
      <c r="X311" s="171" t="n"/>
      <c r="Y311" s="171" t="n"/>
      <c r="Z311" s="171" t="n"/>
      <c r="AA311" s="171" t="n"/>
      <c r="AB311" s="171" t="n"/>
    </row>
    <row r="312">
      <c r="A312" s="181" t="n"/>
      <c r="B312" s="181" t="n"/>
      <c r="C312" s="181" t="n"/>
      <c r="D312" s="181" t="n"/>
      <c r="E312" s="181" t="n"/>
      <c r="F312" s="208" t="n"/>
      <c r="G312" s="208" t="n"/>
      <c r="H312" s="208" t="n"/>
      <c r="I312" s="208" t="n"/>
      <c r="J312" s="208" t="n"/>
      <c r="K312" s="171" t="n"/>
      <c r="L312" s="171" t="n"/>
      <c r="M312" s="171" t="n"/>
      <c r="N312" s="171" t="n"/>
      <c r="O312" s="171" t="n"/>
      <c r="P312" s="171" t="n"/>
      <c r="Q312" s="171" t="n"/>
      <c r="R312" s="171" t="n"/>
      <c r="S312" s="171" t="n"/>
      <c r="T312" s="171" t="n"/>
      <c r="U312" s="171" t="n"/>
      <c r="V312" s="171" t="n"/>
      <c r="W312" s="171" t="n"/>
      <c r="X312" s="171" t="n"/>
      <c r="Y312" s="171" t="n"/>
      <c r="Z312" s="171" t="n"/>
      <c r="AA312" s="171" t="n"/>
      <c r="AB312" s="171" t="n"/>
    </row>
    <row r="313">
      <c r="A313" s="181" t="n"/>
      <c r="B313" s="181" t="n"/>
      <c r="C313" s="181" t="n"/>
      <c r="D313" s="181" t="n"/>
      <c r="E313" s="181" t="n"/>
      <c r="F313" s="208" t="n"/>
      <c r="G313" s="208" t="n"/>
      <c r="H313" s="208" t="n"/>
      <c r="I313" s="208" t="n"/>
      <c r="J313" s="208" t="n"/>
      <c r="K313" s="171" t="n"/>
      <c r="L313" s="171" t="n"/>
      <c r="M313" s="171" t="n"/>
      <c r="N313" s="171" t="n"/>
      <c r="O313" s="171" t="n"/>
      <c r="P313" s="171" t="n"/>
      <c r="Q313" s="171" t="n"/>
      <c r="R313" s="171" t="n"/>
      <c r="S313" s="171" t="n"/>
      <c r="T313" s="171" t="n"/>
      <c r="U313" s="171" t="n"/>
      <c r="V313" s="171" t="n"/>
      <c r="W313" s="171" t="n"/>
      <c r="X313" s="171" t="n"/>
      <c r="Y313" s="171" t="n"/>
      <c r="Z313" s="171" t="n"/>
      <c r="AA313" s="171" t="n"/>
      <c r="AB313" s="171" t="n"/>
    </row>
    <row r="314">
      <c r="A314" s="181" t="n"/>
      <c r="B314" s="181" t="n"/>
      <c r="C314" s="181" t="n"/>
      <c r="D314" s="181" t="n"/>
      <c r="E314" s="181" t="n"/>
      <c r="F314" s="208" t="n"/>
      <c r="G314" s="208" t="n"/>
      <c r="H314" s="208" t="n"/>
      <c r="I314" s="208" t="n"/>
      <c r="J314" s="208" t="n"/>
      <c r="K314" s="171" t="n"/>
      <c r="L314" s="171" t="n"/>
      <c r="M314" s="171" t="n"/>
      <c r="N314" s="171" t="n"/>
      <c r="O314" s="171" t="n"/>
      <c r="P314" s="171" t="n"/>
      <c r="Q314" s="171" t="n"/>
      <c r="R314" s="171" t="n"/>
      <c r="S314" s="171" t="n"/>
      <c r="T314" s="171" t="n"/>
      <c r="U314" s="171" t="n"/>
      <c r="V314" s="171" t="n"/>
      <c r="W314" s="171" t="n"/>
      <c r="X314" s="171" t="n"/>
      <c r="Y314" s="171" t="n"/>
      <c r="Z314" s="171" t="n"/>
      <c r="AA314" s="171" t="n"/>
      <c r="AB314" s="171" t="n"/>
    </row>
    <row r="315">
      <c r="A315" s="181" t="n"/>
      <c r="B315" s="181" t="n"/>
      <c r="C315" s="181" t="n"/>
      <c r="D315" s="181" t="n"/>
      <c r="E315" s="181" t="n"/>
      <c r="F315" s="208" t="n"/>
      <c r="G315" s="208" t="n"/>
      <c r="H315" s="208" t="n"/>
      <c r="I315" s="208" t="n"/>
      <c r="J315" s="208" t="n"/>
      <c r="K315" s="171" t="n"/>
      <c r="L315" s="171" t="n"/>
      <c r="M315" s="171" t="n"/>
      <c r="N315" s="171" t="n"/>
      <c r="O315" s="171" t="n"/>
      <c r="P315" s="171" t="n"/>
      <c r="Q315" s="171" t="n"/>
      <c r="R315" s="171" t="n"/>
      <c r="S315" s="171" t="n"/>
      <c r="T315" s="171" t="n"/>
      <c r="U315" s="171" t="n"/>
      <c r="V315" s="171" t="n"/>
      <c r="W315" s="171" t="n"/>
      <c r="X315" s="171" t="n"/>
      <c r="Y315" s="171" t="n"/>
      <c r="Z315" s="171" t="n"/>
      <c r="AA315" s="171" t="n"/>
      <c r="AB315" s="171" t="n"/>
    </row>
    <row r="316">
      <c r="A316" s="181" t="n"/>
      <c r="B316" s="181" t="n"/>
      <c r="C316" s="181" t="n"/>
      <c r="D316" s="181" t="n"/>
      <c r="E316" s="181" t="n"/>
      <c r="F316" s="208" t="n"/>
      <c r="G316" s="208" t="n"/>
      <c r="H316" s="208" t="n"/>
      <c r="I316" s="208" t="n"/>
      <c r="J316" s="208" t="n"/>
      <c r="K316" s="171" t="n"/>
      <c r="L316" s="171" t="n"/>
      <c r="M316" s="171" t="n"/>
      <c r="N316" s="171" t="n"/>
      <c r="O316" s="171" t="n"/>
      <c r="P316" s="171" t="n"/>
      <c r="Q316" s="171" t="n"/>
      <c r="R316" s="171" t="n"/>
      <c r="S316" s="171" t="n"/>
      <c r="T316" s="171" t="n"/>
      <c r="U316" s="171" t="n"/>
      <c r="V316" s="171" t="n"/>
      <c r="W316" s="171" t="n"/>
      <c r="X316" s="171" t="n"/>
      <c r="Y316" s="171" t="n"/>
      <c r="Z316" s="171" t="n"/>
      <c r="AA316" s="171" t="n"/>
      <c r="AB316" s="171" t="n"/>
    </row>
    <row r="317">
      <c r="A317" s="181" t="n"/>
      <c r="B317" s="181" t="n"/>
      <c r="C317" s="181" t="n"/>
      <c r="D317" s="181" t="n"/>
      <c r="E317" s="181" t="n"/>
      <c r="F317" s="208" t="n"/>
      <c r="G317" s="208" t="n"/>
      <c r="H317" s="208" t="n"/>
      <c r="I317" s="208" t="n"/>
      <c r="J317" s="208" t="n"/>
      <c r="K317" s="171" t="n"/>
      <c r="L317" s="171" t="n"/>
      <c r="M317" s="171" t="n"/>
      <c r="N317" s="171" t="n"/>
      <c r="O317" s="171" t="n"/>
      <c r="P317" s="171" t="n"/>
      <c r="Q317" s="171" t="n"/>
      <c r="R317" s="171" t="n"/>
      <c r="S317" s="171" t="n"/>
      <c r="T317" s="171" t="n"/>
      <c r="U317" s="171" t="n"/>
      <c r="V317" s="171" t="n"/>
      <c r="W317" s="171" t="n"/>
      <c r="X317" s="171" t="n"/>
      <c r="Y317" s="171" t="n"/>
      <c r="Z317" s="171" t="n"/>
      <c r="AA317" s="171" t="n"/>
      <c r="AB317" s="171" t="n"/>
    </row>
    <row r="318">
      <c r="A318" s="181" t="n"/>
      <c r="B318" s="181" t="n"/>
      <c r="C318" s="181" t="n"/>
      <c r="D318" s="181" t="n"/>
      <c r="E318" s="181" t="n"/>
      <c r="F318" s="208" t="n"/>
      <c r="G318" s="208" t="n"/>
      <c r="H318" s="208" t="n"/>
      <c r="I318" s="208" t="n"/>
      <c r="J318" s="208" t="n"/>
      <c r="K318" s="171" t="n"/>
      <c r="L318" s="171" t="n"/>
      <c r="M318" s="171" t="n"/>
      <c r="N318" s="171" t="n"/>
      <c r="O318" s="171" t="n"/>
      <c r="P318" s="171" t="n"/>
      <c r="Q318" s="171" t="n"/>
      <c r="R318" s="171" t="n"/>
      <c r="S318" s="171" t="n"/>
      <c r="T318" s="171" t="n"/>
      <c r="U318" s="171" t="n"/>
      <c r="V318" s="171" t="n"/>
      <c r="W318" s="171" t="n"/>
      <c r="X318" s="171" t="n"/>
      <c r="Y318" s="171" t="n"/>
      <c r="Z318" s="171" t="n"/>
      <c r="AA318" s="171" t="n"/>
      <c r="AB318" s="171" t="n"/>
    </row>
    <row r="319">
      <c r="A319" s="181" t="n"/>
      <c r="B319" s="181" t="n"/>
      <c r="C319" s="181" t="n"/>
      <c r="D319" s="181" t="n"/>
      <c r="E319" s="181" t="n"/>
      <c r="F319" s="208" t="n"/>
      <c r="G319" s="208" t="n"/>
      <c r="H319" s="208" t="n"/>
      <c r="I319" s="208" t="n"/>
      <c r="J319" s="208" t="n"/>
      <c r="K319" s="171" t="n"/>
      <c r="L319" s="171" t="n"/>
      <c r="M319" s="171" t="n"/>
      <c r="N319" s="171" t="n"/>
      <c r="O319" s="171" t="n"/>
      <c r="P319" s="171" t="n"/>
      <c r="Q319" s="171" t="n"/>
      <c r="R319" s="171" t="n"/>
      <c r="S319" s="171" t="n"/>
      <c r="T319" s="171" t="n"/>
      <c r="U319" s="171" t="n"/>
      <c r="V319" s="171" t="n"/>
      <c r="W319" s="171" t="n"/>
      <c r="X319" s="171" t="n"/>
      <c r="Y319" s="171" t="n"/>
      <c r="Z319" s="171" t="n"/>
      <c r="AA319" s="171" t="n"/>
      <c r="AB319" s="171" t="n"/>
    </row>
    <row r="320">
      <c r="A320" s="181" t="n"/>
      <c r="B320" s="181" t="n"/>
      <c r="C320" s="181" t="n"/>
      <c r="D320" s="181" t="n"/>
      <c r="E320" s="181" t="n"/>
      <c r="F320" s="208" t="n"/>
      <c r="G320" s="208" t="n"/>
      <c r="H320" s="208" t="n"/>
      <c r="I320" s="208" t="n"/>
      <c r="J320" s="208" t="n"/>
      <c r="K320" s="171" t="n"/>
      <c r="L320" s="171" t="n"/>
      <c r="M320" s="171" t="n"/>
      <c r="N320" s="171" t="n"/>
      <c r="O320" s="171" t="n"/>
      <c r="P320" s="171" t="n"/>
      <c r="Q320" s="171" t="n"/>
      <c r="R320" s="171" t="n"/>
      <c r="S320" s="171" t="n"/>
      <c r="T320" s="171" t="n"/>
      <c r="U320" s="171" t="n"/>
      <c r="V320" s="171" t="n"/>
      <c r="W320" s="171" t="n"/>
      <c r="X320" s="171" t="n"/>
      <c r="Y320" s="171" t="n"/>
      <c r="Z320" s="171" t="n"/>
      <c r="AA320" s="171" t="n"/>
      <c r="AB320" s="171" t="n"/>
    </row>
    <row r="321">
      <c r="A321" s="181" t="n"/>
      <c r="B321" s="181" t="n"/>
      <c r="C321" s="181" t="n"/>
      <c r="D321" s="181" t="n"/>
      <c r="E321" s="181" t="n"/>
      <c r="F321" s="208" t="n"/>
      <c r="G321" s="208" t="n"/>
      <c r="H321" s="208" t="n"/>
      <c r="I321" s="208" t="n"/>
      <c r="J321" s="208" t="n"/>
      <c r="K321" s="171" t="n"/>
      <c r="L321" s="171" t="n"/>
      <c r="M321" s="171" t="n"/>
      <c r="N321" s="171" t="n"/>
      <c r="O321" s="171" t="n"/>
      <c r="P321" s="171" t="n"/>
      <c r="Q321" s="171" t="n"/>
      <c r="R321" s="171" t="n"/>
      <c r="S321" s="171" t="n"/>
      <c r="T321" s="171" t="n"/>
      <c r="U321" s="171" t="n"/>
      <c r="V321" s="171" t="n"/>
      <c r="W321" s="171" t="n"/>
      <c r="X321" s="171" t="n"/>
      <c r="Y321" s="171" t="n"/>
      <c r="Z321" s="171" t="n"/>
      <c r="AA321" s="171" t="n"/>
      <c r="AB321" s="171" t="n"/>
    </row>
    <row r="322">
      <c r="A322" s="181" t="n"/>
      <c r="B322" s="181" t="n"/>
      <c r="C322" s="181" t="n"/>
      <c r="D322" s="181" t="n"/>
      <c r="E322" s="181" t="n"/>
      <c r="F322" s="208" t="n"/>
      <c r="G322" s="208" t="n"/>
      <c r="H322" s="208" t="n"/>
      <c r="I322" s="208" t="n"/>
      <c r="J322" s="208" t="n"/>
      <c r="K322" s="171" t="n"/>
      <c r="L322" s="171" t="n"/>
      <c r="M322" s="171" t="n"/>
      <c r="N322" s="171" t="n"/>
      <c r="O322" s="171" t="n"/>
      <c r="P322" s="171" t="n"/>
      <c r="Q322" s="171" t="n"/>
      <c r="R322" s="171" t="n"/>
      <c r="S322" s="171" t="n"/>
      <c r="T322" s="171" t="n"/>
      <c r="U322" s="171" t="n"/>
      <c r="V322" s="171" t="n"/>
      <c r="W322" s="171" t="n"/>
      <c r="X322" s="171" t="n"/>
      <c r="Y322" s="171" t="n"/>
      <c r="Z322" s="171" t="n"/>
      <c r="AA322" s="171" t="n"/>
      <c r="AB322" s="171" t="n"/>
    </row>
    <row r="323">
      <c r="A323" s="181" t="n"/>
      <c r="B323" s="181" t="n"/>
      <c r="C323" s="181" t="n"/>
      <c r="D323" s="181" t="n"/>
      <c r="E323" s="181" t="n"/>
      <c r="F323" s="208" t="n"/>
      <c r="G323" s="208" t="n"/>
      <c r="H323" s="208" t="n"/>
      <c r="I323" s="208" t="n"/>
      <c r="J323" s="208" t="n"/>
      <c r="K323" s="171" t="n"/>
      <c r="L323" s="171" t="n"/>
      <c r="M323" s="171" t="n"/>
      <c r="N323" s="171" t="n"/>
      <c r="O323" s="171" t="n"/>
      <c r="P323" s="171" t="n"/>
      <c r="Q323" s="171" t="n"/>
      <c r="R323" s="171" t="n"/>
      <c r="S323" s="171" t="n"/>
      <c r="T323" s="171" t="n"/>
      <c r="U323" s="171" t="n"/>
      <c r="V323" s="171" t="n"/>
      <c r="W323" s="171" t="n"/>
      <c r="X323" s="171" t="n"/>
      <c r="Y323" s="171" t="n"/>
      <c r="Z323" s="171" t="n"/>
      <c r="AA323" s="171" t="n"/>
      <c r="AB323" s="171" t="n"/>
    </row>
    <row r="324">
      <c r="A324" s="181" t="n"/>
      <c r="B324" s="181" t="n"/>
      <c r="C324" s="181" t="n"/>
      <c r="D324" s="181" t="n"/>
      <c r="E324" s="181" t="n"/>
      <c r="F324" s="208" t="n"/>
      <c r="G324" s="208" t="n"/>
      <c r="H324" s="208" t="n"/>
      <c r="I324" s="208" t="n"/>
      <c r="J324" s="208" t="n"/>
      <c r="K324" s="171" t="n"/>
      <c r="L324" s="171" t="n"/>
      <c r="M324" s="171" t="n"/>
      <c r="N324" s="171" t="n"/>
      <c r="O324" s="171" t="n"/>
      <c r="P324" s="171" t="n"/>
      <c r="Q324" s="171" t="n"/>
      <c r="R324" s="171" t="n"/>
      <c r="S324" s="171" t="n"/>
      <c r="T324" s="171" t="n"/>
      <c r="U324" s="171" t="n"/>
      <c r="V324" s="171" t="n"/>
      <c r="W324" s="171" t="n"/>
      <c r="X324" s="171" t="n"/>
      <c r="Y324" s="171" t="n"/>
      <c r="Z324" s="171" t="n"/>
      <c r="AA324" s="171" t="n"/>
      <c r="AB324" s="171" t="n"/>
    </row>
    <row r="325">
      <c r="A325" s="181" t="n"/>
      <c r="B325" s="181" t="n"/>
      <c r="C325" s="181" t="n"/>
      <c r="D325" s="181" t="n"/>
      <c r="E325" s="181" t="n"/>
      <c r="F325" s="208" t="n"/>
      <c r="G325" s="208" t="n"/>
      <c r="H325" s="208" t="n"/>
      <c r="I325" s="208" t="n"/>
      <c r="J325" s="208" t="n"/>
      <c r="K325" s="171" t="n"/>
      <c r="L325" s="171" t="n"/>
      <c r="M325" s="171" t="n"/>
      <c r="N325" s="171" t="n"/>
      <c r="O325" s="171" t="n"/>
      <c r="P325" s="171" t="n"/>
      <c r="Q325" s="171" t="n"/>
      <c r="R325" s="171" t="n"/>
      <c r="S325" s="171" t="n"/>
      <c r="T325" s="171" t="n"/>
      <c r="U325" s="171" t="n"/>
      <c r="V325" s="171" t="n"/>
      <c r="W325" s="171" t="n"/>
      <c r="X325" s="171" t="n"/>
      <c r="Y325" s="171" t="n"/>
      <c r="Z325" s="171" t="n"/>
      <c r="AA325" s="171" t="n"/>
      <c r="AB325" s="171" t="n"/>
    </row>
    <row r="326">
      <c r="A326" s="181" t="n"/>
      <c r="B326" s="181" t="n"/>
      <c r="C326" s="181" t="n"/>
      <c r="D326" s="181" t="n"/>
      <c r="E326" s="181" t="n"/>
      <c r="F326" s="208" t="n"/>
      <c r="G326" s="208" t="n"/>
      <c r="H326" s="208" t="n"/>
      <c r="I326" s="208" t="n"/>
      <c r="J326" s="208" t="n"/>
      <c r="K326" s="171" t="n"/>
      <c r="L326" s="171" t="n"/>
      <c r="M326" s="171" t="n"/>
      <c r="N326" s="171" t="n"/>
      <c r="O326" s="171" t="n"/>
      <c r="P326" s="171" t="n"/>
      <c r="Q326" s="171" t="n"/>
      <c r="R326" s="171" t="n"/>
      <c r="S326" s="171" t="n"/>
      <c r="T326" s="171" t="n"/>
      <c r="U326" s="171" t="n"/>
      <c r="V326" s="171" t="n"/>
      <c r="W326" s="171" t="n"/>
      <c r="X326" s="171" t="n"/>
      <c r="Y326" s="171" t="n"/>
      <c r="Z326" s="171" t="n"/>
      <c r="AA326" s="171" t="n"/>
      <c r="AB326" s="171" t="n"/>
    </row>
    <row r="327">
      <c r="A327" s="181" t="n"/>
      <c r="B327" s="181" t="n"/>
      <c r="C327" s="181" t="n"/>
      <c r="D327" s="181" t="n"/>
      <c r="E327" s="181" t="n"/>
      <c r="F327" s="208" t="n"/>
      <c r="G327" s="208" t="n"/>
      <c r="H327" s="208" t="n"/>
      <c r="I327" s="208" t="n"/>
      <c r="J327" s="208" t="n"/>
      <c r="K327" s="171" t="n"/>
      <c r="L327" s="171" t="n"/>
      <c r="M327" s="171" t="n"/>
      <c r="N327" s="171" t="n"/>
      <c r="O327" s="171" t="n"/>
      <c r="P327" s="171" t="n"/>
      <c r="Q327" s="171" t="n"/>
      <c r="R327" s="171" t="n"/>
      <c r="S327" s="171" t="n"/>
      <c r="T327" s="171" t="n"/>
      <c r="U327" s="171" t="n"/>
      <c r="V327" s="171" t="n"/>
      <c r="W327" s="171" t="n"/>
      <c r="X327" s="171" t="n"/>
      <c r="Y327" s="171" t="n"/>
      <c r="Z327" s="171" t="n"/>
      <c r="AA327" s="171" t="n"/>
      <c r="AB327" s="171" t="n"/>
    </row>
    <row r="328">
      <c r="A328" s="181" t="n"/>
      <c r="B328" s="181" t="n"/>
      <c r="C328" s="181" t="n"/>
      <c r="D328" s="181" t="n"/>
      <c r="E328" s="181" t="n"/>
      <c r="F328" s="208" t="n"/>
      <c r="G328" s="208" t="n"/>
      <c r="H328" s="208" t="n"/>
      <c r="I328" s="208" t="n"/>
      <c r="J328" s="208" t="n"/>
      <c r="K328" s="171" t="n"/>
      <c r="L328" s="171" t="n"/>
      <c r="M328" s="171" t="n"/>
      <c r="N328" s="171" t="n"/>
      <c r="O328" s="171" t="n"/>
      <c r="P328" s="171" t="n"/>
      <c r="Q328" s="171" t="n"/>
      <c r="R328" s="171" t="n"/>
      <c r="S328" s="171" t="n"/>
      <c r="T328" s="171" t="n"/>
      <c r="U328" s="171" t="n"/>
      <c r="V328" s="171" t="n"/>
      <c r="W328" s="171" t="n"/>
      <c r="X328" s="171" t="n"/>
      <c r="Y328" s="171" t="n"/>
      <c r="Z328" s="171" t="n"/>
      <c r="AA328" s="171" t="n"/>
      <c r="AB328" s="171" t="n"/>
    </row>
    <row r="329">
      <c r="A329" s="181" t="n"/>
      <c r="B329" s="181" t="n"/>
      <c r="C329" s="181" t="n"/>
      <c r="D329" s="181" t="n"/>
      <c r="E329" s="181" t="n"/>
      <c r="F329" s="208" t="n"/>
      <c r="G329" s="208" t="n"/>
      <c r="H329" s="208" t="n"/>
      <c r="I329" s="208" t="n"/>
      <c r="J329" s="208" t="n"/>
      <c r="K329" s="171" t="n"/>
      <c r="L329" s="171" t="n"/>
      <c r="M329" s="171" t="n"/>
      <c r="N329" s="171" t="n"/>
      <c r="O329" s="171" t="n"/>
      <c r="P329" s="171" t="n"/>
      <c r="Q329" s="171" t="n"/>
      <c r="R329" s="171" t="n"/>
      <c r="S329" s="171" t="n"/>
      <c r="T329" s="171" t="n"/>
      <c r="U329" s="171" t="n"/>
      <c r="V329" s="171" t="n"/>
      <c r="W329" s="171" t="n"/>
      <c r="X329" s="171" t="n"/>
      <c r="Y329" s="171" t="n"/>
      <c r="Z329" s="171" t="n"/>
      <c r="AA329" s="171" t="n"/>
      <c r="AB329" s="171" t="n"/>
    </row>
    <row r="330">
      <c r="A330" s="181" t="n"/>
      <c r="B330" s="181" t="n"/>
      <c r="C330" s="181" t="n"/>
      <c r="D330" s="181" t="n"/>
      <c r="E330" s="181" t="n"/>
      <c r="F330" s="208" t="n"/>
      <c r="G330" s="208" t="n"/>
      <c r="H330" s="208" t="n"/>
      <c r="I330" s="208" t="n"/>
      <c r="J330" s="208" t="n"/>
      <c r="K330" s="171" t="n"/>
      <c r="L330" s="171" t="n"/>
      <c r="M330" s="171" t="n"/>
      <c r="N330" s="171" t="n"/>
      <c r="O330" s="171" t="n"/>
      <c r="P330" s="171" t="n"/>
      <c r="Q330" s="171" t="n"/>
      <c r="R330" s="171" t="n"/>
      <c r="S330" s="171" t="n"/>
      <c r="T330" s="171" t="n"/>
      <c r="U330" s="171" t="n"/>
      <c r="V330" s="171" t="n"/>
      <c r="W330" s="171" t="n"/>
      <c r="X330" s="171" t="n"/>
      <c r="Y330" s="171" t="n"/>
      <c r="Z330" s="171" t="n"/>
      <c r="AA330" s="171" t="n"/>
      <c r="AB330" s="171" t="n"/>
    </row>
    <row r="331">
      <c r="A331" s="181" t="n"/>
      <c r="B331" s="181" t="n"/>
      <c r="C331" s="181" t="n"/>
      <c r="D331" s="181" t="n"/>
      <c r="E331" s="181" t="n"/>
      <c r="F331" s="208" t="n"/>
      <c r="G331" s="208" t="n"/>
      <c r="H331" s="208" t="n"/>
      <c r="I331" s="208" t="n"/>
      <c r="J331" s="208" t="n"/>
      <c r="K331" s="171" t="n"/>
      <c r="L331" s="171" t="n"/>
      <c r="M331" s="171" t="n"/>
      <c r="N331" s="171" t="n"/>
      <c r="O331" s="171" t="n"/>
      <c r="P331" s="171" t="n"/>
      <c r="Q331" s="171" t="n"/>
      <c r="R331" s="171" t="n"/>
      <c r="S331" s="171" t="n"/>
      <c r="T331" s="171" t="n"/>
      <c r="U331" s="171" t="n"/>
      <c r="V331" s="171" t="n"/>
      <c r="W331" s="171" t="n"/>
      <c r="X331" s="171" t="n"/>
      <c r="Y331" s="171" t="n"/>
      <c r="Z331" s="171" t="n"/>
      <c r="AA331" s="171" t="n"/>
      <c r="AB331" s="171" t="n"/>
    </row>
    <row r="332">
      <c r="A332" s="181" t="n"/>
      <c r="B332" s="181" t="n"/>
      <c r="C332" s="181" t="n"/>
      <c r="D332" s="181" t="n"/>
      <c r="E332" s="181" t="n"/>
      <c r="F332" s="208" t="n"/>
      <c r="G332" s="208" t="n"/>
      <c r="H332" s="208" t="n"/>
      <c r="I332" s="208" t="n"/>
      <c r="J332" s="208" t="n"/>
      <c r="K332" s="171" t="n"/>
      <c r="L332" s="171" t="n"/>
      <c r="M332" s="171" t="n"/>
      <c r="N332" s="171" t="n"/>
      <c r="O332" s="171" t="n"/>
      <c r="P332" s="171" t="n"/>
      <c r="Q332" s="171" t="n"/>
      <c r="R332" s="171" t="n"/>
      <c r="S332" s="171" t="n"/>
      <c r="T332" s="171" t="n"/>
      <c r="U332" s="171" t="n"/>
      <c r="V332" s="171" t="n"/>
      <c r="W332" s="171" t="n"/>
      <c r="X332" s="171" t="n"/>
      <c r="Y332" s="171" t="n"/>
      <c r="Z332" s="171" t="n"/>
      <c r="AA332" s="171" t="n"/>
      <c r="AB332" s="171" t="n"/>
    </row>
    <row r="333">
      <c r="A333" s="181" t="n"/>
      <c r="B333" s="181" t="n"/>
      <c r="C333" s="181" t="n"/>
      <c r="D333" s="181" t="n"/>
      <c r="E333" s="181" t="n"/>
      <c r="F333" s="208" t="n"/>
      <c r="G333" s="208" t="n"/>
      <c r="H333" s="208" t="n"/>
      <c r="I333" s="208" t="n"/>
      <c r="J333" s="208" t="n"/>
      <c r="K333" s="171" t="n"/>
      <c r="L333" s="171" t="n"/>
      <c r="M333" s="171" t="n"/>
      <c r="N333" s="171" t="n"/>
      <c r="O333" s="171" t="n"/>
      <c r="P333" s="171" t="n"/>
      <c r="Q333" s="171" t="n"/>
      <c r="R333" s="171" t="n"/>
      <c r="S333" s="171" t="n"/>
      <c r="T333" s="171" t="n"/>
      <c r="U333" s="171" t="n"/>
      <c r="V333" s="171" t="n"/>
      <c r="W333" s="171" t="n"/>
      <c r="X333" s="171" t="n"/>
      <c r="Y333" s="171" t="n"/>
      <c r="Z333" s="171" t="n"/>
      <c r="AA333" s="171" t="n"/>
      <c r="AB333" s="171" t="n"/>
    </row>
    <row r="334">
      <c r="A334" s="181" t="n"/>
      <c r="B334" s="181" t="n"/>
      <c r="C334" s="181" t="n"/>
      <c r="D334" s="181" t="n"/>
      <c r="E334" s="181" t="n"/>
      <c r="F334" s="208" t="n"/>
      <c r="G334" s="208" t="n"/>
      <c r="H334" s="208" t="n"/>
      <c r="I334" s="208" t="n"/>
      <c r="J334" s="208" t="n"/>
      <c r="K334" s="171" t="n"/>
      <c r="L334" s="171" t="n"/>
      <c r="M334" s="171" t="n"/>
      <c r="N334" s="171" t="n"/>
      <c r="O334" s="171" t="n"/>
      <c r="P334" s="171" t="n"/>
      <c r="Q334" s="171" t="n"/>
      <c r="R334" s="171" t="n"/>
      <c r="S334" s="171" t="n"/>
      <c r="T334" s="171" t="n"/>
      <c r="U334" s="171" t="n"/>
      <c r="V334" s="171" t="n"/>
      <c r="W334" s="171" t="n"/>
      <c r="X334" s="171" t="n"/>
      <c r="Y334" s="171" t="n"/>
      <c r="Z334" s="171" t="n"/>
      <c r="AA334" s="171" t="n"/>
      <c r="AB334" s="171" t="n"/>
    </row>
    <row r="335">
      <c r="A335" s="181" t="n"/>
      <c r="B335" s="181" t="n"/>
      <c r="C335" s="181" t="n"/>
      <c r="D335" s="181" t="n"/>
      <c r="E335" s="181" t="n"/>
      <c r="F335" s="208" t="n"/>
      <c r="G335" s="208" t="n"/>
      <c r="H335" s="208" t="n"/>
      <c r="I335" s="208" t="n"/>
      <c r="J335" s="208" t="n"/>
      <c r="K335" s="171" t="n"/>
      <c r="L335" s="171" t="n"/>
      <c r="M335" s="171" t="n"/>
      <c r="N335" s="171" t="n"/>
      <c r="O335" s="171" t="n"/>
      <c r="P335" s="171" t="n"/>
      <c r="Q335" s="171" t="n"/>
      <c r="R335" s="171" t="n"/>
      <c r="S335" s="171" t="n"/>
      <c r="T335" s="171" t="n"/>
      <c r="U335" s="171" t="n"/>
      <c r="V335" s="171" t="n"/>
      <c r="W335" s="171" t="n"/>
      <c r="X335" s="171" t="n"/>
      <c r="Y335" s="171" t="n"/>
      <c r="Z335" s="171" t="n"/>
      <c r="AA335" s="171" t="n"/>
      <c r="AB335" s="171" t="n"/>
    </row>
    <row r="336">
      <c r="A336" s="181" t="n"/>
      <c r="B336" s="181" t="n"/>
      <c r="C336" s="181" t="n"/>
      <c r="D336" s="181" t="n"/>
      <c r="E336" s="181" t="n"/>
      <c r="F336" s="208" t="n"/>
      <c r="G336" s="208" t="n"/>
      <c r="H336" s="208" t="n"/>
      <c r="I336" s="208" t="n"/>
      <c r="J336" s="208" t="n"/>
      <c r="K336" s="171" t="n"/>
      <c r="L336" s="171" t="n"/>
      <c r="M336" s="171" t="n"/>
      <c r="N336" s="171" t="n"/>
      <c r="O336" s="171" t="n"/>
      <c r="P336" s="171" t="n"/>
      <c r="Q336" s="171" t="n"/>
      <c r="R336" s="171" t="n"/>
      <c r="S336" s="171" t="n"/>
      <c r="T336" s="171" t="n"/>
      <c r="U336" s="171" t="n"/>
      <c r="V336" s="171" t="n"/>
      <c r="W336" s="171" t="n"/>
      <c r="X336" s="171" t="n"/>
      <c r="Y336" s="171" t="n"/>
      <c r="Z336" s="171" t="n"/>
      <c r="AA336" s="171" t="n"/>
      <c r="AB336" s="171" t="n"/>
    </row>
    <row r="337">
      <c r="A337" s="181" t="n"/>
      <c r="B337" s="181" t="n"/>
      <c r="C337" s="181" t="n"/>
      <c r="D337" s="181" t="n"/>
      <c r="E337" s="181" t="n"/>
      <c r="F337" s="208" t="n"/>
      <c r="G337" s="208" t="n"/>
      <c r="H337" s="208" t="n"/>
      <c r="I337" s="208" t="n"/>
      <c r="J337" s="208" t="n"/>
      <c r="K337" s="171" t="n"/>
      <c r="L337" s="171" t="n"/>
      <c r="M337" s="171" t="n"/>
      <c r="N337" s="171" t="n"/>
      <c r="O337" s="171" t="n"/>
      <c r="P337" s="171" t="n"/>
      <c r="Q337" s="171" t="n"/>
      <c r="R337" s="171" t="n"/>
      <c r="S337" s="171" t="n"/>
      <c r="T337" s="171" t="n"/>
      <c r="U337" s="171" t="n"/>
      <c r="V337" s="171" t="n"/>
      <c r="W337" s="171" t="n"/>
      <c r="X337" s="171" t="n"/>
      <c r="Y337" s="171" t="n"/>
      <c r="Z337" s="171" t="n"/>
      <c r="AA337" s="171" t="n"/>
      <c r="AB337" s="171" t="n"/>
    </row>
    <row r="338">
      <c r="A338" s="181" t="n"/>
      <c r="B338" s="181" t="n"/>
      <c r="C338" s="181" t="n"/>
      <c r="D338" s="181" t="n"/>
      <c r="E338" s="181" t="n"/>
      <c r="F338" s="208" t="n"/>
      <c r="G338" s="208" t="n"/>
      <c r="H338" s="208" t="n"/>
      <c r="I338" s="208" t="n"/>
      <c r="J338" s="208" t="n"/>
      <c r="K338" s="171" t="n"/>
      <c r="L338" s="171" t="n"/>
      <c r="M338" s="171" t="n"/>
      <c r="N338" s="171" t="n"/>
      <c r="O338" s="171" t="n"/>
      <c r="P338" s="171" t="n"/>
      <c r="Q338" s="171" t="n"/>
      <c r="R338" s="171" t="n"/>
      <c r="S338" s="171" t="n"/>
      <c r="T338" s="171" t="n"/>
      <c r="U338" s="171" t="n"/>
      <c r="V338" s="171" t="n"/>
      <c r="W338" s="171" t="n"/>
      <c r="X338" s="171" t="n"/>
      <c r="Y338" s="171" t="n"/>
      <c r="Z338" s="171" t="n"/>
      <c r="AA338" s="171" t="n"/>
      <c r="AB338" s="171" t="n"/>
    </row>
    <row r="339">
      <c r="A339" s="181" t="n"/>
      <c r="B339" s="181" t="n"/>
      <c r="C339" s="181" t="n"/>
      <c r="D339" s="181" t="n"/>
      <c r="E339" s="181" t="n"/>
      <c r="F339" s="208" t="n"/>
      <c r="G339" s="208" t="n"/>
      <c r="H339" s="208" t="n"/>
      <c r="I339" s="208" t="n"/>
      <c r="J339" s="208" t="n"/>
      <c r="K339" s="171" t="n"/>
      <c r="L339" s="171" t="n"/>
      <c r="M339" s="171" t="n"/>
      <c r="N339" s="171" t="n"/>
      <c r="O339" s="171" t="n"/>
      <c r="P339" s="171" t="n"/>
      <c r="Q339" s="171" t="n"/>
      <c r="R339" s="171" t="n"/>
      <c r="S339" s="171" t="n"/>
      <c r="T339" s="171" t="n"/>
      <c r="U339" s="171" t="n"/>
      <c r="V339" s="171" t="n"/>
      <c r="W339" s="171" t="n"/>
      <c r="X339" s="171" t="n"/>
      <c r="Y339" s="171" t="n"/>
      <c r="Z339" s="171" t="n"/>
      <c r="AA339" s="171" t="n"/>
      <c r="AB339" s="171" t="n"/>
    </row>
    <row r="340">
      <c r="A340" s="181" t="n"/>
      <c r="B340" s="181" t="n"/>
      <c r="C340" s="181" t="n"/>
      <c r="D340" s="181" t="n"/>
      <c r="E340" s="181" t="n"/>
      <c r="F340" s="208" t="n"/>
      <c r="G340" s="208" t="n"/>
      <c r="H340" s="208" t="n"/>
      <c r="I340" s="208" t="n"/>
      <c r="J340" s="208" t="n"/>
      <c r="K340" s="171" t="n"/>
      <c r="L340" s="171" t="n"/>
      <c r="M340" s="171" t="n"/>
      <c r="N340" s="171" t="n"/>
      <c r="O340" s="171" t="n"/>
      <c r="P340" s="171" t="n"/>
      <c r="Q340" s="171" t="n"/>
      <c r="R340" s="171" t="n"/>
      <c r="S340" s="171" t="n"/>
      <c r="T340" s="171" t="n"/>
      <c r="U340" s="171" t="n"/>
      <c r="V340" s="171" t="n"/>
      <c r="W340" s="171" t="n"/>
      <c r="X340" s="171" t="n"/>
      <c r="Y340" s="171" t="n"/>
      <c r="Z340" s="171" t="n"/>
      <c r="AA340" s="171" t="n"/>
      <c r="AB340" s="171" t="n"/>
    </row>
    <row r="341">
      <c r="A341" s="181" t="n"/>
      <c r="B341" s="181" t="n"/>
      <c r="C341" s="181" t="n"/>
      <c r="D341" s="181" t="n"/>
      <c r="E341" s="181" t="n"/>
      <c r="F341" s="208" t="n"/>
      <c r="G341" s="208" t="n"/>
      <c r="H341" s="208" t="n"/>
      <c r="I341" s="208" t="n"/>
      <c r="J341" s="208" t="n"/>
      <c r="K341" s="171" t="n"/>
      <c r="L341" s="171" t="n"/>
      <c r="M341" s="171" t="n"/>
      <c r="N341" s="171" t="n"/>
      <c r="O341" s="171" t="n"/>
      <c r="P341" s="171" t="n"/>
      <c r="Q341" s="171" t="n"/>
      <c r="R341" s="171" t="n"/>
      <c r="S341" s="171" t="n"/>
      <c r="T341" s="171" t="n"/>
      <c r="U341" s="171" t="n"/>
      <c r="V341" s="171" t="n"/>
      <c r="W341" s="171" t="n"/>
      <c r="X341" s="171" t="n"/>
      <c r="Y341" s="171" t="n"/>
      <c r="Z341" s="171" t="n"/>
      <c r="AA341" s="171" t="n"/>
      <c r="AB341" s="171" t="n"/>
    </row>
    <row r="342">
      <c r="A342" s="181" t="n"/>
      <c r="B342" s="181" t="n"/>
      <c r="C342" s="181" t="n"/>
      <c r="D342" s="181" t="n"/>
      <c r="E342" s="181" t="n"/>
      <c r="F342" s="208" t="n"/>
      <c r="G342" s="208" t="n"/>
      <c r="H342" s="208" t="n"/>
      <c r="I342" s="208" t="n"/>
      <c r="J342" s="208" t="n"/>
      <c r="K342" s="171" t="n"/>
      <c r="L342" s="171" t="n"/>
      <c r="M342" s="171" t="n"/>
      <c r="N342" s="171" t="n"/>
      <c r="O342" s="171" t="n"/>
      <c r="P342" s="171" t="n"/>
      <c r="Q342" s="171" t="n"/>
      <c r="R342" s="171" t="n"/>
      <c r="S342" s="171" t="n"/>
      <c r="T342" s="171" t="n"/>
      <c r="U342" s="171" t="n"/>
      <c r="V342" s="171" t="n"/>
      <c r="W342" s="171" t="n"/>
      <c r="X342" s="171" t="n"/>
      <c r="Y342" s="171" t="n"/>
      <c r="Z342" s="171" t="n"/>
      <c r="AA342" s="171" t="n"/>
      <c r="AB342" s="171" t="n"/>
    </row>
    <row r="343">
      <c r="A343" s="181" t="n"/>
      <c r="B343" s="181" t="n"/>
      <c r="C343" s="181" t="n"/>
      <c r="D343" s="181" t="n"/>
      <c r="E343" s="181" t="n"/>
      <c r="F343" s="208" t="n"/>
      <c r="G343" s="208" t="n"/>
      <c r="H343" s="208" t="n"/>
      <c r="I343" s="208" t="n"/>
      <c r="J343" s="208" t="n"/>
      <c r="K343" s="171" t="n"/>
      <c r="L343" s="171" t="n"/>
      <c r="M343" s="171" t="n"/>
      <c r="N343" s="171" t="n"/>
      <c r="O343" s="171" t="n"/>
      <c r="P343" s="171" t="n"/>
      <c r="Q343" s="171" t="n"/>
      <c r="R343" s="171" t="n"/>
      <c r="S343" s="171" t="n"/>
      <c r="T343" s="171" t="n"/>
      <c r="U343" s="171" t="n"/>
      <c r="V343" s="171" t="n"/>
      <c r="W343" s="171" t="n"/>
      <c r="X343" s="171" t="n"/>
      <c r="Y343" s="171" t="n"/>
      <c r="Z343" s="171" t="n"/>
      <c r="AA343" s="171" t="n"/>
      <c r="AB343" s="171" t="n"/>
    </row>
    <row r="344">
      <c r="A344" s="181" t="n"/>
      <c r="B344" s="181" t="n"/>
      <c r="C344" s="181" t="n"/>
      <c r="D344" s="181" t="n"/>
      <c r="E344" s="181" t="n"/>
      <c r="F344" s="208" t="n"/>
      <c r="G344" s="208" t="n"/>
      <c r="H344" s="208" t="n"/>
      <c r="I344" s="208" t="n"/>
      <c r="J344" s="208" t="n"/>
      <c r="K344" s="171" t="n"/>
      <c r="L344" s="171" t="n"/>
      <c r="M344" s="171" t="n"/>
      <c r="N344" s="171" t="n"/>
      <c r="O344" s="171" t="n"/>
      <c r="P344" s="171" t="n"/>
      <c r="Q344" s="171" t="n"/>
      <c r="R344" s="171" t="n"/>
      <c r="S344" s="171" t="n"/>
      <c r="T344" s="171" t="n"/>
      <c r="U344" s="171" t="n"/>
      <c r="V344" s="171" t="n"/>
      <c r="W344" s="171" t="n"/>
      <c r="X344" s="171" t="n"/>
      <c r="Y344" s="171" t="n"/>
      <c r="Z344" s="171" t="n"/>
      <c r="AA344" s="171" t="n"/>
      <c r="AB344" s="171" t="n"/>
    </row>
    <row r="345">
      <c r="A345" s="181" t="n"/>
      <c r="B345" s="181" t="n"/>
      <c r="C345" s="181" t="n"/>
      <c r="D345" s="181" t="n"/>
      <c r="E345" s="181" t="n"/>
      <c r="F345" s="208" t="n"/>
      <c r="G345" s="208" t="n"/>
      <c r="H345" s="208" t="n"/>
      <c r="I345" s="208" t="n"/>
      <c r="J345" s="208" t="n"/>
      <c r="K345" s="171" t="n"/>
      <c r="L345" s="171" t="n"/>
      <c r="M345" s="171" t="n"/>
      <c r="N345" s="171" t="n"/>
      <c r="O345" s="171" t="n"/>
      <c r="P345" s="171" t="n"/>
      <c r="Q345" s="171" t="n"/>
      <c r="R345" s="171" t="n"/>
      <c r="S345" s="171" t="n"/>
      <c r="T345" s="171" t="n"/>
      <c r="U345" s="171" t="n"/>
      <c r="V345" s="171" t="n"/>
      <c r="W345" s="171" t="n"/>
      <c r="X345" s="171" t="n"/>
      <c r="Y345" s="171" t="n"/>
      <c r="Z345" s="171" t="n"/>
      <c r="AA345" s="171" t="n"/>
      <c r="AB345" s="171" t="n"/>
    </row>
    <row r="346">
      <c r="A346" s="181" t="n"/>
      <c r="B346" s="181" t="n"/>
      <c r="C346" s="181" t="n"/>
      <c r="D346" s="181" t="n"/>
      <c r="E346" s="181" t="n"/>
      <c r="F346" s="208" t="n"/>
      <c r="G346" s="208" t="n"/>
      <c r="H346" s="208" t="n"/>
      <c r="I346" s="208" t="n"/>
      <c r="J346" s="208" t="n"/>
      <c r="K346" s="171" t="n"/>
      <c r="L346" s="171" t="n"/>
      <c r="M346" s="171" t="n"/>
      <c r="N346" s="171" t="n"/>
      <c r="O346" s="171" t="n"/>
      <c r="P346" s="171" t="n"/>
      <c r="Q346" s="171" t="n"/>
      <c r="R346" s="171" t="n"/>
      <c r="S346" s="171" t="n"/>
      <c r="T346" s="171" t="n"/>
      <c r="U346" s="171" t="n"/>
      <c r="V346" s="171" t="n"/>
      <c r="W346" s="171" t="n"/>
      <c r="X346" s="171" t="n"/>
      <c r="Y346" s="171" t="n"/>
      <c r="Z346" s="171" t="n"/>
      <c r="AA346" s="171" t="n"/>
      <c r="AB346" s="171" t="n"/>
    </row>
    <row r="347">
      <c r="A347" s="181" t="n"/>
      <c r="B347" s="181" t="n"/>
      <c r="C347" s="181" t="n"/>
      <c r="D347" s="181" t="n"/>
      <c r="E347" s="181" t="n"/>
      <c r="F347" s="208" t="n"/>
      <c r="G347" s="208" t="n"/>
      <c r="H347" s="208" t="n"/>
      <c r="I347" s="208" t="n"/>
      <c r="J347" s="208" t="n"/>
      <c r="K347" s="171" t="n"/>
      <c r="L347" s="171" t="n"/>
      <c r="M347" s="171" t="n"/>
      <c r="N347" s="171" t="n"/>
      <c r="O347" s="171" t="n"/>
      <c r="P347" s="171" t="n"/>
      <c r="Q347" s="171" t="n"/>
      <c r="R347" s="171" t="n"/>
      <c r="S347" s="171" t="n"/>
      <c r="T347" s="171" t="n"/>
      <c r="U347" s="171" t="n"/>
      <c r="V347" s="171" t="n"/>
      <c r="W347" s="171" t="n"/>
      <c r="X347" s="171" t="n"/>
      <c r="Y347" s="171" t="n"/>
      <c r="Z347" s="171" t="n"/>
      <c r="AA347" s="171" t="n"/>
      <c r="AB347" s="171" t="n"/>
    </row>
    <row r="348">
      <c r="A348" s="181" t="n"/>
      <c r="B348" s="181" t="n"/>
      <c r="C348" s="181" t="n"/>
      <c r="D348" s="181" t="n"/>
      <c r="E348" s="181" t="n"/>
      <c r="F348" s="208" t="n"/>
      <c r="G348" s="208" t="n"/>
      <c r="H348" s="208" t="n"/>
      <c r="I348" s="208" t="n"/>
      <c r="J348" s="208" t="n"/>
      <c r="K348" s="171" t="n"/>
      <c r="L348" s="171" t="n"/>
      <c r="M348" s="171" t="n"/>
      <c r="N348" s="171" t="n"/>
      <c r="O348" s="171" t="n"/>
      <c r="P348" s="171" t="n"/>
      <c r="Q348" s="171" t="n"/>
      <c r="R348" s="171" t="n"/>
      <c r="S348" s="171" t="n"/>
      <c r="T348" s="171" t="n"/>
      <c r="U348" s="171" t="n"/>
      <c r="V348" s="171" t="n"/>
      <c r="W348" s="171" t="n"/>
      <c r="X348" s="171" t="n"/>
      <c r="Y348" s="171" t="n"/>
      <c r="Z348" s="171" t="n"/>
      <c r="AA348" s="171" t="n"/>
      <c r="AB348" s="171" t="n"/>
    </row>
    <row r="349">
      <c r="A349" s="181" t="n"/>
      <c r="B349" s="181" t="n"/>
      <c r="C349" s="181" t="n"/>
      <c r="D349" s="181" t="n"/>
      <c r="E349" s="181" t="n"/>
      <c r="F349" s="208" t="n"/>
      <c r="G349" s="208" t="n"/>
      <c r="H349" s="208" t="n"/>
      <c r="I349" s="208" t="n"/>
      <c r="J349" s="208" t="n"/>
      <c r="K349" s="171" t="n"/>
      <c r="L349" s="171" t="n"/>
      <c r="M349" s="171" t="n"/>
      <c r="N349" s="171" t="n"/>
      <c r="O349" s="171" t="n"/>
      <c r="P349" s="171" t="n"/>
      <c r="Q349" s="171" t="n"/>
      <c r="R349" s="171" t="n"/>
      <c r="S349" s="171" t="n"/>
      <c r="T349" s="171" t="n"/>
      <c r="U349" s="171" t="n"/>
      <c r="V349" s="171" t="n"/>
      <c r="W349" s="171" t="n"/>
      <c r="X349" s="171" t="n"/>
      <c r="Y349" s="171" t="n"/>
      <c r="Z349" s="171" t="n"/>
      <c r="AA349" s="171" t="n"/>
      <c r="AB349" s="171" t="n"/>
    </row>
    <row r="350">
      <c r="A350" s="181" t="n"/>
      <c r="B350" s="181" t="n"/>
      <c r="C350" s="181" t="n"/>
      <c r="D350" s="181" t="n"/>
      <c r="E350" s="181" t="n"/>
      <c r="F350" s="208" t="n"/>
      <c r="G350" s="208" t="n"/>
      <c r="H350" s="208" t="n"/>
      <c r="I350" s="208" t="n"/>
      <c r="J350" s="208" t="n"/>
      <c r="K350" s="171" t="n"/>
      <c r="L350" s="171" t="n"/>
      <c r="M350" s="171" t="n"/>
      <c r="N350" s="171" t="n"/>
      <c r="O350" s="171" t="n"/>
      <c r="P350" s="171" t="n"/>
      <c r="Q350" s="171" t="n"/>
      <c r="R350" s="171" t="n"/>
      <c r="S350" s="171" t="n"/>
      <c r="T350" s="171" t="n"/>
      <c r="U350" s="171" t="n"/>
      <c r="V350" s="171" t="n"/>
      <c r="W350" s="171" t="n"/>
      <c r="X350" s="171" t="n"/>
      <c r="Y350" s="171" t="n"/>
      <c r="Z350" s="171" t="n"/>
      <c r="AA350" s="171" t="n"/>
      <c r="AB350" s="171" t="n"/>
    </row>
    <row r="351">
      <c r="A351" s="181" t="n"/>
      <c r="B351" s="181" t="n"/>
      <c r="C351" s="181" t="n"/>
      <c r="D351" s="181" t="n"/>
      <c r="E351" s="181" t="n"/>
      <c r="F351" s="208" t="n"/>
      <c r="G351" s="208" t="n"/>
      <c r="H351" s="208" t="n"/>
      <c r="I351" s="208" t="n"/>
      <c r="J351" s="208" t="n"/>
      <c r="K351" s="171" t="n"/>
      <c r="L351" s="171" t="n"/>
      <c r="M351" s="171" t="n"/>
      <c r="N351" s="171" t="n"/>
      <c r="O351" s="171" t="n"/>
      <c r="P351" s="171" t="n"/>
      <c r="Q351" s="171" t="n"/>
      <c r="R351" s="171" t="n"/>
      <c r="S351" s="171" t="n"/>
      <c r="T351" s="171" t="n"/>
      <c r="U351" s="171" t="n"/>
      <c r="V351" s="171" t="n"/>
      <c r="W351" s="171" t="n"/>
      <c r="X351" s="171" t="n"/>
      <c r="Y351" s="171" t="n"/>
      <c r="Z351" s="171" t="n"/>
      <c r="AA351" s="171" t="n"/>
      <c r="AB351" s="171" t="n"/>
    </row>
    <row r="352">
      <c r="A352" s="181" t="n"/>
      <c r="B352" s="181" t="n"/>
      <c r="C352" s="181" t="n"/>
      <c r="D352" s="181" t="n"/>
      <c r="E352" s="181" t="n"/>
      <c r="F352" s="208" t="n"/>
      <c r="G352" s="208" t="n"/>
      <c r="H352" s="208" t="n"/>
      <c r="I352" s="208" t="n"/>
      <c r="J352" s="208" t="n"/>
      <c r="K352" s="171" t="n"/>
      <c r="L352" s="171" t="n"/>
      <c r="M352" s="171" t="n"/>
      <c r="N352" s="171" t="n"/>
      <c r="O352" s="171" t="n"/>
      <c r="P352" s="171" t="n"/>
      <c r="Q352" s="171" t="n"/>
      <c r="R352" s="171" t="n"/>
      <c r="S352" s="171" t="n"/>
      <c r="T352" s="171" t="n"/>
      <c r="U352" s="171" t="n"/>
      <c r="V352" s="171" t="n"/>
      <c r="W352" s="171" t="n"/>
      <c r="X352" s="171" t="n"/>
      <c r="Y352" s="171" t="n"/>
      <c r="Z352" s="171" t="n"/>
      <c r="AA352" s="171" t="n"/>
      <c r="AB352" s="171" t="n"/>
    </row>
    <row r="353">
      <c r="A353" s="181" t="n"/>
      <c r="B353" s="181" t="n"/>
      <c r="C353" s="181" t="n"/>
      <c r="D353" s="181" t="n"/>
      <c r="E353" s="181" t="n"/>
      <c r="F353" s="208" t="n"/>
      <c r="G353" s="208" t="n"/>
      <c r="H353" s="208" t="n"/>
      <c r="I353" s="208" t="n"/>
      <c r="J353" s="208" t="n"/>
      <c r="K353" s="171" t="n"/>
      <c r="L353" s="171" t="n"/>
      <c r="M353" s="171" t="n"/>
      <c r="N353" s="171" t="n"/>
      <c r="O353" s="171" t="n"/>
      <c r="P353" s="171" t="n"/>
      <c r="Q353" s="171" t="n"/>
      <c r="R353" s="171" t="n"/>
      <c r="S353" s="171" t="n"/>
      <c r="T353" s="171" t="n"/>
      <c r="U353" s="171" t="n"/>
      <c r="V353" s="171" t="n"/>
      <c r="W353" s="171" t="n"/>
      <c r="X353" s="171" t="n"/>
      <c r="Y353" s="171" t="n"/>
      <c r="Z353" s="171" t="n"/>
      <c r="AA353" s="171" t="n"/>
      <c r="AB353" s="171" t="n"/>
    </row>
    <row r="354">
      <c r="A354" s="181" t="n"/>
      <c r="B354" s="181" t="n"/>
      <c r="C354" s="181" t="n"/>
      <c r="D354" s="181" t="n"/>
      <c r="E354" s="181" t="n"/>
      <c r="F354" s="208" t="n"/>
      <c r="G354" s="208" t="n"/>
      <c r="H354" s="208" t="n"/>
      <c r="I354" s="208" t="n"/>
      <c r="J354" s="208" t="n"/>
      <c r="K354" s="171" t="n"/>
      <c r="L354" s="171" t="n"/>
      <c r="M354" s="171" t="n"/>
      <c r="N354" s="171" t="n"/>
      <c r="O354" s="171" t="n"/>
      <c r="P354" s="171" t="n"/>
      <c r="Q354" s="171" t="n"/>
      <c r="R354" s="171" t="n"/>
      <c r="S354" s="171" t="n"/>
      <c r="T354" s="171" t="n"/>
      <c r="U354" s="171" t="n"/>
      <c r="V354" s="171" t="n"/>
      <c r="W354" s="171" t="n"/>
      <c r="X354" s="171" t="n"/>
      <c r="Y354" s="171" t="n"/>
      <c r="Z354" s="171" t="n"/>
      <c r="AA354" s="171" t="n"/>
      <c r="AB354" s="171" t="n"/>
    </row>
    <row r="355">
      <c r="A355" s="181" t="n"/>
      <c r="B355" s="181" t="n"/>
      <c r="C355" s="181" t="n"/>
      <c r="D355" s="181" t="n"/>
      <c r="E355" s="181" t="n"/>
      <c r="F355" s="208" t="n"/>
      <c r="G355" s="208" t="n"/>
      <c r="H355" s="208" t="n"/>
      <c r="I355" s="208" t="n"/>
      <c r="J355" s="208" t="n"/>
      <c r="K355" s="171" t="n"/>
      <c r="L355" s="171" t="n"/>
      <c r="M355" s="171" t="n"/>
      <c r="N355" s="171" t="n"/>
      <c r="O355" s="171" t="n"/>
      <c r="P355" s="171" t="n"/>
      <c r="Q355" s="171" t="n"/>
      <c r="R355" s="171" t="n"/>
      <c r="S355" s="171" t="n"/>
      <c r="T355" s="171" t="n"/>
      <c r="U355" s="171" t="n"/>
      <c r="V355" s="171" t="n"/>
      <c r="W355" s="171" t="n"/>
      <c r="X355" s="171" t="n"/>
      <c r="Y355" s="171" t="n"/>
      <c r="Z355" s="171" t="n"/>
      <c r="AA355" s="171" t="n"/>
      <c r="AB355" s="171" t="n"/>
    </row>
    <row r="356">
      <c r="A356" s="181" t="n"/>
      <c r="B356" s="181" t="n"/>
      <c r="C356" s="181" t="n"/>
      <c r="D356" s="181" t="n"/>
      <c r="E356" s="181" t="n"/>
      <c r="F356" s="208" t="n"/>
      <c r="G356" s="208" t="n"/>
      <c r="H356" s="208" t="n"/>
      <c r="I356" s="208" t="n"/>
      <c r="J356" s="208" t="n"/>
      <c r="K356" s="171" t="n"/>
      <c r="L356" s="171" t="n"/>
      <c r="M356" s="171" t="n"/>
      <c r="N356" s="171" t="n"/>
      <c r="O356" s="171" t="n"/>
      <c r="P356" s="171" t="n"/>
      <c r="Q356" s="171" t="n"/>
      <c r="R356" s="171" t="n"/>
      <c r="S356" s="171" t="n"/>
      <c r="T356" s="171" t="n"/>
      <c r="U356" s="171" t="n"/>
      <c r="V356" s="171" t="n"/>
      <c r="W356" s="171" t="n"/>
      <c r="X356" s="171" t="n"/>
      <c r="Y356" s="171" t="n"/>
      <c r="Z356" s="171" t="n"/>
      <c r="AA356" s="171" t="n"/>
      <c r="AB356" s="171" t="n"/>
    </row>
    <row r="357">
      <c r="A357" s="181" t="n"/>
      <c r="B357" s="181" t="n"/>
      <c r="C357" s="181" t="n"/>
      <c r="D357" s="181" t="n"/>
      <c r="E357" s="181" t="n"/>
      <c r="F357" s="208" t="n"/>
      <c r="G357" s="208" t="n"/>
      <c r="H357" s="208" t="n"/>
      <c r="I357" s="208" t="n"/>
      <c r="J357" s="208" t="n"/>
      <c r="K357" s="171" t="n"/>
      <c r="L357" s="171" t="n"/>
      <c r="M357" s="171" t="n"/>
      <c r="N357" s="171" t="n"/>
      <c r="O357" s="171" t="n"/>
      <c r="P357" s="171" t="n"/>
      <c r="Q357" s="171" t="n"/>
      <c r="R357" s="171" t="n"/>
      <c r="S357" s="171" t="n"/>
      <c r="T357" s="171" t="n"/>
      <c r="U357" s="171" t="n"/>
      <c r="V357" s="171" t="n"/>
      <c r="W357" s="171" t="n"/>
      <c r="X357" s="171" t="n"/>
      <c r="Y357" s="171" t="n"/>
      <c r="Z357" s="171" t="n"/>
      <c r="AA357" s="171" t="n"/>
      <c r="AB357" s="171" t="n"/>
    </row>
    <row r="358">
      <c r="A358" s="181" t="n"/>
      <c r="B358" s="181" t="n"/>
      <c r="C358" s="181" t="n"/>
      <c r="D358" s="181" t="n"/>
      <c r="E358" s="181" t="n"/>
      <c r="F358" s="208" t="n"/>
      <c r="G358" s="208" t="n"/>
      <c r="H358" s="208" t="n"/>
      <c r="I358" s="208" t="n"/>
      <c r="J358" s="208" t="n"/>
      <c r="K358" s="171" t="n"/>
      <c r="L358" s="171" t="n"/>
      <c r="M358" s="171" t="n"/>
      <c r="N358" s="171" t="n"/>
      <c r="O358" s="171" t="n"/>
      <c r="P358" s="171" t="n"/>
      <c r="Q358" s="171" t="n"/>
      <c r="R358" s="171" t="n"/>
      <c r="S358" s="171" t="n"/>
      <c r="T358" s="171" t="n"/>
      <c r="U358" s="171" t="n"/>
      <c r="V358" s="171" t="n"/>
      <c r="W358" s="171" t="n"/>
      <c r="X358" s="171" t="n"/>
      <c r="Y358" s="171" t="n"/>
      <c r="Z358" s="171" t="n"/>
      <c r="AA358" s="171" t="n"/>
      <c r="AB358" s="171" t="n"/>
    </row>
    <row r="359">
      <c r="A359" s="181" t="n"/>
      <c r="B359" s="181" t="n"/>
      <c r="C359" s="181" t="n"/>
      <c r="D359" s="181" t="n"/>
      <c r="E359" s="181" t="n"/>
      <c r="F359" s="208" t="n"/>
      <c r="G359" s="208" t="n"/>
      <c r="H359" s="208" t="n"/>
      <c r="I359" s="208" t="n"/>
      <c r="J359" s="208" t="n"/>
      <c r="K359" s="171" t="n"/>
      <c r="L359" s="171" t="n"/>
      <c r="M359" s="171" t="n"/>
      <c r="N359" s="171" t="n"/>
      <c r="O359" s="171" t="n"/>
      <c r="P359" s="171" t="n"/>
      <c r="Q359" s="171" t="n"/>
      <c r="R359" s="171" t="n"/>
      <c r="S359" s="171" t="n"/>
      <c r="T359" s="171" t="n"/>
      <c r="U359" s="171" t="n"/>
      <c r="V359" s="171" t="n"/>
      <c r="W359" s="171" t="n"/>
      <c r="X359" s="171" t="n"/>
      <c r="Y359" s="171" t="n"/>
      <c r="Z359" s="171" t="n"/>
      <c r="AA359" s="171" t="n"/>
      <c r="AB359" s="171" t="n"/>
    </row>
    <row r="360">
      <c r="A360" s="181" t="n"/>
      <c r="B360" s="181" t="n"/>
      <c r="C360" s="181" t="n"/>
      <c r="D360" s="181" t="n"/>
      <c r="E360" s="181" t="n"/>
      <c r="F360" s="208" t="n"/>
      <c r="G360" s="208" t="n"/>
      <c r="H360" s="208" t="n"/>
      <c r="I360" s="208" t="n"/>
      <c r="J360" s="208" t="n"/>
      <c r="K360" s="171" t="n"/>
      <c r="L360" s="171" t="n"/>
      <c r="M360" s="171" t="n"/>
      <c r="N360" s="171" t="n"/>
      <c r="O360" s="171" t="n"/>
      <c r="P360" s="171" t="n"/>
      <c r="Q360" s="171" t="n"/>
      <c r="R360" s="171" t="n"/>
      <c r="S360" s="171" t="n"/>
      <c r="T360" s="171" t="n"/>
      <c r="U360" s="171" t="n"/>
      <c r="V360" s="171" t="n"/>
      <c r="W360" s="171" t="n"/>
      <c r="X360" s="171" t="n"/>
      <c r="Y360" s="171" t="n"/>
      <c r="Z360" s="171" t="n"/>
      <c r="AA360" s="171" t="n"/>
      <c r="AB360" s="171" t="n"/>
    </row>
    <row r="361">
      <c r="A361" s="181" t="n"/>
      <c r="B361" s="181" t="n"/>
      <c r="C361" s="181" t="n"/>
      <c r="D361" s="181" t="n"/>
      <c r="E361" s="181" t="n"/>
      <c r="F361" s="208" t="n"/>
      <c r="G361" s="208" t="n"/>
      <c r="H361" s="208" t="n"/>
      <c r="I361" s="208" t="n"/>
      <c r="J361" s="208" t="n"/>
      <c r="K361" s="171" t="n"/>
      <c r="L361" s="171" t="n"/>
      <c r="M361" s="171" t="n"/>
      <c r="N361" s="171" t="n"/>
      <c r="O361" s="171" t="n"/>
      <c r="P361" s="171" t="n"/>
      <c r="Q361" s="171" t="n"/>
      <c r="R361" s="171" t="n"/>
      <c r="S361" s="171" t="n"/>
      <c r="T361" s="171" t="n"/>
      <c r="U361" s="171" t="n"/>
      <c r="V361" s="171" t="n"/>
      <c r="W361" s="171" t="n"/>
      <c r="X361" s="171" t="n"/>
      <c r="Y361" s="171" t="n"/>
      <c r="Z361" s="171" t="n"/>
      <c r="AA361" s="171" t="n"/>
      <c r="AB361" s="171" t="n"/>
    </row>
    <row r="362">
      <c r="A362" s="181" t="n"/>
      <c r="B362" s="181" t="n"/>
      <c r="C362" s="181" t="n"/>
      <c r="D362" s="181" t="n"/>
      <c r="E362" s="181" t="n"/>
      <c r="F362" s="208" t="n"/>
      <c r="G362" s="208" t="n"/>
      <c r="H362" s="208" t="n"/>
      <c r="I362" s="208" t="n"/>
      <c r="J362" s="208" t="n"/>
      <c r="K362" s="171" t="n"/>
      <c r="L362" s="171" t="n"/>
      <c r="M362" s="171" t="n"/>
      <c r="N362" s="171" t="n"/>
      <c r="O362" s="171" t="n"/>
      <c r="P362" s="171" t="n"/>
      <c r="Q362" s="171" t="n"/>
      <c r="R362" s="171" t="n"/>
      <c r="S362" s="171" t="n"/>
      <c r="T362" s="171" t="n"/>
      <c r="U362" s="171" t="n"/>
      <c r="V362" s="171" t="n"/>
      <c r="W362" s="171" t="n"/>
      <c r="X362" s="171" t="n"/>
      <c r="Y362" s="171" t="n"/>
      <c r="Z362" s="171" t="n"/>
      <c r="AA362" s="171" t="n"/>
      <c r="AB362" s="171" t="n"/>
    </row>
    <row r="363">
      <c r="A363" s="181" t="n"/>
      <c r="B363" s="181" t="n"/>
      <c r="C363" s="181" t="n"/>
      <c r="D363" s="181" t="n"/>
      <c r="E363" s="181" t="n"/>
      <c r="F363" s="208" t="n"/>
      <c r="G363" s="208" t="n"/>
      <c r="H363" s="208" t="n"/>
      <c r="I363" s="208" t="n"/>
      <c r="J363" s="208" t="n"/>
      <c r="K363" s="171" t="n"/>
      <c r="L363" s="171" t="n"/>
      <c r="M363" s="171" t="n"/>
      <c r="N363" s="171" t="n"/>
      <c r="O363" s="171" t="n"/>
      <c r="P363" s="171" t="n"/>
      <c r="Q363" s="171" t="n"/>
      <c r="R363" s="171" t="n"/>
      <c r="S363" s="171" t="n"/>
      <c r="T363" s="171" t="n"/>
      <c r="U363" s="171" t="n"/>
      <c r="V363" s="171" t="n"/>
      <c r="W363" s="171" t="n"/>
      <c r="X363" s="171" t="n"/>
      <c r="Y363" s="171" t="n"/>
      <c r="Z363" s="171" t="n"/>
      <c r="AA363" s="171" t="n"/>
      <c r="AB363" s="171" t="n"/>
    </row>
    <row r="364">
      <c r="A364" s="181" t="n"/>
      <c r="B364" s="181" t="n"/>
      <c r="C364" s="181" t="n"/>
      <c r="D364" s="181" t="n"/>
      <c r="E364" s="181" t="n"/>
      <c r="F364" s="208" t="n"/>
      <c r="G364" s="208" t="n"/>
      <c r="H364" s="208" t="n"/>
      <c r="I364" s="208" t="n"/>
      <c r="J364" s="208" t="n"/>
      <c r="K364" s="171" t="n"/>
      <c r="L364" s="171" t="n"/>
      <c r="M364" s="171" t="n"/>
      <c r="N364" s="171" t="n"/>
      <c r="O364" s="171" t="n"/>
      <c r="P364" s="171" t="n"/>
      <c r="Q364" s="171" t="n"/>
      <c r="R364" s="171" t="n"/>
      <c r="S364" s="171" t="n"/>
      <c r="T364" s="171" t="n"/>
      <c r="U364" s="171" t="n"/>
      <c r="V364" s="171" t="n"/>
      <c r="W364" s="171" t="n"/>
      <c r="X364" s="171" t="n"/>
      <c r="Y364" s="171" t="n"/>
      <c r="Z364" s="171" t="n"/>
      <c r="AA364" s="171" t="n"/>
      <c r="AB364" s="171" t="n"/>
    </row>
    <row r="365">
      <c r="A365" s="181" t="n"/>
      <c r="B365" s="181" t="n"/>
      <c r="C365" s="181" t="n"/>
      <c r="D365" s="181" t="n"/>
      <c r="E365" s="181" t="n"/>
      <c r="F365" s="208" t="n"/>
      <c r="G365" s="208" t="n"/>
      <c r="H365" s="208" t="n"/>
      <c r="I365" s="208" t="n"/>
      <c r="J365" s="208" t="n"/>
      <c r="K365" s="171" t="n"/>
      <c r="L365" s="171" t="n"/>
      <c r="M365" s="171" t="n"/>
      <c r="N365" s="171" t="n"/>
      <c r="O365" s="171" t="n"/>
      <c r="P365" s="171" t="n"/>
      <c r="Q365" s="171" t="n"/>
      <c r="R365" s="171" t="n"/>
      <c r="S365" s="171" t="n"/>
      <c r="T365" s="171" t="n"/>
      <c r="U365" s="171" t="n"/>
      <c r="V365" s="171" t="n"/>
      <c r="W365" s="171" t="n"/>
      <c r="X365" s="171" t="n"/>
      <c r="Y365" s="171" t="n"/>
      <c r="Z365" s="171" t="n"/>
      <c r="AA365" s="171" t="n"/>
      <c r="AB365" s="171" t="n"/>
    </row>
    <row r="366">
      <c r="A366" s="181" t="n"/>
      <c r="B366" s="181" t="n"/>
      <c r="C366" s="181" t="n"/>
      <c r="D366" s="181" t="n"/>
      <c r="E366" s="181" t="n"/>
      <c r="F366" s="208" t="n"/>
      <c r="G366" s="208" t="n"/>
      <c r="H366" s="208" t="n"/>
      <c r="I366" s="208" t="n"/>
      <c r="J366" s="208" t="n"/>
      <c r="K366" s="171" t="n"/>
      <c r="L366" s="171" t="n"/>
      <c r="M366" s="171" t="n"/>
      <c r="N366" s="171" t="n"/>
      <c r="O366" s="171" t="n"/>
      <c r="P366" s="171" t="n"/>
      <c r="Q366" s="171" t="n"/>
      <c r="R366" s="171" t="n"/>
      <c r="S366" s="171" t="n"/>
      <c r="T366" s="171" t="n"/>
      <c r="U366" s="171" t="n"/>
      <c r="V366" s="171" t="n"/>
      <c r="W366" s="171" t="n"/>
      <c r="X366" s="171" t="n"/>
      <c r="Y366" s="171" t="n"/>
      <c r="Z366" s="171" t="n"/>
      <c r="AA366" s="171" t="n"/>
      <c r="AB366" s="171" t="n"/>
    </row>
    <row r="367">
      <c r="A367" s="181" t="n"/>
      <c r="B367" s="181" t="n"/>
      <c r="C367" s="181" t="n"/>
      <c r="D367" s="181" t="n"/>
      <c r="E367" s="181" t="n"/>
      <c r="F367" s="208" t="n"/>
      <c r="G367" s="208" t="n"/>
      <c r="H367" s="208" t="n"/>
      <c r="I367" s="208" t="n"/>
      <c r="J367" s="208" t="n"/>
      <c r="K367" s="171" t="n"/>
      <c r="L367" s="171" t="n"/>
      <c r="M367" s="171" t="n"/>
      <c r="N367" s="171" t="n"/>
      <c r="O367" s="171" t="n"/>
      <c r="P367" s="171" t="n"/>
      <c r="Q367" s="171" t="n"/>
      <c r="R367" s="171" t="n"/>
      <c r="S367" s="171" t="n"/>
      <c r="T367" s="171" t="n"/>
      <c r="U367" s="171" t="n"/>
      <c r="V367" s="171" t="n"/>
      <c r="W367" s="171" t="n"/>
      <c r="X367" s="171" t="n"/>
      <c r="Y367" s="171" t="n"/>
      <c r="Z367" s="171" t="n"/>
      <c r="AA367" s="171" t="n"/>
      <c r="AB367" s="171" t="n"/>
    </row>
    <row r="368">
      <c r="A368" s="181" t="n"/>
      <c r="B368" s="181" t="n"/>
      <c r="C368" s="181" t="n"/>
      <c r="D368" s="181" t="n"/>
      <c r="E368" s="181" t="n"/>
      <c r="F368" s="208" t="n"/>
      <c r="G368" s="208" t="n"/>
      <c r="H368" s="208" t="n"/>
      <c r="I368" s="208" t="n"/>
      <c r="J368" s="208" t="n"/>
      <c r="K368" s="171" t="n"/>
      <c r="L368" s="171" t="n"/>
      <c r="M368" s="171" t="n"/>
      <c r="N368" s="171" t="n"/>
      <c r="O368" s="171" t="n"/>
      <c r="P368" s="171" t="n"/>
      <c r="Q368" s="171" t="n"/>
      <c r="R368" s="171" t="n"/>
      <c r="S368" s="171" t="n"/>
      <c r="T368" s="171" t="n"/>
      <c r="U368" s="171" t="n"/>
      <c r="V368" s="171" t="n"/>
      <c r="W368" s="171" t="n"/>
      <c r="X368" s="171" t="n"/>
      <c r="Y368" s="171" t="n"/>
      <c r="Z368" s="171" t="n"/>
      <c r="AA368" s="171" t="n"/>
      <c r="AB368" s="171" t="n"/>
    </row>
    <row r="369">
      <c r="A369" s="181" t="n"/>
      <c r="B369" s="181" t="n"/>
      <c r="C369" s="181" t="n"/>
      <c r="D369" s="181" t="n"/>
      <c r="E369" s="181" t="n"/>
      <c r="F369" s="208" t="n"/>
      <c r="G369" s="208" t="n"/>
      <c r="H369" s="208" t="n"/>
      <c r="I369" s="208" t="n"/>
      <c r="J369" s="208" t="n"/>
      <c r="K369" s="171" t="n"/>
      <c r="L369" s="171" t="n"/>
      <c r="M369" s="171" t="n"/>
      <c r="N369" s="171" t="n"/>
      <c r="O369" s="171" t="n"/>
      <c r="P369" s="171" t="n"/>
      <c r="Q369" s="171" t="n"/>
      <c r="R369" s="171" t="n"/>
      <c r="S369" s="171" t="n"/>
      <c r="T369" s="171" t="n"/>
      <c r="U369" s="171" t="n"/>
      <c r="V369" s="171" t="n"/>
      <c r="W369" s="171" t="n"/>
      <c r="X369" s="171" t="n"/>
      <c r="Y369" s="171" t="n"/>
      <c r="Z369" s="171" t="n"/>
      <c r="AA369" s="171" t="n"/>
      <c r="AB369" s="171" t="n"/>
    </row>
    <row r="370">
      <c r="A370" s="181" t="n"/>
      <c r="B370" s="181" t="n"/>
      <c r="C370" s="181" t="n"/>
      <c r="D370" s="181" t="n"/>
      <c r="E370" s="181" t="n"/>
      <c r="F370" s="208" t="n"/>
      <c r="G370" s="208" t="n"/>
      <c r="H370" s="208" t="n"/>
      <c r="I370" s="208" t="n"/>
      <c r="J370" s="208" t="n"/>
      <c r="K370" s="171" t="n"/>
      <c r="L370" s="171" t="n"/>
      <c r="M370" s="171" t="n"/>
      <c r="N370" s="171" t="n"/>
      <c r="O370" s="171" t="n"/>
      <c r="P370" s="171" t="n"/>
      <c r="Q370" s="171" t="n"/>
      <c r="R370" s="171" t="n"/>
      <c r="S370" s="171" t="n"/>
      <c r="T370" s="171" t="n"/>
      <c r="U370" s="171" t="n"/>
      <c r="V370" s="171" t="n"/>
      <c r="W370" s="171" t="n"/>
      <c r="X370" s="171" t="n"/>
      <c r="Y370" s="171" t="n"/>
      <c r="Z370" s="171" t="n"/>
      <c r="AA370" s="171" t="n"/>
      <c r="AB370" s="171" t="n"/>
    </row>
    <row r="371">
      <c r="A371" s="181" t="n"/>
      <c r="B371" s="181" t="n"/>
      <c r="C371" s="181" t="n"/>
      <c r="D371" s="181" t="n"/>
      <c r="E371" s="181" t="n"/>
      <c r="F371" s="208" t="n"/>
      <c r="G371" s="208" t="n"/>
      <c r="H371" s="208" t="n"/>
      <c r="I371" s="208" t="n"/>
      <c r="J371" s="208" t="n"/>
      <c r="K371" s="171" t="n"/>
      <c r="L371" s="171" t="n"/>
      <c r="M371" s="171" t="n"/>
      <c r="N371" s="171" t="n"/>
      <c r="O371" s="171" t="n"/>
      <c r="P371" s="171" t="n"/>
      <c r="Q371" s="171" t="n"/>
      <c r="R371" s="171" t="n"/>
      <c r="S371" s="171" t="n"/>
      <c r="T371" s="171" t="n"/>
      <c r="U371" s="171" t="n"/>
      <c r="V371" s="171" t="n"/>
      <c r="W371" s="171" t="n"/>
      <c r="X371" s="171" t="n"/>
      <c r="Y371" s="171" t="n"/>
      <c r="Z371" s="171" t="n"/>
      <c r="AA371" s="171" t="n"/>
      <c r="AB371" s="171" t="n"/>
    </row>
    <row r="372">
      <c r="A372" s="181" t="n"/>
      <c r="B372" s="181" t="n"/>
      <c r="C372" s="181" t="n"/>
      <c r="D372" s="181" t="n"/>
      <c r="E372" s="181" t="n"/>
      <c r="F372" s="208" t="n"/>
      <c r="G372" s="208" t="n"/>
      <c r="H372" s="208" t="n"/>
      <c r="I372" s="208" t="n"/>
      <c r="J372" s="208" t="n"/>
      <c r="K372" s="171" t="n"/>
      <c r="L372" s="171" t="n"/>
      <c r="M372" s="171" t="n"/>
      <c r="N372" s="171" t="n"/>
      <c r="O372" s="171" t="n"/>
      <c r="P372" s="171" t="n"/>
      <c r="Q372" s="171" t="n"/>
      <c r="R372" s="171" t="n"/>
      <c r="S372" s="171" t="n"/>
      <c r="T372" s="171" t="n"/>
      <c r="U372" s="171" t="n"/>
      <c r="V372" s="171" t="n"/>
      <c r="W372" s="171" t="n"/>
      <c r="X372" s="171" t="n"/>
      <c r="Y372" s="171" t="n"/>
      <c r="Z372" s="171" t="n"/>
      <c r="AA372" s="171" t="n"/>
      <c r="AB372" s="171" t="n"/>
    </row>
    <row r="373">
      <c r="A373" s="181" t="n"/>
      <c r="B373" s="181" t="n"/>
      <c r="C373" s="181" t="n"/>
      <c r="D373" s="181" t="n"/>
      <c r="E373" s="181" t="n"/>
      <c r="F373" s="208" t="n"/>
      <c r="G373" s="208" t="n"/>
      <c r="H373" s="208" t="n"/>
      <c r="I373" s="208" t="n"/>
      <c r="J373" s="208" t="n"/>
      <c r="K373" s="171" t="n"/>
      <c r="L373" s="171" t="n"/>
      <c r="M373" s="171" t="n"/>
      <c r="N373" s="171" t="n"/>
      <c r="O373" s="171" t="n"/>
      <c r="P373" s="171" t="n"/>
      <c r="Q373" s="171" t="n"/>
      <c r="R373" s="171" t="n"/>
      <c r="S373" s="171" t="n"/>
      <c r="T373" s="171" t="n"/>
      <c r="U373" s="171" t="n"/>
      <c r="V373" s="171" t="n"/>
      <c r="W373" s="171" t="n"/>
      <c r="X373" s="171" t="n"/>
      <c r="Y373" s="171" t="n"/>
      <c r="Z373" s="171" t="n"/>
      <c r="AA373" s="171" t="n"/>
      <c r="AB373" s="171" t="n"/>
    </row>
    <row r="374">
      <c r="A374" s="181" t="n"/>
      <c r="B374" s="181" t="n"/>
      <c r="C374" s="181" t="n"/>
      <c r="D374" s="181" t="n"/>
      <c r="E374" s="181" t="n"/>
      <c r="F374" s="208" t="n"/>
      <c r="G374" s="208" t="n"/>
      <c r="H374" s="208" t="n"/>
      <c r="I374" s="208" t="n"/>
      <c r="J374" s="208" t="n"/>
      <c r="K374" s="171" t="n"/>
      <c r="L374" s="171" t="n"/>
      <c r="M374" s="171" t="n"/>
      <c r="N374" s="171" t="n"/>
      <c r="O374" s="171" t="n"/>
      <c r="P374" s="171" t="n"/>
      <c r="Q374" s="171" t="n"/>
      <c r="R374" s="171" t="n"/>
      <c r="S374" s="171" t="n"/>
      <c r="T374" s="171" t="n"/>
      <c r="U374" s="171" t="n"/>
      <c r="V374" s="171" t="n"/>
      <c r="W374" s="171" t="n"/>
      <c r="X374" s="171" t="n"/>
      <c r="Y374" s="171" t="n"/>
      <c r="Z374" s="171" t="n"/>
      <c r="AA374" s="171" t="n"/>
      <c r="AB374" s="171" t="n"/>
    </row>
    <row r="375">
      <c r="A375" s="181" t="n"/>
      <c r="B375" s="181" t="n"/>
      <c r="C375" s="181" t="n"/>
      <c r="D375" s="181" t="n"/>
      <c r="E375" s="181" t="n"/>
      <c r="F375" s="208" t="n"/>
      <c r="G375" s="208" t="n"/>
      <c r="H375" s="208" t="n"/>
      <c r="I375" s="208" t="n"/>
      <c r="J375" s="208" t="n"/>
      <c r="K375" s="171" t="n"/>
      <c r="L375" s="171" t="n"/>
      <c r="M375" s="171" t="n"/>
      <c r="N375" s="171" t="n"/>
      <c r="O375" s="171" t="n"/>
      <c r="P375" s="171" t="n"/>
      <c r="Q375" s="171" t="n"/>
      <c r="R375" s="171" t="n"/>
      <c r="S375" s="171" t="n"/>
      <c r="T375" s="171" t="n"/>
      <c r="U375" s="171" t="n"/>
      <c r="V375" s="171" t="n"/>
      <c r="W375" s="171" t="n"/>
      <c r="X375" s="171" t="n"/>
      <c r="Y375" s="171" t="n"/>
      <c r="Z375" s="171" t="n"/>
      <c r="AA375" s="171" t="n"/>
      <c r="AB375" s="171" t="n"/>
    </row>
    <row r="376">
      <c r="A376" s="181" t="n"/>
      <c r="B376" s="181" t="n"/>
      <c r="C376" s="181" t="n"/>
      <c r="D376" s="181" t="n"/>
      <c r="E376" s="181" t="n"/>
      <c r="F376" s="208" t="n"/>
      <c r="G376" s="208" t="n"/>
      <c r="H376" s="208" t="n"/>
      <c r="I376" s="208" t="n"/>
      <c r="J376" s="208" t="n"/>
      <c r="K376" s="171" t="n"/>
      <c r="L376" s="171" t="n"/>
      <c r="M376" s="171" t="n"/>
      <c r="N376" s="171" t="n"/>
      <c r="O376" s="171" t="n"/>
      <c r="P376" s="171" t="n"/>
      <c r="Q376" s="171" t="n"/>
      <c r="R376" s="171" t="n"/>
      <c r="S376" s="171" t="n"/>
      <c r="T376" s="171" t="n"/>
      <c r="U376" s="171" t="n"/>
      <c r="V376" s="171" t="n"/>
      <c r="W376" s="171" t="n"/>
      <c r="X376" s="171" t="n"/>
      <c r="Y376" s="171" t="n"/>
      <c r="Z376" s="171" t="n"/>
      <c r="AA376" s="171" t="n"/>
      <c r="AB376" s="171" t="n"/>
    </row>
    <row r="377">
      <c r="A377" s="181" t="n"/>
      <c r="B377" s="181" t="n"/>
      <c r="C377" s="181" t="n"/>
      <c r="D377" s="181" t="n"/>
      <c r="E377" s="181" t="n"/>
      <c r="F377" s="208" t="n"/>
      <c r="G377" s="208" t="n"/>
      <c r="H377" s="208" t="n"/>
      <c r="I377" s="208" t="n"/>
      <c r="J377" s="208" t="n"/>
      <c r="K377" s="171" t="n"/>
      <c r="L377" s="171" t="n"/>
      <c r="M377" s="171" t="n"/>
      <c r="N377" s="171" t="n"/>
      <c r="O377" s="171" t="n"/>
      <c r="P377" s="171" t="n"/>
      <c r="Q377" s="171" t="n"/>
      <c r="R377" s="171" t="n"/>
      <c r="S377" s="171" t="n"/>
      <c r="T377" s="171" t="n"/>
      <c r="U377" s="171" t="n"/>
      <c r="V377" s="171" t="n"/>
      <c r="W377" s="171" t="n"/>
      <c r="X377" s="171" t="n"/>
      <c r="Y377" s="171" t="n"/>
      <c r="Z377" s="171" t="n"/>
      <c r="AA377" s="171" t="n"/>
      <c r="AB377" s="171" t="n"/>
    </row>
    <row r="378">
      <c r="A378" s="181" t="n"/>
      <c r="B378" s="181" t="n"/>
      <c r="C378" s="181" t="n"/>
      <c r="D378" s="181" t="n"/>
      <c r="E378" s="181" t="n"/>
      <c r="F378" s="208" t="n"/>
      <c r="G378" s="208" t="n"/>
      <c r="H378" s="208" t="n"/>
      <c r="I378" s="208" t="n"/>
      <c r="J378" s="208" t="n"/>
      <c r="K378" s="171" t="n"/>
      <c r="L378" s="171" t="n"/>
      <c r="M378" s="171" t="n"/>
      <c r="N378" s="171" t="n"/>
      <c r="O378" s="171" t="n"/>
      <c r="P378" s="171" t="n"/>
      <c r="Q378" s="171" t="n"/>
      <c r="R378" s="171" t="n"/>
      <c r="S378" s="171" t="n"/>
      <c r="T378" s="171" t="n"/>
      <c r="U378" s="171" t="n"/>
      <c r="V378" s="171" t="n"/>
      <c r="W378" s="171" t="n"/>
      <c r="X378" s="171" t="n"/>
      <c r="Y378" s="171" t="n"/>
      <c r="Z378" s="171" t="n"/>
      <c r="AA378" s="171" t="n"/>
      <c r="AB378" s="171" t="n"/>
    </row>
    <row r="379">
      <c r="A379" s="181" t="n"/>
      <c r="B379" s="181" t="n"/>
      <c r="C379" s="181" t="n"/>
      <c r="D379" s="181" t="n"/>
      <c r="E379" s="181" t="n"/>
      <c r="F379" s="208" t="n"/>
      <c r="G379" s="208" t="n"/>
      <c r="H379" s="208" t="n"/>
      <c r="I379" s="208" t="n"/>
      <c r="J379" s="208" t="n"/>
      <c r="K379" s="171" t="n"/>
      <c r="L379" s="171" t="n"/>
      <c r="M379" s="171" t="n"/>
      <c r="N379" s="171" t="n"/>
      <c r="O379" s="171" t="n"/>
      <c r="P379" s="171" t="n"/>
      <c r="Q379" s="171" t="n"/>
      <c r="R379" s="171" t="n"/>
      <c r="S379" s="171" t="n"/>
      <c r="T379" s="171" t="n"/>
      <c r="U379" s="171" t="n"/>
      <c r="V379" s="171" t="n"/>
      <c r="W379" s="171" t="n"/>
      <c r="X379" s="171" t="n"/>
      <c r="Y379" s="171" t="n"/>
      <c r="Z379" s="171" t="n"/>
      <c r="AA379" s="171" t="n"/>
      <c r="AB379" s="171" t="n"/>
    </row>
    <row r="380">
      <c r="A380" s="181" t="n"/>
      <c r="B380" s="181" t="n"/>
      <c r="C380" s="181" t="n"/>
      <c r="D380" s="181" t="n"/>
      <c r="E380" s="181" t="n"/>
      <c r="F380" s="208" t="n"/>
      <c r="G380" s="208" t="n"/>
      <c r="H380" s="208" t="n"/>
      <c r="I380" s="208" t="n"/>
      <c r="J380" s="208" t="n"/>
      <c r="K380" s="171" t="n"/>
      <c r="L380" s="171" t="n"/>
      <c r="M380" s="171" t="n"/>
      <c r="N380" s="171" t="n"/>
      <c r="O380" s="171" t="n"/>
      <c r="P380" s="171" t="n"/>
      <c r="Q380" s="171" t="n"/>
      <c r="R380" s="171" t="n"/>
      <c r="S380" s="171" t="n"/>
      <c r="T380" s="171" t="n"/>
      <c r="U380" s="171" t="n"/>
      <c r="V380" s="171" t="n"/>
      <c r="W380" s="171" t="n"/>
      <c r="X380" s="171" t="n"/>
      <c r="Y380" s="171" t="n"/>
      <c r="Z380" s="171" t="n"/>
      <c r="AA380" s="171" t="n"/>
      <c r="AB380" s="171" t="n"/>
    </row>
    <row r="381">
      <c r="A381" s="181" t="n"/>
      <c r="B381" s="181" t="n"/>
      <c r="C381" s="181" t="n"/>
      <c r="D381" s="181" t="n"/>
      <c r="E381" s="181" t="n"/>
      <c r="F381" s="208" t="n"/>
      <c r="G381" s="208" t="n"/>
      <c r="H381" s="208" t="n"/>
      <c r="I381" s="208" t="n"/>
      <c r="J381" s="208" t="n"/>
      <c r="K381" s="171" t="n"/>
      <c r="L381" s="171" t="n"/>
      <c r="M381" s="171" t="n"/>
      <c r="N381" s="171" t="n"/>
      <c r="O381" s="171" t="n"/>
      <c r="P381" s="171" t="n"/>
      <c r="Q381" s="171" t="n"/>
      <c r="R381" s="171" t="n"/>
      <c r="S381" s="171" t="n"/>
      <c r="T381" s="171" t="n"/>
      <c r="U381" s="171" t="n"/>
      <c r="V381" s="171" t="n"/>
      <c r="W381" s="171" t="n"/>
      <c r="X381" s="171" t="n"/>
      <c r="Y381" s="171" t="n"/>
      <c r="Z381" s="171" t="n"/>
      <c r="AA381" s="171" t="n"/>
      <c r="AB381" s="171" t="n"/>
    </row>
    <row r="382">
      <c r="A382" s="181" t="n"/>
      <c r="B382" s="181" t="n"/>
      <c r="C382" s="181" t="n"/>
      <c r="D382" s="181" t="n"/>
      <c r="E382" s="181" t="n"/>
      <c r="F382" s="208" t="n"/>
      <c r="G382" s="208" t="n"/>
      <c r="H382" s="208" t="n"/>
      <c r="I382" s="208" t="n"/>
      <c r="J382" s="208" t="n"/>
      <c r="K382" s="171" t="n"/>
      <c r="L382" s="171" t="n"/>
      <c r="M382" s="171" t="n"/>
      <c r="N382" s="171" t="n"/>
      <c r="O382" s="171" t="n"/>
      <c r="P382" s="171" t="n"/>
      <c r="Q382" s="171" t="n"/>
      <c r="R382" s="171" t="n"/>
      <c r="S382" s="171" t="n"/>
      <c r="T382" s="171" t="n"/>
      <c r="U382" s="171" t="n"/>
      <c r="V382" s="171" t="n"/>
      <c r="W382" s="171" t="n"/>
      <c r="X382" s="171" t="n"/>
      <c r="Y382" s="171" t="n"/>
      <c r="Z382" s="171" t="n"/>
      <c r="AA382" s="171" t="n"/>
      <c r="AB382" s="171" t="n"/>
    </row>
    <row r="383">
      <c r="A383" s="181" t="n"/>
      <c r="B383" s="181" t="n"/>
      <c r="C383" s="181" t="n"/>
      <c r="D383" s="181" t="n"/>
      <c r="E383" s="181" t="n"/>
      <c r="F383" s="208" t="n"/>
      <c r="G383" s="208" t="n"/>
      <c r="H383" s="208" t="n"/>
      <c r="I383" s="208" t="n"/>
      <c r="J383" s="208" t="n"/>
      <c r="K383" s="171" t="n"/>
      <c r="L383" s="171" t="n"/>
      <c r="M383" s="171" t="n"/>
      <c r="N383" s="171" t="n"/>
      <c r="O383" s="171" t="n"/>
      <c r="P383" s="171" t="n"/>
      <c r="Q383" s="171" t="n"/>
      <c r="R383" s="171" t="n"/>
      <c r="S383" s="171" t="n"/>
      <c r="T383" s="171" t="n"/>
      <c r="U383" s="171" t="n"/>
      <c r="V383" s="171" t="n"/>
      <c r="W383" s="171" t="n"/>
      <c r="X383" s="171" t="n"/>
      <c r="Y383" s="171" t="n"/>
      <c r="Z383" s="171" t="n"/>
      <c r="AA383" s="171" t="n"/>
      <c r="AB383" s="171" t="n"/>
    </row>
    <row r="384">
      <c r="A384" s="181" t="n"/>
      <c r="B384" s="181" t="n"/>
      <c r="C384" s="181" t="n"/>
      <c r="D384" s="181" t="n"/>
      <c r="E384" s="181" t="n"/>
      <c r="F384" s="208" t="n"/>
      <c r="G384" s="208" t="n"/>
      <c r="H384" s="208" t="n"/>
      <c r="I384" s="208" t="n"/>
      <c r="J384" s="208" t="n"/>
      <c r="K384" s="171" t="n"/>
      <c r="L384" s="171" t="n"/>
      <c r="M384" s="171" t="n"/>
      <c r="N384" s="171" t="n"/>
      <c r="O384" s="171" t="n"/>
      <c r="P384" s="171" t="n"/>
      <c r="Q384" s="171" t="n"/>
      <c r="R384" s="171" t="n"/>
      <c r="S384" s="171" t="n"/>
      <c r="T384" s="171" t="n"/>
      <c r="U384" s="171" t="n"/>
      <c r="V384" s="171" t="n"/>
      <c r="W384" s="171" t="n"/>
      <c r="X384" s="171" t="n"/>
      <c r="Y384" s="171" t="n"/>
      <c r="Z384" s="171" t="n"/>
      <c r="AA384" s="171" t="n"/>
      <c r="AB384" s="171" t="n"/>
    </row>
    <row r="385">
      <c r="A385" s="181" t="n"/>
      <c r="B385" s="181" t="n"/>
      <c r="C385" s="181" t="n"/>
      <c r="D385" s="181" t="n"/>
      <c r="E385" s="181" t="n"/>
      <c r="F385" s="208" t="n"/>
      <c r="G385" s="208" t="n"/>
      <c r="H385" s="208" t="n"/>
      <c r="I385" s="208" t="n"/>
      <c r="J385" s="208" t="n"/>
      <c r="K385" s="171" t="n"/>
      <c r="L385" s="171" t="n"/>
      <c r="M385" s="171" t="n"/>
      <c r="N385" s="171" t="n"/>
      <c r="O385" s="171" t="n"/>
      <c r="P385" s="171" t="n"/>
      <c r="Q385" s="171" t="n"/>
      <c r="R385" s="171" t="n"/>
      <c r="S385" s="171" t="n"/>
      <c r="T385" s="171" t="n"/>
      <c r="U385" s="171" t="n"/>
      <c r="V385" s="171" t="n"/>
      <c r="W385" s="171" t="n"/>
      <c r="X385" s="171" t="n"/>
      <c r="Y385" s="171" t="n"/>
      <c r="Z385" s="171" t="n"/>
      <c r="AA385" s="171" t="n"/>
      <c r="AB385" s="171" t="n"/>
    </row>
    <row r="386">
      <c r="A386" s="181" t="n"/>
      <c r="B386" s="181" t="n"/>
      <c r="C386" s="181" t="n"/>
      <c r="D386" s="181" t="n"/>
      <c r="E386" s="181" t="n"/>
      <c r="F386" s="208" t="n"/>
      <c r="G386" s="208" t="n"/>
      <c r="H386" s="208" t="n"/>
      <c r="I386" s="208" t="n"/>
      <c r="J386" s="208" t="n"/>
      <c r="K386" s="171" t="n"/>
      <c r="L386" s="171" t="n"/>
      <c r="M386" s="171" t="n"/>
      <c r="N386" s="171" t="n"/>
      <c r="O386" s="171" t="n"/>
      <c r="P386" s="171" t="n"/>
      <c r="Q386" s="171" t="n"/>
      <c r="R386" s="171" t="n"/>
      <c r="S386" s="171" t="n"/>
      <c r="T386" s="171" t="n"/>
      <c r="U386" s="171" t="n"/>
      <c r="V386" s="171" t="n"/>
      <c r="W386" s="171" t="n"/>
      <c r="X386" s="171" t="n"/>
      <c r="Y386" s="171" t="n"/>
      <c r="Z386" s="171" t="n"/>
      <c r="AA386" s="171" t="n"/>
      <c r="AB386" s="171" t="n"/>
    </row>
    <row r="387">
      <c r="A387" s="181" t="n"/>
      <c r="B387" s="181" t="n"/>
      <c r="C387" s="181" t="n"/>
      <c r="D387" s="181" t="n"/>
      <c r="E387" s="181" t="n"/>
      <c r="F387" s="208" t="n"/>
      <c r="G387" s="208" t="n"/>
      <c r="H387" s="208" t="n"/>
      <c r="I387" s="208" t="n"/>
      <c r="J387" s="208" t="n"/>
      <c r="K387" s="171" t="n"/>
      <c r="L387" s="171" t="n"/>
      <c r="M387" s="171" t="n"/>
      <c r="N387" s="171" t="n"/>
      <c r="O387" s="171" t="n"/>
      <c r="P387" s="171" t="n"/>
      <c r="Q387" s="171" t="n"/>
      <c r="R387" s="171" t="n"/>
      <c r="S387" s="171" t="n"/>
      <c r="T387" s="171" t="n"/>
      <c r="U387" s="171" t="n"/>
      <c r="V387" s="171" t="n"/>
      <c r="W387" s="171" t="n"/>
      <c r="X387" s="171" t="n"/>
      <c r="Y387" s="171" t="n"/>
      <c r="Z387" s="171" t="n"/>
      <c r="AA387" s="171" t="n"/>
      <c r="AB387" s="171" t="n"/>
    </row>
    <row r="388">
      <c r="A388" s="181" t="n"/>
      <c r="B388" s="181" t="n"/>
      <c r="C388" s="181" t="n"/>
      <c r="D388" s="181" t="n"/>
      <c r="E388" s="181" t="n"/>
      <c r="F388" s="208" t="n"/>
      <c r="G388" s="208" t="n"/>
      <c r="H388" s="208" t="n"/>
      <c r="I388" s="208" t="n"/>
      <c r="J388" s="208" t="n"/>
      <c r="K388" s="171" t="n"/>
      <c r="L388" s="171" t="n"/>
      <c r="M388" s="171" t="n"/>
      <c r="N388" s="171" t="n"/>
      <c r="O388" s="171" t="n"/>
      <c r="P388" s="171" t="n"/>
      <c r="Q388" s="171" t="n"/>
      <c r="R388" s="171" t="n"/>
      <c r="S388" s="171" t="n"/>
      <c r="T388" s="171" t="n"/>
      <c r="U388" s="171" t="n"/>
      <c r="V388" s="171" t="n"/>
      <c r="W388" s="171" t="n"/>
      <c r="X388" s="171" t="n"/>
      <c r="Y388" s="171" t="n"/>
      <c r="Z388" s="171" t="n"/>
      <c r="AA388" s="171" t="n"/>
      <c r="AB388" s="171" t="n"/>
    </row>
    <row r="389">
      <c r="A389" s="181" t="n"/>
      <c r="B389" s="181" t="n"/>
      <c r="C389" s="181" t="n"/>
      <c r="D389" s="181" t="n"/>
      <c r="E389" s="181" t="n"/>
      <c r="F389" s="208" t="n"/>
      <c r="G389" s="208" t="n"/>
      <c r="H389" s="208" t="n"/>
      <c r="I389" s="208" t="n"/>
      <c r="J389" s="208" t="n"/>
      <c r="K389" s="171" t="n"/>
      <c r="L389" s="171" t="n"/>
      <c r="M389" s="171" t="n"/>
      <c r="N389" s="171" t="n"/>
      <c r="O389" s="171" t="n"/>
      <c r="P389" s="171" t="n"/>
      <c r="Q389" s="171" t="n"/>
      <c r="R389" s="171" t="n"/>
      <c r="S389" s="171" t="n"/>
      <c r="T389" s="171" t="n"/>
      <c r="U389" s="171" t="n"/>
      <c r="V389" s="171" t="n"/>
      <c r="W389" s="171" t="n"/>
      <c r="X389" s="171" t="n"/>
      <c r="Y389" s="171" t="n"/>
      <c r="Z389" s="171" t="n"/>
      <c r="AA389" s="171" t="n"/>
      <c r="AB389" s="171" t="n"/>
    </row>
    <row r="390">
      <c r="A390" s="181" t="n"/>
      <c r="B390" s="181" t="n"/>
      <c r="C390" s="181" t="n"/>
      <c r="D390" s="181" t="n"/>
      <c r="E390" s="181" t="n"/>
      <c r="F390" s="208" t="n"/>
      <c r="G390" s="208" t="n"/>
      <c r="H390" s="208" t="n"/>
      <c r="I390" s="208" t="n"/>
      <c r="J390" s="208" t="n"/>
      <c r="K390" s="171" t="n"/>
      <c r="L390" s="171" t="n"/>
      <c r="M390" s="171" t="n"/>
      <c r="N390" s="171" t="n"/>
      <c r="O390" s="171" t="n"/>
      <c r="P390" s="171" t="n"/>
      <c r="Q390" s="171" t="n"/>
      <c r="R390" s="171" t="n"/>
      <c r="S390" s="171" t="n"/>
      <c r="T390" s="171" t="n"/>
      <c r="U390" s="171" t="n"/>
      <c r="V390" s="171" t="n"/>
      <c r="W390" s="171" t="n"/>
      <c r="X390" s="171" t="n"/>
      <c r="Y390" s="171" t="n"/>
      <c r="Z390" s="171" t="n"/>
      <c r="AA390" s="171" t="n"/>
      <c r="AB390" s="171" t="n"/>
    </row>
    <row r="391">
      <c r="A391" s="181" t="n"/>
      <c r="B391" s="181" t="n"/>
      <c r="C391" s="181" t="n"/>
      <c r="D391" s="181" t="n"/>
      <c r="E391" s="181" t="n"/>
      <c r="F391" s="208" t="n"/>
      <c r="G391" s="208" t="n"/>
      <c r="H391" s="208" t="n"/>
      <c r="I391" s="208" t="n"/>
      <c r="J391" s="208" t="n"/>
      <c r="K391" s="171" t="n"/>
      <c r="L391" s="171" t="n"/>
      <c r="M391" s="171" t="n"/>
      <c r="N391" s="171" t="n"/>
      <c r="O391" s="171" t="n"/>
      <c r="P391" s="171" t="n"/>
      <c r="Q391" s="171" t="n"/>
      <c r="R391" s="171" t="n"/>
      <c r="S391" s="171" t="n"/>
      <c r="T391" s="171" t="n"/>
      <c r="U391" s="171" t="n"/>
      <c r="V391" s="171" t="n"/>
      <c r="W391" s="171" t="n"/>
      <c r="X391" s="171" t="n"/>
      <c r="Y391" s="171" t="n"/>
      <c r="Z391" s="171" t="n"/>
      <c r="AA391" s="171" t="n"/>
      <c r="AB391" s="171" t="n"/>
    </row>
    <row r="392">
      <c r="A392" s="181" t="n"/>
      <c r="B392" s="181" t="n"/>
      <c r="C392" s="181" t="n"/>
      <c r="D392" s="181" t="n"/>
      <c r="E392" s="181" t="n"/>
      <c r="F392" s="208" t="n"/>
      <c r="G392" s="208" t="n"/>
      <c r="H392" s="208" t="n"/>
      <c r="I392" s="208" t="n"/>
      <c r="J392" s="208" t="n"/>
      <c r="K392" s="171" t="n"/>
      <c r="L392" s="171" t="n"/>
      <c r="M392" s="171" t="n"/>
      <c r="N392" s="171" t="n"/>
      <c r="O392" s="171" t="n"/>
      <c r="P392" s="171" t="n"/>
      <c r="Q392" s="171" t="n"/>
      <c r="R392" s="171" t="n"/>
      <c r="S392" s="171" t="n"/>
      <c r="T392" s="171" t="n"/>
      <c r="U392" s="171" t="n"/>
      <c r="V392" s="171" t="n"/>
      <c r="W392" s="171" t="n"/>
      <c r="X392" s="171" t="n"/>
      <c r="Y392" s="171" t="n"/>
      <c r="Z392" s="171" t="n"/>
      <c r="AA392" s="171" t="n"/>
      <c r="AB392" s="171" t="n"/>
    </row>
    <row r="393">
      <c r="A393" s="181" t="n"/>
      <c r="B393" s="181" t="n"/>
      <c r="C393" s="181" t="n"/>
      <c r="D393" s="181" t="n"/>
      <c r="E393" s="181" t="n"/>
      <c r="F393" s="208" t="n"/>
      <c r="G393" s="208" t="n"/>
      <c r="H393" s="208" t="n"/>
      <c r="I393" s="208" t="n"/>
      <c r="J393" s="208" t="n"/>
      <c r="K393" s="171" t="n"/>
      <c r="L393" s="171" t="n"/>
      <c r="M393" s="171" t="n"/>
      <c r="N393" s="171" t="n"/>
      <c r="O393" s="171" t="n"/>
      <c r="P393" s="171" t="n"/>
      <c r="Q393" s="171" t="n"/>
      <c r="R393" s="171" t="n"/>
      <c r="S393" s="171" t="n"/>
      <c r="T393" s="171" t="n"/>
      <c r="U393" s="171" t="n"/>
      <c r="V393" s="171" t="n"/>
      <c r="W393" s="171" t="n"/>
      <c r="X393" s="171" t="n"/>
      <c r="Y393" s="171" t="n"/>
      <c r="Z393" s="171" t="n"/>
      <c r="AA393" s="171" t="n"/>
      <c r="AB393" s="171" t="n"/>
    </row>
    <row r="394">
      <c r="A394" s="181" t="n"/>
      <c r="B394" s="181" t="n"/>
      <c r="C394" s="181" t="n"/>
      <c r="D394" s="181" t="n"/>
      <c r="E394" s="181" t="n"/>
      <c r="F394" s="208" t="n"/>
      <c r="G394" s="208" t="n"/>
      <c r="H394" s="208" t="n"/>
      <c r="I394" s="208" t="n"/>
      <c r="J394" s="208" t="n"/>
      <c r="K394" s="171" t="n"/>
      <c r="L394" s="171" t="n"/>
      <c r="M394" s="171" t="n"/>
      <c r="N394" s="171" t="n"/>
      <c r="O394" s="171" t="n"/>
      <c r="P394" s="171" t="n"/>
      <c r="Q394" s="171" t="n"/>
      <c r="R394" s="171" t="n"/>
      <c r="S394" s="171" t="n"/>
      <c r="T394" s="171" t="n"/>
      <c r="U394" s="171" t="n"/>
      <c r="V394" s="171" t="n"/>
      <c r="W394" s="171" t="n"/>
      <c r="X394" s="171" t="n"/>
      <c r="Y394" s="171" t="n"/>
      <c r="Z394" s="171" t="n"/>
      <c r="AA394" s="171" t="n"/>
      <c r="AB394" s="171" t="n"/>
    </row>
    <row r="395">
      <c r="A395" s="181" t="n"/>
      <c r="B395" s="181" t="n"/>
      <c r="C395" s="181" t="n"/>
      <c r="D395" s="181" t="n"/>
      <c r="E395" s="181" t="n"/>
      <c r="F395" s="208" t="n"/>
      <c r="G395" s="208" t="n"/>
      <c r="H395" s="208" t="n"/>
      <c r="I395" s="208" t="n"/>
      <c r="J395" s="208" t="n"/>
      <c r="K395" s="171" t="n"/>
      <c r="L395" s="171" t="n"/>
      <c r="M395" s="171" t="n"/>
      <c r="N395" s="171" t="n"/>
      <c r="O395" s="171" t="n"/>
      <c r="P395" s="171" t="n"/>
      <c r="Q395" s="171" t="n"/>
      <c r="R395" s="171" t="n"/>
      <c r="S395" s="171" t="n"/>
      <c r="T395" s="171" t="n"/>
      <c r="U395" s="171" t="n"/>
      <c r="V395" s="171" t="n"/>
      <c r="W395" s="171" t="n"/>
      <c r="X395" s="171" t="n"/>
      <c r="Y395" s="171" t="n"/>
      <c r="Z395" s="171" t="n"/>
      <c r="AA395" s="171" t="n"/>
      <c r="AB395" s="171" t="n"/>
    </row>
    <row r="396">
      <c r="A396" s="181" t="n"/>
      <c r="B396" s="181" t="n"/>
      <c r="C396" s="181" t="n"/>
      <c r="D396" s="181" t="n"/>
      <c r="E396" s="181" t="n"/>
      <c r="F396" s="208" t="n"/>
      <c r="G396" s="208" t="n"/>
      <c r="H396" s="208" t="n"/>
      <c r="I396" s="208" t="n"/>
      <c r="J396" s="208" t="n"/>
      <c r="K396" s="171" t="n"/>
      <c r="L396" s="171" t="n"/>
      <c r="M396" s="171" t="n"/>
      <c r="N396" s="171" t="n"/>
      <c r="O396" s="171" t="n"/>
      <c r="P396" s="171" t="n"/>
      <c r="Q396" s="171" t="n"/>
      <c r="R396" s="171" t="n"/>
      <c r="S396" s="171" t="n"/>
      <c r="T396" s="171" t="n"/>
      <c r="U396" s="171" t="n"/>
      <c r="V396" s="171" t="n"/>
      <c r="W396" s="171" t="n"/>
      <c r="X396" s="171" t="n"/>
      <c r="Y396" s="171" t="n"/>
      <c r="Z396" s="171" t="n"/>
      <c r="AA396" s="171" t="n"/>
      <c r="AB396" s="171" t="n"/>
    </row>
    <row r="397">
      <c r="A397" s="181" t="n"/>
      <c r="B397" s="181" t="n"/>
      <c r="C397" s="181" t="n"/>
      <c r="D397" s="181" t="n"/>
      <c r="E397" s="181" t="n"/>
      <c r="F397" s="208" t="n"/>
      <c r="G397" s="208" t="n"/>
      <c r="H397" s="208" t="n"/>
      <c r="I397" s="208" t="n"/>
      <c r="J397" s="208" t="n"/>
      <c r="K397" s="171" t="n"/>
      <c r="L397" s="171" t="n"/>
      <c r="M397" s="171" t="n"/>
      <c r="N397" s="171" t="n"/>
      <c r="O397" s="171" t="n"/>
      <c r="P397" s="171" t="n"/>
      <c r="Q397" s="171" t="n"/>
      <c r="R397" s="171" t="n"/>
      <c r="S397" s="171" t="n"/>
      <c r="T397" s="171" t="n"/>
      <c r="U397" s="171" t="n"/>
      <c r="V397" s="171" t="n"/>
      <c r="W397" s="171" t="n"/>
      <c r="X397" s="171" t="n"/>
      <c r="Y397" s="171" t="n"/>
      <c r="Z397" s="171" t="n"/>
      <c r="AA397" s="171" t="n"/>
      <c r="AB397" s="171" t="n"/>
    </row>
    <row r="398">
      <c r="A398" s="181" t="n"/>
      <c r="B398" s="181" t="n"/>
      <c r="C398" s="181" t="n"/>
      <c r="D398" s="181" t="n"/>
      <c r="E398" s="181" t="n"/>
      <c r="F398" s="208" t="n"/>
      <c r="G398" s="208" t="n"/>
      <c r="H398" s="208" t="n"/>
      <c r="I398" s="208" t="n"/>
      <c r="J398" s="208" t="n"/>
      <c r="K398" s="171" t="n"/>
      <c r="L398" s="171" t="n"/>
      <c r="M398" s="171" t="n"/>
      <c r="N398" s="171" t="n"/>
      <c r="O398" s="171" t="n"/>
      <c r="P398" s="171" t="n"/>
      <c r="Q398" s="171" t="n"/>
      <c r="R398" s="171" t="n"/>
      <c r="S398" s="171" t="n"/>
      <c r="T398" s="171" t="n"/>
      <c r="U398" s="171" t="n"/>
      <c r="V398" s="171" t="n"/>
      <c r="W398" s="171" t="n"/>
      <c r="X398" s="171" t="n"/>
      <c r="Y398" s="171" t="n"/>
      <c r="Z398" s="171" t="n"/>
      <c r="AA398" s="171" t="n"/>
      <c r="AB398" s="171" t="n"/>
    </row>
    <row r="399">
      <c r="A399" s="181" t="n"/>
      <c r="B399" s="181" t="n"/>
      <c r="C399" s="181" t="n"/>
      <c r="D399" s="181" t="n"/>
      <c r="E399" s="181" t="n"/>
      <c r="F399" s="208" t="n"/>
      <c r="G399" s="208" t="n"/>
      <c r="H399" s="208" t="n"/>
      <c r="I399" s="208" t="n"/>
      <c r="J399" s="208" t="n"/>
      <c r="K399" s="171" t="n"/>
      <c r="L399" s="171" t="n"/>
      <c r="M399" s="171" t="n"/>
      <c r="N399" s="171" t="n"/>
      <c r="O399" s="171" t="n"/>
      <c r="P399" s="171" t="n"/>
      <c r="Q399" s="171" t="n"/>
      <c r="R399" s="171" t="n"/>
      <c r="S399" s="171" t="n"/>
      <c r="T399" s="171" t="n"/>
      <c r="U399" s="171" t="n"/>
      <c r="V399" s="171" t="n"/>
      <c r="W399" s="171" t="n"/>
      <c r="X399" s="171" t="n"/>
      <c r="Y399" s="171" t="n"/>
      <c r="Z399" s="171" t="n"/>
      <c r="AA399" s="171" t="n"/>
      <c r="AB399" s="171" t="n"/>
    </row>
    <row r="400">
      <c r="A400" s="181" t="n"/>
      <c r="B400" s="181" t="n"/>
      <c r="C400" s="181" t="n"/>
      <c r="D400" s="181" t="n"/>
      <c r="E400" s="181" t="n"/>
      <c r="F400" s="208" t="n"/>
      <c r="G400" s="208" t="n"/>
      <c r="H400" s="208" t="n"/>
      <c r="I400" s="208" t="n"/>
      <c r="J400" s="208" t="n"/>
      <c r="K400" s="171" t="n"/>
      <c r="L400" s="171" t="n"/>
      <c r="M400" s="171" t="n"/>
      <c r="N400" s="171" t="n"/>
      <c r="O400" s="171" t="n"/>
      <c r="P400" s="171" t="n"/>
      <c r="Q400" s="171" t="n"/>
      <c r="R400" s="171" t="n"/>
      <c r="S400" s="171" t="n"/>
      <c r="T400" s="171" t="n"/>
      <c r="U400" s="171" t="n"/>
      <c r="V400" s="171" t="n"/>
      <c r="W400" s="171" t="n"/>
      <c r="X400" s="171" t="n"/>
      <c r="Y400" s="171" t="n"/>
      <c r="Z400" s="171" t="n"/>
      <c r="AA400" s="171" t="n"/>
      <c r="AB400" s="171" t="n"/>
    </row>
    <row r="401">
      <c r="A401" s="181" t="n"/>
      <c r="B401" s="181" t="n"/>
      <c r="C401" s="181" t="n"/>
      <c r="D401" s="181" t="n"/>
      <c r="E401" s="181" t="n"/>
      <c r="F401" s="208" t="n"/>
      <c r="G401" s="208" t="n"/>
      <c r="H401" s="208" t="n"/>
      <c r="I401" s="208" t="n"/>
      <c r="J401" s="208" t="n"/>
      <c r="K401" s="171" t="n"/>
      <c r="L401" s="171" t="n"/>
      <c r="M401" s="171" t="n"/>
      <c r="N401" s="171" t="n"/>
      <c r="O401" s="171" t="n"/>
      <c r="P401" s="171" t="n"/>
      <c r="Q401" s="171" t="n"/>
      <c r="R401" s="171" t="n"/>
      <c r="S401" s="171" t="n"/>
      <c r="T401" s="171" t="n"/>
      <c r="U401" s="171" t="n"/>
      <c r="V401" s="171" t="n"/>
      <c r="W401" s="171" t="n"/>
      <c r="X401" s="171" t="n"/>
      <c r="Y401" s="171" t="n"/>
      <c r="Z401" s="171" t="n"/>
      <c r="AA401" s="171" t="n"/>
      <c r="AB401" s="171" t="n"/>
    </row>
    <row r="402">
      <c r="A402" s="181" t="n"/>
      <c r="B402" s="181" t="n"/>
      <c r="C402" s="181" t="n"/>
      <c r="D402" s="181" t="n"/>
      <c r="E402" s="181" t="n"/>
      <c r="F402" s="208" t="n"/>
      <c r="G402" s="208" t="n"/>
      <c r="H402" s="208" t="n"/>
      <c r="I402" s="208" t="n"/>
      <c r="J402" s="208" t="n"/>
      <c r="K402" s="171" t="n"/>
      <c r="L402" s="171" t="n"/>
      <c r="M402" s="171" t="n"/>
      <c r="N402" s="171" t="n"/>
      <c r="O402" s="171" t="n"/>
      <c r="P402" s="171" t="n"/>
      <c r="Q402" s="171" t="n"/>
      <c r="R402" s="171" t="n"/>
      <c r="S402" s="171" t="n"/>
      <c r="T402" s="171" t="n"/>
      <c r="U402" s="171" t="n"/>
      <c r="V402" s="171" t="n"/>
      <c r="W402" s="171" t="n"/>
      <c r="X402" s="171" t="n"/>
      <c r="Y402" s="171" t="n"/>
      <c r="Z402" s="171" t="n"/>
      <c r="AA402" s="171" t="n"/>
      <c r="AB402" s="171" t="n"/>
    </row>
    <row r="403">
      <c r="A403" s="181" t="n"/>
      <c r="B403" s="181" t="n"/>
      <c r="C403" s="171" t="n"/>
      <c r="D403" s="171" t="n"/>
      <c r="E403" s="181" t="n"/>
      <c r="F403" s="208" t="n"/>
      <c r="G403" s="208" t="n"/>
      <c r="H403" s="208" t="n"/>
      <c r="I403" s="208" t="n"/>
      <c r="J403" s="208" t="n"/>
      <c r="K403" s="171" t="n"/>
      <c r="L403" s="171" t="n"/>
      <c r="M403" s="171" t="n"/>
      <c r="N403" s="171" t="n"/>
      <c r="O403" s="171" t="n"/>
      <c r="P403" s="171" t="n"/>
      <c r="Q403" s="171" t="n"/>
      <c r="R403" s="171" t="n"/>
      <c r="S403" s="171" t="n"/>
      <c r="T403" s="171" t="n"/>
      <c r="U403" s="171" t="n"/>
      <c r="V403" s="171" t="n"/>
      <c r="W403" s="171" t="n"/>
      <c r="X403" s="171" t="n"/>
      <c r="Y403" s="171" t="n"/>
      <c r="Z403" s="171" t="n"/>
      <c r="AA403" s="171" t="n"/>
      <c r="AB403" s="171" t="n"/>
    </row>
    <row r="404">
      <c r="A404" s="181" t="n"/>
      <c r="B404" s="181" t="n"/>
      <c r="C404" s="171" t="n"/>
      <c r="D404" s="171" t="n"/>
      <c r="E404" s="181" t="n"/>
      <c r="F404" s="208" t="n"/>
      <c r="G404" s="208" t="n"/>
      <c r="H404" s="208" t="n"/>
      <c r="I404" s="208" t="n"/>
      <c r="J404" s="208" t="n"/>
      <c r="K404" s="171" t="n"/>
      <c r="L404" s="171" t="n"/>
      <c r="M404" s="171" t="n"/>
      <c r="N404" s="171" t="n"/>
      <c r="O404" s="171" t="n"/>
      <c r="P404" s="171" t="n"/>
      <c r="Q404" s="171" t="n"/>
      <c r="R404" s="171" t="n"/>
      <c r="S404" s="171" t="n"/>
      <c r="T404" s="171" t="n"/>
      <c r="U404" s="171" t="n"/>
      <c r="V404" s="171" t="n"/>
      <c r="W404" s="171" t="n"/>
      <c r="X404" s="171" t="n"/>
      <c r="Y404" s="171" t="n"/>
      <c r="Z404" s="171" t="n"/>
      <c r="AA404" s="171" t="n"/>
      <c r="AB404" s="171" t="n"/>
    </row>
    <row r="405">
      <c r="A405" s="181" t="n"/>
      <c r="B405" s="181" t="n"/>
      <c r="C405" s="171" t="n"/>
      <c r="D405" s="171" t="n"/>
      <c r="E405" s="181" t="n"/>
      <c r="F405" s="208" t="n"/>
      <c r="G405" s="208" t="n"/>
      <c r="H405" s="208" t="n"/>
      <c r="I405" s="208" t="n"/>
      <c r="J405" s="208" t="n"/>
      <c r="K405" s="171" t="n"/>
      <c r="L405" s="171" t="n"/>
      <c r="M405" s="171" t="n"/>
      <c r="N405" s="171" t="n"/>
      <c r="O405" s="171" t="n"/>
      <c r="P405" s="171" t="n"/>
      <c r="Q405" s="171" t="n"/>
      <c r="R405" s="171" t="n"/>
      <c r="S405" s="171" t="n"/>
      <c r="T405" s="171" t="n"/>
      <c r="U405" s="171" t="n"/>
      <c r="V405" s="171" t="n"/>
      <c r="W405" s="171" t="n"/>
      <c r="X405" s="171" t="n"/>
      <c r="Y405" s="171" t="n"/>
      <c r="Z405" s="171" t="n"/>
      <c r="AA405" s="171" t="n"/>
      <c r="AB405" s="171" t="n"/>
    </row>
    <row r="406">
      <c r="A406" s="181" t="n"/>
      <c r="B406" s="181" t="n"/>
      <c r="C406" s="171" t="n"/>
      <c r="D406" s="171" t="n"/>
      <c r="E406" s="181" t="n"/>
      <c r="F406" s="208" t="n"/>
      <c r="G406" s="208" t="n"/>
      <c r="H406" s="208" t="n"/>
      <c r="I406" s="208" t="n"/>
      <c r="J406" s="208" t="n"/>
      <c r="K406" s="171" t="n"/>
      <c r="L406" s="171" t="n"/>
      <c r="M406" s="171" t="n"/>
      <c r="N406" s="171" t="n"/>
      <c r="O406" s="171" t="n"/>
      <c r="P406" s="171" t="n"/>
      <c r="Q406" s="171" t="n"/>
      <c r="R406" s="171" t="n"/>
      <c r="S406" s="171" t="n"/>
      <c r="T406" s="171" t="n"/>
      <c r="U406" s="171" t="n"/>
      <c r="V406" s="171" t="n"/>
      <c r="W406" s="171" t="n"/>
      <c r="X406" s="171" t="n"/>
      <c r="Y406" s="171" t="n"/>
      <c r="Z406" s="171" t="n"/>
      <c r="AA406" s="171" t="n"/>
      <c r="AB406" s="171" t="n"/>
    </row>
    <row r="407">
      <c r="A407" s="181" t="n"/>
      <c r="B407" s="181" t="n"/>
      <c r="C407" s="171" t="n"/>
      <c r="D407" s="171" t="n"/>
      <c r="E407" s="181" t="n"/>
      <c r="F407" s="208" t="n"/>
      <c r="G407" s="208" t="n"/>
      <c r="H407" s="208" t="n"/>
      <c r="I407" s="208" t="n"/>
      <c r="J407" s="208" t="n"/>
      <c r="K407" s="171" t="n"/>
      <c r="L407" s="171" t="n"/>
      <c r="M407" s="171" t="n"/>
      <c r="N407" s="171" t="n"/>
      <c r="O407" s="171" t="n"/>
      <c r="P407" s="171" t="n"/>
      <c r="Q407" s="171" t="n"/>
      <c r="R407" s="171" t="n"/>
      <c r="S407" s="171" t="n"/>
      <c r="T407" s="171" t="n"/>
      <c r="U407" s="171" t="n"/>
      <c r="V407" s="171" t="n"/>
      <c r="W407" s="171" t="n"/>
      <c r="X407" s="171" t="n"/>
      <c r="Y407" s="171" t="n"/>
      <c r="Z407" s="171" t="n"/>
      <c r="AA407" s="171" t="n"/>
      <c r="AB407" s="171" t="n"/>
    </row>
    <row r="408">
      <c r="A408" s="181" t="n"/>
      <c r="B408" s="181" t="n"/>
      <c r="C408" s="171" t="n"/>
      <c r="D408" s="171" t="n"/>
      <c r="E408" s="181" t="n"/>
      <c r="F408" s="208" t="n"/>
      <c r="G408" s="208" t="n"/>
      <c r="H408" s="208" t="n"/>
      <c r="I408" s="208" t="n"/>
      <c r="J408" s="208" t="n"/>
      <c r="K408" s="171" t="n"/>
      <c r="L408" s="171" t="n"/>
      <c r="M408" s="171" t="n"/>
      <c r="N408" s="171" t="n"/>
      <c r="O408" s="171" t="n"/>
      <c r="P408" s="171" t="n"/>
      <c r="Q408" s="171" t="n"/>
      <c r="R408" s="171" t="n"/>
      <c r="S408" s="171" t="n"/>
      <c r="T408" s="171" t="n"/>
      <c r="U408" s="171" t="n"/>
      <c r="V408" s="171" t="n"/>
      <c r="W408" s="171" t="n"/>
      <c r="X408" s="171" t="n"/>
      <c r="Y408" s="171" t="n"/>
      <c r="Z408" s="171" t="n"/>
      <c r="AA408" s="171" t="n"/>
      <c r="AB408" s="171" t="n"/>
    </row>
    <row r="409">
      <c r="A409" s="181" t="n"/>
      <c r="B409" s="181" t="n"/>
      <c r="C409" s="171" t="n"/>
      <c r="D409" s="171" t="n"/>
      <c r="E409" s="181" t="n"/>
      <c r="F409" s="208" t="n"/>
      <c r="G409" s="208" t="n"/>
      <c r="H409" s="208" t="n"/>
      <c r="I409" s="208" t="n"/>
      <c r="J409" s="208" t="n"/>
      <c r="K409" s="171" t="n"/>
      <c r="L409" s="171" t="n"/>
      <c r="M409" s="171" t="n"/>
      <c r="N409" s="171" t="n"/>
      <c r="O409" s="171" t="n"/>
      <c r="P409" s="171" t="n"/>
      <c r="Q409" s="171" t="n"/>
      <c r="R409" s="171" t="n"/>
      <c r="S409" s="171" t="n"/>
      <c r="T409" s="171" t="n"/>
      <c r="U409" s="171" t="n"/>
      <c r="V409" s="171" t="n"/>
      <c r="W409" s="171" t="n"/>
      <c r="X409" s="171" t="n"/>
      <c r="Y409" s="171" t="n"/>
      <c r="Z409" s="171" t="n"/>
      <c r="AA409" s="171" t="n"/>
      <c r="AB409" s="171" t="n"/>
    </row>
    <row r="410">
      <c r="A410" s="181" t="n"/>
      <c r="B410" s="181" t="n"/>
      <c r="C410" s="171" t="n"/>
      <c r="D410" s="171" t="n"/>
      <c r="E410" s="181" t="n"/>
      <c r="F410" s="208" t="n"/>
      <c r="G410" s="208" t="n"/>
      <c r="H410" s="208" t="n"/>
      <c r="I410" s="208" t="n"/>
      <c r="J410" s="208" t="n"/>
      <c r="K410" s="171" t="n"/>
      <c r="L410" s="171" t="n"/>
      <c r="M410" s="171" t="n"/>
      <c r="N410" s="171" t="n"/>
      <c r="O410" s="171" t="n"/>
      <c r="P410" s="171" t="n"/>
      <c r="Q410" s="171" t="n"/>
      <c r="R410" s="171" t="n"/>
      <c r="S410" s="171" t="n"/>
      <c r="T410" s="171" t="n"/>
      <c r="U410" s="171" t="n"/>
      <c r="V410" s="171" t="n"/>
      <c r="W410" s="171" t="n"/>
      <c r="X410" s="171" t="n"/>
      <c r="Y410" s="171" t="n"/>
      <c r="Z410" s="171" t="n"/>
      <c r="AA410" s="171" t="n"/>
      <c r="AB410" s="171" t="n"/>
    </row>
    <row r="411">
      <c r="A411" s="181" t="n"/>
      <c r="B411" s="181" t="n"/>
      <c r="C411" s="171" t="n"/>
      <c r="D411" s="171" t="n"/>
      <c r="E411" s="181" t="n"/>
      <c r="F411" s="208" t="n"/>
      <c r="G411" s="208" t="n"/>
      <c r="H411" s="208" t="n"/>
      <c r="I411" s="208" t="n"/>
      <c r="J411" s="208" t="n"/>
      <c r="K411" s="171" t="n"/>
      <c r="L411" s="171" t="n"/>
      <c r="M411" s="171" t="n"/>
      <c r="N411" s="171" t="n"/>
      <c r="O411" s="171" t="n"/>
      <c r="P411" s="171" t="n"/>
      <c r="Q411" s="171" t="n"/>
      <c r="R411" s="171" t="n"/>
      <c r="S411" s="171" t="n"/>
      <c r="T411" s="171" t="n"/>
      <c r="U411" s="171" t="n"/>
      <c r="V411" s="171" t="n"/>
      <c r="W411" s="171" t="n"/>
      <c r="X411" s="171" t="n"/>
      <c r="Y411" s="171" t="n"/>
      <c r="Z411" s="171" t="n"/>
      <c r="AA411" s="171" t="n"/>
      <c r="AB411" s="171" t="n"/>
    </row>
    <row r="412">
      <c r="A412" s="181" t="n"/>
      <c r="B412" s="181" t="n"/>
      <c r="C412" s="171" t="n"/>
      <c r="D412" s="171" t="n"/>
      <c r="E412" s="181" t="n"/>
      <c r="F412" s="208" t="n"/>
      <c r="G412" s="208" t="n"/>
      <c r="H412" s="208" t="n"/>
      <c r="I412" s="208" t="n"/>
      <c r="J412" s="208" t="n"/>
      <c r="K412" s="171" t="n"/>
      <c r="L412" s="171" t="n"/>
      <c r="M412" s="171" t="n"/>
      <c r="N412" s="171" t="n"/>
      <c r="O412" s="171" t="n"/>
      <c r="P412" s="171" t="n"/>
      <c r="Q412" s="171" t="n"/>
      <c r="R412" s="171" t="n"/>
      <c r="S412" s="171" t="n"/>
      <c r="T412" s="171" t="n"/>
      <c r="U412" s="171" t="n"/>
      <c r="V412" s="171" t="n"/>
      <c r="W412" s="171" t="n"/>
      <c r="X412" s="171" t="n"/>
      <c r="Y412" s="171" t="n"/>
      <c r="Z412" s="171" t="n"/>
      <c r="AA412" s="171" t="n"/>
      <c r="AB412" s="171" t="n"/>
    </row>
    <row r="413">
      <c r="A413" s="181" t="n"/>
      <c r="B413" s="181" t="n"/>
      <c r="C413" s="171" t="n"/>
      <c r="D413" s="171" t="n"/>
      <c r="E413" s="181" t="n"/>
      <c r="F413" s="208" t="n"/>
      <c r="G413" s="208" t="n"/>
      <c r="H413" s="208" t="n"/>
      <c r="I413" s="208" t="n"/>
      <c r="J413" s="208" t="n"/>
      <c r="K413" s="171" t="n"/>
      <c r="L413" s="171" t="n"/>
      <c r="M413" s="171" t="n"/>
      <c r="N413" s="171" t="n"/>
      <c r="O413" s="171" t="n"/>
      <c r="P413" s="171" t="n"/>
      <c r="Q413" s="171" t="n"/>
      <c r="R413" s="171" t="n"/>
      <c r="S413" s="171" t="n"/>
      <c r="T413" s="171" t="n"/>
      <c r="U413" s="171" t="n"/>
      <c r="V413" s="171" t="n"/>
      <c r="W413" s="171" t="n"/>
      <c r="X413" s="171" t="n"/>
      <c r="Y413" s="171" t="n"/>
      <c r="Z413" s="171" t="n"/>
      <c r="AA413" s="171" t="n"/>
      <c r="AB413" s="171" t="n"/>
    </row>
    <row r="414">
      <c r="A414" s="181" t="n"/>
      <c r="B414" s="181" t="n"/>
      <c r="C414" s="171" t="n"/>
      <c r="D414" s="171" t="n"/>
      <c r="E414" s="181" t="n"/>
      <c r="F414" s="208" t="n"/>
      <c r="G414" s="208" t="n"/>
      <c r="H414" s="208" t="n"/>
      <c r="I414" s="208" t="n"/>
      <c r="J414" s="208" t="n"/>
      <c r="K414" s="171" t="n"/>
      <c r="L414" s="171" t="n"/>
      <c r="M414" s="171" t="n"/>
      <c r="N414" s="171" t="n"/>
      <c r="O414" s="171" t="n"/>
      <c r="P414" s="171" t="n"/>
      <c r="Q414" s="171" t="n"/>
      <c r="R414" s="171" t="n"/>
      <c r="S414" s="171" t="n"/>
      <c r="T414" s="171" t="n"/>
      <c r="U414" s="171" t="n"/>
      <c r="V414" s="171" t="n"/>
      <c r="W414" s="171" t="n"/>
      <c r="X414" s="171" t="n"/>
      <c r="Y414" s="171" t="n"/>
      <c r="Z414" s="171" t="n"/>
      <c r="AA414" s="171" t="n"/>
      <c r="AB414" s="171" t="n"/>
    </row>
    <row r="415">
      <c r="A415" s="181" t="n"/>
      <c r="B415" s="181" t="n"/>
      <c r="C415" s="171" t="n"/>
      <c r="D415" s="171" t="n"/>
      <c r="E415" s="181" t="n"/>
      <c r="F415" s="208" t="n"/>
      <c r="G415" s="208" t="n"/>
      <c r="H415" s="208" t="n"/>
      <c r="I415" s="208" t="n"/>
      <c r="J415" s="208" t="n"/>
      <c r="K415" s="171" t="n"/>
      <c r="L415" s="171" t="n"/>
      <c r="M415" s="171" t="n"/>
      <c r="N415" s="171" t="n"/>
      <c r="O415" s="171" t="n"/>
      <c r="P415" s="171" t="n"/>
      <c r="Q415" s="171" t="n"/>
      <c r="R415" s="171" t="n"/>
      <c r="S415" s="171" t="n"/>
      <c r="T415" s="171" t="n"/>
      <c r="U415" s="171" t="n"/>
      <c r="V415" s="171" t="n"/>
      <c r="W415" s="171" t="n"/>
      <c r="X415" s="171" t="n"/>
      <c r="Y415" s="171" t="n"/>
      <c r="Z415" s="171" t="n"/>
      <c r="AA415" s="171" t="n"/>
      <c r="AB415" s="171" t="n"/>
    </row>
    <row r="416">
      <c r="A416" s="181" t="n"/>
      <c r="B416" s="181" t="n"/>
      <c r="C416" s="171" t="n"/>
      <c r="D416" s="171" t="n"/>
      <c r="E416" s="181" t="n"/>
      <c r="F416" s="208" t="n"/>
      <c r="G416" s="208" t="n"/>
      <c r="H416" s="208" t="n"/>
      <c r="I416" s="208" t="n"/>
      <c r="J416" s="208" t="n"/>
      <c r="K416" s="171" t="n"/>
      <c r="L416" s="171" t="n"/>
      <c r="M416" s="171" t="n"/>
      <c r="N416" s="171" t="n"/>
      <c r="O416" s="171" t="n"/>
      <c r="P416" s="171" t="n"/>
      <c r="Q416" s="171" t="n"/>
      <c r="R416" s="171" t="n"/>
      <c r="S416" s="171" t="n"/>
      <c r="T416" s="171" t="n"/>
      <c r="U416" s="171" t="n"/>
      <c r="V416" s="171" t="n"/>
      <c r="W416" s="171" t="n"/>
      <c r="X416" s="171" t="n"/>
      <c r="Y416" s="171" t="n"/>
      <c r="Z416" s="171" t="n"/>
      <c r="AA416" s="171" t="n"/>
      <c r="AB416" s="171" t="n"/>
    </row>
    <row r="417">
      <c r="A417" s="181" t="n"/>
      <c r="B417" s="181" t="n"/>
      <c r="C417" s="171" t="n"/>
      <c r="D417" s="171" t="n"/>
      <c r="E417" s="181" t="n"/>
      <c r="F417" s="208" t="n"/>
      <c r="G417" s="208" t="n"/>
      <c r="H417" s="208" t="n"/>
      <c r="I417" s="208" t="n"/>
      <c r="J417" s="208" t="n"/>
      <c r="K417" s="171" t="n"/>
      <c r="L417" s="171" t="n"/>
      <c r="M417" s="171" t="n"/>
      <c r="N417" s="171" t="n"/>
      <c r="O417" s="171" t="n"/>
      <c r="P417" s="171" t="n"/>
      <c r="Q417" s="171" t="n"/>
      <c r="R417" s="171" t="n"/>
      <c r="S417" s="171" t="n"/>
      <c r="T417" s="171" t="n"/>
      <c r="U417" s="171" t="n"/>
      <c r="V417" s="171" t="n"/>
      <c r="W417" s="171" t="n"/>
      <c r="X417" s="171" t="n"/>
      <c r="Y417" s="171" t="n"/>
      <c r="Z417" s="171" t="n"/>
      <c r="AA417" s="171" t="n"/>
      <c r="AB417" s="171" t="n"/>
    </row>
    <row r="418">
      <c r="A418" s="181" t="n"/>
      <c r="B418" s="181" t="n"/>
      <c r="C418" s="171" t="n"/>
      <c r="D418" s="171" t="n"/>
      <c r="E418" s="181" t="n"/>
      <c r="F418" s="208" t="n"/>
      <c r="G418" s="208" t="n"/>
      <c r="H418" s="208" t="n"/>
      <c r="I418" s="208" t="n"/>
      <c r="J418" s="208" t="n"/>
      <c r="K418" s="171" t="n"/>
      <c r="L418" s="171" t="n"/>
      <c r="M418" s="171" t="n"/>
      <c r="N418" s="171" t="n"/>
      <c r="O418" s="171" t="n"/>
      <c r="P418" s="171" t="n"/>
      <c r="Q418" s="171" t="n"/>
      <c r="R418" s="171" t="n"/>
      <c r="S418" s="171" t="n"/>
      <c r="T418" s="171" t="n"/>
      <c r="U418" s="171" t="n"/>
      <c r="V418" s="171" t="n"/>
      <c r="W418" s="171" t="n"/>
      <c r="X418" s="171" t="n"/>
      <c r="Y418" s="171" t="n"/>
      <c r="Z418" s="171" t="n"/>
      <c r="AA418" s="171" t="n"/>
      <c r="AB418" s="171" t="n"/>
    </row>
    <row r="419">
      <c r="A419" s="171" t="n"/>
      <c r="B419" s="171" t="n"/>
      <c r="C419" s="171" t="n"/>
      <c r="D419" s="171" t="n"/>
      <c r="E419" s="181" t="n"/>
      <c r="F419" s="208" t="n"/>
      <c r="G419" s="208" t="n"/>
      <c r="H419" s="208" t="n"/>
      <c r="I419" s="208" t="n"/>
      <c r="J419" s="208" t="n"/>
      <c r="K419" s="171" t="n"/>
      <c r="L419" s="171" t="n"/>
      <c r="M419" s="171" t="n"/>
      <c r="N419" s="171" t="n"/>
      <c r="O419" s="171" t="n"/>
      <c r="P419" s="171" t="n"/>
      <c r="Q419" s="171" t="n"/>
      <c r="R419" s="171" t="n"/>
      <c r="S419" s="171" t="n"/>
      <c r="T419" s="171" t="n"/>
      <c r="U419" s="171" t="n"/>
      <c r="V419" s="171" t="n"/>
      <c r="W419" s="171" t="n"/>
      <c r="X419" s="171" t="n"/>
      <c r="Y419" s="171" t="n"/>
      <c r="Z419" s="171" t="n"/>
      <c r="AA419" s="171" t="n"/>
      <c r="AB419" s="171" t="n"/>
    </row>
    <row r="420">
      <c r="A420" s="171" t="n"/>
      <c r="B420" s="171" t="n"/>
      <c r="C420" s="171" t="n"/>
      <c r="D420" s="171" t="n"/>
      <c r="E420" s="181" t="n"/>
      <c r="F420" s="208" t="n"/>
      <c r="G420" s="208" t="n"/>
      <c r="H420" s="208" t="n"/>
      <c r="I420" s="208" t="n"/>
      <c r="J420" s="208" t="n"/>
      <c r="K420" s="171" t="n"/>
      <c r="L420" s="171" t="n"/>
      <c r="M420" s="171" t="n"/>
      <c r="N420" s="171" t="n"/>
      <c r="O420" s="171" t="n"/>
      <c r="P420" s="171" t="n"/>
      <c r="Q420" s="171" t="n"/>
      <c r="R420" s="171" t="n"/>
      <c r="S420" s="171" t="n"/>
      <c r="T420" s="171" t="n"/>
      <c r="U420" s="171" t="n"/>
      <c r="V420" s="171" t="n"/>
      <c r="W420" s="171" t="n"/>
      <c r="X420" s="171" t="n"/>
      <c r="Y420" s="171" t="n"/>
      <c r="Z420" s="171" t="n"/>
      <c r="AA420" s="171" t="n"/>
      <c r="AB420" s="171" t="n"/>
    </row>
    <row r="421">
      <c r="A421" s="171" t="n"/>
      <c r="B421" s="171" t="n"/>
      <c r="C421" s="171" t="n"/>
      <c r="D421" s="171" t="n"/>
      <c r="E421" s="181" t="n"/>
      <c r="F421" s="208" t="n"/>
      <c r="G421" s="208" t="n"/>
      <c r="H421" s="208" t="n"/>
      <c r="I421" s="208" t="n"/>
      <c r="J421" s="208" t="n"/>
      <c r="K421" s="171" t="n"/>
      <c r="L421" s="171" t="n"/>
      <c r="M421" s="171" t="n"/>
      <c r="N421" s="171" t="n"/>
      <c r="O421" s="171" t="n"/>
      <c r="P421" s="171" t="n"/>
      <c r="Q421" s="171" t="n"/>
      <c r="R421" s="171" t="n"/>
      <c r="S421" s="171" t="n"/>
      <c r="T421" s="171" t="n"/>
      <c r="U421" s="171" t="n"/>
      <c r="V421" s="171" t="n"/>
      <c r="W421" s="171" t="n"/>
      <c r="X421" s="171" t="n"/>
      <c r="Y421" s="171" t="n"/>
      <c r="Z421" s="171" t="n"/>
      <c r="AA421" s="171" t="n"/>
      <c r="AB421" s="171" t="n"/>
    </row>
    <row r="422">
      <c r="A422" s="171" t="n"/>
      <c r="B422" s="171" t="n"/>
      <c r="C422" s="171" t="n"/>
      <c r="D422" s="171" t="n"/>
      <c r="E422" s="181" t="n"/>
      <c r="F422" s="208" t="n"/>
      <c r="G422" s="208" t="n"/>
      <c r="H422" s="208" t="n"/>
      <c r="I422" s="208" t="n"/>
      <c r="J422" s="208" t="n"/>
      <c r="K422" s="171"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208" t="n"/>
      <c r="G423" s="208" t="n"/>
      <c r="H423" s="208" t="n"/>
      <c r="I423" s="208" t="n"/>
      <c r="J423" s="208" t="n"/>
      <c r="K423" s="171"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208" t="n"/>
      <c r="G424" s="208" t="n"/>
      <c r="H424" s="208" t="n"/>
      <c r="I424" s="208" t="n"/>
      <c r="J424" s="208" t="n"/>
      <c r="K424" s="171"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208" t="n"/>
      <c r="G425" s="208" t="n"/>
      <c r="H425" s="208" t="n"/>
      <c r="I425" s="208" t="n"/>
      <c r="J425" s="208" t="n"/>
      <c r="K425" s="171"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208" t="n"/>
      <c r="G426" s="208" t="n"/>
      <c r="H426" s="208" t="n"/>
      <c r="I426" s="208" t="n"/>
      <c r="J426" s="208" t="n"/>
      <c r="K426" s="171"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208" t="n"/>
      <c r="G427" s="208" t="n"/>
      <c r="H427" s="208" t="n"/>
      <c r="I427" s="208" t="n"/>
      <c r="J427" s="208" t="n"/>
      <c r="K427" s="171"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208" t="n"/>
      <c r="G428" s="208" t="n"/>
      <c r="H428" s="208" t="n"/>
      <c r="I428" s="208" t="n"/>
      <c r="J428" s="208" t="n"/>
      <c r="K428" s="171"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208" t="n"/>
      <c r="G429" s="208" t="n"/>
      <c r="H429" s="208" t="n"/>
      <c r="I429" s="208" t="n"/>
      <c r="J429" s="208" t="n"/>
      <c r="K429" s="171"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208" t="n"/>
      <c r="G430" s="208" t="n"/>
      <c r="H430" s="208" t="n"/>
      <c r="I430" s="208" t="n"/>
      <c r="J430" s="208" t="n"/>
      <c r="K430" s="171"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208" t="n"/>
      <c r="G431" s="208" t="n"/>
      <c r="H431" s="208" t="n"/>
      <c r="I431" s="208" t="n"/>
      <c r="J431" s="208" t="n"/>
      <c r="K431" s="171"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208" t="n"/>
      <c r="G432" s="208" t="n"/>
      <c r="H432" s="208" t="n"/>
      <c r="I432" s="208" t="n"/>
      <c r="J432" s="208" t="n"/>
      <c r="K432" s="171"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208" t="n"/>
      <c r="G433" s="208" t="n"/>
      <c r="H433" s="208" t="n"/>
      <c r="I433" s="208" t="n"/>
      <c r="J433" s="208" t="n"/>
      <c r="K433" s="171"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208" t="n"/>
      <c r="G434" s="208" t="n"/>
      <c r="H434" s="208" t="n"/>
      <c r="I434" s="208" t="n"/>
      <c r="J434" s="208" t="n"/>
      <c r="K434" s="171"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208" t="n"/>
      <c r="G435" s="208" t="n"/>
      <c r="H435" s="208" t="n"/>
      <c r="I435" s="208" t="n"/>
      <c r="J435" s="208" t="n"/>
      <c r="K435" s="171"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208" t="n"/>
      <c r="G436" s="208" t="n"/>
      <c r="H436" s="208" t="n"/>
      <c r="I436" s="208" t="n"/>
      <c r="J436" s="208" t="n"/>
      <c r="K436" s="171"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208" t="n"/>
      <c r="G437" s="208" t="n"/>
      <c r="H437" s="208" t="n"/>
      <c r="I437" s="208" t="n"/>
      <c r="J437" s="208" t="n"/>
      <c r="K437" s="171"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208" t="n"/>
      <c r="G438" s="208" t="n"/>
      <c r="H438" s="208" t="n"/>
      <c r="I438" s="208" t="n"/>
      <c r="J438" s="208" t="n"/>
      <c r="K438" s="171"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208" t="n"/>
      <c r="G439" s="208" t="n"/>
      <c r="H439" s="208" t="n"/>
      <c r="I439" s="208" t="n"/>
      <c r="J439" s="208" t="n"/>
      <c r="K439" s="171"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208" t="n"/>
      <c r="G440" s="208" t="n"/>
      <c r="H440" s="208" t="n"/>
      <c r="I440" s="208" t="n"/>
      <c r="J440" s="208" t="n"/>
      <c r="K440" s="171"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208" t="n"/>
      <c r="G441" s="208" t="n"/>
      <c r="H441" s="208" t="n"/>
      <c r="I441" s="208" t="n"/>
      <c r="J441" s="208" t="n"/>
      <c r="K441" s="171"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208" t="n"/>
      <c r="G442" s="208" t="n"/>
      <c r="H442" s="208" t="n"/>
      <c r="I442" s="208" t="n"/>
      <c r="J442" s="208" t="n"/>
      <c r="K442" s="171"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208" t="n"/>
      <c r="G443" s="208" t="n"/>
      <c r="H443" s="208" t="n"/>
      <c r="I443" s="208" t="n"/>
      <c r="J443" s="208" t="n"/>
      <c r="K443" s="171"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208" t="n"/>
      <c r="G444" s="208" t="n"/>
      <c r="H444" s="208" t="n"/>
      <c r="I444" s="208" t="n"/>
      <c r="J444" s="208" t="n"/>
      <c r="K444" s="171"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208" t="n"/>
      <c r="G445" s="208" t="n"/>
      <c r="H445" s="208" t="n"/>
      <c r="I445" s="208" t="n"/>
      <c r="J445" s="208" t="n"/>
      <c r="K445" s="171"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208" t="n"/>
      <c r="G446" s="208" t="n"/>
      <c r="H446" s="208" t="n"/>
      <c r="I446" s="208" t="n"/>
      <c r="J446" s="208" t="n"/>
      <c r="K446" s="171"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208" t="n"/>
      <c r="G447" s="208" t="n"/>
      <c r="H447" s="208" t="n"/>
      <c r="I447" s="208" t="n"/>
      <c r="J447" s="208" t="n"/>
      <c r="K447" s="171"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208" t="n"/>
      <c r="G448" s="208" t="n"/>
      <c r="H448" s="208" t="n"/>
      <c r="I448" s="208" t="n"/>
      <c r="J448" s="208" t="n"/>
      <c r="K448" s="171"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208" t="n"/>
      <c r="G449" s="208" t="n"/>
      <c r="H449" s="208" t="n"/>
      <c r="I449" s="208" t="n"/>
      <c r="J449" s="208" t="n"/>
      <c r="K449" s="171"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208" t="n"/>
      <c r="G450" s="208" t="n"/>
      <c r="H450" s="208" t="n"/>
      <c r="I450" s="208" t="n"/>
      <c r="J450" s="208" t="n"/>
      <c r="K450" s="171"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208" t="n"/>
      <c r="G451" s="208" t="n"/>
      <c r="H451" s="208" t="n"/>
      <c r="I451" s="208" t="n"/>
      <c r="J451" s="208" t="n"/>
      <c r="K451" s="171"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208" t="n"/>
      <c r="G452" s="208" t="n"/>
      <c r="H452" s="208" t="n"/>
      <c r="I452" s="208" t="n"/>
      <c r="J452" s="208" t="n"/>
      <c r="K452" s="171"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208" t="n"/>
      <c r="G453" s="208" t="n"/>
      <c r="H453" s="208" t="n"/>
      <c r="I453" s="208" t="n"/>
      <c r="J453" s="208" t="n"/>
      <c r="K453" s="171"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208" t="n"/>
      <c r="G454" s="208" t="n"/>
      <c r="H454" s="208" t="n"/>
      <c r="I454" s="208" t="n"/>
      <c r="J454" s="208" t="n"/>
      <c r="K454" s="171"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208" t="n"/>
      <c r="G455" s="208" t="n"/>
      <c r="H455" s="208" t="n"/>
      <c r="I455" s="208" t="n"/>
      <c r="J455" s="208" t="n"/>
      <c r="K455" s="171"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208" t="n"/>
      <c r="G456" s="208" t="n"/>
      <c r="H456" s="208" t="n"/>
      <c r="I456" s="208" t="n"/>
      <c r="J456" s="208" t="n"/>
      <c r="K456" s="171"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208" t="n"/>
      <c r="G457" s="208" t="n"/>
      <c r="H457" s="208" t="n"/>
      <c r="I457" s="208" t="n"/>
      <c r="J457" s="208" t="n"/>
      <c r="K457" s="171"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208" t="n"/>
      <c r="G458" s="208" t="n"/>
      <c r="H458" s="208" t="n"/>
      <c r="I458" s="208" t="n"/>
      <c r="J458" s="208" t="n"/>
      <c r="K458" s="171"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208" t="n"/>
      <c r="G459" s="208" t="n"/>
      <c r="H459" s="208" t="n"/>
      <c r="I459" s="208" t="n"/>
      <c r="J459" s="208" t="n"/>
      <c r="K459" s="171"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208" t="n"/>
      <c r="G460" s="208" t="n"/>
      <c r="H460" s="208" t="n"/>
      <c r="I460" s="208" t="n"/>
      <c r="J460" s="208" t="n"/>
      <c r="K460" s="171"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208" t="n"/>
      <c r="G461" s="208" t="n"/>
      <c r="H461" s="208" t="n"/>
      <c r="I461" s="208" t="n"/>
      <c r="J461" s="208" t="n"/>
      <c r="K461" s="171"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208" t="n"/>
      <c r="G462" s="208" t="n"/>
      <c r="H462" s="208" t="n"/>
      <c r="I462" s="208" t="n"/>
      <c r="J462" s="208" t="n"/>
      <c r="K462" s="171"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208" t="n"/>
      <c r="G463" s="208" t="n"/>
      <c r="H463" s="208" t="n"/>
      <c r="I463" s="208" t="n"/>
      <c r="J463" s="208" t="n"/>
      <c r="K463" s="171"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208" t="n"/>
      <c r="G464" s="208" t="n"/>
      <c r="H464" s="208" t="n"/>
      <c r="I464" s="208" t="n"/>
      <c r="J464" s="208" t="n"/>
      <c r="K464" s="171"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208" t="n"/>
      <c r="G465" s="208" t="n"/>
      <c r="H465" s="208" t="n"/>
      <c r="I465" s="208" t="n"/>
      <c r="J465" s="208" t="n"/>
      <c r="K465" s="171"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208" t="n"/>
      <c r="G466" s="208" t="n"/>
      <c r="H466" s="208" t="n"/>
      <c r="I466" s="208" t="n"/>
      <c r="J466" s="208" t="n"/>
      <c r="K466" s="171"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208" t="n"/>
      <c r="G467" s="208" t="n"/>
      <c r="H467" s="208" t="n"/>
      <c r="I467" s="208" t="n"/>
      <c r="J467" s="208" t="n"/>
      <c r="K467" s="171"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208" t="n"/>
      <c r="G468" s="208" t="n"/>
      <c r="H468" s="208" t="n"/>
      <c r="I468" s="208" t="n"/>
      <c r="J468" s="208" t="n"/>
      <c r="K468" s="171"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208" t="n"/>
      <c r="G469" s="208" t="n"/>
      <c r="H469" s="208" t="n"/>
      <c r="I469" s="208" t="n"/>
      <c r="J469" s="208" t="n"/>
      <c r="K469" s="171"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208" t="n"/>
      <c r="G470" s="208" t="n"/>
      <c r="H470" s="208" t="n"/>
      <c r="I470" s="208" t="n"/>
      <c r="J470" s="208" t="n"/>
      <c r="K470" s="171"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208" t="n"/>
      <c r="G471" s="208" t="n"/>
      <c r="H471" s="208" t="n"/>
      <c r="I471" s="208" t="n"/>
      <c r="J471" s="208" t="n"/>
      <c r="K471" s="171"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208" t="n"/>
      <c r="G472" s="208" t="n"/>
      <c r="H472" s="208" t="n"/>
      <c r="I472" s="208" t="n"/>
      <c r="J472" s="208" t="n"/>
      <c r="K472" s="171"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208" t="n"/>
      <c r="G473" s="208" t="n"/>
      <c r="H473" s="208" t="n"/>
      <c r="I473" s="208" t="n"/>
      <c r="J473" s="208" t="n"/>
      <c r="K473" s="171"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208" t="n"/>
      <c r="G474" s="208" t="n"/>
      <c r="H474" s="208" t="n"/>
      <c r="I474" s="208" t="n"/>
      <c r="J474" s="208" t="n"/>
      <c r="K474" s="171"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208" t="n"/>
      <c r="G475" s="208" t="n"/>
      <c r="H475" s="208" t="n"/>
      <c r="I475" s="208" t="n"/>
      <c r="J475" s="208" t="n"/>
      <c r="K475" s="171"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208" t="n"/>
      <c r="G476" s="208" t="n"/>
      <c r="H476" s="208" t="n"/>
      <c r="I476" s="208" t="n"/>
      <c r="J476" s="208" t="n"/>
      <c r="K476" s="171"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208" t="n"/>
      <c r="G477" s="208" t="n"/>
      <c r="H477" s="208" t="n"/>
      <c r="I477" s="208" t="n"/>
      <c r="J477" s="208" t="n"/>
      <c r="K477" s="171"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208" t="n"/>
      <c r="G478" s="208" t="n"/>
      <c r="H478" s="208" t="n"/>
      <c r="I478" s="208" t="n"/>
      <c r="J478" s="208" t="n"/>
      <c r="K478" s="171"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208" t="n"/>
      <c r="G479" s="208" t="n"/>
      <c r="H479" s="208" t="n"/>
      <c r="I479" s="208" t="n"/>
      <c r="J479" s="208" t="n"/>
      <c r="K479" s="171"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208" t="n"/>
      <c r="G480" s="208" t="n"/>
      <c r="H480" s="208" t="n"/>
      <c r="I480" s="208" t="n"/>
      <c r="J480" s="208" t="n"/>
      <c r="K480" s="171"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208" t="n"/>
      <c r="G481" s="208" t="n"/>
      <c r="H481" s="208" t="n"/>
      <c r="I481" s="208" t="n"/>
      <c r="J481" s="208" t="n"/>
      <c r="K481" s="171"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208" t="n"/>
      <c r="G482" s="208" t="n"/>
      <c r="H482" s="208" t="n"/>
      <c r="I482" s="208" t="n"/>
      <c r="J482" s="208" t="n"/>
      <c r="K482" s="171"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208" t="n"/>
      <c r="G483" s="208" t="n"/>
      <c r="H483" s="208" t="n"/>
      <c r="I483" s="208" t="n"/>
      <c r="J483" s="208" t="n"/>
      <c r="K483" s="171"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208" t="n"/>
      <c r="G484" s="208" t="n"/>
      <c r="H484" s="208" t="n"/>
      <c r="I484" s="208" t="n"/>
      <c r="J484" s="208" t="n"/>
      <c r="K484" s="171"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208" t="n"/>
      <c r="G485" s="208" t="n"/>
      <c r="H485" s="208" t="n"/>
      <c r="I485" s="208" t="n"/>
      <c r="J485" s="208" t="n"/>
      <c r="K485" s="171"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208" t="n"/>
      <c r="G486" s="208" t="n"/>
      <c r="H486" s="208" t="n"/>
      <c r="I486" s="208" t="n"/>
      <c r="J486" s="208" t="n"/>
      <c r="K486" s="171"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208" t="n"/>
      <c r="G487" s="208" t="n"/>
      <c r="H487" s="208" t="n"/>
      <c r="I487" s="208" t="n"/>
      <c r="J487" s="208" t="n"/>
      <c r="K487" s="171"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208" t="n"/>
      <c r="G488" s="208" t="n"/>
      <c r="H488" s="208" t="n"/>
      <c r="I488" s="208" t="n"/>
      <c r="J488" s="208" t="n"/>
      <c r="K488" s="171"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208" t="n"/>
      <c r="G489" s="208" t="n"/>
      <c r="H489" s="208" t="n"/>
      <c r="I489" s="208" t="n"/>
      <c r="J489" s="208" t="n"/>
      <c r="K489" s="171"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208" t="n"/>
      <c r="G490" s="208" t="n"/>
      <c r="H490" s="208" t="n"/>
      <c r="I490" s="208" t="n"/>
      <c r="J490" s="208" t="n"/>
      <c r="K490" s="171"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208" t="n"/>
      <c r="G491" s="208" t="n"/>
      <c r="H491" s="208" t="n"/>
      <c r="I491" s="208" t="n"/>
      <c r="J491" s="208" t="n"/>
      <c r="K491" s="171"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208" t="n"/>
      <c r="G492" s="208" t="n"/>
      <c r="H492" s="208" t="n"/>
      <c r="I492" s="208" t="n"/>
      <c r="J492" s="208" t="n"/>
      <c r="K492" s="171"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208" t="n"/>
      <c r="G493" s="208" t="n"/>
      <c r="H493" s="208" t="n"/>
      <c r="I493" s="208" t="n"/>
      <c r="J493" s="208" t="n"/>
      <c r="K493" s="171"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208" t="n"/>
      <c r="G494" s="208" t="n"/>
      <c r="H494" s="208" t="n"/>
      <c r="I494" s="208" t="n"/>
      <c r="J494" s="208" t="n"/>
      <c r="K494" s="171"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208" t="n"/>
      <c r="G495" s="208" t="n"/>
      <c r="H495" s="208" t="n"/>
      <c r="I495" s="208" t="n"/>
      <c r="J495" s="208" t="n"/>
      <c r="K495" s="171"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208" t="n"/>
      <c r="G496" s="208" t="n"/>
      <c r="H496" s="208" t="n"/>
      <c r="I496" s="208" t="n"/>
      <c r="J496" s="208" t="n"/>
      <c r="K496" s="171"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208" t="n"/>
      <c r="G497" s="208" t="n"/>
      <c r="H497" s="208" t="n"/>
      <c r="I497" s="208" t="n"/>
      <c r="J497" s="208" t="n"/>
      <c r="K497" s="171"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208" t="n"/>
      <c r="G498" s="208" t="n"/>
      <c r="H498" s="208" t="n"/>
      <c r="I498" s="208" t="n"/>
      <c r="J498" s="208" t="n"/>
      <c r="K498" s="171"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208" t="n"/>
      <c r="G499" s="208" t="n"/>
      <c r="H499" s="208" t="n"/>
      <c r="I499" s="208" t="n"/>
      <c r="J499" s="208" t="n"/>
      <c r="K499" s="171"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208" t="n"/>
      <c r="G500" s="208" t="n"/>
      <c r="H500" s="208" t="n"/>
      <c r="I500" s="208" t="n"/>
      <c r="J500" s="208" t="n"/>
      <c r="K500" s="171"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208" t="n"/>
      <c r="G501" s="208" t="n"/>
      <c r="H501" s="208" t="n"/>
      <c r="I501" s="208" t="n"/>
      <c r="J501" s="208" t="n"/>
      <c r="K501" s="171"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208" t="n"/>
      <c r="G502" s="208" t="n"/>
      <c r="H502" s="208" t="n"/>
      <c r="I502" s="208" t="n"/>
      <c r="J502" s="208" t="n"/>
      <c r="K502" s="171"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208" t="n"/>
      <c r="G503" s="208" t="n"/>
      <c r="H503" s="208" t="n"/>
      <c r="I503" s="208" t="n"/>
      <c r="J503" s="208" t="n"/>
      <c r="K503" s="171"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208" t="n"/>
      <c r="G504" s="208" t="n"/>
      <c r="H504" s="208" t="n"/>
      <c r="I504" s="208" t="n"/>
      <c r="J504" s="208" t="n"/>
      <c r="K504" s="171"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208" t="n"/>
      <c r="G505" s="208" t="n"/>
      <c r="H505" s="208" t="n"/>
      <c r="I505" s="208" t="n"/>
      <c r="J505" s="208" t="n"/>
      <c r="K505" s="171"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208" t="n"/>
      <c r="G506" s="208" t="n"/>
      <c r="H506" s="208" t="n"/>
      <c r="I506" s="208" t="n"/>
      <c r="J506" s="208" t="n"/>
      <c r="K506" s="171"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208" t="n"/>
      <c r="G507" s="208" t="n"/>
      <c r="H507" s="208" t="n"/>
      <c r="I507" s="208" t="n"/>
      <c r="J507" s="208" t="n"/>
      <c r="K507" s="171"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208" t="n"/>
      <c r="G508" s="208" t="n"/>
      <c r="H508" s="208" t="n"/>
      <c r="I508" s="208" t="n"/>
      <c r="J508" s="208" t="n"/>
      <c r="K508" s="171"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208" t="n"/>
      <c r="G509" s="208" t="n"/>
      <c r="H509" s="208" t="n"/>
      <c r="I509" s="208" t="n"/>
      <c r="J509" s="208" t="n"/>
      <c r="K509" s="171"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208" t="n"/>
      <c r="G510" s="208" t="n"/>
      <c r="H510" s="208" t="n"/>
      <c r="I510" s="208" t="n"/>
      <c r="J510" s="208" t="n"/>
      <c r="K510" s="171"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208" t="n"/>
      <c r="G511" s="208" t="n"/>
      <c r="H511" s="208" t="n"/>
      <c r="I511" s="208" t="n"/>
      <c r="J511" s="208" t="n"/>
      <c r="K511" s="171"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208" t="n"/>
      <c r="G512" s="208" t="n"/>
      <c r="H512" s="208" t="n"/>
      <c r="I512" s="208" t="n"/>
      <c r="J512" s="208" t="n"/>
      <c r="K512" s="171"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208" t="n"/>
      <c r="G513" s="208" t="n"/>
      <c r="H513" s="208" t="n"/>
      <c r="I513" s="208" t="n"/>
      <c r="J513" s="208" t="n"/>
      <c r="K513" s="171"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208" t="n"/>
      <c r="G514" s="208" t="n"/>
      <c r="H514" s="208" t="n"/>
      <c r="I514" s="208" t="n"/>
      <c r="J514" s="208" t="n"/>
      <c r="K514" s="171"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208" t="n"/>
      <c r="G515" s="208" t="n"/>
      <c r="H515" s="208" t="n"/>
      <c r="I515" s="208" t="n"/>
      <c r="J515" s="208" t="n"/>
      <c r="K515" s="171"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208" t="n"/>
      <c r="G516" s="208" t="n"/>
      <c r="H516" s="208" t="n"/>
      <c r="I516" s="208" t="n"/>
      <c r="J516" s="208" t="n"/>
      <c r="K516" s="171"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208" t="n"/>
      <c r="G517" s="208" t="n"/>
      <c r="H517" s="208" t="n"/>
      <c r="I517" s="208" t="n"/>
      <c r="J517" s="208" t="n"/>
      <c r="K517" s="171"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208" t="n"/>
      <c r="G518" s="208" t="n"/>
      <c r="H518" s="208" t="n"/>
      <c r="I518" s="208" t="n"/>
      <c r="J518" s="208" t="n"/>
      <c r="K518" s="171"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208" t="n"/>
      <c r="G519" s="208" t="n"/>
      <c r="H519" s="208" t="n"/>
      <c r="I519" s="208" t="n"/>
      <c r="J519" s="208" t="n"/>
      <c r="K519" s="171"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208" t="n"/>
      <c r="G520" s="208" t="n"/>
      <c r="H520" s="208" t="n"/>
      <c r="I520" s="208" t="n"/>
      <c r="J520" s="208" t="n"/>
      <c r="K520" s="171"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208" t="n"/>
      <c r="G521" s="208" t="n"/>
      <c r="H521" s="208" t="n"/>
      <c r="I521" s="208" t="n"/>
      <c r="J521" s="208" t="n"/>
      <c r="K521" s="171"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208" t="n"/>
      <c r="G522" s="208" t="n"/>
      <c r="H522" s="208" t="n"/>
      <c r="I522" s="208" t="n"/>
      <c r="J522" s="208" t="n"/>
      <c r="K522" s="171"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208" t="n"/>
      <c r="G523" s="208" t="n"/>
      <c r="H523" s="208" t="n"/>
      <c r="I523" s="208" t="n"/>
      <c r="J523" s="208" t="n"/>
      <c r="K523" s="171"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208" t="n"/>
      <c r="G524" s="208" t="n"/>
      <c r="H524" s="208" t="n"/>
      <c r="I524" s="208" t="n"/>
      <c r="J524" s="208" t="n"/>
      <c r="K524" s="171"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208" t="n"/>
      <c r="G525" s="208" t="n"/>
      <c r="H525" s="208" t="n"/>
      <c r="I525" s="208" t="n"/>
      <c r="J525" s="208" t="n"/>
      <c r="K525" s="171"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208" t="n"/>
      <c r="G526" s="208" t="n"/>
      <c r="H526" s="208" t="n"/>
      <c r="I526" s="208" t="n"/>
      <c r="J526" s="208" t="n"/>
      <c r="K526" s="171"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208" t="n"/>
      <c r="G527" s="208" t="n"/>
      <c r="H527" s="208" t="n"/>
      <c r="I527" s="208" t="n"/>
      <c r="J527" s="208" t="n"/>
      <c r="K527" s="171"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208" t="n"/>
      <c r="G528" s="208" t="n"/>
      <c r="H528" s="208" t="n"/>
      <c r="I528" s="208" t="n"/>
      <c r="J528" s="208" t="n"/>
      <c r="K528" s="171"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208" t="n"/>
      <c r="G529" s="208" t="n"/>
      <c r="H529" s="208" t="n"/>
      <c r="I529" s="208" t="n"/>
      <c r="J529" s="208" t="n"/>
      <c r="K529" s="171"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208" t="n"/>
      <c r="G530" s="208" t="n"/>
      <c r="H530" s="208" t="n"/>
      <c r="I530" s="208" t="n"/>
      <c r="J530" s="208" t="n"/>
      <c r="K530" s="171"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208" t="n"/>
      <c r="G531" s="208" t="n"/>
      <c r="H531" s="208" t="n"/>
      <c r="I531" s="208" t="n"/>
      <c r="J531" s="208" t="n"/>
      <c r="K531" s="171"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208" t="n"/>
      <c r="G532" s="208" t="n"/>
      <c r="H532" s="208" t="n"/>
      <c r="I532" s="208" t="n"/>
      <c r="J532" s="208" t="n"/>
      <c r="K532" s="171"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208" t="n"/>
      <c r="G533" s="208" t="n"/>
      <c r="H533" s="208" t="n"/>
      <c r="I533" s="208" t="n"/>
      <c r="J533" s="208" t="n"/>
      <c r="K533" s="171"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208" t="n"/>
      <c r="G534" s="208" t="n"/>
      <c r="H534" s="208" t="n"/>
      <c r="I534" s="208" t="n"/>
      <c r="J534" s="208" t="n"/>
      <c r="K534" s="171"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208" t="n"/>
      <c r="G535" s="208" t="n"/>
      <c r="H535" s="208" t="n"/>
      <c r="I535" s="208" t="n"/>
      <c r="J535" s="208" t="n"/>
      <c r="K535" s="171"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208" t="n"/>
      <c r="G536" s="208" t="n"/>
      <c r="H536" s="208" t="n"/>
      <c r="I536" s="208" t="n"/>
      <c r="J536" s="208" t="n"/>
      <c r="K536" s="171"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208" t="n"/>
      <c r="G537" s="208" t="n"/>
      <c r="H537" s="208" t="n"/>
      <c r="I537" s="208" t="n"/>
      <c r="J537" s="208" t="n"/>
      <c r="K537" s="171"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208" t="n"/>
      <c r="G538" s="208" t="n"/>
      <c r="H538" s="208" t="n"/>
      <c r="I538" s="208" t="n"/>
      <c r="J538" s="208" t="n"/>
      <c r="K538" s="171"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208" t="n"/>
      <c r="G539" s="208" t="n"/>
      <c r="H539" s="208" t="n"/>
      <c r="I539" s="208" t="n"/>
      <c r="J539" s="208" t="n"/>
      <c r="K539" s="171"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208" t="n"/>
      <c r="G540" s="208" t="n"/>
      <c r="H540" s="208" t="n"/>
      <c r="I540" s="208" t="n"/>
      <c r="J540" s="208" t="n"/>
      <c r="K540" s="171"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208" t="n"/>
      <c r="G541" s="208" t="n"/>
      <c r="H541" s="208" t="n"/>
      <c r="I541" s="208" t="n"/>
      <c r="J541" s="208" t="n"/>
      <c r="K541" s="171"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208" t="n"/>
      <c r="G542" s="208" t="n"/>
      <c r="H542" s="208" t="n"/>
      <c r="I542" s="208" t="n"/>
      <c r="J542" s="208" t="n"/>
      <c r="K542" s="171"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208" t="n"/>
      <c r="G543" s="208" t="n"/>
      <c r="H543" s="208" t="n"/>
      <c r="I543" s="208" t="n"/>
      <c r="J543" s="208" t="n"/>
      <c r="K543" s="171"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208" t="n"/>
      <c r="G544" s="208" t="n"/>
      <c r="H544" s="208" t="n"/>
      <c r="I544" s="208" t="n"/>
      <c r="J544" s="208" t="n"/>
      <c r="K544" s="171"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208" t="n"/>
      <c r="G545" s="208" t="n"/>
      <c r="H545" s="208" t="n"/>
      <c r="I545" s="208" t="n"/>
      <c r="J545" s="208" t="n"/>
      <c r="K545" s="171"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208" t="n"/>
      <c r="G546" s="208" t="n"/>
      <c r="H546" s="208" t="n"/>
      <c r="I546" s="208" t="n"/>
      <c r="J546" s="208" t="n"/>
      <c r="K546" s="171"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208" t="n"/>
      <c r="G547" s="208" t="n"/>
      <c r="H547" s="208" t="n"/>
      <c r="I547" s="208" t="n"/>
      <c r="J547" s="208" t="n"/>
      <c r="K547" s="171"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208" t="n"/>
      <c r="G548" s="208" t="n"/>
      <c r="H548" s="208" t="n"/>
      <c r="I548" s="208" t="n"/>
      <c r="J548" s="208" t="n"/>
      <c r="K548" s="171"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208" t="n"/>
      <c r="G549" s="208" t="n"/>
      <c r="H549" s="208" t="n"/>
      <c r="I549" s="208" t="n"/>
      <c r="J549" s="208" t="n"/>
      <c r="K549" s="171"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208" t="n"/>
      <c r="G550" s="208" t="n"/>
      <c r="H550" s="208" t="n"/>
      <c r="I550" s="208" t="n"/>
      <c r="J550" s="208" t="n"/>
      <c r="K550" s="171"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208" t="n"/>
      <c r="G551" s="208" t="n"/>
      <c r="H551" s="208" t="n"/>
      <c r="I551" s="208" t="n"/>
      <c r="J551" s="208" t="n"/>
      <c r="K551" s="171"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208" t="n"/>
      <c r="G552" s="208" t="n"/>
      <c r="H552" s="208" t="n"/>
      <c r="I552" s="208" t="n"/>
      <c r="J552" s="208" t="n"/>
      <c r="K552" s="171"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208" t="n"/>
      <c r="G553" s="208" t="n"/>
      <c r="H553" s="208" t="n"/>
      <c r="I553" s="208" t="n"/>
      <c r="J553" s="208" t="n"/>
      <c r="K553" s="171"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208" t="n"/>
      <c r="G554" s="208" t="n"/>
      <c r="H554" s="208" t="n"/>
      <c r="I554" s="208" t="n"/>
      <c r="J554" s="208" t="n"/>
      <c r="K554" s="171"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208" t="n"/>
      <c r="G555" s="208" t="n"/>
      <c r="H555" s="208" t="n"/>
      <c r="I555" s="208" t="n"/>
      <c r="J555" s="208" t="n"/>
      <c r="K555" s="171"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208" t="n"/>
      <c r="G556" s="208" t="n"/>
      <c r="H556" s="208" t="n"/>
      <c r="I556" s="208" t="n"/>
      <c r="J556" s="208" t="n"/>
      <c r="K556" s="171"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208" t="n"/>
      <c r="G557" s="208" t="n"/>
      <c r="H557" s="208" t="n"/>
      <c r="I557" s="208" t="n"/>
      <c r="J557" s="208" t="n"/>
      <c r="K557" s="171"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208" t="n"/>
      <c r="G558" s="208" t="n"/>
      <c r="H558" s="208" t="n"/>
      <c r="I558" s="208" t="n"/>
      <c r="J558" s="208" t="n"/>
      <c r="K558" s="171"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208" t="n"/>
      <c r="G559" s="208" t="n"/>
      <c r="H559" s="208" t="n"/>
      <c r="I559" s="208" t="n"/>
      <c r="J559" s="208" t="n"/>
      <c r="K559" s="171"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208" t="n"/>
      <c r="G560" s="208" t="n"/>
      <c r="H560" s="208" t="n"/>
      <c r="I560" s="208" t="n"/>
      <c r="J560" s="208" t="n"/>
      <c r="K560" s="171"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208" t="n"/>
      <c r="G561" s="208" t="n"/>
      <c r="H561" s="208" t="n"/>
      <c r="I561" s="208" t="n"/>
      <c r="J561" s="208" t="n"/>
      <c r="K561" s="171"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208" t="n"/>
      <c r="G562" s="208" t="n"/>
      <c r="H562" s="208" t="n"/>
      <c r="I562" s="208" t="n"/>
      <c r="J562" s="208" t="n"/>
      <c r="K562" s="171"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208" t="n"/>
      <c r="G563" s="208" t="n"/>
      <c r="H563" s="208" t="n"/>
      <c r="I563" s="208" t="n"/>
      <c r="J563" s="208" t="n"/>
      <c r="K563" s="171"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208" t="n"/>
      <c r="G564" s="208" t="n"/>
      <c r="H564" s="208" t="n"/>
      <c r="I564" s="208" t="n"/>
      <c r="J564" s="208" t="n"/>
      <c r="K564" s="171"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208" t="n"/>
      <c r="G565" s="208" t="n"/>
      <c r="H565" s="208" t="n"/>
      <c r="I565" s="208" t="n"/>
      <c r="J565" s="208" t="n"/>
      <c r="K565" s="171"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208" t="n"/>
      <c r="G566" s="208" t="n"/>
      <c r="H566" s="208" t="n"/>
      <c r="I566" s="208" t="n"/>
      <c r="J566" s="208" t="n"/>
      <c r="K566" s="171"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208" t="n"/>
      <c r="G567" s="208" t="n"/>
      <c r="H567" s="208" t="n"/>
      <c r="I567" s="208" t="n"/>
      <c r="J567" s="208" t="n"/>
      <c r="K567" s="171"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208" t="n"/>
      <c r="G568" s="208" t="n"/>
      <c r="H568" s="208" t="n"/>
      <c r="I568" s="208" t="n"/>
      <c r="J568" s="208" t="n"/>
      <c r="K568" s="171"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208" t="n"/>
      <c r="G569" s="208" t="n"/>
      <c r="H569" s="208" t="n"/>
      <c r="I569" s="208" t="n"/>
      <c r="J569" s="208" t="n"/>
      <c r="K569" s="171"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208" t="n"/>
      <c r="G570" s="208" t="n"/>
      <c r="H570" s="208" t="n"/>
      <c r="I570" s="208" t="n"/>
      <c r="J570" s="208" t="n"/>
      <c r="K570" s="171"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208" t="n"/>
      <c r="G571" s="208" t="n"/>
      <c r="H571" s="208" t="n"/>
      <c r="I571" s="208" t="n"/>
      <c r="J571" s="208" t="n"/>
      <c r="K571" s="171"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208" t="n"/>
      <c r="G572" s="208" t="n"/>
      <c r="H572" s="208" t="n"/>
      <c r="I572" s="208" t="n"/>
      <c r="J572" s="208" t="n"/>
      <c r="K572" s="171"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208" t="n"/>
      <c r="G573" s="208" t="n"/>
      <c r="H573" s="208" t="n"/>
      <c r="I573" s="208" t="n"/>
      <c r="J573" s="208" t="n"/>
      <c r="K573" s="171"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208" t="n"/>
      <c r="G574" s="208" t="n"/>
      <c r="H574" s="208" t="n"/>
      <c r="I574" s="208" t="n"/>
      <c r="J574" s="208" t="n"/>
      <c r="K574" s="171"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208" t="n"/>
      <c r="G575" s="208" t="n"/>
      <c r="H575" s="208" t="n"/>
      <c r="I575" s="208" t="n"/>
      <c r="J575" s="208" t="n"/>
      <c r="K575" s="171"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208" t="n"/>
      <c r="G576" s="208" t="n"/>
      <c r="H576" s="208" t="n"/>
      <c r="I576" s="208" t="n"/>
      <c r="J576" s="208" t="n"/>
      <c r="K576" s="171"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208" t="n"/>
      <c r="G577" s="208" t="n"/>
      <c r="H577" s="208" t="n"/>
      <c r="I577" s="208" t="n"/>
      <c r="J577" s="208" t="n"/>
      <c r="K577" s="171"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208" t="n"/>
      <c r="G578" s="208" t="n"/>
      <c r="H578" s="208" t="n"/>
      <c r="I578" s="208" t="n"/>
      <c r="J578" s="208" t="n"/>
      <c r="K578" s="171"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208" t="n"/>
      <c r="G579" s="208" t="n"/>
      <c r="H579" s="208" t="n"/>
      <c r="I579" s="208" t="n"/>
      <c r="J579" s="208" t="n"/>
      <c r="K579" s="171"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208" t="n"/>
      <c r="G580" s="208" t="n"/>
      <c r="H580" s="208" t="n"/>
      <c r="I580" s="208" t="n"/>
      <c r="J580" s="208" t="n"/>
      <c r="K580" s="171"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208" t="n"/>
      <c r="G581" s="208" t="n"/>
      <c r="H581" s="208" t="n"/>
      <c r="I581" s="208" t="n"/>
      <c r="J581" s="208" t="n"/>
      <c r="K581" s="171"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208" t="n"/>
      <c r="G582" s="208" t="n"/>
      <c r="H582" s="208" t="n"/>
      <c r="I582" s="208" t="n"/>
      <c r="J582" s="208" t="n"/>
      <c r="K582" s="171"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208" t="n"/>
      <c r="G583" s="208" t="n"/>
      <c r="H583" s="208" t="n"/>
      <c r="I583" s="208" t="n"/>
      <c r="J583" s="208" t="n"/>
      <c r="K583" s="171"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208" t="n"/>
      <c r="G584" s="208" t="n"/>
      <c r="H584" s="208" t="n"/>
      <c r="I584" s="208" t="n"/>
      <c r="J584" s="208" t="n"/>
      <c r="K584" s="171"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208" t="n"/>
      <c r="G585" s="208" t="n"/>
      <c r="H585" s="208" t="n"/>
      <c r="I585" s="208" t="n"/>
      <c r="J585" s="208" t="n"/>
      <c r="K585" s="171"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208" t="n"/>
      <c r="G586" s="208" t="n"/>
      <c r="H586" s="208" t="n"/>
      <c r="I586" s="208" t="n"/>
      <c r="J586" s="208" t="n"/>
      <c r="K586" s="171"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208" t="n"/>
      <c r="G587" s="208" t="n"/>
      <c r="H587" s="208" t="n"/>
      <c r="I587" s="208" t="n"/>
      <c r="J587" s="208" t="n"/>
      <c r="K587" s="171"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208" t="n"/>
      <c r="G588" s="208" t="n"/>
      <c r="H588" s="208" t="n"/>
      <c r="I588" s="208" t="n"/>
      <c r="J588" s="208" t="n"/>
      <c r="K588" s="171"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208" t="n"/>
      <c r="G589" s="208" t="n"/>
      <c r="H589" s="208" t="n"/>
      <c r="I589" s="208" t="n"/>
      <c r="J589" s="208" t="n"/>
      <c r="K589" s="171"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208" t="n"/>
      <c r="G590" s="208" t="n"/>
      <c r="H590" s="208" t="n"/>
      <c r="I590" s="208" t="n"/>
      <c r="J590" s="208" t="n"/>
      <c r="K590" s="171"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208" t="n"/>
      <c r="G591" s="208" t="n"/>
      <c r="H591" s="208" t="n"/>
      <c r="I591" s="208" t="n"/>
      <c r="J591" s="208" t="n"/>
      <c r="K591" s="171"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208" t="n"/>
      <c r="G592" s="208" t="n"/>
      <c r="H592" s="208" t="n"/>
      <c r="I592" s="208" t="n"/>
      <c r="J592" s="208" t="n"/>
      <c r="K592" s="171"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208" t="n"/>
      <c r="G593" s="208" t="n"/>
      <c r="H593" s="208" t="n"/>
      <c r="I593" s="208" t="n"/>
      <c r="J593" s="208" t="n"/>
      <c r="K593" s="171"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208" t="n"/>
      <c r="G594" s="208" t="n"/>
      <c r="H594" s="208" t="n"/>
      <c r="I594" s="208" t="n"/>
      <c r="J594" s="208" t="n"/>
      <c r="K594" s="171"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208" t="n"/>
      <c r="G595" s="208" t="n"/>
      <c r="H595" s="208" t="n"/>
      <c r="I595" s="208" t="n"/>
      <c r="J595" s="208" t="n"/>
      <c r="K595" s="171"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208" t="n"/>
      <c r="G596" s="208" t="n"/>
      <c r="H596" s="208" t="n"/>
      <c r="I596" s="208" t="n"/>
      <c r="J596" s="208" t="n"/>
      <c r="K596" s="171"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208" t="n"/>
      <c r="G597" s="208" t="n"/>
      <c r="H597" s="208" t="n"/>
      <c r="I597" s="208" t="n"/>
      <c r="J597" s="208" t="n"/>
      <c r="K597" s="171"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208" t="n"/>
      <c r="G598" s="208" t="n"/>
      <c r="H598" s="208" t="n"/>
      <c r="I598" s="208" t="n"/>
      <c r="J598" s="208" t="n"/>
      <c r="K598" s="171"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208" t="n"/>
      <c r="G599" s="208" t="n"/>
      <c r="H599" s="208" t="n"/>
      <c r="I599" s="208" t="n"/>
      <c r="J599" s="208" t="n"/>
      <c r="K599" s="171"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208" t="n"/>
      <c r="G600" s="208" t="n"/>
      <c r="H600" s="208" t="n"/>
      <c r="I600" s="208" t="n"/>
      <c r="J600" s="208" t="n"/>
      <c r="K600" s="171"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208" t="n"/>
      <c r="G601" s="208" t="n"/>
      <c r="H601" s="208" t="n"/>
      <c r="I601" s="208" t="n"/>
      <c r="J601" s="208" t="n"/>
      <c r="K601" s="171"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208" t="n"/>
      <c r="G602" s="208" t="n"/>
      <c r="H602" s="208" t="n"/>
      <c r="I602" s="208" t="n"/>
      <c r="J602" s="208" t="n"/>
      <c r="K602" s="171"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208" t="n"/>
      <c r="G603" s="208" t="n"/>
      <c r="H603" s="208" t="n"/>
      <c r="I603" s="208" t="n"/>
      <c r="J603" s="208" t="n"/>
      <c r="K603" s="171"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208" t="n"/>
      <c r="G604" s="208" t="n"/>
      <c r="H604" s="208" t="n"/>
      <c r="I604" s="208" t="n"/>
      <c r="J604" s="208" t="n"/>
      <c r="K604" s="171"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208" t="n"/>
      <c r="G605" s="208" t="n"/>
      <c r="H605" s="208" t="n"/>
      <c r="I605" s="208" t="n"/>
      <c r="J605" s="208" t="n"/>
      <c r="K605" s="171"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208" t="n"/>
      <c r="G606" s="208" t="n"/>
      <c r="H606" s="208" t="n"/>
      <c r="I606" s="208" t="n"/>
      <c r="J606" s="208" t="n"/>
      <c r="K606" s="171"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208" t="n"/>
      <c r="G607" s="208" t="n"/>
      <c r="H607" s="208" t="n"/>
      <c r="I607" s="208" t="n"/>
      <c r="J607" s="208" t="n"/>
      <c r="K607" s="171"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208" t="n"/>
      <c r="G608" s="208" t="n"/>
      <c r="H608" s="208" t="n"/>
      <c r="I608" s="208" t="n"/>
      <c r="J608" s="208" t="n"/>
      <c r="K608" s="171"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208" t="n"/>
      <c r="G609" s="208" t="n"/>
      <c r="H609" s="208" t="n"/>
      <c r="I609" s="208" t="n"/>
      <c r="J609" s="208" t="n"/>
      <c r="K609" s="171"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208" t="n"/>
      <c r="G610" s="208" t="n"/>
      <c r="H610" s="208" t="n"/>
      <c r="I610" s="208" t="n"/>
      <c r="J610" s="208" t="n"/>
      <c r="K610" s="171"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208" t="n"/>
      <c r="G611" s="208" t="n"/>
      <c r="H611" s="208" t="n"/>
      <c r="I611" s="208" t="n"/>
      <c r="J611" s="208" t="n"/>
      <c r="K611" s="171"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208" t="n"/>
      <c r="G612" s="208" t="n"/>
      <c r="H612" s="208" t="n"/>
      <c r="I612" s="208" t="n"/>
      <c r="J612" s="208" t="n"/>
      <c r="K612" s="171"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208" t="n"/>
      <c r="G613" s="208" t="n"/>
      <c r="H613" s="208" t="n"/>
      <c r="I613" s="208" t="n"/>
      <c r="J613" s="208" t="n"/>
      <c r="K613" s="171"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208" t="n"/>
      <c r="G614" s="208" t="n"/>
      <c r="H614" s="208" t="n"/>
      <c r="I614" s="208" t="n"/>
      <c r="J614" s="208" t="n"/>
      <c r="K614" s="171"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208" t="n"/>
      <c r="G615" s="208" t="n"/>
      <c r="H615" s="208" t="n"/>
      <c r="I615" s="208" t="n"/>
      <c r="J615" s="208" t="n"/>
      <c r="K615" s="171"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208" t="n"/>
      <c r="G616" s="208" t="n"/>
      <c r="H616" s="208" t="n"/>
      <c r="I616" s="208" t="n"/>
      <c r="J616" s="208" t="n"/>
      <c r="K616" s="171"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208" t="n"/>
      <c r="G617" s="208" t="n"/>
      <c r="H617" s="208" t="n"/>
      <c r="I617" s="208" t="n"/>
      <c r="J617" s="208" t="n"/>
      <c r="K617" s="171"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208" t="n"/>
      <c r="G618" s="208" t="n"/>
      <c r="H618" s="208" t="n"/>
      <c r="I618" s="208" t="n"/>
      <c r="J618" s="208" t="n"/>
      <c r="K618" s="171"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208" t="n"/>
      <c r="G619" s="208" t="n"/>
      <c r="H619" s="208" t="n"/>
      <c r="I619" s="208" t="n"/>
      <c r="J619" s="208" t="n"/>
      <c r="K619" s="171"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208" t="n"/>
      <c r="G620" s="208" t="n"/>
      <c r="H620" s="208" t="n"/>
      <c r="I620" s="208" t="n"/>
      <c r="J620" s="208" t="n"/>
      <c r="K620" s="171"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208" t="n"/>
      <c r="G621" s="208" t="n"/>
      <c r="H621" s="208" t="n"/>
      <c r="I621" s="208" t="n"/>
      <c r="J621" s="208" t="n"/>
      <c r="K621" s="171"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208" t="n"/>
      <c r="G622" s="208" t="n"/>
      <c r="H622" s="208" t="n"/>
      <c r="I622" s="208" t="n"/>
      <c r="J622" s="208" t="n"/>
      <c r="K622" s="171"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208" t="n"/>
      <c r="G623" s="208" t="n"/>
      <c r="H623" s="208" t="n"/>
      <c r="I623" s="208" t="n"/>
      <c r="J623" s="208" t="n"/>
      <c r="K623" s="171"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208" t="n"/>
      <c r="G624" s="208" t="n"/>
      <c r="H624" s="208" t="n"/>
      <c r="I624" s="208" t="n"/>
      <c r="J624" s="208" t="n"/>
      <c r="K624" s="171"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208" t="n"/>
      <c r="G625" s="208" t="n"/>
      <c r="H625" s="208" t="n"/>
      <c r="I625" s="208" t="n"/>
      <c r="J625" s="208" t="n"/>
      <c r="K625" s="171"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208" t="n"/>
      <c r="G626" s="208" t="n"/>
      <c r="H626" s="208" t="n"/>
      <c r="I626" s="208" t="n"/>
      <c r="J626" s="208" t="n"/>
      <c r="K626" s="171"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208" t="n"/>
      <c r="G627" s="208" t="n"/>
      <c r="H627" s="208" t="n"/>
      <c r="I627" s="208" t="n"/>
      <c r="J627" s="208" t="n"/>
      <c r="K627" s="171"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208" t="n"/>
      <c r="G628" s="208" t="n"/>
      <c r="H628" s="208" t="n"/>
      <c r="I628" s="208" t="n"/>
      <c r="J628" s="208" t="n"/>
      <c r="K628" s="171"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208" t="n"/>
      <c r="G629" s="208" t="n"/>
      <c r="H629" s="208" t="n"/>
      <c r="I629" s="208" t="n"/>
      <c r="J629" s="208" t="n"/>
      <c r="K629" s="171"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208" t="n"/>
      <c r="G630" s="208" t="n"/>
      <c r="H630" s="208" t="n"/>
      <c r="I630" s="208" t="n"/>
      <c r="J630" s="208" t="n"/>
      <c r="K630" s="171"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208" t="n"/>
      <c r="G631" s="208" t="n"/>
      <c r="H631" s="208" t="n"/>
      <c r="I631" s="208" t="n"/>
      <c r="J631" s="208" t="n"/>
      <c r="K631" s="171"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208" t="n"/>
      <c r="G632" s="208" t="n"/>
      <c r="H632" s="208" t="n"/>
      <c r="I632" s="208" t="n"/>
      <c r="J632" s="208" t="n"/>
      <c r="K632" s="171"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208" t="n"/>
      <c r="G633" s="208" t="n"/>
      <c r="H633" s="208" t="n"/>
      <c r="I633" s="208" t="n"/>
      <c r="J633" s="208" t="n"/>
      <c r="K633" s="171"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208" t="n"/>
      <c r="G634" s="208" t="n"/>
      <c r="H634" s="208" t="n"/>
      <c r="I634" s="208" t="n"/>
      <c r="J634" s="208" t="n"/>
      <c r="K634" s="171"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208" t="n"/>
      <c r="G635" s="208" t="n"/>
      <c r="H635" s="208" t="n"/>
      <c r="I635" s="208" t="n"/>
      <c r="J635" s="208" t="n"/>
      <c r="K635" s="171"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208" t="n"/>
      <c r="G636" s="208" t="n"/>
      <c r="H636" s="208" t="n"/>
      <c r="I636" s="208" t="n"/>
      <c r="J636" s="208" t="n"/>
      <c r="K636" s="171"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208" t="n"/>
      <c r="G637" s="208" t="n"/>
      <c r="H637" s="208" t="n"/>
      <c r="I637" s="208" t="n"/>
      <c r="J637" s="208" t="n"/>
      <c r="K637" s="171"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208" t="n"/>
      <c r="G638" s="208" t="n"/>
      <c r="H638" s="208" t="n"/>
      <c r="I638" s="208" t="n"/>
      <c r="J638" s="208" t="n"/>
      <c r="K638" s="171"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208" t="n"/>
      <c r="G639" s="208" t="n"/>
      <c r="H639" s="208" t="n"/>
      <c r="I639" s="208" t="n"/>
      <c r="J639" s="208" t="n"/>
      <c r="K639" s="171"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208" t="n"/>
      <c r="G640" s="208" t="n"/>
      <c r="H640" s="208" t="n"/>
      <c r="I640" s="208" t="n"/>
      <c r="J640" s="208" t="n"/>
      <c r="K640" s="171"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208" t="n"/>
      <c r="G641" s="208" t="n"/>
      <c r="H641" s="208" t="n"/>
      <c r="I641" s="208" t="n"/>
      <c r="J641" s="208" t="n"/>
      <c r="K641" s="171"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208" t="n"/>
      <c r="G642" s="208" t="n"/>
      <c r="H642" s="208" t="n"/>
      <c r="I642" s="208" t="n"/>
      <c r="J642" s="208" t="n"/>
      <c r="K642" s="171"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208" t="n"/>
      <c r="G643" s="208" t="n"/>
      <c r="H643" s="208" t="n"/>
      <c r="I643" s="208" t="n"/>
      <c r="J643" s="208" t="n"/>
      <c r="K643" s="171"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208" t="n"/>
      <c r="G644" s="208" t="n"/>
      <c r="H644" s="208" t="n"/>
      <c r="I644" s="208" t="n"/>
      <c r="J644" s="208" t="n"/>
      <c r="K644" s="171"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208" t="n"/>
      <c r="G645" s="208" t="n"/>
      <c r="H645" s="208" t="n"/>
      <c r="I645" s="208" t="n"/>
      <c r="J645" s="208" t="n"/>
      <c r="K645" s="171"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208" t="n"/>
      <c r="G646" s="208" t="n"/>
      <c r="H646" s="208" t="n"/>
      <c r="I646" s="208" t="n"/>
      <c r="J646" s="208" t="n"/>
      <c r="K646" s="171"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208" t="n"/>
      <c r="G647" s="208" t="n"/>
      <c r="H647" s="208" t="n"/>
      <c r="I647" s="208" t="n"/>
      <c r="J647" s="208" t="n"/>
      <c r="K647" s="171"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208" t="n"/>
      <c r="G648" s="208" t="n"/>
      <c r="H648" s="208" t="n"/>
      <c r="I648" s="208" t="n"/>
      <c r="J648" s="208" t="n"/>
      <c r="K648" s="171"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208" t="n"/>
      <c r="G649" s="208" t="n"/>
      <c r="H649" s="208" t="n"/>
      <c r="I649" s="208" t="n"/>
      <c r="J649" s="208" t="n"/>
      <c r="K649" s="171"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208" t="n"/>
      <c r="G650" s="208" t="n"/>
      <c r="H650" s="208" t="n"/>
      <c r="I650" s="208" t="n"/>
      <c r="J650" s="208" t="n"/>
      <c r="K650" s="171"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208" t="n"/>
      <c r="G651" s="208" t="n"/>
      <c r="H651" s="208" t="n"/>
      <c r="I651" s="208" t="n"/>
      <c r="J651" s="208" t="n"/>
      <c r="K651" s="171"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208" t="n"/>
      <c r="G652" s="208" t="n"/>
      <c r="H652" s="208" t="n"/>
      <c r="I652" s="208" t="n"/>
      <c r="J652" s="208" t="n"/>
      <c r="K652" s="171"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208" t="n"/>
      <c r="G653" s="208" t="n"/>
      <c r="H653" s="208" t="n"/>
      <c r="I653" s="208" t="n"/>
      <c r="J653" s="208" t="n"/>
      <c r="K653" s="171"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208" t="n"/>
      <c r="G654" s="208" t="n"/>
      <c r="H654" s="208" t="n"/>
      <c r="I654" s="208" t="n"/>
      <c r="J654" s="208" t="n"/>
      <c r="K654" s="171"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208" t="n"/>
      <c r="G655" s="208" t="n"/>
      <c r="H655" s="208" t="n"/>
      <c r="I655" s="208" t="n"/>
      <c r="J655" s="208" t="n"/>
      <c r="K655" s="171"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208" t="n"/>
      <c r="G656" s="208" t="n"/>
      <c r="H656" s="208" t="n"/>
      <c r="I656" s="208" t="n"/>
      <c r="J656" s="208" t="n"/>
      <c r="K656" s="171"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208" t="n"/>
      <c r="G657" s="208" t="n"/>
      <c r="H657" s="208" t="n"/>
      <c r="I657" s="208" t="n"/>
      <c r="J657" s="208" t="n"/>
      <c r="K657" s="171"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208" t="n"/>
      <c r="G658" s="208" t="n"/>
      <c r="H658" s="208" t="n"/>
      <c r="I658" s="208" t="n"/>
      <c r="J658" s="208" t="n"/>
      <c r="K658" s="171"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208" t="n"/>
      <c r="G659" s="208" t="n"/>
      <c r="H659" s="208" t="n"/>
      <c r="I659" s="208" t="n"/>
      <c r="J659" s="208" t="n"/>
      <c r="K659" s="171"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208" t="n"/>
      <c r="G660" s="208" t="n"/>
      <c r="H660" s="208" t="n"/>
      <c r="I660" s="208" t="n"/>
      <c r="J660" s="208" t="n"/>
      <c r="K660" s="171"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208" t="n"/>
      <c r="G661" s="208" t="n"/>
      <c r="H661" s="208" t="n"/>
      <c r="I661" s="208" t="n"/>
      <c r="J661" s="208" t="n"/>
      <c r="K661" s="171"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208" t="n"/>
      <c r="G662" s="208" t="n"/>
      <c r="H662" s="208" t="n"/>
      <c r="I662" s="208" t="n"/>
      <c r="J662" s="208" t="n"/>
      <c r="K662" s="171"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208" t="n"/>
      <c r="G663" s="208" t="n"/>
      <c r="H663" s="208" t="n"/>
      <c r="I663" s="208" t="n"/>
      <c r="J663" s="208" t="n"/>
      <c r="K663" s="171"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208" t="n"/>
      <c r="G664" s="208" t="n"/>
      <c r="H664" s="208" t="n"/>
      <c r="I664" s="208" t="n"/>
      <c r="J664" s="208" t="n"/>
      <c r="K664" s="171"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208" t="n"/>
      <c r="G665" s="208" t="n"/>
      <c r="H665" s="208" t="n"/>
      <c r="I665" s="208" t="n"/>
      <c r="J665" s="208" t="n"/>
      <c r="K665" s="171"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208" t="n"/>
      <c r="G666" s="208" t="n"/>
      <c r="H666" s="208" t="n"/>
      <c r="I666" s="208" t="n"/>
      <c r="J666" s="208" t="n"/>
      <c r="K666" s="171"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208" t="n"/>
      <c r="G667" s="208" t="n"/>
      <c r="H667" s="208" t="n"/>
      <c r="I667" s="208" t="n"/>
      <c r="J667" s="208" t="n"/>
      <c r="K667" s="171"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208" t="n"/>
      <c r="G668" s="208" t="n"/>
      <c r="H668" s="208" t="n"/>
      <c r="I668" s="208" t="n"/>
      <c r="J668" s="208" t="n"/>
      <c r="K668" s="171"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208" t="n"/>
      <c r="G669" s="208" t="n"/>
      <c r="H669" s="208" t="n"/>
      <c r="I669" s="208" t="n"/>
      <c r="J669" s="208" t="n"/>
      <c r="K669" s="171"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208" t="n"/>
      <c r="G670" s="208" t="n"/>
      <c r="H670" s="208" t="n"/>
      <c r="I670" s="208" t="n"/>
      <c r="J670" s="208" t="n"/>
      <c r="K670" s="171"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208" t="n"/>
      <c r="G671" s="208" t="n"/>
      <c r="H671" s="208" t="n"/>
      <c r="I671" s="208" t="n"/>
      <c r="J671" s="208" t="n"/>
      <c r="K671" s="171"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208" t="n"/>
      <c r="G672" s="208" t="n"/>
      <c r="H672" s="208" t="n"/>
      <c r="I672" s="208" t="n"/>
      <c r="J672" s="208" t="n"/>
      <c r="K672" s="171"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208" t="n"/>
      <c r="G673" s="208" t="n"/>
      <c r="H673" s="208" t="n"/>
      <c r="I673" s="208" t="n"/>
      <c r="J673" s="208" t="n"/>
      <c r="K673" s="171"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208" t="n"/>
      <c r="G674" s="208" t="n"/>
      <c r="H674" s="208" t="n"/>
      <c r="I674" s="208" t="n"/>
      <c r="J674" s="208" t="n"/>
      <c r="K674" s="171"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208" t="n"/>
      <c r="G675" s="208" t="n"/>
      <c r="H675" s="208" t="n"/>
      <c r="I675" s="208" t="n"/>
      <c r="J675" s="208" t="n"/>
      <c r="K675" s="171"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208" t="n"/>
      <c r="G676" s="208" t="n"/>
      <c r="H676" s="208" t="n"/>
      <c r="I676" s="208" t="n"/>
      <c r="J676" s="208" t="n"/>
      <c r="K676" s="171"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208" t="n"/>
      <c r="G677" s="208" t="n"/>
      <c r="H677" s="208" t="n"/>
      <c r="I677" s="208" t="n"/>
      <c r="J677" s="208" t="n"/>
      <c r="K677" s="171"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208" t="n"/>
      <c r="G678" s="208" t="n"/>
      <c r="H678" s="208" t="n"/>
      <c r="I678" s="208" t="n"/>
      <c r="J678" s="208" t="n"/>
      <c r="K678" s="171"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208" t="n"/>
      <c r="G679" s="208" t="n"/>
      <c r="H679" s="208" t="n"/>
      <c r="I679" s="208" t="n"/>
      <c r="J679" s="208" t="n"/>
      <c r="K679" s="171"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208" t="n"/>
      <c r="G680" s="208" t="n"/>
      <c r="H680" s="208" t="n"/>
      <c r="I680" s="208" t="n"/>
      <c r="J680" s="208" t="n"/>
      <c r="K680" s="171"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208" t="n"/>
      <c r="G681" s="208" t="n"/>
      <c r="H681" s="208" t="n"/>
      <c r="I681" s="208" t="n"/>
      <c r="J681" s="208" t="n"/>
      <c r="K681" s="171"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208" t="n"/>
      <c r="G682" s="208" t="n"/>
      <c r="H682" s="208" t="n"/>
      <c r="I682" s="208" t="n"/>
      <c r="J682" s="208" t="n"/>
      <c r="K682" s="171"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208" t="n"/>
      <c r="G683" s="208" t="n"/>
      <c r="H683" s="208" t="n"/>
      <c r="I683" s="208" t="n"/>
      <c r="J683" s="208" t="n"/>
      <c r="K683" s="171"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208" t="n"/>
      <c r="G684" s="208" t="n"/>
      <c r="H684" s="208" t="n"/>
      <c r="I684" s="208" t="n"/>
      <c r="J684" s="208" t="n"/>
      <c r="K684" s="171"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208" t="n"/>
      <c r="G685" s="208" t="n"/>
      <c r="H685" s="208" t="n"/>
      <c r="I685" s="208" t="n"/>
      <c r="J685" s="208" t="n"/>
      <c r="K685" s="171"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208" t="n"/>
      <c r="G686" s="208" t="n"/>
      <c r="H686" s="208" t="n"/>
      <c r="I686" s="208" t="n"/>
      <c r="J686" s="208" t="n"/>
      <c r="K686" s="171"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208" t="n"/>
      <c r="G687" s="208" t="n"/>
      <c r="H687" s="208" t="n"/>
      <c r="I687" s="208" t="n"/>
      <c r="J687" s="208" t="n"/>
      <c r="K687" s="171"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208" t="n"/>
      <c r="G688" s="208" t="n"/>
      <c r="H688" s="208" t="n"/>
      <c r="I688" s="208" t="n"/>
      <c r="J688" s="208" t="n"/>
      <c r="K688" s="171"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208" t="n"/>
      <c r="G689" s="208" t="n"/>
      <c r="H689" s="208" t="n"/>
      <c r="I689" s="208" t="n"/>
      <c r="J689" s="208" t="n"/>
      <c r="K689" s="171"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208" t="n"/>
      <c r="G690" s="208" t="n"/>
      <c r="H690" s="208" t="n"/>
      <c r="I690" s="208" t="n"/>
      <c r="J690" s="208" t="n"/>
      <c r="K690" s="171"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208" t="n"/>
      <c r="G691" s="208" t="n"/>
      <c r="H691" s="208" t="n"/>
      <c r="I691" s="208" t="n"/>
      <c r="J691" s="208" t="n"/>
      <c r="K691" s="171"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208" t="n"/>
      <c r="G692" s="208" t="n"/>
      <c r="H692" s="208" t="n"/>
      <c r="I692" s="208" t="n"/>
      <c r="J692" s="208" t="n"/>
      <c r="K692" s="171"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208" t="n"/>
      <c r="G693" s="208" t="n"/>
      <c r="H693" s="208" t="n"/>
      <c r="I693" s="208" t="n"/>
      <c r="J693" s="208" t="n"/>
      <c r="K693" s="171"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208" t="n"/>
      <c r="G694" s="208" t="n"/>
      <c r="H694" s="208" t="n"/>
      <c r="I694" s="208" t="n"/>
      <c r="J694" s="208" t="n"/>
      <c r="K694" s="171"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208" t="n"/>
      <c r="G695" s="208" t="n"/>
      <c r="H695" s="208" t="n"/>
      <c r="I695" s="208" t="n"/>
      <c r="J695" s="208" t="n"/>
      <c r="K695" s="171"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208" t="n"/>
      <c r="G696" s="208" t="n"/>
      <c r="H696" s="208" t="n"/>
      <c r="I696" s="208" t="n"/>
      <c r="J696" s="208" t="n"/>
      <c r="K696" s="171"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208" t="n"/>
      <c r="G697" s="208" t="n"/>
      <c r="H697" s="208" t="n"/>
      <c r="I697" s="208" t="n"/>
      <c r="J697" s="208" t="n"/>
      <c r="K697" s="171"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208" t="n"/>
      <c r="G698" s="208" t="n"/>
      <c r="H698" s="208" t="n"/>
      <c r="I698" s="208" t="n"/>
      <c r="J698" s="208" t="n"/>
      <c r="K698" s="171"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208" t="n"/>
      <c r="G699" s="208" t="n"/>
      <c r="H699" s="208" t="n"/>
      <c r="I699" s="208" t="n"/>
      <c r="J699" s="208" t="n"/>
      <c r="K699" s="171"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208" t="n"/>
      <c r="G700" s="208" t="n"/>
      <c r="H700" s="208" t="n"/>
      <c r="I700" s="208" t="n"/>
      <c r="J700" s="208" t="n"/>
      <c r="K700" s="171"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208" t="n"/>
      <c r="G701" s="208" t="n"/>
      <c r="H701" s="208" t="n"/>
      <c r="I701" s="208" t="n"/>
      <c r="J701" s="208" t="n"/>
      <c r="K701" s="171"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208" t="n"/>
      <c r="G702" s="208" t="n"/>
      <c r="H702" s="208" t="n"/>
      <c r="I702" s="208" t="n"/>
      <c r="J702" s="208" t="n"/>
      <c r="K702" s="171"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208" t="n"/>
      <c r="G703" s="208" t="n"/>
      <c r="H703" s="208" t="n"/>
      <c r="I703" s="208" t="n"/>
      <c r="J703" s="208" t="n"/>
      <c r="K703" s="171"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208" t="n"/>
      <c r="G704" s="208" t="n"/>
      <c r="H704" s="208" t="n"/>
      <c r="I704" s="208" t="n"/>
      <c r="J704" s="208" t="n"/>
      <c r="K704" s="171"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208" t="n"/>
      <c r="G705" s="208" t="n"/>
      <c r="H705" s="208" t="n"/>
      <c r="I705" s="208" t="n"/>
      <c r="J705" s="208" t="n"/>
      <c r="K705" s="171"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208" t="n"/>
      <c r="G706" s="208" t="n"/>
      <c r="H706" s="208" t="n"/>
      <c r="I706" s="208" t="n"/>
      <c r="J706" s="208" t="n"/>
      <c r="K706" s="171"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208" t="n"/>
      <c r="G707" s="208" t="n"/>
      <c r="H707" s="208" t="n"/>
      <c r="I707" s="208" t="n"/>
      <c r="J707" s="208" t="n"/>
      <c r="K707" s="171"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208" t="n"/>
      <c r="G708" s="208" t="n"/>
      <c r="H708" s="208" t="n"/>
      <c r="I708" s="208" t="n"/>
      <c r="J708" s="208" t="n"/>
      <c r="K708" s="171"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208" t="n"/>
      <c r="G709" s="208" t="n"/>
      <c r="H709" s="208" t="n"/>
      <c r="I709" s="208" t="n"/>
      <c r="J709" s="208" t="n"/>
      <c r="K709" s="171"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208" t="n"/>
      <c r="G710" s="208" t="n"/>
      <c r="H710" s="208" t="n"/>
      <c r="I710" s="208" t="n"/>
      <c r="J710" s="208" t="n"/>
      <c r="K710" s="171"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208" t="n"/>
      <c r="G711" s="208" t="n"/>
      <c r="H711" s="208" t="n"/>
      <c r="I711" s="208" t="n"/>
      <c r="J711" s="208" t="n"/>
      <c r="K711" s="171"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208" t="n"/>
      <c r="G712" s="208" t="n"/>
      <c r="H712" s="208" t="n"/>
      <c r="I712" s="208" t="n"/>
      <c r="J712" s="208" t="n"/>
      <c r="K712" s="171"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208" t="n"/>
      <c r="G713" s="208" t="n"/>
      <c r="H713" s="208" t="n"/>
      <c r="I713" s="208" t="n"/>
      <c r="J713" s="208" t="n"/>
      <c r="K713" s="171"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208" t="n"/>
      <c r="G714" s="208" t="n"/>
      <c r="H714" s="208" t="n"/>
      <c r="I714" s="208" t="n"/>
      <c r="J714" s="208" t="n"/>
      <c r="K714" s="171"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208" t="n"/>
      <c r="G715" s="208" t="n"/>
      <c r="H715" s="208" t="n"/>
      <c r="I715" s="208" t="n"/>
      <c r="J715" s="208" t="n"/>
      <c r="K715" s="171"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208" t="n"/>
      <c r="G716" s="208" t="n"/>
      <c r="H716" s="208" t="n"/>
      <c r="I716" s="208" t="n"/>
      <c r="J716" s="208" t="n"/>
      <c r="K716" s="171"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208" t="n"/>
      <c r="G717" s="208" t="n"/>
      <c r="H717" s="208" t="n"/>
      <c r="I717" s="208" t="n"/>
      <c r="J717" s="208" t="n"/>
      <c r="K717" s="171"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208" t="n"/>
      <c r="G718" s="208" t="n"/>
      <c r="H718" s="208" t="n"/>
      <c r="I718" s="208" t="n"/>
      <c r="J718" s="208" t="n"/>
      <c r="K718" s="171"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208" t="n"/>
      <c r="G719" s="208" t="n"/>
      <c r="H719" s="208" t="n"/>
      <c r="I719" s="208" t="n"/>
      <c r="J719" s="208" t="n"/>
      <c r="K719" s="171"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208" t="n"/>
      <c r="G720" s="208" t="n"/>
      <c r="H720" s="208" t="n"/>
      <c r="I720" s="208" t="n"/>
      <c r="J720" s="208" t="n"/>
      <c r="K720" s="171"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208" t="n"/>
      <c r="G721" s="208" t="n"/>
      <c r="H721" s="208" t="n"/>
      <c r="I721" s="208" t="n"/>
      <c r="J721" s="208" t="n"/>
      <c r="K721" s="171"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208" t="n"/>
      <c r="G722" s="208" t="n"/>
      <c r="H722" s="208" t="n"/>
      <c r="I722" s="208" t="n"/>
      <c r="J722" s="208" t="n"/>
      <c r="K722" s="171"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208" t="n"/>
      <c r="G723" s="208" t="n"/>
      <c r="H723" s="208" t="n"/>
      <c r="I723" s="208" t="n"/>
      <c r="J723" s="208" t="n"/>
      <c r="K723" s="171"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208" t="n"/>
      <c r="G724" s="208" t="n"/>
      <c r="H724" s="208" t="n"/>
      <c r="I724" s="208" t="n"/>
      <c r="J724" s="208" t="n"/>
      <c r="K724" s="171"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208" t="n"/>
      <c r="G725" s="208" t="n"/>
      <c r="H725" s="208" t="n"/>
      <c r="I725" s="208" t="n"/>
      <c r="J725" s="208" t="n"/>
      <c r="K725" s="171"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208" t="n"/>
      <c r="G726" s="208" t="n"/>
      <c r="H726" s="208" t="n"/>
      <c r="I726" s="208" t="n"/>
      <c r="J726" s="208" t="n"/>
      <c r="K726" s="171"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208" t="n"/>
      <c r="G727" s="208" t="n"/>
      <c r="H727" s="208" t="n"/>
      <c r="I727" s="208" t="n"/>
      <c r="J727" s="208" t="n"/>
      <c r="K727" s="171"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208" t="n"/>
      <c r="G728" s="208" t="n"/>
      <c r="H728" s="208" t="n"/>
      <c r="I728" s="208" t="n"/>
      <c r="J728" s="208" t="n"/>
      <c r="K728" s="171"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208" t="n"/>
      <c r="G729" s="208" t="n"/>
      <c r="H729" s="208" t="n"/>
      <c r="I729" s="208" t="n"/>
      <c r="J729" s="208" t="n"/>
      <c r="K729" s="171"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208" t="n"/>
      <c r="G730" s="208" t="n"/>
      <c r="H730" s="208" t="n"/>
      <c r="I730" s="208" t="n"/>
      <c r="J730" s="208" t="n"/>
      <c r="K730" s="171"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208" t="n"/>
      <c r="G731" s="208" t="n"/>
      <c r="H731" s="208" t="n"/>
      <c r="I731" s="208" t="n"/>
      <c r="J731" s="208" t="n"/>
      <c r="K731" s="171"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208" t="n"/>
      <c r="G732" s="208" t="n"/>
      <c r="H732" s="208" t="n"/>
      <c r="I732" s="208" t="n"/>
      <c r="J732" s="208" t="n"/>
      <c r="K732" s="171"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208" t="n"/>
      <c r="G733" s="208" t="n"/>
      <c r="H733" s="208" t="n"/>
      <c r="I733" s="208" t="n"/>
      <c r="J733" s="208" t="n"/>
      <c r="K733" s="171"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208" t="n"/>
      <c r="G734" s="208" t="n"/>
      <c r="H734" s="208" t="n"/>
      <c r="I734" s="208" t="n"/>
      <c r="J734" s="208" t="n"/>
      <c r="K734" s="171"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208" t="n"/>
      <c r="G735" s="208" t="n"/>
      <c r="H735" s="208" t="n"/>
      <c r="I735" s="208" t="n"/>
      <c r="J735" s="208" t="n"/>
      <c r="K735" s="171"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208" t="n"/>
      <c r="G736" s="208" t="n"/>
      <c r="H736" s="208" t="n"/>
      <c r="I736" s="208" t="n"/>
      <c r="J736" s="208" t="n"/>
      <c r="K736" s="171"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208" t="n"/>
      <c r="G737" s="208" t="n"/>
      <c r="H737" s="208" t="n"/>
      <c r="I737" s="208" t="n"/>
      <c r="J737" s="208" t="n"/>
      <c r="K737" s="171"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208" t="n"/>
      <c r="G738" s="208" t="n"/>
      <c r="H738" s="208" t="n"/>
      <c r="I738" s="208" t="n"/>
      <c r="J738" s="208" t="n"/>
      <c r="K738" s="171"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208" t="n"/>
      <c r="G739" s="208" t="n"/>
      <c r="H739" s="208" t="n"/>
      <c r="I739" s="208" t="n"/>
      <c r="J739" s="208" t="n"/>
      <c r="K739" s="171"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208" t="n"/>
      <c r="G740" s="208" t="n"/>
      <c r="H740" s="208" t="n"/>
      <c r="I740" s="208" t="n"/>
      <c r="J740" s="208" t="n"/>
      <c r="K740" s="171"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208" t="n"/>
      <c r="G741" s="208" t="n"/>
      <c r="H741" s="208" t="n"/>
      <c r="I741" s="208" t="n"/>
      <c r="J741" s="208" t="n"/>
      <c r="K741" s="171"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208" t="n"/>
      <c r="G742" s="208" t="n"/>
      <c r="H742" s="208" t="n"/>
      <c r="I742" s="208" t="n"/>
      <c r="J742" s="208" t="n"/>
      <c r="K742" s="171"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208" t="n"/>
      <c r="G743" s="208" t="n"/>
      <c r="H743" s="208" t="n"/>
      <c r="I743" s="208" t="n"/>
      <c r="J743" s="208" t="n"/>
      <c r="K743" s="171"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208" t="n"/>
      <c r="G744" s="208" t="n"/>
      <c r="H744" s="208" t="n"/>
      <c r="I744" s="208" t="n"/>
      <c r="J744" s="208" t="n"/>
      <c r="K744" s="171"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208" t="n"/>
      <c r="G745" s="208" t="n"/>
      <c r="H745" s="208" t="n"/>
      <c r="I745" s="208" t="n"/>
      <c r="J745" s="208" t="n"/>
      <c r="K745" s="171"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208" t="n"/>
      <c r="G746" s="208" t="n"/>
      <c r="H746" s="208" t="n"/>
      <c r="I746" s="208" t="n"/>
      <c r="J746" s="208" t="n"/>
      <c r="K746" s="171"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208" t="n"/>
      <c r="G747" s="208" t="n"/>
      <c r="H747" s="208" t="n"/>
      <c r="I747" s="208" t="n"/>
      <c r="J747" s="208" t="n"/>
      <c r="K747" s="171"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208" t="n"/>
      <c r="G748" s="208" t="n"/>
      <c r="H748" s="208" t="n"/>
      <c r="I748" s="208" t="n"/>
      <c r="J748" s="208" t="n"/>
      <c r="K748" s="171"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208" t="n"/>
      <c r="G749" s="208" t="n"/>
      <c r="H749" s="208" t="n"/>
      <c r="I749" s="208" t="n"/>
      <c r="J749" s="208" t="n"/>
      <c r="K749" s="171"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208" t="n"/>
      <c r="G750" s="208" t="n"/>
      <c r="H750" s="208" t="n"/>
      <c r="I750" s="208" t="n"/>
      <c r="J750" s="208" t="n"/>
      <c r="K750" s="171"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208" t="n"/>
      <c r="G751" s="208" t="n"/>
      <c r="H751" s="208" t="n"/>
      <c r="I751" s="208" t="n"/>
      <c r="J751" s="208" t="n"/>
      <c r="K751" s="171"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208" t="n"/>
      <c r="G752" s="208" t="n"/>
      <c r="H752" s="208" t="n"/>
      <c r="I752" s="208" t="n"/>
      <c r="J752" s="208" t="n"/>
      <c r="K752" s="171"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208" t="n"/>
      <c r="G753" s="208" t="n"/>
      <c r="H753" s="208" t="n"/>
      <c r="I753" s="208" t="n"/>
      <c r="J753" s="208" t="n"/>
      <c r="K753" s="171"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208" t="n"/>
      <c r="G754" s="208" t="n"/>
      <c r="H754" s="208" t="n"/>
      <c r="I754" s="208" t="n"/>
      <c r="J754" s="208" t="n"/>
      <c r="K754" s="171"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208" t="n"/>
      <c r="G755" s="208" t="n"/>
      <c r="H755" s="208" t="n"/>
      <c r="I755" s="208" t="n"/>
      <c r="J755" s="208" t="n"/>
      <c r="K755" s="171"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208" t="n"/>
      <c r="G756" s="208" t="n"/>
      <c r="H756" s="208" t="n"/>
      <c r="I756" s="208" t="n"/>
      <c r="J756" s="208" t="n"/>
      <c r="K756" s="171"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208" t="n"/>
      <c r="G757" s="208" t="n"/>
      <c r="H757" s="208" t="n"/>
      <c r="I757" s="208" t="n"/>
      <c r="J757" s="208" t="n"/>
      <c r="K757" s="171"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208" t="n"/>
      <c r="G758" s="208" t="n"/>
      <c r="H758" s="208" t="n"/>
      <c r="I758" s="208" t="n"/>
      <c r="J758" s="208" t="n"/>
      <c r="K758" s="171"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208" t="n"/>
      <c r="G759" s="208" t="n"/>
      <c r="H759" s="208" t="n"/>
      <c r="I759" s="208" t="n"/>
      <c r="J759" s="208" t="n"/>
      <c r="K759" s="171"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208" t="n"/>
      <c r="G760" s="208" t="n"/>
      <c r="H760" s="208" t="n"/>
      <c r="I760" s="208" t="n"/>
      <c r="J760" s="208" t="n"/>
      <c r="K760" s="171"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208" t="n"/>
      <c r="G761" s="208" t="n"/>
      <c r="H761" s="208" t="n"/>
      <c r="I761" s="208" t="n"/>
      <c r="J761" s="208" t="n"/>
      <c r="K761" s="171"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208" t="n"/>
      <c r="G762" s="208" t="n"/>
      <c r="H762" s="208" t="n"/>
      <c r="I762" s="208" t="n"/>
      <c r="J762" s="208" t="n"/>
      <c r="K762" s="171"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208" t="n"/>
      <c r="G763" s="208" t="n"/>
      <c r="H763" s="208" t="n"/>
      <c r="I763" s="208" t="n"/>
      <c r="J763" s="208" t="n"/>
      <c r="K763" s="171"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208" t="n"/>
      <c r="G764" s="208" t="n"/>
      <c r="H764" s="208" t="n"/>
      <c r="I764" s="208" t="n"/>
      <c r="J764" s="208" t="n"/>
      <c r="K764" s="171"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208" t="n"/>
      <c r="G765" s="208" t="n"/>
      <c r="H765" s="208" t="n"/>
      <c r="I765" s="208" t="n"/>
      <c r="J765" s="208" t="n"/>
      <c r="K765" s="171"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208" t="n"/>
      <c r="G766" s="208" t="n"/>
      <c r="H766" s="208" t="n"/>
      <c r="I766" s="208" t="n"/>
      <c r="J766" s="208" t="n"/>
      <c r="K766" s="171"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208" t="n"/>
      <c r="G767" s="208" t="n"/>
      <c r="H767" s="208" t="n"/>
      <c r="I767" s="208" t="n"/>
      <c r="J767" s="208" t="n"/>
      <c r="K767" s="171"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208" t="n"/>
      <c r="G768" s="208" t="n"/>
      <c r="H768" s="208" t="n"/>
      <c r="I768" s="208" t="n"/>
      <c r="J768" s="208" t="n"/>
      <c r="K768" s="171"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208" t="n"/>
      <c r="G769" s="208" t="n"/>
      <c r="H769" s="208" t="n"/>
      <c r="I769" s="208" t="n"/>
      <c r="J769" s="208" t="n"/>
      <c r="K769" s="171"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208" t="n"/>
      <c r="G770" s="208" t="n"/>
      <c r="H770" s="208" t="n"/>
      <c r="I770" s="208" t="n"/>
      <c r="J770" s="208" t="n"/>
      <c r="K770" s="171"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71"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71"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71"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71"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71"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71"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71"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71"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71"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71"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71"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71"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71"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71"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71"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71"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71"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71"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71"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71"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71"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71"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71"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71"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71"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71"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71"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71"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71"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71"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71"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71"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71"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71"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71"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71"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71"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71"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71"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71"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71"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71"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71"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71"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71"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71"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71"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71"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71"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71"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71"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71"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71"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71"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71"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71"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71"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71"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71"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71"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71"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71"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71"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71"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71"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71"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71"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71"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71"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71"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71"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71"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71"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71"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71"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71"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71"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71"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71"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71"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71"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71"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71"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71"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71"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71"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71"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71"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71"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71"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71"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71"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71"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71"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71"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71"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71"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71"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71"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71"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71"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71"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71"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71"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71"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71"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71"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71"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71"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71"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71"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71"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71"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71"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71"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71"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71"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71"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71"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71"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71"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71"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71"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71"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71"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71"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71"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71"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71"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71"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71"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71"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71"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71"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71"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71"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71"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71"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71"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71"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71"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71"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71"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71"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71"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71"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71"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71"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71"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71"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71"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71"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71"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71"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71"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71"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71"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71"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71"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71"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71"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71"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71"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71"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71"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71"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71"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71"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71"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71"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71"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71"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71"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71"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71"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71"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71"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71"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71"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71"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71"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71"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71"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71"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71"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71"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71"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71"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71"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71"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71"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71"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71"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71"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71"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71"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71"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71"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71"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71"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71"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71"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71"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71"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71"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71"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71"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71"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71"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71"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71"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71"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71"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71"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71"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71"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71"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71"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71"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71"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71"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71"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71"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71"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71"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71"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71"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71"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71"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71"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71"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71"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71"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2026-06-04T19:49:40Z</dcterms:modified>
  <cp:lastModifiedBy>michael janabi</cp:lastModifiedBy>
</cp:coreProperties>
</file>