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51840" windowHeight="21120" tabRatio="600" firstSheet="0" activeTab="8" autoFilterDateGrouping="1"/>
  </bookViews>
  <sheets>
    <sheet xmlns:r="http://schemas.openxmlformats.org/officeDocument/2006/relationships" name="Comps" sheetId="1" state="visible"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visible" r:id="rId9"/>
    <sheet xmlns:r="http://schemas.openxmlformats.org/officeDocument/2006/relationships" name="Waterfall (10-yr)" sheetId="10" state="visible" r:id="rId10"/>
    <sheet xmlns:r="http://schemas.openxmlformats.org/officeDocument/2006/relationships" name="Waterfall (5-yr) " sheetId="11" state="visible"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Underwriting'!$A$1:$P$50</definedName>
    <definedName name="CU?" localSheetId="9">'Waterfall (10-yr)'!$A$6</definedName>
    <definedName name="Equity_Share_GP" localSheetId="9">'Waterfall (10-yr)'!$C$9</definedName>
    <definedName name="Equity_Share_LP" localSheetId="9">'Waterfall (10-yr)'!$C$10</definedName>
    <definedName name="Preferred_Return" localSheetId="9">'Waterfall (10-yr)'!$E$15</definedName>
    <definedName name="Total_Equity" localSheetId="9">'Waterfall (10-yr)'!$D$11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21">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s>
  <fonts count="80">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s>
  <fills count="40">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s>
  <borders count="8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9" fillId="0" borderId="0"/>
  </cellStyleXfs>
  <cellXfs count="851">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0" fillId="4" borderId="56" pivotButton="0" quotePrefix="0" xfId="0"/>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0" fillId="5" borderId="26" pivotButton="0" quotePrefix="0" xfId="0"/>
    <xf numFmtId="0" fontId="11" fillId="15" borderId="55" applyAlignment="1" pivotButton="0" quotePrefix="0" xfId="0">
      <alignment horizontal="center" vertical="center" wrapText="1"/>
    </xf>
    <xf numFmtId="0" fontId="0" fillId="0" borderId="55" pivotButton="0" quotePrefix="0" xfId="0"/>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168" fontId="3" fillId="15" borderId="41" pivotButton="0" quotePrefix="0" xfId="1"/>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8"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56"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2"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70"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70"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69"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71" pivotButton="0" quotePrefix="0" xfId="0"/>
    <xf numFmtId="169" fontId="1" fillId="22" borderId="72"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49" fillId="12" borderId="0" applyAlignment="1" pivotButton="0" quotePrefix="0" xfId="0">
      <alignment horizontal="center"/>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3" pivotButton="0" quotePrefix="0" xfId="0"/>
    <xf numFmtId="0" fontId="0" fillId="12" borderId="74" pivotButton="0" quotePrefix="0" xfId="0"/>
    <xf numFmtId="0" fontId="0" fillId="12" borderId="73" pivotButton="0" quotePrefix="0" xfId="0"/>
    <xf numFmtId="0" fontId="6" fillId="12" borderId="73" pivotButton="0" quotePrefix="0" xfId="0"/>
    <xf numFmtId="165" fontId="0" fillId="12" borderId="74" applyAlignment="1" pivotButton="0" quotePrefix="0" xfId="1">
      <alignment horizontal="center"/>
    </xf>
    <xf numFmtId="165" fontId="0" fillId="12" borderId="73" applyAlignment="1" pivotButton="0" quotePrefix="0" xfId="0">
      <alignment horizontal="center"/>
    </xf>
    <xf numFmtId="165" fontId="0" fillId="12" borderId="74" applyAlignment="1" pivotButton="0" quotePrefix="0" xfId="0">
      <alignment horizontal="center"/>
    </xf>
    <xf numFmtId="165" fontId="0" fillId="0" borderId="74" applyAlignment="1" pivotButton="0" quotePrefix="0" xfId="0">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5" pivotButton="0" quotePrefix="0" xfId="0"/>
    <xf numFmtId="165" fontId="3" fillId="12" borderId="59" applyAlignment="1" pivotButton="0" quotePrefix="0" xfId="1">
      <alignment horizontal="center"/>
    </xf>
    <xf numFmtId="165" fontId="3" fillId="12" borderId="76" applyAlignment="1" pivotButton="0" quotePrefix="0" xfId="1">
      <alignment horizontal="center"/>
    </xf>
    <xf numFmtId="165" fontId="3" fillId="12" borderId="77" applyAlignment="1" pivotButton="0" quotePrefix="0" xfId="1">
      <alignment horizontal="center"/>
    </xf>
    <xf numFmtId="165" fontId="3" fillId="0" borderId="76" applyAlignment="1" pivotButton="0" quotePrefix="0" xfId="1">
      <alignment horizontal="center"/>
    </xf>
    <xf numFmtId="169" fontId="40" fillId="12" borderId="60" applyAlignment="1" pivotButton="0" quotePrefix="0" xfId="0">
      <alignment horizontal="center" wrapText="1"/>
    </xf>
    <xf numFmtId="0" fontId="24" fillId="12" borderId="73" pivotButton="0" quotePrefix="0" xfId="0"/>
    <xf numFmtId="0" fontId="25" fillId="12" borderId="73" pivotButton="0" quotePrefix="0" xfId="0"/>
    <xf numFmtId="9" fontId="0" fillId="12" borderId="74" applyAlignment="1" pivotButton="0" quotePrefix="0" xfId="2">
      <alignment horizontal="center"/>
    </xf>
    <xf numFmtId="9" fontId="0" fillId="12" borderId="73"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4"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7" pivotButton="0" quotePrefix="0" xfId="0"/>
    <xf numFmtId="165" fontId="3" fillId="12" borderId="76" applyAlignment="1" pivotButton="0" quotePrefix="0" xfId="0">
      <alignment horizontal="center"/>
    </xf>
    <xf numFmtId="165" fontId="3" fillId="12" borderId="77"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6" applyAlignment="1" pivotButton="0" quotePrefix="0" xfId="0">
      <alignment horizontal="center"/>
    </xf>
    <xf numFmtId="165" fontId="0" fillId="12" borderId="77" applyAlignment="1" pivotButton="0" quotePrefix="0" xfId="0">
      <alignment horizontal="center"/>
    </xf>
    <xf numFmtId="0" fontId="73" fillId="12" borderId="73" pivotButton="0" quotePrefix="0" xfId="0"/>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0" fontId="49" fillId="12" borderId="0" applyAlignment="1" pivotButton="0" quotePrefix="0" xfId="0">
      <alignment wrapText="1"/>
    </xf>
    <xf numFmtId="0" fontId="11" fillId="12" borderId="78" pivotButton="0" quotePrefix="0" xfId="0"/>
    <xf numFmtId="165" fontId="3" fillId="12" borderId="62" applyAlignment="1" pivotButton="0" quotePrefix="0" xfId="0">
      <alignment horizontal="center"/>
    </xf>
    <xf numFmtId="165" fontId="3" fillId="12" borderId="78" applyAlignment="1" pivotButton="0" quotePrefix="0" xfId="0">
      <alignment horizontal="center"/>
    </xf>
    <xf numFmtId="0" fontId="0" fillId="12" borderId="50" applyAlignment="1" pivotButton="0" quotePrefix="0" xfId="0">
      <alignment horizontal="center"/>
    </xf>
    <xf numFmtId="0" fontId="0" fillId="12" borderId="74"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3" pivotButton="0" quotePrefix="0" xfId="0"/>
    <xf numFmtId="167" fontId="0" fillId="12" borderId="0" applyAlignment="1" pivotButton="0" quotePrefix="0" xfId="0">
      <alignment horizontal="right"/>
    </xf>
    <xf numFmtId="167" fontId="0" fillId="12" borderId="74"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4"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9"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0" applyAlignment="1" pivotButton="0" quotePrefix="0" xfId="2">
      <alignment horizontal="center" wrapText="1"/>
    </xf>
    <xf numFmtId="169" fontId="40" fillId="12" borderId="80" applyAlignment="1" pivotButton="0" quotePrefix="0" xfId="0">
      <alignment horizontal="center" wrapText="1"/>
    </xf>
    <xf numFmtId="0" fontId="74" fillId="12" borderId="73" pivotButton="0" quotePrefix="0" xfId="0"/>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0" fontId="76" fillId="12" borderId="13" pivotButton="0" quotePrefix="0" xfId="0"/>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0" fontId="78" fillId="12" borderId="73" pivotButton="0" quotePrefix="0" xfId="0"/>
    <xf numFmtId="165" fontId="78" fillId="12" borderId="0" applyAlignment="1" pivotButton="0" quotePrefix="0" xfId="0">
      <alignment horizontal="center"/>
    </xf>
    <xf numFmtId="165" fontId="78" fillId="12" borderId="50" applyAlignment="1" pivotButton="0" quotePrefix="0" xfId="0">
      <alignment horizontal="center"/>
    </xf>
    <xf numFmtId="165" fontId="78" fillId="12" borderId="74" applyAlignment="1" pivotButton="0" quotePrefix="0" xfId="0">
      <alignment horizontal="center"/>
    </xf>
    <xf numFmtId="0" fontId="3" fillId="12" borderId="45" applyAlignment="1" pivotButton="0" quotePrefix="0" xfId="1">
      <alignment horizontal="center" vertical="center"/>
    </xf>
    <xf numFmtId="0" fontId="3" fillId="12" borderId="12" applyAlignment="1" pivotButton="0" quotePrefix="0" xfId="1">
      <alignment horizontal="center" vertic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0" fontId="9" fillId="5" borderId="42" pivotButton="0" quotePrefix="0" xfId="0"/>
    <xf numFmtId="165" fontId="3" fillId="22" borderId="43" pivotButton="0" quotePrefix="0" xfId="0"/>
    <xf numFmtId="165" fontId="3" fillId="22" borderId="29" pivotButton="0" quotePrefix="0" xfId="0"/>
    <xf numFmtId="0" fontId="0" fillId="22" borderId="1" applyAlignment="1" pivotButton="0" quotePrefix="0" xfId="0">
      <alignment horizontal="center"/>
    </xf>
    <xf numFmtId="0" fontId="6" fillId="12" borderId="3" applyAlignment="1" pivotButton="0" quotePrefix="0" xfId="1">
      <alignment horizontal="center"/>
    </xf>
    <xf numFmtId="10" fontId="0" fillId="10" borderId="5" applyAlignment="1" pivotButton="0" quotePrefix="0" xfId="2">
      <alignment horizontal="center"/>
    </xf>
    <xf numFmtId="0" fontId="3" fillId="12" borderId="1" pivotButton="0" quotePrefix="0" xfId="0"/>
    <xf numFmtId="0" fontId="11" fillId="12" borderId="1" pivotButton="0" quotePrefix="0" xfId="0"/>
    <xf numFmtId="0" fontId="32" fillId="0" borderId="0" pivotButton="0" quotePrefix="0" xfId="4"/>
    <xf numFmtId="15" fontId="13" fillId="11" borderId="0" applyAlignment="1" pivotButton="0" quotePrefix="0" xfId="0">
      <alignment vertical="center"/>
    </xf>
    <xf numFmtId="0" fontId="0" fillId="10" borderId="40" applyAlignment="1" pivotButton="0" quotePrefix="0" xfId="0">
      <alignment horizontal="center"/>
    </xf>
    <xf numFmtId="0" fontId="0" fillId="10" borderId="12" applyAlignment="1" pivotButton="0" quotePrefix="0" xfId="0">
      <alignment horizontal="center"/>
    </xf>
    <xf numFmtId="0" fontId="11" fillId="5" borderId="17" pivotButton="0" quotePrefix="0" xfId="0"/>
    <xf numFmtId="0" fontId="11" fillId="5" borderId="1" applyAlignment="1" pivotButton="0" quotePrefix="0" xfId="0">
      <alignment horizontal="center"/>
    </xf>
    <xf numFmtId="165" fontId="11" fillId="5" borderId="1" applyAlignment="1" pivotButton="0" quotePrefix="0" xfId="0">
      <alignment horizontal="center"/>
    </xf>
    <xf numFmtId="165" fontId="11" fillId="5" borderId="18" applyAlignment="1" pivotButton="0" quotePrefix="0" xfId="0">
      <alignment horizontal="center"/>
    </xf>
    <xf numFmtId="0" fontId="0" fillId="12" borderId="1" applyAlignment="1" pivotButton="0" quotePrefix="0" xfId="0">
      <alignment horizontal="center"/>
    </xf>
    <xf numFmtId="165" fontId="0" fillId="15" borderId="1" applyAlignment="1" pivotButton="0" quotePrefix="0" xfId="0">
      <alignment horizontal="center"/>
    </xf>
    <xf numFmtId="0" fontId="6" fillId="15" borderId="1" pivotButton="0" quotePrefix="0" xfId="0"/>
    <xf numFmtId="0" fontId="32" fillId="15" borderId="66" pivotButton="0" quotePrefix="0" xfId="0"/>
    <xf numFmtId="0" fontId="0" fillId="15" borderId="1" pivotButton="0" quotePrefix="0" xfId="0"/>
    <xf numFmtId="165" fontId="6" fillId="15" borderId="1" applyAlignment="1" pivotButton="0" quotePrefix="0" xfId="0">
      <alignment horizontal="center"/>
    </xf>
    <xf numFmtId="165" fontId="6" fillId="15" borderId="1" applyAlignment="1" pivotButton="0" quotePrefix="0" xfId="1">
      <alignment horizontal="center"/>
    </xf>
    <xf numFmtId="164" fontId="0" fillId="0" borderId="29" applyAlignment="1" pivotButton="0" quotePrefix="0" xfId="2">
      <alignment horizontal="center"/>
    </xf>
    <xf numFmtId="165" fontId="3" fillId="12" borderId="1" applyAlignment="1" pivotButton="0" quotePrefix="0" xfId="2">
      <alignment horizontal="center"/>
    </xf>
    <xf numFmtId="9" fontId="0" fillId="12" borderId="0" pivotButton="0" quotePrefix="0" xfId="0"/>
    <xf numFmtId="0" fontId="79" fillId="12" borderId="0" pivotButton="0" quotePrefix="0" xfId="8"/>
    <xf numFmtId="0" fontId="0" fillId="15" borderId="1" applyAlignment="1" pivotButton="0" quotePrefix="0" xfId="0">
      <alignment horizontal="center"/>
    </xf>
    <xf numFmtId="167" fontId="0" fillId="12" borderId="1" applyAlignment="1" pivotButton="0" quotePrefix="0" xfId="0">
      <alignment horizontal="center"/>
    </xf>
    <xf numFmtId="165" fontId="0" fillId="15" borderId="26" applyAlignment="1" pivotButton="0" quotePrefix="0" xfId="0">
      <alignment horizontal="center"/>
    </xf>
    <xf numFmtId="10" fontId="0" fillId="12" borderId="1" applyAlignment="1" pivotButton="0" quotePrefix="0" xfId="1">
      <alignment horizontal="center"/>
    </xf>
    <xf numFmtId="10" fontId="0" fillId="12" borderId="1" applyAlignment="1" pivotButton="0" quotePrefix="0" xfId="0">
      <alignment horizontal="center"/>
    </xf>
    <xf numFmtId="164" fontId="0" fillId="12" borderId="74" applyAlignment="1" pivotButton="0" quotePrefix="0" xfId="0">
      <alignment horizontal="right"/>
    </xf>
    <xf numFmtId="165" fontId="0" fillId="12" borderId="74" applyAlignment="1" pivotButton="0" quotePrefix="0" xfId="0">
      <alignment horizontal="right"/>
    </xf>
    <xf numFmtId="0" fontId="64" fillId="10" borderId="0" applyAlignment="1" pivotButton="0" quotePrefix="0" xfId="0">
      <alignment horizontal="center"/>
    </xf>
    <xf numFmtId="165" fontId="64" fillId="10" borderId="0" applyAlignment="1" pivotButton="0" quotePrefix="0" xfId="0">
      <alignment horizontal="center"/>
    </xf>
    <xf numFmtId="0" fontId="6" fillId="12" borderId="0" applyAlignment="1" pivotButton="0" quotePrefix="0" xfId="0">
      <alignment wrapText="1"/>
    </xf>
    <xf numFmtId="0" fontId="11" fillId="12" borderId="45" pivotButton="0" quotePrefix="0" xfId="0"/>
    <xf numFmtId="165" fontId="11" fillId="12" borderId="45" pivotButton="0" quotePrefix="0" xfId="0"/>
    <xf numFmtId="0" fontId="0" fillId="10" borderId="23" applyAlignment="1" pivotButton="0" quotePrefix="0" xfId="0">
      <alignment horizontal="left"/>
    </xf>
    <xf numFmtId="167" fontId="0" fillId="0" borderId="0" pivotButton="0" quotePrefix="0" xfId="0"/>
    <xf numFmtId="0" fontId="79" fillId="0" borderId="0" pivotButton="0" quotePrefix="0" xfId="8"/>
    <xf numFmtId="164" fontId="6" fillId="12" borderId="1" applyAlignment="1" pivotButton="0" quotePrefix="0" xfId="1">
      <alignment horizontal="center"/>
    </xf>
    <xf numFmtId="164" fontId="6" fillId="15" borderId="1" applyAlignment="1" pivotButton="0" quotePrefix="0" xfId="1">
      <alignment horizontal="center"/>
    </xf>
    <xf numFmtId="165" fontId="3" fillId="9" borderId="1" applyAlignment="1" pivotButton="0" quotePrefix="0" xfId="1">
      <alignment horizontal="center"/>
    </xf>
    <xf numFmtId="164" fontId="0" fillId="12" borderId="0" applyAlignment="1" pivotButton="0" quotePrefix="0" xfId="0">
      <alignment horizontal="center"/>
    </xf>
    <xf numFmtId="0" fontId="7" fillId="3" borderId="0" applyAlignment="1" pivotButton="0" quotePrefix="0" xfId="0">
      <alignment horizontal="center"/>
    </xf>
    <xf numFmtId="165" fontId="0" fillId="0" borderId="40" applyAlignment="1" pivotButton="0" quotePrefix="0" xfId="0">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167" fontId="0" fillId="0" borderId="0" pivotButton="0" quotePrefix="0" xfId="0"/>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69" fontId="1" fillId="22" borderId="72" applyAlignment="1" pivotButton="0" quotePrefix="0" xfId="2">
      <alignment horizontal="center" wrapText="1"/>
    </xf>
    <xf numFmtId="169" fontId="9" fillId="0" borderId="0" applyAlignment="1" pivotButton="0" quotePrefix="0" xfId="2">
      <alignment horizontal="center" wrapText="1"/>
    </xf>
    <xf numFmtId="182" fontId="0" fillId="12" borderId="0" pivotButton="0" quotePrefix="0" xfId="0"/>
    <xf numFmtId="167" fontId="0" fillId="10" borderId="23" applyAlignment="1" pivotButton="0" quotePrefix="0" xfId="0">
      <alignment horizontal="center"/>
    </xf>
    <xf numFmtId="167" fontId="0" fillId="12" borderId="12"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9" fontId="11" fillId="10" borderId="5" applyAlignment="1" pivotButton="0" quotePrefix="0" xfId="2">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0"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0" fillId="10" borderId="8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0" applyAlignment="1" pivotButton="0" quotePrefix="0" xfId="0">
      <alignment horizontal="center" wrapText="1"/>
    </xf>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4" applyAlignment="1" pivotButton="0" quotePrefix="0" xfId="0">
      <alignment horizontal="right"/>
    </xf>
    <xf numFmtId="184" fontId="49" fillId="12" borderId="0" applyAlignment="1" pivotButton="0" quotePrefix="0" xfId="7">
      <alignment horizontal="right"/>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21">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Collections!$B$5:$B$16</f>
              <strCache>
                <ptCount val="12"/>
                <pt idx="0">
                  <v>NOV 24</v>
                </pt>
                <pt idx="1">
                  <v>DEC 24</v>
                </pt>
                <pt idx="2">
                  <v>JAN 25</v>
                </pt>
                <pt idx="3">
                  <v>FEB 25</v>
                </pt>
                <pt idx="4">
                  <v>MAR 25</v>
                </pt>
                <pt idx="5">
                  <v>APR 25</v>
                </pt>
                <pt idx="6">
                  <v>MAY 25</v>
                </pt>
                <pt idx="7">
                  <v>JUN 25</v>
                </pt>
                <pt idx="8">
                  <v>JUL 25</v>
                </pt>
                <pt idx="9">
                  <v>AUG 25</v>
                </pt>
                <pt idx="10">
                  <v>SEP 25</v>
                </pt>
                <pt idx="11">
                  <v>OCT 25</v>
                </pt>
              </strCache>
            </strRef>
          </cat>
          <val>
            <numRef>
              <f>Collections!$G$5:$G$16</f>
              <numCache>
                <formatCode>_("$"* #,##0_);_("$"* \(#,##0\);_("$"* "-"??_);_(@_)</formatCode>
                <ptCount val="12"/>
                <pt idx="0">
                  <v>88020.39999999999</v>
                </pt>
                <pt idx="1">
                  <v>81912.93000000001</v>
                </pt>
                <pt idx="2">
                  <v>95245</v>
                </pt>
                <pt idx="3">
                  <v>94469.16</v>
                </pt>
                <pt idx="4">
                  <v>97084</v>
                </pt>
                <pt idx="5">
                  <v>93549.03</v>
                </pt>
                <pt idx="6">
                  <v>87321.02</v>
                </pt>
                <pt idx="7">
                  <v>93582.23</v>
                </pt>
                <pt idx="8">
                  <v>96074</v>
                </pt>
                <pt idx="9">
                  <v>97095</v>
                </pt>
                <pt idx="10">
                  <v>97095</v>
                </pt>
                <pt idx="11">
                  <v>97095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1"/>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113604.75</v>
                </pt>
                <pt idx="1">
                  <v>106434.46</v>
                </pt>
                <pt idx="2">
                  <v>121215.91</v>
                </pt>
                <pt idx="3">
                  <v>120264.86</v>
                </pt>
                <pt idx="4">
                  <v>125752.53</v>
                </pt>
                <pt idx="5">
                  <v>119106.68</v>
                </pt>
                <pt idx="6">
                  <v>113366.33</v>
                </pt>
                <pt idx="7">
                  <v>119753.04</v>
                </pt>
                <pt idx="8">
                  <v>120603.12</v>
                </pt>
                <pt idx="9">
                  <v>120062.69</v>
                </pt>
                <pt idx="10">
                  <v>118427.05</v>
                </pt>
                <pt idx="11">
                  <v>116509</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tc={82BE72F7-D483-497A-8C6B-BDB2224A6385}</author>
  </authors>
  <commentList>
    <comment ref="F5" authorId="0" shapeId="0">
      <text>
        <t>[Threaded comment]
Your version of Excel allows you to read this threaded comment; however, any edits to it will get removed if the file is opened in a newer version of Excel. Learn more: https://go.microsoft.com/fwlink/?linkid=870924
Comment:
    Assumed 11 infilled units RENTED AT $1250/MO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s>
</file>

<file path=xl/drawings/_rels/drawing3.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0</col>
      <colOff>609600</colOff>
      <row>23</row>
      <rowOff>28575</rowOff>
    </from>
    <to>
      <col>4</col>
      <colOff>391804</colOff>
      <row>42</row>
      <rowOff>67160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09600" y="7191375"/>
          <a:ext cx="9164329" cy="3477110"/>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19</col>
      <colOff>542925</colOff>
      <row>11</row>
      <rowOff>209550</rowOff>
    </from>
    <to>
      <col>39</col>
      <colOff>382678</colOff>
      <row>25</row>
      <rowOff>219567</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3670875" y="2609850"/>
          <a:ext cx="12022228" cy="3521567"/>
        </a:xfrm>
        <a:prstGeom xmlns:a="http://schemas.openxmlformats.org/drawingml/2006/main" prst="rect">
          <avLst/>
        </a:prstGeom>
        <a:ln xmlns:a="http://schemas.openxmlformats.org/drawingml/2006/main">
          <a:prstDash val="solid"/>
        </a:ln>
      </spPr>
    </pic>
    <clientData/>
  </twoCellAnchor>
  <twoCellAnchor editAs="oneCell">
    <from>
      <col>20</col>
      <colOff>0</colOff>
      <row>28</row>
      <rowOff>0</rowOff>
    </from>
    <to>
      <col>26</col>
      <colOff>333916</colOff>
      <row>54</row>
      <rowOff>121470</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4089975" y="6362700"/>
          <a:ext cx="3877216" cy="5877745"/>
        </a:xfrm>
        <a:prstGeom xmlns:a="http://schemas.openxmlformats.org/drawingml/2006/main" prst="rect">
          <avLst/>
        </a:prstGeom>
        <a:ln xmlns:a="http://schemas.openxmlformats.org/drawingml/2006/main">
          <a:prstDash val="solid"/>
        </a:ln>
      </spPr>
    </pic>
    <clientData/>
  </twoCellAnchor>
  <twoCellAnchor editAs="oneCell">
    <from>
      <col>19</col>
      <colOff>323850</colOff>
      <row>1</row>
      <rowOff>76200</rowOff>
    </from>
    <to>
      <col>34</col>
      <colOff>93331</colOff>
      <row>11</row>
      <rowOff>57444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33451800" y="352425"/>
          <a:ext cx="8999206" cy="210531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mhvillage.com/homes/3428735" TargetMode="External" Id="rId1"/><Relationship Type="http://schemas.openxmlformats.org/officeDocument/2006/relationships/hyperlink" Target="https://www.mhvillage.com/homes/3410375" TargetMode="External" Id="rId2"/><Relationship Type="http://schemas.openxmlformats.org/officeDocument/2006/relationships/hyperlink" Target="https://www.mhvillage.com/homes/3217429" TargetMode="External" Id="rId3"/><Relationship Type="http://schemas.openxmlformats.org/officeDocument/2006/relationships/hyperlink" Target="file:///C:\Users\micha\Downloads\google.com\url%3furl=http:\www.xvresort.com\&amp;sa=t&amp;rct=j&amp;source=maps&amp;usg=AOvVaw3mdHyFMMXLQyp0FxfBN-Vb&amp;ved=1i:39,t:3443,e:18,p:_v2KadO8A6b34-EPxLS50Qk:537" TargetMode="External" Id="rId4"/></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140625" customWidth="1" min="2" max="2"/>
    <col width="51.42578125" customWidth="1" min="3" max="3"/>
    <col width="8.85546875" bestFit="1" customWidth="1" min="5" max="5"/>
  </cols>
  <sheetData>
    <row r="1"/>
    <row r="2">
      <c r="D2" t="inlineStr">
        <is>
          <t>Lot Rent</t>
        </is>
      </c>
      <c r="E2" t="inlineStr">
        <is>
          <t>Price</t>
        </is>
      </c>
      <c r="F2" t="inlineStr">
        <is>
          <t>SF</t>
        </is>
      </c>
    </row>
    <row r="3">
      <c r="D3" s="741" t="n"/>
      <c r="E3" s="741" t="n"/>
      <c r="H3" s="702" t="n"/>
    </row>
    <row r="4">
      <c r="D4" s="741" t="n"/>
      <c r="E4" s="741" t="n"/>
      <c r="H4" s="702" t="n"/>
    </row>
    <row r="5">
      <c r="D5" s="741" t="n"/>
      <c r="E5" s="741" t="n"/>
      <c r="H5" s="702" t="n"/>
    </row>
    <row r="6">
      <c r="D6" s="741" t="n"/>
      <c r="E6" s="741" t="n"/>
    </row>
    <row r="7">
      <c r="D7" s="741" t="n"/>
      <c r="E7" s="741" t="n"/>
    </row>
    <row r="8">
      <c r="D8" s="741" t="n"/>
      <c r="E8" s="741" t="n"/>
    </row>
    <row r="9"/>
    <row r="10"/>
    <row r="11">
      <c r="D11" s="741" t="n"/>
      <c r="H11" s="702" t="n"/>
    </row>
  </sheetData>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11" r:id="rId4"/>
  </hyperlinks>
  <pageMargins left="0.7" right="0.7" top="0.75" bottom="0.75" header="0.3" footer="0.3"/>
</worksheet>
</file>

<file path=xl/worksheets/sheet2.xml><?xml version="1.0" encoding="utf-8"?>
<worksheet xmlns="http://schemas.openxmlformats.org/spreadsheetml/2006/main">
  <sheetPr>
    <tabColor rgb="FFC00000"/>
    <outlinePr summaryBelow="1" summaryRight="1"/>
    <pageSetUpPr/>
  </sheetPr>
  <dimension ref="A1:BN1157"/>
  <sheetViews>
    <sheetView workbookViewId="0">
      <selection activeCell="E26" sqref="E26:V26"/>
    </sheetView>
  </sheetViews>
  <sheetFormatPr baseColWidth="8" defaultColWidth="9.42578125" defaultRowHeight="15" outlineLevelRow="1"/>
  <cols>
    <col width="28.42578125" customWidth="1" style="1" min="1" max="1"/>
    <col width="53.140625" customWidth="1" style="1" min="2" max="2"/>
    <col width="1.42578125" customWidth="1" style="1" min="3" max="3"/>
    <col width="15.42578125" customWidth="1" style="1" min="4" max="4"/>
    <col width="14.42578125" customWidth="1" style="277" min="5" max="5"/>
    <col width="19.42578125" customWidth="1" style="277"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11" t="inlineStr">
        <is>
          <t>Input Source Data</t>
        </is>
      </c>
      <c r="E1" s="742" t="n"/>
      <c r="F1" s="712"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96" t="inlineStr">
        <is>
          <t>GGC Catorgy</t>
        </is>
      </c>
      <c r="B2" s="296" t="inlineStr">
        <is>
          <t>Source Name</t>
        </is>
      </c>
      <c r="D2" s="13" t="n">
        <v>2022</v>
      </c>
      <c r="E2" s="13" t="n">
        <v>2024</v>
      </c>
      <c r="F2" s="6" t="inlineStr">
        <is>
          <t>Broker's Proforma</t>
        </is>
      </c>
      <c r="G2" s="6" t="inlineStr">
        <is>
          <t>T12 (Oct 2025)</t>
        </is>
      </c>
      <c r="H2" s="6" t="inlineStr">
        <is>
          <t>Annualization</t>
        </is>
      </c>
      <c r="J2" s="7" t="inlineStr">
        <is>
          <t>NOV 24</t>
        </is>
      </c>
      <c r="K2" s="7" t="inlineStr">
        <is>
          <t>DEC 24</t>
        </is>
      </c>
      <c r="L2" s="7" t="inlineStr">
        <is>
          <t>JAN 25</t>
        </is>
      </c>
      <c r="M2" s="7" t="inlineStr">
        <is>
          <t>FEB 25</t>
        </is>
      </c>
      <c r="N2" s="7" t="inlineStr">
        <is>
          <t>MAR 25</t>
        </is>
      </c>
      <c r="O2" s="7" t="inlineStr">
        <is>
          <t>APR 25</t>
        </is>
      </c>
      <c r="P2" s="7" t="inlineStr">
        <is>
          <t>MAY 25</t>
        </is>
      </c>
      <c r="Q2" s="7" t="inlineStr">
        <is>
          <t>JUN 25</t>
        </is>
      </c>
      <c r="R2" s="7" t="inlineStr">
        <is>
          <t>JUL 25</t>
        </is>
      </c>
      <c r="S2" s="7" t="inlineStr">
        <is>
          <t>AUG 25</t>
        </is>
      </c>
      <c r="T2" s="7" t="inlineStr">
        <is>
          <t>SEP 25</t>
        </is>
      </c>
      <c r="U2" s="7" t="inlineStr">
        <is>
          <t>OCT 25</t>
        </is>
      </c>
      <c r="V2" s="8" t="inlineStr">
        <is>
          <t>Total</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33" t="n"/>
      <c r="C3" s="3" t="n"/>
      <c r="D3" s="165" t="n"/>
      <c r="E3" s="703" t="n"/>
      <c r="F3" s="703" t="n"/>
      <c r="G3" s="21">
        <f>V3</f>
        <v/>
      </c>
      <c r="H3" s="21">
        <f>((SUM(S3:U3)/$H$1)*12)</f>
        <v/>
      </c>
      <c r="I3" s="3" t="n"/>
      <c r="J3" s="166" t="n"/>
      <c r="K3" s="166" t="n"/>
      <c r="L3" s="166" t="n"/>
      <c r="M3" s="166" t="n"/>
      <c r="N3" s="166" t="n"/>
      <c r="O3" s="166" t="n"/>
      <c r="P3" s="166" t="n"/>
      <c r="Q3" s="166" t="n"/>
      <c r="R3" s="166" t="n"/>
      <c r="S3" s="166" t="n"/>
      <c r="T3" s="166" t="n"/>
      <c r="U3" s="166" t="n"/>
      <c r="V3" s="27">
        <f>SUM(J3:U3)</f>
        <v/>
      </c>
    </row>
    <row r="4">
      <c r="A4" s="14" t="n"/>
      <c r="B4" s="668" t="n"/>
      <c r="C4" s="3" t="n"/>
      <c r="D4" s="165" t="n"/>
      <c r="E4" s="703" t="n"/>
      <c r="F4" s="703" t="n"/>
      <c r="G4" s="21">
        <f>V4</f>
        <v/>
      </c>
      <c r="H4" s="21">
        <f>((SUM(S4:U4)/$H$1)*12)</f>
        <v/>
      </c>
      <c r="I4" s="3" t="n"/>
      <c r="J4" s="166" t="n"/>
      <c r="K4" s="166" t="n"/>
      <c r="L4" s="166" t="n"/>
      <c r="M4" s="166" t="n"/>
      <c r="N4" s="166" t="n"/>
      <c r="O4" s="166" t="n"/>
      <c r="P4" s="166" t="n"/>
      <c r="Q4" s="166" t="n"/>
      <c r="R4" s="166" t="n"/>
      <c r="S4" s="166" t="n"/>
      <c r="T4" s="166" t="n"/>
      <c r="U4" s="166" t="n"/>
      <c r="V4" s="27">
        <f>(((SUM(J4:U4))))</f>
        <v/>
      </c>
    </row>
    <row r="5">
      <c r="A5" s="14" t="n"/>
      <c r="B5" s="219" t="n"/>
      <c r="C5" s="3" t="n"/>
      <c r="D5" s="165" t="n"/>
      <c r="E5" s="703" t="n"/>
      <c r="F5" s="703" t="n"/>
      <c r="G5" s="21">
        <f>V5</f>
        <v/>
      </c>
      <c r="H5" s="21">
        <f>((SUM(S5:U5)/$H$1)*12)</f>
        <v/>
      </c>
      <c r="I5" s="3" t="n"/>
      <c r="J5" s="166" t="n"/>
      <c r="K5" s="683" t="n"/>
      <c r="L5" s="683" t="n"/>
      <c r="M5" s="166" t="n"/>
      <c r="N5" s="166" t="n"/>
      <c r="O5" s="166" t="n"/>
      <c r="P5" s="166" t="n"/>
      <c r="Q5" s="166" t="n"/>
      <c r="R5" s="166" t="n"/>
      <c r="S5" s="166" t="n"/>
      <c r="T5" s="166" t="n"/>
      <c r="U5" s="166" t="n"/>
      <c r="V5" s="27">
        <f>SUM(J5:U5)</f>
        <v/>
      </c>
    </row>
    <row r="6">
      <c r="A6" s="14" t="n"/>
      <c r="B6" s="219" t="n"/>
      <c r="C6" s="3" t="n"/>
      <c r="D6" s="165" t="n"/>
      <c r="E6" s="703" t="n"/>
      <c r="F6" s="703" t="n"/>
      <c r="G6" s="21">
        <f>V6</f>
        <v/>
      </c>
      <c r="H6" s="21">
        <f>((SUM(S6:U6)/$H$1)*12)</f>
        <v/>
      </c>
      <c r="I6" s="3" t="n"/>
      <c r="J6" s="683" t="n"/>
      <c r="K6" s="683" t="n"/>
      <c r="L6" s="166" t="n"/>
      <c r="M6" s="166" t="n"/>
      <c r="N6" s="743" t="n"/>
      <c r="O6" s="166" t="n"/>
      <c r="P6" s="743" t="n"/>
      <c r="Q6" s="166" t="n"/>
      <c r="R6" s="166" t="n"/>
      <c r="S6" s="683" t="n"/>
      <c r="T6" s="683" t="n"/>
      <c r="U6" s="683" t="n"/>
      <c r="V6" s="27">
        <f>SUM(J6:U6)</f>
        <v/>
      </c>
    </row>
    <row r="7">
      <c r="A7" s="14" t="n"/>
      <c r="B7" s="219" t="n"/>
      <c r="C7" s="3" t="n"/>
      <c r="D7" s="165" t="n"/>
      <c r="E7" s="703" t="n"/>
      <c r="F7" s="703" t="n"/>
      <c r="G7" s="21">
        <f>V7</f>
        <v/>
      </c>
      <c r="H7" s="21">
        <f>((SUM(S7:U7)/$H$1)*12)</f>
        <v/>
      </c>
      <c r="I7" s="3" t="n"/>
      <c r="J7" s="166" t="n"/>
      <c r="K7" s="166" t="n"/>
      <c r="L7" s="166" t="n"/>
      <c r="M7" s="166" t="n"/>
      <c r="N7" s="166" t="n"/>
      <c r="O7" s="166" t="n"/>
      <c r="P7" s="743" t="n"/>
      <c r="Q7" s="166" t="n"/>
      <c r="R7" s="166" t="n"/>
      <c r="S7" s="166" t="n"/>
      <c r="T7" s="166" t="n"/>
      <c r="U7" s="166" t="n"/>
      <c r="V7" s="27">
        <f>SUM(J7:U7)</f>
        <v/>
      </c>
    </row>
    <row r="8">
      <c r="A8" s="14" t="n"/>
      <c r="B8" s="219" t="n"/>
      <c r="C8" s="3" t="n"/>
      <c r="D8" s="165" t="n"/>
      <c r="E8" s="703" t="n"/>
      <c r="F8" s="703" t="n"/>
      <c r="G8" s="21">
        <f>V8</f>
        <v/>
      </c>
      <c r="H8" s="21">
        <f>((SUM(S8:U8)/$H$1)*12)</f>
        <v/>
      </c>
      <c r="I8" s="3" t="n"/>
      <c r="J8" s="166" t="n"/>
      <c r="K8" s="166" t="n"/>
      <c r="L8" s="166" t="n"/>
      <c r="M8" s="166" t="n"/>
      <c r="N8" s="166" t="n"/>
      <c r="O8" s="166" t="n"/>
      <c r="P8" s="166" t="n"/>
      <c r="Q8" s="166" t="n"/>
      <c r="R8" s="166" t="n"/>
      <c r="S8" s="166" t="n"/>
      <c r="T8" s="166" t="n"/>
      <c r="U8" s="166" t="n"/>
      <c r="V8" s="27">
        <f>SUM(J8:U8)</f>
        <v/>
      </c>
    </row>
    <row r="9">
      <c r="A9" s="14" t="n"/>
      <c r="B9" s="219" t="n"/>
      <c r="C9" s="3" t="n"/>
      <c r="D9" s="165" t="n"/>
      <c r="E9" s="703" t="n"/>
      <c r="F9" s="703" t="n"/>
      <c r="G9" s="21">
        <f>V9</f>
        <v/>
      </c>
      <c r="H9" s="21">
        <f>((SUM(S9:U9)/$H$1)*12)</f>
        <v/>
      </c>
      <c r="I9" s="3" t="n"/>
      <c r="J9" s="166" t="n"/>
      <c r="K9" s="166" t="n"/>
      <c r="L9" s="166" t="n"/>
      <c r="M9" s="166" t="n"/>
      <c r="N9" s="166" t="n"/>
      <c r="O9" s="166" t="n"/>
      <c r="P9" s="166" t="n"/>
      <c r="Q9" s="166" t="n"/>
      <c r="R9" s="166" t="n"/>
      <c r="S9" s="166" t="n"/>
      <c r="T9" s="166" t="n"/>
      <c r="U9" s="166" t="n"/>
      <c r="V9" s="27" t="n"/>
    </row>
    <row r="10">
      <c r="A10" s="14" t="n"/>
      <c r="B10" s="668" t="n"/>
      <c r="C10" s="3" t="n"/>
      <c r="D10" s="165" t="n"/>
      <c r="E10" s="703" t="n"/>
      <c r="F10" s="703" t="n"/>
      <c r="G10" s="21">
        <f>V10</f>
        <v/>
      </c>
      <c r="H10" s="21">
        <f>((SUM(S10:U10)/$H$1)*12)</f>
        <v/>
      </c>
      <c r="I10" s="3" t="n"/>
      <c r="J10" s="166" t="n"/>
      <c r="K10" s="166" t="n"/>
      <c r="L10" s="166" t="n"/>
      <c r="M10" s="166" t="n"/>
      <c r="N10" s="166" t="n"/>
      <c r="O10" s="166" t="n"/>
      <c r="P10" s="166" t="n"/>
      <c r="Q10" s="166" t="n"/>
      <c r="R10" s="166" t="n"/>
      <c r="S10" s="166" t="n"/>
      <c r="T10" s="166" t="n"/>
      <c r="U10" s="166" t="n"/>
      <c r="V10" s="27">
        <f>SUM(J10:U10)</f>
        <v/>
      </c>
    </row>
    <row r="11">
      <c r="A11" s="14" t="n"/>
      <c r="B11" s="679" t="n"/>
      <c r="C11" s="3" t="n"/>
      <c r="D11" s="165" t="n"/>
      <c r="E11" s="704" t="n"/>
      <c r="F11" s="703" t="n"/>
      <c r="G11" s="682">
        <f>V11</f>
        <v/>
      </c>
      <c r="H11" s="21">
        <f>((SUM(S11:U11)/$H$1)*12)</f>
        <v/>
      </c>
      <c r="I11" s="3" t="n"/>
      <c r="J11" s="166" t="n"/>
      <c r="K11" s="166" t="n"/>
      <c r="L11" s="166" t="n"/>
      <c r="M11" s="166" t="n"/>
      <c r="N11" s="166" t="n"/>
      <c r="O11" s="166" t="n"/>
      <c r="P11" s="166" t="n"/>
      <c r="Q11" s="166" t="n"/>
      <c r="R11" s="166" t="n"/>
      <c r="S11" s="166" t="n"/>
      <c r="T11" s="166" t="n"/>
      <c r="U11" s="166" t="n"/>
      <c r="V11" s="27">
        <f>SUM(J11:U11)</f>
        <v/>
      </c>
    </row>
    <row r="12">
      <c r="A12" s="14" t="n"/>
      <c r="B12" s="219" t="n"/>
      <c r="C12" s="3" t="n"/>
      <c r="D12" s="165" t="n"/>
      <c r="E12" s="703" t="n"/>
      <c r="F12" s="703" t="n"/>
      <c r="G12" s="21">
        <f>V12</f>
        <v/>
      </c>
      <c r="H12" s="21">
        <f>((SUM(S12:U12)/$H$1)*12)</f>
        <v/>
      </c>
      <c r="I12" s="3" t="n"/>
      <c r="J12" s="166" t="n"/>
      <c r="K12" s="166" t="n"/>
      <c r="L12" s="166" t="n"/>
      <c r="M12" s="166" t="n"/>
      <c r="N12" s="166" t="n"/>
      <c r="O12" s="166" t="n"/>
      <c r="P12" s="166" t="n"/>
      <c r="Q12" s="166" t="n"/>
      <c r="R12" s="166" t="n"/>
      <c r="S12" s="166" t="n"/>
      <c r="T12" s="166" t="n"/>
      <c r="U12" s="166" t="n"/>
      <c r="V12" s="27" t="n"/>
    </row>
    <row r="13">
      <c r="A13" s="14" t="n"/>
      <c r="B13" s="668" t="n"/>
      <c r="C13" s="3" t="n"/>
      <c r="D13" s="165" t="n"/>
      <c r="E13" s="703" t="n"/>
      <c r="F13" s="703" t="n"/>
      <c r="G13" s="21">
        <f>V13</f>
        <v/>
      </c>
      <c r="H13" s="21">
        <f>((SUM(S13:U13)/$H$1)*12)</f>
        <v/>
      </c>
      <c r="I13" s="3" t="n"/>
      <c r="J13" s="166" t="n"/>
      <c r="K13" s="166" t="n"/>
      <c r="L13" s="166" t="n"/>
      <c r="M13" s="166" t="n"/>
      <c r="N13" s="166" t="n"/>
      <c r="O13" s="166" t="n"/>
      <c r="P13" s="166" t="n"/>
      <c r="Q13" s="166" t="n"/>
      <c r="R13" s="166" t="n"/>
      <c r="S13" s="166" t="n"/>
      <c r="T13" s="166" t="n"/>
      <c r="U13" s="166" t="n"/>
      <c r="V13" s="27">
        <f>SUM(J13:U13)</f>
        <v/>
      </c>
    </row>
    <row r="14">
      <c r="A14" s="14" t="n"/>
      <c r="B14" s="219" t="n"/>
      <c r="C14" s="3" t="n"/>
      <c r="D14" s="165" t="n"/>
      <c r="E14" s="703" t="n"/>
      <c r="F14" s="703" t="n"/>
      <c r="G14" s="21">
        <f>V14</f>
        <v/>
      </c>
      <c r="H14" s="21">
        <f>((SUM(S14:U14)/$H$1)*12)</f>
        <v/>
      </c>
      <c r="I14" s="3" t="n"/>
      <c r="J14" s="166" t="n"/>
      <c r="K14" s="166" t="n"/>
      <c r="L14" s="166" t="n"/>
      <c r="M14" s="166" t="n"/>
      <c r="N14" s="166" t="n"/>
      <c r="O14" s="166" t="n"/>
      <c r="P14" s="166" t="n"/>
      <c r="Q14" s="166" t="n"/>
      <c r="R14" s="166" t="n"/>
      <c r="S14" s="166" t="n"/>
      <c r="T14" s="166" t="n"/>
      <c r="U14" s="166" t="n"/>
      <c r="V14" s="27">
        <f>SUM(J14:U14)</f>
        <v/>
      </c>
    </row>
    <row r="15">
      <c r="A15" s="14" t="n"/>
      <c r="B15" s="219" t="n"/>
      <c r="C15" s="3" t="n"/>
      <c r="D15" s="165" t="n"/>
      <c r="E15" s="703" t="n"/>
      <c r="F15" s="703" t="n"/>
      <c r="G15" s="21">
        <f>V15</f>
        <v/>
      </c>
      <c r="H15" s="21">
        <f>((SUM(S15:U15)/$H$1)*12)</f>
        <v/>
      </c>
      <c r="I15" s="3" t="n"/>
      <c r="J15" s="166" t="n"/>
      <c r="K15" s="166" t="n"/>
      <c r="L15" s="166" t="n"/>
      <c r="M15" s="166" t="n"/>
      <c r="N15" s="166" t="n"/>
      <c r="O15" s="166" t="n"/>
      <c r="P15" s="166" t="n"/>
      <c r="Q15" s="166" t="n"/>
      <c r="R15" s="166" t="n"/>
      <c r="S15" s="166" t="n"/>
      <c r="T15" s="166" t="n"/>
      <c r="U15" s="166" t="n"/>
      <c r="V15" s="27" t="n"/>
    </row>
    <row r="16">
      <c r="A16" s="14" t="n"/>
      <c r="B16" s="668" t="n"/>
      <c r="C16" s="3" t="n"/>
      <c r="D16" s="165" t="n"/>
      <c r="E16" s="703" t="n"/>
      <c r="F16" s="703" t="n"/>
      <c r="G16" s="21">
        <f>V16</f>
        <v/>
      </c>
      <c r="H16" s="21">
        <f>((SUM(S16:U16)/$H$1)*12)</f>
        <v/>
      </c>
      <c r="I16" s="3" t="n"/>
      <c r="J16" s="166" t="n"/>
      <c r="K16" s="166" t="n"/>
      <c r="L16" s="166" t="n"/>
      <c r="M16" s="166" t="n"/>
      <c r="N16" s="166" t="n"/>
      <c r="O16" s="166" t="n"/>
      <c r="P16" s="166" t="n"/>
      <c r="Q16" s="166" t="n"/>
      <c r="R16" s="166" t="n"/>
      <c r="S16" s="166" t="n"/>
      <c r="T16" s="166" t="n"/>
      <c r="U16" s="166" t="n"/>
      <c r="V16" s="27">
        <f>SUM(J16:U16)</f>
        <v/>
      </c>
    </row>
    <row r="17">
      <c r="A17" s="14" t="n"/>
      <c r="B17" s="219" t="n"/>
      <c r="C17" s="3" t="n"/>
      <c r="D17" s="165" t="n"/>
      <c r="E17" s="703" t="n"/>
      <c r="F17" s="703" t="n"/>
      <c r="G17" s="21">
        <f>V17</f>
        <v/>
      </c>
      <c r="H17" s="21">
        <f>((SUM(S17:U17)/$H$1)*12)</f>
        <v/>
      </c>
      <c r="I17" s="3" t="n"/>
      <c r="J17" s="166" t="n"/>
      <c r="K17" s="166" t="n"/>
      <c r="L17" s="166" t="n"/>
      <c r="M17" s="166" t="n"/>
      <c r="N17" s="166" t="n"/>
      <c r="O17" s="166" t="n"/>
      <c r="P17" s="166" t="n"/>
      <c r="Q17" s="166" t="n"/>
      <c r="R17" s="166" t="n"/>
      <c r="S17" s="166" t="n"/>
      <c r="T17" s="166" t="n"/>
      <c r="U17" s="166" t="n"/>
      <c r="V17" s="27">
        <f>SUM(J17:U17)</f>
        <v/>
      </c>
    </row>
    <row r="18">
      <c r="A18" s="14" t="n"/>
      <c r="B18" s="219" t="n"/>
      <c r="C18" s="3" t="n"/>
      <c r="D18" s="165" t="n"/>
      <c r="E18" s="703" t="n"/>
      <c r="F18" s="703" t="n"/>
      <c r="G18" s="21">
        <f>V18</f>
        <v/>
      </c>
      <c r="H18" s="21">
        <f>((SUM(S18:U18)/$H$1)*12)</f>
        <v/>
      </c>
      <c r="I18" s="3" t="n"/>
      <c r="J18" s="166" t="n"/>
      <c r="K18" s="166" t="n"/>
      <c r="L18" s="166" t="n"/>
      <c r="M18" s="166" t="n"/>
      <c r="N18" s="166" t="n"/>
      <c r="O18" s="166" t="n"/>
      <c r="P18" s="166" t="n"/>
      <c r="Q18" s="166" t="n"/>
      <c r="R18" s="166" t="n"/>
      <c r="S18" s="166" t="n"/>
      <c r="T18" s="166" t="n"/>
      <c r="U18" s="166" t="n"/>
      <c r="V18" s="27">
        <f>SUM(J18:U18)</f>
        <v/>
      </c>
    </row>
    <row r="19">
      <c r="A19" s="14" t="n"/>
      <c r="B19" s="219" t="n"/>
      <c r="C19" s="3" t="n"/>
      <c r="D19" s="165" t="n"/>
      <c r="E19" s="703" t="n"/>
      <c r="F19" s="703" t="n"/>
      <c r="G19" s="21">
        <f>V19</f>
        <v/>
      </c>
      <c r="H19" s="21">
        <f>((SUM(S19:U19)/$H$1)*12)</f>
        <v/>
      </c>
      <c r="I19" s="3" t="n"/>
      <c r="J19" s="166" t="n"/>
      <c r="K19" s="166" t="n"/>
      <c r="L19" s="166" t="n"/>
      <c r="M19" s="166" t="n"/>
      <c r="N19" s="166" t="n"/>
      <c r="O19" s="166" t="n"/>
      <c r="P19" s="166" t="n"/>
      <c r="Q19" s="166" t="n"/>
      <c r="R19" s="166" t="n"/>
      <c r="S19" s="166" t="n"/>
      <c r="T19" s="166" t="n"/>
      <c r="U19" s="166" t="n"/>
      <c r="V19" s="27">
        <f>SUM(J19:U19)</f>
        <v/>
      </c>
    </row>
    <row r="20">
      <c r="A20" s="14" t="n"/>
      <c r="B20" s="219" t="n"/>
      <c r="C20" s="3" t="n"/>
      <c r="D20" s="165" t="n"/>
      <c r="E20" s="703" t="n"/>
      <c r="F20" s="703" t="n"/>
      <c r="G20" s="21">
        <f>V20</f>
        <v/>
      </c>
      <c r="H20" s="21">
        <f>((SUM(S20:U20)/$H$1)*12)</f>
        <v/>
      </c>
      <c r="I20" s="3" t="n"/>
      <c r="J20" s="166" t="n"/>
      <c r="K20" s="166" t="n"/>
      <c r="L20" s="166" t="n"/>
      <c r="M20" s="166" t="n"/>
      <c r="N20" s="166" t="n"/>
      <c r="O20" s="166" t="n"/>
      <c r="P20" s="166" t="n"/>
      <c r="Q20" s="166" t="n"/>
      <c r="R20" s="166" t="n"/>
      <c r="S20" s="166" t="n"/>
      <c r="T20" s="166" t="n"/>
      <c r="U20" s="166" t="n"/>
      <c r="V20" s="27" t="n"/>
    </row>
    <row r="21">
      <c r="A21" s="14" t="n"/>
      <c r="B21" s="668" t="n"/>
      <c r="C21" s="3" t="n"/>
      <c r="D21" s="165" t="n"/>
      <c r="E21" s="703" t="n"/>
      <c r="F21" s="703" t="n"/>
      <c r="G21" s="21">
        <f>V21</f>
        <v/>
      </c>
      <c r="H21" s="21">
        <f>((SUM(S21:U21)/$H$1)*12)</f>
        <v/>
      </c>
      <c r="I21" s="3" t="n"/>
      <c r="J21" s="166" t="n"/>
      <c r="K21" s="166" t="n"/>
      <c r="L21" s="166" t="n"/>
      <c r="M21" s="166" t="n"/>
      <c r="N21" s="166" t="n"/>
      <c r="O21" s="166" t="n"/>
      <c r="P21" s="166" t="n"/>
      <c r="Q21" s="166" t="n"/>
      <c r="R21" s="166" t="n"/>
      <c r="S21" s="166" t="n"/>
      <c r="T21" s="166" t="n"/>
      <c r="U21" s="166" t="n"/>
      <c r="V21" s="27">
        <f>SUM(J21:U21)</f>
        <v/>
      </c>
    </row>
    <row r="22">
      <c r="A22" s="14" t="n"/>
      <c r="B22" s="219" t="n"/>
      <c r="C22" s="3" t="n"/>
      <c r="D22" s="165" t="n"/>
      <c r="E22" s="703" t="n"/>
      <c r="F22" s="703" t="n"/>
      <c r="G22" s="21">
        <f>V22</f>
        <v/>
      </c>
      <c r="H22" s="21">
        <f>((SUM(S22:U22)/$H$1)*12)</f>
        <v/>
      </c>
      <c r="I22" s="3" t="n"/>
      <c r="J22" s="166" t="n"/>
      <c r="K22" s="166" t="n"/>
      <c r="L22" s="166" t="n"/>
      <c r="M22" s="166" t="n"/>
      <c r="N22" s="166" t="n"/>
      <c r="O22" s="166" t="n"/>
      <c r="P22" s="166" t="n"/>
      <c r="Q22" s="166" t="n"/>
      <c r="R22" s="166" t="n"/>
      <c r="S22" s="166" t="n"/>
      <c r="T22" s="166" t="n"/>
      <c r="U22" s="166" t="n"/>
      <c r="V22" s="27" t="n"/>
    </row>
    <row r="23">
      <c r="A23" s="14" t="n"/>
      <c r="B23" s="219" t="n"/>
      <c r="C23" s="3" t="n"/>
      <c r="D23" s="165" t="n"/>
      <c r="E23" s="703" t="n"/>
      <c r="F23" s="703" t="n"/>
      <c r="G23" s="21">
        <f>V23</f>
        <v/>
      </c>
      <c r="H23" s="21">
        <f>((SUM(S23:U23)/$H$1)*12)</f>
        <v/>
      </c>
      <c r="I23" s="3" t="n"/>
      <c r="J23" s="166" t="n"/>
      <c r="K23" s="166" t="n"/>
      <c r="L23" s="166" t="n"/>
      <c r="M23" s="166" t="n"/>
      <c r="N23" s="166" t="n"/>
      <c r="O23" s="166" t="n"/>
      <c r="P23" s="166" t="n"/>
      <c r="Q23" s="166" t="n"/>
      <c r="R23" s="166" t="n"/>
      <c r="S23" s="166" t="n"/>
      <c r="T23" s="166" t="n"/>
      <c r="U23" s="166" t="n"/>
      <c r="V23" s="27">
        <f>SUM(J23:U23)</f>
        <v/>
      </c>
    </row>
    <row r="24">
      <c r="A24" s="14" t="n"/>
      <c r="B24" s="219" t="n"/>
      <c r="C24" s="3" t="n"/>
      <c r="D24" s="165" t="n"/>
      <c r="E24" s="703" t="n"/>
      <c r="F24" s="703" t="n"/>
      <c r="G24" s="21">
        <f>V24</f>
        <v/>
      </c>
      <c r="H24" s="21">
        <f>((SUM(S24:U24)/$H$1)*12)</f>
        <v/>
      </c>
      <c r="I24" s="3" t="n"/>
      <c r="J24" s="166" t="n"/>
      <c r="K24" s="166" t="n"/>
      <c r="L24" s="166" t="n"/>
      <c r="M24" s="166" t="n"/>
      <c r="N24" s="166" t="n"/>
      <c r="O24" s="166" t="n"/>
      <c r="P24" s="166" t="n"/>
      <c r="Q24" s="166" t="n"/>
      <c r="R24" s="166" t="n"/>
      <c r="S24" s="166" t="n"/>
      <c r="T24" s="166" t="n"/>
      <c r="U24" s="166" t="n"/>
      <c r="V24" s="27">
        <f>SUM(J24:U24)</f>
        <v/>
      </c>
    </row>
    <row r="25">
      <c r="A25" s="14" t="n"/>
      <c r="B25" s="219" t="n"/>
      <c r="C25" s="3" t="n"/>
      <c r="D25" s="165" t="n"/>
      <c r="E25" s="703" t="n"/>
      <c r="F25" s="703" t="n"/>
      <c r="G25" s="21">
        <f>V25</f>
        <v/>
      </c>
      <c r="H25" s="21">
        <f>((SUM(S25:U25)/$H$1)*12)</f>
        <v/>
      </c>
      <c r="I25" s="3" t="n"/>
      <c r="J25" s="166" t="n"/>
      <c r="K25" s="166" t="n"/>
      <c r="L25" s="166" t="n"/>
      <c r="M25" s="166" t="n"/>
      <c r="N25" s="166" t="n"/>
      <c r="O25" s="166" t="n"/>
      <c r="P25" s="166" t="n"/>
      <c r="Q25" s="166" t="n"/>
      <c r="R25" s="166" t="n"/>
      <c r="S25" s="166" t="n"/>
      <c r="T25" s="166" t="n"/>
      <c r="U25" s="166" t="n"/>
      <c r="V25" s="27">
        <f>SUM(J25:U25)</f>
        <v/>
      </c>
    </row>
    <row r="26">
      <c r="A26" s="14" t="n"/>
      <c r="B26" s="679" t="n"/>
      <c r="C26" s="3" t="n"/>
      <c r="D26" s="165" t="n"/>
      <c r="E26" s="704" t="n"/>
      <c r="F26" s="704" t="n"/>
      <c r="G26" s="682">
        <f>V26</f>
        <v/>
      </c>
      <c r="H26" s="21">
        <f>((SUM(S26:U26)/$H$1)*12)</f>
        <v/>
      </c>
      <c r="I26" s="3" t="n"/>
      <c r="J26" s="166" t="n"/>
      <c r="K26" s="166" t="n"/>
      <c r="L26" s="166" t="n"/>
      <c r="M26" s="166" t="n"/>
      <c r="N26" s="166" t="n"/>
      <c r="O26" s="166" t="n"/>
      <c r="P26" s="166" t="n"/>
      <c r="Q26" s="166" t="n"/>
      <c r="R26" s="166" t="n"/>
      <c r="S26" s="166" t="n"/>
      <c r="T26" s="166" t="n"/>
      <c r="U26" s="166" t="n"/>
      <c r="V26" s="27">
        <f>SUM(J26:U26)</f>
        <v/>
      </c>
    </row>
    <row r="27">
      <c r="A27" s="14" t="n"/>
      <c r="B27" s="219" t="n"/>
      <c r="C27" s="3" t="n"/>
      <c r="D27" s="165" t="n"/>
      <c r="E27" s="703" t="n"/>
      <c r="F27" s="703" t="n"/>
      <c r="G27" s="21">
        <f>V27</f>
        <v/>
      </c>
      <c r="H27" s="21">
        <f>((SUM(S27:U27)/$H$1)*12)</f>
        <v/>
      </c>
      <c r="I27" s="3" t="n"/>
      <c r="J27" s="166" t="n"/>
      <c r="K27" s="166" t="n"/>
      <c r="L27" s="166" t="n"/>
      <c r="M27" s="166" t="n"/>
      <c r="N27" s="166" t="n"/>
      <c r="O27" s="166" t="n"/>
      <c r="P27" s="166" t="n"/>
      <c r="Q27" s="166" t="n"/>
      <c r="R27" s="166" t="n"/>
      <c r="S27" s="166" t="n"/>
      <c r="T27" s="166" t="n"/>
      <c r="U27" s="166" t="n"/>
      <c r="V27" s="27">
        <f>SUM(J27:U27)</f>
        <v/>
      </c>
    </row>
    <row r="28">
      <c r="A28" s="14" t="n"/>
      <c r="B28" s="133" t="n"/>
      <c r="C28" s="3" t="n"/>
      <c r="D28" s="165" t="n"/>
      <c r="E28" s="703" t="n"/>
      <c r="F28" s="703" t="n"/>
      <c r="G28" s="21">
        <f>V28</f>
        <v/>
      </c>
      <c r="H28" s="21">
        <f>((SUM(S28:U28)/$H$1)*12)</f>
        <v/>
      </c>
      <c r="I28" s="3" t="n"/>
      <c r="J28" s="166" t="n"/>
      <c r="K28" s="166" t="n"/>
      <c r="L28" s="166" t="n"/>
      <c r="M28" s="166" t="n"/>
      <c r="N28" s="166" t="n"/>
      <c r="O28" s="166" t="n"/>
      <c r="P28" s="166" t="n"/>
      <c r="Q28" s="166" t="n"/>
      <c r="R28" s="166" t="n"/>
      <c r="S28" s="166" t="n"/>
      <c r="T28" s="166" t="n"/>
      <c r="U28" s="166" t="n"/>
      <c r="V28" s="27">
        <f>SUM(J28:U28)</f>
        <v/>
      </c>
    </row>
    <row r="29">
      <c r="A29" s="14" t="n"/>
      <c r="B29" s="133" t="n"/>
      <c r="C29" s="3" t="n"/>
      <c r="D29" s="165" t="n"/>
      <c r="E29" s="703" t="n"/>
      <c r="F29" s="703" t="n"/>
      <c r="G29" s="21">
        <f>V29</f>
        <v/>
      </c>
      <c r="H29" s="21">
        <f>((SUM(S29:U29)/$H$1)*12)</f>
        <v/>
      </c>
      <c r="I29" s="3" t="n"/>
      <c r="J29" s="166" t="n"/>
      <c r="K29" s="166" t="n"/>
      <c r="L29" s="166" t="n"/>
      <c r="M29" s="166" t="n"/>
      <c r="N29" s="166" t="n"/>
      <c r="O29" s="166" t="n"/>
      <c r="P29" s="166" t="n"/>
      <c r="Q29" s="166" t="n"/>
      <c r="R29" s="166" t="n"/>
      <c r="S29" s="166" t="n"/>
      <c r="T29" s="166" t="n"/>
      <c r="U29" s="166" t="n"/>
      <c r="V29" s="27">
        <f>SUM(J29:U29)</f>
        <v/>
      </c>
    </row>
    <row r="30">
      <c r="A30" s="14" t="n"/>
      <c r="B30" s="133" t="n"/>
      <c r="C30" s="3" t="n"/>
      <c r="D30" s="165" t="n"/>
      <c r="E30" s="703" t="n"/>
      <c r="F30" s="703" t="n"/>
      <c r="G30" s="21">
        <f>V30</f>
        <v/>
      </c>
      <c r="H30" s="21">
        <f>((SUM(S30:U30)/$H$1)*12)</f>
        <v/>
      </c>
      <c r="I30" s="3" t="n"/>
      <c r="J30" s="166" t="n"/>
      <c r="K30" s="166" t="n"/>
      <c r="L30" s="166" t="n"/>
      <c r="M30" s="166" t="n"/>
      <c r="N30" s="166" t="n"/>
      <c r="O30" s="166" t="n"/>
      <c r="P30" s="166" t="n"/>
      <c r="Q30" s="166" t="n"/>
      <c r="R30" s="166" t="n"/>
      <c r="S30" s="166" t="n"/>
      <c r="T30" s="166" t="n"/>
      <c r="U30" s="166" t="n"/>
      <c r="V30" s="27">
        <f>SUM(J30:U30)</f>
        <v/>
      </c>
    </row>
    <row r="31">
      <c r="A31" s="14" t="n"/>
      <c r="B31" s="133" t="n"/>
      <c r="C31" s="3" t="n"/>
      <c r="D31" s="165" t="n"/>
      <c r="E31" s="703" t="n"/>
      <c r="F31" s="703" t="n"/>
      <c r="G31" s="21">
        <f>V31</f>
        <v/>
      </c>
      <c r="H31" s="21">
        <f>((SUM(S31:U31)/$H$1)*12)</f>
        <v/>
      </c>
      <c r="I31" s="3" t="n"/>
      <c r="J31" s="166" t="n"/>
      <c r="K31" s="166" t="n"/>
      <c r="L31" s="166" t="n"/>
      <c r="M31" s="166" t="n"/>
      <c r="N31" s="166" t="n"/>
      <c r="O31" s="166" t="n"/>
      <c r="P31" s="166" t="n"/>
      <c r="Q31" s="166" t="n"/>
      <c r="R31" s="166" t="n"/>
      <c r="S31" s="166" t="n"/>
      <c r="T31" s="166" t="n"/>
      <c r="U31" s="166" t="n"/>
      <c r="V31" s="27">
        <f>SUM(J31:U31)</f>
        <v/>
      </c>
    </row>
    <row r="32">
      <c r="A32" s="14" t="n"/>
      <c r="B32" s="668" t="n"/>
      <c r="C32" s="3" t="n"/>
      <c r="D32" s="31" t="n"/>
      <c r="E32" s="31" t="n"/>
      <c r="F32" s="31" t="n"/>
      <c r="G32" s="21">
        <f>V32</f>
        <v/>
      </c>
      <c r="H32" s="21">
        <f>((SUM(S32:U32)/$H$1)*12)</f>
        <v/>
      </c>
      <c r="I32" s="3" t="n"/>
      <c r="J32" s="31" t="n"/>
      <c r="K32" s="31" t="n"/>
      <c r="L32" s="31" t="n"/>
      <c r="M32" s="31" t="n"/>
      <c r="N32" s="31" t="n"/>
      <c r="O32" s="31" t="n"/>
      <c r="P32" s="31" t="n"/>
      <c r="Q32" s="31" t="n"/>
      <c r="R32" s="31" t="n"/>
      <c r="S32" s="31" t="n"/>
      <c r="T32" s="31" t="n"/>
      <c r="U32" s="31" t="n"/>
      <c r="V32" s="27">
        <f>SUM(J32:U32)</f>
        <v/>
      </c>
    </row>
    <row r="33">
      <c r="A33" s="14" t="n"/>
      <c r="B33" s="133" t="n"/>
      <c r="C33" s="3" t="n"/>
      <c r="D33" s="165" t="n"/>
      <c r="E33" s="703" t="n"/>
      <c r="F33" s="703" t="n"/>
      <c r="G33" s="21">
        <f>V33</f>
        <v/>
      </c>
      <c r="H33" s="21">
        <f>((SUM(S33:U33)/$H$1)*12)</f>
        <v/>
      </c>
      <c r="I33" s="3" t="n"/>
      <c r="J33" s="166" t="n"/>
      <c r="K33" s="166" t="n"/>
      <c r="L33" s="166" t="n"/>
      <c r="M33" s="166" t="n"/>
      <c r="N33" s="166" t="n"/>
      <c r="O33" s="166" t="n"/>
      <c r="P33" s="166" t="n"/>
      <c r="Q33" s="166" t="n"/>
      <c r="R33" s="166" t="n"/>
      <c r="S33" s="166" t="n"/>
      <c r="T33" s="166" t="n"/>
      <c r="U33" s="166" t="n"/>
      <c r="V33" s="27">
        <f>SUM(J33:U33)</f>
        <v/>
      </c>
    </row>
    <row r="34">
      <c r="A34" s="14" t="n"/>
      <c r="B34" s="133" t="n"/>
      <c r="C34" s="3" t="n"/>
      <c r="D34" s="165" t="n"/>
      <c r="E34" s="703" t="n"/>
      <c r="F34" s="703" t="n"/>
      <c r="G34" s="21">
        <f>V34</f>
        <v/>
      </c>
      <c r="H34" s="21">
        <f>((SUM(S34:U34)/$H$1)*12)</f>
        <v/>
      </c>
      <c r="I34" s="3" t="n"/>
      <c r="J34" s="166" t="n"/>
      <c r="K34" s="166" t="n"/>
      <c r="L34" s="166" t="n"/>
      <c r="M34" s="166" t="n"/>
      <c r="N34" s="166" t="n"/>
      <c r="O34" s="166" t="n"/>
      <c r="P34" s="166" t="n"/>
      <c r="Q34" s="166" t="n"/>
      <c r="R34" s="166" t="n"/>
      <c r="S34" s="166" t="n"/>
      <c r="T34" s="166" t="n"/>
      <c r="U34" s="166" t="n"/>
      <c r="V34" s="27">
        <f>SUM(J34:U34)</f>
        <v/>
      </c>
    </row>
    <row r="35">
      <c r="A35" s="14" t="n"/>
      <c r="B35" s="133" t="n"/>
      <c r="C35" s="3" t="n"/>
      <c r="D35" s="165" t="n"/>
      <c r="E35" s="703" t="n"/>
      <c r="F35" s="703" t="n"/>
      <c r="G35" s="21">
        <f>V35</f>
        <v/>
      </c>
      <c r="H35" s="21">
        <f>((SUM(S35:U35)/$H$1)*12)</f>
        <v/>
      </c>
      <c r="I35" s="3" t="n"/>
      <c r="J35" s="166" t="n"/>
      <c r="K35" s="166" t="n"/>
      <c r="L35" s="166" t="n"/>
      <c r="M35" s="166" t="n"/>
      <c r="N35" s="166" t="n"/>
      <c r="O35" s="166" t="n"/>
      <c r="P35" s="166" t="n"/>
      <c r="Q35" s="166" t="n"/>
      <c r="R35" s="166" t="n"/>
      <c r="S35" s="166" t="n"/>
      <c r="T35" s="166" t="n"/>
      <c r="U35" s="166" t="n"/>
      <c r="V35" s="27">
        <f>SUM(J35:U35)</f>
        <v/>
      </c>
    </row>
    <row r="36">
      <c r="A36" s="14" t="n"/>
      <c r="B36" s="133" t="n"/>
      <c r="C36" s="3" t="n"/>
      <c r="D36" s="165" t="n"/>
      <c r="E36" s="703" t="n"/>
      <c r="F36" s="703" t="n"/>
      <c r="G36" s="21">
        <f>V36</f>
        <v/>
      </c>
      <c r="H36" s="21">
        <f>((SUM(S36:U36)/$H$1)*12)</f>
        <v/>
      </c>
      <c r="I36" s="3" t="n"/>
      <c r="J36" s="166" t="n"/>
      <c r="K36" s="166" t="n"/>
      <c r="L36" s="166" t="n"/>
      <c r="M36" s="166" t="n"/>
      <c r="N36" s="166" t="n"/>
      <c r="O36" s="166" t="n"/>
      <c r="P36" s="166" t="n"/>
      <c r="Q36" s="166" t="n"/>
      <c r="R36" s="166" t="n"/>
      <c r="S36" s="166" t="n"/>
      <c r="T36" s="166" t="n"/>
      <c r="U36" s="166" t="n"/>
      <c r="V36" s="27">
        <f>SUM(J36:U36)</f>
        <v/>
      </c>
    </row>
    <row r="37" ht="4.5" customFormat="1" customHeight="1" s="3">
      <c r="E37" s="20" t="n"/>
      <c r="F37" s="20" t="n"/>
      <c r="G37" s="20" t="n"/>
      <c r="H37" s="20">
        <f>F37*4</f>
        <v/>
      </c>
      <c r="J37" s="20" t="n"/>
      <c r="K37" s="20" t="n"/>
      <c r="L37" s="20" t="n"/>
      <c r="M37" s="20" t="n"/>
      <c r="N37" s="20" t="n"/>
      <c r="O37" s="20" t="n"/>
      <c r="P37" s="20" t="n"/>
      <c r="Q37" s="20" t="n"/>
      <c r="R37" s="20" t="n"/>
      <c r="S37" s="20" t="n"/>
      <c r="T37" s="20" t="n"/>
      <c r="U37" s="20" t="n"/>
      <c r="V37" s="28" t="n"/>
      <c r="W37" s="59" t="n"/>
      <c r="X37" s="59" t="n"/>
      <c r="Y37" s="59" t="n"/>
      <c r="Z37" s="59" t="n"/>
      <c r="AA37" s="59" t="n"/>
      <c r="AB37" s="59"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row>
    <row r="38" ht="16.5" customHeight="1">
      <c r="A38" s="59" t="n"/>
      <c r="B38" s="59" t="n"/>
      <c r="C38" s="3" t="n"/>
      <c r="D38" s="26">
        <f>SUM(D3:D36)</f>
        <v/>
      </c>
      <c r="E38" s="26">
        <f>SUM(E3:E36)</f>
        <v/>
      </c>
      <c r="F38" s="26">
        <f>SUM(F3:F36)</f>
        <v/>
      </c>
      <c r="G38" s="26">
        <f>SUM(G3:G36)</f>
        <v/>
      </c>
      <c r="H38" s="26">
        <f>SUM(H3:H36)</f>
        <v/>
      </c>
      <c r="I38" s="3">
        <f>SUM(I3:I36)</f>
        <v/>
      </c>
      <c r="J38" s="26">
        <f>SUM(J3:J36)</f>
        <v/>
      </c>
      <c r="K38" s="26">
        <f>SUM(K3:K36)</f>
        <v/>
      </c>
      <c r="L38" s="26">
        <f>SUM(L3:L36)</f>
        <v/>
      </c>
      <c r="M38" s="26">
        <f>SUM(M3:M36)</f>
        <v/>
      </c>
      <c r="N38" s="26">
        <f>SUM(N3:N36)</f>
        <v/>
      </c>
      <c r="O38" s="26">
        <f>SUM(O3:O36)</f>
        <v/>
      </c>
      <c r="P38" s="26">
        <f>SUM(P3:P36)</f>
        <v/>
      </c>
      <c r="Q38" s="26">
        <f>SUM(Q3:Q36)</f>
        <v/>
      </c>
      <c r="R38" s="26">
        <f>SUM(R3:R36)</f>
        <v/>
      </c>
      <c r="S38" s="26">
        <f>SUM(S3:S36)</f>
        <v/>
      </c>
      <c r="T38" s="26">
        <f>SUM(T3:T36)</f>
        <v/>
      </c>
      <c r="U38" s="26">
        <f>SUM(U3:U36)</f>
        <v/>
      </c>
      <c r="V38" s="26">
        <f>SUM(V3:V36)</f>
        <v/>
      </c>
    </row>
    <row r="39" ht="17.25" customHeight="1">
      <c r="A39" s="59" t="n"/>
      <c r="B39" s="17" t="inlineStr">
        <is>
          <t>Input Source Data</t>
        </is>
      </c>
      <c r="C39" s="3" t="n"/>
      <c r="D39" s="11" t="n"/>
      <c r="E39" s="705" t="n">
        <v>1402226.19</v>
      </c>
      <c r="F39" s="11" t="n">
        <v>1664626.75</v>
      </c>
      <c r="G39" s="11">
        <f>V39</f>
        <v/>
      </c>
      <c r="H39" s="11" t="n"/>
      <c r="I39" s="3" t="n"/>
      <c r="J39" s="12" t="n">
        <v>114720.75</v>
      </c>
      <c r="K39" s="12" t="n">
        <v>107550.46</v>
      </c>
      <c r="L39" s="12" t="n">
        <v>121641.72</v>
      </c>
      <c r="M39" s="12" t="n">
        <v>118555.86</v>
      </c>
      <c r="N39" s="12" t="n">
        <v>126952.53</v>
      </c>
      <c r="O39" s="12" t="n">
        <v>120306.68</v>
      </c>
      <c r="P39" s="12" t="n">
        <v>114566.33</v>
      </c>
      <c r="Q39" s="12" t="n">
        <v>121003.04</v>
      </c>
      <c r="R39" s="12" t="n">
        <v>121803.12</v>
      </c>
      <c r="S39" s="12" t="n">
        <v>121287.69</v>
      </c>
      <c r="T39" s="12" t="n">
        <v>119602.05</v>
      </c>
      <c r="U39" s="12" t="n">
        <v>117709</v>
      </c>
      <c r="V39" s="29" t="n">
        <v>1425699.23</v>
      </c>
    </row>
    <row r="40">
      <c r="A40" s="59" t="n"/>
      <c r="B40" s="16" t="inlineStr">
        <is>
          <t>Check</t>
        </is>
      </c>
      <c r="C40" s="3" t="n"/>
      <c r="D40" s="9">
        <f>IF(D38=D39,"OK")</f>
        <v/>
      </c>
      <c r="E40" s="9">
        <f>IF(E38=E39,"OK")</f>
        <v/>
      </c>
      <c r="F40" s="9">
        <f>IF(F38=F39,"OK")</f>
        <v/>
      </c>
      <c r="G40" s="9">
        <f>IF(G38=G39,"OK")</f>
        <v/>
      </c>
      <c r="H40" s="9" t="inlineStr">
        <is>
          <t>N/A</t>
        </is>
      </c>
      <c r="I40" s="3" t="n"/>
      <c r="J40" s="32">
        <f>IF(J38=J39,"OK")</f>
        <v/>
      </c>
      <c r="K40" s="32">
        <f>IF(K38=K39,"OK")</f>
        <v/>
      </c>
      <c r="L40" s="32">
        <f>IF(L38=L39,"OK")</f>
        <v/>
      </c>
      <c r="M40" s="32">
        <f>IF(M38=M39,"OK")</f>
        <v/>
      </c>
      <c r="N40" s="32">
        <f>IF(N38=N39,"OK")</f>
        <v/>
      </c>
      <c r="O40" s="32">
        <f>IF(O38=O39,"OK")</f>
        <v/>
      </c>
      <c r="P40" s="32">
        <f>IF(P38=P39,"OK")</f>
        <v/>
      </c>
      <c r="Q40" s="32">
        <f>IF(Q38=Q39,"OK")</f>
        <v/>
      </c>
      <c r="R40" s="32">
        <f>IF(R38=R39,"OK")</f>
        <v/>
      </c>
      <c r="S40" s="32">
        <f>IF(S38=S39,"OK")</f>
        <v/>
      </c>
      <c r="T40" s="32">
        <f>IF(T38=T39,"OK")</f>
        <v/>
      </c>
      <c r="U40" s="32">
        <f>IF(U38=U39,"OK")</f>
        <v/>
      </c>
      <c r="V40" s="32">
        <f>IF(V38=V39,"OK")</f>
        <v/>
      </c>
    </row>
    <row r="41" ht="6.75" customHeight="1" thickBot="1">
      <c r="A41" s="3" t="n"/>
      <c r="B41" s="3" t="n"/>
      <c r="C41" s="3" t="n"/>
      <c r="D41" s="3" t="n"/>
      <c r="E41" s="20" t="n"/>
      <c r="F41" s="20" t="n"/>
      <c r="G41" s="3" t="n"/>
      <c r="H41" s="3" t="n"/>
      <c r="I41" s="3" t="n"/>
      <c r="J41" s="3" t="n"/>
      <c r="K41" s="3" t="n"/>
      <c r="L41" s="3" t="n"/>
      <c r="M41" s="3" t="n"/>
      <c r="N41" s="3" t="n"/>
      <c r="O41" s="3" t="n"/>
      <c r="P41" s="3" t="n"/>
      <c r="Q41" s="3" t="n"/>
      <c r="R41" s="3" t="n"/>
      <c r="S41" s="3" t="n"/>
      <c r="T41" s="3" t="n"/>
      <c r="U41" s="3" t="n"/>
      <c r="V41" s="30" t="n"/>
    </row>
    <row r="42" ht="13.5" customHeight="1" thickBot="1">
      <c r="A42" s="15" t="inlineStr">
        <is>
          <t>Choose Expense Category</t>
        </is>
      </c>
      <c r="B42" s="15" t="inlineStr">
        <is>
          <t>Input Source Data</t>
        </is>
      </c>
      <c r="C42" s="2" t="n"/>
      <c r="D42" s="712" t="inlineStr">
        <is>
          <t>Input Source Epense Data</t>
        </is>
      </c>
      <c r="F42" s="712" t="n"/>
      <c r="G42" s="18" t="n"/>
      <c r="H42" s="19">
        <f>H1</f>
        <v/>
      </c>
      <c r="I42" s="3" t="n"/>
      <c r="J42" s="22">
        <f>J2</f>
        <v/>
      </c>
      <c r="K42" s="22">
        <f>K2</f>
        <v/>
      </c>
      <c r="L42" s="22">
        <f>L2</f>
        <v/>
      </c>
      <c r="M42" s="22">
        <f>M2</f>
        <v/>
      </c>
      <c r="N42" s="22">
        <f>N2</f>
        <v/>
      </c>
      <c r="O42" s="22">
        <f>O2</f>
        <v/>
      </c>
      <c r="P42" s="22">
        <f>P2</f>
        <v/>
      </c>
      <c r="Q42" s="22">
        <f>Q2</f>
        <v/>
      </c>
      <c r="R42" s="22">
        <f>R2</f>
        <v/>
      </c>
      <c r="S42" s="22">
        <f>S2</f>
        <v/>
      </c>
      <c r="T42" s="22">
        <f>T2</f>
        <v/>
      </c>
      <c r="U42" s="22">
        <f>U2</f>
        <v/>
      </c>
      <c r="V42" s="8" t="inlineStr">
        <is>
          <t>Total</t>
        </is>
      </c>
    </row>
    <row r="43">
      <c r="A43" s="14" t="n"/>
      <c r="B43" s="133" t="n"/>
      <c r="C43" s="3" t="n"/>
      <c r="D43" s="133" t="n"/>
      <c r="E43" s="677" t="n"/>
      <c r="F43" s="31" t="n"/>
      <c r="G43" s="23">
        <f>V43</f>
        <v/>
      </c>
      <c r="H43" s="21">
        <f>((SUM(S43:U43)/$H$1)*12)</f>
        <v/>
      </c>
      <c r="I43" s="3" t="n"/>
      <c r="J43" s="31" t="n"/>
      <c r="K43" s="31" t="n"/>
      <c r="L43" s="31" t="n"/>
      <c r="M43" s="31" t="n"/>
      <c r="N43" s="31" t="n"/>
      <c r="O43" s="31" t="n"/>
      <c r="P43" s="31" t="n"/>
      <c r="Q43" s="31" t="n"/>
      <c r="R43" s="31" t="n"/>
      <c r="S43" s="31" t="n"/>
      <c r="T43" s="31" t="n"/>
      <c r="U43" s="31" t="n"/>
      <c r="V43" s="27">
        <f>SUM(J43:U43)</f>
        <v/>
      </c>
    </row>
    <row r="44">
      <c r="A44" s="14" t="n"/>
      <c r="B44" s="133" t="n"/>
      <c r="C44" s="3" t="n"/>
      <c r="D44" s="31" t="n"/>
      <c r="E44" s="31" t="n"/>
      <c r="F44" s="31" t="n"/>
      <c r="G44" s="23">
        <f>V44</f>
        <v/>
      </c>
      <c r="H44" s="21">
        <f>((SUM(S44:U44)/$H$1)*12)</f>
        <v/>
      </c>
      <c r="I44" s="3" t="n"/>
      <c r="J44" s="31" t="n"/>
      <c r="K44" s="31" t="n"/>
      <c r="L44" s="31" t="n"/>
      <c r="M44" s="31" t="n"/>
      <c r="N44" s="31" t="n"/>
      <c r="O44" s="31" t="n"/>
      <c r="P44" s="31" t="n"/>
      <c r="Q44" s="31" t="n"/>
      <c r="R44" s="31" t="n"/>
      <c r="S44" s="31" t="n"/>
      <c r="T44" s="31" t="n"/>
      <c r="U44" s="31" t="n"/>
      <c r="V44" s="27">
        <f>SUM(J44:U44)</f>
        <v/>
      </c>
    </row>
    <row r="45">
      <c r="A45" s="14" t="n"/>
      <c r="B45" s="133" t="n"/>
      <c r="C45" s="3" t="n"/>
      <c r="D45" s="31" t="n"/>
      <c r="E45" s="31" t="n"/>
      <c r="F45" s="31" t="n"/>
      <c r="G45" s="23">
        <f>V45</f>
        <v/>
      </c>
      <c r="H45" s="21">
        <f>((SUM(S45:U45)/$H$1)*12)</f>
        <v/>
      </c>
      <c r="I45" s="3" t="n"/>
      <c r="J45" s="31" t="n"/>
      <c r="K45" s="31" t="n"/>
      <c r="L45" s="31" t="n"/>
      <c r="M45" s="31" t="n"/>
      <c r="N45" s="31" t="n"/>
      <c r="O45" s="31" t="n"/>
      <c r="P45" s="31" t="n"/>
      <c r="Q45" s="31" t="n"/>
      <c r="R45" s="31" t="n"/>
      <c r="S45" s="31" t="n"/>
      <c r="T45" s="31" t="n"/>
      <c r="U45" s="31" t="n"/>
      <c r="V45" s="27">
        <f>SUM(J45:U45)</f>
        <v/>
      </c>
    </row>
    <row r="46">
      <c r="A46" s="14" t="n"/>
      <c r="B46" s="133" t="n"/>
      <c r="C46" s="3" t="n"/>
      <c r="D46" s="31" t="n"/>
      <c r="E46" s="31" t="n"/>
      <c r="F46" s="31" t="n"/>
      <c r="G46" s="23" t="n"/>
      <c r="H46" s="21" t="n"/>
      <c r="I46" s="3" t="n"/>
      <c r="J46" s="31" t="n"/>
      <c r="K46" s="31" t="n"/>
      <c r="L46" s="31" t="n"/>
      <c r="M46" s="31" t="n"/>
      <c r="N46" s="31" t="n"/>
      <c r="O46" s="31" t="n"/>
      <c r="P46" s="31" t="n"/>
      <c r="Q46" s="31" t="n"/>
      <c r="R46" s="31" t="n"/>
      <c r="S46" s="31" t="n"/>
      <c r="T46" s="31" t="n"/>
      <c r="U46" s="31" t="n"/>
      <c r="V46" s="27" t="n"/>
    </row>
    <row r="47">
      <c r="A47" s="14" t="n"/>
      <c r="B47" s="667" t="n"/>
      <c r="C47" s="3" t="n"/>
      <c r="D47" s="31" t="n"/>
      <c r="E47" s="31" t="n"/>
      <c r="F47" s="31" t="n"/>
      <c r="G47" s="23">
        <f>V47</f>
        <v/>
      </c>
      <c r="H47" s="21">
        <f>((SUM(S47:U47)/$H$1)*12)</f>
        <v/>
      </c>
      <c r="I47" s="3" t="n"/>
      <c r="J47" s="31" t="n"/>
      <c r="K47" s="31" t="n"/>
      <c r="L47" s="31" t="n"/>
      <c r="M47" s="31" t="n"/>
      <c r="N47" s="31" t="n"/>
      <c r="O47" s="31" t="n"/>
      <c r="P47" s="31" t="n"/>
      <c r="Q47" s="31" t="n"/>
      <c r="R47" s="31" t="n"/>
      <c r="S47" s="31" t="n"/>
      <c r="T47" s="31" t="n"/>
      <c r="U47" s="31" t="n"/>
      <c r="V47" s="27">
        <f>SUM(J47:U47)</f>
        <v/>
      </c>
    </row>
    <row r="48">
      <c r="A48" s="14" t="n"/>
      <c r="B48" s="133" t="n"/>
      <c r="C48" s="3" t="n"/>
      <c r="D48" s="31" t="n"/>
      <c r="E48" s="31" t="n"/>
      <c r="F48" s="31" t="n"/>
      <c r="G48" s="23">
        <f>V48</f>
        <v/>
      </c>
      <c r="H48" s="21">
        <f>((SUM(S48:U48)/$H$1)*12)</f>
        <v/>
      </c>
      <c r="I48" s="3" t="n"/>
      <c r="J48" s="31" t="n"/>
      <c r="K48" s="31" t="n"/>
      <c r="L48" s="31" t="n"/>
      <c r="M48" s="31" t="n"/>
      <c r="N48" s="31" t="n"/>
      <c r="O48" s="31" t="n"/>
      <c r="P48" s="31" t="n"/>
      <c r="Q48" s="31" t="n"/>
      <c r="R48" s="31" t="n"/>
      <c r="S48" s="31" t="n"/>
      <c r="T48" s="31" t="n"/>
      <c r="U48" s="31" t="n"/>
      <c r="V48" s="27">
        <f>SUM(J48:U48)</f>
        <v/>
      </c>
    </row>
    <row r="49">
      <c r="A49" s="14" t="n"/>
      <c r="B49" s="133" t="n"/>
      <c r="C49" s="3" t="n"/>
      <c r="D49" s="31" t="n"/>
      <c r="E49" s="31" t="n"/>
      <c r="F49" s="31" t="n"/>
      <c r="G49" s="23">
        <f>V49</f>
        <v/>
      </c>
      <c r="H49" s="21">
        <f>((SUM(S49:U49)/$H$1)*12)</f>
        <v/>
      </c>
      <c r="I49" s="3" t="n"/>
      <c r="J49" s="31" t="n"/>
      <c r="K49" s="31" t="n"/>
      <c r="L49" s="31" t="n"/>
      <c r="M49" s="31" t="n"/>
      <c r="N49" s="31" t="n"/>
      <c r="O49" s="31" t="n"/>
      <c r="P49" s="31" t="n"/>
      <c r="Q49" s="31" t="n"/>
      <c r="R49" s="31" t="n"/>
      <c r="S49" s="31" t="n"/>
      <c r="T49" s="31" t="n"/>
      <c r="U49" s="31" t="n"/>
      <c r="V49" s="27">
        <f>SUM(J49:U49)</f>
        <v/>
      </c>
    </row>
    <row r="50">
      <c r="A50" s="14" t="n"/>
      <c r="B50" s="133" t="n"/>
      <c r="C50" s="3" t="n"/>
      <c r="D50" s="31" t="n"/>
      <c r="E50" s="31" t="n"/>
      <c r="F50" s="31" t="n"/>
      <c r="G50" s="23" t="n"/>
      <c r="H50" s="21" t="n"/>
      <c r="I50" s="3" t="n"/>
      <c r="J50" s="31" t="n"/>
      <c r="K50" s="31" t="n"/>
      <c r="L50" s="31" t="n"/>
      <c r="M50" s="31" t="n"/>
      <c r="N50" s="31" t="n"/>
      <c r="O50" s="31" t="n"/>
      <c r="P50" s="31" t="n"/>
      <c r="Q50" s="31" t="n"/>
      <c r="R50" s="31" t="n"/>
      <c r="S50" s="31" t="n"/>
      <c r="T50" s="31" t="n"/>
      <c r="U50" s="31" t="n"/>
      <c r="V50" s="27" t="n"/>
    </row>
    <row r="51">
      <c r="A51" s="14" t="n"/>
      <c r="B51" s="667" t="n"/>
      <c r="C51" s="3" t="n"/>
      <c r="D51" s="31" t="n"/>
      <c r="E51" s="31" t="n"/>
      <c r="F51" s="31" t="n"/>
      <c r="G51" s="23">
        <f>V51</f>
        <v/>
      </c>
      <c r="H51" s="21">
        <f>((SUM(S51:U51)/$H$1)*12)</f>
        <v/>
      </c>
      <c r="I51" s="3" t="n"/>
      <c r="J51" s="31" t="n"/>
      <c r="K51" s="31" t="n"/>
      <c r="L51" s="31" t="n"/>
      <c r="M51" s="31" t="n"/>
      <c r="N51" s="31" t="n"/>
      <c r="O51" s="166" t="n"/>
      <c r="P51" s="31" t="n"/>
      <c r="Q51" s="31" t="n"/>
      <c r="R51" s="31" t="n"/>
      <c r="S51" s="31" t="n"/>
      <c r="T51" s="31" t="n"/>
      <c r="U51" s="31" t="n"/>
      <c r="V51" s="27">
        <f>SUM(J51:U51)</f>
        <v/>
      </c>
    </row>
    <row r="52">
      <c r="A52" s="14" t="n"/>
      <c r="B52" s="133" t="n"/>
      <c r="C52" s="3" t="n"/>
      <c r="D52" s="31" t="n"/>
      <c r="E52" s="31" t="n"/>
      <c r="F52" s="31" t="n"/>
      <c r="G52" s="23" t="n"/>
      <c r="H52" s="21" t="n"/>
      <c r="I52" s="3" t="n"/>
      <c r="J52" s="31" t="n"/>
      <c r="K52" s="31" t="n"/>
      <c r="L52" s="31" t="n"/>
      <c r="M52" s="31" t="n"/>
      <c r="N52" s="31" t="n"/>
      <c r="O52" s="166" t="n"/>
      <c r="P52" s="31" t="n"/>
      <c r="Q52" s="31" t="n"/>
      <c r="R52" s="31" t="n"/>
      <c r="S52" s="31" t="n"/>
      <c r="T52" s="31" t="n"/>
      <c r="U52" s="31" t="n"/>
      <c r="V52" s="27" t="n"/>
    </row>
    <row r="53">
      <c r="A53" s="14" t="n"/>
      <c r="B53" s="133" t="n"/>
      <c r="C53" s="3" t="n"/>
      <c r="D53" s="31" t="n"/>
      <c r="E53" s="31" t="n"/>
      <c r="F53" s="31" t="n"/>
      <c r="G53" s="23">
        <f>V53</f>
        <v/>
      </c>
      <c r="H53" s="21">
        <f>((SUM(S53:U53)/$H$1)*12)</f>
        <v/>
      </c>
      <c r="I53" s="3" t="n"/>
      <c r="J53" s="31" t="n"/>
      <c r="K53" s="31" t="n"/>
      <c r="L53" s="31" t="n"/>
      <c r="M53" s="31" t="n"/>
      <c r="N53" s="31" t="n"/>
      <c r="O53" s="31" t="n"/>
      <c r="P53" s="31" t="n"/>
      <c r="Q53" s="31" t="n"/>
      <c r="R53" s="31" t="n"/>
      <c r="S53" s="31" t="n"/>
      <c r="T53" s="31" t="n"/>
      <c r="U53" s="31" t="n"/>
      <c r="V53" s="27">
        <f>SUM(J53:U53)</f>
        <v/>
      </c>
    </row>
    <row r="54">
      <c r="A54" s="14" t="n"/>
      <c r="B54" s="133" t="n"/>
      <c r="C54" s="3" t="n"/>
      <c r="D54" s="31" t="n"/>
      <c r="E54" s="31" t="n"/>
      <c r="F54" s="31" t="n"/>
      <c r="G54" s="23" t="n"/>
      <c r="H54" s="21" t="n"/>
      <c r="I54" s="3" t="n"/>
      <c r="J54" s="31" t="n"/>
      <c r="K54" s="31" t="n"/>
      <c r="L54" s="31" t="n"/>
      <c r="M54" s="31" t="n"/>
      <c r="N54" s="31" t="n"/>
      <c r="O54" s="31" t="n"/>
      <c r="P54" s="31" t="n"/>
      <c r="Q54" s="31" t="n"/>
      <c r="R54" s="31" t="n"/>
      <c r="S54" s="31" t="n"/>
      <c r="T54" s="31" t="n"/>
      <c r="U54" s="31" t="n"/>
      <c r="V54" s="27" t="n"/>
    </row>
    <row r="55">
      <c r="A55" s="14" t="n"/>
      <c r="B55" s="133" t="n"/>
      <c r="C55" s="3" t="n"/>
      <c r="D55" s="31" t="n"/>
      <c r="E55" s="31" t="n"/>
      <c r="F55" s="31" t="n"/>
      <c r="G55" s="23">
        <f>V55</f>
        <v/>
      </c>
      <c r="H55" s="21">
        <f>((SUM(S55:U55)/$H$1)*12)</f>
        <v/>
      </c>
      <c r="I55" s="3" t="n"/>
      <c r="J55" s="31" t="n"/>
      <c r="K55" s="31" t="n"/>
      <c r="L55" s="31" t="n"/>
      <c r="M55" s="31" t="n"/>
      <c r="N55" s="31" t="n"/>
      <c r="O55" s="31" t="n"/>
      <c r="P55" s="31" t="n"/>
      <c r="Q55" s="31" t="n"/>
      <c r="R55" s="166" t="n"/>
      <c r="S55" s="166" t="n"/>
      <c r="T55" s="166" t="n"/>
      <c r="U55" s="166" t="n"/>
      <c r="V55" s="27">
        <f>SUM(J55:U55)</f>
        <v/>
      </c>
    </row>
    <row r="56">
      <c r="A56" s="14" t="n"/>
      <c r="B56" s="133" t="n"/>
      <c r="C56" s="3" t="n"/>
      <c r="D56" s="31" t="n"/>
      <c r="E56" s="31" t="n"/>
      <c r="F56" s="31" t="n"/>
      <c r="G56" s="23">
        <f>V56</f>
        <v/>
      </c>
      <c r="H56" s="21">
        <f>((SUM(S56:U56)/$H$1)*12)</f>
        <v/>
      </c>
      <c r="I56" s="3" t="n"/>
      <c r="J56" s="31" t="n"/>
      <c r="K56" s="31" t="n"/>
      <c r="L56" s="31" t="n"/>
      <c r="M56" s="31" t="n"/>
      <c r="N56" s="31" t="n"/>
      <c r="O56" s="31" t="n"/>
      <c r="P56" s="31" t="n"/>
      <c r="Q56" s="31" t="n"/>
      <c r="R56" s="31" t="n"/>
      <c r="S56" s="31" t="n"/>
      <c r="T56" s="31" t="n"/>
      <c r="U56" s="31" t="n"/>
      <c r="V56" s="27">
        <f>SUM(J56:U56)</f>
        <v/>
      </c>
    </row>
    <row r="57">
      <c r="A57" s="14" t="n"/>
      <c r="B57" s="133" t="n"/>
      <c r="C57" s="3" t="n"/>
      <c r="D57" s="31" t="n"/>
      <c r="E57" s="31" t="n"/>
      <c r="F57" s="31" t="n"/>
      <c r="G57" s="23" t="n"/>
      <c r="H57" s="21" t="n"/>
      <c r="I57" s="3" t="n"/>
      <c r="J57" s="31" t="n"/>
      <c r="K57" s="31" t="n"/>
      <c r="L57" s="31" t="n"/>
      <c r="M57" s="31" t="n"/>
      <c r="N57" s="31" t="n"/>
      <c r="O57" s="31" t="n"/>
      <c r="P57" s="31" t="n"/>
      <c r="Q57" s="31" t="n"/>
      <c r="R57" s="31" t="n"/>
      <c r="S57" s="31" t="n"/>
      <c r="T57" s="31" t="n"/>
      <c r="U57" s="31" t="n"/>
      <c r="V57" s="27" t="n"/>
    </row>
    <row r="58">
      <c r="A58" s="14" t="n"/>
      <c r="B58" s="667" t="n"/>
      <c r="C58" s="3" t="n"/>
      <c r="D58" s="31" t="n"/>
      <c r="E58" s="31" t="n"/>
      <c r="F58" s="31" t="n"/>
      <c r="G58" s="23">
        <f>V58</f>
        <v/>
      </c>
      <c r="H58" s="21">
        <f>((SUM(S58:U58)/$H$1)*12)</f>
        <v/>
      </c>
      <c r="I58" s="3" t="n"/>
      <c r="J58" s="31" t="n"/>
      <c r="K58" s="31" t="n"/>
      <c r="L58" s="31" t="n"/>
      <c r="M58" s="31" t="n"/>
      <c r="N58" s="31" t="n"/>
      <c r="O58" s="31" t="n"/>
      <c r="P58" s="31" t="n"/>
      <c r="Q58" s="31" t="n"/>
      <c r="R58" s="31" t="n"/>
      <c r="S58" s="31" t="n"/>
      <c r="T58" s="31" t="n"/>
      <c r="U58" s="31" t="n"/>
      <c r="V58" s="27">
        <f>SUM(J58:U58)</f>
        <v/>
      </c>
    </row>
    <row r="59">
      <c r="A59" s="14" t="n"/>
      <c r="B59" s="133" t="n"/>
      <c r="C59" s="3" t="n"/>
      <c r="D59" s="31" t="n"/>
      <c r="E59" s="31" t="n"/>
      <c r="F59" s="31" t="n"/>
      <c r="G59" s="23">
        <f>V59</f>
        <v/>
      </c>
      <c r="H59" s="21">
        <f>((SUM(S59:U59)/$H$1)*12)</f>
        <v/>
      </c>
      <c r="I59" s="3" t="n"/>
      <c r="J59" s="31" t="n"/>
      <c r="K59" s="31" t="n"/>
      <c r="L59" s="31" t="n"/>
      <c r="M59" s="31" t="n"/>
      <c r="N59" s="31" t="n"/>
      <c r="O59" s="31" t="n"/>
      <c r="P59" s="31" t="n"/>
      <c r="Q59" s="31" t="n"/>
      <c r="R59" s="31" t="n"/>
      <c r="S59" s="31" t="n"/>
      <c r="T59" s="31" t="n"/>
      <c r="U59" s="31" t="n"/>
      <c r="V59" s="27">
        <f>SUM(J59:U59)</f>
        <v/>
      </c>
    </row>
    <row r="60">
      <c r="A60" s="14" t="n"/>
      <c r="B60" s="133" t="n"/>
      <c r="C60" s="3" t="n"/>
      <c r="D60" s="31" t="n"/>
      <c r="E60" s="31" t="n"/>
      <c r="F60" s="31" t="n"/>
      <c r="G60" s="23">
        <f>V60</f>
        <v/>
      </c>
      <c r="H60" s="21">
        <f>((SUM(S60:U60)/$H$1)*12)</f>
        <v/>
      </c>
      <c r="I60" s="3" t="n"/>
      <c r="J60" s="31" t="n"/>
      <c r="K60" s="31" t="n"/>
      <c r="L60" s="31" t="n"/>
      <c r="M60" s="31" t="n"/>
      <c r="N60" s="31" t="n"/>
      <c r="O60" s="31" t="n"/>
      <c r="P60" s="31" t="n"/>
      <c r="Q60" s="31" t="n"/>
      <c r="R60" s="31" t="n"/>
      <c r="S60" s="31" t="n"/>
      <c r="T60" s="31" t="n"/>
      <c r="U60" s="31" t="n"/>
      <c r="V60" s="27">
        <f>SUM(J60:U60)</f>
        <v/>
      </c>
    </row>
    <row r="61">
      <c r="A61" s="14" t="n"/>
      <c r="B61" s="133" t="n"/>
      <c r="C61" s="3" t="n"/>
      <c r="D61" s="31" t="n"/>
      <c r="E61" s="31" t="n"/>
      <c r="F61" s="31" t="n"/>
      <c r="G61" s="23">
        <f>V61</f>
        <v/>
      </c>
      <c r="H61" s="21">
        <f>((SUM(S61:U61)/$H$1)*12)</f>
        <v/>
      </c>
      <c r="I61" s="3" t="n"/>
      <c r="J61" s="31" t="n"/>
      <c r="K61" s="31" t="n"/>
      <c r="L61" s="31" t="n"/>
      <c r="M61" s="166" t="n"/>
      <c r="N61" s="31" t="n"/>
      <c r="O61" s="31" t="n"/>
      <c r="P61" s="31" t="n"/>
      <c r="Q61" s="31" t="n"/>
      <c r="R61" s="31" t="n"/>
      <c r="S61" s="31" t="n"/>
      <c r="T61" s="31" t="n"/>
      <c r="U61" s="31" t="n"/>
      <c r="V61" s="27">
        <f>SUM(J61:U61)</f>
        <v/>
      </c>
    </row>
    <row r="62">
      <c r="A62" s="14" t="n"/>
      <c r="B62" s="219" t="n"/>
      <c r="C62" s="3" t="n"/>
      <c r="D62" s="31" t="n"/>
      <c r="E62" s="31" t="n"/>
      <c r="F62" s="31" t="n"/>
      <c r="G62" s="23">
        <f>V62</f>
        <v/>
      </c>
      <c r="H62" s="21">
        <f>((SUM(S62:U62)/$H$1)*12)</f>
        <v/>
      </c>
      <c r="I62" s="3" t="n"/>
      <c r="J62" s="31" t="n"/>
      <c r="K62" s="31" t="n"/>
      <c r="L62" s="31" t="n"/>
      <c r="M62" s="31" t="n"/>
      <c r="N62" s="31" t="n"/>
      <c r="O62" s="31" t="n"/>
      <c r="P62" s="31" t="n"/>
      <c r="Q62" s="31" t="n"/>
      <c r="R62" s="31" t="n"/>
      <c r="S62" s="31" t="n"/>
      <c r="T62" s="31" t="n"/>
      <c r="U62" s="31" t="n"/>
      <c r="V62" s="27">
        <f>SUM(J62:U62)</f>
        <v/>
      </c>
    </row>
    <row r="63">
      <c r="A63" s="14" t="n"/>
      <c r="B63" s="219" t="n"/>
      <c r="C63" s="3" t="n"/>
      <c r="D63" s="31" t="n"/>
      <c r="E63" s="31" t="n"/>
      <c r="F63" s="31" t="n"/>
      <c r="G63" s="23">
        <f>V63</f>
        <v/>
      </c>
      <c r="H63" s="21">
        <f>((SUM(S63:U63)/$H$1)*12)</f>
        <v/>
      </c>
      <c r="I63" s="3" t="n"/>
      <c r="J63" s="31" t="n"/>
      <c r="K63" s="31" t="n"/>
      <c r="L63" s="31" t="n"/>
      <c r="M63" s="31" t="n"/>
      <c r="N63" s="31" t="n"/>
      <c r="O63" s="31" t="n"/>
      <c r="P63" s="31" t="n"/>
      <c r="Q63" s="31" t="n"/>
      <c r="R63" s="31" t="n"/>
      <c r="S63" s="31" t="n"/>
      <c r="T63" s="31" t="n"/>
      <c r="U63" s="31" t="n"/>
      <c r="V63" s="27">
        <f>SUM(J63:U63)</f>
        <v/>
      </c>
    </row>
    <row r="64">
      <c r="A64" s="14" t="n"/>
      <c r="B64" s="133" t="n"/>
      <c r="C64" s="3" t="n"/>
      <c r="D64" s="31" t="n"/>
      <c r="E64" s="31" t="n"/>
      <c r="F64" s="677" t="n"/>
      <c r="G64" s="23">
        <f>V64</f>
        <v/>
      </c>
      <c r="H64" s="21">
        <f>((SUM(S64:U64)/$H$1)*12)</f>
        <v/>
      </c>
      <c r="I64" s="3" t="n"/>
      <c r="J64" s="31" t="n"/>
      <c r="K64" s="31" t="n"/>
      <c r="L64" s="31" t="n"/>
      <c r="M64" s="31" t="n"/>
      <c r="N64" s="31" t="n"/>
      <c r="O64" s="31" t="n"/>
      <c r="P64" s="31" t="n"/>
      <c r="Q64" s="31" t="n"/>
      <c r="R64" s="31" t="n"/>
      <c r="S64" s="31" t="n"/>
      <c r="T64" s="31" t="n"/>
      <c r="U64" s="31" t="n"/>
      <c r="V64" s="27">
        <f>SUM(J64:U64)</f>
        <v/>
      </c>
    </row>
    <row r="65">
      <c r="A65" s="14" t="n"/>
      <c r="B65" s="133" t="n"/>
      <c r="C65" s="3" t="n"/>
      <c r="D65" s="133" t="n"/>
      <c r="E65" s="677" t="n"/>
      <c r="F65" s="677" t="n"/>
      <c r="G65" s="23">
        <f>V65</f>
        <v/>
      </c>
      <c r="H65" s="21">
        <f>((SUM(S65:U65)/$H$1)*12)</f>
        <v/>
      </c>
      <c r="I65" s="3" t="n"/>
      <c r="J65" s="31" t="n"/>
      <c r="K65" s="31" t="n"/>
      <c r="L65" s="31" t="n"/>
      <c r="M65" s="31" t="n"/>
      <c r="N65" s="31" t="n"/>
      <c r="O65" s="31" t="n"/>
      <c r="P65" s="31" t="n"/>
      <c r="Q65" s="31" t="n"/>
      <c r="R65" s="31" t="n"/>
      <c r="S65" s="31" t="n"/>
      <c r="T65" s="31" t="n"/>
      <c r="U65" s="31" t="n"/>
      <c r="V65" s="23">
        <f>SUM(J65:U65)</f>
        <v/>
      </c>
    </row>
    <row r="66">
      <c r="A66" s="14" t="n"/>
      <c r="B66" s="219" t="n"/>
      <c r="C66" s="3" t="n"/>
      <c r="D66" s="31" t="n"/>
      <c r="E66" s="31" t="n"/>
      <c r="F66" s="31" t="n"/>
      <c r="G66" s="23">
        <f>V66</f>
        <v/>
      </c>
      <c r="H66" s="21">
        <f>((SUM(S66:U66)/$H$1)*12)</f>
        <v/>
      </c>
      <c r="I66" s="3" t="n"/>
      <c r="J66" s="31" t="n"/>
      <c r="K66" s="31" t="n"/>
      <c r="L66" s="31" t="n"/>
      <c r="M66" s="31" t="n"/>
      <c r="N66" s="31" t="n"/>
      <c r="O66" s="31" t="n"/>
      <c r="P66" s="31" t="n"/>
      <c r="Q66" s="31" t="n"/>
      <c r="R66" s="31" t="n"/>
      <c r="S66" s="31" t="n"/>
      <c r="T66" s="31" t="n"/>
      <c r="U66" s="31" t="n"/>
      <c r="V66" s="27">
        <f>SUM(J66:U66)</f>
        <v/>
      </c>
    </row>
    <row r="67">
      <c r="A67" s="14" t="n"/>
      <c r="B67" s="219" t="n"/>
      <c r="C67" s="3" t="n"/>
      <c r="D67" s="31" t="n"/>
      <c r="E67" s="31" t="n"/>
      <c r="F67" s="31" t="n"/>
      <c r="G67" s="23">
        <f>V67</f>
        <v/>
      </c>
      <c r="H67" s="21">
        <f>((SUM(S67:U67)/$H$1)*12)</f>
        <v/>
      </c>
      <c r="I67" s="3" t="n"/>
      <c r="J67" s="31" t="n"/>
      <c r="K67" s="31" t="n"/>
      <c r="L67" s="31" t="n"/>
      <c r="M67" s="31" t="n"/>
      <c r="N67" s="31" t="n"/>
      <c r="O67" s="31" t="n"/>
      <c r="P67" s="31" t="n"/>
      <c r="Q67" s="31" t="n"/>
      <c r="R67" s="31" t="n"/>
      <c r="S67" s="31" t="n"/>
      <c r="T67" s="31" t="n"/>
      <c r="U67" s="31" t="n"/>
      <c r="V67" s="27">
        <f>SUM(J67:U67)</f>
        <v/>
      </c>
    </row>
    <row r="68">
      <c r="A68" s="14" t="n"/>
      <c r="B68" s="219" t="n"/>
      <c r="C68" s="3" t="n"/>
      <c r="D68" s="31" t="n"/>
      <c r="E68" s="31" t="n"/>
      <c r="F68" s="31" t="n"/>
      <c r="G68" s="23" t="n"/>
      <c r="H68" s="21" t="n"/>
      <c r="I68" s="3" t="n"/>
      <c r="J68" s="31" t="n"/>
      <c r="K68" s="31" t="n"/>
      <c r="L68" s="31" t="n"/>
      <c r="M68" s="31" t="n"/>
      <c r="N68" s="31" t="n"/>
      <c r="O68" s="31" t="n"/>
      <c r="P68" s="31" t="n"/>
      <c r="Q68" s="31" t="n"/>
      <c r="R68" s="31" t="n"/>
      <c r="S68" s="31" t="n"/>
      <c r="T68" s="31" t="n"/>
      <c r="U68" s="31" t="n"/>
      <c r="V68" s="27" t="n"/>
    </row>
    <row r="69">
      <c r="A69" s="14" t="n"/>
      <c r="B69" s="668" t="n"/>
      <c r="C69" s="3" t="n"/>
      <c r="D69" s="31" t="n"/>
      <c r="E69" s="31" t="n"/>
      <c r="F69" s="31" t="n"/>
      <c r="G69" s="23">
        <f>V69</f>
        <v/>
      </c>
      <c r="H69" s="21">
        <f>((SUM(S69:U69)/$H$1)*12)</f>
        <v/>
      </c>
      <c r="I69" s="3" t="n"/>
      <c r="J69" s="31" t="n"/>
      <c r="K69" s="31" t="n"/>
      <c r="L69" s="31" t="n"/>
      <c r="M69" s="31" t="n"/>
      <c r="N69" s="31" t="n"/>
      <c r="O69" s="31" t="n"/>
      <c r="P69" s="31" t="n"/>
      <c r="Q69" s="31" t="n"/>
      <c r="R69" s="31" t="n"/>
      <c r="S69" s="31" t="n"/>
      <c r="T69" s="31" t="n"/>
      <c r="U69" s="31" t="n"/>
      <c r="V69" s="27">
        <f>SUM(J69:U69)</f>
        <v/>
      </c>
    </row>
    <row r="70">
      <c r="A70" s="14" t="n"/>
      <c r="B70" s="219" t="n"/>
      <c r="C70" s="3" t="n"/>
      <c r="D70" s="31" t="n"/>
      <c r="E70" s="31" t="n"/>
      <c r="F70" s="31" t="n"/>
      <c r="G70" s="23">
        <f>V70</f>
        <v/>
      </c>
      <c r="H70" s="21">
        <f>((SUM(S70:U70)/$H$1)*12)</f>
        <v/>
      </c>
      <c r="I70" s="3" t="n"/>
      <c r="J70" s="31" t="n"/>
      <c r="K70" s="31" t="n"/>
      <c r="L70" s="31" t="n"/>
      <c r="M70" s="31" t="n"/>
      <c r="N70" s="31" t="n"/>
      <c r="O70" s="31" t="n"/>
      <c r="P70" s="31" t="n"/>
      <c r="Q70" s="31" t="n"/>
      <c r="R70" s="31" t="n"/>
      <c r="S70" s="31" t="n"/>
      <c r="T70" s="31" t="n"/>
      <c r="U70" s="31" t="n"/>
      <c r="V70" s="27">
        <f>SUM(J70:U70)</f>
        <v/>
      </c>
    </row>
    <row r="71">
      <c r="A71" s="14" t="n"/>
      <c r="B71" s="219" t="n"/>
      <c r="C71" s="3" t="n"/>
      <c r="D71" s="31" t="n"/>
      <c r="E71" s="31" t="n"/>
      <c r="F71" s="31" t="n"/>
      <c r="G71" s="23" t="n"/>
      <c r="H71" s="21" t="n"/>
      <c r="I71" s="3" t="n"/>
      <c r="J71" s="31" t="n"/>
      <c r="K71" s="31" t="n"/>
      <c r="L71" s="31" t="n"/>
      <c r="M71" s="31" t="n"/>
      <c r="N71" s="31" t="n"/>
      <c r="O71" s="31" t="n"/>
      <c r="P71" s="31" t="n"/>
      <c r="Q71" s="31" t="n"/>
      <c r="R71" s="31" t="n"/>
      <c r="S71" s="31" t="n"/>
      <c r="T71" s="31" t="n"/>
      <c r="U71" s="31" t="n"/>
      <c r="V71" s="27" t="n"/>
    </row>
    <row r="72">
      <c r="A72" s="14" t="n"/>
      <c r="B72" s="668" t="n"/>
      <c r="C72" s="3" t="n"/>
      <c r="D72" s="31" t="n"/>
      <c r="E72" s="31" t="n"/>
      <c r="F72" s="31" t="n"/>
      <c r="G72" s="23">
        <f>V72</f>
        <v/>
      </c>
      <c r="H72" s="21">
        <f>((SUM(S72:U72)/$H$1)*12)</f>
        <v/>
      </c>
      <c r="I72" s="3" t="n"/>
      <c r="J72" s="31" t="n"/>
      <c r="K72" s="31" t="n"/>
      <c r="L72" s="31" t="n"/>
      <c r="M72" s="31" t="n"/>
      <c r="N72" s="31" t="n"/>
      <c r="O72" s="31" t="n"/>
      <c r="P72" s="31" t="n"/>
      <c r="Q72" s="31" t="n"/>
      <c r="R72" s="31" t="n"/>
      <c r="S72" s="31" t="n"/>
      <c r="T72" s="31" t="n"/>
      <c r="U72" s="31" t="n"/>
      <c r="V72" s="27">
        <f>SUM(J72:U72)</f>
        <v/>
      </c>
    </row>
    <row r="73">
      <c r="A73" s="14" t="n"/>
      <c r="B73" s="219" t="n"/>
      <c r="C73" s="3" t="n"/>
      <c r="D73" s="31" t="n"/>
      <c r="E73" s="31" t="n"/>
      <c r="F73" s="31" t="n"/>
      <c r="G73" s="23">
        <f>V73</f>
        <v/>
      </c>
      <c r="H73" s="21">
        <f>((SUM(S73:U73)/$H$1)*12)</f>
        <v/>
      </c>
      <c r="I73" s="3" t="n"/>
      <c r="J73" s="31" t="n"/>
      <c r="K73" s="31" t="n"/>
      <c r="L73" s="31" t="n"/>
      <c r="M73" s="31" t="n"/>
      <c r="N73" s="31" t="n"/>
      <c r="O73" s="31" t="n"/>
      <c r="P73" s="31" t="n"/>
      <c r="Q73" s="31" t="n"/>
      <c r="R73" s="31" t="n"/>
      <c r="S73" s="31" t="n"/>
      <c r="T73" s="31" t="n"/>
      <c r="U73" s="31" t="n"/>
      <c r="V73" s="27">
        <f>SUM(J73:U73)</f>
        <v/>
      </c>
    </row>
    <row r="74">
      <c r="A74" s="14" t="n"/>
      <c r="B74" s="219" t="n"/>
      <c r="C74" s="3" t="n"/>
      <c r="D74" s="31" t="n"/>
      <c r="E74" s="31" t="n"/>
      <c r="F74" s="31" t="n"/>
      <c r="G74" s="23">
        <f>V74</f>
        <v/>
      </c>
      <c r="H74" s="21">
        <f>((SUM(S74:U74)/$H$1)*12)</f>
        <v/>
      </c>
      <c r="I74" s="3" t="n"/>
      <c r="J74" s="31" t="n"/>
      <c r="K74" s="31" t="n"/>
      <c r="L74" s="31" t="n"/>
      <c r="M74" s="31" t="n"/>
      <c r="N74" s="31" t="n"/>
      <c r="O74" s="31" t="n"/>
      <c r="P74" s="31" t="n"/>
      <c r="Q74" s="31" t="n"/>
      <c r="R74" s="31" t="n"/>
      <c r="S74" s="31" t="n"/>
      <c r="T74" s="31" t="n"/>
      <c r="U74" s="31" t="n"/>
      <c r="V74" s="27">
        <f>SUM(J74:U74)</f>
        <v/>
      </c>
    </row>
    <row r="75">
      <c r="A75" s="14" t="n"/>
      <c r="B75" s="219" t="n"/>
      <c r="C75" s="3" t="n"/>
      <c r="D75" s="31" t="n"/>
      <c r="E75" s="31" t="n"/>
      <c r="F75" s="31" t="n"/>
      <c r="G75" s="23">
        <f>V75</f>
        <v/>
      </c>
      <c r="H75" s="21">
        <f>((SUM(S75:U75)/$H$1)*12)</f>
        <v/>
      </c>
      <c r="I75" s="3" t="n"/>
      <c r="J75" s="31" t="n"/>
      <c r="K75" s="31" t="n"/>
      <c r="L75" s="31" t="n"/>
      <c r="M75" s="31" t="n"/>
      <c r="N75" s="31" t="n"/>
      <c r="O75" s="31" t="n"/>
      <c r="P75" s="31" t="n"/>
      <c r="Q75" s="31" t="n"/>
      <c r="R75" s="31" t="n"/>
      <c r="S75" s="31" t="n"/>
      <c r="T75" s="31" t="n"/>
      <c r="U75" s="31" t="n"/>
      <c r="V75" s="27">
        <f>SUM(J75:U75)</f>
        <v/>
      </c>
    </row>
    <row r="76">
      <c r="A76" s="14" t="n"/>
      <c r="B76" s="321" t="n"/>
      <c r="C76" s="3" t="n"/>
      <c r="D76" s="31" t="n"/>
      <c r="E76" s="31" t="n"/>
      <c r="F76" s="31" t="n"/>
      <c r="G76" s="23">
        <f>V76</f>
        <v/>
      </c>
      <c r="H76" s="21">
        <f>((SUM(S76:U76)/$H$1)*12)</f>
        <v/>
      </c>
      <c r="I76" s="3" t="n"/>
      <c r="J76" s="31" t="n"/>
      <c r="K76" s="31" t="n"/>
      <c r="L76" s="31" t="n"/>
      <c r="M76" s="31" t="n"/>
      <c r="N76" s="31" t="n"/>
      <c r="O76" s="31" t="n"/>
      <c r="P76" s="31" t="n"/>
      <c r="Q76" s="31" t="n"/>
      <c r="R76" s="31" t="n"/>
      <c r="S76" s="31" t="n"/>
      <c r="T76" s="31" t="n"/>
      <c r="U76" s="31" t="n"/>
      <c r="V76" s="27">
        <f>SUM(J76:U76)</f>
        <v/>
      </c>
    </row>
    <row r="77">
      <c r="A77" s="14" t="n"/>
      <c r="B77" s="321" t="n"/>
      <c r="C77" s="3" t="n"/>
      <c r="D77" s="31" t="n"/>
      <c r="E77" s="31" t="n"/>
      <c r="F77" s="31" t="n"/>
      <c r="G77" s="23">
        <f>V77</f>
        <v/>
      </c>
      <c r="H77" s="21">
        <f>((SUM(S77:U77)/$H$1)*12)</f>
        <v/>
      </c>
      <c r="I77" s="3" t="n"/>
      <c r="J77" s="31" t="n"/>
      <c r="K77" s="31" t="n"/>
      <c r="L77" s="31" t="n"/>
      <c r="M77" s="31" t="n"/>
      <c r="N77" s="31" t="n"/>
      <c r="O77" s="31" t="n"/>
      <c r="P77" s="31" t="n"/>
      <c r="Q77" s="31" t="n"/>
      <c r="R77" s="31" t="n"/>
      <c r="S77" s="31" t="n"/>
      <c r="T77" s="31" t="n"/>
      <c r="U77" s="31" t="n"/>
      <c r="V77" s="27">
        <f>SUM(J77:U77)</f>
        <v/>
      </c>
    </row>
    <row r="78">
      <c r="A78" s="14" t="n"/>
      <c r="B78" s="321" t="n"/>
      <c r="C78" s="3" t="n"/>
      <c r="D78" s="31" t="n"/>
      <c r="E78" s="31" t="n"/>
      <c r="F78" s="31" t="n"/>
      <c r="G78" s="23">
        <f>V78</f>
        <v/>
      </c>
      <c r="H78" s="21">
        <f>((SUM(S78:U78)/$H$1)*12)</f>
        <v/>
      </c>
      <c r="I78" s="3" t="n"/>
      <c r="J78" s="31" t="n"/>
      <c r="K78" s="31" t="n"/>
      <c r="L78" s="31" t="n"/>
      <c r="M78" s="31" t="n"/>
      <c r="N78" s="31" t="n"/>
      <c r="O78" s="31" t="n"/>
      <c r="P78" s="31" t="n"/>
      <c r="Q78" s="31" t="n"/>
      <c r="R78" s="31" t="n"/>
      <c r="S78" s="31" t="n"/>
      <c r="T78" s="31" t="n"/>
      <c r="U78" s="31" t="n"/>
      <c r="V78" s="27">
        <f>SUM(J78:U78)</f>
        <v/>
      </c>
    </row>
    <row r="79">
      <c r="A79" s="681" t="n"/>
      <c r="B79" s="680" t="n"/>
      <c r="C79" s="3" t="n"/>
      <c r="D79" s="31" t="n"/>
      <c r="E79" s="678" t="n"/>
      <c r="F79" s="678" t="n"/>
      <c r="G79" s="678">
        <f>V79</f>
        <v/>
      </c>
      <c r="H79" s="21">
        <f>((SUM(S79:U79)/$H$1)*12)</f>
        <v/>
      </c>
      <c r="I79" s="3" t="n"/>
      <c r="J79" s="678" t="n"/>
      <c r="K79" s="678" t="n"/>
      <c r="L79" s="678" t="n"/>
      <c r="M79" s="678" t="n"/>
      <c r="N79" s="678" t="n"/>
      <c r="O79" s="678" t="n"/>
      <c r="P79" s="678" t="n"/>
      <c r="Q79" s="678" t="n"/>
      <c r="R79" s="678" t="n"/>
      <c r="S79" s="678" t="n"/>
      <c r="T79" s="678" t="n"/>
      <c r="U79" s="678" t="n"/>
      <c r="V79" s="27">
        <f>SUM(J79:U79)</f>
        <v/>
      </c>
    </row>
    <row r="80">
      <c r="A80" s="14" t="n"/>
      <c r="B80" s="321" t="n"/>
      <c r="C80" s="3" t="n"/>
      <c r="D80" s="31" t="n"/>
      <c r="E80" s="31" t="n"/>
      <c r="F80" s="31" t="n"/>
      <c r="G80" s="23">
        <f>V80</f>
        <v/>
      </c>
      <c r="H80" s="21">
        <f>((SUM(S80:U80)/$H$1)*12)</f>
        <v/>
      </c>
      <c r="I80" s="3" t="n"/>
      <c r="J80" s="31" t="n"/>
      <c r="K80" s="31" t="n"/>
      <c r="L80" s="31" t="n"/>
      <c r="M80" s="31" t="n"/>
      <c r="N80" s="31" t="n"/>
      <c r="O80" s="31" t="n"/>
      <c r="P80" s="31" t="n"/>
      <c r="Q80" s="31" t="n"/>
      <c r="R80" s="31" t="n"/>
      <c r="S80" s="31" t="n"/>
      <c r="T80" s="31" t="n"/>
      <c r="U80" s="31" t="n"/>
      <c r="V80" s="27">
        <f>SUM(J80:U80)</f>
        <v/>
      </c>
    </row>
    <row r="81">
      <c r="A81" s="14" t="n"/>
      <c r="B81" s="321" t="n"/>
      <c r="C81" s="3" t="n"/>
      <c r="D81" s="31" t="n"/>
      <c r="E81" s="31" t="n"/>
      <c r="F81" s="31" t="n"/>
      <c r="G81" s="23" t="n"/>
      <c r="H81" s="21" t="n"/>
      <c r="I81" s="3" t="n"/>
      <c r="J81" s="31" t="n"/>
      <c r="K81" s="31" t="n"/>
      <c r="L81" s="31" t="n"/>
      <c r="M81" s="31" t="n"/>
      <c r="N81" s="31" t="n"/>
      <c r="O81" s="31" t="n"/>
      <c r="P81" s="31" t="n"/>
      <c r="Q81" s="31" t="n"/>
      <c r="R81" s="31" t="n"/>
      <c r="S81" s="31" t="n"/>
      <c r="T81" s="31" t="n"/>
      <c r="U81" s="31" t="n"/>
      <c r="V81" s="27" t="n"/>
    </row>
    <row r="82">
      <c r="A82" s="14" t="n"/>
      <c r="B82" s="668" t="n"/>
      <c r="C82" s="3" t="n"/>
      <c r="D82" s="31" t="n"/>
      <c r="E82" s="31" t="n"/>
      <c r="F82" s="31" t="n"/>
      <c r="G82" s="23">
        <f>V82</f>
        <v/>
      </c>
      <c r="H82" s="21">
        <f>((SUM(S82:U82)/$H$1)*12)</f>
        <v/>
      </c>
      <c r="I82" s="3" t="n"/>
      <c r="J82" s="31" t="n"/>
      <c r="K82" s="31" t="n"/>
      <c r="L82" s="31" t="n"/>
      <c r="M82" s="31" t="n"/>
      <c r="N82" s="31" t="n"/>
      <c r="O82" s="31" t="n"/>
      <c r="P82" s="31" t="n"/>
      <c r="Q82" s="31" t="n"/>
      <c r="R82" s="31" t="n"/>
      <c r="S82" s="31" t="n"/>
      <c r="T82" s="31" t="n"/>
      <c r="U82" s="31" t="n"/>
      <c r="V82" s="27">
        <f>SUM(J82:U82)</f>
        <v/>
      </c>
    </row>
    <row r="83">
      <c r="A83" s="14" t="n"/>
      <c r="B83" s="219" t="n"/>
      <c r="C83" s="3" t="n"/>
      <c r="D83" s="31" t="n"/>
      <c r="E83" s="31" t="n"/>
      <c r="F83" s="31" t="n"/>
      <c r="G83" s="23">
        <f>V83</f>
        <v/>
      </c>
      <c r="H83" s="21">
        <f>((SUM(S83:U83)/$H$1)*12)</f>
        <v/>
      </c>
      <c r="I83" s="3" t="n"/>
      <c r="J83" s="31" t="n"/>
      <c r="K83" s="31" t="n"/>
      <c r="L83" s="31" t="n"/>
      <c r="M83" s="31" t="n"/>
      <c r="N83" s="31" t="n"/>
      <c r="O83" s="31" t="n"/>
      <c r="P83" s="31" t="n"/>
      <c r="Q83" s="31" t="n"/>
      <c r="R83" s="31" t="n"/>
      <c r="S83" s="31" t="n"/>
      <c r="T83" s="31" t="n"/>
      <c r="U83" s="31" t="n"/>
      <c r="V83" s="27">
        <f>SUM(J83:U83)</f>
        <v/>
      </c>
    </row>
    <row r="84">
      <c r="A84" s="14" t="n"/>
      <c r="B84" s="219" t="n"/>
      <c r="C84" s="3" t="n"/>
      <c r="D84" s="31" t="n"/>
      <c r="E84" s="31" t="n"/>
      <c r="F84" s="31" t="n"/>
      <c r="G84" s="23">
        <f>V84</f>
        <v/>
      </c>
      <c r="H84" s="21">
        <f>((SUM(S84:U84)/$H$1)*12)</f>
        <v/>
      </c>
      <c r="I84" s="3" t="n"/>
      <c r="J84" s="31" t="n"/>
      <c r="K84" s="31" t="n"/>
      <c r="L84" s="31" t="n"/>
      <c r="M84" s="31" t="n"/>
      <c r="N84" s="31" t="n"/>
      <c r="O84" s="31" t="n"/>
      <c r="P84" s="31" t="n"/>
      <c r="Q84" s="31" t="n"/>
      <c r="R84" s="31" t="n"/>
      <c r="S84" s="31" t="n"/>
      <c r="T84" s="31" t="n"/>
      <c r="U84" s="31" t="n"/>
      <c r="V84" s="27">
        <f>SUM(J84:U84)</f>
        <v/>
      </c>
    </row>
    <row r="85" outlineLevel="1">
      <c r="A85" s="14" t="n"/>
      <c r="B85" s="219" t="n"/>
      <c r="C85" s="3" t="n"/>
      <c r="D85" s="31" t="n"/>
      <c r="E85" s="31" t="n"/>
      <c r="F85" s="31" t="n"/>
      <c r="G85" s="23">
        <f>V85</f>
        <v/>
      </c>
      <c r="H85" s="21">
        <f>((SUM(S85:U85)/$H$1)*12)</f>
        <v/>
      </c>
      <c r="I85" s="3" t="n"/>
      <c r="J85" s="31" t="n"/>
      <c r="K85" s="31" t="n"/>
      <c r="L85" s="31" t="n"/>
      <c r="M85" s="31" t="n"/>
      <c r="N85" s="31" t="n"/>
      <c r="O85" s="31" t="n"/>
      <c r="P85" s="31" t="n"/>
      <c r="Q85" s="31" t="n"/>
      <c r="R85" s="31" t="n"/>
      <c r="S85" s="31" t="n"/>
      <c r="T85" s="31" t="n"/>
      <c r="U85" s="31" t="n"/>
      <c r="V85" s="27">
        <f>SUM(J85:U85)</f>
        <v/>
      </c>
    </row>
    <row r="86" outlineLevel="1">
      <c r="A86" s="14" t="n"/>
      <c r="B86" s="219" t="n"/>
      <c r="C86" s="3" t="n"/>
      <c r="D86" s="31" t="n"/>
      <c r="E86" s="31" t="n"/>
      <c r="F86" s="31" t="n"/>
      <c r="G86" s="23">
        <f>V86</f>
        <v/>
      </c>
      <c r="H86" s="21">
        <f>((SUM(S86:U86)/$H$1)*12)</f>
        <v/>
      </c>
      <c r="I86" s="3" t="n"/>
      <c r="J86" s="31" t="n"/>
      <c r="K86" s="31" t="n"/>
      <c r="L86" s="31" t="n"/>
      <c r="M86" s="31" t="n"/>
      <c r="N86" s="31" t="n"/>
      <c r="O86" s="31" t="n"/>
      <c r="P86" s="31" t="n"/>
      <c r="Q86" s="31" t="n"/>
      <c r="R86" s="31" t="n"/>
      <c r="S86" s="31" t="n"/>
      <c r="T86" s="31" t="n"/>
      <c r="U86" s="31" t="n"/>
      <c r="V86" s="27">
        <f>SUM(J86:U86)</f>
        <v/>
      </c>
    </row>
    <row r="87" outlineLevel="1">
      <c r="A87" s="14" t="n"/>
      <c r="B87" s="219" t="n"/>
      <c r="C87" s="3" t="n"/>
      <c r="D87" s="31" t="n"/>
      <c r="E87" s="31" t="n"/>
      <c r="F87" s="31" t="n"/>
      <c r="G87" s="23">
        <f>V87</f>
        <v/>
      </c>
      <c r="H87" s="21">
        <f>((SUM(S87:U87)/$H$1)*12)</f>
        <v/>
      </c>
      <c r="I87" s="3" t="n"/>
      <c r="J87" s="31" t="n"/>
      <c r="K87" s="31" t="n"/>
      <c r="L87" s="31" t="n"/>
      <c r="M87" s="31" t="n"/>
      <c r="N87" s="31" t="n"/>
      <c r="O87" s="31" t="n"/>
      <c r="P87" s="31" t="n"/>
      <c r="Q87" s="31" t="n"/>
      <c r="R87" s="31" t="n"/>
      <c r="S87" s="31" t="n"/>
      <c r="T87" s="31" t="n"/>
      <c r="U87" s="31" t="n"/>
      <c r="V87" s="27">
        <f>SUM(J87:U87)</f>
        <v/>
      </c>
    </row>
    <row r="88" outlineLevel="1">
      <c r="A88" s="14" t="n"/>
      <c r="B88" s="219" t="n"/>
      <c r="C88" s="3" t="n"/>
      <c r="D88" s="31" t="n"/>
      <c r="E88" s="31" t="n"/>
      <c r="F88" s="31" t="n"/>
      <c r="G88" s="23">
        <f>V88</f>
        <v/>
      </c>
      <c r="H88" s="21">
        <f>((SUM(S88:U88)/$H$1)*12)</f>
        <v/>
      </c>
      <c r="I88" s="3" t="n"/>
      <c r="J88" s="31" t="n"/>
      <c r="K88" s="31" t="n"/>
      <c r="L88" s="31" t="n"/>
      <c r="M88" s="31" t="n"/>
      <c r="N88" s="31" t="n"/>
      <c r="O88" s="31" t="n"/>
      <c r="P88" s="31" t="n"/>
      <c r="Q88" s="31" t="n"/>
      <c r="R88" s="31" t="n"/>
      <c r="S88" s="31" t="n"/>
      <c r="T88" s="31" t="n"/>
      <c r="U88" s="31" t="n"/>
      <c r="V88" s="27">
        <f>SUM(J88:U88)</f>
        <v/>
      </c>
    </row>
    <row r="89" outlineLevel="1">
      <c r="A89" s="14" t="n"/>
      <c r="B89" s="219" t="n"/>
      <c r="C89" s="3" t="n"/>
      <c r="D89" s="31" t="n"/>
      <c r="E89" s="31" t="n"/>
      <c r="F89" s="31" t="n"/>
      <c r="G89" s="23" t="n"/>
      <c r="H89" s="21" t="n"/>
      <c r="I89" s="3" t="n"/>
      <c r="J89" s="31" t="n"/>
      <c r="K89" s="31" t="n"/>
      <c r="L89" s="31" t="n"/>
      <c r="M89" s="31" t="n"/>
      <c r="N89" s="31" t="n"/>
      <c r="O89" s="31" t="n"/>
      <c r="P89" s="31" t="n"/>
      <c r="Q89" s="31" t="n"/>
      <c r="R89" s="31" t="n"/>
      <c r="S89" s="31" t="n"/>
      <c r="T89" s="31" t="n"/>
      <c r="U89" s="31" t="n"/>
      <c r="V89" s="27" t="n"/>
    </row>
    <row r="90" outlineLevel="1">
      <c r="A90" s="14" t="n"/>
      <c r="B90" s="219" t="n"/>
      <c r="C90" s="3" t="n"/>
      <c r="D90" s="31" t="n"/>
      <c r="E90" s="31" t="n"/>
      <c r="F90" s="31" t="n"/>
      <c r="G90" s="23" t="n"/>
      <c r="H90" s="21" t="n"/>
      <c r="I90" s="3" t="n"/>
      <c r="J90" s="31" t="n"/>
      <c r="K90" s="31" t="n"/>
      <c r="L90" s="31" t="n"/>
      <c r="M90" s="31" t="n"/>
      <c r="N90" s="31" t="n"/>
      <c r="O90" s="31" t="n"/>
      <c r="P90" s="31" t="n"/>
      <c r="Q90" s="31" t="n"/>
      <c r="R90" s="31" t="n"/>
      <c r="S90" s="31" t="n"/>
      <c r="T90" s="31" t="n"/>
      <c r="U90" s="31" t="n"/>
      <c r="V90" s="27" t="n"/>
    </row>
    <row r="91" outlineLevel="1">
      <c r="A91" s="14" t="n"/>
      <c r="B91" s="668" t="n"/>
      <c r="C91" s="3" t="n"/>
      <c r="D91" s="31" t="n"/>
      <c r="E91" s="31" t="n"/>
      <c r="F91" s="31" t="n"/>
      <c r="G91" s="23">
        <f>V91</f>
        <v/>
      </c>
      <c r="H91" s="21">
        <f>((SUM(S91:U91)/$H$1)*12)</f>
        <v/>
      </c>
      <c r="I91" s="3" t="n"/>
      <c r="J91" s="31" t="n"/>
      <c r="K91" s="31" t="n"/>
      <c r="L91" s="31" t="n"/>
      <c r="M91" s="31" t="n"/>
      <c r="N91" s="31" t="n"/>
      <c r="O91" s="31" t="n"/>
      <c r="P91" s="31" t="n"/>
      <c r="Q91" s="31" t="n"/>
      <c r="R91" s="31" t="n"/>
      <c r="S91" s="31" t="n"/>
      <c r="T91" s="31" t="n"/>
      <c r="U91" s="31" t="n"/>
      <c r="V91" s="27">
        <f>SUM(J91:U91)</f>
        <v/>
      </c>
    </row>
    <row r="92" outlineLevel="1">
      <c r="A92" s="14" t="n"/>
      <c r="B92" s="219" t="n"/>
      <c r="C92" s="3" t="n"/>
      <c r="D92" s="31" t="n"/>
      <c r="E92" s="31" t="n"/>
      <c r="F92" s="31" t="n"/>
      <c r="G92" s="23">
        <f>V92</f>
        <v/>
      </c>
      <c r="H92" s="21">
        <f>((SUM(S92:U92)/$H$1)*12)</f>
        <v/>
      </c>
      <c r="I92" s="3" t="n"/>
      <c r="J92" s="31" t="n"/>
      <c r="K92" s="31" t="n"/>
      <c r="L92" s="31" t="n"/>
      <c r="M92" s="31" t="n"/>
      <c r="N92" s="31" t="n"/>
      <c r="O92" s="31" t="n"/>
      <c r="P92" s="31" t="n"/>
      <c r="Q92" s="31" t="n"/>
      <c r="R92" s="31" t="n"/>
      <c r="S92" s="31" t="n"/>
      <c r="T92" s="31" t="n"/>
      <c r="U92" s="31" t="n"/>
      <c r="V92" s="27">
        <f>SUM(J92:U92)</f>
        <v/>
      </c>
    </row>
    <row r="93" outlineLevel="1">
      <c r="A93" s="14" t="n"/>
      <c r="B93" s="219" t="n"/>
      <c r="C93" s="3" t="n"/>
      <c r="D93" s="31" t="n"/>
      <c r="E93" s="31" t="n"/>
      <c r="F93" s="31" t="n"/>
      <c r="G93" s="23">
        <f>V93</f>
        <v/>
      </c>
      <c r="H93" s="21">
        <f>((SUM(S93:U93)/$H$1)*12)</f>
        <v/>
      </c>
      <c r="I93" s="3" t="n"/>
      <c r="J93" s="31" t="n"/>
      <c r="K93" s="31" t="n"/>
      <c r="L93" s="31" t="n"/>
      <c r="M93" s="31" t="n"/>
      <c r="N93" s="31" t="n"/>
      <c r="O93" s="31" t="n"/>
      <c r="P93" s="31" t="n"/>
      <c r="Q93" s="31" t="n"/>
      <c r="R93" s="31" t="n"/>
      <c r="S93" s="31" t="n"/>
      <c r="T93" s="31" t="n"/>
      <c r="U93" s="31" t="n"/>
      <c r="V93" s="27">
        <f>SUM(J93:U93)</f>
        <v/>
      </c>
    </row>
    <row r="94" outlineLevel="1">
      <c r="A94" s="14" t="n"/>
      <c r="B94" s="219" t="n"/>
      <c r="C94" s="3" t="n"/>
      <c r="D94" s="31" t="n"/>
      <c r="E94" s="31" t="n"/>
      <c r="F94" s="31" t="n"/>
      <c r="G94" s="23">
        <f>V94</f>
        <v/>
      </c>
      <c r="H94" s="21">
        <f>((SUM(S94:U94)/$H$1)*12)</f>
        <v/>
      </c>
      <c r="I94" s="3" t="n"/>
      <c r="J94" s="31" t="n"/>
      <c r="K94" s="31" t="n"/>
      <c r="L94" s="31" t="n"/>
      <c r="M94" s="31" t="n"/>
      <c r="N94" s="31" t="n"/>
      <c r="O94" s="31" t="n"/>
      <c r="P94" s="31" t="n"/>
      <c r="Q94" s="31" t="n"/>
      <c r="R94" s="31" t="n"/>
      <c r="S94" s="31" t="n"/>
      <c r="T94" s="31" t="n"/>
      <c r="U94" s="31" t="n"/>
      <c r="V94" s="27">
        <f>SUM(J94:U94)</f>
        <v/>
      </c>
    </row>
    <row r="95" outlineLevel="1">
      <c r="A95" s="14" t="n"/>
      <c r="B95" s="219" t="n"/>
      <c r="C95" s="3" t="n"/>
      <c r="D95" s="31" t="n"/>
      <c r="E95" s="31" t="n"/>
      <c r="F95" s="31" t="n"/>
      <c r="G95" s="23">
        <f>V95</f>
        <v/>
      </c>
      <c r="H95" s="21">
        <f>((SUM(S95:U95)/$H$1)*12)</f>
        <v/>
      </c>
      <c r="I95" s="3" t="n"/>
      <c r="J95" s="31" t="n"/>
      <c r="K95" s="31" t="n"/>
      <c r="L95" s="31" t="n"/>
      <c r="M95" s="31" t="n"/>
      <c r="N95" s="31" t="n"/>
      <c r="O95" s="31" t="n"/>
      <c r="P95" s="31" t="n"/>
      <c r="Q95" s="31" t="n"/>
      <c r="R95" s="31" t="n"/>
      <c r="S95" s="31" t="n"/>
      <c r="T95" s="31" t="n"/>
      <c r="U95" s="31" t="n"/>
      <c r="V95" s="27">
        <f>SUM(J95:U95)</f>
        <v/>
      </c>
    </row>
    <row r="96" outlineLevel="1">
      <c r="A96" s="14" t="n"/>
      <c r="B96" s="219" t="n"/>
      <c r="C96" s="3" t="n"/>
      <c r="D96" s="31" t="n"/>
      <c r="E96" s="31" t="n"/>
      <c r="F96" s="31" t="n"/>
      <c r="G96" s="23">
        <f>V96</f>
        <v/>
      </c>
      <c r="H96" s="21">
        <f>((SUM(S96:U96)/$H$1)*12)</f>
        <v/>
      </c>
      <c r="I96" s="3" t="n"/>
      <c r="J96" s="31" t="n"/>
      <c r="K96" s="31" t="n"/>
      <c r="L96" s="31" t="n"/>
      <c r="M96" s="31" t="n"/>
      <c r="N96" s="31" t="n"/>
      <c r="O96" s="31" t="n"/>
      <c r="P96" s="31" t="n"/>
      <c r="Q96" s="31" t="n"/>
      <c r="R96" s="31" t="n"/>
      <c r="S96" s="31" t="n"/>
      <c r="T96" s="31" t="n"/>
      <c r="U96" s="31" t="n"/>
      <c r="V96" s="27">
        <f>SUM(J96:U96)</f>
        <v/>
      </c>
    </row>
    <row r="97" outlineLevel="1">
      <c r="A97" s="14" t="n"/>
      <c r="B97" s="219" t="n"/>
      <c r="C97" s="3" t="n"/>
      <c r="D97" s="31" t="n"/>
      <c r="E97" s="31" t="n"/>
      <c r="F97" s="31" t="n"/>
      <c r="G97" s="23">
        <f>V97</f>
        <v/>
      </c>
      <c r="H97" s="21">
        <f>((SUM(S97:U97)/$H$1)*12)</f>
        <v/>
      </c>
      <c r="I97" s="3" t="n"/>
      <c r="J97" s="31" t="n"/>
      <c r="K97" s="31" t="n"/>
      <c r="L97" s="31" t="n"/>
      <c r="M97" s="31" t="n"/>
      <c r="N97" s="31" t="n"/>
      <c r="O97" s="31" t="n"/>
      <c r="P97" s="31" t="n"/>
      <c r="Q97" s="31" t="n"/>
      <c r="R97" s="31" t="n"/>
      <c r="S97" s="31" t="n"/>
      <c r="T97" s="31" t="n"/>
      <c r="U97" s="31" t="n"/>
      <c r="V97" s="27">
        <f>SUM(J97:U97)</f>
        <v/>
      </c>
    </row>
    <row r="98" outlineLevel="1">
      <c r="A98" s="14" t="n"/>
      <c r="B98" s="219" t="n"/>
      <c r="C98" s="3" t="n"/>
      <c r="D98" s="31" t="n"/>
      <c r="E98" s="31" t="n"/>
      <c r="F98" s="31" t="n"/>
      <c r="G98" s="23">
        <f>V98</f>
        <v/>
      </c>
      <c r="H98" s="21">
        <f>((SUM(S98:U98)/$H$1)*12)</f>
        <v/>
      </c>
      <c r="I98" s="3" t="n"/>
      <c r="J98" s="31" t="n"/>
      <c r="K98" s="31" t="n"/>
      <c r="L98" s="31" t="n"/>
      <c r="M98" s="31" t="n"/>
      <c r="N98" s="31" t="n"/>
      <c r="O98" s="31" t="n"/>
      <c r="P98" s="31" t="n"/>
      <c r="Q98" s="31" t="n"/>
      <c r="R98" s="31" t="n"/>
      <c r="S98" s="31" t="n"/>
      <c r="T98" s="31" t="n"/>
      <c r="U98" s="31" t="n"/>
      <c r="V98" s="27">
        <f>SUM(J98:U98)</f>
        <v/>
      </c>
    </row>
    <row r="99" outlineLevel="1">
      <c r="A99" s="14" t="n"/>
      <c r="B99" s="679" t="n"/>
      <c r="C99" s="3" t="n"/>
      <c r="D99" s="31" t="n"/>
      <c r="E99" s="678" t="n"/>
      <c r="F99" s="31" t="n"/>
      <c r="G99" s="23" t="n"/>
      <c r="H99" s="21" t="n"/>
      <c r="I99" s="3" t="n"/>
      <c r="J99" s="31" t="n"/>
      <c r="K99" s="31" t="n"/>
      <c r="L99" s="31" t="n"/>
      <c r="M99" s="31" t="n"/>
      <c r="N99" s="31" t="n"/>
      <c r="O99" s="31" t="n"/>
      <c r="P99" s="31" t="n"/>
      <c r="Q99" s="31" t="n"/>
      <c r="R99" s="31" t="n"/>
      <c r="S99" s="31" t="n"/>
      <c r="T99" s="31" t="n"/>
      <c r="U99" s="31" t="n"/>
      <c r="V99" s="27" t="n"/>
    </row>
    <row r="100" outlineLevel="1">
      <c r="A100" s="14" t="n"/>
      <c r="B100" s="219" t="n"/>
      <c r="C100" s="3" t="n"/>
      <c r="D100" s="31" t="n"/>
      <c r="E100" s="31" t="n"/>
      <c r="F100" s="31" t="n"/>
      <c r="G100" s="23">
        <f>V100</f>
        <v/>
      </c>
      <c r="H100" s="21">
        <f>((SUM(S100:U100)/$H$1)*12)</f>
        <v/>
      </c>
      <c r="I100" s="3" t="n"/>
      <c r="J100" s="31" t="n"/>
      <c r="K100" s="31" t="n"/>
      <c r="L100" s="31" t="n"/>
      <c r="M100" s="31" t="n"/>
      <c r="N100" s="31" t="n"/>
      <c r="O100" s="31" t="n"/>
      <c r="P100" s="31" t="n"/>
      <c r="Q100" s="31" t="n"/>
      <c r="R100" s="31" t="n"/>
      <c r="S100" s="31" t="n"/>
      <c r="T100" s="31" t="n"/>
      <c r="U100" s="31" t="n"/>
      <c r="V100" s="27">
        <f>SUM(J100:U100)</f>
        <v/>
      </c>
    </row>
    <row r="101" outlineLevel="1">
      <c r="A101" s="14" t="n"/>
      <c r="B101" s="219" t="n"/>
      <c r="C101" s="3" t="n"/>
      <c r="D101" s="31" t="n"/>
      <c r="E101" s="31" t="n"/>
      <c r="F101" s="31" t="n"/>
      <c r="G101" s="23">
        <f>V101</f>
        <v/>
      </c>
      <c r="H101" s="21">
        <f>((SUM(S101:U101)/$H$1)*12)</f>
        <v/>
      </c>
      <c r="I101" s="3" t="n"/>
      <c r="J101" s="31" t="n"/>
      <c r="K101" s="31" t="n"/>
      <c r="L101" s="31" t="n"/>
      <c r="M101" s="31" t="n"/>
      <c r="N101" s="31" t="n"/>
      <c r="O101" s="31" t="n"/>
      <c r="P101" s="31" t="n"/>
      <c r="Q101" s="31" t="n"/>
      <c r="R101" s="31" t="n"/>
      <c r="S101" s="31" t="n"/>
      <c r="T101" s="31" t="n"/>
      <c r="U101" s="31" t="n"/>
      <c r="V101" s="27">
        <f>SUM(J101:U101)</f>
        <v/>
      </c>
    </row>
    <row r="102" outlineLevel="1">
      <c r="A102" s="14" t="n"/>
      <c r="B102" s="219" t="n"/>
      <c r="C102" s="3" t="n"/>
      <c r="D102" s="31" t="n"/>
      <c r="E102" s="31" t="n"/>
      <c r="F102" s="31" t="n"/>
      <c r="G102" s="23" t="n"/>
      <c r="H102" s="21" t="n"/>
      <c r="I102" s="3" t="n"/>
      <c r="J102" s="31" t="n"/>
      <c r="K102" s="31" t="n"/>
      <c r="L102" s="31" t="n"/>
      <c r="M102" s="31" t="n"/>
      <c r="N102" s="31" t="n"/>
      <c r="O102" s="31" t="n"/>
      <c r="P102" s="31" t="n"/>
      <c r="Q102" s="31" t="n"/>
      <c r="R102" s="31" t="n"/>
      <c r="S102" s="31" t="n"/>
      <c r="T102" s="31" t="n"/>
      <c r="U102" s="31" t="n"/>
      <c r="V102" s="27" t="n"/>
    </row>
    <row r="103" ht="4.5" customFormat="1" customHeight="1" s="3">
      <c r="B103" s="322" t="n"/>
      <c r="E103" s="20" t="n"/>
      <c r="F103" s="20" t="n"/>
      <c r="G103" s="20" t="n"/>
      <c r="H103" s="20" t="n"/>
      <c r="J103" s="20" t="n"/>
      <c r="K103" s="20" t="n"/>
      <c r="L103" s="20" t="n"/>
      <c r="M103" s="20" t="n"/>
      <c r="N103" s="20" t="n"/>
      <c r="O103" s="20" t="n"/>
      <c r="P103" s="20" t="n"/>
      <c r="Q103" s="20" t="n"/>
      <c r="R103" s="20" t="n"/>
      <c r="S103" s="20" t="n"/>
      <c r="T103" s="20" t="n"/>
      <c r="U103" s="20" t="n"/>
      <c r="V103" s="20"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row>
    <row r="104" ht="16.5" customHeight="1">
      <c r="A104" s="3" t="n"/>
      <c r="B104" s="3" t="n"/>
      <c r="C104" s="3" t="n"/>
      <c r="D104" s="26">
        <f>SUM(D43:D102)</f>
        <v/>
      </c>
      <c r="E104" s="26">
        <f>SUM(E43:E102)</f>
        <v/>
      </c>
      <c r="F104" s="26">
        <f>SUM(F43:F102)</f>
        <v/>
      </c>
      <c r="G104" s="26">
        <f>SUM(G43:G102)</f>
        <v/>
      </c>
      <c r="H104" s="26">
        <f>SUM(H43:H102)</f>
        <v/>
      </c>
      <c r="I104" s="3">
        <f>SUM(I43:I102)</f>
        <v/>
      </c>
      <c r="J104" s="26">
        <f>SUM(J43:J102)</f>
        <v/>
      </c>
      <c r="K104" s="26">
        <f>SUM(K43:K102)</f>
        <v/>
      </c>
      <c r="L104" s="26">
        <f>SUM(L43:L102)</f>
        <v/>
      </c>
      <c r="M104" s="26">
        <f>SUM(M43:M102)</f>
        <v/>
      </c>
      <c r="N104" s="26">
        <f>SUM(N43:N102)</f>
        <v/>
      </c>
      <c r="O104" s="26">
        <f>SUM(O43:O102)</f>
        <v/>
      </c>
      <c r="P104" s="26">
        <f>SUM(P43:P102)</f>
        <v/>
      </c>
      <c r="Q104" s="26">
        <f>SUM(Q43:Q102)</f>
        <v/>
      </c>
      <c r="R104" s="26">
        <f>SUM(R43:R102)</f>
        <v/>
      </c>
      <c r="S104" s="26">
        <f>SUM(S43:S102)</f>
        <v/>
      </c>
      <c r="T104" s="26">
        <f>SUM(T43:T102)</f>
        <v/>
      </c>
      <c r="U104" s="26">
        <f>SUM(U43:U102)</f>
        <v/>
      </c>
      <c r="V104" s="26">
        <f>SUM(V43:V102)</f>
        <v/>
      </c>
    </row>
    <row r="105" ht="17.25" customHeight="1">
      <c r="A105" s="3" t="n"/>
      <c r="B105" s="17" t="inlineStr">
        <is>
          <t>Input Source Data</t>
        </is>
      </c>
      <c r="C105" s="3" t="n"/>
      <c r="D105" s="11" t="n"/>
      <c r="E105" s="11" t="n">
        <v>494118.5</v>
      </c>
      <c r="F105" s="11" t="n">
        <v>474344.6434999999</v>
      </c>
      <c r="G105" s="10">
        <f>V105</f>
        <v/>
      </c>
      <c r="H105" s="11" t="n"/>
      <c r="I105" s="3" t="n"/>
      <c r="J105" s="10" t="n">
        <v>32070.03</v>
      </c>
      <c r="K105" s="10" t="n">
        <v>37895.07000000001</v>
      </c>
      <c r="L105" s="10" t="n">
        <v>42447.54</v>
      </c>
      <c r="M105" s="10" t="n">
        <v>40762.75999999999</v>
      </c>
      <c r="N105" s="10" t="n">
        <v>40866.52</v>
      </c>
      <c r="O105" s="10" t="n">
        <v>38956.26</v>
      </c>
      <c r="P105" s="10" t="n">
        <v>36923.73999999999</v>
      </c>
      <c r="Q105" s="10" t="n">
        <v>38729.74</v>
      </c>
      <c r="R105" s="10" t="n">
        <v>37739.71999999999</v>
      </c>
      <c r="S105" s="10" t="n">
        <v>36928.78999999999</v>
      </c>
      <c r="T105" s="10" t="n">
        <v>44759.28999999999</v>
      </c>
      <c r="U105" s="10" t="n">
        <v>44104.05</v>
      </c>
      <c r="V105" s="10" t="n">
        <v>472183.51</v>
      </c>
    </row>
    <row r="106" ht="17.25" customHeight="1">
      <c r="A106" s="3" t="n"/>
      <c r="B106" s="16" t="inlineStr">
        <is>
          <t>Check</t>
        </is>
      </c>
      <c r="C106" s="3" t="n"/>
      <c r="D106" s="32">
        <f>IF(D104=D105,"OK")</f>
        <v/>
      </c>
      <c r="E106" s="32">
        <f>IF(E104=E105,"OK")</f>
        <v/>
      </c>
      <c r="F106" s="32">
        <f>IF(F104=F105,"OK")</f>
        <v/>
      </c>
      <c r="G106" s="32">
        <f>IF(G104=G105,"OK")</f>
        <v/>
      </c>
      <c r="H106" s="32" t="inlineStr">
        <is>
          <t>N/A</t>
        </is>
      </c>
      <c r="I106" s="3" t="n"/>
      <c r="J106" s="32">
        <f>IF(J104=J105,"OK")</f>
        <v/>
      </c>
      <c r="K106" s="32">
        <f>IF(K104=K105,"OK")</f>
        <v/>
      </c>
      <c r="L106" s="32">
        <f>IF(L104=L105,"OK")</f>
        <v/>
      </c>
      <c r="M106" s="32">
        <f>IF(M104=M105,"OK")</f>
        <v/>
      </c>
      <c r="N106" s="32">
        <f>IF(N104=N105,"OK")</f>
        <v/>
      </c>
      <c r="O106" s="32">
        <f>IF(O104=O105,"OK")</f>
        <v/>
      </c>
      <c r="P106" s="32">
        <f>IF(P104=P105,"OK")</f>
        <v/>
      </c>
      <c r="Q106" s="32">
        <f>IF(Q104=Q105,"OK")</f>
        <v/>
      </c>
      <c r="R106" s="32">
        <f>IF(R104=R105,"OK")</f>
        <v/>
      </c>
      <c r="S106" s="32">
        <f>IF(S104=S105,"OK")</f>
        <v/>
      </c>
      <c r="T106" s="32">
        <f>IF(T104=T105,"OK")</f>
        <v/>
      </c>
      <c r="U106" s="32">
        <f>IF(U104=U105,"OK")</f>
        <v/>
      </c>
      <c r="V106" s="32">
        <f>IF(V104=V105,"OK")</f>
        <v/>
      </c>
    </row>
    <row r="107" customFormat="1" s="3">
      <c r="E107" s="20" t="n"/>
      <c r="F107" s="20"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row>
    <row r="108" ht="19.5" customHeight="1">
      <c r="A108" s="3" t="n"/>
      <c r="B108" s="24" t="inlineStr">
        <is>
          <t>Net Operating Income</t>
        </is>
      </c>
      <c r="C108" s="3" t="n"/>
      <c r="D108" s="25">
        <f>D38-D104</f>
        <v/>
      </c>
      <c r="E108" s="25">
        <f>E38-E104</f>
        <v/>
      </c>
      <c r="F108" s="25">
        <f>F38-F104</f>
        <v/>
      </c>
      <c r="G108" s="25">
        <f>G38-G104</f>
        <v/>
      </c>
      <c r="H108" s="25">
        <f>H38-H104</f>
        <v/>
      </c>
      <c r="I108" s="30" t="n"/>
      <c r="J108" s="25">
        <f>J38-J104</f>
        <v/>
      </c>
      <c r="K108" s="25">
        <f>K38-K104</f>
        <v/>
      </c>
      <c r="L108" s="25">
        <f>L38-L104</f>
        <v/>
      </c>
      <c r="M108" s="25">
        <f>M38-M104</f>
        <v/>
      </c>
      <c r="N108" s="25">
        <f>N38-N104</f>
        <v/>
      </c>
      <c r="O108" s="25">
        <f>O38-O104</f>
        <v/>
      </c>
      <c r="P108" s="25">
        <f>P38-P104</f>
        <v/>
      </c>
      <c r="Q108" s="25">
        <f>Q38-Q104</f>
        <v/>
      </c>
      <c r="R108" s="25">
        <f>R38-R104</f>
        <v/>
      </c>
      <c r="S108" s="25">
        <f>S38-S104</f>
        <v/>
      </c>
      <c r="T108" s="25">
        <f>T38-T104</f>
        <v/>
      </c>
      <c r="U108" s="25">
        <f>U38-U104</f>
        <v/>
      </c>
      <c r="V108" s="25">
        <f>V38-V104</f>
        <v/>
      </c>
    </row>
    <row r="109" customFormat="1" s="3">
      <c r="E109" s="20" t="n"/>
      <c r="F109" s="20"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row>
    <row r="110" customFormat="1" s="59">
      <c r="E110" s="208" t="n"/>
      <c r="F110" s="208" t="n"/>
    </row>
    <row r="111" customFormat="1" s="59">
      <c r="E111" s="208" t="n"/>
      <c r="F111" s="208" t="n"/>
    </row>
    <row r="112" customFormat="1" s="59">
      <c r="E112" s="208" t="n"/>
      <c r="F112" s="208" t="n"/>
      <c r="L112" s="334" t="n"/>
    </row>
    <row r="113" customFormat="1" s="59">
      <c r="E113" s="208" t="n"/>
      <c r="F113" s="208" t="n"/>
    </row>
    <row r="114" customFormat="1" s="59">
      <c r="E114" s="208" t="n"/>
      <c r="F114" s="208" t="n"/>
    </row>
    <row r="115" customFormat="1" s="59">
      <c r="E115" s="706" t="n"/>
      <c r="F115" s="208" t="n"/>
    </row>
    <row r="116" customFormat="1" s="59">
      <c r="E116" s="208" t="n"/>
      <c r="F116" s="208" t="n"/>
    </row>
    <row r="117" customFormat="1" s="59">
      <c r="E117" s="208" t="n"/>
      <c r="F117" s="208" t="n"/>
    </row>
    <row r="118" customFormat="1" s="59">
      <c r="E118" s="208" t="n"/>
      <c r="F118" s="208" t="n"/>
    </row>
    <row r="119" customFormat="1" s="59">
      <c r="E119" s="208" t="n"/>
      <c r="F119" s="208" t="n"/>
    </row>
    <row r="120" customFormat="1" s="59">
      <c r="E120" s="208" t="n"/>
      <c r="F120" s="208" t="n"/>
    </row>
    <row r="121" customFormat="1" s="59">
      <c r="E121" s="208" t="n"/>
      <c r="F121" s="208" t="n"/>
    </row>
    <row r="122" customFormat="1" s="59">
      <c r="E122" s="208" t="n"/>
      <c r="F122" s="208" t="n"/>
    </row>
    <row r="123" customFormat="1" s="59">
      <c r="E123" s="208" t="n"/>
      <c r="F123" s="208" t="n"/>
    </row>
    <row r="124" customFormat="1" s="59">
      <c r="E124" s="208" t="n"/>
      <c r="F124" s="208" t="n"/>
    </row>
    <row r="125" customFormat="1" s="59">
      <c r="E125" s="208" t="n"/>
      <c r="F125" s="208" t="n"/>
    </row>
    <row r="126" customFormat="1" s="59">
      <c r="E126" s="208" t="n"/>
      <c r="F126" s="208" t="n"/>
    </row>
    <row r="127" customFormat="1" s="59">
      <c r="E127" s="208" t="n"/>
      <c r="F127" s="208" t="n"/>
    </row>
    <row r="128" customFormat="1" s="59">
      <c r="E128" s="208" t="n"/>
      <c r="F128" s="208" t="n"/>
    </row>
    <row r="129" customFormat="1" s="59">
      <c r="E129" s="208" t="n"/>
      <c r="F129" s="208" t="n"/>
    </row>
    <row r="130" customFormat="1" s="59">
      <c r="E130" s="208" t="n"/>
      <c r="F130" s="208" t="n"/>
    </row>
    <row r="131" customFormat="1" s="59">
      <c r="E131" s="208" t="n"/>
      <c r="F131" s="208" t="n"/>
    </row>
    <row r="132" customFormat="1" s="59">
      <c r="E132" s="208" t="n"/>
      <c r="F132" s="208" t="n"/>
    </row>
    <row r="133" customFormat="1" s="59">
      <c r="E133" s="208" t="n"/>
      <c r="F133" s="208" t="n"/>
    </row>
    <row r="134" customFormat="1" s="59">
      <c r="E134" s="208" t="n"/>
      <c r="F134" s="208" t="n"/>
    </row>
    <row r="135" customFormat="1" s="59">
      <c r="E135" s="208" t="n"/>
      <c r="F135" s="208" t="n"/>
    </row>
    <row r="136" customFormat="1" s="59">
      <c r="E136" s="208" t="n"/>
      <c r="F136" s="208" t="n"/>
    </row>
    <row r="137" customFormat="1" s="59">
      <c r="E137" s="208" t="n"/>
      <c r="F137" s="208" t="n"/>
    </row>
    <row r="138" customFormat="1" s="59">
      <c r="E138" s="208" t="n"/>
      <c r="F138" s="208" t="n"/>
    </row>
    <row r="139" customFormat="1" s="59">
      <c r="E139" s="208" t="n"/>
      <c r="F139" s="208" t="n"/>
    </row>
    <row r="140" customFormat="1" s="59">
      <c r="E140" s="208" t="n"/>
      <c r="F140" s="208" t="n"/>
    </row>
    <row r="141" customFormat="1" s="59">
      <c r="E141" s="208" t="n"/>
      <c r="F141" s="208" t="n"/>
    </row>
    <row r="142" customFormat="1" s="59">
      <c r="E142" s="208" t="n"/>
      <c r="F142" s="208" t="n"/>
    </row>
    <row r="143" customFormat="1" s="59">
      <c r="E143" s="208" t="n"/>
      <c r="F143" s="208" t="n"/>
    </row>
    <row r="144" customFormat="1" s="59">
      <c r="E144" s="208" t="n"/>
      <c r="F144" s="208" t="n"/>
    </row>
    <row r="145" customFormat="1" s="59">
      <c r="E145" s="208" t="n"/>
      <c r="F145" s="208" t="n"/>
    </row>
    <row r="146" customFormat="1" s="59">
      <c r="E146" s="208" t="n"/>
      <c r="F146" s="208" t="n"/>
    </row>
    <row r="147" customFormat="1" s="59">
      <c r="E147" s="208" t="n"/>
      <c r="F147" s="208" t="n"/>
    </row>
    <row r="148" customFormat="1" s="59">
      <c r="E148" s="208" t="n"/>
      <c r="F148" s="208" t="n"/>
    </row>
    <row r="149" customFormat="1" s="59">
      <c r="E149" s="208" t="n"/>
      <c r="F149" s="208" t="n"/>
    </row>
    <row r="150" customFormat="1" s="59">
      <c r="E150" s="208" t="n"/>
      <c r="F150" s="208" t="n"/>
    </row>
    <row r="151" customFormat="1" s="59">
      <c r="E151" s="208" t="n"/>
      <c r="F151" s="208" t="n"/>
    </row>
    <row r="152" customFormat="1" s="59">
      <c r="E152" s="208" t="n"/>
      <c r="F152" s="208" t="n"/>
    </row>
    <row r="153" customFormat="1" s="59">
      <c r="E153" s="208" t="n"/>
      <c r="F153" s="208" t="n"/>
    </row>
    <row r="154" customFormat="1" s="59">
      <c r="E154" s="208" t="n"/>
      <c r="F154" s="208" t="n"/>
    </row>
    <row r="155" customFormat="1" s="59">
      <c r="E155" s="208" t="n"/>
      <c r="F155" s="208" t="n"/>
    </row>
    <row r="156" customFormat="1" s="59">
      <c r="E156" s="208" t="n"/>
      <c r="F156" s="208" t="n"/>
    </row>
    <row r="157" customFormat="1" s="59">
      <c r="E157" s="208" t="n"/>
      <c r="F157" s="208" t="n"/>
    </row>
    <row r="158" customFormat="1" s="59">
      <c r="E158" s="208" t="n"/>
      <c r="F158" s="208" t="n"/>
    </row>
    <row r="159" customFormat="1" s="59">
      <c r="E159" s="208" t="n"/>
      <c r="F159" s="208" t="n"/>
    </row>
    <row r="160" customFormat="1" s="59">
      <c r="E160" s="208" t="n"/>
      <c r="F160" s="208" t="n"/>
    </row>
    <row r="161" customFormat="1" s="59">
      <c r="E161" s="208" t="n"/>
      <c r="F161" s="208" t="n"/>
    </row>
    <row r="162" customFormat="1" s="59">
      <c r="E162" s="208" t="n"/>
      <c r="F162" s="208" t="n"/>
    </row>
    <row r="163" customFormat="1" s="59">
      <c r="E163" s="208" t="n"/>
      <c r="F163" s="208" t="n"/>
    </row>
    <row r="164" customFormat="1" s="59">
      <c r="E164" s="208" t="n"/>
      <c r="F164" s="208" t="n"/>
    </row>
    <row r="165" customFormat="1" s="59">
      <c r="E165" s="208" t="n"/>
      <c r="F165" s="208" t="n"/>
    </row>
    <row r="166" customFormat="1" s="59">
      <c r="E166" s="208" t="n"/>
      <c r="F166" s="208" t="n"/>
    </row>
    <row r="167" customFormat="1" s="59">
      <c r="E167" s="208" t="n"/>
      <c r="F167" s="208" t="n"/>
    </row>
    <row r="168" customFormat="1" s="59">
      <c r="E168" s="208" t="n"/>
      <c r="F168" s="208" t="n"/>
    </row>
    <row r="169" customFormat="1" s="59">
      <c r="E169" s="208" t="n"/>
      <c r="F169" s="208" t="n"/>
    </row>
    <row r="170" customFormat="1" s="59">
      <c r="E170" s="208" t="n"/>
      <c r="F170" s="208" t="n"/>
    </row>
    <row r="171" customFormat="1" s="59">
      <c r="E171" s="208" t="n"/>
      <c r="F171" s="208" t="n"/>
    </row>
    <row r="172" customFormat="1" s="59">
      <c r="E172" s="208" t="n"/>
      <c r="F172" s="208" t="n"/>
    </row>
    <row r="173" customFormat="1" s="59">
      <c r="E173" s="208" t="n"/>
      <c r="F173" s="208" t="n"/>
    </row>
    <row r="174" customFormat="1" s="59">
      <c r="E174" s="208" t="n"/>
      <c r="F174" s="208" t="n"/>
    </row>
    <row r="175" customFormat="1" s="59">
      <c r="E175" s="208" t="n"/>
      <c r="F175" s="208" t="n"/>
    </row>
    <row r="176" customFormat="1" s="59">
      <c r="E176" s="208" t="n"/>
      <c r="F176" s="208" t="n"/>
    </row>
    <row r="177" customFormat="1" s="59">
      <c r="E177" s="208" t="n"/>
      <c r="F177" s="208" t="n"/>
    </row>
    <row r="178" customFormat="1" s="59">
      <c r="E178" s="208" t="n"/>
      <c r="F178" s="208" t="n"/>
    </row>
    <row r="179" customFormat="1" s="59">
      <c r="E179" s="208" t="n"/>
      <c r="F179" s="208" t="n"/>
    </row>
    <row r="180" customFormat="1" s="59">
      <c r="E180" s="208" t="n"/>
      <c r="F180" s="208" t="n"/>
    </row>
    <row r="181" customFormat="1" s="59">
      <c r="E181" s="208" t="n"/>
      <c r="F181" s="208" t="n"/>
    </row>
    <row r="182" customFormat="1" s="59">
      <c r="E182" s="208" t="n"/>
      <c r="F182" s="208" t="n"/>
    </row>
    <row r="183" customFormat="1" s="59">
      <c r="E183" s="208" t="n"/>
      <c r="F183" s="208" t="n"/>
    </row>
    <row r="184" customFormat="1" s="59">
      <c r="E184" s="208" t="n"/>
      <c r="F184" s="208" t="n"/>
    </row>
    <row r="185" customFormat="1" s="59">
      <c r="E185" s="208" t="n"/>
      <c r="F185" s="208" t="n"/>
    </row>
    <row r="186" customFormat="1" s="59">
      <c r="E186" s="208" t="n"/>
      <c r="F186" s="208" t="n"/>
    </row>
    <row r="187" customFormat="1" s="59">
      <c r="E187" s="208" t="n"/>
      <c r="F187" s="208" t="n"/>
    </row>
    <row r="188" customFormat="1" s="59">
      <c r="E188" s="208" t="n"/>
      <c r="F188" s="208" t="n"/>
    </row>
    <row r="189" customFormat="1" s="59">
      <c r="E189" s="208" t="n"/>
      <c r="F189" s="208" t="n"/>
    </row>
    <row r="190" customFormat="1" s="59">
      <c r="E190" s="208" t="n"/>
      <c r="F190" s="208" t="n"/>
    </row>
    <row r="191" customFormat="1" s="59">
      <c r="E191" s="208" t="n"/>
      <c r="F191" s="208" t="n"/>
    </row>
    <row r="192" customFormat="1" s="59">
      <c r="E192" s="208" t="n"/>
      <c r="F192" s="208" t="n"/>
    </row>
    <row r="193" customFormat="1" s="59">
      <c r="E193" s="208" t="n"/>
      <c r="F193" s="208" t="n"/>
    </row>
    <row r="194" customFormat="1" s="59">
      <c r="E194" s="208" t="n"/>
      <c r="F194" s="208" t="n"/>
    </row>
    <row r="195" customFormat="1" s="59">
      <c r="E195" s="208" t="n"/>
      <c r="F195" s="208" t="n"/>
    </row>
    <row r="196" customFormat="1" s="59">
      <c r="E196" s="208" t="n"/>
      <c r="F196" s="208" t="n"/>
    </row>
    <row r="197" customFormat="1" s="59">
      <c r="E197" s="208" t="n"/>
      <c r="F197" s="208" t="n"/>
    </row>
    <row r="198" customFormat="1" s="59">
      <c r="E198" s="208" t="n"/>
      <c r="F198" s="208" t="n"/>
    </row>
    <row r="199" customFormat="1" s="59">
      <c r="E199" s="208" t="n"/>
      <c r="F199" s="208" t="n"/>
    </row>
    <row r="200" customFormat="1" s="59">
      <c r="E200" s="208" t="n"/>
      <c r="F200" s="208" t="n"/>
    </row>
    <row r="201" customFormat="1" s="59">
      <c r="E201" s="208" t="n"/>
      <c r="F201" s="208" t="n"/>
    </row>
    <row r="202" customFormat="1" s="59">
      <c r="E202" s="208" t="n"/>
      <c r="F202" s="208" t="n"/>
    </row>
    <row r="203" customFormat="1" s="59">
      <c r="E203" s="208" t="n"/>
      <c r="F203" s="208" t="n"/>
    </row>
    <row r="204" customFormat="1" s="59">
      <c r="E204" s="208" t="n"/>
      <c r="F204" s="208" t="n"/>
    </row>
    <row r="205" customFormat="1" s="59">
      <c r="E205" s="208" t="n"/>
      <c r="F205" s="208" t="n"/>
    </row>
    <row r="206" customFormat="1" s="59">
      <c r="E206" s="208" t="n"/>
      <c r="F206" s="208" t="n"/>
    </row>
    <row r="207" customFormat="1" s="59">
      <c r="E207" s="208" t="n"/>
      <c r="F207" s="208" t="n"/>
    </row>
    <row r="208" customFormat="1" s="59">
      <c r="E208" s="208" t="n"/>
      <c r="F208" s="208" t="n"/>
    </row>
    <row r="209" customFormat="1" s="59">
      <c r="E209" s="208" t="n"/>
      <c r="F209" s="208" t="n"/>
    </row>
    <row r="210" customFormat="1" s="59">
      <c r="E210" s="208" t="n"/>
      <c r="F210" s="208" t="n"/>
    </row>
    <row r="211" customFormat="1" s="59">
      <c r="E211" s="208" t="n"/>
      <c r="F211" s="208" t="n"/>
    </row>
    <row r="212" customFormat="1" s="59">
      <c r="E212" s="208" t="n"/>
      <c r="F212" s="208" t="n"/>
    </row>
    <row r="213" customFormat="1" s="59">
      <c r="E213" s="208" t="n"/>
      <c r="F213" s="208" t="n"/>
    </row>
    <row r="214" customFormat="1" s="59">
      <c r="E214" s="208" t="n"/>
      <c r="F214" s="208" t="n"/>
    </row>
    <row r="215" customFormat="1" s="59">
      <c r="E215" s="208" t="n"/>
      <c r="F215" s="208" t="n"/>
    </row>
    <row r="216" customFormat="1" s="59">
      <c r="E216" s="208" t="n"/>
      <c r="F216" s="208" t="n"/>
    </row>
    <row r="217" customFormat="1" s="59">
      <c r="E217" s="208" t="n"/>
      <c r="F217" s="208" t="n"/>
    </row>
    <row r="218" customFormat="1" s="59">
      <c r="E218" s="208" t="n"/>
      <c r="F218" s="208" t="n"/>
    </row>
    <row r="219" customFormat="1" s="59">
      <c r="E219" s="208" t="n"/>
      <c r="F219" s="208" t="n"/>
    </row>
    <row r="220" customFormat="1" s="59">
      <c r="E220" s="208" t="n"/>
      <c r="F220" s="208" t="n"/>
    </row>
    <row r="221" customFormat="1" s="59">
      <c r="E221" s="208" t="n"/>
      <c r="F221" s="208" t="n"/>
    </row>
    <row r="222" customFormat="1" s="59">
      <c r="E222" s="208" t="n"/>
      <c r="F222" s="208" t="n"/>
    </row>
    <row r="223" customFormat="1" s="59">
      <c r="E223" s="208" t="n"/>
      <c r="F223" s="208" t="n"/>
    </row>
    <row r="224" customFormat="1" s="59">
      <c r="E224" s="208" t="n"/>
      <c r="F224" s="208" t="n"/>
    </row>
    <row r="225" customFormat="1" s="59">
      <c r="E225" s="208" t="n"/>
      <c r="F225" s="208" t="n"/>
    </row>
    <row r="226" customFormat="1" s="59">
      <c r="E226" s="208" t="n"/>
      <c r="F226" s="208" t="n"/>
    </row>
    <row r="227" customFormat="1" s="59">
      <c r="E227" s="208" t="n"/>
      <c r="F227" s="208" t="n"/>
    </row>
    <row r="228" customFormat="1" s="59">
      <c r="E228" s="208" t="n"/>
      <c r="F228" s="208" t="n"/>
    </row>
    <row r="229" customFormat="1" s="59">
      <c r="E229" s="208" t="n"/>
      <c r="F229" s="208" t="n"/>
    </row>
    <row r="230" customFormat="1" s="59">
      <c r="E230" s="208" t="n"/>
      <c r="F230" s="208" t="n"/>
    </row>
    <row r="231" customFormat="1" s="59">
      <c r="E231" s="208" t="n"/>
      <c r="F231" s="208" t="n"/>
    </row>
    <row r="232" customFormat="1" s="59">
      <c r="E232" s="208" t="n"/>
      <c r="F232" s="208" t="n"/>
    </row>
    <row r="233" customFormat="1" s="59">
      <c r="E233" s="208" t="n"/>
      <c r="F233" s="208" t="n"/>
    </row>
    <row r="234" customFormat="1" s="59">
      <c r="E234" s="208" t="n"/>
      <c r="F234" s="208" t="n"/>
    </row>
    <row r="235" customFormat="1" s="59">
      <c r="E235" s="208" t="n"/>
      <c r="F235" s="208" t="n"/>
    </row>
    <row r="236" customFormat="1" s="59">
      <c r="E236" s="208" t="n"/>
      <c r="F236" s="208" t="n"/>
    </row>
    <row r="237" customFormat="1" s="59">
      <c r="E237" s="208" t="n"/>
      <c r="F237" s="208" t="n"/>
    </row>
    <row r="238" customFormat="1" s="59">
      <c r="E238" s="208" t="n"/>
      <c r="F238" s="208" t="n"/>
    </row>
    <row r="239" customFormat="1" s="59">
      <c r="E239" s="208" t="n"/>
      <c r="F239" s="208" t="n"/>
    </row>
    <row r="240" customFormat="1" s="59">
      <c r="E240" s="208" t="n"/>
      <c r="F240" s="208" t="n"/>
    </row>
    <row r="241" customFormat="1" s="59">
      <c r="E241" s="208" t="n"/>
      <c r="F241" s="208" t="n"/>
    </row>
    <row r="242" customFormat="1" s="59">
      <c r="E242" s="208" t="n"/>
      <c r="F242" s="208" t="n"/>
    </row>
    <row r="243" customFormat="1" s="59">
      <c r="E243" s="208" t="n"/>
      <c r="F243" s="208" t="n"/>
    </row>
    <row r="244" customFormat="1" s="59">
      <c r="E244" s="208" t="n"/>
      <c r="F244" s="208" t="n"/>
    </row>
    <row r="245" customFormat="1" s="59">
      <c r="E245" s="208" t="n"/>
      <c r="F245" s="208" t="n"/>
    </row>
    <row r="246" customFormat="1" s="59">
      <c r="E246" s="208" t="n"/>
      <c r="F246" s="208" t="n"/>
    </row>
    <row r="247" customFormat="1" s="59">
      <c r="E247" s="208" t="n"/>
      <c r="F247" s="208" t="n"/>
    </row>
    <row r="248" customFormat="1" s="59">
      <c r="E248" s="208" t="n"/>
      <c r="F248" s="208" t="n"/>
    </row>
    <row r="249" customFormat="1" s="59">
      <c r="E249" s="208" t="n"/>
      <c r="F249" s="208" t="n"/>
    </row>
    <row r="250" customFormat="1" s="59">
      <c r="E250" s="208" t="n"/>
      <c r="F250" s="208" t="n"/>
    </row>
    <row r="251" customFormat="1" s="59">
      <c r="E251" s="208" t="n"/>
      <c r="F251" s="208" t="n"/>
    </row>
    <row r="252" customFormat="1" s="59">
      <c r="E252" s="208" t="n"/>
      <c r="F252" s="208" t="n"/>
    </row>
    <row r="253" customFormat="1" s="59">
      <c r="E253" s="208" t="n"/>
      <c r="F253" s="208" t="n"/>
    </row>
    <row r="254" customFormat="1" s="59">
      <c r="E254" s="208" t="n"/>
      <c r="F254" s="208" t="n"/>
    </row>
    <row r="255" customFormat="1" s="59">
      <c r="E255" s="208" t="n"/>
      <c r="F255" s="208" t="n"/>
    </row>
    <row r="256" customFormat="1" s="59">
      <c r="E256" s="208" t="n"/>
      <c r="F256" s="208" t="n"/>
    </row>
    <row r="257" customFormat="1" s="59">
      <c r="E257" s="208" t="n"/>
      <c r="F257" s="208" t="n"/>
    </row>
    <row r="258" customFormat="1" s="59">
      <c r="E258" s="208" t="n"/>
      <c r="F258" s="208" t="n"/>
    </row>
    <row r="259" customFormat="1" s="59">
      <c r="E259" s="208" t="n"/>
      <c r="F259" s="208" t="n"/>
    </row>
    <row r="260" customFormat="1" s="59">
      <c r="E260" s="208" t="n"/>
      <c r="F260" s="208" t="n"/>
    </row>
    <row r="261" customFormat="1" s="59">
      <c r="E261" s="208" t="n"/>
      <c r="F261" s="208" t="n"/>
    </row>
    <row r="262" customFormat="1" s="59">
      <c r="E262" s="208" t="n"/>
      <c r="F262" s="208" t="n"/>
    </row>
    <row r="263" customFormat="1" s="59">
      <c r="E263" s="208" t="n"/>
      <c r="F263" s="208" t="n"/>
    </row>
    <row r="264" customFormat="1" s="59">
      <c r="E264" s="208" t="n"/>
      <c r="F264" s="208" t="n"/>
    </row>
    <row r="265" customFormat="1" s="59">
      <c r="E265" s="208" t="n"/>
      <c r="F265" s="208" t="n"/>
    </row>
    <row r="266" customFormat="1" s="59">
      <c r="E266" s="208" t="n"/>
      <c r="F266" s="208" t="n"/>
    </row>
    <row r="267" customFormat="1" s="59">
      <c r="E267" s="208" t="n"/>
      <c r="F267" s="208" t="n"/>
    </row>
    <row r="268" customFormat="1" s="59">
      <c r="E268" s="208" t="n"/>
      <c r="F268" s="208" t="n"/>
    </row>
    <row r="269" customFormat="1" s="59">
      <c r="E269" s="208" t="n"/>
      <c r="F269" s="208" t="n"/>
    </row>
    <row r="270" customFormat="1" s="59">
      <c r="E270" s="208" t="n"/>
      <c r="F270" s="208" t="n"/>
    </row>
    <row r="271" customFormat="1" s="59">
      <c r="E271" s="208" t="n"/>
      <c r="F271" s="208" t="n"/>
    </row>
    <row r="272" customFormat="1" s="59">
      <c r="E272" s="208" t="n"/>
      <c r="F272" s="208" t="n"/>
    </row>
    <row r="273" customFormat="1" s="59">
      <c r="E273" s="208" t="n"/>
      <c r="F273" s="208" t="n"/>
    </row>
    <row r="274" customFormat="1" s="59">
      <c r="E274" s="208" t="n"/>
      <c r="F274" s="208" t="n"/>
    </row>
    <row r="275" customFormat="1" s="59">
      <c r="E275" s="208" t="n"/>
      <c r="F275" s="208" t="n"/>
    </row>
    <row r="276" customFormat="1" s="59">
      <c r="E276" s="208" t="n"/>
      <c r="F276" s="208" t="n"/>
    </row>
    <row r="277" customFormat="1" s="59">
      <c r="E277" s="208" t="n"/>
      <c r="F277" s="208" t="n"/>
    </row>
    <row r="278" customFormat="1" s="59">
      <c r="E278" s="208" t="n"/>
      <c r="F278" s="208" t="n"/>
    </row>
    <row r="279" customFormat="1" s="59">
      <c r="E279" s="208" t="n"/>
      <c r="F279" s="208" t="n"/>
    </row>
    <row r="280" customFormat="1" s="59">
      <c r="E280" s="208" t="n"/>
      <c r="F280" s="208" t="n"/>
    </row>
    <row r="281" customFormat="1" s="59">
      <c r="E281" s="208" t="n"/>
      <c r="F281" s="208" t="n"/>
    </row>
    <row r="282" customFormat="1" s="59">
      <c r="E282" s="208" t="n"/>
      <c r="F282" s="208" t="n"/>
    </row>
    <row r="283" customFormat="1" s="59">
      <c r="E283" s="208" t="n"/>
      <c r="F283" s="208" t="n"/>
    </row>
    <row r="284" customFormat="1" s="59">
      <c r="E284" s="208" t="n"/>
      <c r="F284" s="208" t="n"/>
    </row>
    <row r="285" customFormat="1" s="59">
      <c r="E285" s="208" t="n"/>
      <c r="F285" s="208" t="n"/>
    </row>
    <row r="286" customFormat="1" s="59">
      <c r="E286" s="208" t="n"/>
      <c r="F286" s="208" t="n"/>
    </row>
    <row r="287" customFormat="1" s="59">
      <c r="E287" s="208" t="n"/>
      <c r="F287" s="208" t="n"/>
    </row>
    <row r="288" customFormat="1" s="59">
      <c r="E288" s="208" t="n"/>
      <c r="F288" s="208" t="n"/>
    </row>
    <row r="289" customFormat="1" s="59">
      <c r="E289" s="208" t="n"/>
      <c r="F289" s="208" t="n"/>
    </row>
    <row r="290" customFormat="1" s="59">
      <c r="E290" s="208" t="n"/>
      <c r="F290" s="208" t="n"/>
    </row>
    <row r="291" customFormat="1" s="59">
      <c r="E291" s="208" t="n"/>
      <c r="F291" s="208" t="n"/>
    </row>
    <row r="292" customFormat="1" s="59">
      <c r="E292" s="208" t="n"/>
      <c r="F292" s="208" t="n"/>
    </row>
    <row r="293" customFormat="1" s="59">
      <c r="E293" s="208" t="n"/>
      <c r="F293" s="208" t="n"/>
    </row>
    <row r="294" customFormat="1" s="59">
      <c r="E294" s="208" t="n"/>
      <c r="F294" s="208" t="n"/>
    </row>
    <row r="295" customFormat="1" s="59">
      <c r="E295" s="208" t="n"/>
      <c r="F295" s="208" t="n"/>
    </row>
    <row r="296" customFormat="1" s="59">
      <c r="E296" s="208" t="n"/>
      <c r="F296" s="208" t="n"/>
    </row>
    <row r="297" customFormat="1" s="59">
      <c r="E297" s="208" t="n"/>
      <c r="F297" s="208" t="n"/>
    </row>
    <row r="298" customFormat="1" s="59">
      <c r="E298" s="208" t="n"/>
      <c r="F298" s="208" t="n"/>
    </row>
    <row r="299" customFormat="1" s="59">
      <c r="E299" s="208" t="n"/>
      <c r="F299" s="208" t="n"/>
    </row>
    <row r="300" customFormat="1" s="59">
      <c r="E300" s="208" t="n"/>
      <c r="F300" s="208" t="n"/>
    </row>
    <row r="301" customFormat="1" s="59">
      <c r="E301" s="208" t="n"/>
      <c r="F301" s="208" t="n"/>
    </row>
    <row r="302" customFormat="1" s="59">
      <c r="E302" s="208" t="n"/>
      <c r="F302" s="208" t="n"/>
    </row>
    <row r="303" customFormat="1" s="59">
      <c r="E303" s="208" t="n"/>
      <c r="F303" s="208" t="n"/>
    </row>
    <row r="304" customFormat="1" s="59">
      <c r="E304" s="208" t="n"/>
      <c r="F304" s="208" t="n"/>
    </row>
    <row r="305" customFormat="1" s="59">
      <c r="E305" s="208" t="n"/>
      <c r="F305" s="208" t="n"/>
    </row>
    <row r="306" customFormat="1" s="59">
      <c r="E306" s="208" t="n"/>
      <c r="F306" s="208" t="n"/>
    </row>
    <row r="307" customFormat="1" s="59">
      <c r="E307" s="208" t="n"/>
      <c r="F307" s="208" t="n"/>
    </row>
    <row r="308" customFormat="1" s="59">
      <c r="E308" s="208" t="n"/>
      <c r="F308" s="208" t="n"/>
    </row>
    <row r="309" customFormat="1" s="59">
      <c r="E309" s="208" t="n"/>
      <c r="F309" s="208" t="n"/>
    </row>
    <row r="310" customFormat="1" s="59">
      <c r="E310" s="208" t="n"/>
      <c r="F310" s="208" t="n"/>
    </row>
    <row r="311" customFormat="1" s="59">
      <c r="E311" s="208" t="n"/>
      <c r="F311" s="208" t="n"/>
    </row>
    <row r="312" customFormat="1" s="59">
      <c r="E312" s="208" t="n"/>
      <c r="F312" s="208" t="n"/>
    </row>
    <row r="313" customFormat="1" s="59">
      <c r="E313" s="208" t="n"/>
      <c r="F313" s="208" t="n"/>
    </row>
    <row r="314" customFormat="1" s="59">
      <c r="E314" s="208" t="n"/>
      <c r="F314" s="208" t="n"/>
    </row>
    <row r="315" customFormat="1" s="59">
      <c r="E315" s="208" t="n"/>
      <c r="F315" s="208" t="n"/>
    </row>
    <row r="316" customFormat="1" s="59">
      <c r="E316" s="208" t="n"/>
      <c r="F316" s="208" t="n"/>
    </row>
    <row r="317" customFormat="1" s="59">
      <c r="E317" s="208" t="n"/>
      <c r="F317" s="208" t="n"/>
    </row>
    <row r="318" customFormat="1" s="59">
      <c r="E318" s="208" t="n"/>
      <c r="F318" s="208" t="n"/>
    </row>
    <row r="319" customFormat="1" s="59">
      <c r="E319" s="208" t="n"/>
      <c r="F319" s="208" t="n"/>
    </row>
    <row r="320" customFormat="1" s="59">
      <c r="E320" s="208" t="n"/>
      <c r="F320" s="208" t="n"/>
    </row>
    <row r="321" customFormat="1" s="59">
      <c r="E321" s="208" t="n"/>
      <c r="F321" s="208" t="n"/>
    </row>
    <row r="322" customFormat="1" s="59">
      <c r="E322" s="208" t="n"/>
      <c r="F322" s="208" t="n"/>
    </row>
    <row r="323" customFormat="1" s="59">
      <c r="E323" s="208" t="n"/>
      <c r="F323" s="208" t="n"/>
    </row>
    <row r="324" customFormat="1" s="59">
      <c r="E324" s="208" t="n"/>
      <c r="F324" s="208" t="n"/>
    </row>
    <row r="325" customFormat="1" s="59">
      <c r="E325" s="208" t="n"/>
      <c r="F325" s="208" t="n"/>
    </row>
    <row r="326" customFormat="1" s="59">
      <c r="E326" s="208" t="n"/>
      <c r="F326" s="208" t="n"/>
    </row>
    <row r="327" customFormat="1" s="59">
      <c r="E327" s="208" t="n"/>
      <c r="F327" s="208" t="n"/>
    </row>
    <row r="328" customFormat="1" s="59">
      <c r="E328" s="208" t="n"/>
      <c r="F328" s="208" t="n"/>
    </row>
    <row r="329" customFormat="1" s="59">
      <c r="E329" s="208" t="n"/>
      <c r="F329" s="208" t="n"/>
    </row>
    <row r="330" customFormat="1" s="59">
      <c r="E330" s="208" t="n"/>
      <c r="F330" s="208" t="n"/>
    </row>
    <row r="331" customFormat="1" s="59">
      <c r="E331" s="208" t="n"/>
      <c r="F331" s="208" t="n"/>
    </row>
    <row r="332" customFormat="1" s="59">
      <c r="E332" s="208" t="n"/>
      <c r="F332" s="208" t="n"/>
    </row>
    <row r="333" customFormat="1" s="59">
      <c r="E333" s="208" t="n"/>
      <c r="F333" s="208" t="n"/>
    </row>
    <row r="334" customFormat="1" s="59">
      <c r="E334" s="208" t="n"/>
      <c r="F334" s="208" t="n"/>
    </row>
    <row r="335" customFormat="1" s="59">
      <c r="E335" s="208" t="n"/>
      <c r="F335" s="208" t="n"/>
    </row>
    <row r="336" customFormat="1" s="59">
      <c r="E336" s="208" t="n"/>
      <c r="F336" s="208" t="n"/>
    </row>
    <row r="337" customFormat="1" s="59">
      <c r="E337" s="208" t="n"/>
      <c r="F337" s="208" t="n"/>
    </row>
    <row r="338" customFormat="1" s="59">
      <c r="E338" s="208" t="n"/>
      <c r="F338" s="208" t="n"/>
    </row>
    <row r="339" customFormat="1" s="59">
      <c r="E339" s="208" t="n"/>
      <c r="F339" s="208" t="n"/>
    </row>
    <row r="340" customFormat="1" s="59">
      <c r="E340" s="208" t="n"/>
      <c r="F340" s="208" t="n"/>
    </row>
    <row r="341" customFormat="1" s="59">
      <c r="E341" s="208" t="n"/>
      <c r="F341" s="208" t="n"/>
    </row>
    <row r="342" customFormat="1" s="59">
      <c r="E342" s="208" t="n"/>
      <c r="F342" s="208" t="n"/>
    </row>
    <row r="343" customFormat="1" s="59">
      <c r="E343" s="208" t="n"/>
      <c r="F343" s="208" t="n"/>
    </row>
    <row r="344" customFormat="1" s="59">
      <c r="E344" s="208" t="n"/>
      <c r="F344" s="208" t="n"/>
    </row>
    <row r="345" customFormat="1" s="59">
      <c r="E345" s="208" t="n"/>
      <c r="F345" s="208" t="n"/>
    </row>
    <row r="346" customFormat="1" s="59">
      <c r="E346" s="208" t="n"/>
      <c r="F346" s="208" t="n"/>
    </row>
    <row r="347" customFormat="1" s="59">
      <c r="E347" s="208" t="n"/>
      <c r="F347" s="208" t="n"/>
    </row>
    <row r="348" customFormat="1" s="59">
      <c r="E348" s="208" t="n"/>
      <c r="F348" s="208" t="n"/>
    </row>
    <row r="349" customFormat="1" s="59">
      <c r="E349" s="208" t="n"/>
      <c r="F349" s="208" t="n"/>
    </row>
    <row r="350" customFormat="1" s="59">
      <c r="E350" s="208" t="n"/>
      <c r="F350" s="208" t="n"/>
    </row>
    <row r="351" customFormat="1" s="59">
      <c r="E351" s="208" t="n"/>
      <c r="F351" s="208" t="n"/>
    </row>
    <row r="352" customFormat="1" s="59">
      <c r="E352" s="208" t="n"/>
      <c r="F352" s="208" t="n"/>
    </row>
    <row r="353" customFormat="1" s="59">
      <c r="E353" s="208" t="n"/>
      <c r="F353" s="208" t="n"/>
    </row>
    <row r="354" customFormat="1" s="59">
      <c r="E354" s="208" t="n"/>
      <c r="F354" s="208" t="n"/>
    </row>
    <row r="355" customFormat="1" s="59">
      <c r="E355" s="208" t="n"/>
      <c r="F355" s="208" t="n"/>
    </row>
    <row r="356" customFormat="1" s="59">
      <c r="E356" s="208" t="n"/>
      <c r="F356" s="208" t="n"/>
    </row>
    <row r="357" customFormat="1" s="59">
      <c r="E357" s="208" t="n"/>
      <c r="F357" s="208" t="n"/>
    </row>
    <row r="358" customFormat="1" s="59">
      <c r="E358" s="208" t="n"/>
      <c r="F358" s="208" t="n"/>
    </row>
    <row r="359" customFormat="1" s="59">
      <c r="E359" s="208" t="n"/>
      <c r="F359" s="208" t="n"/>
    </row>
    <row r="360" customFormat="1" s="59">
      <c r="E360" s="208" t="n"/>
      <c r="F360" s="208" t="n"/>
    </row>
    <row r="361" customFormat="1" s="59">
      <c r="E361" s="208" t="n"/>
      <c r="F361" s="208" t="n"/>
    </row>
    <row r="362" customFormat="1" s="59">
      <c r="E362" s="208" t="n"/>
      <c r="F362" s="208" t="n"/>
    </row>
    <row r="363" customFormat="1" s="59">
      <c r="E363" s="208" t="n"/>
      <c r="F363" s="208" t="n"/>
    </row>
    <row r="364" customFormat="1" s="59">
      <c r="E364" s="208" t="n"/>
      <c r="F364" s="208" t="n"/>
    </row>
    <row r="365" customFormat="1" s="59">
      <c r="E365" s="208" t="n"/>
      <c r="F365" s="208" t="n"/>
    </row>
    <row r="366" customFormat="1" s="59">
      <c r="E366" s="208" t="n"/>
      <c r="F366" s="208" t="n"/>
    </row>
    <row r="367" customFormat="1" s="59">
      <c r="E367" s="208" t="n"/>
      <c r="F367" s="208" t="n"/>
    </row>
    <row r="368" customFormat="1" s="59">
      <c r="E368" s="208" t="n"/>
      <c r="F368" s="208" t="n"/>
    </row>
    <row r="369" customFormat="1" s="59">
      <c r="E369" s="208" t="n"/>
      <c r="F369" s="208" t="n"/>
    </row>
    <row r="370" customFormat="1" s="59">
      <c r="E370" s="208" t="n"/>
      <c r="F370" s="208" t="n"/>
    </row>
    <row r="371" customFormat="1" s="59">
      <c r="E371" s="208" t="n"/>
      <c r="F371" s="208" t="n"/>
    </row>
    <row r="372" customFormat="1" s="59">
      <c r="E372" s="208" t="n"/>
      <c r="F372" s="208" t="n"/>
    </row>
    <row r="373" customFormat="1" s="59">
      <c r="E373" s="208" t="n"/>
      <c r="F373" s="208" t="n"/>
    </row>
    <row r="374" customFormat="1" s="59">
      <c r="E374" s="208" t="n"/>
      <c r="F374" s="208" t="n"/>
    </row>
    <row r="375" customFormat="1" s="59">
      <c r="E375" s="208" t="n"/>
      <c r="F375" s="208" t="n"/>
    </row>
    <row r="376" customFormat="1" s="59">
      <c r="E376" s="208" t="n"/>
      <c r="F376" s="208" t="n"/>
    </row>
    <row r="377" customFormat="1" s="59">
      <c r="E377" s="208" t="n"/>
      <c r="F377" s="208" t="n"/>
    </row>
    <row r="378" customFormat="1" s="59">
      <c r="E378" s="208" t="n"/>
      <c r="F378" s="208" t="n"/>
    </row>
    <row r="379" customFormat="1" s="59">
      <c r="E379" s="208" t="n"/>
      <c r="F379" s="208" t="n"/>
    </row>
    <row r="380" customFormat="1" s="59">
      <c r="E380" s="208" t="n"/>
      <c r="F380" s="208" t="n"/>
    </row>
    <row r="381" customFormat="1" s="59">
      <c r="E381" s="208" t="n"/>
      <c r="F381" s="208" t="n"/>
    </row>
    <row r="382" customFormat="1" s="59">
      <c r="E382" s="208" t="n"/>
      <c r="F382" s="208" t="n"/>
    </row>
    <row r="383" customFormat="1" s="59">
      <c r="E383" s="208" t="n"/>
      <c r="F383" s="208" t="n"/>
    </row>
    <row r="384" customFormat="1" s="59">
      <c r="E384" s="208" t="n"/>
      <c r="F384" s="208" t="n"/>
    </row>
    <row r="385" customFormat="1" s="59">
      <c r="E385" s="208" t="n"/>
      <c r="F385" s="208" t="n"/>
    </row>
    <row r="386" customFormat="1" s="59">
      <c r="E386" s="208" t="n"/>
      <c r="F386" s="208" t="n"/>
    </row>
    <row r="387" customFormat="1" s="59">
      <c r="E387" s="208" t="n"/>
      <c r="F387" s="208" t="n"/>
    </row>
    <row r="388" customFormat="1" s="59">
      <c r="E388" s="208" t="n"/>
      <c r="F388" s="208" t="n"/>
    </row>
    <row r="389" customFormat="1" s="59">
      <c r="E389" s="208" t="n"/>
      <c r="F389" s="208" t="n"/>
    </row>
    <row r="390" customFormat="1" s="59">
      <c r="E390" s="208" t="n"/>
      <c r="F390" s="208" t="n"/>
    </row>
    <row r="391" customFormat="1" s="59">
      <c r="E391" s="208" t="n"/>
      <c r="F391" s="208" t="n"/>
    </row>
    <row r="392" customFormat="1" s="59">
      <c r="E392" s="208" t="n"/>
      <c r="F392" s="208" t="n"/>
    </row>
    <row r="393" customFormat="1" s="59">
      <c r="E393" s="208" t="n"/>
      <c r="F393" s="208" t="n"/>
    </row>
    <row r="394" customFormat="1" s="59">
      <c r="E394" s="208" t="n"/>
      <c r="F394" s="208" t="n"/>
    </row>
    <row r="395" customFormat="1" s="59">
      <c r="E395" s="208" t="n"/>
      <c r="F395" s="208" t="n"/>
    </row>
    <row r="396" customFormat="1" s="59">
      <c r="E396" s="208" t="n"/>
      <c r="F396" s="208" t="n"/>
    </row>
    <row r="397" customFormat="1" s="59">
      <c r="E397" s="208" t="n"/>
      <c r="F397" s="208" t="n"/>
    </row>
    <row r="398" customFormat="1" s="59">
      <c r="E398" s="208" t="n"/>
      <c r="F398" s="208" t="n"/>
    </row>
    <row r="399" customFormat="1" s="59">
      <c r="E399" s="208" t="n"/>
      <c r="F399" s="208" t="n"/>
    </row>
    <row r="400" customFormat="1" s="59">
      <c r="E400" s="208" t="n"/>
      <c r="F400" s="208" t="n"/>
    </row>
    <row r="401" customFormat="1" s="59">
      <c r="E401" s="208" t="n"/>
      <c r="F401" s="208" t="n"/>
    </row>
    <row r="402" customFormat="1" s="59">
      <c r="E402" s="208" t="n"/>
      <c r="F402" s="208" t="n"/>
    </row>
    <row r="403" customFormat="1" s="59">
      <c r="E403" s="208" t="n"/>
      <c r="F403" s="208" t="n"/>
    </row>
    <row r="404" customFormat="1" s="59">
      <c r="E404" s="208" t="n"/>
      <c r="F404" s="208" t="n"/>
    </row>
    <row r="405" customFormat="1" s="59">
      <c r="E405" s="208" t="n"/>
      <c r="F405" s="208" t="n"/>
    </row>
    <row r="406" customFormat="1" s="59">
      <c r="E406" s="208" t="n"/>
      <c r="F406" s="208" t="n"/>
    </row>
    <row r="407" customFormat="1" s="59">
      <c r="E407" s="208" t="n"/>
      <c r="F407" s="208" t="n"/>
    </row>
    <row r="408" customFormat="1" s="59">
      <c r="E408" s="208" t="n"/>
      <c r="F408" s="208" t="n"/>
    </row>
    <row r="409" customFormat="1" s="59">
      <c r="E409" s="208" t="n"/>
      <c r="F409" s="208" t="n"/>
    </row>
    <row r="410" customFormat="1" s="59">
      <c r="E410" s="208" t="n"/>
      <c r="F410" s="208" t="n"/>
    </row>
    <row r="411" customFormat="1" s="59">
      <c r="E411" s="208" t="n"/>
      <c r="F411" s="208" t="n"/>
    </row>
    <row r="412" customFormat="1" s="59">
      <c r="E412" s="208" t="n"/>
      <c r="F412" s="208" t="n"/>
    </row>
    <row r="413" customFormat="1" s="59">
      <c r="E413" s="208" t="n"/>
      <c r="F413" s="208" t="n"/>
    </row>
    <row r="414" customFormat="1" s="59">
      <c r="E414" s="208" t="n"/>
      <c r="F414" s="208" t="n"/>
    </row>
    <row r="415" customFormat="1" s="59">
      <c r="E415" s="208" t="n"/>
      <c r="F415" s="208" t="n"/>
    </row>
    <row r="416" customFormat="1" s="59">
      <c r="E416" s="208" t="n"/>
      <c r="F416" s="208" t="n"/>
    </row>
    <row r="417" customFormat="1" s="59">
      <c r="E417" s="208" t="n"/>
      <c r="F417" s="208" t="n"/>
    </row>
    <row r="418" customFormat="1" s="59">
      <c r="E418" s="208" t="n"/>
      <c r="F418" s="208" t="n"/>
    </row>
    <row r="419" customFormat="1" s="59">
      <c r="E419" s="208" t="n"/>
      <c r="F419" s="208" t="n"/>
    </row>
    <row r="420" customFormat="1" s="59">
      <c r="E420" s="208" t="n"/>
      <c r="F420" s="208" t="n"/>
    </row>
    <row r="421" customFormat="1" s="59">
      <c r="E421" s="208" t="n"/>
      <c r="F421" s="208" t="n"/>
    </row>
    <row r="422" customFormat="1" s="59">
      <c r="E422" s="208" t="n"/>
      <c r="F422" s="208" t="n"/>
    </row>
    <row r="423" customFormat="1" s="59">
      <c r="E423" s="208" t="n"/>
      <c r="F423" s="208" t="n"/>
    </row>
    <row r="424" customFormat="1" s="59">
      <c r="E424" s="208" t="n"/>
      <c r="F424" s="208" t="n"/>
    </row>
    <row r="425" customFormat="1" s="59">
      <c r="E425" s="208" t="n"/>
      <c r="F425" s="208" t="n"/>
    </row>
    <row r="426" customFormat="1" s="59">
      <c r="E426" s="208" t="n"/>
      <c r="F426" s="208" t="n"/>
    </row>
    <row r="427" customFormat="1" s="59">
      <c r="E427" s="208" t="n"/>
      <c r="F427" s="208" t="n"/>
    </row>
    <row r="428" customFormat="1" s="59">
      <c r="E428" s="208" t="n"/>
      <c r="F428" s="208" t="n"/>
    </row>
    <row r="429" customFormat="1" s="59">
      <c r="E429" s="208" t="n"/>
      <c r="F429" s="208" t="n"/>
    </row>
    <row r="430" customFormat="1" s="59">
      <c r="E430" s="208" t="n"/>
      <c r="F430" s="208" t="n"/>
    </row>
    <row r="431" customFormat="1" s="59">
      <c r="E431" s="208" t="n"/>
      <c r="F431" s="208" t="n"/>
    </row>
    <row r="432" customFormat="1" s="59">
      <c r="E432" s="208" t="n"/>
      <c r="F432" s="208" t="n"/>
    </row>
    <row r="433" customFormat="1" s="59">
      <c r="E433" s="208" t="n"/>
      <c r="F433" s="208" t="n"/>
    </row>
    <row r="434" customFormat="1" s="59">
      <c r="E434" s="208" t="n"/>
      <c r="F434" s="208" t="n"/>
    </row>
    <row r="435" customFormat="1" s="59">
      <c r="E435" s="208" t="n"/>
      <c r="F435" s="208" t="n"/>
    </row>
    <row r="436" customFormat="1" s="59">
      <c r="E436" s="208" t="n"/>
      <c r="F436" s="208" t="n"/>
    </row>
    <row r="437" customFormat="1" s="59">
      <c r="E437" s="208" t="n"/>
      <c r="F437" s="208" t="n"/>
    </row>
    <row r="438" customFormat="1" s="59">
      <c r="E438" s="208" t="n"/>
      <c r="F438" s="208" t="n"/>
    </row>
    <row r="439" customFormat="1" s="59">
      <c r="E439" s="208" t="n"/>
      <c r="F439" s="208" t="n"/>
    </row>
    <row r="440" customFormat="1" s="59">
      <c r="E440" s="208" t="n"/>
      <c r="F440" s="208" t="n"/>
    </row>
    <row r="441" customFormat="1" s="59">
      <c r="E441" s="208" t="n"/>
      <c r="F441" s="208" t="n"/>
    </row>
    <row r="442" customFormat="1" s="59">
      <c r="E442" s="208" t="n"/>
      <c r="F442" s="208" t="n"/>
    </row>
    <row r="443" customFormat="1" s="59">
      <c r="E443" s="208" t="n"/>
      <c r="F443" s="208" t="n"/>
    </row>
    <row r="444" customFormat="1" s="59">
      <c r="E444" s="208" t="n"/>
      <c r="F444" s="208" t="n"/>
    </row>
    <row r="445" customFormat="1" s="59">
      <c r="E445" s="208" t="n"/>
      <c r="F445" s="208" t="n"/>
    </row>
    <row r="446" customFormat="1" s="59">
      <c r="E446" s="208" t="n"/>
      <c r="F446" s="208" t="n"/>
    </row>
    <row r="447" customFormat="1" s="59">
      <c r="E447" s="208" t="n"/>
      <c r="F447" s="208" t="n"/>
    </row>
    <row r="448" customFormat="1" s="59">
      <c r="E448" s="208" t="n"/>
      <c r="F448" s="208" t="n"/>
    </row>
    <row r="449" customFormat="1" s="59">
      <c r="E449" s="208" t="n"/>
      <c r="F449" s="208" t="n"/>
    </row>
    <row r="450" customFormat="1" s="59">
      <c r="E450" s="208" t="n"/>
      <c r="F450" s="208" t="n"/>
    </row>
    <row r="451" customFormat="1" s="59">
      <c r="E451" s="208" t="n"/>
      <c r="F451" s="208" t="n"/>
    </row>
    <row r="452" customFormat="1" s="59">
      <c r="E452" s="208" t="n"/>
      <c r="F452" s="208" t="n"/>
    </row>
    <row r="453" customFormat="1" s="59">
      <c r="E453" s="208" t="n"/>
      <c r="F453" s="208" t="n"/>
    </row>
    <row r="454" customFormat="1" s="59">
      <c r="E454" s="208" t="n"/>
      <c r="F454" s="208" t="n"/>
    </row>
    <row r="455" customFormat="1" s="59">
      <c r="E455" s="208" t="n"/>
      <c r="F455" s="208" t="n"/>
    </row>
    <row r="456" customFormat="1" s="59">
      <c r="E456" s="208" t="n"/>
      <c r="F456" s="208" t="n"/>
    </row>
    <row r="457" customFormat="1" s="59">
      <c r="E457" s="208" t="n"/>
      <c r="F457" s="208" t="n"/>
    </row>
    <row r="458" customFormat="1" s="59">
      <c r="E458" s="208" t="n"/>
      <c r="F458" s="208" t="n"/>
    </row>
    <row r="459" customFormat="1" s="59">
      <c r="E459" s="208" t="n"/>
      <c r="F459" s="208" t="n"/>
    </row>
    <row r="460" customFormat="1" s="59">
      <c r="E460" s="208" t="n"/>
      <c r="F460" s="208" t="n"/>
    </row>
    <row r="461" customFormat="1" s="59">
      <c r="E461" s="208" t="n"/>
      <c r="F461" s="208" t="n"/>
    </row>
    <row r="462" customFormat="1" s="59">
      <c r="E462" s="208" t="n"/>
      <c r="F462" s="208" t="n"/>
    </row>
    <row r="463" customFormat="1" s="59">
      <c r="E463" s="208" t="n"/>
      <c r="F463" s="208" t="n"/>
    </row>
    <row r="464" customFormat="1" s="59">
      <c r="E464" s="208" t="n"/>
      <c r="F464" s="208" t="n"/>
    </row>
    <row r="465" customFormat="1" s="59">
      <c r="E465" s="208" t="n"/>
      <c r="F465" s="208" t="n"/>
    </row>
    <row r="466" customFormat="1" s="59">
      <c r="E466" s="208" t="n"/>
      <c r="F466" s="208" t="n"/>
    </row>
    <row r="467" customFormat="1" s="59">
      <c r="E467" s="208" t="n"/>
      <c r="F467" s="208" t="n"/>
    </row>
    <row r="468" customFormat="1" s="59">
      <c r="E468" s="208" t="n"/>
      <c r="F468" s="208" t="n"/>
    </row>
    <row r="469" customFormat="1" s="59">
      <c r="E469" s="208" t="n"/>
      <c r="F469" s="208" t="n"/>
    </row>
    <row r="470" customFormat="1" s="59">
      <c r="E470" s="208" t="n"/>
      <c r="F470" s="208" t="n"/>
    </row>
    <row r="471" customFormat="1" s="59">
      <c r="E471" s="208" t="n"/>
      <c r="F471" s="208" t="n"/>
    </row>
    <row r="472" customFormat="1" s="59">
      <c r="E472" s="208" t="n"/>
      <c r="F472" s="208" t="n"/>
    </row>
    <row r="473" customFormat="1" s="59">
      <c r="E473" s="208" t="n"/>
      <c r="F473" s="208" t="n"/>
    </row>
    <row r="474" customFormat="1" s="59">
      <c r="E474" s="208" t="n"/>
      <c r="F474" s="208" t="n"/>
    </row>
    <row r="475" customFormat="1" s="59">
      <c r="E475" s="208" t="n"/>
      <c r="F475" s="208" t="n"/>
    </row>
    <row r="476" customFormat="1" s="59">
      <c r="E476" s="208" t="n"/>
      <c r="F476" s="208" t="n"/>
    </row>
    <row r="477" customFormat="1" s="59">
      <c r="E477" s="208" t="n"/>
      <c r="F477" s="208" t="n"/>
    </row>
    <row r="478" customFormat="1" s="59">
      <c r="E478" s="208" t="n"/>
      <c r="F478" s="208" t="n"/>
    </row>
    <row r="479" customFormat="1" s="59">
      <c r="E479" s="208" t="n"/>
      <c r="F479" s="208" t="n"/>
    </row>
    <row r="480" customFormat="1" s="59">
      <c r="E480" s="208" t="n"/>
      <c r="F480" s="208" t="n"/>
    </row>
    <row r="481" customFormat="1" s="59">
      <c r="E481" s="208" t="n"/>
      <c r="F481" s="208" t="n"/>
    </row>
    <row r="482" customFormat="1" s="59">
      <c r="E482" s="208" t="n"/>
      <c r="F482" s="208" t="n"/>
    </row>
    <row r="483" customFormat="1" s="59">
      <c r="E483" s="208" t="n"/>
      <c r="F483" s="208" t="n"/>
    </row>
    <row r="484" customFormat="1" s="59">
      <c r="E484" s="208" t="n"/>
      <c r="F484" s="208" t="n"/>
    </row>
    <row r="485" customFormat="1" s="59">
      <c r="E485" s="208" t="n"/>
      <c r="F485" s="208" t="n"/>
    </row>
    <row r="486" customFormat="1" s="59">
      <c r="E486" s="208" t="n"/>
      <c r="F486" s="208" t="n"/>
    </row>
    <row r="487" customFormat="1" s="59">
      <c r="E487" s="208" t="n"/>
      <c r="F487" s="208" t="n"/>
    </row>
    <row r="488" customFormat="1" s="59">
      <c r="E488" s="208" t="n"/>
      <c r="F488" s="208" t="n"/>
    </row>
    <row r="489" customFormat="1" s="59">
      <c r="E489" s="208" t="n"/>
      <c r="F489" s="208" t="n"/>
    </row>
    <row r="490" customFormat="1" s="59">
      <c r="E490" s="208" t="n"/>
      <c r="F490" s="208" t="n"/>
    </row>
    <row r="491" customFormat="1" s="59">
      <c r="E491" s="208" t="n"/>
      <c r="F491" s="208" t="n"/>
    </row>
    <row r="492" customFormat="1" s="59">
      <c r="E492" s="208" t="n"/>
      <c r="F492" s="208" t="n"/>
    </row>
    <row r="493" customFormat="1" s="59">
      <c r="E493" s="208" t="n"/>
      <c r="F493" s="208" t="n"/>
    </row>
    <row r="494" customFormat="1" s="59">
      <c r="E494" s="208" t="n"/>
      <c r="F494" s="208" t="n"/>
    </row>
    <row r="495" customFormat="1" s="59">
      <c r="E495" s="208" t="n"/>
      <c r="F495" s="208" t="n"/>
    </row>
    <row r="496" customFormat="1" s="59">
      <c r="E496" s="208" t="n"/>
      <c r="F496" s="208" t="n"/>
    </row>
    <row r="497" customFormat="1" s="59">
      <c r="E497" s="208" t="n"/>
      <c r="F497" s="208" t="n"/>
    </row>
    <row r="498" customFormat="1" s="59">
      <c r="E498" s="208" t="n"/>
      <c r="F498" s="208" t="n"/>
    </row>
    <row r="499" customFormat="1" s="59">
      <c r="E499" s="208" t="n"/>
      <c r="F499" s="208" t="n"/>
    </row>
    <row r="500" customFormat="1" s="59">
      <c r="E500" s="208" t="n"/>
      <c r="F500" s="208" t="n"/>
    </row>
    <row r="501" customFormat="1" s="59">
      <c r="E501" s="208" t="n"/>
      <c r="F501" s="208" t="n"/>
    </row>
    <row r="502" customFormat="1" s="59">
      <c r="E502" s="208" t="n"/>
      <c r="F502" s="208" t="n"/>
    </row>
    <row r="503" customFormat="1" s="59">
      <c r="E503" s="208" t="n"/>
      <c r="F503" s="208" t="n"/>
    </row>
    <row r="504" customFormat="1" s="59">
      <c r="E504" s="208" t="n"/>
      <c r="F504" s="208" t="n"/>
    </row>
    <row r="505" customFormat="1" s="59">
      <c r="E505" s="208" t="n"/>
      <c r="F505" s="208" t="n"/>
    </row>
    <row r="506" customFormat="1" s="59">
      <c r="E506" s="208" t="n"/>
      <c r="F506" s="208" t="n"/>
    </row>
    <row r="507" customFormat="1" s="59">
      <c r="E507" s="208" t="n"/>
      <c r="F507" s="208" t="n"/>
    </row>
    <row r="508" customFormat="1" s="59">
      <c r="E508" s="208" t="n"/>
      <c r="F508" s="208" t="n"/>
    </row>
    <row r="509" customFormat="1" s="59">
      <c r="E509" s="208" t="n"/>
      <c r="F509" s="208" t="n"/>
    </row>
    <row r="510" customFormat="1" s="59">
      <c r="E510" s="208" t="n"/>
      <c r="F510" s="208" t="n"/>
    </row>
    <row r="511" customFormat="1" s="59">
      <c r="E511" s="208" t="n"/>
      <c r="F511" s="208" t="n"/>
    </row>
    <row r="512" customFormat="1" s="59">
      <c r="E512" s="208" t="n"/>
      <c r="F512" s="208" t="n"/>
    </row>
    <row r="513" customFormat="1" s="59">
      <c r="E513" s="208" t="n"/>
      <c r="F513" s="208" t="n"/>
    </row>
    <row r="514" customFormat="1" s="59">
      <c r="E514" s="208" t="n"/>
      <c r="F514" s="208" t="n"/>
    </row>
    <row r="515" customFormat="1" s="59">
      <c r="E515" s="208" t="n"/>
      <c r="F515" s="208" t="n"/>
    </row>
    <row r="516" customFormat="1" s="59">
      <c r="E516" s="208" t="n"/>
      <c r="F516" s="208" t="n"/>
    </row>
    <row r="517" customFormat="1" s="59">
      <c r="E517" s="208" t="n"/>
      <c r="F517" s="208" t="n"/>
    </row>
    <row r="518" customFormat="1" s="59">
      <c r="E518" s="208" t="n"/>
      <c r="F518" s="208" t="n"/>
    </row>
    <row r="519" customFormat="1" s="59">
      <c r="E519" s="208" t="n"/>
      <c r="F519" s="208" t="n"/>
    </row>
    <row r="520" customFormat="1" s="59">
      <c r="E520" s="208" t="n"/>
      <c r="F520" s="208" t="n"/>
    </row>
    <row r="521" customFormat="1" s="59">
      <c r="E521" s="208" t="n"/>
      <c r="F521" s="208" t="n"/>
    </row>
    <row r="522" customFormat="1" s="59">
      <c r="E522" s="208" t="n"/>
      <c r="F522" s="208" t="n"/>
    </row>
    <row r="523" customFormat="1" s="59">
      <c r="E523" s="208" t="n"/>
      <c r="F523" s="208" t="n"/>
    </row>
    <row r="524" customFormat="1" s="59">
      <c r="E524" s="208" t="n"/>
      <c r="F524" s="208" t="n"/>
    </row>
    <row r="525" customFormat="1" s="59">
      <c r="E525" s="208" t="n"/>
      <c r="F525" s="208" t="n"/>
    </row>
    <row r="526" customFormat="1" s="59">
      <c r="E526" s="208" t="n"/>
      <c r="F526" s="208" t="n"/>
    </row>
    <row r="527" customFormat="1" s="59">
      <c r="E527" s="208" t="n"/>
      <c r="F527" s="208" t="n"/>
    </row>
    <row r="528" customFormat="1" s="59">
      <c r="E528" s="208" t="n"/>
      <c r="F528" s="208" t="n"/>
    </row>
    <row r="529" customFormat="1" s="59">
      <c r="E529" s="208" t="n"/>
      <c r="F529" s="208" t="n"/>
    </row>
    <row r="530" customFormat="1" s="59">
      <c r="E530" s="208" t="n"/>
      <c r="F530" s="208" t="n"/>
    </row>
    <row r="531" customFormat="1" s="59">
      <c r="E531" s="208" t="n"/>
      <c r="F531" s="208" t="n"/>
    </row>
    <row r="532" customFormat="1" s="59">
      <c r="E532" s="208" t="n"/>
      <c r="F532" s="208" t="n"/>
    </row>
    <row r="533" customFormat="1" s="59">
      <c r="E533" s="208" t="n"/>
      <c r="F533" s="208" t="n"/>
    </row>
    <row r="534" customFormat="1" s="59">
      <c r="E534" s="208" t="n"/>
      <c r="F534" s="208" t="n"/>
    </row>
    <row r="535" customFormat="1" s="59">
      <c r="E535" s="208" t="n"/>
      <c r="F535" s="208" t="n"/>
    </row>
    <row r="536" customFormat="1" s="59">
      <c r="E536" s="208" t="n"/>
      <c r="F536" s="208" t="n"/>
    </row>
    <row r="537" customFormat="1" s="59">
      <c r="E537" s="208" t="n"/>
      <c r="F537" s="208" t="n"/>
    </row>
    <row r="538" customFormat="1" s="59">
      <c r="E538" s="208" t="n"/>
      <c r="F538" s="208" t="n"/>
    </row>
    <row r="539" customFormat="1" s="59">
      <c r="E539" s="208" t="n"/>
      <c r="F539" s="208" t="n"/>
    </row>
    <row r="540" customFormat="1" s="59">
      <c r="E540" s="208" t="n"/>
      <c r="F540" s="208" t="n"/>
    </row>
    <row r="541" customFormat="1" s="59">
      <c r="E541" s="208" t="n"/>
      <c r="F541" s="208" t="n"/>
    </row>
    <row r="542" customFormat="1" s="59">
      <c r="E542" s="208" t="n"/>
      <c r="F542" s="208" t="n"/>
    </row>
    <row r="543" customFormat="1" s="59">
      <c r="E543" s="208" t="n"/>
      <c r="F543" s="208" t="n"/>
    </row>
    <row r="544" customFormat="1" s="59">
      <c r="E544" s="208" t="n"/>
      <c r="F544" s="208" t="n"/>
    </row>
    <row r="545" customFormat="1" s="59">
      <c r="E545" s="208" t="n"/>
      <c r="F545" s="208" t="n"/>
    </row>
    <row r="546" customFormat="1" s="59">
      <c r="E546" s="208" t="n"/>
      <c r="F546" s="208" t="n"/>
    </row>
    <row r="547" customFormat="1" s="59">
      <c r="E547" s="208" t="n"/>
      <c r="F547" s="208" t="n"/>
    </row>
    <row r="548" customFormat="1" s="59">
      <c r="E548" s="208" t="n"/>
      <c r="F548" s="208" t="n"/>
    </row>
    <row r="549" customFormat="1" s="59">
      <c r="E549" s="208" t="n"/>
      <c r="F549" s="208" t="n"/>
    </row>
    <row r="550" customFormat="1" s="59">
      <c r="E550" s="208" t="n"/>
      <c r="F550" s="208" t="n"/>
    </row>
    <row r="551" customFormat="1" s="59">
      <c r="E551" s="208" t="n"/>
      <c r="F551" s="208" t="n"/>
    </row>
    <row r="552" customFormat="1" s="59">
      <c r="E552" s="208" t="n"/>
      <c r="F552" s="208" t="n"/>
    </row>
    <row r="553" customFormat="1" s="59">
      <c r="E553" s="208" t="n"/>
      <c r="F553" s="208" t="n"/>
    </row>
    <row r="554" customFormat="1" s="59">
      <c r="E554" s="208" t="n"/>
      <c r="F554" s="208" t="n"/>
    </row>
    <row r="555" customFormat="1" s="59">
      <c r="E555" s="208" t="n"/>
      <c r="F555" s="208" t="n"/>
    </row>
    <row r="556" customFormat="1" s="59">
      <c r="E556" s="208" t="n"/>
      <c r="F556" s="208" t="n"/>
    </row>
    <row r="557" customFormat="1" s="59">
      <c r="E557" s="208" t="n"/>
      <c r="F557" s="208" t="n"/>
    </row>
    <row r="558" customFormat="1" s="59">
      <c r="E558" s="208" t="n"/>
      <c r="F558" s="208" t="n"/>
    </row>
    <row r="559" customFormat="1" s="59">
      <c r="E559" s="208" t="n"/>
      <c r="F559" s="208" t="n"/>
    </row>
    <row r="560" customFormat="1" s="59">
      <c r="E560" s="208" t="n"/>
      <c r="F560" s="208" t="n"/>
    </row>
    <row r="561" customFormat="1" s="59">
      <c r="E561" s="208" t="n"/>
      <c r="F561" s="208" t="n"/>
    </row>
    <row r="562" customFormat="1" s="59">
      <c r="E562" s="208" t="n"/>
      <c r="F562" s="208" t="n"/>
    </row>
    <row r="563" customFormat="1" s="59">
      <c r="E563" s="208" t="n"/>
      <c r="F563" s="208" t="n"/>
    </row>
    <row r="564" customFormat="1" s="59">
      <c r="E564" s="208" t="n"/>
      <c r="F564" s="208" t="n"/>
    </row>
    <row r="565" customFormat="1" s="59">
      <c r="E565" s="208" t="n"/>
      <c r="F565" s="208" t="n"/>
    </row>
    <row r="566" customFormat="1" s="59">
      <c r="E566" s="208" t="n"/>
      <c r="F566" s="208" t="n"/>
    </row>
    <row r="567" customFormat="1" s="59">
      <c r="E567" s="208" t="n"/>
      <c r="F567" s="208" t="n"/>
    </row>
    <row r="568" customFormat="1" s="59">
      <c r="E568" s="208" t="n"/>
      <c r="F568" s="208" t="n"/>
    </row>
    <row r="569" customFormat="1" s="59">
      <c r="E569" s="208" t="n"/>
      <c r="F569" s="208" t="n"/>
    </row>
    <row r="570" customFormat="1" s="59">
      <c r="E570" s="208" t="n"/>
      <c r="F570" s="208" t="n"/>
    </row>
    <row r="571" customFormat="1" s="59">
      <c r="E571" s="208" t="n"/>
      <c r="F571" s="208" t="n"/>
    </row>
    <row r="572" customFormat="1" s="59">
      <c r="E572" s="208" t="n"/>
      <c r="F572" s="208" t="n"/>
    </row>
    <row r="573" customFormat="1" s="59">
      <c r="E573" s="208" t="n"/>
      <c r="F573" s="208" t="n"/>
    </row>
    <row r="574" customFormat="1" s="59">
      <c r="E574" s="208" t="n"/>
      <c r="F574" s="208" t="n"/>
    </row>
    <row r="575" customFormat="1" s="59">
      <c r="E575" s="208" t="n"/>
      <c r="F575" s="208" t="n"/>
    </row>
    <row r="576" customFormat="1" s="59">
      <c r="E576" s="208" t="n"/>
      <c r="F576" s="208" t="n"/>
    </row>
    <row r="577" customFormat="1" s="59">
      <c r="E577" s="208" t="n"/>
      <c r="F577" s="208" t="n"/>
    </row>
    <row r="578" customFormat="1" s="59">
      <c r="E578" s="208" t="n"/>
      <c r="F578" s="208" t="n"/>
    </row>
    <row r="579" customFormat="1" s="59">
      <c r="E579" s="208" t="n"/>
      <c r="F579" s="208" t="n"/>
    </row>
    <row r="580" customFormat="1" s="59">
      <c r="E580" s="208" t="n"/>
      <c r="F580" s="208" t="n"/>
    </row>
    <row r="581" customFormat="1" s="59">
      <c r="E581" s="208" t="n"/>
      <c r="F581" s="208" t="n"/>
    </row>
    <row r="582" customFormat="1" s="59">
      <c r="E582" s="208" t="n"/>
      <c r="F582" s="208" t="n"/>
    </row>
    <row r="583" customFormat="1" s="59">
      <c r="E583" s="208" t="n"/>
      <c r="F583" s="208" t="n"/>
    </row>
    <row r="584" customFormat="1" s="59">
      <c r="E584" s="208" t="n"/>
      <c r="F584" s="208" t="n"/>
    </row>
    <row r="585" customFormat="1" s="59">
      <c r="E585" s="208" t="n"/>
      <c r="F585" s="208" t="n"/>
    </row>
    <row r="586" customFormat="1" s="59">
      <c r="E586" s="208" t="n"/>
      <c r="F586" s="208" t="n"/>
    </row>
    <row r="587" customFormat="1" s="59">
      <c r="E587" s="208" t="n"/>
      <c r="F587" s="208" t="n"/>
    </row>
    <row r="588" customFormat="1" s="59">
      <c r="E588" s="208" t="n"/>
      <c r="F588" s="208" t="n"/>
    </row>
    <row r="589" customFormat="1" s="59">
      <c r="E589" s="208" t="n"/>
      <c r="F589" s="208" t="n"/>
    </row>
    <row r="590" customFormat="1" s="59">
      <c r="E590" s="208" t="n"/>
      <c r="F590" s="208" t="n"/>
    </row>
    <row r="591" customFormat="1" s="59">
      <c r="E591" s="208" t="n"/>
      <c r="F591" s="208" t="n"/>
    </row>
    <row r="592" customFormat="1" s="59">
      <c r="E592" s="208" t="n"/>
      <c r="F592" s="208" t="n"/>
    </row>
    <row r="593" customFormat="1" s="59">
      <c r="E593" s="208" t="n"/>
      <c r="F593" s="208" t="n"/>
    </row>
    <row r="594" customFormat="1" s="59">
      <c r="E594" s="208" t="n"/>
      <c r="F594" s="208" t="n"/>
    </row>
    <row r="595" customFormat="1" s="59">
      <c r="E595" s="208" t="n"/>
      <c r="F595" s="208" t="n"/>
    </row>
    <row r="596" customFormat="1" s="59">
      <c r="E596" s="208" t="n"/>
      <c r="F596" s="208" t="n"/>
    </row>
    <row r="597" customFormat="1" s="59">
      <c r="E597" s="208" t="n"/>
      <c r="F597" s="208" t="n"/>
    </row>
    <row r="598" customFormat="1" s="59">
      <c r="E598" s="208" t="n"/>
      <c r="F598" s="208" t="n"/>
    </row>
    <row r="599" customFormat="1" s="59">
      <c r="E599" s="208" t="n"/>
      <c r="F599" s="208" t="n"/>
    </row>
    <row r="600" customFormat="1" s="59">
      <c r="E600" s="208" t="n"/>
      <c r="F600" s="208" t="n"/>
    </row>
    <row r="601" customFormat="1" s="59">
      <c r="E601" s="208" t="n"/>
      <c r="F601" s="208" t="n"/>
    </row>
    <row r="602" customFormat="1" s="59">
      <c r="E602" s="208" t="n"/>
      <c r="F602" s="208" t="n"/>
    </row>
    <row r="603" customFormat="1" s="59">
      <c r="E603" s="208" t="n"/>
      <c r="F603" s="208" t="n"/>
    </row>
    <row r="604" customFormat="1" s="59">
      <c r="E604" s="208" t="n"/>
      <c r="F604" s="208" t="n"/>
    </row>
    <row r="605" customFormat="1" s="59">
      <c r="E605" s="208" t="n"/>
      <c r="F605" s="208" t="n"/>
    </row>
    <row r="606" customFormat="1" s="59">
      <c r="E606" s="208" t="n"/>
      <c r="F606" s="208" t="n"/>
    </row>
    <row r="607" customFormat="1" s="59">
      <c r="E607" s="208" t="n"/>
      <c r="F607" s="208" t="n"/>
    </row>
    <row r="608" customFormat="1" s="59">
      <c r="E608" s="208" t="n"/>
      <c r="F608" s="208" t="n"/>
    </row>
    <row r="609" customFormat="1" s="59">
      <c r="E609" s="208" t="n"/>
      <c r="F609" s="208" t="n"/>
    </row>
    <row r="610" customFormat="1" s="59">
      <c r="E610" s="208" t="n"/>
      <c r="F610" s="208" t="n"/>
    </row>
    <row r="611" customFormat="1" s="59">
      <c r="E611" s="208" t="n"/>
      <c r="F611" s="208" t="n"/>
    </row>
    <row r="612" customFormat="1" s="59">
      <c r="E612" s="208" t="n"/>
      <c r="F612" s="208" t="n"/>
    </row>
    <row r="613" customFormat="1" s="59">
      <c r="E613" s="208" t="n"/>
      <c r="F613" s="208" t="n"/>
    </row>
    <row r="614" customFormat="1" s="59">
      <c r="E614" s="208" t="n"/>
      <c r="F614" s="208" t="n"/>
    </row>
    <row r="615" customFormat="1" s="59">
      <c r="E615" s="208" t="n"/>
      <c r="F615" s="208" t="n"/>
    </row>
    <row r="616" customFormat="1" s="59">
      <c r="E616" s="208" t="n"/>
      <c r="F616" s="208" t="n"/>
    </row>
    <row r="617" customFormat="1" s="59">
      <c r="E617" s="208" t="n"/>
      <c r="F617" s="208" t="n"/>
    </row>
    <row r="618" customFormat="1" s="59">
      <c r="E618" s="208" t="n"/>
      <c r="F618" s="208" t="n"/>
    </row>
    <row r="619" customFormat="1" s="59">
      <c r="E619" s="208" t="n"/>
      <c r="F619" s="208" t="n"/>
    </row>
    <row r="620" customFormat="1" s="59">
      <c r="E620" s="208" t="n"/>
      <c r="F620" s="208" t="n"/>
    </row>
    <row r="621" customFormat="1" s="59">
      <c r="E621" s="208" t="n"/>
      <c r="F621" s="208" t="n"/>
    </row>
    <row r="622" customFormat="1" s="59">
      <c r="E622" s="208" t="n"/>
      <c r="F622" s="208" t="n"/>
    </row>
    <row r="623" customFormat="1" s="59">
      <c r="E623" s="208" t="n"/>
      <c r="F623" s="208" t="n"/>
    </row>
    <row r="624" customFormat="1" s="59">
      <c r="E624" s="208" t="n"/>
      <c r="F624" s="208" t="n"/>
    </row>
    <row r="625" customFormat="1" s="59">
      <c r="E625" s="208" t="n"/>
      <c r="F625" s="208" t="n"/>
    </row>
    <row r="626" customFormat="1" s="59">
      <c r="E626" s="208" t="n"/>
      <c r="F626" s="208" t="n"/>
    </row>
    <row r="627" customFormat="1" s="59">
      <c r="E627" s="208" t="n"/>
      <c r="F627" s="208" t="n"/>
    </row>
    <row r="628" customFormat="1" s="59">
      <c r="E628" s="208" t="n"/>
      <c r="F628" s="208" t="n"/>
    </row>
    <row r="629" customFormat="1" s="59">
      <c r="E629" s="208" t="n"/>
      <c r="F629" s="208" t="n"/>
    </row>
    <row r="630" customFormat="1" s="59">
      <c r="E630" s="208" t="n"/>
      <c r="F630" s="208" t="n"/>
    </row>
    <row r="631" customFormat="1" s="59">
      <c r="E631" s="208" t="n"/>
      <c r="F631" s="208" t="n"/>
    </row>
    <row r="632" customFormat="1" s="59">
      <c r="E632" s="208" t="n"/>
      <c r="F632" s="208" t="n"/>
    </row>
    <row r="633" customFormat="1" s="59">
      <c r="E633" s="208" t="n"/>
      <c r="F633" s="208" t="n"/>
    </row>
    <row r="634" customFormat="1" s="59">
      <c r="E634" s="208" t="n"/>
      <c r="F634" s="208" t="n"/>
    </row>
    <row r="635" customFormat="1" s="59">
      <c r="E635" s="208" t="n"/>
      <c r="F635" s="208" t="n"/>
    </row>
    <row r="636" customFormat="1" s="59">
      <c r="E636" s="208" t="n"/>
      <c r="F636" s="208" t="n"/>
    </row>
    <row r="637" customFormat="1" s="59">
      <c r="E637" s="208" t="n"/>
      <c r="F637" s="208" t="n"/>
    </row>
    <row r="638" customFormat="1" s="59">
      <c r="E638" s="208" t="n"/>
      <c r="F638" s="208" t="n"/>
    </row>
    <row r="639" customFormat="1" s="59">
      <c r="E639" s="208" t="n"/>
      <c r="F639" s="208" t="n"/>
    </row>
    <row r="640" customFormat="1" s="59">
      <c r="E640" s="208" t="n"/>
      <c r="F640" s="208" t="n"/>
    </row>
    <row r="641" customFormat="1" s="59">
      <c r="E641" s="208" t="n"/>
      <c r="F641" s="208" t="n"/>
    </row>
    <row r="642" customFormat="1" s="59">
      <c r="E642" s="208" t="n"/>
      <c r="F642" s="208" t="n"/>
    </row>
    <row r="643" customFormat="1" s="59">
      <c r="E643" s="208" t="n"/>
      <c r="F643" s="208" t="n"/>
    </row>
    <row r="644" customFormat="1" s="59">
      <c r="E644" s="208" t="n"/>
      <c r="F644" s="208" t="n"/>
    </row>
    <row r="645" customFormat="1" s="59">
      <c r="E645" s="208" t="n"/>
      <c r="F645" s="208" t="n"/>
    </row>
    <row r="646" customFormat="1" s="59">
      <c r="E646" s="208" t="n"/>
      <c r="F646" s="208" t="n"/>
    </row>
    <row r="647" customFormat="1" s="59">
      <c r="E647" s="208" t="n"/>
      <c r="F647" s="208" t="n"/>
    </row>
    <row r="648" customFormat="1" s="59">
      <c r="E648" s="208" t="n"/>
      <c r="F648" s="208" t="n"/>
    </row>
    <row r="649" customFormat="1" s="59">
      <c r="E649" s="208" t="n"/>
      <c r="F649" s="208" t="n"/>
    </row>
    <row r="650" customFormat="1" s="59">
      <c r="E650" s="208" t="n"/>
      <c r="F650" s="208" t="n"/>
    </row>
    <row r="651" customFormat="1" s="59">
      <c r="E651" s="208" t="n"/>
      <c r="F651" s="208" t="n"/>
    </row>
    <row r="652" customFormat="1" s="59">
      <c r="E652" s="208" t="n"/>
      <c r="F652" s="208" t="n"/>
    </row>
    <row r="653" customFormat="1" s="59">
      <c r="E653" s="208" t="n"/>
      <c r="F653" s="208" t="n"/>
    </row>
    <row r="654" customFormat="1" s="59">
      <c r="E654" s="208" t="n"/>
      <c r="F654" s="208" t="n"/>
    </row>
    <row r="655" customFormat="1" s="59">
      <c r="E655" s="208" t="n"/>
      <c r="F655" s="208" t="n"/>
    </row>
    <row r="656" customFormat="1" s="59">
      <c r="E656" s="208" t="n"/>
      <c r="F656" s="208" t="n"/>
    </row>
    <row r="657" customFormat="1" s="59">
      <c r="E657" s="208" t="n"/>
      <c r="F657" s="208" t="n"/>
    </row>
    <row r="658" customFormat="1" s="59">
      <c r="E658" s="208" t="n"/>
      <c r="F658" s="208" t="n"/>
    </row>
    <row r="659" customFormat="1" s="59">
      <c r="E659" s="208" t="n"/>
      <c r="F659" s="208" t="n"/>
    </row>
    <row r="660" customFormat="1" s="59">
      <c r="E660" s="208" t="n"/>
      <c r="F660" s="208" t="n"/>
    </row>
    <row r="661" customFormat="1" s="59">
      <c r="E661" s="208" t="n"/>
      <c r="F661" s="208" t="n"/>
    </row>
    <row r="662" customFormat="1" s="59">
      <c r="E662" s="208" t="n"/>
      <c r="F662" s="208" t="n"/>
    </row>
    <row r="663" customFormat="1" s="59">
      <c r="E663" s="208" t="n"/>
      <c r="F663" s="208" t="n"/>
    </row>
    <row r="664" customFormat="1" s="59">
      <c r="E664" s="208" t="n"/>
      <c r="F664" s="208" t="n"/>
    </row>
    <row r="665" customFormat="1" s="59">
      <c r="E665" s="208" t="n"/>
      <c r="F665" s="208" t="n"/>
    </row>
    <row r="666" customFormat="1" s="59">
      <c r="E666" s="208" t="n"/>
      <c r="F666" s="208" t="n"/>
    </row>
    <row r="667" customFormat="1" s="59">
      <c r="E667" s="208" t="n"/>
      <c r="F667" s="208" t="n"/>
    </row>
    <row r="668" customFormat="1" s="59">
      <c r="E668" s="208" t="n"/>
      <c r="F668" s="208" t="n"/>
    </row>
    <row r="669" customFormat="1" s="59">
      <c r="E669" s="208" t="n"/>
      <c r="F669" s="208" t="n"/>
    </row>
    <row r="670" customFormat="1" s="59">
      <c r="E670" s="208" t="n"/>
      <c r="F670" s="208" t="n"/>
    </row>
    <row r="671" customFormat="1" s="59">
      <c r="E671" s="208" t="n"/>
      <c r="F671" s="208" t="n"/>
    </row>
    <row r="672" customFormat="1" s="59">
      <c r="E672" s="208" t="n"/>
      <c r="F672" s="208" t="n"/>
    </row>
    <row r="673" customFormat="1" s="59">
      <c r="E673" s="208" t="n"/>
      <c r="F673" s="208" t="n"/>
    </row>
    <row r="674" customFormat="1" s="59">
      <c r="E674" s="208" t="n"/>
      <c r="F674" s="208" t="n"/>
    </row>
    <row r="675" customFormat="1" s="59">
      <c r="E675" s="208" t="n"/>
      <c r="F675" s="208" t="n"/>
    </row>
    <row r="676" customFormat="1" s="59">
      <c r="E676" s="208" t="n"/>
      <c r="F676" s="208" t="n"/>
    </row>
    <row r="677" customFormat="1" s="59">
      <c r="E677" s="208" t="n"/>
      <c r="F677" s="208" t="n"/>
    </row>
    <row r="678" customFormat="1" s="59">
      <c r="E678" s="208" t="n"/>
      <c r="F678" s="208" t="n"/>
    </row>
    <row r="679" customFormat="1" s="59">
      <c r="E679" s="208" t="n"/>
      <c r="F679" s="208" t="n"/>
    </row>
    <row r="680" customFormat="1" s="59">
      <c r="E680" s="208" t="n"/>
      <c r="F680" s="208" t="n"/>
    </row>
    <row r="681" customFormat="1" s="59">
      <c r="E681" s="208" t="n"/>
      <c r="F681" s="208" t="n"/>
    </row>
    <row r="682" customFormat="1" s="59">
      <c r="E682" s="208" t="n"/>
      <c r="F682" s="208" t="n"/>
    </row>
    <row r="683" customFormat="1" s="59">
      <c r="E683" s="208" t="n"/>
      <c r="F683" s="208" t="n"/>
    </row>
    <row r="684" customFormat="1" s="59">
      <c r="E684" s="208" t="n"/>
      <c r="F684" s="208" t="n"/>
    </row>
    <row r="685" customFormat="1" s="59">
      <c r="E685" s="208" t="n"/>
      <c r="F685" s="208" t="n"/>
    </row>
    <row r="686" customFormat="1" s="59">
      <c r="E686" s="208" t="n"/>
      <c r="F686" s="208" t="n"/>
    </row>
    <row r="687" customFormat="1" s="59">
      <c r="E687" s="208" t="n"/>
      <c r="F687" s="208" t="n"/>
    </row>
    <row r="688" customFormat="1" s="59">
      <c r="E688" s="208" t="n"/>
      <c r="F688" s="208" t="n"/>
    </row>
    <row r="689" customFormat="1" s="59">
      <c r="E689" s="208" t="n"/>
      <c r="F689" s="208" t="n"/>
    </row>
    <row r="690" customFormat="1" s="59">
      <c r="E690" s="208" t="n"/>
      <c r="F690" s="208" t="n"/>
    </row>
    <row r="691" customFormat="1" s="59">
      <c r="E691" s="208" t="n"/>
      <c r="F691" s="208" t="n"/>
    </row>
    <row r="692" customFormat="1" s="59">
      <c r="E692" s="208" t="n"/>
      <c r="F692" s="208" t="n"/>
    </row>
    <row r="693" customFormat="1" s="59">
      <c r="E693" s="208" t="n"/>
      <c r="F693" s="208" t="n"/>
    </row>
    <row r="694" customFormat="1" s="59">
      <c r="E694" s="208" t="n"/>
      <c r="F694" s="208" t="n"/>
    </row>
    <row r="695" customFormat="1" s="59">
      <c r="E695" s="208" t="n"/>
      <c r="F695" s="208" t="n"/>
    </row>
    <row r="696" customFormat="1" s="59">
      <c r="E696" s="208" t="n"/>
      <c r="F696" s="208" t="n"/>
    </row>
    <row r="697" customFormat="1" s="59">
      <c r="E697" s="208" t="n"/>
      <c r="F697" s="208" t="n"/>
    </row>
    <row r="698" customFormat="1" s="59">
      <c r="E698" s="208" t="n"/>
      <c r="F698" s="208" t="n"/>
    </row>
    <row r="699" customFormat="1" s="59">
      <c r="E699" s="208" t="n"/>
      <c r="F699" s="208" t="n"/>
    </row>
    <row r="700" customFormat="1" s="59">
      <c r="E700" s="208" t="n"/>
      <c r="F700" s="208" t="n"/>
    </row>
    <row r="701" customFormat="1" s="59">
      <c r="E701" s="208" t="n"/>
      <c r="F701" s="208" t="n"/>
    </row>
    <row r="702" customFormat="1" s="59">
      <c r="E702" s="208" t="n"/>
      <c r="F702" s="208" t="n"/>
    </row>
    <row r="703" customFormat="1" s="59">
      <c r="E703" s="208" t="n"/>
      <c r="F703" s="208" t="n"/>
    </row>
    <row r="704" customFormat="1" s="59">
      <c r="E704" s="208" t="n"/>
      <c r="F704" s="208" t="n"/>
    </row>
    <row r="705" customFormat="1" s="59">
      <c r="E705" s="208" t="n"/>
      <c r="F705" s="208" t="n"/>
    </row>
    <row r="706" customFormat="1" s="59">
      <c r="E706" s="208" t="n"/>
      <c r="F706" s="208" t="n"/>
    </row>
    <row r="707" customFormat="1" s="59">
      <c r="E707" s="208" t="n"/>
      <c r="F707" s="208" t="n"/>
    </row>
    <row r="708" customFormat="1" s="59">
      <c r="E708" s="208" t="n"/>
      <c r="F708" s="208" t="n"/>
    </row>
    <row r="709" customFormat="1" s="59">
      <c r="E709" s="208" t="n"/>
      <c r="F709" s="208" t="n"/>
    </row>
    <row r="710" customFormat="1" s="59">
      <c r="E710" s="208" t="n"/>
      <c r="F710" s="208" t="n"/>
    </row>
    <row r="711" customFormat="1" s="59">
      <c r="E711" s="208" t="n"/>
      <c r="F711" s="208" t="n"/>
    </row>
    <row r="712" customFormat="1" s="59">
      <c r="E712" s="208" t="n"/>
      <c r="F712" s="208" t="n"/>
    </row>
    <row r="713" customFormat="1" s="59">
      <c r="E713" s="208" t="n"/>
      <c r="F713" s="208" t="n"/>
    </row>
    <row r="714" customFormat="1" s="59">
      <c r="E714" s="208" t="n"/>
      <c r="F714" s="208" t="n"/>
    </row>
    <row r="715" customFormat="1" s="59">
      <c r="E715" s="208" t="n"/>
      <c r="F715" s="208" t="n"/>
    </row>
    <row r="716" customFormat="1" s="59">
      <c r="E716" s="208" t="n"/>
      <c r="F716" s="208" t="n"/>
    </row>
    <row r="717" customFormat="1" s="59">
      <c r="E717" s="208" t="n"/>
      <c r="F717" s="208" t="n"/>
    </row>
    <row r="718" customFormat="1" s="59">
      <c r="E718" s="208" t="n"/>
      <c r="F718" s="208" t="n"/>
    </row>
    <row r="719" customFormat="1" s="59">
      <c r="E719" s="208" t="n"/>
      <c r="F719" s="208" t="n"/>
    </row>
    <row r="720" customFormat="1" s="59">
      <c r="E720" s="208" t="n"/>
      <c r="F720" s="208" t="n"/>
    </row>
    <row r="721" customFormat="1" s="59">
      <c r="E721" s="208" t="n"/>
      <c r="F721" s="208" t="n"/>
    </row>
    <row r="722" customFormat="1" s="59">
      <c r="E722" s="208" t="n"/>
      <c r="F722" s="208" t="n"/>
    </row>
    <row r="723" customFormat="1" s="59">
      <c r="E723" s="208" t="n"/>
      <c r="F723" s="208" t="n"/>
    </row>
    <row r="724" customFormat="1" s="59">
      <c r="E724" s="208" t="n"/>
      <c r="F724" s="208" t="n"/>
    </row>
    <row r="725" customFormat="1" s="59">
      <c r="E725" s="208" t="n"/>
      <c r="F725" s="208" t="n"/>
    </row>
    <row r="726" customFormat="1" s="59">
      <c r="E726" s="208" t="n"/>
      <c r="F726" s="208" t="n"/>
    </row>
    <row r="727" customFormat="1" s="59">
      <c r="E727" s="208" t="n"/>
      <c r="F727" s="208" t="n"/>
    </row>
    <row r="728" customFormat="1" s="59">
      <c r="E728" s="208" t="n"/>
      <c r="F728" s="208" t="n"/>
    </row>
    <row r="729" customFormat="1" s="59">
      <c r="E729" s="208" t="n"/>
      <c r="F729" s="208" t="n"/>
    </row>
    <row r="730" customFormat="1" s="59">
      <c r="E730" s="208" t="n"/>
      <c r="F730" s="208" t="n"/>
    </row>
    <row r="731" customFormat="1" s="59">
      <c r="E731" s="208" t="n"/>
      <c r="F731" s="208" t="n"/>
    </row>
    <row r="732" customFormat="1" s="59">
      <c r="E732" s="208" t="n"/>
      <c r="F732" s="208" t="n"/>
    </row>
    <row r="733" customFormat="1" s="59">
      <c r="E733" s="208" t="n"/>
      <c r="F733" s="208" t="n"/>
    </row>
    <row r="734" customFormat="1" s="59">
      <c r="E734" s="208" t="n"/>
      <c r="F734" s="208" t="n"/>
    </row>
    <row r="735" customFormat="1" s="59">
      <c r="E735" s="208" t="n"/>
      <c r="F735" s="208" t="n"/>
    </row>
    <row r="736" customFormat="1" s="59">
      <c r="E736" s="208" t="n"/>
      <c r="F736" s="208" t="n"/>
    </row>
    <row r="737" customFormat="1" s="59">
      <c r="E737" s="208" t="n"/>
      <c r="F737" s="208" t="n"/>
    </row>
    <row r="738" customFormat="1" s="59">
      <c r="E738" s="208" t="n"/>
      <c r="F738" s="208" t="n"/>
    </row>
    <row r="739" customFormat="1" s="59">
      <c r="E739" s="208" t="n"/>
      <c r="F739" s="208" t="n"/>
    </row>
    <row r="740" customFormat="1" s="59">
      <c r="E740" s="208" t="n"/>
      <c r="F740" s="208" t="n"/>
    </row>
    <row r="741" customFormat="1" s="59">
      <c r="E741" s="208" t="n"/>
      <c r="F741" s="208" t="n"/>
    </row>
    <row r="742" customFormat="1" s="59">
      <c r="E742" s="208" t="n"/>
      <c r="F742" s="208" t="n"/>
    </row>
    <row r="743" customFormat="1" s="59">
      <c r="E743" s="208" t="n"/>
      <c r="F743" s="208" t="n"/>
    </row>
    <row r="744" customFormat="1" s="59">
      <c r="E744" s="208" t="n"/>
      <c r="F744" s="208" t="n"/>
    </row>
    <row r="745" customFormat="1" s="59">
      <c r="E745" s="208" t="n"/>
      <c r="F745" s="208" t="n"/>
    </row>
    <row r="746" customFormat="1" s="59">
      <c r="E746" s="208" t="n"/>
      <c r="F746" s="208" t="n"/>
    </row>
    <row r="747" customFormat="1" s="59">
      <c r="E747" s="208" t="n"/>
      <c r="F747" s="208" t="n"/>
    </row>
    <row r="748" customFormat="1" s="59">
      <c r="E748" s="208" t="n"/>
      <c r="F748" s="208" t="n"/>
    </row>
    <row r="749" customFormat="1" s="59">
      <c r="E749" s="208" t="n"/>
      <c r="F749" s="208" t="n"/>
    </row>
    <row r="750" customFormat="1" s="59">
      <c r="E750" s="208" t="n"/>
      <c r="F750" s="208" t="n"/>
    </row>
    <row r="751" customFormat="1" s="59">
      <c r="E751" s="208" t="n"/>
      <c r="F751" s="208" t="n"/>
    </row>
    <row r="752" customFormat="1" s="59">
      <c r="E752" s="208" t="n"/>
      <c r="F752" s="208" t="n"/>
    </row>
    <row r="753" customFormat="1" s="59">
      <c r="E753" s="208" t="n"/>
      <c r="F753" s="208" t="n"/>
    </row>
    <row r="754" customFormat="1" s="59">
      <c r="E754" s="208" t="n"/>
      <c r="F754" s="208" t="n"/>
    </row>
    <row r="755" customFormat="1" s="59">
      <c r="E755" s="208" t="n"/>
      <c r="F755" s="208" t="n"/>
    </row>
    <row r="756" customFormat="1" s="59">
      <c r="E756" s="208" t="n"/>
      <c r="F756" s="208" t="n"/>
    </row>
    <row r="757" customFormat="1" s="59">
      <c r="E757" s="208" t="n"/>
      <c r="F757" s="208" t="n"/>
    </row>
    <row r="758" customFormat="1" s="59">
      <c r="E758" s="208" t="n"/>
      <c r="F758" s="208" t="n"/>
    </row>
    <row r="759" customFormat="1" s="59">
      <c r="E759" s="208" t="n"/>
      <c r="F759" s="208" t="n"/>
    </row>
    <row r="760" customFormat="1" s="59">
      <c r="E760" s="208" t="n"/>
      <c r="F760" s="208" t="n"/>
    </row>
    <row r="761" customFormat="1" s="59">
      <c r="E761" s="208" t="n"/>
      <c r="F761" s="208" t="n"/>
    </row>
    <row r="762" customFormat="1" s="59">
      <c r="E762" s="208" t="n"/>
      <c r="F762" s="208" t="n"/>
    </row>
    <row r="763" customFormat="1" s="59">
      <c r="E763" s="208" t="n"/>
      <c r="F763" s="208" t="n"/>
    </row>
    <row r="764" customFormat="1" s="59">
      <c r="E764" s="208" t="n"/>
      <c r="F764" s="208" t="n"/>
    </row>
    <row r="765" customFormat="1" s="59">
      <c r="E765" s="208" t="n"/>
      <c r="F765" s="208" t="n"/>
    </row>
    <row r="766" customFormat="1" s="59">
      <c r="E766" s="208" t="n"/>
      <c r="F766" s="208" t="n"/>
    </row>
    <row r="767" customFormat="1" s="59">
      <c r="E767" s="208" t="n"/>
      <c r="F767" s="208" t="n"/>
    </row>
    <row r="768" customFormat="1" s="59">
      <c r="E768" s="208" t="n"/>
      <c r="F768" s="208" t="n"/>
    </row>
    <row r="769" customFormat="1" s="59">
      <c r="E769" s="208" t="n"/>
      <c r="F769" s="208" t="n"/>
    </row>
    <row r="770" customFormat="1" s="59">
      <c r="E770" s="208" t="n"/>
      <c r="F770" s="208" t="n"/>
    </row>
    <row r="771" customFormat="1" s="59">
      <c r="E771" s="208" t="n"/>
      <c r="F771" s="208" t="n"/>
    </row>
    <row r="772" customFormat="1" s="59">
      <c r="E772" s="208" t="n"/>
      <c r="F772" s="208" t="n"/>
    </row>
    <row r="773" customFormat="1" s="59">
      <c r="E773" s="208" t="n"/>
      <c r="F773" s="208" t="n"/>
    </row>
    <row r="774" customFormat="1" s="59">
      <c r="E774" s="208" t="n"/>
      <c r="F774" s="208" t="n"/>
    </row>
    <row r="775" customFormat="1" s="59">
      <c r="E775" s="208" t="n"/>
      <c r="F775" s="208" t="n"/>
    </row>
    <row r="776" customFormat="1" s="59">
      <c r="E776" s="208" t="n"/>
      <c r="F776" s="208" t="n"/>
    </row>
    <row r="777" customFormat="1" s="59">
      <c r="E777" s="208" t="n"/>
      <c r="F777" s="208" t="n"/>
    </row>
    <row r="778" customFormat="1" s="59">
      <c r="E778" s="208" t="n"/>
      <c r="F778" s="208" t="n"/>
    </row>
    <row r="779" customFormat="1" s="59">
      <c r="E779" s="208" t="n"/>
      <c r="F779" s="208" t="n"/>
    </row>
    <row r="780" customFormat="1" s="59">
      <c r="E780" s="208" t="n"/>
      <c r="F780" s="208" t="n"/>
    </row>
    <row r="781" customFormat="1" s="59">
      <c r="E781" s="208" t="n"/>
      <c r="F781" s="208" t="n"/>
    </row>
    <row r="782" customFormat="1" s="59">
      <c r="E782" s="208" t="n"/>
      <c r="F782" s="208" t="n"/>
    </row>
    <row r="783" customFormat="1" s="59">
      <c r="E783" s="208" t="n"/>
      <c r="F783" s="208" t="n"/>
    </row>
    <row r="784" customFormat="1" s="59">
      <c r="E784" s="208" t="n"/>
      <c r="F784" s="208" t="n"/>
    </row>
    <row r="785" customFormat="1" s="59">
      <c r="E785" s="208" t="n"/>
      <c r="F785" s="208" t="n"/>
    </row>
    <row r="786" customFormat="1" s="59">
      <c r="E786" s="208" t="n"/>
      <c r="F786" s="208" t="n"/>
    </row>
    <row r="787" customFormat="1" s="59">
      <c r="E787" s="208" t="n"/>
      <c r="F787" s="208" t="n"/>
    </row>
    <row r="788" customFormat="1" s="59">
      <c r="E788" s="208" t="n"/>
      <c r="F788" s="208" t="n"/>
    </row>
    <row r="789" customFormat="1" s="59">
      <c r="E789" s="208" t="n"/>
      <c r="F789" s="208" t="n"/>
    </row>
    <row r="790" customFormat="1" s="59">
      <c r="E790" s="208" t="n"/>
      <c r="F790" s="208" t="n"/>
    </row>
    <row r="791" customFormat="1" s="59">
      <c r="E791" s="208" t="n"/>
      <c r="F791" s="208" t="n"/>
    </row>
    <row r="792" customFormat="1" s="59">
      <c r="E792" s="208" t="n"/>
      <c r="F792" s="208" t="n"/>
    </row>
    <row r="793" customFormat="1" s="59">
      <c r="E793" s="208" t="n"/>
      <c r="F793" s="208" t="n"/>
    </row>
    <row r="794" customFormat="1" s="59">
      <c r="E794" s="208" t="n"/>
      <c r="F794" s="208" t="n"/>
    </row>
    <row r="795" customFormat="1" s="59">
      <c r="E795" s="208" t="n"/>
      <c r="F795" s="208" t="n"/>
    </row>
    <row r="796" customFormat="1" s="59">
      <c r="E796" s="208" t="n"/>
      <c r="F796" s="208" t="n"/>
    </row>
    <row r="797" customFormat="1" s="59">
      <c r="E797" s="208" t="n"/>
      <c r="F797" s="208" t="n"/>
    </row>
    <row r="798" customFormat="1" s="59">
      <c r="E798" s="208" t="n"/>
      <c r="F798" s="208" t="n"/>
    </row>
    <row r="799" customFormat="1" s="59">
      <c r="E799" s="208" t="n"/>
      <c r="F799" s="208" t="n"/>
    </row>
    <row r="800" customFormat="1" s="59">
      <c r="E800" s="208" t="n"/>
      <c r="F800" s="208" t="n"/>
    </row>
    <row r="801" customFormat="1" s="59">
      <c r="E801" s="208" t="n"/>
      <c r="F801" s="208" t="n"/>
    </row>
    <row r="802" customFormat="1" s="59">
      <c r="E802" s="208" t="n"/>
      <c r="F802" s="208" t="n"/>
    </row>
    <row r="803" customFormat="1" s="59">
      <c r="E803" s="208" t="n"/>
      <c r="F803" s="208" t="n"/>
    </row>
    <row r="804" customFormat="1" s="59">
      <c r="E804" s="208" t="n"/>
      <c r="F804" s="208" t="n"/>
    </row>
    <row r="805" customFormat="1" s="59">
      <c r="E805" s="208" t="n"/>
      <c r="F805" s="208" t="n"/>
    </row>
    <row r="806" customFormat="1" s="59">
      <c r="E806" s="208" t="n"/>
      <c r="F806" s="208" t="n"/>
    </row>
    <row r="807" customFormat="1" s="59">
      <c r="E807" s="208" t="n"/>
      <c r="F807" s="208" t="n"/>
    </row>
    <row r="808" customFormat="1" s="59">
      <c r="E808" s="208" t="n"/>
      <c r="F808" s="208" t="n"/>
    </row>
    <row r="809" customFormat="1" s="59">
      <c r="E809" s="208" t="n"/>
      <c r="F809" s="208" t="n"/>
    </row>
    <row r="810" customFormat="1" s="59">
      <c r="E810" s="208" t="n"/>
      <c r="F810" s="208" t="n"/>
    </row>
    <row r="811" customFormat="1" s="59">
      <c r="E811" s="208" t="n"/>
      <c r="F811" s="208" t="n"/>
    </row>
    <row r="812" customFormat="1" s="59">
      <c r="E812" s="208" t="n"/>
      <c r="F812" s="208" t="n"/>
    </row>
    <row r="813" customFormat="1" s="59">
      <c r="E813" s="208" t="n"/>
      <c r="F813" s="208" t="n"/>
    </row>
    <row r="814" customFormat="1" s="59">
      <c r="E814" s="208" t="n"/>
      <c r="F814" s="208" t="n"/>
    </row>
    <row r="815" customFormat="1" s="59">
      <c r="E815" s="208" t="n"/>
      <c r="F815" s="208" t="n"/>
    </row>
    <row r="816" customFormat="1" s="59">
      <c r="E816" s="208" t="n"/>
      <c r="F816" s="208" t="n"/>
    </row>
    <row r="817" customFormat="1" s="59">
      <c r="E817" s="208" t="n"/>
      <c r="F817" s="208" t="n"/>
    </row>
    <row r="818" customFormat="1" s="59">
      <c r="E818" s="208" t="n"/>
      <c r="F818" s="208" t="n"/>
    </row>
    <row r="819" customFormat="1" s="59">
      <c r="E819" s="208" t="n"/>
      <c r="F819" s="208" t="n"/>
    </row>
    <row r="820" customFormat="1" s="59">
      <c r="E820" s="208" t="n"/>
      <c r="F820" s="208" t="n"/>
    </row>
    <row r="821" customFormat="1" s="59">
      <c r="E821" s="208" t="n"/>
      <c r="F821" s="208" t="n"/>
    </row>
    <row r="822" customFormat="1" s="59">
      <c r="E822" s="208" t="n"/>
      <c r="F822" s="208" t="n"/>
    </row>
    <row r="823" customFormat="1" s="59">
      <c r="E823" s="208" t="n"/>
      <c r="F823" s="208" t="n"/>
    </row>
    <row r="824" customFormat="1" s="59">
      <c r="E824" s="208" t="n"/>
      <c r="F824" s="208" t="n"/>
    </row>
    <row r="825" customFormat="1" s="59">
      <c r="E825" s="208" t="n"/>
      <c r="F825" s="208" t="n"/>
    </row>
    <row r="826" customFormat="1" s="59">
      <c r="E826" s="208" t="n"/>
      <c r="F826" s="208" t="n"/>
    </row>
    <row r="827" customFormat="1" s="59">
      <c r="E827" s="208" t="n"/>
      <c r="F827" s="208" t="n"/>
    </row>
    <row r="828" customFormat="1" s="59">
      <c r="E828" s="208" t="n"/>
      <c r="F828" s="208" t="n"/>
    </row>
    <row r="829" customFormat="1" s="59">
      <c r="E829" s="208" t="n"/>
      <c r="F829" s="208" t="n"/>
    </row>
    <row r="830" customFormat="1" s="59">
      <c r="E830" s="208" t="n"/>
      <c r="F830" s="208" t="n"/>
    </row>
    <row r="831" customFormat="1" s="59">
      <c r="E831" s="208" t="n"/>
      <c r="F831" s="208" t="n"/>
    </row>
    <row r="832" customFormat="1" s="59">
      <c r="E832" s="208" t="n"/>
      <c r="F832" s="208" t="n"/>
    </row>
    <row r="833" customFormat="1" s="59">
      <c r="E833" s="208" t="n"/>
      <c r="F833" s="208" t="n"/>
    </row>
    <row r="834" customFormat="1" s="59">
      <c r="E834" s="208" t="n"/>
      <c r="F834" s="208" t="n"/>
    </row>
    <row r="835" customFormat="1" s="59">
      <c r="E835" s="208" t="n"/>
      <c r="F835" s="208" t="n"/>
    </row>
    <row r="836" customFormat="1" s="59">
      <c r="E836" s="208" t="n"/>
      <c r="F836" s="208" t="n"/>
    </row>
    <row r="837" customFormat="1" s="59">
      <c r="E837" s="208" t="n"/>
      <c r="F837" s="208" t="n"/>
    </row>
    <row r="838" customFormat="1" s="59">
      <c r="E838" s="208" t="n"/>
      <c r="F838" s="208" t="n"/>
    </row>
    <row r="839" customFormat="1" s="59">
      <c r="E839" s="208" t="n"/>
      <c r="F839" s="208" t="n"/>
    </row>
    <row r="840" customFormat="1" s="59">
      <c r="E840" s="208" t="n"/>
      <c r="F840" s="208" t="n"/>
    </row>
    <row r="841" customFormat="1" s="59">
      <c r="E841" s="208" t="n"/>
      <c r="F841" s="208" t="n"/>
    </row>
    <row r="842" customFormat="1" s="59">
      <c r="E842" s="208" t="n"/>
      <c r="F842" s="208" t="n"/>
    </row>
    <row r="843" customFormat="1" s="59">
      <c r="E843" s="208" t="n"/>
      <c r="F843" s="208" t="n"/>
    </row>
    <row r="844" customFormat="1" s="59">
      <c r="E844" s="208" t="n"/>
      <c r="F844" s="208" t="n"/>
    </row>
    <row r="845" customFormat="1" s="59">
      <c r="E845" s="208" t="n"/>
      <c r="F845" s="208" t="n"/>
    </row>
    <row r="846" customFormat="1" s="59">
      <c r="E846" s="208" t="n"/>
      <c r="F846" s="208" t="n"/>
    </row>
    <row r="847" customFormat="1" s="59">
      <c r="E847" s="208" t="n"/>
      <c r="F847" s="208" t="n"/>
    </row>
    <row r="848" customFormat="1" s="59">
      <c r="E848" s="208" t="n"/>
      <c r="F848" s="208" t="n"/>
    </row>
    <row r="849" customFormat="1" s="59">
      <c r="E849" s="208" t="n"/>
      <c r="F849" s="208" t="n"/>
    </row>
    <row r="850" customFormat="1" s="59">
      <c r="E850" s="208" t="n"/>
      <c r="F850" s="208" t="n"/>
    </row>
    <row r="851" customFormat="1" s="59">
      <c r="E851" s="208" t="n"/>
      <c r="F851" s="208" t="n"/>
    </row>
    <row r="852" customFormat="1" s="59">
      <c r="E852" s="208" t="n"/>
      <c r="F852" s="208" t="n"/>
    </row>
    <row r="853" customFormat="1" s="59">
      <c r="E853" s="208" t="n"/>
      <c r="F853" s="208" t="n"/>
    </row>
    <row r="854" customFormat="1" s="59">
      <c r="E854" s="208" t="n"/>
      <c r="F854" s="208" t="n"/>
    </row>
    <row r="855" customFormat="1" s="59">
      <c r="E855" s="208" t="n"/>
      <c r="F855" s="208" t="n"/>
    </row>
    <row r="856" customFormat="1" s="59">
      <c r="E856" s="208" t="n"/>
      <c r="F856" s="208" t="n"/>
    </row>
    <row r="857" customFormat="1" s="59">
      <c r="E857" s="208" t="n"/>
      <c r="F857" s="208" t="n"/>
    </row>
    <row r="858" customFormat="1" s="59">
      <c r="E858" s="208" t="n"/>
      <c r="F858" s="208" t="n"/>
    </row>
    <row r="859" customFormat="1" s="59">
      <c r="E859" s="208" t="n"/>
      <c r="F859" s="208" t="n"/>
    </row>
    <row r="860" customFormat="1" s="59">
      <c r="E860" s="208" t="n"/>
      <c r="F860" s="208" t="n"/>
    </row>
    <row r="861" customFormat="1" s="59">
      <c r="E861" s="208" t="n"/>
      <c r="F861" s="208" t="n"/>
    </row>
    <row r="862" customFormat="1" s="59">
      <c r="E862" s="208" t="n"/>
      <c r="F862" s="208" t="n"/>
    </row>
    <row r="863" customFormat="1" s="59">
      <c r="E863" s="208" t="n"/>
      <c r="F863" s="208" t="n"/>
    </row>
    <row r="864" customFormat="1" s="59">
      <c r="E864" s="208" t="n"/>
      <c r="F864" s="208" t="n"/>
    </row>
    <row r="865" customFormat="1" s="59">
      <c r="E865" s="208" t="n"/>
      <c r="F865" s="208" t="n"/>
    </row>
    <row r="866" customFormat="1" s="59">
      <c r="E866" s="208" t="n"/>
      <c r="F866" s="208" t="n"/>
    </row>
    <row r="867" customFormat="1" s="59">
      <c r="E867" s="208" t="n"/>
      <c r="F867" s="208" t="n"/>
    </row>
    <row r="868" customFormat="1" s="59">
      <c r="E868" s="208" t="n"/>
      <c r="F868" s="208" t="n"/>
    </row>
    <row r="869" customFormat="1" s="59">
      <c r="E869" s="208" t="n"/>
      <c r="F869" s="208" t="n"/>
    </row>
    <row r="870" customFormat="1" s="59">
      <c r="E870" s="208" t="n"/>
      <c r="F870" s="208" t="n"/>
    </row>
    <row r="871" customFormat="1" s="59">
      <c r="E871" s="208" t="n"/>
      <c r="F871" s="208" t="n"/>
    </row>
    <row r="872" customFormat="1" s="59">
      <c r="E872" s="208" t="n"/>
      <c r="F872" s="208" t="n"/>
    </row>
    <row r="873" customFormat="1" s="59">
      <c r="E873" s="208" t="n"/>
      <c r="F873" s="208" t="n"/>
    </row>
    <row r="874" customFormat="1" s="59">
      <c r="E874" s="208" t="n"/>
      <c r="F874" s="208" t="n"/>
    </row>
    <row r="875" customFormat="1" s="59">
      <c r="E875" s="208" t="n"/>
      <c r="F875" s="208" t="n"/>
    </row>
    <row r="876" customFormat="1" s="59">
      <c r="E876" s="208" t="n"/>
      <c r="F876" s="208" t="n"/>
    </row>
    <row r="877" customFormat="1" s="59">
      <c r="E877" s="208" t="n"/>
      <c r="F877" s="208" t="n"/>
    </row>
    <row r="878" customFormat="1" s="59">
      <c r="E878" s="208" t="n"/>
      <c r="F878" s="208" t="n"/>
    </row>
    <row r="879" customFormat="1" s="59">
      <c r="E879" s="208" t="n"/>
      <c r="F879" s="208" t="n"/>
    </row>
    <row r="880" customFormat="1" s="59">
      <c r="E880" s="208" t="n"/>
      <c r="F880" s="208" t="n"/>
    </row>
    <row r="881" customFormat="1" s="59">
      <c r="E881" s="208" t="n"/>
      <c r="F881" s="208" t="n"/>
    </row>
    <row r="882" customFormat="1" s="59">
      <c r="E882" s="208" t="n"/>
      <c r="F882" s="208" t="n"/>
    </row>
    <row r="883" customFormat="1" s="59">
      <c r="E883" s="208" t="n"/>
      <c r="F883" s="208" t="n"/>
    </row>
    <row r="884" customFormat="1" s="59">
      <c r="E884" s="208" t="n"/>
      <c r="F884" s="208" t="n"/>
    </row>
    <row r="885" customFormat="1" s="59">
      <c r="E885" s="208" t="n"/>
      <c r="F885" s="208" t="n"/>
    </row>
    <row r="886" customFormat="1" s="59">
      <c r="E886" s="208" t="n"/>
      <c r="F886" s="208" t="n"/>
    </row>
    <row r="887" customFormat="1" s="59">
      <c r="E887" s="208" t="n"/>
      <c r="F887" s="208" t="n"/>
    </row>
    <row r="888" customFormat="1" s="59">
      <c r="E888" s="208" t="n"/>
      <c r="F888" s="208" t="n"/>
    </row>
    <row r="889" customFormat="1" s="59">
      <c r="E889" s="208" t="n"/>
      <c r="F889" s="208" t="n"/>
    </row>
    <row r="890" customFormat="1" s="59">
      <c r="E890" s="208" t="n"/>
      <c r="F890" s="208" t="n"/>
    </row>
    <row r="891" customFormat="1" s="59">
      <c r="E891" s="208" t="n"/>
      <c r="F891" s="208" t="n"/>
    </row>
    <row r="892" customFormat="1" s="59">
      <c r="E892" s="208" t="n"/>
      <c r="F892" s="208" t="n"/>
    </row>
    <row r="893" customFormat="1" s="59">
      <c r="E893" s="208" t="n"/>
      <c r="F893" s="208" t="n"/>
    </row>
    <row r="894" customFormat="1" s="59">
      <c r="E894" s="208" t="n"/>
      <c r="F894" s="208" t="n"/>
    </row>
    <row r="895" customFormat="1" s="59">
      <c r="E895" s="208" t="n"/>
      <c r="F895" s="208" t="n"/>
    </row>
    <row r="896" customFormat="1" s="59">
      <c r="E896" s="208" t="n"/>
      <c r="F896" s="208" t="n"/>
    </row>
    <row r="897" customFormat="1" s="59">
      <c r="E897" s="208" t="n"/>
      <c r="F897" s="208" t="n"/>
    </row>
    <row r="898" customFormat="1" s="59">
      <c r="E898" s="208" t="n"/>
      <c r="F898" s="208" t="n"/>
    </row>
    <row r="899" customFormat="1" s="59">
      <c r="E899" s="208" t="n"/>
      <c r="F899" s="208" t="n"/>
    </row>
    <row r="900" customFormat="1" s="59">
      <c r="E900" s="208" t="n"/>
      <c r="F900" s="208" t="n"/>
    </row>
    <row r="901" customFormat="1" s="59">
      <c r="E901" s="208" t="n"/>
      <c r="F901" s="208" t="n"/>
    </row>
    <row r="902" customFormat="1" s="59">
      <c r="E902" s="208" t="n"/>
      <c r="F902" s="208" t="n"/>
    </row>
    <row r="903" customFormat="1" s="59">
      <c r="E903" s="208" t="n"/>
      <c r="F903" s="208" t="n"/>
    </row>
    <row r="904" customFormat="1" s="59">
      <c r="E904" s="208" t="n"/>
      <c r="F904" s="208" t="n"/>
    </row>
    <row r="905" customFormat="1" s="59">
      <c r="E905" s="208" t="n"/>
      <c r="F905" s="208" t="n"/>
    </row>
    <row r="906" customFormat="1" s="59">
      <c r="E906" s="208" t="n"/>
      <c r="F906" s="208" t="n"/>
    </row>
    <row r="907" customFormat="1" s="59">
      <c r="E907" s="208" t="n"/>
      <c r="F907" s="208" t="n"/>
    </row>
    <row r="908" customFormat="1" s="59">
      <c r="E908" s="208" t="n"/>
      <c r="F908" s="208" t="n"/>
    </row>
    <row r="909" customFormat="1" s="59">
      <c r="E909" s="208" t="n"/>
      <c r="F909" s="208" t="n"/>
    </row>
    <row r="910" customFormat="1" s="59">
      <c r="E910" s="208" t="n"/>
      <c r="F910" s="208" t="n"/>
    </row>
    <row r="911" customFormat="1" s="59">
      <c r="E911" s="208" t="n"/>
      <c r="F911" s="208" t="n"/>
    </row>
    <row r="912" customFormat="1" s="59">
      <c r="E912" s="208" t="n"/>
      <c r="F912" s="208" t="n"/>
    </row>
    <row r="913" customFormat="1" s="59">
      <c r="E913" s="208" t="n"/>
      <c r="F913" s="208" t="n"/>
    </row>
    <row r="914" customFormat="1" s="59">
      <c r="E914" s="208" t="n"/>
      <c r="F914" s="208" t="n"/>
    </row>
    <row r="915" customFormat="1" s="59">
      <c r="E915" s="208" t="n"/>
      <c r="F915" s="208" t="n"/>
    </row>
    <row r="916" customFormat="1" s="59">
      <c r="E916" s="208" t="n"/>
      <c r="F916" s="208" t="n"/>
    </row>
    <row r="917" customFormat="1" s="59">
      <c r="E917" s="208" t="n"/>
      <c r="F917" s="208" t="n"/>
    </row>
    <row r="918" customFormat="1" s="59">
      <c r="E918" s="208" t="n"/>
      <c r="F918" s="208" t="n"/>
    </row>
    <row r="919" customFormat="1" s="59">
      <c r="E919" s="208" t="n"/>
      <c r="F919" s="208" t="n"/>
    </row>
    <row r="920" customFormat="1" s="59">
      <c r="E920" s="208" t="n"/>
      <c r="F920" s="208" t="n"/>
    </row>
    <row r="921" customFormat="1" s="59">
      <c r="E921" s="208" t="n"/>
      <c r="F921" s="208" t="n"/>
    </row>
    <row r="922" customFormat="1" s="59">
      <c r="E922" s="208" t="n"/>
      <c r="F922" s="208" t="n"/>
    </row>
    <row r="923" customFormat="1" s="59">
      <c r="E923" s="208" t="n"/>
      <c r="F923" s="208" t="n"/>
    </row>
    <row r="924" customFormat="1" s="59">
      <c r="E924" s="208" t="n"/>
      <c r="F924" s="208" t="n"/>
    </row>
    <row r="925" customFormat="1" s="59">
      <c r="E925" s="208" t="n"/>
      <c r="F925" s="208" t="n"/>
    </row>
    <row r="926" customFormat="1" s="59">
      <c r="E926" s="208" t="n"/>
      <c r="F926" s="208" t="n"/>
    </row>
    <row r="927" customFormat="1" s="59">
      <c r="E927" s="208" t="n"/>
      <c r="F927" s="208" t="n"/>
    </row>
    <row r="928" customFormat="1" s="59">
      <c r="E928" s="208" t="n"/>
      <c r="F928" s="208" t="n"/>
    </row>
    <row r="929" customFormat="1" s="59">
      <c r="E929" s="208" t="n"/>
      <c r="F929" s="208" t="n"/>
    </row>
    <row r="930" customFormat="1" s="59">
      <c r="E930" s="208" t="n"/>
      <c r="F930" s="208" t="n"/>
    </row>
    <row r="931" customFormat="1" s="59">
      <c r="E931" s="208" t="n"/>
      <c r="F931" s="208" t="n"/>
    </row>
    <row r="932" customFormat="1" s="59">
      <c r="E932" s="208" t="n"/>
      <c r="F932" s="208" t="n"/>
    </row>
    <row r="933" customFormat="1" s="59">
      <c r="E933" s="208" t="n"/>
      <c r="F933" s="208" t="n"/>
    </row>
    <row r="934" customFormat="1" s="59">
      <c r="E934" s="208" t="n"/>
      <c r="F934" s="208" t="n"/>
    </row>
    <row r="935" customFormat="1" s="59">
      <c r="E935" s="208" t="n"/>
      <c r="F935" s="208" t="n"/>
    </row>
    <row r="936" customFormat="1" s="59">
      <c r="E936" s="208" t="n"/>
      <c r="F936" s="208" t="n"/>
    </row>
    <row r="937" customFormat="1" s="59">
      <c r="E937" s="208" t="n"/>
      <c r="F937" s="208" t="n"/>
    </row>
    <row r="938" customFormat="1" s="59">
      <c r="E938" s="208" t="n"/>
      <c r="F938" s="208" t="n"/>
    </row>
    <row r="939" customFormat="1" s="59">
      <c r="E939" s="208" t="n"/>
      <c r="F939" s="208" t="n"/>
    </row>
    <row r="940" customFormat="1" s="59">
      <c r="E940" s="208" t="n"/>
      <c r="F940" s="208" t="n"/>
    </row>
    <row r="941" customFormat="1" s="59">
      <c r="E941" s="208" t="n"/>
      <c r="F941" s="208" t="n"/>
    </row>
    <row r="942" customFormat="1" s="59">
      <c r="E942" s="208" t="n"/>
      <c r="F942" s="208" t="n"/>
    </row>
    <row r="943" customFormat="1" s="59">
      <c r="E943" s="208" t="n"/>
      <c r="F943" s="208" t="n"/>
    </row>
    <row r="944" customFormat="1" s="59">
      <c r="E944" s="208" t="n"/>
      <c r="F944" s="208" t="n"/>
    </row>
    <row r="945" customFormat="1" s="59">
      <c r="E945" s="208" t="n"/>
      <c r="F945" s="208" t="n"/>
    </row>
    <row r="946" customFormat="1" s="59">
      <c r="E946" s="208" t="n"/>
      <c r="F946" s="208" t="n"/>
    </row>
    <row r="947" customFormat="1" s="59">
      <c r="E947" s="208" t="n"/>
      <c r="F947" s="208" t="n"/>
    </row>
    <row r="948" customFormat="1" s="59">
      <c r="E948" s="208" t="n"/>
      <c r="F948" s="208" t="n"/>
    </row>
    <row r="949" customFormat="1" s="59">
      <c r="E949" s="208" t="n"/>
      <c r="F949" s="208" t="n"/>
    </row>
    <row r="950" customFormat="1" s="59">
      <c r="E950" s="208" t="n"/>
      <c r="F950" s="208" t="n"/>
    </row>
    <row r="951" customFormat="1" s="59">
      <c r="E951" s="208" t="n"/>
      <c r="F951" s="208" t="n"/>
    </row>
    <row r="952" customFormat="1" s="59">
      <c r="E952" s="208" t="n"/>
      <c r="F952" s="208" t="n"/>
    </row>
    <row r="953" customFormat="1" s="59">
      <c r="E953" s="208" t="n"/>
      <c r="F953" s="208" t="n"/>
    </row>
    <row r="954" customFormat="1" s="59">
      <c r="E954" s="208" t="n"/>
      <c r="F954" s="208" t="n"/>
    </row>
    <row r="955" customFormat="1" s="59">
      <c r="E955" s="208" t="n"/>
      <c r="F955" s="208" t="n"/>
    </row>
    <row r="956" customFormat="1" s="59">
      <c r="E956" s="208" t="n"/>
      <c r="F956" s="208" t="n"/>
    </row>
    <row r="957" customFormat="1" s="59">
      <c r="E957" s="208" t="n"/>
      <c r="F957" s="208" t="n"/>
    </row>
    <row r="958" customFormat="1" s="59">
      <c r="E958" s="208" t="n"/>
      <c r="F958" s="208" t="n"/>
    </row>
    <row r="959" customFormat="1" s="59">
      <c r="E959" s="208" t="n"/>
      <c r="F959" s="208" t="n"/>
    </row>
    <row r="960" customFormat="1" s="59">
      <c r="E960" s="208" t="n"/>
      <c r="F960" s="208" t="n"/>
    </row>
    <row r="961" customFormat="1" s="59">
      <c r="E961" s="208" t="n"/>
      <c r="F961" s="208" t="n"/>
    </row>
    <row r="962" customFormat="1" s="59">
      <c r="E962" s="208" t="n"/>
      <c r="F962" s="208" t="n"/>
    </row>
    <row r="963" customFormat="1" s="59">
      <c r="E963" s="208" t="n"/>
      <c r="F963" s="208" t="n"/>
    </row>
    <row r="964" customFormat="1" s="59">
      <c r="E964" s="208" t="n"/>
      <c r="F964" s="208" t="n"/>
    </row>
    <row r="965" customFormat="1" s="59">
      <c r="E965" s="208" t="n"/>
      <c r="F965" s="208" t="n"/>
    </row>
    <row r="966" customFormat="1" s="59">
      <c r="E966" s="208" t="n"/>
      <c r="F966" s="208" t="n"/>
    </row>
    <row r="967" customFormat="1" s="59">
      <c r="E967" s="208" t="n"/>
      <c r="F967" s="208" t="n"/>
    </row>
    <row r="968" customFormat="1" s="59">
      <c r="E968" s="208" t="n"/>
      <c r="F968" s="208" t="n"/>
    </row>
    <row r="969" customFormat="1" s="59">
      <c r="E969" s="208" t="n"/>
      <c r="F969" s="208" t="n"/>
    </row>
    <row r="970" customFormat="1" s="59">
      <c r="E970" s="208" t="n"/>
      <c r="F970" s="208" t="n"/>
    </row>
    <row r="971" customFormat="1" s="59">
      <c r="E971" s="208" t="n"/>
      <c r="F971" s="208" t="n"/>
    </row>
    <row r="972" customFormat="1" s="59">
      <c r="E972" s="208" t="n"/>
      <c r="F972" s="208" t="n"/>
    </row>
    <row r="973" customFormat="1" s="59">
      <c r="E973" s="208" t="n"/>
      <c r="F973" s="208" t="n"/>
    </row>
    <row r="974" customFormat="1" s="59">
      <c r="E974" s="208" t="n"/>
      <c r="F974" s="208" t="n"/>
    </row>
    <row r="975" customFormat="1" s="59">
      <c r="E975" s="208" t="n"/>
      <c r="F975" s="208" t="n"/>
    </row>
    <row r="976" customFormat="1" s="59">
      <c r="E976" s="208" t="n"/>
      <c r="F976" s="208" t="n"/>
    </row>
    <row r="977" customFormat="1" s="59">
      <c r="E977" s="208" t="n"/>
      <c r="F977" s="208" t="n"/>
    </row>
    <row r="978" customFormat="1" s="59">
      <c r="E978" s="208" t="n"/>
      <c r="F978" s="208" t="n"/>
    </row>
    <row r="979" customFormat="1" s="59">
      <c r="E979" s="208" t="n"/>
      <c r="F979" s="208" t="n"/>
    </row>
    <row r="980" customFormat="1" s="59">
      <c r="E980" s="208" t="n"/>
      <c r="F980" s="208" t="n"/>
    </row>
    <row r="981" customFormat="1" s="59">
      <c r="E981" s="208" t="n"/>
      <c r="F981" s="208" t="n"/>
    </row>
    <row r="982" customFormat="1" s="59">
      <c r="E982" s="208" t="n"/>
      <c r="F982" s="208" t="n"/>
    </row>
    <row r="983" customFormat="1" s="59">
      <c r="E983" s="208" t="n"/>
      <c r="F983" s="208" t="n"/>
    </row>
    <row r="984" customFormat="1" s="59">
      <c r="E984" s="208" t="n"/>
      <c r="F984" s="208" t="n"/>
    </row>
    <row r="985" customFormat="1" s="59">
      <c r="E985" s="208" t="n"/>
      <c r="F985" s="208" t="n"/>
    </row>
    <row r="986" customFormat="1" s="59">
      <c r="E986" s="208" t="n"/>
      <c r="F986" s="208" t="n"/>
    </row>
    <row r="987" customFormat="1" s="59">
      <c r="E987" s="208" t="n"/>
      <c r="F987" s="208" t="n"/>
    </row>
    <row r="988" customFormat="1" s="59">
      <c r="E988" s="208" t="n"/>
      <c r="F988" s="208" t="n"/>
    </row>
    <row r="989" customFormat="1" s="59">
      <c r="E989" s="208" t="n"/>
      <c r="F989" s="208" t="n"/>
    </row>
    <row r="990" customFormat="1" s="59">
      <c r="E990" s="208" t="n"/>
      <c r="F990" s="208" t="n"/>
    </row>
    <row r="991" customFormat="1" s="59">
      <c r="E991" s="208" t="n"/>
      <c r="F991" s="208" t="n"/>
    </row>
    <row r="992" customFormat="1" s="59">
      <c r="E992" s="208" t="n"/>
      <c r="F992" s="208" t="n"/>
    </row>
    <row r="993" customFormat="1" s="59">
      <c r="E993" s="208" t="n"/>
      <c r="F993" s="208" t="n"/>
    </row>
    <row r="994" customFormat="1" s="59">
      <c r="E994" s="208" t="n"/>
      <c r="F994" s="208" t="n"/>
    </row>
    <row r="995" customFormat="1" s="59">
      <c r="E995" s="208" t="n"/>
      <c r="F995" s="208" t="n"/>
    </row>
    <row r="996" customFormat="1" s="59">
      <c r="E996" s="208" t="n"/>
      <c r="F996" s="208" t="n"/>
    </row>
    <row r="997" customFormat="1" s="59">
      <c r="E997" s="208" t="n"/>
      <c r="F997" s="208" t="n"/>
    </row>
    <row r="998" customFormat="1" s="59">
      <c r="E998" s="208" t="n"/>
      <c r="F998" s="208" t="n"/>
    </row>
    <row r="999" customFormat="1" s="59">
      <c r="E999" s="208" t="n"/>
      <c r="F999" s="208" t="n"/>
    </row>
    <row r="1000" customFormat="1" s="59">
      <c r="E1000" s="208" t="n"/>
      <c r="F1000" s="208" t="n"/>
    </row>
    <row r="1001" customFormat="1" s="59">
      <c r="E1001" s="208" t="n"/>
      <c r="F1001" s="208" t="n"/>
    </row>
    <row r="1002" customFormat="1" s="59">
      <c r="E1002" s="208" t="n"/>
      <c r="F1002" s="208" t="n"/>
    </row>
    <row r="1003" customFormat="1" s="59">
      <c r="E1003" s="208" t="n"/>
      <c r="F1003" s="208" t="n"/>
    </row>
    <row r="1004" customFormat="1" s="59">
      <c r="E1004" s="208" t="n"/>
      <c r="F1004" s="208" t="n"/>
    </row>
    <row r="1005" customFormat="1" s="59">
      <c r="E1005" s="208" t="n"/>
      <c r="F1005" s="208" t="n"/>
    </row>
    <row r="1006" customFormat="1" s="59">
      <c r="E1006" s="208" t="n"/>
      <c r="F1006" s="208" t="n"/>
    </row>
    <row r="1007" customFormat="1" s="59">
      <c r="E1007" s="208" t="n"/>
      <c r="F1007" s="208" t="n"/>
    </row>
    <row r="1008" customFormat="1" s="59">
      <c r="E1008" s="208" t="n"/>
      <c r="F1008" s="208" t="n"/>
    </row>
    <row r="1009" customFormat="1" s="59">
      <c r="E1009" s="208" t="n"/>
      <c r="F1009" s="208" t="n"/>
    </row>
    <row r="1010" customFormat="1" s="59">
      <c r="E1010" s="208" t="n"/>
      <c r="F1010" s="208" t="n"/>
    </row>
    <row r="1011" customFormat="1" s="59">
      <c r="E1011" s="208" t="n"/>
      <c r="F1011" s="208" t="n"/>
    </row>
    <row r="1012" customFormat="1" s="59">
      <c r="E1012" s="208" t="n"/>
      <c r="F1012" s="208" t="n"/>
    </row>
    <row r="1013" customFormat="1" s="59">
      <c r="E1013" s="208" t="n"/>
      <c r="F1013" s="208" t="n"/>
    </row>
    <row r="1014" customFormat="1" s="59">
      <c r="E1014" s="208" t="n"/>
      <c r="F1014" s="208" t="n"/>
    </row>
    <row r="1015" customFormat="1" s="59">
      <c r="E1015" s="208" t="n"/>
      <c r="F1015" s="208" t="n"/>
    </row>
    <row r="1016" customFormat="1" s="59">
      <c r="E1016" s="208" t="n"/>
      <c r="F1016" s="208" t="n"/>
    </row>
    <row r="1017" customFormat="1" s="59">
      <c r="E1017" s="208" t="n"/>
      <c r="F1017" s="208" t="n"/>
    </row>
    <row r="1018" customFormat="1" s="59">
      <c r="E1018" s="208" t="n"/>
      <c r="F1018" s="208" t="n"/>
    </row>
    <row r="1019" customFormat="1" s="59">
      <c r="E1019" s="208" t="n"/>
      <c r="F1019" s="208" t="n"/>
    </row>
    <row r="1020" customFormat="1" s="59">
      <c r="E1020" s="208" t="n"/>
      <c r="F1020" s="208" t="n"/>
    </row>
    <row r="1021" customFormat="1" s="59">
      <c r="E1021" s="208" t="n"/>
      <c r="F1021" s="208" t="n"/>
    </row>
    <row r="1022" customFormat="1" s="59">
      <c r="E1022" s="208" t="n"/>
      <c r="F1022" s="208" t="n"/>
    </row>
    <row r="1023" customFormat="1" s="59">
      <c r="E1023" s="208" t="n"/>
      <c r="F1023" s="208" t="n"/>
    </row>
    <row r="1024" customFormat="1" s="59">
      <c r="E1024" s="208" t="n"/>
      <c r="F1024" s="208" t="n"/>
    </row>
    <row r="1025" customFormat="1" s="59">
      <c r="E1025" s="208" t="n"/>
      <c r="F1025" s="208" t="n"/>
    </row>
    <row r="1026" customFormat="1" s="59">
      <c r="E1026" s="208" t="n"/>
      <c r="F1026" s="208" t="n"/>
    </row>
    <row r="1027" customFormat="1" s="59">
      <c r="E1027" s="208" t="n"/>
      <c r="F1027" s="208" t="n"/>
    </row>
    <row r="1028" customFormat="1" s="59">
      <c r="E1028" s="208" t="n"/>
      <c r="F1028" s="208" t="n"/>
    </row>
    <row r="1029" customFormat="1" s="59">
      <c r="E1029" s="208" t="n"/>
      <c r="F1029" s="208" t="n"/>
    </row>
    <row r="1030" customFormat="1" s="59">
      <c r="E1030" s="208" t="n"/>
      <c r="F1030" s="208" t="n"/>
    </row>
    <row r="1031" customFormat="1" s="59">
      <c r="E1031" s="208" t="n"/>
      <c r="F1031" s="208" t="n"/>
    </row>
    <row r="1032" customFormat="1" s="59">
      <c r="E1032" s="208" t="n"/>
      <c r="F1032" s="208" t="n"/>
    </row>
    <row r="1033" customFormat="1" s="59">
      <c r="E1033" s="208" t="n"/>
      <c r="F1033" s="208" t="n"/>
    </row>
    <row r="1034" customFormat="1" s="59">
      <c r="E1034" s="208" t="n"/>
      <c r="F1034" s="208" t="n"/>
    </row>
    <row r="1035" customFormat="1" s="59">
      <c r="E1035" s="208" t="n"/>
      <c r="F1035" s="208" t="n"/>
    </row>
    <row r="1036" customFormat="1" s="59">
      <c r="E1036" s="208" t="n"/>
      <c r="F1036" s="208" t="n"/>
    </row>
    <row r="1037" customFormat="1" s="59">
      <c r="E1037" s="208" t="n"/>
      <c r="F1037" s="208" t="n"/>
    </row>
    <row r="1038" customFormat="1" s="59">
      <c r="E1038" s="208" t="n"/>
      <c r="F1038" s="208" t="n"/>
    </row>
    <row r="1039" customFormat="1" s="59">
      <c r="E1039" s="208" t="n"/>
      <c r="F1039" s="208" t="n"/>
    </row>
    <row r="1040" customFormat="1" s="59">
      <c r="E1040" s="208" t="n"/>
      <c r="F1040" s="208" t="n"/>
    </row>
    <row r="1041" customFormat="1" s="59">
      <c r="E1041" s="208" t="n"/>
      <c r="F1041" s="208" t="n"/>
    </row>
    <row r="1042" customFormat="1" s="59">
      <c r="E1042" s="208" t="n"/>
      <c r="F1042" s="208" t="n"/>
    </row>
    <row r="1043" customFormat="1" s="59">
      <c r="E1043" s="208" t="n"/>
      <c r="F1043" s="208" t="n"/>
    </row>
    <row r="1044" customFormat="1" s="59">
      <c r="E1044" s="208" t="n"/>
      <c r="F1044" s="208" t="n"/>
    </row>
    <row r="1045" customFormat="1" s="59">
      <c r="E1045" s="208" t="n"/>
      <c r="F1045" s="208" t="n"/>
    </row>
    <row r="1046" customFormat="1" s="59">
      <c r="E1046" s="208" t="n"/>
      <c r="F1046" s="208" t="n"/>
    </row>
    <row r="1047" customFormat="1" s="59">
      <c r="E1047" s="208" t="n"/>
      <c r="F1047" s="208" t="n"/>
    </row>
    <row r="1048" customFormat="1" s="59">
      <c r="E1048" s="208" t="n"/>
      <c r="F1048" s="208" t="n"/>
    </row>
    <row r="1049" customFormat="1" s="59">
      <c r="E1049" s="208" t="n"/>
      <c r="F1049" s="208" t="n"/>
    </row>
    <row r="1050" customFormat="1" s="59">
      <c r="E1050" s="208" t="n"/>
      <c r="F1050" s="208" t="n"/>
    </row>
    <row r="1051" customFormat="1" s="59">
      <c r="E1051" s="208" t="n"/>
      <c r="F1051" s="208" t="n"/>
    </row>
    <row r="1052" customFormat="1" s="59">
      <c r="E1052" s="208" t="n"/>
      <c r="F1052" s="208" t="n"/>
    </row>
    <row r="1053" customFormat="1" s="59">
      <c r="E1053" s="208" t="n"/>
      <c r="F1053" s="208" t="n"/>
    </row>
    <row r="1054" customFormat="1" s="59">
      <c r="E1054" s="208" t="n"/>
      <c r="F1054" s="208" t="n"/>
    </row>
    <row r="1055" customFormat="1" s="59">
      <c r="E1055" s="208" t="n"/>
      <c r="F1055" s="208" t="n"/>
    </row>
    <row r="1056" customFormat="1" s="59">
      <c r="E1056" s="208" t="n"/>
      <c r="F1056" s="208" t="n"/>
    </row>
    <row r="1057" customFormat="1" s="59">
      <c r="E1057" s="208" t="n"/>
      <c r="F1057" s="208" t="n"/>
    </row>
    <row r="1058" customFormat="1" s="59">
      <c r="E1058" s="208" t="n"/>
      <c r="F1058" s="208" t="n"/>
    </row>
    <row r="1059" customFormat="1" s="59">
      <c r="E1059" s="208" t="n"/>
      <c r="F1059" s="208" t="n"/>
    </row>
    <row r="1060" customFormat="1" s="59">
      <c r="E1060" s="208" t="n"/>
      <c r="F1060" s="208" t="n"/>
    </row>
    <row r="1061" customFormat="1" s="59">
      <c r="E1061" s="208" t="n"/>
      <c r="F1061" s="208" t="n"/>
    </row>
    <row r="1062" customFormat="1" s="59">
      <c r="E1062" s="208" t="n"/>
      <c r="F1062" s="208" t="n"/>
    </row>
    <row r="1063" customFormat="1" s="59">
      <c r="E1063" s="208" t="n"/>
      <c r="F1063" s="208" t="n"/>
    </row>
    <row r="1064" customFormat="1" s="59">
      <c r="E1064" s="208" t="n"/>
      <c r="F1064" s="208" t="n"/>
    </row>
    <row r="1065" customFormat="1" s="59">
      <c r="E1065" s="208" t="n"/>
      <c r="F1065" s="208" t="n"/>
    </row>
    <row r="1066" customFormat="1" s="59">
      <c r="E1066" s="208" t="n"/>
      <c r="F1066" s="208" t="n"/>
    </row>
    <row r="1067" customFormat="1" s="59">
      <c r="E1067" s="208" t="n"/>
      <c r="F1067" s="208" t="n"/>
    </row>
    <row r="1068" customFormat="1" s="59">
      <c r="E1068" s="208" t="n"/>
      <c r="F1068" s="208" t="n"/>
    </row>
    <row r="1069" customFormat="1" s="59">
      <c r="E1069" s="208" t="n"/>
      <c r="F1069" s="208" t="n"/>
    </row>
    <row r="1070" customFormat="1" s="59">
      <c r="E1070" s="208" t="n"/>
      <c r="F1070" s="208" t="n"/>
    </row>
    <row r="1071" customFormat="1" s="59">
      <c r="E1071" s="208" t="n"/>
      <c r="F1071" s="208" t="n"/>
    </row>
    <row r="1072" customFormat="1" s="59">
      <c r="E1072" s="208" t="n"/>
      <c r="F1072" s="208" t="n"/>
    </row>
    <row r="1073" customFormat="1" s="59">
      <c r="E1073" s="208" t="n"/>
      <c r="F1073" s="208" t="n"/>
    </row>
    <row r="1074" customFormat="1" s="59">
      <c r="E1074" s="208" t="n"/>
      <c r="F1074" s="208" t="n"/>
    </row>
    <row r="1075" customFormat="1" s="59">
      <c r="E1075" s="208" t="n"/>
      <c r="F1075" s="208" t="n"/>
    </row>
    <row r="1076" customFormat="1" s="59">
      <c r="E1076" s="208" t="n"/>
      <c r="F1076" s="208" t="n"/>
    </row>
    <row r="1077" customFormat="1" s="59">
      <c r="E1077" s="208" t="n"/>
      <c r="F1077" s="208" t="n"/>
    </row>
    <row r="1078" customFormat="1" s="59">
      <c r="E1078" s="208" t="n"/>
      <c r="F1078" s="208" t="n"/>
    </row>
    <row r="1079" customFormat="1" s="59">
      <c r="E1079" s="208" t="n"/>
      <c r="F1079" s="208" t="n"/>
    </row>
    <row r="1080" customFormat="1" s="59">
      <c r="E1080" s="208" t="n"/>
      <c r="F1080" s="208" t="n"/>
    </row>
    <row r="1081" customFormat="1" s="59">
      <c r="E1081" s="208" t="n"/>
      <c r="F1081" s="208" t="n"/>
    </row>
    <row r="1082" customFormat="1" s="59">
      <c r="E1082" s="208" t="n"/>
      <c r="F1082" s="208" t="n"/>
    </row>
    <row r="1083" customFormat="1" s="59">
      <c r="E1083" s="208" t="n"/>
      <c r="F1083" s="208" t="n"/>
    </row>
    <row r="1084" customFormat="1" s="59">
      <c r="E1084" s="208" t="n"/>
      <c r="F1084" s="208" t="n"/>
    </row>
    <row r="1085" customFormat="1" s="59">
      <c r="E1085" s="208" t="n"/>
      <c r="F1085" s="208" t="n"/>
    </row>
    <row r="1086" customFormat="1" s="59">
      <c r="E1086" s="208" t="n"/>
      <c r="F1086" s="208" t="n"/>
    </row>
    <row r="1087" customFormat="1" s="59">
      <c r="E1087" s="208" t="n"/>
      <c r="F1087" s="208" t="n"/>
    </row>
    <row r="1088" customFormat="1" s="59">
      <c r="E1088" s="208" t="n"/>
      <c r="F1088" s="208" t="n"/>
    </row>
    <row r="1089" customFormat="1" s="59">
      <c r="E1089" s="208" t="n"/>
      <c r="F1089" s="208" t="n"/>
    </row>
    <row r="1090" customFormat="1" s="59">
      <c r="E1090" s="208" t="n"/>
      <c r="F1090" s="208" t="n"/>
    </row>
    <row r="1091" customFormat="1" s="59">
      <c r="E1091" s="208" t="n"/>
      <c r="F1091" s="208" t="n"/>
    </row>
    <row r="1092" customFormat="1" s="59">
      <c r="E1092" s="208" t="n"/>
      <c r="F1092" s="208" t="n"/>
    </row>
    <row r="1093" customFormat="1" s="59">
      <c r="E1093" s="208" t="n"/>
      <c r="F1093" s="208" t="n"/>
    </row>
    <row r="1094" customFormat="1" s="59">
      <c r="E1094" s="208" t="n"/>
      <c r="F1094" s="208" t="n"/>
    </row>
    <row r="1095" customFormat="1" s="59">
      <c r="E1095" s="208" t="n"/>
      <c r="F1095" s="208" t="n"/>
    </row>
    <row r="1096" customFormat="1" s="59">
      <c r="E1096" s="208" t="n"/>
      <c r="F1096" s="208" t="n"/>
    </row>
    <row r="1097" customFormat="1" s="59">
      <c r="E1097" s="208" t="n"/>
      <c r="F1097" s="208" t="n"/>
    </row>
    <row r="1098" customFormat="1" s="59">
      <c r="E1098" s="208" t="n"/>
      <c r="F1098" s="208" t="n"/>
    </row>
    <row r="1099" customFormat="1" s="59">
      <c r="E1099" s="208" t="n"/>
      <c r="F1099" s="208" t="n"/>
    </row>
    <row r="1100" customFormat="1" s="59">
      <c r="E1100" s="208" t="n"/>
      <c r="F1100" s="208" t="n"/>
    </row>
    <row r="1101" customFormat="1" s="59">
      <c r="E1101" s="208" t="n"/>
      <c r="F1101" s="208" t="n"/>
    </row>
    <row r="1102" customFormat="1" s="59">
      <c r="E1102" s="208" t="n"/>
      <c r="F1102" s="208" t="n"/>
    </row>
    <row r="1103" customFormat="1" s="59">
      <c r="E1103" s="208" t="n"/>
      <c r="F1103" s="208" t="n"/>
    </row>
    <row r="1104" customFormat="1" s="59">
      <c r="E1104" s="208" t="n"/>
      <c r="F1104" s="208" t="n"/>
    </row>
    <row r="1105" customFormat="1" s="59">
      <c r="E1105" s="208" t="n"/>
      <c r="F1105" s="208" t="n"/>
    </row>
    <row r="1106" customFormat="1" s="59">
      <c r="E1106" s="208" t="n"/>
      <c r="F1106" s="208" t="n"/>
    </row>
    <row r="1107" customFormat="1" s="59">
      <c r="E1107" s="208" t="n"/>
      <c r="F1107" s="208" t="n"/>
    </row>
    <row r="1108" customFormat="1" s="59">
      <c r="E1108" s="208" t="n"/>
      <c r="F1108" s="208" t="n"/>
    </row>
    <row r="1109" customFormat="1" s="59">
      <c r="E1109" s="208" t="n"/>
      <c r="F1109" s="208" t="n"/>
    </row>
    <row r="1110" customFormat="1" s="59">
      <c r="E1110" s="208" t="n"/>
      <c r="F1110" s="208" t="n"/>
    </row>
    <row r="1111" customFormat="1" s="59">
      <c r="E1111" s="208" t="n"/>
      <c r="F1111" s="208" t="n"/>
    </row>
    <row r="1112" customFormat="1" s="59">
      <c r="E1112" s="208" t="n"/>
      <c r="F1112" s="208" t="n"/>
    </row>
    <row r="1113" customFormat="1" s="59">
      <c r="E1113" s="208" t="n"/>
      <c r="F1113" s="208" t="n"/>
    </row>
    <row r="1114" customFormat="1" s="59">
      <c r="E1114" s="208" t="n"/>
      <c r="F1114" s="208" t="n"/>
    </row>
    <row r="1115" customFormat="1" s="59">
      <c r="E1115" s="208" t="n"/>
      <c r="F1115" s="208" t="n"/>
    </row>
    <row r="1116" customFormat="1" s="59">
      <c r="E1116" s="208" t="n"/>
      <c r="F1116" s="208" t="n"/>
    </row>
    <row r="1117" customFormat="1" s="59">
      <c r="E1117" s="208" t="n"/>
      <c r="F1117" s="208" t="n"/>
    </row>
    <row r="1118" customFormat="1" s="59">
      <c r="E1118" s="208" t="n"/>
      <c r="F1118" s="208" t="n"/>
    </row>
    <row r="1119" customFormat="1" s="59">
      <c r="E1119" s="208" t="n"/>
      <c r="F1119" s="208" t="n"/>
    </row>
    <row r="1120" customFormat="1" s="59">
      <c r="E1120" s="208" t="n"/>
      <c r="F1120" s="208" t="n"/>
    </row>
    <row r="1121" customFormat="1" s="59">
      <c r="E1121" s="208" t="n"/>
      <c r="F1121" s="208" t="n"/>
    </row>
    <row r="1122" customFormat="1" s="59">
      <c r="E1122" s="208" t="n"/>
      <c r="F1122" s="208" t="n"/>
    </row>
    <row r="1123" customFormat="1" s="59">
      <c r="E1123" s="208" t="n"/>
      <c r="F1123" s="208" t="n"/>
    </row>
    <row r="1124" customFormat="1" s="59">
      <c r="E1124" s="208" t="n"/>
      <c r="F1124" s="208" t="n"/>
    </row>
    <row r="1125" customFormat="1" s="59">
      <c r="E1125" s="208" t="n"/>
      <c r="F1125" s="208" t="n"/>
    </row>
    <row r="1126" customFormat="1" s="59">
      <c r="E1126" s="208" t="n"/>
      <c r="F1126" s="208" t="n"/>
    </row>
    <row r="1127" customFormat="1" s="59">
      <c r="E1127" s="208" t="n"/>
      <c r="F1127" s="208" t="n"/>
    </row>
    <row r="1128" customFormat="1" s="59">
      <c r="E1128" s="208" t="n"/>
      <c r="F1128" s="208" t="n"/>
    </row>
    <row r="1129" customFormat="1" s="59">
      <c r="E1129" s="208" t="n"/>
      <c r="F1129" s="208" t="n"/>
    </row>
    <row r="1130" customFormat="1" s="59">
      <c r="E1130" s="208" t="n"/>
      <c r="F1130" s="208" t="n"/>
    </row>
    <row r="1131" customFormat="1" s="59">
      <c r="E1131" s="208" t="n"/>
      <c r="F1131" s="208" t="n"/>
    </row>
    <row r="1132" customFormat="1" s="59">
      <c r="E1132" s="208" t="n"/>
      <c r="F1132" s="208" t="n"/>
    </row>
    <row r="1133" customFormat="1" s="59">
      <c r="E1133" s="208" t="n"/>
      <c r="F1133" s="208" t="n"/>
    </row>
    <row r="1134" customFormat="1" s="59">
      <c r="E1134" s="208" t="n"/>
      <c r="F1134" s="208" t="n"/>
    </row>
    <row r="1135" customFormat="1" s="59">
      <c r="E1135" s="208" t="n"/>
      <c r="F1135" s="208" t="n"/>
    </row>
    <row r="1136" customFormat="1" s="59">
      <c r="E1136" s="208" t="n"/>
      <c r="F1136" s="208" t="n"/>
    </row>
    <row r="1137" customFormat="1" s="59">
      <c r="E1137" s="208" t="n"/>
      <c r="F1137" s="208" t="n"/>
    </row>
    <row r="1138" customFormat="1" s="59">
      <c r="E1138" s="208" t="n"/>
      <c r="F1138" s="208" t="n"/>
    </row>
    <row r="1139" customFormat="1" s="59">
      <c r="E1139" s="208" t="n"/>
      <c r="F1139" s="208" t="n"/>
    </row>
    <row r="1140" customFormat="1" s="59">
      <c r="E1140" s="208" t="n"/>
      <c r="F1140" s="208" t="n"/>
    </row>
    <row r="1141" customFormat="1" s="59">
      <c r="E1141" s="208" t="n"/>
      <c r="F1141" s="208" t="n"/>
    </row>
    <row r="1142" customFormat="1" s="59">
      <c r="E1142" s="208" t="n"/>
      <c r="F1142" s="208" t="n"/>
    </row>
    <row r="1143" customFormat="1" s="59">
      <c r="E1143" s="208" t="n"/>
      <c r="F1143" s="208" t="n"/>
    </row>
    <row r="1144" customFormat="1" s="59">
      <c r="E1144" s="208" t="n"/>
      <c r="F1144" s="208" t="n"/>
    </row>
    <row r="1145" customFormat="1" s="59">
      <c r="E1145" s="208" t="n"/>
      <c r="F1145" s="208" t="n"/>
    </row>
    <row r="1146" customFormat="1" s="59">
      <c r="E1146" s="208" t="n"/>
      <c r="F1146" s="208" t="n"/>
    </row>
    <row r="1147" customFormat="1" s="59">
      <c r="E1147" s="208" t="n"/>
      <c r="F1147" s="208" t="n"/>
    </row>
    <row r="1148" customFormat="1" s="59">
      <c r="E1148" s="208" t="n"/>
      <c r="F1148" s="208" t="n"/>
    </row>
    <row r="1149" customFormat="1" s="59">
      <c r="E1149" s="208" t="n"/>
      <c r="F1149" s="208" t="n"/>
    </row>
    <row r="1150" customFormat="1" s="59">
      <c r="E1150" s="208" t="n"/>
      <c r="F1150" s="208" t="n"/>
    </row>
    <row r="1151" customFormat="1" s="59">
      <c r="E1151" s="208" t="n"/>
      <c r="F1151" s="208" t="n"/>
    </row>
    <row r="1152" customFormat="1" s="59">
      <c r="E1152" s="208" t="n"/>
      <c r="F1152" s="208" t="n"/>
    </row>
    <row r="1153" customFormat="1" s="59">
      <c r="E1153" s="208" t="n"/>
      <c r="F1153" s="208" t="n"/>
    </row>
    <row r="1154" customFormat="1" s="59">
      <c r="E1154" s="208" t="n"/>
      <c r="F1154" s="208" t="n"/>
    </row>
    <row r="1155" customFormat="1" s="59">
      <c r="E1155" s="208" t="n"/>
      <c r="F1155" s="208" t="n"/>
    </row>
    <row r="1156" customFormat="1" s="59">
      <c r="E1156" s="208" t="n"/>
      <c r="F1156" s="208" t="n"/>
    </row>
    <row r="1157" customFormat="1" s="59">
      <c r="E1157" s="208" t="n"/>
      <c r="F1157" s="208" t="n"/>
    </row>
  </sheetData>
  <mergeCells count="2">
    <mergeCell ref="D1:E1"/>
    <mergeCell ref="D42:E42"/>
  </mergeCells>
  <conditionalFormatting sqref="A3:A36">
    <cfRule type="containsText" priority="2" operator="containsText" dxfId="11" text="OMIT">
      <formula>NOT(ISERROR(SEARCH("OMIT",A3)))</formula>
    </cfRule>
  </conditionalFormatting>
  <conditionalFormatting sqref="A43:A102">
    <cfRule type="containsText" priority="1" operator="containsText" dxfId="11" text="OMIT">
      <formula>NOT(ISERROR(SEARCH("OMIT",A43)))</formula>
    </cfRule>
  </conditionalFormatting>
  <dataValidations count="4">
    <dataValidation sqref="H1" showDropDown="0" showInputMessage="1" showErrorMessage="1" allowBlank="0" type="list">
      <formula1>"1,2,3,4,5,6,7,8,9,10,11,12"</formula1>
    </dataValidation>
    <dataValidation sqref="A3:A7 A9:A36"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43:A10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8" showDropDown="0" showInputMessage="1" showErrorMessage="1" allowBlank="0" type="list">
      <formula1>"Gross Potential Rent, COGS, Vacancy, Retail,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2002"/>
  <sheetViews>
    <sheetView workbookViewId="0">
      <selection activeCell="A1" sqref="A1"/>
    </sheetView>
  </sheetViews>
  <sheetFormatPr baseColWidth="8" defaultColWidth="9.42578125" defaultRowHeight="14.45" customHeight="1" zeroHeight="1" outlineLevelRow="1"/>
  <cols>
    <col width="17" customWidth="1" style="1" min="1" max="2"/>
    <col width="12.42578125" customWidth="1" style="1" min="3" max="3"/>
    <col width="23.42578125" customWidth="1" style="1" min="4" max="4"/>
    <col hidden="1" width="5.140625" customWidth="1" style="1" min="5" max="5"/>
    <col width="34.28515625" customWidth="1" style="1" min="6" max="7"/>
    <col width="29.140625" customWidth="1" style="1" min="8" max="8"/>
    <col width="21.42578125" customWidth="1" style="277" min="9" max="9"/>
    <col width="21.42578125" customWidth="1" style="1" min="10" max="10"/>
    <col width="18.42578125" customWidth="1" style="1" min="11" max="11"/>
    <col width="13.42578125" customWidth="1" style="1" min="12" max="15"/>
    <col width="18.42578125" customWidth="1" style="1" min="16" max="19"/>
    <col width="17.42578125" customWidth="1" style="1" min="20" max="20"/>
    <col width="17" customWidth="1" style="1" min="21" max="21"/>
    <col width="13.42578125" customWidth="1" style="1" min="22" max="23"/>
    <col width="13.42578125" customWidth="1" style="59" min="24" max="26"/>
    <col width="9.42578125" customWidth="1" style="59" min="27" max="92"/>
    <col width="9.42578125" customWidth="1" style="3" min="93" max="131"/>
    <col width="9.42578125" customWidth="1" style="1" min="132" max="16384"/>
  </cols>
  <sheetData>
    <row r="1" ht="18" customFormat="1" customHeight="1" s="33" thickBot="1">
      <c r="A1" s="34" t="inlineStr">
        <is>
          <t xml:space="preserve">RENT ROLL </t>
        </is>
      </c>
      <c r="B1" s="34" t="n"/>
      <c r="C1" s="670" t="n">
        <v>46084</v>
      </c>
      <c r="D1" s="34" t="n"/>
      <c r="E1" s="34" t="n"/>
      <c r="F1" s="34" t="n"/>
      <c r="G1" s="34" t="n"/>
      <c r="H1" s="34" t="n"/>
      <c r="I1" s="744" t="inlineStr">
        <is>
          <t>MHC Only</t>
        </is>
      </c>
      <c r="J1" s="745" t="n"/>
      <c r="K1" s="746" t="n"/>
      <c r="L1" s="747" t="inlineStr">
        <is>
          <t>Apartments</t>
        </is>
      </c>
      <c r="M1" s="745" t="n"/>
      <c r="N1" s="745" t="n"/>
      <c r="O1" s="745" t="n"/>
      <c r="P1" s="746" t="n"/>
      <c r="Q1" s="748" t="inlineStr">
        <is>
          <t>Other Income</t>
        </is>
      </c>
      <c r="R1" s="745" t="n"/>
      <c r="S1" s="746" t="n"/>
      <c r="T1" s="749" t="inlineStr">
        <is>
          <t>Commercial Leases</t>
        </is>
      </c>
      <c r="U1" s="745" t="n"/>
      <c r="V1" s="745" t="n"/>
      <c r="W1" s="746" t="n"/>
      <c r="X1" s="128" t="n"/>
      <c r="Y1" s="128" t="n"/>
      <c r="Z1" s="128" t="n"/>
      <c r="AA1" s="128" t="n"/>
      <c r="AB1" s="128" t="n"/>
      <c r="AC1" s="128" t="n"/>
      <c r="AD1" s="128" t="n"/>
      <c r="AE1" s="128" t="n"/>
      <c r="AF1" s="128" t="n"/>
      <c r="AG1" s="128" t="n"/>
      <c r="AH1" s="128" t="n"/>
      <c r="AI1" s="128" t="n"/>
      <c r="AJ1" s="128" t="n"/>
      <c r="AK1" s="128" t="n"/>
      <c r="AL1" s="128" t="n"/>
      <c r="AM1" s="128" t="n"/>
      <c r="AN1" s="128" t="n"/>
      <c r="AO1" s="128" t="n"/>
      <c r="AP1" s="128" t="n"/>
      <c r="AQ1" s="128" t="n"/>
      <c r="AR1" s="128" t="n"/>
      <c r="AS1" s="128" t="n"/>
      <c r="AT1" s="128" t="n"/>
      <c r="AU1" s="128" t="n"/>
      <c r="AV1" s="128" t="n"/>
      <c r="AW1" s="128" t="n"/>
      <c r="AX1" s="128" t="n"/>
      <c r="AY1" s="128" t="n"/>
      <c r="AZ1" s="128" t="n"/>
      <c r="BA1" s="128" t="n"/>
      <c r="BB1" s="128" t="n"/>
      <c r="BC1" s="128" t="n"/>
      <c r="BD1" s="128" t="n"/>
      <c r="BE1" s="128" t="n"/>
      <c r="BF1" s="128" t="n"/>
      <c r="BG1" s="128" t="n"/>
      <c r="BH1" s="128" t="n"/>
      <c r="BI1" s="128" t="n"/>
      <c r="BJ1" s="128" t="n"/>
      <c r="BK1" s="128" t="n"/>
      <c r="BL1" s="128" t="n"/>
      <c r="BM1" s="128" t="n"/>
      <c r="BN1" s="128" t="n"/>
      <c r="BO1" s="128" t="n"/>
      <c r="BP1" s="128" t="n"/>
      <c r="BQ1" s="128" t="n"/>
      <c r="BR1" s="128" t="n"/>
      <c r="BS1" s="128" t="n"/>
      <c r="BT1" s="128" t="n"/>
      <c r="BU1" s="128" t="n"/>
      <c r="BV1" s="128" t="n"/>
      <c r="BW1" s="128" t="n"/>
      <c r="BX1" s="128" t="n"/>
      <c r="BY1" s="128" t="n"/>
      <c r="BZ1" s="128" t="n"/>
      <c r="CA1" s="128" t="n"/>
      <c r="CB1" s="128" t="n"/>
      <c r="CC1" s="128" t="n"/>
      <c r="CD1" s="128" t="n"/>
      <c r="CE1" s="128" t="n"/>
      <c r="CF1" s="128" t="n"/>
      <c r="CG1" s="128" t="n"/>
      <c r="CH1" s="128" t="n"/>
      <c r="CI1" s="128" t="n"/>
      <c r="CJ1" s="128" t="n"/>
      <c r="CK1" s="128" t="n"/>
      <c r="CL1" s="128" t="n"/>
      <c r="CM1" s="128" t="n"/>
      <c r="CN1" s="128"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c r="DY1" s="75" t="n"/>
      <c r="DZ1" s="75" t="n"/>
      <c r="EA1" s="75" t="n"/>
    </row>
    <row r="2" ht="23.25" customFormat="1" customHeight="1" s="36" thickBot="1">
      <c r="A2" s="286" t="inlineStr">
        <is>
          <t>Count</t>
        </is>
      </c>
      <c r="B2" s="286" t="inlineStr">
        <is>
          <t>Unit</t>
        </is>
      </c>
      <c r="C2" s="286" t="inlineStr">
        <is>
          <t>Unit Type</t>
        </is>
      </c>
      <c r="D2" s="286" t="inlineStr">
        <is>
          <t>Occupied or Vacant</t>
        </is>
      </c>
      <c r="E2" s="286" t="n"/>
      <c r="F2" s="286" t="inlineStr">
        <is>
          <t>Name</t>
        </is>
      </c>
      <c r="G2" s="286" t="n"/>
      <c r="H2" s="286" t="inlineStr">
        <is>
          <t>Type</t>
        </is>
      </c>
      <c r="I2" s="287" t="inlineStr">
        <is>
          <t>Lot Rent</t>
        </is>
      </c>
      <c r="J2" s="288" t="inlineStr">
        <is>
          <t xml:space="preserve">Home Rent </t>
        </is>
      </c>
      <c r="K2" s="289" t="inlineStr">
        <is>
          <t>Combined</t>
        </is>
      </c>
      <c r="L2" s="290" t="inlineStr">
        <is>
          <t>Studio</t>
        </is>
      </c>
      <c r="M2" s="291" t="inlineStr">
        <is>
          <t>1 Bedroom</t>
        </is>
      </c>
      <c r="N2" s="291" t="inlineStr">
        <is>
          <t>2 Bedroom</t>
        </is>
      </c>
      <c r="O2" s="291" t="inlineStr">
        <is>
          <t>3 Bedroom</t>
        </is>
      </c>
      <c r="P2" s="292" t="inlineStr">
        <is>
          <t>Combined</t>
        </is>
      </c>
      <c r="Q2" s="290" t="inlineStr">
        <is>
          <t>Storage</t>
        </is>
      </c>
      <c r="R2" s="291" t="inlineStr">
        <is>
          <t>Utility RUBS</t>
        </is>
      </c>
      <c r="S2" s="292" t="inlineStr">
        <is>
          <t>Pet Income</t>
        </is>
      </c>
      <c r="T2" s="293" t="inlineStr">
        <is>
          <t>Lease Amount</t>
        </is>
      </c>
      <c r="U2" s="294" t="inlineStr">
        <is>
          <t>Maturity</t>
        </is>
      </c>
      <c r="V2" s="294" t="inlineStr">
        <is>
          <t>Lease Type</t>
        </is>
      </c>
      <c r="W2" s="295" t="inlineStr">
        <is>
          <t>CAM Amount</t>
        </is>
      </c>
      <c r="X2" s="129" t="n"/>
      <c r="Y2" s="129" t="n"/>
      <c r="Z2" s="129" t="n"/>
      <c r="AA2" s="129" t="n"/>
      <c r="AB2" s="129" t="n"/>
      <c r="AC2" s="129" t="n"/>
      <c r="AD2" s="129" t="n"/>
      <c r="AE2" s="129" t="n"/>
      <c r="AF2" s="129" t="n"/>
      <c r="AG2" s="129" t="n"/>
      <c r="AH2" s="129" t="n"/>
      <c r="AI2" s="129" t="n"/>
      <c r="AJ2" s="129" t="n"/>
      <c r="AK2" s="129" t="n"/>
      <c r="AL2" s="129" t="n"/>
      <c r="AM2" s="129" t="n"/>
      <c r="AN2" s="129" t="n"/>
      <c r="AO2" s="129" t="n"/>
      <c r="AP2" s="129" t="n"/>
      <c r="AQ2" s="129" t="n"/>
      <c r="AR2" s="129" t="n"/>
      <c r="AS2" s="129" t="n"/>
      <c r="AT2" s="129" t="n"/>
      <c r="AU2" s="129" t="n"/>
      <c r="AV2" s="129" t="n"/>
      <c r="AW2" s="129" t="n"/>
      <c r="AX2" s="129" t="n"/>
      <c r="AY2" s="129" t="n"/>
      <c r="AZ2" s="129" t="n"/>
      <c r="BA2" s="129" t="n"/>
      <c r="BB2" s="129" t="n"/>
      <c r="BC2" s="129" t="n"/>
      <c r="BD2" s="129" t="n"/>
      <c r="BE2" s="129" t="n"/>
      <c r="BF2" s="129" t="n"/>
      <c r="BG2" s="129" t="n"/>
      <c r="BH2" s="129" t="n"/>
      <c r="BI2" s="129" t="n"/>
      <c r="BJ2" s="129" t="n"/>
      <c r="BK2" s="129" t="n"/>
      <c r="BL2" s="129" t="n"/>
      <c r="BM2" s="129" t="n"/>
      <c r="BN2" s="129" t="n"/>
      <c r="BO2" s="129" t="n"/>
      <c r="BP2" s="129" t="n"/>
      <c r="BQ2" s="129" t="n"/>
      <c r="BR2" s="129" t="n"/>
      <c r="BS2" s="129" t="n"/>
      <c r="BT2" s="129" t="n"/>
      <c r="BU2" s="129" t="n"/>
      <c r="BV2" s="129" t="n"/>
      <c r="BW2" s="129" t="n"/>
      <c r="BX2" s="129" t="n"/>
      <c r="BY2" s="129" t="n"/>
      <c r="BZ2" s="129" t="n"/>
      <c r="CA2" s="129" t="n"/>
      <c r="CB2" s="129" t="n"/>
      <c r="CC2" s="129" t="n"/>
      <c r="CD2" s="129" t="n"/>
      <c r="CE2" s="129" t="n"/>
      <c r="CF2" s="129" t="n"/>
      <c r="CG2" s="129" t="n"/>
      <c r="CH2" s="129" t="n"/>
      <c r="CI2" s="129" t="n"/>
      <c r="CJ2" s="129" t="n"/>
      <c r="CK2" s="129" t="n"/>
      <c r="CL2" s="129" t="n"/>
      <c r="CM2" s="129" t="n"/>
      <c r="CN2" s="129" t="n"/>
    </row>
    <row r="3" ht="15" customHeight="1">
      <c r="A3" s="38" t="n">
        <v>1</v>
      </c>
      <c r="B3" s="671" t="n"/>
      <c r="C3" s="227" t="n"/>
      <c r="D3" s="227" t="n"/>
      <c r="E3" s="266" t="n"/>
      <c r="F3" s="40" t="n"/>
      <c r="G3" s="318" t="n"/>
      <c r="H3" s="318" t="n"/>
      <c r="I3" s="331" t="n"/>
      <c r="J3" s="55" t="n"/>
      <c r="K3" s="49">
        <f>I3+J3</f>
        <v/>
      </c>
      <c r="L3" s="51" t="n"/>
      <c r="M3" s="281" t="n"/>
      <c r="N3" s="52" t="n"/>
      <c r="O3" s="53" t="n"/>
      <c r="P3" s="54">
        <f>N3+O3+L3</f>
        <v/>
      </c>
      <c r="Q3" s="43" t="n"/>
      <c r="R3" s="44" t="n"/>
      <c r="S3" s="45" t="n"/>
      <c r="T3" s="43" t="n"/>
      <c r="U3" s="56" t="n"/>
      <c r="V3" s="41" t="n"/>
      <c r="W3" s="47" t="n"/>
    </row>
    <row r="4" ht="15" customHeight="1">
      <c r="A4" s="39">
        <f>A3+1</f>
        <v/>
      </c>
      <c r="B4" s="672" t="n"/>
      <c r="C4" s="227" t="n"/>
      <c r="D4" s="227" t="n"/>
      <c r="E4" s="266" t="n"/>
      <c r="F4" s="40" t="n"/>
      <c r="G4" s="318" t="n"/>
      <c r="H4" s="318" t="n"/>
      <c r="I4" s="331" t="n"/>
      <c r="J4" s="55" t="n"/>
      <c r="K4" s="50">
        <f>I4+J4</f>
        <v/>
      </c>
      <c r="L4" s="37" t="n"/>
      <c r="M4" s="282" t="n"/>
      <c r="N4" s="35" t="n"/>
      <c r="O4" s="48" t="n"/>
      <c r="P4" s="50">
        <f>N4+O4+L4</f>
        <v/>
      </c>
      <c r="Q4" s="46" t="n"/>
      <c r="R4" s="41" t="n"/>
      <c r="S4" s="47" t="n"/>
      <c r="T4" s="46" t="n"/>
      <c r="U4" s="57" t="n"/>
      <c r="V4" s="41" t="n"/>
      <c r="W4" s="47" t="n"/>
    </row>
    <row r="5" ht="15" customHeight="1">
      <c r="A5" s="39">
        <f>A4+1</f>
        <v/>
      </c>
      <c r="B5" s="672" t="n"/>
      <c r="C5" s="227" t="n"/>
      <c r="D5" s="227" t="n"/>
      <c r="E5" s="266" t="n"/>
      <c r="F5" s="40" t="n"/>
      <c r="G5" s="318" t="n"/>
      <c r="H5" s="318" t="n"/>
      <c r="I5" s="331" t="n"/>
      <c r="J5" s="55" t="n"/>
      <c r="K5" s="50">
        <f>I5+J5</f>
        <v/>
      </c>
      <c r="L5" s="37" t="n"/>
      <c r="M5" s="282" t="n"/>
      <c r="N5" s="35" t="n"/>
      <c r="O5" s="48" t="n"/>
      <c r="P5" s="50">
        <f>N5+O5+L5</f>
        <v/>
      </c>
      <c r="Q5" s="46" t="n"/>
      <c r="R5" s="41" t="n"/>
      <c r="S5" s="47" t="n"/>
      <c r="T5" s="46" t="n"/>
      <c r="U5" s="57" t="n"/>
      <c r="V5" s="41" t="n"/>
      <c r="W5" s="47" t="n"/>
    </row>
    <row r="6" ht="15" customHeight="1">
      <c r="A6" s="39">
        <f>A5+1</f>
        <v/>
      </c>
      <c r="B6" s="672" t="n"/>
      <c r="C6" s="227" t="n"/>
      <c r="D6" s="227" t="n"/>
      <c r="E6" s="266" t="n"/>
      <c r="F6" s="40" t="n"/>
      <c r="G6" s="318" t="n"/>
      <c r="H6" s="318" t="n"/>
      <c r="I6" s="331" t="n"/>
      <c r="J6" s="55" t="n"/>
      <c r="K6" s="50">
        <f>I6+J6</f>
        <v/>
      </c>
      <c r="L6" s="37" t="n"/>
      <c r="M6" s="282" t="n"/>
      <c r="N6" s="35" t="n"/>
      <c r="O6" s="48" t="n"/>
      <c r="P6" s="50">
        <f>N6+O6+L6</f>
        <v/>
      </c>
      <c r="Q6" s="46" t="n"/>
      <c r="R6" s="41" t="n"/>
      <c r="S6" s="47" t="n"/>
      <c r="T6" s="46" t="n"/>
      <c r="U6" s="57" t="n"/>
      <c r="V6" s="41" t="n"/>
      <c r="W6" s="47" t="n"/>
    </row>
    <row r="7" ht="15" customHeight="1">
      <c r="A7" s="39">
        <f>A6+1</f>
        <v/>
      </c>
      <c r="B7" s="672" t="n"/>
      <c r="C7" s="227" t="n"/>
      <c r="D7" s="227" t="n"/>
      <c r="E7" s="266" t="n"/>
      <c r="F7" s="40" t="n"/>
      <c r="G7" s="318" t="n"/>
      <c r="H7" s="318" t="n"/>
      <c r="I7" s="331" t="n"/>
      <c r="J7" s="55" t="n"/>
      <c r="K7" s="50">
        <f>I7+J7</f>
        <v/>
      </c>
      <c r="L7" s="37" t="n"/>
      <c r="M7" s="282" t="n"/>
      <c r="N7" s="35" t="n"/>
      <c r="O7" s="48" t="n"/>
      <c r="P7" s="50">
        <f>N7+O7+L7</f>
        <v/>
      </c>
      <c r="Q7" s="46" t="n"/>
      <c r="R7" s="41" t="n"/>
      <c r="S7" s="47" t="n"/>
      <c r="T7" s="46" t="n"/>
      <c r="U7" s="57" t="n"/>
      <c r="V7" s="41" t="n"/>
      <c r="W7" s="47" t="n"/>
    </row>
    <row r="8" ht="15" customHeight="1">
      <c r="A8" s="39">
        <f>A7+1</f>
        <v/>
      </c>
      <c r="B8" s="672" t="n"/>
      <c r="C8" s="227" t="n"/>
      <c r="D8" s="227" t="n"/>
      <c r="E8" s="266" t="n"/>
      <c r="F8" s="40" t="n"/>
      <c r="G8" s="318" t="n"/>
      <c r="H8" s="318" t="n"/>
      <c r="I8" s="331" t="n"/>
      <c r="J8" s="55" t="n"/>
      <c r="K8" s="50">
        <f>I8+J8</f>
        <v/>
      </c>
      <c r="L8" s="37" t="n"/>
      <c r="M8" s="282" t="n"/>
      <c r="N8" s="35" t="n"/>
      <c r="O8" s="48" t="n"/>
      <c r="P8" s="50">
        <f>N8+O8+L8</f>
        <v/>
      </c>
      <c r="Q8" s="46" t="n"/>
      <c r="R8" s="41" t="n"/>
      <c r="S8" s="47" t="n"/>
      <c r="T8" s="46" t="n"/>
      <c r="U8" s="57" t="n"/>
      <c r="V8" s="41" t="n"/>
      <c r="W8" s="47" t="n"/>
    </row>
    <row r="9" ht="15" customHeight="1">
      <c r="A9" s="39">
        <f>A8+1</f>
        <v/>
      </c>
      <c r="B9" s="672" t="n"/>
      <c r="C9" s="227" t="n"/>
      <c r="D9" s="227" t="n"/>
      <c r="E9" s="266" t="n"/>
      <c r="F9" s="40" t="n"/>
      <c r="G9" s="318" t="n"/>
      <c r="H9" s="318" t="n"/>
      <c r="I9" s="331" t="n"/>
      <c r="J9" s="55" t="n"/>
      <c r="K9" s="50">
        <f>I9+J9</f>
        <v/>
      </c>
      <c r="L9" s="37" t="n"/>
      <c r="M9" s="282" t="n"/>
      <c r="N9" s="35" t="n"/>
      <c r="O9" s="48" t="n"/>
      <c r="P9" s="50">
        <f>N9+O9+L9</f>
        <v/>
      </c>
      <c r="Q9" s="46" t="n"/>
      <c r="R9" s="41" t="n"/>
      <c r="S9" s="47" t="n"/>
      <c r="T9" s="46" t="n"/>
      <c r="U9" s="57" t="n"/>
      <c r="V9" s="41" t="n"/>
      <c r="W9" s="47" t="n"/>
    </row>
    <row r="10" ht="15" customHeight="1">
      <c r="A10" s="39">
        <f>A9+1</f>
        <v/>
      </c>
      <c r="B10" s="672" t="n"/>
      <c r="C10" s="227" t="n"/>
      <c r="D10" s="227" t="n"/>
      <c r="E10" s="266" t="n"/>
      <c r="F10" s="40" t="n"/>
      <c r="G10" s="318" t="n"/>
      <c r="H10" s="318" t="n"/>
      <c r="I10" s="331" t="n"/>
      <c r="J10" s="55" t="n"/>
      <c r="K10" s="50">
        <f>I10+J10</f>
        <v/>
      </c>
      <c r="L10" s="37" t="n"/>
      <c r="M10" s="282" t="n"/>
      <c r="N10" s="35" t="n"/>
      <c r="O10" s="48" t="n"/>
      <c r="P10" s="50">
        <f>N10+O10+L10</f>
        <v/>
      </c>
      <c r="Q10" s="46" t="n"/>
      <c r="R10" s="41" t="n"/>
      <c r="S10" s="47" t="n"/>
      <c r="T10" s="46" t="n"/>
      <c r="U10" s="57" t="n"/>
      <c r="V10" s="41" t="n"/>
      <c r="W10" s="47" t="n"/>
    </row>
    <row r="11" ht="15" customHeight="1">
      <c r="A11" s="39">
        <f>A10+1</f>
        <v/>
      </c>
      <c r="B11" s="672" t="n"/>
      <c r="C11" s="227" t="n"/>
      <c r="D11" s="227" t="n"/>
      <c r="E11" s="266" t="n"/>
      <c r="F11" s="40" t="n"/>
      <c r="G11" s="318" t="n"/>
      <c r="H11" s="318" t="n"/>
      <c r="I11" s="331" t="n"/>
      <c r="J11" s="55" t="n"/>
      <c r="K11" s="50">
        <f>I11+J11</f>
        <v/>
      </c>
      <c r="L11" s="37" t="n"/>
      <c r="M11" s="282" t="n"/>
      <c r="N11" s="35" t="n"/>
      <c r="O11" s="48" t="n"/>
      <c r="P11" s="50">
        <f>N11+O11+L11</f>
        <v/>
      </c>
      <c r="Q11" s="46" t="n"/>
      <c r="R11" s="41" t="n"/>
      <c r="S11" s="47" t="n"/>
      <c r="T11" s="46" t="n"/>
      <c r="U11" s="57" t="n"/>
      <c r="V11" s="41" t="n"/>
      <c r="W11" s="47" t="n"/>
    </row>
    <row r="12" ht="15" customHeight="1">
      <c r="A12" s="39">
        <f>A11+1</f>
        <v/>
      </c>
      <c r="B12" s="672" t="n"/>
      <c r="C12" s="227" t="n"/>
      <c r="D12" s="227" t="n"/>
      <c r="E12" s="266" t="n"/>
      <c r="F12" s="40" t="n"/>
      <c r="G12" s="318" t="n"/>
      <c r="H12" s="318" t="n"/>
      <c r="I12" s="331" t="n"/>
      <c r="J12" s="55" t="n"/>
      <c r="K12" s="50">
        <f>I12+J12</f>
        <v/>
      </c>
      <c r="L12" s="37" t="n"/>
      <c r="M12" s="282" t="n"/>
      <c r="N12" s="35" t="n"/>
      <c r="O12" s="48" t="n"/>
      <c r="P12" s="50">
        <f>N12+O12+L12</f>
        <v/>
      </c>
      <c r="Q12" s="46" t="n"/>
      <c r="R12" s="41" t="n"/>
      <c r="S12" s="47" t="n"/>
      <c r="T12" s="46" t="n"/>
      <c r="U12" s="57" t="n"/>
      <c r="V12" s="41" t="n"/>
      <c r="W12" s="47" t="n"/>
    </row>
    <row r="13" ht="15" customHeight="1">
      <c r="A13" s="39">
        <f>A12+1</f>
        <v/>
      </c>
      <c r="B13" s="672" t="n"/>
      <c r="C13" s="227" t="n"/>
      <c r="D13" s="227" t="n"/>
      <c r="E13" s="266" t="n"/>
      <c r="F13" s="40" t="n"/>
      <c r="G13" s="318" t="n"/>
      <c r="H13" s="318" t="n"/>
      <c r="I13" s="331" t="n"/>
      <c r="J13" s="55" t="n"/>
      <c r="K13" s="50">
        <f>I13+J13</f>
        <v/>
      </c>
      <c r="L13" s="37" t="n"/>
      <c r="M13" s="282" t="n"/>
      <c r="N13" s="35" t="n"/>
      <c r="O13" s="48" t="n"/>
      <c r="P13" s="50">
        <f>N13+O13+L13</f>
        <v/>
      </c>
      <c r="Q13" s="46" t="n"/>
      <c r="R13" s="41" t="n"/>
      <c r="S13" s="47" t="n"/>
      <c r="T13" s="46" t="n"/>
      <c r="U13" s="57" t="n"/>
      <c r="V13" s="41" t="n"/>
      <c r="W13" s="47" t="n"/>
    </row>
    <row r="14" ht="15" customHeight="1">
      <c r="A14" s="39">
        <f>A13+1</f>
        <v/>
      </c>
      <c r="B14" s="672" t="n"/>
      <c r="C14" s="227" t="n"/>
      <c r="D14" s="227" t="n"/>
      <c r="E14" s="266" t="n"/>
      <c r="F14" s="40" t="n"/>
      <c r="G14" s="318" t="n"/>
      <c r="H14" s="318" t="n"/>
      <c r="I14" s="331" t="n"/>
      <c r="J14" s="55" t="n"/>
      <c r="K14" s="50">
        <f>I14+J14</f>
        <v/>
      </c>
      <c r="L14" s="37" t="n"/>
      <c r="M14" s="282" t="n"/>
      <c r="N14" s="35" t="n"/>
      <c r="O14" s="48" t="n"/>
      <c r="P14" s="50">
        <f>N14+O14+L14</f>
        <v/>
      </c>
      <c r="Q14" s="46" t="n"/>
      <c r="R14" s="41" t="n"/>
      <c r="S14" s="47" t="n"/>
      <c r="T14" s="46" t="n"/>
      <c r="U14" s="57" t="n"/>
      <c r="V14" s="41" t="n"/>
      <c r="W14" s="47" t="n"/>
    </row>
    <row r="15" ht="15" customHeight="1">
      <c r="A15" s="39">
        <f>A14+1</f>
        <v/>
      </c>
      <c r="B15" s="672" t="n"/>
      <c r="C15" s="227" t="n"/>
      <c r="D15" s="227" t="n"/>
      <c r="E15" s="266" t="n"/>
      <c r="F15" s="40" t="n"/>
      <c r="G15" s="318" t="n"/>
      <c r="H15" s="318" t="n"/>
      <c r="I15" s="331" t="n"/>
      <c r="J15" s="55" t="n"/>
      <c r="K15" s="50">
        <f>I15+J15</f>
        <v/>
      </c>
      <c r="L15" s="37" t="n"/>
      <c r="M15" s="282" t="n"/>
      <c r="N15" s="35" t="n"/>
      <c r="O15" s="48" t="n"/>
      <c r="P15" s="50">
        <f>N15+O15+L15</f>
        <v/>
      </c>
      <c r="Q15" s="46" t="n"/>
      <c r="R15" s="41" t="n"/>
      <c r="S15" s="47" t="n"/>
      <c r="T15" s="46" t="n"/>
      <c r="U15" s="57" t="n"/>
      <c r="V15" s="41" t="n"/>
      <c r="W15" s="47" t="n"/>
    </row>
    <row r="16" ht="15" customHeight="1">
      <c r="A16" s="39">
        <f>A15+1</f>
        <v/>
      </c>
      <c r="B16" s="672" t="n"/>
      <c r="C16" s="227" t="n"/>
      <c r="D16" s="227" t="n"/>
      <c r="E16" s="266" t="n"/>
      <c r="F16" s="40" t="n"/>
      <c r="G16" s="318" t="n"/>
      <c r="H16" s="318" t="n"/>
      <c r="I16" s="331" t="n"/>
      <c r="J16" s="55" t="n"/>
      <c r="K16" s="50">
        <f>I16+J16</f>
        <v/>
      </c>
      <c r="L16" s="37" t="n"/>
      <c r="M16" s="282" t="n"/>
      <c r="N16" s="35" t="n"/>
      <c r="O16" s="48" t="n"/>
      <c r="P16" s="50">
        <f>N16+O16+L16</f>
        <v/>
      </c>
      <c r="Q16" s="46" t="n"/>
      <c r="R16" s="41" t="n"/>
      <c r="S16" s="47" t="n"/>
      <c r="T16" s="46" t="n"/>
      <c r="U16" s="57" t="n"/>
      <c r="V16" s="41" t="n"/>
      <c r="W16" s="47" t="n"/>
    </row>
    <row r="17" ht="15" customHeight="1">
      <c r="A17" s="39">
        <f>A16+1</f>
        <v/>
      </c>
      <c r="B17" s="672" t="n"/>
      <c r="C17" s="227" t="n"/>
      <c r="D17" s="227" t="n"/>
      <c r="E17" s="266" t="n"/>
      <c r="F17" s="40" t="n"/>
      <c r="G17" s="318" t="n"/>
      <c r="H17" s="318" t="n"/>
      <c r="I17" s="331" t="n"/>
      <c r="J17" s="55" t="n"/>
      <c r="K17" s="50">
        <f>I17+J17</f>
        <v/>
      </c>
      <c r="L17" s="37" t="n"/>
      <c r="M17" s="282" t="n"/>
      <c r="N17" s="35" t="n"/>
      <c r="O17" s="48" t="n"/>
      <c r="P17" s="50">
        <f>N17+O17+L17</f>
        <v/>
      </c>
      <c r="Q17" s="46" t="n"/>
      <c r="R17" s="41" t="n"/>
      <c r="S17" s="47" t="n"/>
      <c r="T17" s="46" t="n"/>
      <c r="U17" s="57" t="n"/>
      <c r="V17" s="41" t="n"/>
      <c r="W17" s="47" t="n"/>
    </row>
    <row r="18" ht="15" customHeight="1">
      <c r="A18" s="39">
        <f>A17+1</f>
        <v/>
      </c>
      <c r="B18" s="672" t="n"/>
      <c r="C18" s="227" t="n"/>
      <c r="D18" s="227" t="n"/>
      <c r="E18" s="266" t="n"/>
      <c r="F18" s="40" t="n"/>
      <c r="G18" s="318" t="n"/>
      <c r="H18" s="318" t="n"/>
      <c r="I18" s="331" t="n"/>
      <c r="J18" s="55" t="n"/>
      <c r="K18" s="50">
        <f>I18+J18</f>
        <v/>
      </c>
      <c r="L18" s="37" t="n"/>
      <c r="M18" s="282" t="n"/>
      <c r="N18" s="35" t="n"/>
      <c r="O18" s="48" t="n"/>
      <c r="P18" s="50">
        <f>N18+O18+L18</f>
        <v/>
      </c>
      <c r="Q18" s="46" t="n"/>
      <c r="R18" s="41" t="n"/>
      <c r="S18" s="47" t="n"/>
      <c r="T18" s="46" t="n"/>
      <c r="U18" s="57" t="n"/>
      <c r="V18" s="41" t="n"/>
      <c r="W18" s="47" t="n"/>
    </row>
    <row r="19" ht="15" customHeight="1">
      <c r="A19" s="39">
        <f>A18+1</f>
        <v/>
      </c>
      <c r="B19" s="672" t="n"/>
      <c r="C19" s="227" t="n"/>
      <c r="D19" s="227" t="n"/>
      <c r="E19" s="266" t="n"/>
      <c r="F19" s="40" t="n"/>
      <c r="G19" s="318" t="n"/>
      <c r="H19" s="318" t="n"/>
      <c r="I19" s="331" t="n"/>
      <c r="J19" s="55" t="n"/>
      <c r="K19" s="50">
        <f>I19+J19</f>
        <v/>
      </c>
      <c r="L19" s="37" t="n"/>
      <c r="M19" s="282" t="n"/>
      <c r="N19" s="35" t="n"/>
      <c r="O19" s="48" t="n"/>
      <c r="P19" s="50">
        <f>N19+O19+L19</f>
        <v/>
      </c>
      <c r="Q19" s="46" t="n"/>
      <c r="R19" s="41" t="n"/>
      <c r="S19" s="47" t="n"/>
      <c r="T19" s="46" t="n"/>
      <c r="U19" s="57" t="n"/>
      <c r="V19" s="41" t="n"/>
      <c r="W19" s="47" t="n"/>
    </row>
    <row r="20" ht="15" customHeight="1">
      <c r="A20" s="39">
        <f>A19+1</f>
        <v/>
      </c>
      <c r="B20" s="672" t="n"/>
      <c r="C20" s="227" t="n"/>
      <c r="D20" s="227" t="n"/>
      <c r="E20" s="266" t="n"/>
      <c r="F20" s="40" t="n"/>
      <c r="G20" s="318" t="n"/>
      <c r="H20" s="318" t="n"/>
      <c r="I20" s="331" t="n"/>
      <c r="J20" s="55" t="n"/>
      <c r="K20" s="50">
        <f>I20+J20</f>
        <v/>
      </c>
      <c r="L20" s="37" t="n"/>
      <c r="M20" s="282" t="n"/>
      <c r="N20" s="35" t="n"/>
      <c r="O20" s="48" t="n"/>
      <c r="P20" s="50">
        <f>N20+O20+L20</f>
        <v/>
      </c>
      <c r="Q20" s="46" t="n"/>
      <c r="R20" s="41" t="n"/>
      <c r="S20" s="47" t="n"/>
      <c r="T20" s="46" t="n"/>
      <c r="U20" s="57" t="n"/>
      <c r="V20" s="41" t="n"/>
      <c r="W20" s="47" t="n"/>
    </row>
    <row r="21" ht="15" customHeight="1">
      <c r="A21" s="39">
        <f>A20+1</f>
        <v/>
      </c>
      <c r="B21" s="672" t="n"/>
      <c r="C21" s="227" t="n"/>
      <c r="D21" s="227" t="n"/>
      <c r="E21" s="266" t="n"/>
      <c r="F21" s="40" t="n"/>
      <c r="G21" s="318" t="n"/>
      <c r="H21" s="318" t="n"/>
      <c r="I21" s="331" t="n"/>
      <c r="J21" s="55" t="n"/>
      <c r="K21" s="50">
        <f>I21+J21</f>
        <v/>
      </c>
      <c r="L21" s="37" t="n"/>
      <c r="M21" s="282" t="n"/>
      <c r="N21" s="35" t="n"/>
      <c r="O21" s="48" t="n"/>
      <c r="P21" s="50">
        <f>N21+O21+L21</f>
        <v/>
      </c>
      <c r="Q21" s="46" t="n"/>
      <c r="R21" s="41" t="n"/>
      <c r="S21" s="47" t="n"/>
      <c r="T21" s="46" t="n"/>
      <c r="U21" s="57" t="n"/>
      <c r="V21" s="41" t="n"/>
      <c r="W21" s="47" t="n"/>
    </row>
    <row r="22" ht="15" customHeight="1">
      <c r="A22" s="39">
        <f>A21+1</f>
        <v/>
      </c>
      <c r="B22" s="672" t="n"/>
      <c r="C22" s="227" t="n"/>
      <c r="D22" s="227" t="n"/>
      <c r="E22" s="266" t="n"/>
      <c r="F22" s="40" t="n"/>
      <c r="G22" s="318" t="n"/>
      <c r="H22" s="318" t="n"/>
      <c r="I22" s="331" t="n"/>
      <c r="J22" s="55" t="n"/>
      <c r="K22" s="50">
        <f>I22+J22</f>
        <v/>
      </c>
      <c r="L22" s="37" t="n"/>
      <c r="M22" s="282" t="n"/>
      <c r="N22" s="35" t="n"/>
      <c r="O22" s="48" t="n"/>
      <c r="P22" s="50">
        <f>N22+O22+L22</f>
        <v/>
      </c>
      <c r="Q22" s="46" t="n"/>
      <c r="R22" s="41" t="n"/>
      <c r="S22" s="47" t="n"/>
      <c r="T22" s="46" t="n"/>
      <c r="U22" s="57" t="n"/>
      <c r="V22" s="41" t="n"/>
      <c r="W22" s="47" t="n"/>
    </row>
    <row r="23" ht="15" customHeight="1">
      <c r="A23" s="39">
        <f>A22+1</f>
        <v/>
      </c>
      <c r="B23" s="672" t="n"/>
      <c r="C23" s="227" t="n"/>
      <c r="D23" s="227" t="n"/>
      <c r="E23" s="266" t="n"/>
      <c r="F23" s="40" t="n"/>
      <c r="G23" s="318" t="n"/>
      <c r="H23" s="318" t="n"/>
      <c r="I23" s="331" t="n"/>
      <c r="J23" s="55" t="n"/>
      <c r="K23" s="50">
        <f>I23+J23</f>
        <v/>
      </c>
      <c r="L23" s="37" t="n"/>
      <c r="M23" s="282" t="n"/>
      <c r="N23" s="35" t="n"/>
      <c r="O23" s="48" t="n"/>
      <c r="P23" s="50">
        <f>N23+O23+L23</f>
        <v/>
      </c>
      <c r="Q23" s="46" t="n"/>
      <c r="R23" s="41" t="n"/>
      <c r="S23" s="47" t="n"/>
      <c r="T23" s="46" t="n"/>
      <c r="U23" s="57" t="n"/>
      <c r="V23" s="41" t="n"/>
      <c r="W23" s="47" t="n"/>
    </row>
    <row r="24" ht="15" customHeight="1">
      <c r="A24" s="39">
        <f>A23+1</f>
        <v/>
      </c>
      <c r="B24" s="672" t="n"/>
      <c r="C24" s="227" t="n"/>
      <c r="D24" s="227" t="n"/>
      <c r="E24" s="266" t="n"/>
      <c r="F24" s="40" t="n"/>
      <c r="G24" s="318" t="n"/>
      <c r="H24" s="318" t="n"/>
      <c r="I24" s="331" t="n"/>
      <c r="J24" s="55" t="n"/>
      <c r="K24" s="50">
        <f>I24+J24</f>
        <v/>
      </c>
      <c r="L24" s="37" t="n"/>
      <c r="M24" s="282" t="n"/>
      <c r="N24" s="35" t="n"/>
      <c r="O24" s="48" t="n"/>
      <c r="P24" s="50">
        <f>N24+O24+L24</f>
        <v/>
      </c>
      <c r="Q24" s="46" t="n"/>
      <c r="R24" s="41" t="n"/>
      <c r="S24" s="47" t="n"/>
      <c r="T24" s="46" t="n"/>
      <c r="U24" s="57" t="n"/>
      <c r="V24" s="41" t="n"/>
      <c r="W24" s="47" t="n"/>
    </row>
    <row r="25" ht="15" customHeight="1">
      <c r="A25" s="39">
        <f>A24+1</f>
        <v/>
      </c>
      <c r="B25" s="672" t="n"/>
      <c r="C25" s="227" t="n"/>
      <c r="D25" s="227" t="n"/>
      <c r="E25" s="266" t="n"/>
      <c r="F25" s="40" t="n"/>
      <c r="G25" s="318" t="n"/>
      <c r="H25" s="318" t="n"/>
      <c r="I25" s="331" t="n"/>
      <c r="J25" s="55" t="n"/>
      <c r="K25" s="50">
        <f>I25+J25</f>
        <v/>
      </c>
      <c r="L25" s="37" t="n"/>
      <c r="M25" s="282" t="n"/>
      <c r="N25" s="35" t="n"/>
      <c r="O25" s="48" t="n"/>
      <c r="P25" s="50">
        <f>N25+O25+L25</f>
        <v/>
      </c>
      <c r="Q25" s="46" t="n"/>
      <c r="R25" s="41" t="n"/>
      <c r="S25" s="47" t="n"/>
      <c r="T25" s="46" t="n"/>
      <c r="U25" s="57" t="n"/>
      <c r="V25" s="41" t="n"/>
      <c r="W25" s="47" t="n"/>
    </row>
    <row r="26" ht="15" customHeight="1">
      <c r="A26" s="39">
        <f>A25+1</f>
        <v/>
      </c>
      <c r="B26" s="672" t="n"/>
      <c r="C26" s="227" t="n"/>
      <c r="D26" s="227" t="n"/>
      <c r="E26" s="266" t="n"/>
      <c r="F26" s="40" t="n"/>
      <c r="G26" s="318" t="n"/>
      <c r="H26" s="318" t="n"/>
      <c r="I26" s="331" t="n"/>
      <c r="J26" s="55" t="n"/>
      <c r="K26" s="50">
        <f>I26+J26</f>
        <v/>
      </c>
      <c r="L26" s="37" t="n"/>
      <c r="M26" s="282" t="n"/>
      <c r="N26" s="35" t="n"/>
      <c r="O26" s="48" t="n"/>
      <c r="P26" s="50">
        <f>N26+O26+L26</f>
        <v/>
      </c>
      <c r="Q26" s="46" t="n"/>
      <c r="R26" s="41" t="n"/>
      <c r="S26" s="47" t="n"/>
      <c r="T26" s="46" t="n"/>
      <c r="U26" s="57" t="n"/>
      <c r="V26" s="41" t="n"/>
      <c r="W26" s="47" t="n"/>
    </row>
    <row r="27" ht="15" customHeight="1">
      <c r="A27" s="39">
        <f>A26+1</f>
        <v/>
      </c>
      <c r="B27" s="672" t="n"/>
      <c r="C27" s="227" t="n"/>
      <c r="D27" s="227" t="n"/>
      <c r="E27" s="266" t="n"/>
      <c r="F27" s="40" t="n"/>
      <c r="G27" s="318" t="n"/>
      <c r="H27" s="318" t="n"/>
      <c r="I27" s="331" t="n"/>
      <c r="J27" s="55" t="n"/>
      <c r="K27" s="50">
        <f>I27+J27</f>
        <v/>
      </c>
      <c r="L27" s="37" t="n"/>
      <c r="M27" s="282" t="n"/>
      <c r="N27" s="35" t="n"/>
      <c r="O27" s="48" t="n"/>
      <c r="P27" s="50">
        <f>N27+O27+L27</f>
        <v/>
      </c>
      <c r="Q27" s="46" t="n"/>
      <c r="R27" s="41" t="n"/>
      <c r="S27" s="47" t="n"/>
      <c r="T27" s="46" t="n"/>
      <c r="U27" s="57" t="n"/>
      <c r="V27" s="41" t="n"/>
      <c r="W27" s="47" t="n"/>
    </row>
    <row r="28" ht="15" customHeight="1">
      <c r="A28" s="39">
        <f>A27+1</f>
        <v/>
      </c>
      <c r="B28" s="672" t="n"/>
      <c r="C28" s="227" t="n"/>
      <c r="D28" s="227" t="n"/>
      <c r="E28" s="266" t="n"/>
      <c r="F28" s="40" t="n"/>
      <c r="G28" s="318" t="n"/>
      <c r="H28" s="318" t="n"/>
      <c r="I28" s="331" t="n"/>
      <c r="J28" s="55" t="n"/>
      <c r="K28" s="50">
        <f>I28+J28</f>
        <v/>
      </c>
      <c r="L28" s="37" t="n"/>
      <c r="M28" s="282" t="n"/>
      <c r="N28" s="35" t="n"/>
      <c r="O28" s="48" t="n"/>
      <c r="P28" s="50">
        <f>N28+O28+L28</f>
        <v/>
      </c>
      <c r="Q28" s="46" t="n"/>
      <c r="R28" s="41" t="n"/>
      <c r="S28" s="47" t="n"/>
      <c r="T28" s="46" t="n"/>
      <c r="U28" s="57" t="n"/>
      <c r="V28" s="41" t="n"/>
      <c r="W28" s="47" t="n"/>
    </row>
    <row r="29" ht="15" customHeight="1">
      <c r="A29" s="39">
        <f>A28+1</f>
        <v/>
      </c>
      <c r="B29" s="672" t="n"/>
      <c r="C29" s="227" t="n"/>
      <c r="D29" s="227" t="n"/>
      <c r="E29" s="266" t="n"/>
      <c r="F29" s="40" t="n"/>
      <c r="G29" s="318" t="n"/>
      <c r="H29" s="318" t="n"/>
      <c r="I29" s="331" t="n"/>
      <c r="J29" s="55" t="n"/>
      <c r="K29" s="50">
        <f>I29+J29</f>
        <v/>
      </c>
      <c r="L29" s="37" t="n"/>
      <c r="M29" s="282" t="n"/>
      <c r="N29" s="35" t="n"/>
      <c r="O29" s="48" t="n"/>
      <c r="P29" s="50">
        <f>N29+O29+L29</f>
        <v/>
      </c>
      <c r="Q29" s="46" t="n"/>
      <c r="R29" s="41" t="n"/>
      <c r="S29" s="47" t="n"/>
      <c r="T29" s="46" t="n"/>
      <c r="U29" s="57" t="n"/>
      <c r="V29" s="41" t="n"/>
      <c r="W29" s="47" t="n"/>
    </row>
    <row r="30" ht="15" customHeight="1">
      <c r="A30" s="39">
        <f>A29+1</f>
        <v/>
      </c>
      <c r="B30" s="672" t="n"/>
      <c r="C30" s="227" t="n"/>
      <c r="D30" s="227" t="n"/>
      <c r="E30" s="266" t="n"/>
      <c r="F30" s="40" t="n"/>
      <c r="G30" s="318" t="n"/>
      <c r="H30" s="318" t="n"/>
      <c r="I30" s="331" t="n"/>
      <c r="J30" s="55" t="n"/>
      <c r="K30" s="50">
        <f>I30+J30</f>
        <v/>
      </c>
      <c r="L30" s="37" t="n"/>
      <c r="M30" s="282" t="n"/>
      <c r="N30" s="35" t="n"/>
      <c r="O30" s="48" t="n"/>
      <c r="P30" s="50">
        <f>N30+O30+L30</f>
        <v/>
      </c>
      <c r="Q30" s="46" t="n"/>
      <c r="R30" s="41" t="n"/>
      <c r="S30" s="47" t="n"/>
      <c r="T30" s="46" t="n"/>
      <c r="U30" s="57" t="n"/>
      <c r="V30" s="41" t="n"/>
      <c r="W30" s="47" t="n"/>
    </row>
    <row r="31" ht="15" customHeight="1">
      <c r="A31" s="39">
        <f>A30+1</f>
        <v/>
      </c>
      <c r="B31" s="672" t="n"/>
      <c r="C31" s="227" t="n"/>
      <c r="D31" s="227" t="n"/>
      <c r="E31" s="266" t="n"/>
      <c r="F31" s="40" t="n"/>
      <c r="G31" s="318" t="n"/>
      <c r="H31" s="318" t="n"/>
      <c r="I31" s="331" t="n"/>
      <c r="J31" s="55" t="n"/>
      <c r="K31" s="50">
        <f>I31+J31</f>
        <v/>
      </c>
      <c r="L31" s="37" t="n"/>
      <c r="M31" s="282" t="n"/>
      <c r="N31" s="35" t="n"/>
      <c r="O31" s="48" t="n"/>
      <c r="P31" s="50">
        <f>N31+O31+L31</f>
        <v/>
      </c>
      <c r="Q31" s="46" t="n"/>
      <c r="R31" s="41" t="n"/>
      <c r="S31" s="47" t="n"/>
      <c r="T31" s="46" t="n"/>
      <c r="U31" s="57" t="n"/>
      <c r="V31" s="41" t="n"/>
      <c r="W31" s="47" t="n"/>
    </row>
    <row r="32" ht="15" customHeight="1">
      <c r="A32" s="39">
        <f>A31+1</f>
        <v/>
      </c>
      <c r="B32" s="672" t="n"/>
      <c r="C32" s="227" t="n"/>
      <c r="D32" s="227" t="n"/>
      <c r="E32" s="266" t="n"/>
      <c r="F32" s="40" t="n"/>
      <c r="G32" s="318" t="n"/>
      <c r="H32" s="318" t="n"/>
      <c r="I32" s="331" t="n"/>
      <c r="J32" s="55" t="n"/>
      <c r="K32" s="50">
        <f>I32+J32</f>
        <v/>
      </c>
      <c r="L32" s="37" t="n"/>
      <c r="M32" s="282" t="n"/>
      <c r="N32" s="35" t="n"/>
      <c r="O32" s="48" t="n"/>
      <c r="P32" s="50">
        <f>N32+O32+L32</f>
        <v/>
      </c>
      <c r="Q32" s="46" t="n"/>
      <c r="R32" s="41" t="n"/>
      <c r="S32" s="47" t="n"/>
      <c r="T32" s="46" t="n"/>
      <c r="U32" s="57" t="n"/>
      <c r="V32" s="41" t="n"/>
      <c r="W32" s="47" t="n"/>
    </row>
    <row r="33" ht="15" customHeight="1">
      <c r="A33" s="39">
        <f>A32+1</f>
        <v/>
      </c>
      <c r="B33" s="672" t="n"/>
      <c r="C33" s="227" t="n"/>
      <c r="D33" s="227" t="n"/>
      <c r="E33" s="266" t="n"/>
      <c r="F33" s="40" t="n"/>
      <c r="G33" s="318" t="n"/>
      <c r="H33" s="318" t="n"/>
      <c r="I33" s="331" t="n"/>
      <c r="J33" s="55" t="n"/>
      <c r="K33" s="50">
        <f>I33+J33</f>
        <v/>
      </c>
      <c r="L33" s="37" t="n"/>
      <c r="M33" s="282" t="n"/>
      <c r="N33" s="35" t="n"/>
      <c r="O33" s="48" t="n"/>
      <c r="P33" s="50">
        <f>N33+O33+L33</f>
        <v/>
      </c>
      <c r="Q33" s="46" t="n"/>
      <c r="R33" s="41" t="n"/>
      <c r="S33" s="47" t="n"/>
      <c r="T33" s="46" t="n"/>
      <c r="U33" s="57" t="n"/>
      <c r="V33" s="41" t="n"/>
      <c r="W33" s="47" t="n"/>
    </row>
    <row r="34" ht="15" customHeight="1">
      <c r="A34" s="39">
        <f>A33+1</f>
        <v/>
      </c>
      <c r="B34" s="672" t="n"/>
      <c r="C34" s="227" t="n"/>
      <c r="D34" s="227" t="n"/>
      <c r="E34" s="266" t="n"/>
      <c r="F34" s="40" t="n"/>
      <c r="G34" s="318" t="n"/>
      <c r="H34" s="318" t="n"/>
      <c r="I34" s="331" t="n"/>
      <c r="J34" s="55" t="n"/>
      <c r="K34" s="50">
        <f>I34+J34</f>
        <v/>
      </c>
      <c r="L34" s="37" t="n"/>
      <c r="M34" s="282" t="n"/>
      <c r="N34" s="35" t="n"/>
      <c r="O34" s="48" t="n"/>
      <c r="P34" s="50">
        <f>N34+O34+L34</f>
        <v/>
      </c>
      <c r="Q34" s="46" t="n"/>
      <c r="R34" s="41" t="n"/>
      <c r="S34" s="47" t="n"/>
      <c r="T34" s="46" t="n"/>
      <c r="U34" s="57" t="n"/>
      <c r="V34" s="41" t="n"/>
      <c r="W34" s="47" t="n"/>
    </row>
    <row r="35" ht="15" customHeight="1">
      <c r="A35" s="39">
        <f>A34+1</f>
        <v/>
      </c>
      <c r="B35" s="672" t="n"/>
      <c r="C35" s="227" t="n"/>
      <c r="D35" s="227" t="n"/>
      <c r="E35" s="266" t="n"/>
      <c r="F35" s="40" t="n"/>
      <c r="G35" s="318" t="n"/>
      <c r="H35" s="318" t="n"/>
      <c r="I35" s="331" t="n"/>
      <c r="J35" s="55" t="n"/>
      <c r="K35" s="50">
        <f>I35+J35</f>
        <v/>
      </c>
      <c r="L35" s="37" t="n"/>
      <c r="M35" s="282" t="n"/>
      <c r="N35" s="35" t="n"/>
      <c r="O35" s="48" t="n"/>
      <c r="P35" s="50">
        <f>N35+O35+L35</f>
        <v/>
      </c>
      <c r="Q35" s="46" t="n"/>
      <c r="R35" s="41" t="n"/>
      <c r="S35" s="47" t="n"/>
      <c r="T35" s="46" t="n"/>
      <c r="U35" s="57" t="n"/>
      <c r="V35" s="41" t="n"/>
      <c r="W35" s="47" t="n"/>
    </row>
    <row r="36" ht="15" customHeight="1">
      <c r="A36" s="39">
        <f>A35+1</f>
        <v/>
      </c>
      <c r="B36" s="672" t="n"/>
      <c r="C36" s="227" t="n"/>
      <c r="D36" s="227" t="n"/>
      <c r="E36" s="266" t="n"/>
      <c r="F36" s="40" t="n"/>
      <c r="G36" s="318" t="n"/>
      <c r="H36" s="318" t="n"/>
      <c r="I36" s="331" t="n"/>
      <c r="J36" s="55" t="n"/>
      <c r="K36" s="50">
        <f>I36+J36</f>
        <v/>
      </c>
      <c r="L36" s="37" t="n"/>
      <c r="M36" s="282" t="n"/>
      <c r="N36" s="35" t="n"/>
      <c r="O36" s="48" t="n"/>
      <c r="P36" s="50">
        <f>N36+O36+L36</f>
        <v/>
      </c>
      <c r="Q36" s="46" t="n"/>
      <c r="R36" s="41" t="n"/>
      <c r="S36" s="47" t="n"/>
      <c r="T36" s="46" t="n"/>
      <c r="U36" s="57" t="n"/>
      <c r="V36" s="41" t="n"/>
      <c r="W36" s="47" t="n"/>
    </row>
    <row r="37" ht="15" customHeight="1">
      <c r="A37" s="39">
        <f>A36+1</f>
        <v/>
      </c>
      <c r="B37" s="672" t="n"/>
      <c r="C37" s="227" t="n"/>
      <c r="D37" s="227" t="n"/>
      <c r="E37" s="266" t="n"/>
      <c r="F37" s="40" t="n"/>
      <c r="G37" s="318" t="n"/>
      <c r="H37" s="318" t="n"/>
      <c r="I37" s="331" t="n"/>
      <c r="J37" s="55" t="n"/>
      <c r="K37" s="50">
        <f>I37+J37</f>
        <v/>
      </c>
      <c r="L37" s="37" t="n"/>
      <c r="M37" s="282" t="n"/>
      <c r="N37" s="35" t="n"/>
      <c r="O37" s="48" t="n"/>
      <c r="P37" s="50">
        <f>N37+O37+L37</f>
        <v/>
      </c>
      <c r="Q37" s="46" t="n"/>
      <c r="R37" s="41" t="n"/>
      <c r="S37" s="47" t="n"/>
      <c r="T37" s="46" t="n"/>
      <c r="U37" s="57" t="n"/>
      <c r="V37" s="41" t="n"/>
      <c r="W37" s="47" t="n"/>
    </row>
    <row r="38" ht="15" customHeight="1">
      <c r="A38" s="39">
        <f>A37+1</f>
        <v/>
      </c>
      <c r="B38" s="672" t="n"/>
      <c r="C38" s="227" t="n"/>
      <c r="D38" s="227" t="n"/>
      <c r="E38" s="266" t="n"/>
      <c r="F38" s="40" t="n"/>
      <c r="G38" s="318" t="n"/>
      <c r="H38" s="318" t="n"/>
      <c r="I38" s="331" t="n"/>
      <c r="J38" s="55" t="n"/>
      <c r="K38" s="50">
        <f>I38+J38</f>
        <v/>
      </c>
      <c r="L38" s="37" t="n"/>
      <c r="M38" s="282" t="n"/>
      <c r="N38" s="35" t="n"/>
      <c r="O38" s="48" t="n"/>
      <c r="P38" s="50">
        <f>N38+O38+L38</f>
        <v/>
      </c>
      <c r="Q38" s="46" t="n"/>
      <c r="R38" s="41" t="n"/>
      <c r="S38" s="47" t="n"/>
      <c r="T38" s="46" t="n"/>
      <c r="U38" s="57" t="n"/>
      <c r="V38" s="41" t="n"/>
      <c r="W38" s="47" t="n"/>
    </row>
    <row r="39" ht="15" customHeight="1">
      <c r="A39" s="39">
        <f>A38+1</f>
        <v/>
      </c>
      <c r="B39" s="672" t="n"/>
      <c r="C39" s="227" t="n"/>
      <c r="D39" s="227" t="n"/>
      <c r="E39" s="266" t="n"/>
      <c r="F39" s="40" t="n"/>
      <c r="G39" s="318" t="n"/>
      <c r="H39" s="318" t="n"/>
      <c r="I39" s="331" t="n"/>
      <c r="J39" s="55" t="n"/>
      <c r="K39" s="50">
        <f>I39+J39</f>
        <v/>
      </c>
      <c r="L39" s="37" t="n"/>
      <c r="M39" s="282" t="n"/>
      <c r="N39" s="35" t="n"/>
      <c r="O39" s="48" t="n"/>
      <c r="P39" s="50">
        <f>N39+O39+L39</f>
        <v/>
      </c>
      <c r="Q39" s="46" t="n"/>
      <c r="R39" s="41" t="n"/>
      <c r="S39" s="47" t="n"/>
      <c r="T39" s="46" t="n"/>
      <c r="U39" s="57" t="n"/>
      <c r="V39" s="41" t="n"/>
      <c r="W39" s="47" t="n"/>
    </row>
    <row r="40" ht="15" customHeight="1">
      <c r="A40" s="39">
        <f>A39+1</f>
        <v/>
      </c>
      <c r="B40" s="672" t="n"/>
      <c r="C40" s="227" t="n"/>
      <c r="D40" s="227" t="n"/>
      <c r="E40" s="266" t="n"/>
      <c r="F40" s="40" t="n"/>
      <c r="G40" s="318" t="n"/>
      <c r="H40" s="318" t="n"/>
      <c r="I40" s="331" t="n"/>
      <c r="J40" s="55" t="n"/>
      <c r="K40" s="50">
        <f>I40+J40</f>
        <v/>
      </c>
      <c r="L40" s="37" t="n"/>
      <c r="M40" s="282" t="n"/>
      <c r="N40" s="35" t="n"/>
      <c r="O40" s="48" t="n"/>
      <c r="P40" s="50">
        <f>N40+O40+L40</f>
        <v/>
      </c>
      <c r="Q40" s="46" t="n"/>
      <c r="R40" s="41" t="n"/>
      <c r="S40" s="47" t="n"/>
      <c r="T40" s="46" t="n"/>
      <c r="U40" s="57" t="n"/>
      <c r="V40" s="41" t="n"/>
      <c r="W40" s="47" t="n"/>
    </row>
    <row r="41" ht="15" customHeight="1">
      <c r="A41" s="39">
        <f>A40+1</f>
        <v/>
      </c>
      <c r="B41" s="672" t="n"/>
      <c r="C41" s="227" t="n"/>
      <c r="D41" s="227" t="n"/>
      <c r="E41" s="266" t="n"/>
      <c r="F41" s="40" t="n"/>
      <c r="G41" s="318" t="n"/>
      <c r="H41" s="318" t="n"/>
      <c r="I41" s="331" t="n"/>
      <c r="J41" s="55" t="n"/>
      <c r="K41" s="50">
        <f>I41+J41</f>
        <v/>
      </c>
      <c r="L41" s="37" t="n"/>
      <c r="M41" s="282" t="n"/>
      <c r="N41" s="35" t="n"/>
      <c r="O41" s="48" t="n"/>
      <c r="P41" s="50">
        <f>N41+O41+L41</f>
        <v/>
      </c>
      <c r="Q41" s="46" t="n"/>
      <c r="R41" s="41" t="n"/>
      <c r="S41" s="47" t="n"/>
      <c r="T41" s="46" t="n"/>
      <c r="U41" s="57" t="n"/>
      <c r="V41" s="41" t="n"/>
      <c r="W41" s="47" t="n"/>
    </row>
    <row r="42" ht="15" customHeight="1">
      <c r="A42" s="39">
        <f>A41+1</f>
        <v/>
      </c>
      <c r="B42" s="672" t="n"/>
      <c r="C42" s="227" t="n"/>
      <c r="D42" s="227" t="n"/>
      <c r="E42" s="266" t="n"/>
      <c r="F42" s="40" t="n"/>
      <c r="G42" s="318" t="n"/>
      <c r="H42" s="318" t="n"/>
      <c r="I42" s="331" t="n"/>
      <c r="J42" s="55" t="n"/>
      <c r="K42" s="50">
        <f>I42+J42</f>
        <v/>
      </c>
      <c r="L42" s="37" t="n"/>
      <c r="M42" s="282" t="n"/>
      <c r="N42" s="35" t="n"/>
      <c r="O42" s="48" t="n"/>
      <c r="P42" s="50">
        <f>N42+O42+L42</f>
        <v/>
      </c>
      <c r="Q42" s="46" t="n"/>
      <c r="R42" s="41" t="n"/>
      <c r="S42" s="47" t="n"/>
      <c r="T42" s="46" t="n"/>
      <c r="U42" s="57" t="n"/>
      <c r="V42" s="41" t="n"/>
      <c r="W42" s="47" t="n"/>
    </row>
    <row r="43" ht="15" customHeight="1">
      <c r="A43" s="39">
        <f>A42+1</f>
        <v/>
      </c>
      <c r="B43" s="672" t="n"/>
      <c r="C43" s="227" t="n"/>
      <c r="D43" s="227" t="n"/>
      <c r="E43" s="266" t="n"/>
      <c r="F43" s="40" t="n"/>
      <c r="G43" s="318" t="n"/>
      <c r="H43" s="318" t="n"/>
      <c r="I43" s="331" t="n"/>
      <c r="J43" s="55" t="n"/>
      <c r="K43" s="50">
        <f>I43+J43</f>
        <v/>
      </c>
      <c r="L43" s="37" t="n"/>
      <c r="M43" s="282" t="n"/>
      <c r="N43" s="35" t="n"/>
      <c r="O43" s="48" t="n"/>
      <c r="P43" s="50">
        <f>N43+O43+L43</f>
        <v/>
      </c>
      <c r="Q43" s="46" t="n"/>
      <c r="R43" s="41" t="n"/>
      <c r="S43" s="47" t="n"/>
      <c r="T43" s="46" t="n"/>
      <c r="U43" s="57" t="n"/>
      <c r="V43" s="41" t="n"/>
      <c r="W43" s="47" t="n"/>
    </row>
    <row r="44" ht="15" customHeight="1">
      <c r="A44" s="39">
        <f>A43+1</f>
        <v/>
      </c>
      <c r="B44" s="672" t="n"/>
      <c r="C44" s="227" t="n"/>
      <c r="D44" s="227" t="n"/>
      <c r="E44" s="266" t="n"/>
      <c r="F44" s="40" t="n"/>
      <c r="G44" s="318" t="n"/>
      <c r="H44" s="318" t="n"/>
      <c r="I44" s="331" t="n"/>
      <c r="J44" s="55" t="n"/>
      <c r="K44" s="50">
        <f>I44+J44</f>
        <v/>
      </c>
      <c r="L44" s="37" t="n"/>
      <c r="M44" s="282" t="n"/>
      <c r="N44" s="35" t="n"/>
      <c r="O44" s="48" t="n"/>
      <c r="P44" s="50">
        <f>N44+O44+L44</f>
        <v/>
      </c>
      <c r="Q44" s="46" t="n"/>
      <c r="R44" s="41" t="n"/>
      <c r="S44" s="47" t="n"/>
      <c r="T44" s="46" t="n"/>
      <c r="U44" s="57" t="n"/>
      <c r="V44" s="41" t="n"/>
      <c r="W44" s="47" t="n"/>
    </row>
    <row r="45" ht="15" customHeight="1">
      <c r="A45" s="39">
        <f>A44+1</f>
        <v/>
      </c>
      <c r="B45" s="672" t="n"/>
      <c r="C45" s="227" t="n"/>
      <c r="D45" s="227" t="n"/>
      <c r="E45" s="266" t="n"/>
      <c r="F45" s="40" t="n"/>
      <c r="G45" s="318" t="n"/>
      <c r="H45" s="318" t="n"/>
      <c r="I45" s="331" t="n"/>
      <c r="J45" s="55" t="n"/>
      <c r="K45" s="50">
        <f>I45+J45</f>
        <v/>
      </c>
      <c r="L45" s="37" t="n"/>
      <c r="M45" s="282" t="n"/>
      <c r="N45" s="35" t="n"/>
      <c r="O45" s="48" t="n"/>
      <c r="P45" s="50">
        <f>N45+O45+L45</f>
        <v/>
      </c>
      <c r="Q45" s="46" t="n"/>
      <c r="R45" s="41" t="n"/>
      <c r="S45" s="47" t="n"/>
      <c r="T45" s="46" t="n"/>
      <c r="U45" s="57" t="n"/>
      <c r="V45" s="41" t="n"/>
      <c r="W45" s="47" t="n"/>
    </row>
    <row r="46" ht="15" customHeight="1">
      <c r="A46" s="39">
        <f>A45+1</f>
        <v/>
      </c>
      <c r="B46" s="672" t="n"/>
      <c r="C46" s="227" t="n"/>
      <c r="D46" s="227" t="n"/>
      <c r="E46" s="266" t="n"/>
      <c r="F46" s="40" t="n"/>
      <c r="G46" s="318" t="n"/>
      <c r="H46" s="318" t="n"/>
      <c r="I46" s="331" t="n"/>
      <c r="J46" s="55" t="n"/>
      <c r="K46" s="50">
        <f>I46+J46</f>
        <v/>
      </c>
      <c r="L46" s="37" t="n"/>
      <c r="M46" s="282" t="n"/>
      <c r="N46" s="35" t="n"/>
      <c r="O46" s="48" t="n"/>
      <c r="P46" s="50">
        <f>N46+O46+L46</f>
        <v/>
      </c>
      <c r="Q46" s="46" t="n"/>
      <c r="R46" s="41" t="n"/>
      <c r="S46" s="47" t="n"/>
      <c r="T46" s="46" t="n"/>
      <c r="U46" s="57" t="n"/>
      <c r="V46" s="41" t="n"/>
      <c r="W46" s="47" t="n"/>
    </row>
    <row r="47" ht="15" customHeight="1">
      <c r="A47" s="39">
        <f>A46+1</f>
        <v/>
      </c>
      <c r="B47" s="672" t="n"/>
      <c r="C47" s="227" t="n"/>
      <c r="D47" s="227" t="n"/>
      <c r="E47" s="266" t="n"/>
      <c r="F47" s="40" t="n"/>
      <c r="G47" s="318" t="n"/>
      <c r="H47" s="318" t="n"/>
      <c r="I47" s="331" t="n"/>
      <c r="J47" s="55" t="n"/>
      <c r="K47" s="50">
        <f>I47+J47</f>
        <v/>
      </c>
      <c r="L47" s="37" t="n"/>
      <c r="M47" s="282" t="n"/>
      <c r="N47" s="35" t="n"/>
      <c r="O47" s="48" t="n"/>
      <c r="P47" s="50">
        <f>N47+O47+L47</f>
        <v/>
      </c>
      <c r="Q47" s="46" t="n"/>
      <c r="R47" s="41" t="n"/>
      <c r="S47" s="47" t="n"/>
      <c r="T47" s="46" t="n"/>
      <c r="U47" s="57" t="n"/>
      <c r="V47" s="41" t="n"/>
      <c r="W47" s="47" t="n"/>
    </row>
    <row r="48" ht="15" customHeight="1">
      <c r="A48" s="39">
        <f>A47+1</f>
        <v/>
      </c>
      <c r="B48" s="672" t="n"/>
      <c r="C48" s="227" t="n"/>
      <c r="D48" s="227" t="n"/>
      <c r="E48" s="266" t="n"/>
      <c r="F48" s="40" t="n"/>
      <c r="G48" s="318" t="n"/>
      <c r="H48" s="318" t="n"/>
      <c r="I48" s="331" t="n"/>
      <c r="J48" s="55" t="n"/>
      <c r="K48" s="50">
        <f>I48+J48</f>
        <v/>
      </c>
      <c r="L48" s="37" t="n"/>
      <c r="M48" s="282" t="n"/>
      <c r="N48" s="35" t="n"/>
      <c r="O48" s="48" t="n"/>
      <c r="P48" s="50">
        <f>N48+O48+L48</f>
        <v/>
      </c>
      <c r="Q48" s="46" t="n"/>
      <c r="R48" s="41" t="n"/>
      <c r="S48" s="47" t="n"/>
      <c r="T48" s="46" t="n"/>
      <c r="U48" s="57" t="n"/>
      <c r="V48" s="41" t="n"/>
      <c r="W48" s="47" t="n"/>
    </row>
    <row r="49" ht="15" customHeight="1">
      <c r="A49" s="39">
        <f>A48+1</f>
        <v/>
      </c>
      <c r="B49" s="672" t="n"/>
      <c r="C49" s="227" t="n"/>
      <c r="D49" s="227" t="n"/>
      <c r="E49" s="266" t="n"/>
      <c r="F49" s="40" t="n"/>
      <c r="G49" s="318" t="n"/>
      <c r="H49" s="318" t="n"/>
      <c r="I49" s="331" t="n"/>
      <c r="J49" s="55" t="n"/>
      <c r="K49" s="50">
        <f>I49+J49</f>
        <v/>
      </c>
      <c r="L49" s="37" t="n"/>
      <c r="M49" s="282" t="n"/>
      <c r="N49" s="35" t="n"/>
      <c r="O49" s="48" t="n"/>
      <c r="P49" s="50">
        <f>N49+O49+L49</f>
        <v/>
      </c>
      <c r="Q49" s="46" t="n"/>
      <c r="R49" s="41" t="n"/>
      <c r="S49" s="47" t="n"/>
      <c r="T49" s="46" t="n"/>
      <c r="U49" s="57" t="n"/>
      <c r="V49" s="41" t="n"/>
      <c r="W49" s="47" t="n"/>
    </row>
    <row r="50" ht="15" customHeight="1">
      <c r="A50" s="39">
        <f>A49+1</f>
        <v/>
      </c>
      <c r="B50" s="672" t="n"/>
      <c r="C50" s="227" t="n"/>
      <c r="D50" s="227" t="n"/>
      <c r="E50" s="266" t="n"/>
      <c r="F50" s="40" t="n"/>
      <c r="G50" s="318" t="n"/>
      <c r="H50" s="318" t="n"/>
      <c r="I50" s="331" t="n"/>
      <c r="J50" s="55" t="n"/>
      <c r="K50" s="50">
        <f>I50+J50</f>
        <v/>
      </c>
      <c r="L50" s="37" t="n"/>
      <c r="M50" s="282" t="n"/>
      <c r="N50" s="35" t="n"/>
      <c r="O50" s="48" t="n"/>
      <c r="P50" s="50">
        <f>N50+O50+L50</f>
        <v/>
      </c>
      <c r="Q50" s="46" t="n"/>
      <c r="R50" s="41" t="n"/>
      <c r="S50" s="47" t="n"/>
      <c r="T50" s="46" t="n"/>
      <c r="U50" s="57" t="n"/>
      <c r="V50" s="41" t="n"/>
      <c r="W50" s="47" t="n"/>
    </row>
    <row r="51" ht="15" customHeight="1">
      <c r="A51" s="39">
        <f>A50+1</f>
        <v/>
      </c>
      <c r="B51" s="672" t="n"/>
      <c r="C51" s="227" t="n"/>
      <c r="D51" s="227" t="n"/>
      <c r="E51" s="266" t="n"/>
      <c r="F51" s="40" t="n"/>
      <c r="G51" s="318" t="n"/>
      <c r="H51" s="318" t="n"/>
      <c r="I51" s="331" t="n"/>
      <c r="J51" s="55" t="n"/>
      <c r="K51" s="50">
        <f>I51+J51</f>
        <v/>
      </c>
      <c r="L51" s="37" t="n"/>
      <c r="M51" s="282" t="n"/>
      <c r="N51" s="35" t="n"/>
      <c r="O51" s="48" t="n"/>
      <c r="P51" s="50">
        <f>N51+O51+L51</f>
        <v/>
      </c>
      <c r="Q51" s="46" t="n"/>
      <c r="R51" s="41" t="n"/>
      <c r="S51" s="47" t="n"/>
      <c r="T51" s="46" t="n"/>
      <c r="U51" s="57" t="n"/>
      <c r="V51" s="41" t="n"/>
      <c r="W51" s="47" t="n"/>
    </row>
    <row r="52" ht="15" customHeight="1">
      <c r="A52" s="39">
        <f>A51+1</f>
        <v/>
      </c>
      <c r="B52" s="672" t="n"/>
      <c r="C52" s="227" t="n"/>
      <c r="D52" s="227" t="n"/>
      <c r="E52" s="266" t="n"/>
      <c r="F52" s="40" t="n"/>
      <c r="G52" s="318" t="n"/>
      <c r="H52" s="318" t="n"/>
      <c r="I52" s="331" t="n"/>
      <c r="J52" s="55" t="n"/>
      <c r="K52" s="50">
        <f>I52+J52</f>
        <v/>
      </c>
      <c r="L52" s="37" t="n"/>
      <c r="M52" s="282" t="n"/>
      <c r="N52" s="35" t="n"/>
      <c r="O52" s="48" t="n"/>
      <c r="P52" s="50">
        <f>N52+O52+L52</f>
        <v/>
      </c>
      <c r="Q52" s="46" t="n"/>
      <c r="R52" s="41" t="n"/>
      <c r="S52" s="47" t="n"/>
      <c r="T52" s="46" t="n"/>
      <c r="U52" s="57" t="n"/>
      <c r="V52" s="41" t="n"/>
      <c r="W52" s="47" t="n"/>
    </row>
    <row r="53" ht="15" customHeight="1">
      <c r="A53" s="39">
        <f>A52+1</f>
        <v/>
      </c>
      <c r="B53" s="672" t="n"/>
      <c r="C53" s="227" t="n"/>
      <c r="D53" s="227" t="n"/>
      <c r="E53" s="266" t="n"/>
      <c r="F53" s="40" t="n"/>
      <c r="G53" s="318" t="n"/>
      <c r="H53" s="318" t="n"/>
      <c r="I53" s="331" t="n"/>
      <c r="J53" s="55" t="n"/>
      <c r="K53" s="50">
        <f>I53+J53</f>
        <v/>
      </c>
      <c r="L53" s="37" t="n"/>
      <c r="M53" s="282" t="n"/>
      <c r="N53" s="35" t="n"/>
      <c r="O53" s="48" t="n"/>
      <c r="P53" s="50">
        <f>N53+O53+L53</f>
        <v/>
      </c>
      <c r="Q53" s="46" t="n"/>
      <c r="R53" s="41" t="n"/>
      <c r="S53" s="47" t="n"/>
      <c r="T53" s="46" t="n"/>
      <c r="U53" s="57" t="n"/>
      <c r="V53" s="41" t="n"/>
      <c r="W53" s="47" t="n"/>
    </row>
    <row r="54" ht="15" customHeight="1">
      <c r="A54" s="39">
        <f>A53+1</f>
        <v/>
      </c>
      <c r="B54" s="672" t="n"/>
      <c r="C54" s="227" t="n"/>
      <c r="D54" s="227" t="n"/>
      <c r="E54" s="266" t="n"/>
      <c r="F54" s="40" t="n"/>
      <c r="G54" s="318" t="n"/>
      <c r="H54" s="318" t="n"/>
      <c r="I54" s="331" t="n"/>
      <c r="J54" s="55" t="n"/>
      <c r="K54" s="50">
        <f>I54+J54</f>
        <v/>
      </c>
      <c r="L54" s="37" t="n"/>
      <c r="M54" s="282" t="n"/>
      <c r="N54" s="35" t="n"/>
      <c r="O54" s="48" t="n"/>
      <c r="P54" s="50">
        <f>N54+O54+L54</f>
        <v/>
      </c>
      <c r="Q54" s="46" t="n"/>
      <c r="R54" s="41" t="n"/>
      <c r="S54" s="47" t="n"/>
      <c r="T54" s="46" t="n"/>
      <c r="U54" s="57" t="n"/>
      <c r="V54" s="41" t="n"/>
      <c r="W54" s="47" t="n"/>
    </row>
    <row r="55" ht="15" customHeight="1">
      <c r="A55" s="39">
        <f>A54+1</f>
        <v/>
      </c>
      <c r="B55" s="672" t="n"/>
      <c r="C55" s="227" t="n"/>
      <c r="D55" s="227" t="n"/>
      <c r="E55" s="266" t="n"/>
      <c r="F55" s="40" t="n"/>
      <c r="G55" s="318" t="n"/>
      <c r="H55" s="318" t="n"/>
      <c r="I55" s="331" t="n"/>
      <c r="J55" s="55" t="n"/>
      <c r="K55" s="50">
        <f>I55+J55</f>
        <v/>
      </c>
      <c r="L55" s="37" t="n"/>
      <c r="M55" s="282" t="n"/>
      <c r="N55" s="35" t="n"/>
      <c r="O55" s="48" t="n"/>
      <c r="P55" s="50">
        <f>N55+O55+L55</f>
        <v/>
      </c>
      <c r="Q55" s="46" t="n"/>
      <c r="R55" s="41" t="n"/>
      <c r="S55" s="47" t="n"/>
      <c r="T55" s="46" t="n"/>
      <c r="U55" s="57" t="n"/>
      <c r="V55" s="41" t="n"/>
      <c r="W55" s="47" t="n"/>
    </row>
    <row r="56" ht="15" customHeight="1">
      <c r="A56" s="39">
        <f>A55+1</f>
        <v/>
      </c>
      <c r="B56" s="672" t="n"/>
      <c r="C56" s="227" t="n"/>
      <c r="D56" s="227" t="n"/>
      <c r="E56" s="266" t="n"/>
      <c r="F56" s="40" t="n"/>
      <c r="G56" s="318" t="n"/>
      <c r="H56" s="318" t="n"/>
      <c r="I56" s="331" t="n"/>
      <c r="J56" s="55" t="n"/>
      <c r="K56" s="50">
        <f>I56+J56</f>
        <v/>
      </c>
      <c r="L56" s="37" t="n"/>
      <c r="M56" s="282" t="n"/>
      <c r="N56" s="35" t="n"/>
      <c r="O56" s="48" t="n"/>
      <c r="P56" s="50">
        <f>N56+O56+L56</f>
        <v/>
      </c>
      <c r="Q56" s="46" t="n"/>
      <c r="R56" s="41" t="n"/>
      <c r="S56" s="47" t="n"/>
      <c r="T56" s="46" t="n"/>
      <c r="U56" s="57" t="n"/>
      <c r="V56" s="41" t="n"/>
      <c r="W56" s="47" t="n"/>
    </row>
    <row r="57" ht="15" customHeight="1">
      <c r="A57" s="39">
        <f>A56+1</f>
        <v/>
      </c>
      <c r="B57" s="672" t="n"/>
      <c r="C57" s="227" t="n"/>
      <c r="D57" s="227" t="n"/>
      <c r="E57" s="266" t="n"/>
      <c r="F57" s="40" t="n"/>
      <c r="G57" s="318" t="n"/>
      <c r="H57" s="318" t="n"/>
      <c r="I57" s="331" t="n"/>
      <c r="J57" s="55" t="n"/>
      <c r="K57" s="50">
        <f>I57+J57</f>
        <v/>
      </c>
      <c r="L57" s="37" t="n"/>
      <c r="M57" s="282" t="n"/>
      <c r="N57" s="35" t="n"/>
      <c r="O57" s="48" t="n"/>
      <c r="P57" s="50">
        <f>N57+O57+L57</f>
        <v/>
      </c>
      <c r="Q57" s="46" t="n"/>
      <c r="R57" s="41" t="n"/>
      <c r="S57" s="47" t="n"/>
      <c r="T57" s="46" t="n"/>
      <c r="U57" s="57" t="n"/>
      <c r="V57" s="41" t="n"/>
      <c r="W57" s="47" t="n"/>
    </row>
    <row r="58" ht="15" customHeight="1">
      <c r="A58" s="39">
        <f>A57+1</f>
        <v/>
      </c>
      <c r="B58" s="672" t="n"/>
      <c r="C58" s="227" t="n"/>
      <c r="D58" s="227" t="n"/>
      <c r="E58" s="266" t="n"/>
      <c r="F58" s="40" t="n"/>
      <c r="G58" s="318" t="n"/>
      <c r="H58" s="318" t="n"/>
      <c r="I58" s="331" t="n"/>
      <c r="J58" s="55" t="n"/>
      <c r="K58" s="50">
        <f>I58+J58</f>
        <v/>
      </c>
      <c r="L58" s="37" t="n"/>
      <c r="M58" s="282" t="n"/>
      <c r="N58" s="35" t="n"/>
      <c r="O58" s="48" t="n"/>
      <c r="P58" s="50">
        <f>N58+O58+L58</f>
        <v/>
      </c>
      <c r="Q58" s="46" t="n"/>
      <c r="R58" s="41" t="n"/>
      <c r="S58" s="47" t="n"/>
      <c r="T58" s="46" t="n"/>
      <c r="U58" s="57" t="n"/>
      <c r="V58" s="41" t="n"/>
      <c r="W58" s="47" t="n"/>
    </row>
    <row r="59" ht="15" customHeight="1">
      <c r="A59" s="39">
        <f>A58+1</f>
        <v/>
      </c>
      <c r="B59" s="672" t="n"/>
      <c r="C59" s="227" t="n"/>
      <c r="D59" s="227" t="n"/>
      <c r="E59" s="266" t="n"/>
      <c r="F59" s="40" t="n"/>
      <c r="G59" s="318" t="n"/>
      <c r="H59" s="318" t="n"/>
      <c r="I59" s="331" t="n"/>
      <c r="J59" s="55" t="n"/>
      <c r="K59" s="50">
        <f>I59+J59</f>
        <v/>
      </c>
      <c r="L59" s="37" t="n"/>
      <c r="M59" s="282" t="n"/>
      <c r="N59" s="35" t="n"/>
      <c r="O59" s="48" t="n"/>
      <c r="P59" s="50">
        <f>N59+O59+L59</f>
        <v/>
      </c>
      <c r="Q59" s="46" t="n"/>
      <c r="R59" s="41" t="n"/>
      <c r="S59" s="47" t="n"/>
      <c r="T59" s="46" t="n"/>
      <c r="U59" s="57" t="n"/>
      <c r="V59" s="41" t="n"/>
      <c r="W59" s="47" t="n"/>
    </row>
    <row r="60" ht="15" customHeight="1">
      <c r="A60" s="39">
        <f>A59+1</f>
        <v/>
      </c>
      <c r="B60" s="672" t="n"/>
      <c r="C60" s="227" t="n"/>
      <c r="D60" s="227" t="n"/>
      <c r="E60" s="266" t="n"/>
      <c r="F60" s="40" t="n"/>
      <c r="G60" s="318" t="n"/>
      <c r="H60" s="318" t="n"/>
      <c r="I60" s="331" t="n"/>
      <c r="J60" s="55" t="n"/>
      <c r="K60" s="50">
        <f>I60+J60</f>
        <v/>
      </c>
      <c r="L60" s="37" t="n"/>
      <c r="M60" s="282" t="n"/>
      <c r="N60" s="35" t="n"/>
      <c r="O60" s="48" t="n"/>
      <c r="P60" s="50">
        <f>N60+O60+L60</f>
        <v/>
      </c>
      <c r="Q60" s="46" t="n"/>
      <c r="R60" s="41" t="n"/>
      <c r="S60" s="47" t="n"/>
      <c r="T60" s="46" t="n"/>
      <c r="U60" s="57" t="n"/>
      <c r="V60" s="41" t="n"/>
      <c r="W60" s="47" t="n"/>
    </row>
    <row r="61" ht="15" customHeight="1">
      <c r="A61" s="39">
        <f>A60+1</f>
        <v/>
      </c>
      <c r="B61" s="672" t="n"/>
      <c r="C61" s="227" t="n"/>
      <c r="D61" s="227" t="n"/>
      <c r="E61" s="266" t="n"/>
      <c r="F61" s="40" t="n"/>
      <c r="G61" s="318" t="n"/>
      <c r="H61" s="318" t="n"/>
      <c r="I61" s="331" t="n"/>
      <c r="J61" s="55" t="n"/>
      <c r="K61" s="50">
        <f>I61+J61</f>
        <v/>
      </c>
      <c r="L61" s="37" t="n"/>
      <c r="M61" s="282" t="n"/>
      <c r="N61" s="35" t="n"/>
      <c r="O61" s="48" t="n"/>
      <c r="P61" s="50">
        <f>N61+O61+L61</f>
        <v/>
      </c>
      <c r="Q61" s="46" t="n"/>
      <c r="R61" s="41" t="n"/>
      <c r="S61" s="47" t="n"/>
      <c r="T61" s="46" t="n"/>
      <c r="U61" s="57" t="n"/>
      <c r="V61" s="41" t="n"/>
      <c r="W61" s="47" t="n"/>
    </row>
    <row r="62" ht="15" customHeight="1">
      <c r="A62" s="39">
        <f>A61+1</f>
        <v/>
      </c>
      <c r="B62" s="672" t="n"/>
      <c r="C62" s="227" t="n"/>
      <c r="D62" s="227" t="n"/>
      <c r="E62" s="266" t="n"/>
      <c r="F62" s="40" t="n"/>
      <c r="G62" s="318" t="n"/>
      <c r="H62" s="318" t="n"/>
      <c r="I62" s="331" t="n"/>
      <c r="J62" s="55" t="n"/>
      <c r="K62" s="50">
        <f>I62+J62</f>
        <v/>
      </c>
      <c r="L62" s="37" t="n"/>
      <c r="M62" s="282" t="n"/>
      <c r="N62" s="35" t="n"/>
      <c r="O62" s="48" t="n"/>
      <c r="P62" s="50">
        <f>N62+O62+L62</f>
        <v/>
      </c>
      <c r="Q62" s="46" t="n"/>
      <c r="R62" s="41" t="n"/>
      <c r="S62" s="47" t="n"/>
      <c r="T62" s="46" t="n"/>
      <c r="U62" s="57" t="n"/>
      <c r="V62" s="41" t="n"/>
      <c r="W62" s="47" t="n"/>
    </row>
    <row r="63" ht="15" customHeight="1">
      <c r="A63" s="39">
        <f>A62+1</f>
        <v/>
      </c>
      <c r="B63" s="672" t="n"/>
      <c r="C63" s="227" t="n"/>
      <c r="D63" s="227" t="n"/>
      <c r="E63" s="266" t="n"/>
      <c r="F63" s="40" t="n"/>
      <c r="G63" s="318" t="n"/>
      <c r="H63" s="318" t="n"/>
      <c r="I63" s="331" t="n"/>
      <c r="J63" s="55" t="n"/>
      <c r="K63" s="50">
        <f>I63+J63</f>
        <v/>
      </c>
      <c r="L63" s="37" t="n"/>
      <c r="M63" s="282" t="n"/>
      <c r="N63" s="35" t="n"/>
      <c r="O63" s="48" t="n"/>
      <c r="P63" s="50">
        <f>N63+O63+L63</f>
        <v/>
      </c>
      <c r="Q63" s="46" t="n"/>
      <c r="R63" s="41" t="n"/>
      <c r="S63" s="47" t="n"/>
      <c r="T63" s="46" t="n"/>
      <c r="U63" s="57" t="n"/>
      <c r="V63" s="41" t="n"/>
      <c r="W63" s="47" t="n"/>
    </row>
    <row r="64" ht="15" customHeight="1">
      <c r="A64" s="39">
        <f>A63+1</f>
        <v/>
      </c>
      <c r="B64" s="672" t="n"/>
      <c r="C64" s="227" t="n"/>
      <c r="D64" s="227" t="n"/>
      <c r="E64" s="266" t="n"/>
      <c r="F64" s="40" t="n"/>
      <c r="G64" s="318" t="n"/>
      <c r="H64" s="318" t="n"/>
      <c r="I64" s="331" t="n"/>
      <c r="J64" s="55" t="n"/>
      <c r="K64" s="50">
        <f>I64+J64</f>
        <v/>
      </c>
      <c r="L64" s="37" t="n"/>
      <c r="M64" s="282" t="n"/>
      <c r="N64" s="35" t="n"/>
      <c r="O64" s="48" t="n"/>
      <c r="P64" s="50">
        <f>N64+O64+L64</f>
        <v/>
      </c>
      <c r="Q64" s="46" t="n"/>
      <c r="R64" s="41" t="n"/>
      <c r="S64" s="47" t="n"/>
      <c r="T64" s="46" t="n"/>
      <c r="U64" s="57" t="n"/>
      <c r="V64" s="41" t="n"/>
      <c r="W64" s="47" t="n"/>
    </row>
    <row r="65" ht="15" customHeight="1">
      <c r="A65" s="39">
        <f>A64+1</f>
        <v/>
      </c>
      <c r="B65" s="672" t="n"/>
      <c r="C65" s="227" t="n"/>
      <c r="D65" s="227" t="n"/>
      <c r="E65" s="266" t="n"/>
      <c r="F65" s="40" t="n"/>
      <c r="G65" s="318" t="n"/>
      <c r="H65" s="318" t="n"/>
      <c r="I65" s="331" t="n"/>
      <c r="J65" s="55" t="n"/>
      <c r="K65" s="50">
        <f>I65+J65</f>
        <v/>
      </c>
      <c r="L65" s="37" t="n"/>
      <c r="M65" s="282" t="n"/>
      <c r="N65" s="35" t="n"/>
      <c r="O65" s="48" t="n"/>
      <c r="P65" s="50">
        <f>N65+O65+L65</f>
        <v/>
      </c>
      <c r="Q65" s="46" t="n"/>
      <c r="R65" s="41" t="n"/>
      <c r="S65" s="47" t="n"/>
      <c r="T65" s="46" t="n"/>
      <c r="U65" s="57" t="n"/>
      <c r="V65" s="41" t="n"/>
      <c r="W65" s="47" t="n"/>
    </row>
    <row r="66" ht="15" customHeight="1">
      <c r="A66" s="39">
        <f>A65+1</f>
        <v/>
      </c>
      <c r="B66" s="672" t="n"/>
      <c r="C66" s="227" t="n"/>
      <c r="D66" s="227" t="n"/>
      <c r="E66" s="266" t="n"/>
      <c r="F66" s="40" t="n"/>
      <c r="G66" s="318" t="n"/>
      <c r="H66" s="318" t="n"/>
      <c r="I66" s="331" t="n"/>
      <c r="J66" s="55" t="n"/>
      <c r="K66" s="50">
        <f>I66+J66</f>
        <v/>
      </c>
      <c r="L66" s="37" t="n"/>
      <c r="M66" s="282" t="n"/>
      <c r="N66" s="35" t="n"/>
      <c r="O66" s="48" t="n"/>
      <c r="P66" s="50">
        <f>N66+O66+L66</f>
        <v/>
      </c>
      <c r="Q66" s="46" t="n"/>
      <c r="R66" s="41" t="n"/>
      <c r="S66" s="47" t="n"/>
      <c r="T66" s="46" t="n"/>
      <c r="U66" s="57" t="n"/>
      <c r="V66" s="41" t="n"/>
      <c r="W66" s="47" t="n"/>
    </row>
    <row r="67" ht="15" customHeight="1">
      <c r="A67" s="39">
        <f>A66+1</f>
        <v/>
      </c>
      <c r="B67" s="672" t="n"/>
      <c r="C67" s="227" t="n"/>
      <c r="D67" s="227" t="n"/>
      <c r="E67" s="266" t="n"/>
      <c r="F67" s="40" t="n"/>
      <c r="G67" s="318" t="n"/>
      <c r="H67" s="318" t="n"/>
      <c r="I67" s="331" t="n"/>
      <c r="J67" s="55" t="n"/>
      <c r="K67" s="50">
        <f>I67+J67</f>
        <v/>
      </c>
      <c r="L67" s="37" t="n"/>
      <c r="M67" s="282" t="n"/>
      <c r="N67" s="35" t="n"/>
      <c r="O67" s="48" t="n"/>
      <c r="P67" s="50">
        <f>N67+O67+L67</f>
        <v/>
      </c>
      <c r="Q67" s="46" t="n"/>
      <c r="R67" s="41" t="n"/>
      <c r="S67" s="47" t="n"/>
      <c r="T67" s="46" t="n"/>
      <c r="U67" s="57" t="n"/>
      <c r="V67" s="41" t="n"/>
      <c r="W67" s="47" t="n"/>
    </row>
    <row r="68" ht="15" customHeight="1">
      <c r="A68" s="39">
        <f>A67+1</f>
        <v/>
      </c>
      <c r="B68" s="672" t="n"/>
      <c r="C68" s="227" t="n"/>
      <c r="D68" s="227" t="n"/>
      <c r="E68" s="266" t="n"/>
      <c r="F68" s="40" t="n"/>
      <c r="G68" s="318" t="n"/>
      <c r="H68" s="318" t="n"/>
      <c r="I68" s="331" t="n"/>
      <c r="J68" s="55" t="n"/>
      <c r="K68" s="50">
        <f>I68+J68</f>
        <v/>
      </c>
      <c r="L68" s="37" t="n"/>
      <c r="M68" s="282" t="n"/>
      <c r="N68" s="35" t="n"/>
      <c r="O68" s="48" t="n"/>
      <c r="P68" s="50">
        <f>N68+O68+L68</f>
        <v/>
      </c>
      <c r="Q68" s="46" t="n"/>
      <c r="R68" s="41" t="n"/>
      <c r="S68" s="47" t="n"/>
      <c r="T68" s="46" t="n"/>
      <c r="U68" s="57" t="n"/>
      <c r="V68" s="41" t="n"/>
      <c r="W68" s="47" t="n"/>
    </row>
    <row r="69" ht="15" customHeight="1">
      <c r="A69" s="39">
        <f>A68+1</f>
        <v/>
      </c>
      <c r="B69" s="672" t="n"/>
      <c r="C69" s="227" t="n"/>
      <c r="D69" s="227" t="n"/>
      <c r="E69" s="266" t="n"/>
      <c r="F69" s="40" t="n"/>
      <c r="G69" s="318" t="n"/>
      <c r="H69" s="318" t="n"/>
      <c r="I69" s="331" t="n"/>
      <c r="J69" s="55" t="n"/>
      <c r="K69" s="50">
        <f>I69+J69</f>
        <v/>
      </c>
      <c r="L69" s="37" t="n"/>
      <c r="M69" s="282" t="n"/>
      <c r="N69" s="35" t="n"/>
      <c r="O69" s="48" t="n"/>
      <c r="P69" s="50">
        <f>N69+O69+L69</f>
        <v/>
      </c>
      <c r="Q69" s="46" t="n"/>
      <c r="R69" s="41" t="n"/>
      <c r="S69" s="47" t="n"/>
      <c r="T69" s="46" t="n"/>
      <c r="U69" s="57" t="n"/>
      <c r="V69" s="41" t="n"/>
      <c r="W69" s="47" t="n"/>
    </row>
    <row r="70" ht="15" customHeight="1">
      <c r="A70" s="39">
        <f>A69+1</f>
        <v/>
      </c>
      <c r="B70" s="672" t="n"/>
      <c r="C70" s="227" t="n"/>
      <c r="D70" s="227" t="n"/>
      <c r="E70" s="266" t="n"/>
      <c r="F70" s="40" t="n"/>
      <c r="G70" s="318" t="n"/>
      <c r="H70" s="318" t="n"/>
      <c r="I70" s="331" t="n"/>
      <c r="J70" s="55" t="n"/>
      <c r="K70" s="50">
        <f>I70+J70</f>
        <v/>
      </c>
      <c r="L70" s="37" t="n"/>
      <c r="M70" s="37" t="n"/>
      <c r="N70" s="35" t="n"/>
      <c r="O70" s="48" t="n"/>
      <c r="P70" s="50">
        <f>N70+O70+L70</f>
        <v/>
      </c>
      <c r="Q70" s="46" t="n"/>
      <c r="R70" s="41" t="n"/>
      <c r="S70" s="47" t="n"/>
      <c r="T70" s="46" t="n"/>
      <c r="U70" s="57" t="n"/>
      <c r="V70" s="41" t="n"/>
      <c r="W70" s="47" t="n"/>
    </row>
    <row r="71" ht="15" customHeight="1">
      <c r="A71" s="39">
        <f>A70+1</f>
        <v/>
      </c>
      <c r="B71" s="672" t="n"/>
      <c r="C71" s="227" t="n"/>
      <c r="D71" s="227" t="n"/>
      <c r="E71" s="266" t="n"/>
      <c r="F71" s="40" t="n"/>
      <c r="G71" s="318" t="n"/>
      <c r="H71" s="318" t="n"/>
      <c r="I71" s="331" t="n"/>
      <c r="J71" s="55" t="n"/>
      <c r="K71" s="50">
        <f>I71+J71</f>
        <v/>
      </c>
      <c r="L71" s="37" t="n"/>
      <c r="M71" s="37" t="n"/>
      <c r="N71" s="35" t="n"/>
      <c r="O71" s="48" t="n"/>
      <c r="P71" s="50">
        <f>N71+O71+L71</f>
        <v/>
      </c>
      <c r="Q71" s="46" t="n"/>
      <c r="R71" s="41" t="n"/>
      <c r="S71" s="47" t="n"/>
      <c r="T71" s="46" t="n"/>
      <c r="U71" s="57" t="n"/>
      <c r="V71" s="41" t="n"/>
      <c r="W71" s="47" t="n"/>
    </row>
    <row r="72" ht="15" customHeight="1">
      <c r="A72" s="39">
        <f>A71+1</f>
        <v/>
      </c>
      <c r="B72" s="672" t="n"/>
      <c r="C72" s="227" t="n"/>
      <c r="D72" s="227" t="n"/>
      <c r="E72" s="266" t="n"/>
      <c r="F72" s="40" t="n"/>
      <c r="G72" s="318" t="n"/>
      <c r="H72" s="318" t="n"/>
      <c r="I72" s="331" t="n"/>
      <c r="J72" s="55" t="n"/>
      <c r="K72" s="50">
        <f>I72+J72</f>
        <v/>
      </c>
      <c r="L72" s="37" t="n"/>
      <c r="M72" s="37" t="n"/>
      <c r="N72" s="35" t="n"/>
      <c r="O72" s="48" t="n"/>
      <c r="P72" s="50">
        <f>N72+O72+L72</f>
        <v/>
      </c>
      <c r="Q72" s="46" t="n"/>
      <c r="R72" s="41" t="n"/>
      <c r="S72" s="47" t="n"/>
      <c r="T72" s="46" t="n"/>
      <c r="U72" s="57" t="n"/>
      <c r="V72" s="41" t="n"/>
      <c r="W72" s="47" t="n"/>
    </row>
    <row r="73" ht="15" customHeight="1">
      <c r="A73" s="39">
        <f>A72+1</f>
        <v/>
      </c>
      <c r="B73" s="672" t="n"/>
      <c r="C73" s="227" t="n"/>
      <c r="D73" s="227" t="n"/>
      <c r="E73" s="266" t="n"/>
      <c r="F73" s="40" t="n"/>
      <c r="G73" s="318" t="n"/>
      <c r="H73" s="318" t="n"/>
      <c r="I73" s="331" t="n"/>
      <c r="J73" s="55" t="n"/>
      <c r="K73" s="50">
        <f>I73+J73</f>
        <v/>
      </c>
      <c r="L73" s="37" t="n"/>
      <c r="M73" s="37" t="n"/>
      <c r="N73" s="35" t="n"/>
      <c r="O73" s="48" t="n"/>
      <c r="P73" s="50">
        <f>N73+O73+L73</f>
        <v/>
      </c>
      <c r="Q73" s="46" t="n"/>
      <c r="R73" s="41" t="n"/>
      <c r="S73" s="47" t="n"/>
      <c r="T73" s="46" t="n"/>
      <c r="U73" s="57" t="n"/>
      <c r="V73" s="41" t="n"/>
      <c r="W73" s="47" t="n"/>
    </row>
    <row r="74" ht="15" customHeight="1">
      <c r="A74" s="39">
        <f>A73+1</f>
        <v/>
      </c>
      <c r="B74" s="672" t="n"/>
      <c r="C74" s="227" t="n"/>
      <c r="D74" s="227" t="n"/>
      <c r="E74" s="266" t="n"/>
      <c r="F74" s="40" t="n"/>
      <c r="G74" s="318" t="n"/>
      <c r="H74" s="318" t="n"/>
      <c r="I74" s="331" t="n"/>
      <c r="J74" s="55" t="n"/>
      <c r="K74" s="50">
        <f>I74+J74</f>
        <v/>
      </c>
      <c r="L74" s="37" t="n"/>
      <c r="M74" s="37" t="n"/>
      <c r="N74" s="35" t="n"/>
      <c r="O74" s="48" t="n"/>
      <c r="P74" s="50">
        <f>N74+O74+L74</f>
        <v/>
      </c>
      <c r="Q74" s="46" t="n"/>
      <c r="R74" s="41" t="n"/>
      <c r="S74" s="47" t="n"/>
      <c r="T74" s="46" t="n"/>
      <c r="U74" s="57" t="n"/>
      <c r="V74" s="41" t="n"/>
      <c r="W74" s="47" t="n"/>
    </row>
    <row r="75" ht="15" customHeight="1">
      <c r="A75" s="39">
        <f>A74+1</f>
        <v/>
      </c>
      <c r="B75" s="672" t="n"/>
      <c r="C75" s="227" t="n"/>
      <c r="D75" s="227" t="n"/>
      <c r="E75" s="266" t="n"/>
      <c r="F75" s="40" t="n"/>
      <c r="G75" s="318" t="n"/>
      <c r="H75" s="318" t="n"/>
      <c r="I75" s="331" t="n"/>
      <c r="J75" s="55" t="n"/>
      <c r="K75" s="50">
        <f>I75+J75</f>
        <v/>
      </c>
      <c r="L75" s="37" t="n"/>
      <c r="M75" s="37" t="n"/>
      <c r="N75" s="35" t="n"/>
      <c r="O75" s="48" t="n"/>
      <c r="P75" s="50">
        <f>N75+O75+L75</f>
        <v/>
      </c>
      <c r="Q75" s="46" t="n"/>
      <c r="R75" s="41" t="n"/>
      <c r="S75" s="47" t="n"/>
      <c r="T75" s="46" t="n"/>
      <c r="U75" s="57" t="n"/>
      <c r="V75" s="41" t="n"/>
      <c r="W75" s="47" t="n"/>
    </row>
    <row r="76" ht="15" customHeight="1">
      <c r="A76" s="39">
        <f>A75+1</f>
        <v/>
      </c>
      <c r="B76" s="672" t="n"/>
      <c r="C76" s="227" t="n"/>
      <c r="D76" s="227" t="n"/>
      <c r="E76" s="266" t="n"/>
      <c r="F76" s="40" t="n"/>
      <c r="G76" s="318" t="n"/>
      <c r="H76" s="318" t="n"/>
      <c r="I76" s="331" t="n"/>
      <c r="J76" s="55" t="n"/>
      <c r="K76" s="50">
        <f>I76+J76</f>
        <v/>
      </c>
      <c r="L76" s="37" t="n"/>
      <c r="M76" s="37" t="n"/>
      <c r="N76" s="35" t="n"/>
      <c r="O76" s="48" t="n"/>
      <c r="P76" s="50">
        <f>N76+O76+L76</f>
        <v/>
      </c>
      <c r="Q76" s="46" t="n"/>
      <c r="R76" s="41" t="n"/>
      <c r="S76" s="47" t="n"/>
      <c r="T76" s="46" t="n"/>
      <c r="U76" s="57" t="n"/>
      <c r="V76" s="41" t="n"/>
      <c r="W76" s="47" t="n"/>
    </row>
    <row r="77" ht="15" customHeight="1">
      <c r="A77" s="39">
        <f>A76+1</f>
        <v/>
      </c>
      <c r="B77" s="672" t="n"/>
      <c r="C77" s="227" t="n"/>
      <c r="D77" s="227" t="n"/>
      <c r="E77" s="266" t="n"/>
      <c r="F77" s="40" t="n"/>
      <c r="G77" s="318" t="n"/>
      <c r="H77" s="318" t="n"/>
      <c r="I77" s="331" t="n"/>
      <c r="J77" s="55" t="n"/>
      <c r="K77" s="50">
        <f>I77+J77</f>
        <v/>
      </c>
      <c r="L77" s="37" t="n"/>
      <c r="M77" s="37" t="n"/>
      <c r="N77" s="35" t="n"/>
      <c r="O77" s="48" t="n"/>
      <c r="P77" s="50">
        <f>N77+O77+L77</f>
        <v/>
      </c>
      <c r="Q77" s="46" t="n"/>
      <c r="R77" s="41" t="n"/>
      <c r="S77" s="47" t="n"/>
      <c r="T77" s="46" t="n"/>
      <c r="U77" s="57" t="n"/>
      <c r="V77" s="41" t="n"/>
      <c r="W77" s="47" t="n"/>
    </row>
    <row r="78" ht="15" customHeight="1">
      <c r="A78" s="39">
        <f>A77+1</f>
        <v/>
      </c>
      <c r="B78" s="672" t="n"/>
      <c r="C78" s="227" t="n"/>
      <c r="D78" s="227" t="n"/>
      <c r="E78" s="266" t="n"/>
      <c r="F78" s="40" t="n"/>
      <c r="G78" s="318" t="n"/>
      <c r="H78" s="318" t="n"/>
      <c r="I78" s="331" t="n"/>
      <c r="J78" s="55" t="n"/>
      <c r="K78" s="50">
        <f>I78+J78</f>
        <v/>
      </c>
      <c r="L78" s="37" t="n"/>
      <c r="M78" s="37" t="n"/>
      <c r="N78" s="35" t="n"/>
      <c r="O78" s="48" t="n"/>
      <c r="P78" s="50">
        <f>N78+O78+L78</f>
        <v/>
      </c>
      <c r="Q78" s="46" t="n"/>
      <c r="R78" s="41" t="n"/>
      <c r="S78" s="47" t="n"/>
      <c r="T78" s="46" t="n"/>
      <c r="U78" s="57" t="n"/>
      <c r="V78" s="41" t="n"/>
      <c r="W78" s="47" t="n"/>
    </row>
    <row r="79" ht="15" customHeight="1">
      <c r="A79" s="39">
        <f>A78+1</f>
        <v/>
      </c>
      <c r="B79" s="672" t="n"/>
      <c r="C79" s="227" t="n"/>
      <c r="D79" s="227" t="n"/>
      <c r="E79" s="266" t="n"/>
      <c r="F79" s="40" t="n"/>
      <c r="G79" s="318" t="n"/>
      <c r="H79" s="318" t="n"/>
      <c r="I79" s="331" t="n"/>
      <c r="J79" s="55" t="n"/>
      <c r="K79" s="50">
        <f>I79+J79</f>
        <v/>
      </c>
      <c r="L79" s="37" t="n"/>
      <c r="M79" s="37" t="n"/>
      <c r="N79" s="35" t="n"/>
      <c r="O79" s="48" t="n"/>
      <c r="P79" s="50">
        <f>N79+O79+L79</f>
        <v/>
      </c>
      <c r="Q79" s="46" t="n"/>
      <c r="R79" s="41" t="n"/>
      <c r="S79" s="47" t="n"/>
      <c r="T79" s="46" t="n"/>
      <c r="U79" s="57" t="n"/>
      <c r="V79" s="41" t="n"/>
      <c r="W79" s="47" t="n"/>
    </row>
    <row r="80" ht="15" customHeight="1">
      <c r="A80" s="39">
        <f>A79+1</f>
        <v/>
      </c>
      <c r="B80" s="672" t="n"/>
      <c r="C80" s="227" t="n"/>
      <c r="D80" s="227" t="n"/>
      <c r="E80" s="266" t="n"/>
      <c r="F80" s="40" t="n"/>
      <c r="G80" s="318" t="n"/>
      <c r="H80" s="318" t="n"/>
      <c r="I80" s="331" t="n"/>
      <c r="J80" s="55" t="n"/>
      <c r="K80" s="50">
        <f>I80+J80</f>
        <v/>
      </c>
      <c r="L80" s="37" t="n"/>
      <c r="M80" s="37" t="n"/>
      <c r="N80" s="35" t="n"/>
      <c r="O80" s="48" t="n"/>
      <c r="P80" s="50">
        <f>N80+O80+L80</f>
        <v/>
      </c>
      <c r="Q80" s="46" t="n"/>
      <c r="R80" s="41" t="n"/>
      <c r="S80" s="47" t="n"/>
      <c r="T80" s="46" t="n"/>
      <c r="U80" s="57" t="n"/>
      <c r="V80" s="41" t="n"/>
      <c r="W80" s="47" t="n"/>
    </row>
    <row r="81" ht="15" customHeight="1">
      <c r="A81" s="39">
        <f>A80+1</f>
        <v/>
      </c>
      <c r="B81" s="672" t="n"/>
      <c r="C81" s="227" t="n"/>
      <c r="D81" s="227" t="n"/>
      <c r="E81" s="266" t="n"/>
      <c r="F81" s="40" t="n"/>
      <c r="G81" s="318" t="n"/>
      <c r="H81" s="318" t="n"/>
      <c r="I81" s="331" t="n"/>
      <c r="J81" s="55" t="n"/>
      <c r="K81" s="50">
        <f>I81+J81</f>
        <v/>
      </c>
      <c r="L81" s="37" t="n"/>
      <c r="M81" s="37" t="n"/>
      <c r="N81" s="35" t="n"/>
      <c r="O81" s="48" t="n"/>
      <c r="P81" s="50">
        <f>N81+O81+L81</f>
        <v/>
      </c>
      <c r="Q81" s="46" t="n"/>
      <c r="R81" s="41" t="n"/>
      <c r="S81" s="47" t="n"/>
      <c r="T81" s="46" t="n"/>
      <c r="U81" s="57" t="n"/>
      <c r="V81" s="41" t="n"/>
      <c r="W81" s="47" t="n"/>
    </row>
    <row r="82" ht="15" customHeight="1">
      <c r="A82" s="39">
        <f>A81+1</f>
        <v/>
      </c>
      <c r="B82" s="672" t="n"/>
      <c r="C82" s="227" t="n"/>
      <c r="D82" s="227" t="n"/>
      <c r="E82" s="266" t="n"/>
      <c r="F82" s="40" t="n"/>
      <c r="G82" s="318" t="n"/>
      <c r="H82" s="318" t="n"/>
      <c r="I82" s="331" t="n"/>
      <c r="J82" s="55" t="n"/>
      <c r="K82" s="50">
        <f>I82+J82</f>
        <v/>
      </c>
      <c r="L82" s="37" t="n"/>
      <c r="M82" s="37" t="n"/>
      <c r="N82" s="35" t="n"/>
      <c r="O82" s="48" t="n"/>
      <c r="P82" s="50">
        <f>N82+O82+L82</f>
        <v/>
      </c>
      <c r="Q82" s="46" t="n"/>
      <c r="R82" s="41" t="n"/>
      <c r="S82" s="47" t="n"/>
      <c r="T82" s="46" t="n"/>
      <c r="U82" s="57" t="n"/>
      <c r="V82" s="41" t="n"/>
      <c r="W82" s="47" t="n"/>
    </row>
    <row r="83" ht="15" customHeight="1">
      <c r="A83" s="39">
        <f>A82+1</f>
        <v/>
      </c>
      <c r="B83" s="672" t="n"/>
      <c r="C83" s="227" t="n"/>
      <c r="D83" s="227" t="n"/>
      <c r="E83" s="266" t="n"/>
      <c r="F83" s="40" t="n"/>
      <c r="G83" s="318" t="n"/>
      <c r="H83" s="318" t="n"/>
      <c r="I83" s="331" t="n"/>
      <c r="J83" s="55" t="n"/>
      <c r="K83" s="50">
        <f>I83+J83</f>
        <v/>
      </c>
      <c r="L83" s="37" t="n"/>
      <c r="M83" s="37" t="n"/>
      <c r="N83" s="35" t="n"/>
      <c r="O83" s="48" t="n"/>
      <c r="P83" s="50">
        <f>N83+O83+L83</f>
        <v/>
      </c>
      <c r="Q83" s="46" t="n"/>
      <c r="R83" s="41" t="n"/>
      <c r="S83" s="47" t="n"/>
      <c r="T83" s="46" t="n"/>
      <c r="U83" s="57" t="n"/>
      <c r="V83" s="41" t="n"/>
      <c r="W83" s="47" t="n"/>
    </row>
    <row r="84" ht="15" customHeight="1">
      <c r="A84" s="39">
        <f>A83+1</f>
        <v/>
      </c>
      <c r="B84" s="672" t="n"/>
      <c r="C84" s="227" t="n"/>
      <c r="D84" s="227" t="n"/>
      <c r="E84" s="266" t="n"/>
      <c r="F84" s="40" t="n"/>
      <c r="G84" s="318" t="n"/>
      <c r="H84" s="318" t="n"/>
      <c r="I84" s="331" t="n"/>
      <c r="J84" s="55" t="n"/>
      <c r="K84" s="50">
        <f>I84+J84</f>
        <v/>
      </c>
      <c r="L84" s="37" t="n"/>
      <c r="M84" s="37" t="n"/>
      <c r="N84" s="35" t="n"/>
      <c r="O84" s="48" t="n"/>
      <c r="P84" s="50">
        <f>N84+O84+L84</f>
        <v/>
      </c>
      <c r="Q84" s="46" t="n"/>
      <c r="R84" s="41" t="n"/>
      <c r="S84" s="47" t="n"/>
      <c r="T84" s="46" t="n"/>
      <c r="U84" s="57" t="n"/>
      <c r="V84" s="41" t="n"/>
      <c r="W84" s="47" t="n"/>
    </row>
    <row r="85" ht="15" customHeight="1">
      <c r="A85" s="39">
        <f>A84+1</f>
        <v/>
      </c>
      <c r="B85" s="672" t="n"/>
      <c r="C85" s="227" t="n"/>
      <c r="D85" s="227" t="n"/>
      <c r="E85" s="266" t="n"/>
      <c r="F85" s="40" t="n"/>
      <c r="G85" s="318" t="n"/>
      <c r="H85" s="318" t="n"/>
      <c r="I85" s="331" t="n"/>
      <c r="J85" s="55" t="n"/>
      <c r="K85" s="50">
        <f>I85+J85</f>
        <v/>
      </c>
      <c r="L85" s="37" t="n"/>
      <c r="M85" s="37" t="n"/>
      <c r="N85" s="35" t="n"/>
      <c r="O85" s="48" t="n"/>
      <c r="P85" s="50">
        <f>N85+O85+L85</f>
        <v/>
      </c>
      <c r="Q85" s="46" t="n"/>
      <c r="R85" s="41" t="n"/>
      <c r="S85" s="47" t="n"/>
      <c r="T85" s="46" t="n"/>
      <c r="U85" s="57" t="n"/>
      <c r="V85" s="41" t="n"/>
      <c r="W85" s="47" t="n"/>
    </row>
    <row r="86" ht="15" customHeight="1">
      <c r="A86" s="39">
        <f>A85+1</f>
        <v/>
      </c>
      <c r="B86" s="672" t="n"/>
      <c r="C86" s="227" t="n"/>
      <c r="D86" s="227" t="n"/>
      <c r="E86" s="266" t="n"/>
      <c r="F86" s="40" t="n"/>
      <c r="G86" s="318" t="n"/>
      <c r="H86" s="318" t="n"/>
      <c r="I86" s="331" t="n"/>
      <c r="J86" s="55" t="n"/>
      <c r="K86" s="50">
        <f>I86+J86</f>
        <v/>
      </c>
      <c r="L86" s="37" t="n"/>
      <c r="M86" s="37" t="n"/>
      <c r="N86" s="35" t="n"/>
      <c r="O86" s="48" t="n"/>
      <c r="P86" s="50">
        <f>N86+O86+L86</f>
        <v/>
      </c>
      <c r="Q86" s="46" t="n"/>
      <c r="R86" s="41" t="n"/>
      <c r="S86" s="47" t="n"/>
      <c r="T86" s="46" t="n"/>
      <c r="U86" s="57" t="n"/>
      <c r="V86" s="41" t="n"/>
      <c r="W86" s="47" t="n"/>
    </row>
    <row r="87" ht="15" customHeight="1">
      <c r="A87" s="39">
        <f>A86+1</f>
        <v/>
      </c>
      <c r="B87" s="672" t="n"/>
      <c r="C87" s="227" t="n"/>
      <c r="D87" s="227" t="n"/>
      <c r="E87" s="266" t="n"/>
      <c r="F87" s="40" t="n"/>
      <c r="G87" s="318" t="n"/>
      <c r="H87" s="318" t="n"/>
      <c r="I87" s="331" t="n"/>
      <c r="J87" s="55" t="n"/>
      <c r="K87" s="50">
        <f>I87+J87</f>
        <v/>
      </c>
      <c r="L87" s="37" t="n"/>
      <c r="M87" s="37" t="n"/>
      <c r="N87" s="35" t="n"/>
      <c r="O87" s="48" t="n"/>
      <c r="P87" s="50">
        <f>N87+O87+L87</f>
        <v/>
      </c>
      <c r="Q87" s="46" t="n"/>
      <c r="R87" s="41" t="n"/>
      <c r="S87" s="47" t="n"/>
      <c r="T87" s="46" t="n"/>
      <c r="U87" s="57" t="n"/>
      <c r="V87" s="41" t="n"/>
      <c r="W87" s="47" t="n"/>
    </row>
    <row r="88" ht="15" customHeight="1">
      <c r="A88" s="39">
        <f>A87+1</f>
        <v/>
      </c>
      <c r="B88" s="672" t="n"/>
      <c r="C88" s="227" t="n"/>
      <c r="D88" s="227" t="n"/>
      <c r="E88" s="266" t="n"/>
      <c r="F88" s="40" t="n"/>
      <c r="G88" s="318" t="n"/>
      <c r="H88" s="318" t="n"/>
      <c r="I88" s="331" t="n"/>
      <c r="J88" s="55" t="n"/>
      <c r="K88" s="50">
        <f>I88+J88</f>
        <v/>
      </c>
      <c r="L88" s="37" t="n"/>
      <c r="M88" s="37" t="n"/>
      <c r="N88" s="35" t="n"/>
      <c r="O88" s="48" t="n"/>
      <c r="P88" s="50">
        <f>N88+O88+L88</f>
        <v/>
      </c>
      <c r="Q88" s="46" t="n"/>
      <c r="R88" s="41" t="n"/>
      <c r="S88" s="47" t="n"/>
      <c r="T88" s="46" t="n"/>
      <c r="U88" s="57" t="n"/>
      <c r="V88" s="41" t="n"/>
      <c r="W88" s="47" t="n"/>
    </row>
    <row r="89" ht="15" customHeight="1">
      <c r="A89" s="39">
        <f>A88+1</f>
        <v/>
      </c>
      <c r="B89" s="672" t="n"/>
      <c r="C89" s="227" t="n"/>
      <c r="D89" s="227" t="n"/>
      <c r="E89" s="266" t="n"/>
      <c r="F89" s="40" t="n"/>
      <c r="G89" s="318" t="n"/>
      <c r="H89" s="318" t="n"/>
      <c r="I89" s="331" t="n"/>
      <c r="J89" s="55" t="n"/>
      <c r="K89" s="50">
        <f>I89+J89</f>
        <v/>
      </c>
      <c r="L89" s="37" t="n"/>
      <c r="M89" s="37" t="n"/>
      <c r="N89" s="35" t="n"/>
      <c r="O89" s="48" t="n"/>
      <c r="P89" s="50">
        <f>N89+O89+L89</f>
        <v/>
      </c>
      <c r="Q89" s="46" t="n"/>
      <c r="R89" s="41" t="n"/>
      <c r="S89" s="47" t="n"/>
      <c r="T89" s="46" t="n"/>
      <c r="U89" s="57" t="n"/>
      <c r="V89" s="41" t="n"/>
      <c r="W89" s="47" t="n"/>
    </row>
    <row r="90" ht="15" customHeight="1">
      <c r="A90" s="39">
        <f>A89+1</f>
        <v/>
      </c>
      <c r="B90" s="672" t="n"/>
      <c r="C90" s="227" t="n"/>
      <c r="D90" s="227" t="n"/>
      <c r="E90" s="266" t="n"/>
      <c r="F90" s="40" t="n"/>
      <c r="G90" s="318" t="n"/>
      <c r="H90" s="318" t="n"/>
      <c r="I90" s="331" t="n"/>
      <c r="J90" s="55" t="n"/>
      <c r="K90" s="50">
        <f>I90+J90</f>
        <v/>
      </c>
      <c r="L90" s="37" t="n"/>
      <c r="M90" s="37" t="n"/>
      <c r="N90" s="35" t="n"/>
      <c r="O90" s="48" t="n"/>
      <c r="P90" s="50">
        <f>N90+O90+L90</f>
        <v/>
      </c>
      <c r="Q90" s="46" t="n"/>
      <c r="R90" s="41" t="n"/>
      <c r="S90" s="47" t="n"/>
      <c r="T90" s="46" t="n"/>
      <c r="U90" s="57" t="n"/>
      <c r="V90" s="41" t="n"/>
      <c r="W90" s="47" t="n"/>
    </row>
    <row r="91" ht="15" customHeight="1">
      <c r="A91" s="39">
        <f>A90+1</f>
        <v/>
      </c>
      <c r="B91" s="672" t="n"/>
      <c r="C91" s="227" t="n"/>
      <c r="D91" s="227" t="n"/>
      <c r="E91" s="266" t="n"/>
      <c r="F91" s="40" t="n"/>
      <c r="G91" s="318" t="n"/>
      <c r="H91" s="318" t="n"/>
      <c r="I91" s="331" t="n"/>
      <c r="J91" s="55" t="n"/>
      <c r="K91" s="50">
        <f>I91+J91</f>
        <v/>
      </c>
      <c r="L91" s="37" t="n"/>
      <c r="M91" s="37" t="n"/>
      <c r="N91" s="35" t="n"/>
      <c r="O91" s="48" t="n"/>
      <c r="P91" s="50">
        <f>N91+O91+L91</f>
        <v/>
      </c>
      <c r="Q91" s="46" t="n"/>
      <c r="R91" s="41" t="n"/>
      <c r="S91" s="47" t="n"/>
      <c r="T91" s="46" t="n"/>
      <c r="U91" s="57" t="n"/>
      <c r="V91" s="41" t="n"/>
      <c r="W91" s="47" t="n"/>
    </row>
    <row r="92" ht="15" customHeight="1">
      <c r="A92" s="39">
        <f>A91+1</f>
        <v/>
      </c>
      <c r="B92" s="672" t="n"/>
      <c r="C92" s="227" t="n"/>
      <c r="D92" s="227" t="n"/>
      <c r="E92" s="266" t="n"/>
      <c r="F92" s="40" t="n"/>
      <c r="G92" s="318" t="n"/>
      <c r="H92" s="318" t="n"/>
      <c r="I92" s="331" t="n"/>
      <c r="J92" s="55" t="n"/>
      <c r="K92" s="50">
        <f>I92+J92</f>
        <v/>
      </c>
      <c r="L92" s="37" t="n"/>
      <c r="M92" s="37" t="n"/>
      <c r="N92" s="35" t="n"/>
      <c r="O92" s="48" t="n"/>
      <c r="P92" s="50">
        <f>N92+O92+L92</f>
        <v/>
      </c>
      <c r="Q92" s="46" t="n"/>
      <c r="R92" s="41" t="n"/>
      <c r="S92" s="47" t="n"/>
      <c r="T92" s="46" t="n"/>
      <c r="U92" s="57" t="n"/>
      <c r="V92" s="41" t="n"/>
      <c r="W92" s="47" t="n"/>
    </row>
    <row r="93" ht="15" customHeight="1">
      <c r="A93" s="39">
        <f>A92+1</f>
        <v/>
      </c>
      <c r="B93" s="672" t="n"/>
      <c r="C93" s="227" t="n"/>
      <c r="D93" s="227" t="n"/>
      <c r="E93" s="266" t="n"/>
      <c r="F93" s="40" t="n"/>
      <c r="G93" s="318" t="n"/>
      <c r="H93" s="318" t="n"/>
      <c r="I93" s="331" t="n"/>
      <c r="J93" s="55" t="n"/>
      <c r="K93" s="50">
        <f>I93+J93</f>
        <v/>
      </c>
      <c r="L93" s="37" t="n"/>
      <c r="M93" s="37" t="n"/>
      <c r="N93" s="35" t="n"/>
      <c r="O93" s="48" t="n"/>
      <c r="P93" s="50">
        <f>N93+O93+L93</f>
        <v/>
      </c>
      <c r="Q93" s="46" t="n"/>
      <c r="R93" s="41" t="n"/>
      <c r="S93" s="47" t="n"/>
      <c r="T93" s="46" t="n"/>
      <c r="U93" s="57" t="n"/>
      <c r="V93" s="41" t="n"/>
      <c r="W93" s="47" t="n"/>
    </row>
    <row r="94" ht="15" customHeight="1">
      <c r="A94" s="39">
        <f>A93+1</f>
        <v/>
      </c>
      <c r="B94" s="672" t="n"/>
      <c r="C94" s="227" t="n"/>
      <c r="D94" s="227" t="n"/>
      <c r="E94" s="266" t="n"/>
      <c r="F94" s="40" t="n"/>
      <c r="G94" s="318" t="n"/>
      <c r="H94" s="318" t="n"/>
      <c r="I94" s="331" t="n"/>
      <c r="J94" s="55" t="n"/>
      <c r="K94" s="50">
        <f>I94+J94</f>
        <v/>
      </c>
      <c r="L94" s="37" t="n"/>
      <c r="M94" s="37" t="n"/>
      <c r="N94" s="35" t="n"/>
      <c r="O94" s="48" t="n"/>
      <c r="P94" s="50">
        <f>N94+O94+L94</f>
        <v/>
      </c>
      <c r="Q94" s="46" t="n"/>
      <c r="R94" s="41" t="n"/>
      <c r="S94" s="47" t="n"/>
      <c r="T94" s="46" t="n"/>
      <c r="U94" s="57" t="n"/>
      <c r="V94" s="41" t="n"/>
      <c r="W94" s="47" t="n"/>
    </row>
    <row r="95" ht="15" customHeight="1">
      <c r="A95" s="39">
        <f>A94+1</f>
        <v/>
      </c>
      <c r="B95" s="672" t="n"/>
      <c r="C95" s="227" t="n"/>
      <c r="D95" s="227" t="n"/>
      <c r="E95" s="266" t="n"/>
      <c r="F95" s="40" t="n"/>
      <c r="G95" s="318" t="n"/>
      <c r="H95" s="318" t="n"/>
      <c r="I95" s="331" t="n"/>
      <c r="J95" s="55" t="n"/>
      <c r="K95" s="50">
        <f>I95+J95</f>
        <v/>
      </c>
      <c r="L95" s="37" t="n"/>
      <c r="M95" s="37" t="n"/>
      <c r="N95" s="35" t="n"/>
      <c r="O95" s="48" t="n"/>
      <c r="P95" s="50">
        <f>N95+O95+L95</f>
        <v/>
      </c>
      <c r="Q95" s="46" t="n"/>
      <c r="R95" s="41" t="n"/>
      <c r="S95" s="47" t="n"/>
      <c r="T95" s="46" t="n"/>
      <c r="U95" s="57" t="n"/>
      <c r="V95" s="41" t="n"/>
      <c r="W95" s="47" t="n"/>
    </row>
    <row r="96" ht="15" customHeight="1">
      <c r="A96" s="39">
        <f>A95+1</f>
        <v/>
      </c>
      <c r="B96" s="672" t="n"/>
      <c r="C96" s="227" t="n"/>
      <c r="D96" s="227" t="n"/>
      <c r="E96" s="266" t="n"/>
      <c r="F96" s="40" t="n"/>
      <c r="G96" s="318" t="n"/>
      <c r="H96" s="318" t="n"/>
      <c r="I96" s="331" t="n"/>
      <c r="J96" s="55" t="n"/>
      <c r="K96" s="50">
        <f>I96+J96</f>
        <v/>
      </c>
      <c r="L96" s="37" t="n"/>
      <c r="M96" s="37" t="n"/>
      <c r="N96" s="35" t="n"/>
      <c r="O96" s="48" t="n"/>
      <c r="P96" s="50">
        <f>N96+O96+L96</f>
        <v/>
      </c>
      <c r="Q96" s="46" t="n"/>
      <c r="R96" s="41" t="n"/>
      <c r="S96" s="47" t="n"/>
      <c r="T96" s="46" t="n"/>
      <c r="U96" s="57" t="n"/>
      <c r="V96" s="41" t="n"/>
      <c r="W96" s="47" t="n"/>
    </row>
    <row r="97" ht="15" customHeight="1">
      <c r="A97" s="39">
        <f>A96+1</f>
        <v/>
      </c>
      <c r="B97" s="672" t="n"/>
      <c r="C97" s="227" t="n"/>
      <c r="D97" s="227" t="n"/>
      <c r="E97" s="266" t="n"/>
      <c r="F97" s="40" t="n"/>
      <c r="G97" s="318" t="n"/>
      <c r="H97" s="318" t="n"/>
      <c r="I97" s="331" t="n"/>
      <c r="J97" s="55" t="n"/>
      <c r="K97" s="50">
        <f>I97+J97</f>
        <v/>
      </c>
      <c r="L97" s="37" t="n"/>
      <c r="M97" s="37" t="n"/>
      <c r="N97" s="35" t="n"/>
      <c r="O97" s="48" t="n"/>
      <c r="P97" s="50">
        <f>N97+O97+L97</f>
        <v/>
      </c>
      <c r="Q97" s="46" t="n"/>
      <c r="R97" s="41" t="n"/>
      <c r="S97" s="47" t="n"/>
      <c r="T97" s="46" t="n"/>
      <c r="U97" s="57" t="n"/>
      <c r="V97" s="41" t="n"/>
      <c r="W97" s="47" t="n"/>
    </row>
    <row r="98" ht="15" customHeight="1">
      <c r="A98" s="39">
        <f>A97+1</f>
        <v/>
      </c>
      <c r="B98" s="672" t="n"/>
      <c r="C98" s="227" t="n"/>
      <c r="D98" s="227" t="n"/>
      <c r="E98" s="266" t="n"/>
      <c r="F98" s="40" t="n"/>
      <c r="G98" s="318" t="n"/>
      <c r="H98" s="318" t="n"/>
      <c r="I98" s="331" t="n"/>
      <c r="J98" s="55" t="n"/>
      <c r="K98" s="50">
        <f>I98+J98</f>
        <v/>
      </c>
      <c r="L98" s="37" t="n"/>
      <c r="M98" s="37" t="n"/>
      <c r="N98" s="35" t="n"/>
      <c r="O98" s="48" t="n"/>
      <c r="P98" s="50">
        <f>N98+O98+L98</f>
        <v/>
      </c>
      <c r="Q98" s="46" t="n"/>
      <c r="R98" s="41" t="n"/>
      <c r="S98" s="47" t="n"/>
      <c r="T98" s="46" t="n"/>
      <c r="U98" s="57" t="n"/>
      <c r="V98" s="41" t="n"/>
      <c r="W98" s="47" t="n"/>
    </row>
    <row r="99" ht="15" customHeight="1">
      <c r="A99" s="39">
        <f>A98+1</f>
        <v/>
      </c>
      <c r="B99" s="672" t="n"/>
      <c r="C99" s="227" t="n"/>
      <c r="D99" s="227" t="n"/>
      <c r="E99" s="266" t="n"/>
      <c r="F99" s="40" t="n"/>
      <c r="G99" s="318" t="n"/>
      <c r="H99" s="318" t="n"/>
      <c r="I99" s="331" t="n"/>
      <c r="J99" s="55" t="n"/>
      <c r="K99" s="50">
        <f>I99+J99</f>
        <v/>
      </c>
      <c r="L99" s="37" t="n"/>
      <c r="M99" s="37" t="n"/>
      <c r="N99" s="35" t="n"/>
      <c r="O99" s="48" t="n"/>
      <c r="P99" s="50">
        <f>N99+O99+L99</f>
        <v/>
      </c>
      <c r="Q99" s="46" t="n"/>
      <c r="R99" s="41" t="n"/>
      <c r="S99" s="47" t="n"/>
      <c r="T99" s="46" t="n"/>
      <c r="U99" s="57" t="n"/>
      <c r="V99" s="41" t="n"/>
      <c r="W99" s="47" t="n"/>
    </row>
    <row r="100" ht="15" customHeight="1">
      <c r="A100" s="39">
        <f>A99+1</f>
        <v/>
      </c>
      <c r="B100" s="672" t="n"/>
      <c r="C100" s="227" t="n"/>
      <c r="D100" s="227" t="n"/>
      <c r="E100" s="266" t="n"/>
      <c r="F100" s="40" t="n"/>
      <c r="G100" s="318" t="n"/>
      <c r="H100" s="318" t="n"/>
      <c r="I100" s="331" t="n"/>
      <c r="J100" s="55" t="n"/>
      <c r="K100" s="50">
        <f>I100+J100</f>
        <v/>
      </c>
      <c r="L100" s="37" t="n"/>
      <c r="M100" s="37" t="n"/>
      <c r="N100" s="35" t="n"/>
      <c r="O100" s="48" t="n"/>
      <c r="P100" s="50">
        <f>N100+O100+L100</f>
        <v/>
      </c>
      <c r="Q100" s="46" t="n"/>
      <c r="R100" s="41" t="n"/>
      <c r="S100" s="47" t="n"/>
      <c r="T100" s="46" t="n"/>
      <c r="U100" s="57" t="n"/>
      <c r="V100" s="41" t="n"/>
      <c r="W100" s="47" t="n"/>
    </row>
    <row r="101" ht="15" customHeight="1">
      <c r="A101" s="39">
        <f>A100+1</f>
        <v/>
      </c>
      <c r="B101" s="672" t="n"/>
      <c r="C101" s="227" t="n"/>
      <c r="D101" s="227" t="n"/>
      <c r="E101" s="266" t="n"/>
      <c r="F101" s="40" t="n"/>
      <c r="G101" s="318" t="n"/>
      <c r="H101" s="318" t="n"/>
      <c r="I101" s="331" t="n"/>
      <c r="J101" s="55" t="n"/>
      <c r="K101" s="50">
        <f>I101+J101</f>
        <v/>
      </c>
      <c r="L101" s="37" t="n"/>
      <c r="M101" s="37" t="n"/>
      <c r="N101" s="35" t="n"/>
      <c r="O101" s="48" t="n"/>
      <c r="P101" s="50">
        <f>N101+O101+L101</f>
        <v/>
      </c>
      <c r="Q101" s="46" t="n"/>
      <c r="R101" s="41" t="n"/>
      <c r="S101" s="47" t="n"/>
      <c r="T101" s="46" t="n"/>
      <c r="U101" s="57" t="n"/>
      <c r="V101" s="41" t="n"/>
      <c r="W101" s="47" t="n"/>
    </row>
    <row r="102" ht="15" customHeight="1">
      <c r="A102" s="39">
        <f>A101+1</f>
        <v/>
      </c>
      <c r="B102" s="672" t="n"/>
      <c r="C102" s="227" t="n"/>
      <c r="D102" s="227" t="n"/>
      <c r="E102" s="266" t="n"/>
      <c r="F102" s="40" t="n"/>
      <c r="G102" s="318" t="n"/>
      <c r="H102" s="318" t="n"/>
      <c r="I102" s="331" t="n"/>
      <c r="J102" s="55" t="n"/>
      <c r="K102" s="50">
        <f>I102+J102</f>
        <v/>
      </c>
      <c r="L102" s="37" t="n"/>
      <c r="M102" s="37" t="n"/>
      <c r="N102" s="35" t="n"/>
      <c r="O102" s="48" t="n"/>
      <c r="P102" s="50">
        <f>N102+O102+L102</f>
        <v/>
      </c>
      <c r="Q102" s="46" t="n"/>
      <c r="R102" s="41" t="n"/>
      <c r="S102" s="47" t="n"/>
      <c r="T102" s="46" t="n"/>
      <c r="U102" s="57" t="n"/>
      <c r="V102" s="41" t="n"/>
      <c r="W102" s="47" t="n"/>
    </row>
    <row r="103" outlineLevel="1" ht="15" customHeight="1">
      <c r="A103" s="39">
        <f>A102+1</f>
        <v/>
      </c>
      <c r="B103" s="672" t="n"/>
      <c r="C103" s="227" t="n"/>
      <c r="D103" s="227" t="n"/>
      <c r="E103" s="266" t="n"/>
      <c r="F103" s="40" t="n"/>
      <c r="G103" s="318" t="n"/>
      <c r="H103" s="318" t="n"/>
      <c r="I103" s="331" t="n"/>
      <c r="J103" s="55" t="n"/>
      <c r="K103" s="50">
        <f>I103+J103</f>
        <v/>
      </c>
      <c r="L103" s="37" t="n"/>
      <c r="M103" s="37" t="n"/>
      <c r="N103" s="35" t="n"/>
      <c r="O103" s="48" t="n"/>
      <c r="P103" s="50">
        <f>N103+O103+L103</f>
        <v/>
      </c>
      <c r="Q103" s="46" t="n"/>
      <c r="R103" s="41" t="n"/>
      <c r="S103" s="47" t="n"/>
      <c r="T103" s="46" t="n"/>
      <c r="U103" s="57" t="n"/>
      <c r="V103" s="41" t="n"/>
      <c r="W103" s="47" t="n"/>
    </row>
    <row r="104" outlineLevel="1" ht="15" customHeight="1">
      <c r="A104" s="39">
        <f>A103+1</f>
        <v/>
      </c>
      <c r="B104" s="672" t="n"/>
      <c r="C104" s="227" t="n"/>
      <c r="D104" s="227" t="n"/>
      <c r="E104" s="266" t="n"/>
      <c r="F104" s="40" t="n"/>
      <c r="G104" s="318" t="n"/>
      <c r="H104" s="318" t="n"/>
      <c r="I104" s="331" t="n"/>
      <c r="J104" s="55" t="n"/>
      <c r="K104" s="50">
        <f>I104+J104</f>
        <v/>
      </c>
      <c r="L104" s="37" t="n"/>
      <c r="M104" s="37" t="n"/>
      <c r="N104" s="35" t="n"/>
      <c r="O104" s="48" t="n"/>
      <c r="P104" s="50">
        <f>N104+O104+L104</f>
        <v/>
      </c>
      <c r="Q104" s="46" t="n"/>
      <c r="R104" s="41" t="n"/>
      <c r="S104" s="47" t="n"/>
      <c r="T104" s="46" t="n"/>
      <c r="U104" s="57" t="n"/>
      <c r="V104" s="41" t="n"/>
      <c r="W104" s="47" t="n"/>
    </row>
    <row r="105" outlineLevel="1" ht="15" customHeight="1">
      <c r="A105" s="39">
        <f>A104+1</f>
        <v/>
      </c>
      <c r="B105" s="672" t="n"/>
      <c r="C105" s="227" t="n"/>
      <c r="D105" s="227" t="n"/>
      <c r="E105" s="266" t="n"/>
      <c r="F105" s="40" t="n"/>
      <c r="G105" s="318" t="n"/>
      <c r="H105" s="318" t="n"/>
      <c r="I105" s="331" t="n"/>
      <c r="J105" s="55" t="n"/>
      <c r="K105" s="50">
        <f>I105+J105</f>
        <v/>
      </c>
      <c r="L105" s="37" t="n"/>
      <c r="M105" s="37" t="n"/>
      <c r="N105" s="35" t="n"/>
      <c r="O105" s="48" t="n"/>
      <c r="P105" s="50">
        <f>N105+O105+L105</f>
        <v/>
      </c>
      <c r="Q105" s="46" t="n"/>
      <c r="R105" s="41" t="n"/>
      <c r="S105" s="47" t="n"/>
      <c r="T105" s="46" t="n"/>
      <c r="U105" s="57" t="n"/>
      <c r="V105" s="41" t="n"/>
      <c r="W105" s="47" t="n"/>
    </row>
    <row r="106" outlineLevel="1" ht="15" customHeight="1">
      <c r="A106" s="39">
        <f>A105+1</f>
        <v/>
      </c>
      <c r="B106" s="672" t="n"/>
      <c r="C106" s="227" t="n"/>
      <c r="D106" s="227" t="n"/>
      <c r="E106" s="266" t="n"/>
      <c r="F106" s="40" t="n"/>
      <c r="G106" s="318" t="n"/>
      <c r="H106" s="318" t="n"/>
      <c r="I106" s="331" t="n"/>
      <c r="J106" s="55" t="n"/>
      <c r="K106" s="50">
        <f>I106+J106</f>
        <v/>
      </c>
      <c r="L106" s="37" t="n"/>
      <c r="M106" s="37" t="n"/>
      <c r="N106" s="35" t="n"/>
      <c r="O106" s="48" t="n"/>
      <c r="P106" s="50">
        <f>N106+O106+L106</f>
        <v/>
      </c>
      <c r="Q106" s="46" t="n"/>
      <c r="R106" s="41" t="n"/>
      <c r="S106" s="47" t="n"/>
      <c r="T106" s="46" t="n"/>
      <c r="U106" s="57" t="n"/>
      <c r="V106" s="41" t="n"/>
      <c r="W106" s="47" t="n"/>
    </row>
    <row r="107" outlineLevel="1" ht="15" customHeight="1">
      <c r="A107" s="39">
        <f>A106+1</f>
        <v/>
      </c>
      <c r="B107" s="672" t="n"/>
      <c r="C107" s="227" t="n"/>
      <c r="D107" s="227" t="n"/>
      <c r="E107" s="266" t="n"/>
      <c r="F107" s="40" t="n"/>
      <c r="G107" s="318" t="n"/>
      <c r="H107" s="318" t="n"/>
      <c r="I107" s="331" t="n"/>
      <c r="J107" s="55" t="n"/>
      <c r="K107" s="50">
        <f>I107+J107</f>
        <v/>
      </c>
      <c r="L107" s="37" t="n"/>
      <c r="M107" s="37" t="n"/>
      <c r="N107" s="35" t="n"/>
      <c r="O107" s="48" t="n"/>
      <c r="P107" s="50">
        <f>N107+O107+L107</f>
        <v/>
      </c>
      <c r="Q107" s="46" t="n"/>
      <c r="R107" s="41" t="n"/>
      <c r="S107" s="47" t="n"/>
      <c r="T107" s="46" t="n"/>
      <c r="U107" s="57" t="n"/>
      <c r="V107" s="41" t="n"/>
      <c r="W107" s="47" t="n"/>
    </row>
    <row r="108" outlineLevel="1" ht="15" customHeight="1">
      <c r="A108" s="39">
        <f>A107+1</f>
        <v/>
      </c>
      <c r="B108" s="672" t="n"/>
      <c r="C108" s="227" t="n"/>
      <c r="D108" s="227" t="n"/>
      <c r="E108" s="266" t="n"/>
      <c r="F108" s="40" t="n"/>
      <c r="G108" s="318" t="n"/>
      <c r="H108" s="318" t="n"/>
      <c r="I108" s="331" t="n"/>
      <c r="J108" s="55" t="n"/>
      <c r="K108" s="50">
        <f>I108+J108</f>
        <v/>
      </c>
      <c r="L108" s="37" t="n"/>
      <c r="M108" s="37" t="n"/>
      <c r="N108" s="35" t="n"/>
      <c r="O108" s="48" t="n"/>
      <c r="P108" s="50">
        <f>N108+O108+L108</f>
        <v/>
      </c>
      <c r="Q108" s="46" t="n"/>
      <c r="R108" s="41" t="n"/>
      <c r="S108" s="47" t="n"/>
      <c r="T108" s="46" t="n"/>
      <c r="U108" s="57" t="n"/>
      <c r="V108" s="41" t="n"/>
      <c r="W108" s="47" t="n"/>
    </row>
    <row r="109" outlineLevel="1" ht="15" customHeight="1">
      <c r="A109" s="39">
        <f>A108+1</f>
        <v/>
      </c>
      <c r="B109" s="672" t="n"/>
      <c r="C109" s="227" t="n"/>
      <c r="D109" s="227" t="n"/>
      <c r="E109" s="266" t="n"/>
      <c r="F109" s="40" t="n"/>
      <c r="G109" s="318" t="n"/>
      <c r="H109" s="318" t="n"/>
      <c r="I109" s="331" t="n"/>
      <c r="J109" s="55" t="n"/>
      <c r="K109" s="50">
        <f>I109+J109</f>
        <v/>
      </c>
      <c r="L109" s="37" t="n"/>
      <c r="M109" s="37" t="n"/>
      <c r="N109" s="35" t="n"/>
      <c r="O109" s="48" t="n"/>
      <c r="P109" s="50">
        <f>N109+O109+L109</f>
        <v/>
      </c>
      <c r="Q109" s="46" t="n"/>
      <c r="R109" s="41" t="n"/>
      <c r="S109" s="47" t="n"/>
      <c r="T109" s="46" t="n"/>
      <c r="U109" s="57" t="n"/>
      <c r="V109" s="41" t="n"/>
      <c r="W109" s="47" t="n"/>
    </row>
    <row r="110" outlineLevel="1" ht="15" customHeight="1">
      <c r="A110" s="39">
        <f>A109+1</f>
        <v/>
      </c>
      <c r="B110" s="672" t="n"/>
      <c r="C110" s="227" t="n"/>
      <c r="D110" s="227" t="n"/>
      <c r="E110" s="266" t="n"/>
      <c r="F110" s="40" t="n"/>
      <c r="G110" s="318" t="n"/>
      <c r="H110" s="318" t="n"/>
      <c r="I110" s="331" t="n"/>
      <c r="J110" s="55" t="n"/>
      <c r="K110" s="50">
        <f>I110+J110</f>
        <v/>
      </c>
      <c r="L110" s="37" t="n"/>
      <c r="M110" s="37" t="n"/>
      <c r="N110" s="35" t="n"/>
      <c r="O110" s="48" t="n"/>
      <c r="P110" s="50">
        <f>N110+O110+L110</f>
        <v/>
      </c>
      <c r="Q110" s="46" t="n"/>
      <c r="R110" s="41" t="n"/>
      <c r="S110" s="47" t="n"/>
      <c r="T110" s="46" t="n"/>
      <c r="U110" s="57" t="n"/>
      <c r="V110" s="41" t="n"/>
      <c r="W110" s="47" t="n"/>
    </row>
    <row r="111" outlineLevel="1" ht="15" customHeight="1">
      <c r="A111" s="39">
        <f>A110+1</f>
        <v/>
      </c>
      <c r="B111" s="672" t="n"/>
      <c r="C111" s="227" t="n"/>
      <c r="D111" s="227" t="n"/>
      <c r="E111" s="266" t="n"/>
      <c r="F111" s="40" t="n"/>
      <c r="G111" s="318" t="n"/>
      <c r="H111" s="318" t="n"/>
      <c r="I111" s="331" t="n"/>
      <c r="J111" s="55" t="n"/>
      <c r="K111" s="50">
        <f>I111+J111</f>
        <v/>
      </c>
      <c r="L111" s="37" t="n"/>
      <c r="M111" s="37" t="n"/>
      <c r="N111" s="35" t="n"/>
      <c r="O111" s="48" t="n"/>
      <c r="P111" s="50">
        <f>N111+O111+L111</f>
        <v/>
      </c>
      <c r="Q111" s="46" t="n"/>
      <c r="R111" s="41" t="n"/>
      <c r="S111" s="47" t="n"/>
      <c r="T111" s="46" t="n"/>
      <c r="U111" s="57" t="n"/>
      <c r="V111" s="41" t="n"/>
      <c r="W111" s="47" t="n"/>
    </row>
    <row r="112" outlineLevel="1" ht="15" customHeight="1">
      <c r="A112" s="39">
        <f>A111+1</f>
        <v/>
      </c>
      <c r="B112" s="672" t="n"/>
      <c r="C112" s="227" t="n"/>
      <c r="D112" s="227" t="n"/>
      <c r="E112" s="266" t="n"/>
      <c r="F112" s="40" t="n"/>
      <c r="G112" s="318" t="n"/>
      <c r="H112" s="318" t="n"/>
      <c r="I112" s="331" t="n"/>
      <c r="J112" s="55" t="n"/>
      <c r="K112" s="50">
        <f>I112+J112</f>
        <v/>
      </c>
      <c r="L112" s="37" t="n"/>
      <c r="M112" s="37" t="n"/>
      <c r="N112" s="35" t="n"/>
      <c r="O112" s="48" t="n"/>
      <c r="P112" s="50">
        <f>N112+O112+L112</f>
        <v/>
      </c>
      <c r="Q112" s="46" t="n"/>
      <c r="R112" s="41" t="n"/>
      <c r="S112" s="47" t="n"/>
      <c r="T112" s="46" t="n"/>
      <c r="U112" s="57" t="n"/>
      <c r="V112" s="41" t="n"/>
      <c r="W112" s="47" t="n"/>
    </row>
    <row r="113" outlineLevel="1" ht="15" customHeight="1">
      <c r="A113" s="39">
        <f>A112+1</f>
        <v/>
      </c>
      <c r="B113" s="672" t="n"/>
      <c r="C113" s="227" t="n"/>
      <c r="D113" s="227" t="n"/>
      <c r="E113" s="266" t="n"/>
      <c r="F113" s="40" t="n"/>
      <c r="G113" s="318" t="n"/>
      <c r="H113" s="318" t="n"/>
      <c r="I113" s="331" t="n"/>
      <c r="J113" s="55" t="n"/>
      <c r="K113" s="50">
        <f>I113+J113</f>
        <v/>
      </c>
      <c r="L113" s="37" t="n"/>
      <c r="M113" s="37" t="n"/>
      <c r="N113" s="35" t="n"/>
      <c r="O113" s="48" t="n"/>
      <c r="P113" s="50">
        <f>N113+O113+L113</f>
        <v/>
      </c>
      <c r="Q113" s="46" t="n"/>
      <c r="R113" s="41" t="n"/>
      <c r="S113" s="47" t="n"/>
      <c r="T113" s="46" t="n"/>
      <c r="U113" s="57" t="n"/>
      <c r="V113" s="41" t="n"/>
      <c r="W113" s="47" t="n"/>
    </row>
    <row r="114" outlineLevel="1" ht="15" customHeight="1">
      <c r="A114" s="39">
        <f>A113+1</f>
        <v/>
      </c>
      <c r="B114" s="672" t="n"/>
      <c r="C114" s="227" t="n"/>
      <c r="D114" s="227" t="n"/>
      <c r="E114" s="266" t="n"/>
      <c r="F114" s="40" t="n"/>
      <c r="G114" s="318" t="n"/>
      <c r="H114" s="318" t="n"/>
      <c r="I114" s="331" t="n"/>
      <c r="J114" s="55" t="n"/>
      <c r="K114" s="50">
        <f>I114+J114</f>
        <v/>
      </c>
      <c r="L114" s="37" t="n"/>
      <c r="M114" s="37" t="n"/>
      <c r="N114" s="35" t="n"/>
      <c r="O114" s="48" t="n"/>
      <c r="P114" s="50">
        <f>N114+O114+L114</f>
        <v/>
      </c>
      <c r="Q114" s="46" t="n"/>
      <c r="R114" s="41" t="n"/>
      <c r="S114" s="47" t="n"/>
      <c r="T114" s="46" t="n"/>
      <c r="U114" s="57" t="n"/>
      <c r="V114" s="41" t="n"/>
      <c r="W114" s="47" t="n"/>
    </row>
    <row r="115" outlineLevel="1" ht="15" customHeight="1">
      <c r="A115" s="39">
        <f>A114+1</f>
        <v/>
      </c>
      <c r="B115" s="672" t="n"/>
      <c r="C115" s="227" t="n"/>
      <c r="D115" s="227" t="n"/>
      <c r="E115" s="266" t="n"/>
      <c r="F115" s="40" t="n"/>
      <c r="G115" s="318" t="n"/>
      <c r="H115" s="318" t="n"/>
      <c r="I115" s="331" t="n"/>
      <c r="J115" s="55" t="n"/>
      <c r="K115" s="50">
        <f>I115+J115</f>
        <v/>
      </c>
      <c r="L115" s="37" t="n"/>
      <c r="M115" s="37" t="n"/>
      <c r="N115" s="35" t="n"/>
      <c r="O115" s="48" t="n"/>
      <c r="P115" s="50">
        <f>N115+O115+L115</f>
        <v/>
      </c>
      <c r="Q115" s="46" t="n"/>
      <c r="R115" s="41" t="n"/>
      <c r="S115" s="47" t="n"/>
      <c r="T115" s="46" t="n"/>
      <c r="U115" s="57" t="n"/>
      <c r="V115" s="41" t="n"/>
      <c r="W115" s="47" t="n"/>
    </row>
    <row r="116" outlineLevel="1" ht="15" customHeight="1">
      <c r="A116" s="39">
        <f>A115+1</f>
        <v/>
      </c>
      <c r="B116" s="672" t="n"/>
      <c r="C116" s="227" t="n"/>
      <c r="D116" s="227" t="n"/>
      <c r="E116" s="266" t="n"/>
      <c r="F116" s="40" t="n"/>
      <c r="G116" s="318" t="n"/>
      <c r="H116" s="318" t="n"/>
      <c r="I116" s="331" t="n"/>
      <c r="J116" s="55" t="n"/>
      <c r="K116" s="50">
        <f>I116+J116</f>
        <v/>
      </c>
      <c r="L116" s="37" t="n"/>
      <c r="M116" s="37" t="n"/>
      <c r="N116" s="35" t="n"/>
      <c r="O116" s="48" t="n"/>
      <c r="P116" s="50">
        <f>N116+O116+L116</f>
        <v/>
      </c>
      <c r="Q116" s="46" t="n"/>
      <c r="R116" s="41" t="n"/>
      <c r="S116" s="47" t="n"/>
      <c r="T116" s="46" t="n"/>
      <c r="U116" s="57" t="n"/>
      <c r="V116" s="41" t="n"/>
      <c r="W116" s="47" t="n"/>
    </row>
    <row r="117" outlineLevel="1" ht="15" customHeight="1">
      <c r="A117" s="39">
        <f>A116+1</f>
        <v/>
      </c>
      <c r="B117" s="672" t="n"/>
      <c r="C117" s="227" t="n"/>
      <c r="D117" s="227" t="n"/>
      <c r="E117" s="266" t="n"/>
      <c r="F117" s="40" t="n"/>
      <c r="G117" s="318" t="n"/>
      <c r="H117" s="318" t="n"/>
      <c r="I117" s="331" t="n"/>
      <c r="J117" s="55" t="n"/>
      <c r="K117" s="50">
        <f>I117+J117</f>
        <v/>
      </c>
      <c r="L117" s="37" t="n"/>
      <c r="M117" s="37" t="n"/>
      <c r="N117" s="35" t="n"/>
      <c r="O117" s="48" t="n"/>
      <c r="P117" s="50">
        <f>N117+O117+L117</f>
        <v/>
      </c>
      <c r="Q117" s="46" t="n"/>
      <c r="R117" s="41" t="n"/>
      <c r="S117" s="47" t="n"/>
      <c r="T117" s="46" t="n"/>
      <c r="U117" s="57" t="n"/>
      <c r="V117" s="41" t="n"/>
      <c r="W117" s="47" t="n"/>
    </row>
    <row r="118" outlineLevel="1" ht="15" customHeight="1">
      <c r="A118" s="39">
        <f>A117+1</f>
        <v/>
      </c>
      <c r="B118" s="672" t="n"/>
      <c r="C118" s="227" t="n"/>
      <c r="D118" s="227" t="n"/>
      <c r="E118" s="266" t="n"/>
      <c r="F118" s="40" t="n"/>
      <c r="G118" s="318" t="n"/>
      <c r="H118" s="318" t="n"/>
      <c r="I118" s="331" t="n"/>
      <c r="J118" s="55" t="n"/>
      <c r="K118" s="50">
        <f>I118+J118</f>
        <v/>
      </c>
      <c r="L118" s="37" t="n"/>
      <c r="M118" s="37" t="n"/>
      <c r="N118" s="35" t="n"/>
      <c r="O118" s="48" t="n"/>
      <c r="P118" s="50">
        <f>N118+O118+L118</f>
        <v/>
      </c>
      <c r="Q118" s="46" t="n"/>
      <c r="R118" s="41" t="n"/>
      <c r="S118" s="47" t="n"/>
      <c r="T118" s="46" t="n"/>
      <c r="U118" s="57" t="n"/>
      <c r="V118" s="41" t="n"/>
      <c r="W118" s="47" t="n"/>
    </row>
    <row r="119" outlineLevel="1" ht="15" customHeight="1">
      <c r="A119" s="39">
        <f>A118+1</f>
        <v/>
      </c>
      <c r="B119" s="672" t="n"/>
      <c r="C119" s="227" t="n"/>
      <c r="D119" s="227" t="n"/>
      <c r="E119" s="266" t="n"/>
      <c r="F119" s="40" t="n"/>
      <c r="G119" s="318" t="n"/>
      <c r="H119" s="318" t="n"/>
      <c r="I119" s="331" t="n"/>
      <c r="J119" s="55" t="n"/>
      <c r="K119" s="50">
        <f>I119+J119</f>
        <v/>
      </c>
      <c r="L119" s="37" t="n"/>
      <c r="M119" s="37" t="n"/>
      <c r="N119" s="35" t="n"/>
      <c r="O119" s="48" t="n"/>
      <c r="P119" s="50">
        <f>N119+O119+L119</f>
        <v/>
      </c>
      <c r="Q119" s="46" t="n"/>
      <c r="R119" s="41" t="n"/>
      <c r="S119" s="47" t="n"/>
      <c r="T119" s="46" t="n"/>
      <c r="U119" s="57" t="n"/>
      <c r="V119" s="41" t="n"/>
      <c r="W119" s="47" t="n"/>
    </row>
    <row r="120" outlineLevel="1" ht="15" customHeight="1">
      <c r="A120" s="39">
        <f>A119+1</f>
        <v/>
      </c>
      <c r="B120" s="672" t="n"/>
      <c r="C120" s="227" t="n"/>
      <c r="D120" s="227" t="n"/>
      <c r="E120" s="266" t="n"/>
      <c r="F120" s="40" t="n"/>
      <c r="G120" s="318" t="n"/>
      <c r="H120" s="318" t="n"/>
      <c r="I120" s="331" t="n"/>
      <c r="J120" s="55" t="n"/>
      <c r="K120" s="50">
        <f>I120+J120</f>
        <v/>
      </c>
      <c r="L120" s="37" t="n"/>
      <c r="M120" s="37" t="n"/>
      <c r="N120" s="35" t="n"/>
      <c r="O120" s="48" t="n"/>
      <c r="P120" s="50">
        <f>N120+O120+L120</f>
        <v/>
      </c>
      <c r="Q120" s="46" t="n"/>
      <c r="R120" s="41" t="n"/>
      <c r="S120" s="47" t="n"/>
      <c r="T120" s="46" t="n"/>
      <c r="U120" s="57" t="n"/>
      <c r="V120" s="41" t="n"/>
      <c r="W120" s="47" t="n"/>
    </row>
    <row r="121" outlineLevel="1" ht="15" customHeight="1">
      <c r="A121" s="39">
        <f>A120+1</f>
        <v/>
      </c>
      <c r="B121" s="672" t="n"/>
      <c r="C121" s="227" t="n"/>
      <c r="D121" s="227" t="n"/>
      <c r="E121" s="266" t="n"/>
      <c r="F121" s="40" t="n"/>
      <c r="G121" s="318" t="n"/>
      <c r="H121" s="318" t="n"/>
      <c r="I121" s="331" t="n"/>
      <c r="J121" s="55" t="n"/>
      <c r="K121" s="50">
        <f>I121+J121</f>
        <v/>
      </c>
      <c r="L121" s="37" t="n"/>
      <c r="M121" s="37" t="n"/>
      <c r="N121" s="35" t="n"/>
      <c r="O121" s="48" t="n"/>
      <c r="P121" s="50">
        <f>N121+O121+L121</f>
        <v/>
      </c>
      <c r="Q121" s="46" t="n"/>
      <c r="R121" s="41" t="n"/>
      <c r="S121" s="47" t="n"/>
      <c r="T121" s="46" t="n"/>
      <c r="U121" s="57" t="n"/>
      <c r="V121" s="41" t="n"/>
      <c r="W121" s="47" t="n"/>
    </row>
    <row r="122" outlineLevel="1" ht="15" customHeight="1">
      <c r="A122" s="39">
        <f>A121+1</f>
        <v/>
      </c>
      <c r="B122" s="672" t="n"/>
      <c r="C122" s="227" t="n"/>
      <c r="D122" s="227" t="n"/>
      <c r="E122" s="266" t="n"/>
      <c r="F122" s="40" t="n"/>
      <c r="G122" s="318" t="n"/>
      <c r="H122" s="318" t="n"/>
      <c r="I122" s="331" t="n"/>
      <c r="J122" s="55" t="n"/>
      <c r="K122" s="50">
        <f>I122+J122</f>
        <v/>
      </c>
      <c r="L122" s="37" t="n"/>
      <c r="M122" s="37" t="n"/>
      <c r="N122" s="35" t="n"/>
      <c r="O122" s="48" t="n"/>
      <c r="P122" s="50">
        <f>N122+O122+L122</f>
        <v/>
      </c>
      <c r="Q122" s="46" t="n"/>
      <c r="R122" s="41" t="n"/>
      <c r="S122" s="47" t="n"/>
      <c r="T122" s="46" t="n"/>
      <c r="U122" s="57" t="n"/>
      <c r="V122" s="41" t="n"/>
      <c r="W122" s="47" t="n"/>
    </row>
    <row r="123" outlineLevel="1" ht="15" customHeight="1">
      <c r="A123" s="39">
        <f>A122+1</f>
        <v/>
      </c>
      <c r="B123" s="672" t="n"/>
      <c r="C123" s="227" t="n"/>
      <c r="D123" s="227" t="n"/>
      <c r="E123" s="266" t="n"/>
      <c r="F123" s="40" t="n"/>
      <c r="G123" s="318" t="n"/>
      <c r="H123" s="318" t="n"/>
      <c r="I123" s="331" t="n"/>
      <c r="J123" s="55" t="n"/>
      <c r="K123" s="50">
        <f>I123+J123</f>
        <v/>
      </c>
      <c r="L123" s="37" t="n"/>
      <c r="M123" s="37" t="n"/>
      <c r="N123" s="35" t="n"/>
      <c r="O123" s="48" t="n"/>
      <c r="P123" s="50">
        <f>N123+O123+L123</f>
        <v/>
      </c>
      <c r="Q123" s="46" t="n"/>
      <c r="R123" s="41" t="n"/>
      <c r="S123" s="47" t="n"/>
      <c r="T123" s="46" t="n"/>
      <c r="U123" s="57" t="n"/>
      <c r="V123" s="41" t="n"/>
      <c r="W123" s="47" t="n"/>
    </row>
    <row r="124" outlineLevel="1" ht="15" customHeight="1">
      <c r="A124" s="39">
        <f>A123+1</f>
        <v/>
      </c>
      <c r="B124" s="672" t="n"/>
      <c r="C124" s="227" t="n"/>
      <c r="D124" s="227" t="n"/>
      <c r="E124" s="266" t="n"/>
      <c r="F124" s="40" t="n"/>
      <c r="G124" s="318" t="n"/>
      <c r="H124" s="318" t="n"/>
      <c r="I124" s="331" t="n"/>
      <c r="J124" s="55" t="n"/>
      <c r="K124" s="50">
        <f>I124+J124</f>
        <v/>
      </c>
      <c r="L124" s="37" t="n"/>
      <c r="M124" s="37" t="n"/>
      <c r="N124" s="35" t="n"/>
      <c r="O124" s="48" t="n"/>
      <c r="P124" s="50">
        <f>N124+O124+L124</f>
        <v/>
      </c>
      <c r="Q124" s="46" t="n"/>
      <c r="R124" s="41" t="n"/>
      <c r="S124" s="47" t="n"/>
      <c r="T124" s="46" t="n"/>
      <c r="U124" s="57" t="n"/>
      <c r="V124" s="41" t="n"/>
      <c r="W124" s="47" t="n"/>
    </row>
    <row r="125" outlineLevel="1" ht="15" customHeight="1">
      <c r="A125" s="39">
        <f>A124+1</f>
        <v/>
      </c>
      <c r="B125" s="672" t="n"/>
      <c r="C125" s="227" t="n"/>
      <c r="D125" s="227" t="n"/>
      <c r="E125" s="266" t="n"/>
      <c r="F125" s="40" t="n"/>
      <c r="G125" s="318" t="n"/>
      <c r="H125" s="318" t="n"/>
      <c r="I125" s="331" t="n"/>
      <c r="J125" s="55" t="n"/>
      <c r="K125" s="50">
        <f>I125+J125</f>
        <v/>
      </c>
      <c r="L125" s="37" t="n"/>
      <c r="M125" s="37" t="n"/>
      <c r="N125" s="35" t="n"/>
      <c r="O125" s="48" t="n"/>
      <c r="P125" s="50">
        <f>N125+O125+L125</f>
        <v/>
      </c>
      <c r="Q125" s="46" t="n"/>
      <c r="R125" s="41" t="n"/>
      <c r="S125" s="47" t="n"/>
      <c r="T125" s="46" t="n"/>
      <c r="U125" s="57" t="n"/>
      <c r="V125" s="41" t="n"/>
      <c r="W125" s="47" t="n"/>
    </row>
    <row r="126" outlineLevel="1" ht="15" customHeight="1">
      <c r="A126" s="39">
        <f>A125+1</f>
        <v/>
      </c>
      <c r="B126" s="672" t="n"/>
      <c r="C126" s="227" t="n"/>
      <c r="D126" s="227" t="n"/>
      <c r="E126" s="266" t="n"/>
      <c r="F126" s="40" t="n"/>
      <c r="G126" s="318" t="n"/>
      <c r="H126" s="318" t="n"/>
      <c r="I126" s="331" t="n"/>
      <c r="J126" s="55" t="n"/>
      <c r="K126" s="50">
        <f>I126+J126</f>
        <v/>
      </c>
      <c r="L126" s="37" t="n"/>
      <c r="M126" s="37" t="n"/>
      <c r="N126" s="35" t="n"/>
      <c r="O126" s="48" t="n"/>
      <c r="P126" s="50">
        <f>N126+O126+L126</f>
        <v/>
      </c>
      <c r="Q126" s="46" t="n"/>
      <c r="R126" s="41" t="n"/>
      <c r="S126" s="47" t="n"/>
      <c r="T126" s="46" t="n"/>
      <c r="U126" s="57" t="n"/>
      <c r="V126" s="41" t="n"/>
      <c r="W126" s="47" t="n"/>
    </row>
    <row r="127" outlineLevel="1" ht="15" customHeight="1">
      <c r="A127" s="39">
        <f>A126+1</f>
        <v/>
      </c>
      <c r="B127" s="672" t="n"/>
      <c r="C127" s="227" t="n"/>
      <c r="D127" s="227" t="n"/>
      <c r="E127" s="266" t="n"/>
      <c r="F127" s="40" t="n"/>
      <c r="G127" s="318" t="n"/>
      <c r="H127" s="318" t="n"/>
      <c r="I127" s="331" t="n"/>
      <c r="J127" s="55" t="n"/>
      <c r="K127" s="50">
        <f>I127+J127</f>
        <v/>
      </c>
      <c r="L127" s="37" t="n"/>
      <c r="M127" s="37" t="n"/>
      <c r="N127" s="35" t="n"/>
      <c r="O127" s="48" t="n"/>
      <c r="P127" s="50">
        <f>N127+O127+L127</f>
        <v/>
      </c>
      <c r="Q127" s="46" t="n"/>
      <c r="R127" s="41" t="n"/>
      <c r="S127" s="47" t="n"/>
      <c r="T127" s="46" t="n"/>
      <c r="U127" s="57" t="n"/>
      <c r="V127" s="41" t="n"/>
      <c r="W127" s="47" t="n"/>
    </row>
    <row r="128" outlineLevel="1" ht="15" customHeight="1">
      <c r="A128" s="39">
        <f>A127+1</f>
        <v/>
      </c>
      <c r="B128" s="672" t="n"/>
      <c r="C128" s="227" t="n"/>
      <c r="D128" s="227" t="n"/>
      <c r="E128" s="266" t="n"/>
      <c r="F128" s="40" t="n"/>
      <c r="G128" s="318" t="n"/>
      <c r="H128" s="318" t="n"/>
      <c r="I128" s="55" t="n"/>
      <c r="J128" s="55" t="n"/>
      <c r="K128" s="50">
        <f>I128+J128</f>
        <v/>
      </c>
      <c r="L128" s="37" t="n"/>
      <c r="M128" s="37" t="n"/>
      <c r="N128" s="35" t="n"/>
      <c r="O128" s="48" t="n"/>
      <c r="P128" s="50">
        <f>N128+O128+L128</f>
        <v/>
      </c>
      <c r="Q128" s="46" t="n"/>
      <c r="R128" s="41" t="n"/>
      <c r="S128" s="47" t="n"/>
      <c r="T128" s="46" t="n"/>
      <c r="U128" s="57" t="n"/>
      <c r="V128" s="41" t="n"/>
      <c r="W128" s="47" t="n"/>
    </row>
    <row r="129" outlineLevel="1" ht="15" customHeight="1">
      <c r="A129" s="39">
        <f>A128+1</f>
        <v/>
      </c>
      <c r="B129" s="672" t="n"/>
      <c r="C129" s="227" t="n"/>
      <c r="D129" s="227" t="n"/>
      <c r="E129" s="266" t="n"/>
      <c r="F129" s="40" t="n"/>
      <c r="G129" s="318" t="n"/>
      <c r="H129" s="318" t="n"/>
      <c r="I129" s="55" t="n"/>
      <c r="J129" s="55" t="n"/>
      <c r="K129" s="50">
        <f>I129+J129</f>
        <v/>
      </c>
      <c r="L129" s="37" t="n"/>
      <c r="M129" s="37" t="n"/>
      <c r="N129" s="35" t="n"/>
      <c r="O129" s="48" t="n"/>
      <c r="P129" s="50">
        <f>N129+O129+L129</f>
        <v/>
      </c>
      <c r="Q129" s="46" t="n"/>
      <c r="R129" s="41" t="n"/>
      <c r="S129" s="47" t="n"/>
      <c r="T129" s="46" t="n"/>
      <c r="U129" s="57" t="n"/>
      <c r="V129" s="41" t="n"/>
      <c r="W129" s="47" t="n"/>
    </row>
    <row r="130" outlineLevel="1" ht="15" customHeight="1">
      <c r="A130" s="39">
        <f>A129+1</f>
        <v/>
      </c>
      <c r="B130" s="672" t="n"/>
      <c r="C130" s="227" t="n"/>
      <c r="D130" s="227" t="n"/>
      <c r="E130" s="266" t="n"/>
      <c r="F130" s="40" t="n"/>
      <c r="G130" s="318" t="n"/>
      <c r="H130" s="318" t="n"/>
      <c r="I130" s="55" t="n"/>
      <c r="J130" s="55" t="n"/>
      <c r="K130" s="50">
        <f>I130+J130</f>
        <v/>
      </c>
      <c r="L130" s="37" t="n"/>
      <c r="M130" s="37" t="n"/>
      <c r="N130" s="35" t="n"/>
      <c r="O130" s="48" t="n"/>
      <c r="P130" s="50">
        <f>N130+O130+L130</f>
        <v/>
      </c>
      <c r="Q130" s="46" t="n"/>
      <c r="R130" s="41" t="n"/>
      <c r="S130" s="47" t="n"/>
      <c r="T130" s="46" t="n"/>
      <c r="U130" s="57" t="n"/>
      <c r="V130" s="41" t="n"/>
      <c r="W130" s="47" t="n"/>
    </row>
    <row r="131" outlineLevel="1" ht="15" customHeight="1">
      <c r="A131" s="39">
        <f>A130+1</f>
        <v/>
      </c>
      <c r="B131" s="672" t="n"/>
      <c r="C131" s="227" t="n"/>
      <c r="D131" s="227" t="n"/>
      <c r="E131" s="266" t="n"/>
      <c r="F131" s="40" t="n"/>
      <c r="G131" s="318" t="n"/>
      <c r="H131" s="318" t="n"/>
      <c r="I131" s="55" t="n"/>
      <c r="J131" s="55" t="n"/>
      <c r="K131" s="50">
        <f>I131+J131</f>
        <v/>
      </c>
      <c r="L131" s="37" t="n"/>
      <c r="M131" s="37" t="n"/>
      <c r="N131" s="35" t="n"/>
      <c r="O131" s="48" t="n"/>
      <c r="P131" s="50">
        <f>N131+O131+L131</f>
        <v/>
      </c>
      <c r="Q131" s="46" t="n"/>
      <c r="R131" s="41" t="n"/>
      <c r="S131" s="47" t="n"/>
      <c r="T131" s="46" t="n"/>
      <c r="U131" s="57" t="n"/>
      <c r="V131" s="41" t="n"/>
      <c r="W131" s="47" t="n"/>
    </row>
    <row r="132" outlineLevel="1" ht="15" customHeight="1">
      <c r="A132" s="39">
        <f>A131+1</f>
        <v/>
      </c>
      <c r="B132" s="672" t="n"/>
      <c r="C132" s="227" t="n"/>
      <c r="D132" s="227" t="n"/>
      <c r="E132" s="266" t="n"/>
      <c r="F132" s="40" t="n"/>
      <c r="G132" s="318" t="n"/>
      <c r="H132" s="318" t="n"/>
      <c r="I132" s="55" t="n"/>
      <c r="J132" s="55" t="n"/>
      <c r="K132" s="50">
        <f>I132+J132</f>
        <v/>
      </c>
      <c r="L132" s="37" t="n"/>
      <c r="M132" s="37" t="n"/>
      <c r="N132" s="35" t="n"/>
      <c r="O132" s="48" t="n"/>
      <c r="P132" s="50">
        <f>N132+O132+L132</f>
        <v/>
      </c>
      <c r="Q132" s="46" t="n"/>
      <c r="R132" s="41" t="n"/>
      <c r="S132" s="47" t="n"/>
      <c r="T132" s="46" t="n"/>
      <c r="U132" s="57" t="n"/>
      <c r="V132" s="41" t="n"/>
      <c r="W132" s="47" t="n"/>
    </row>
    <row r="133" outlineLevel="1" ht="15" customHeight="1">
      <c r="A133" s="39">
        <f>A132+1</f>
        <v/>
      </c>
      <c r="B133" s="672" t="n"/>
      <c r="C133" s="227" t="n"/>
      <c r="D133" s="227" t="n"/>
      <c r="E133" s="266" t="n"/>
      <c r="F133" s="40" t="n"/>
      <c r="G133" s="318" t="n"/>
      <c r="H133" s="318" t="n"/>
      <c r="I133" s="55" t="n"/>
      <c r="J133" s="55" t="n"/>
      <c r="K133" s="50">
        <f>I133+J133</f>
        <v/>
      </c>
      <c r="L133" s="37" t="n"/>
      <c r="M133" s="37" t="n"/>
      <c r="N133" s="35" t="n"/>
      <c r="O133" s="48" t="n"/>
      <c r="P133" s="50">
        <f>N133+O133+L133</f>
        <v/>
      </c>
      <c r="Q133" s="46" t="n"/>
      <c r="R133" s="41" t="n"/>
      <c r="S133" s="47" t="n"/>
      <c r="T133" s="46" t="n"/>
      <c r="U133" s="57" t="n"/>
      <c r="V133" s="41" t="n"/>
      <c r="W133" s="47" t="n"/>
    </row>
    <row r="134" outlineLevel="1" ht="15" customHeight="1">
      <c r="A134" s="39">
        <f>A133+1</f>
        <v/>
      </c>
      <c r="B134" s="672" t="n"/>
      <c r="C134" s="227" t="n"/>
      <c r="D134" s="227" t="n"/>
      <c r="E134" s="266" t="n"/>
      <c r="F134" s="40" t="n"/>
      <c r="G134" s="318" t="n"/>
      <c r="H134" s="318" t="n"/>
      <c r="I134" s="55" t="n"/>
      <c r="J134" s="55" t="n"/>
      <c r="K134" s="50">
        <f>I134+J134</f>
        <v/>
      </c>
      <c r="L134" s="37" t="n"/>
      <c r="M134" s="37" t="n"/>
      <c r="N134" s="35" t="n"/>
      <c r="O134" s="48" t="n"/>
      <c r="P134" s="50">
        <f>N134+O134+L134</f>
        <v/>
      </c>
      <c r="Q134" s="46" t="n"/>
      <c r="R134" s="41" t="n"/>
      <c r="S134" s="47" t="n"/>
      <c r="T134" s="46" t="n"/>
      <c r="U134" s="57" t="n"/>
      <c r="V134" s="41" t="n"/>
      <c r="W134" s="47" t="n"/>
    </row>
    <row r="135" outlineLevel="1" ht="15" customHeight="1">
      <c r="A135" s="39">
        <f>A134+1</f>
        <v/>
      </c>
      <c r="B135" s="672" t="n"/>
      <c r="C135" s="227" t="n"/>
      <c r="D135" s="227" t="n"/>
      <c r="E135" s="266" t="n"/>
      <c r="F135" s="40" t="n"/>
      <c r="G135" s="318" t="n"/>
      <c r="H135" s="318" t="n"/>
      <c r="I135" s="55" t="n"/>
      <c r="J135" s="55" t="n"/>
      <c r="K135" s="50">
        <f>I135+J135</f>
        <v/>
      </c>
      <c r="L135" s="37" t="n"/>
      <c r="M135" s="37" t="n"/>
      <c r="N135" s="35" t="n"/>
      <c r="O135" s="48" t="n"/>
      <c r="P135" s="50">
        <f>N135+O135+L135</f>
        <v/>
      </c>
      <c r="Q135" s="46" t="n"/>
      <c r="R135" s="41" t="n"/>
      <c r="S135" s="47" t="n"/>
      <c r="T135" s="46" t="n"/>
      <c r="U135" s="57" t="n"/>
      <c r="V135" s="41" t="n"/>
      <c r="W135" s="47" t="n"/>
    </row>
    <row r="136" outlineLevel="1" ht="15" customHeight="1">
      <c r="A136" s="39">
        <f>A135+1</f>
        <v/>
      </c>
      <c r="B136" s="672" t="n"/>
      <c r="C136" s="227" t="n"/>
      <c r="D136" s="227" t="n"/>
      <c r="E136" s="266" t="n"/>
      <c r="F136" s="40" t="n"/>
      <c r="G136" s="318" t="n"/>
      <c r="H136" s="318" t="n"/>
      <c r="I136" s="55" t="n"/>
      <c r="J136" s="55" t="n"/>
      <c r="K136" s="50">
        <f>I136+J136</f>
        <v/>
      </c>
      <c r="L136" s="37" t="n"/>
      <c r="M136" s="37" t="n"/>
      <c r="N136" s="35" t="n"/>
      <c r="O136" s="48" t="n"/>
      <c r="P136" s="50">
        <f>N136+O136+L136</f>
        <v/>
      </c>
      <c r="Q136" s="46" t="n"/>
      <c r="R136" s="41" t="n"/>
      <c r="S136" s="47" t="n"/>
      <c r="T136" s="46" t="n"/>
      <c r="U136" s="57" t="n"/>
      <c r="V136" s="41" t="n"/>
      <c r="W136" s="47" t="n"/>
    </row>
    <row r="137" outlineLevel="1" ht="15" customHeight="1">
      <c r="A137" s="39">
        <f>A136+1</f>
        <v/>
      </c>
      <c r="B137" s="672" t="n"/>
      <c r="C137" s="227" t="n"/>
      <c r="D137" s="227" t="n"/>
      <c r="E137" s="266" t="n"/>
      <c r="F137" s="40" t="n"/>
      <c r="G137" s="318" t="n"/>
      <c r="H137" s="318" t="n"/>
      <c r="I137" s="55" t="n"/>
      <c r="J137" s="55" t="n"/>
      <c r="K137" s="50">
        <f>I137+J137</f>
        <v/>
      </c>
      <c r="L137" s="37" t="n"/>
      <c r="M137" s="37" t="n"/>
      <c r="N137" s="35" t="n"/>
      <c r="O137" s="48" t="n"/>
      <c r="P137" s="50">
        <f>N137+O137+L137</f>
        <v/>
      </c>
      <c r="Q137" s="46" t="n"/>
      <c r="R137" s="41" t="n"/>
      <c r="S137" s="47" t="n"/>
      <c r="T137" s="46" t="n"/>
      <c r="U137" s="57" t="n"/>
      <c r="V137" s="41" t="n"/>
      <c r="W137" s="47" t="n"/>
    </row>
    <row r="138" outlineLevel="1" ht="15" customHeight="1">
      <c r="A138" s="39">
        <f>A137+1</f>
        <v/>
      </c>
      <c r="B138" s="672" t="n"/>
      <c r="C138" s="227" t="n"/>
      <c r="D138" s="227" t="n"/>
      <c r="E138" s="266" t="n"/>
      <c r="F138" s="40" t="n"/>
      <c r="G138" s="318" t="n"/>
      <c r="H138" s="318" t="n"/>
      <c r="I138" s="55" t="n"/>
      <c r="J138" s="55" t="n"/>
      <c r="K138" s="50">
        <f>I138+J138</f>
        <v/>
      </c>
      <c r="L138" s="37" t="n"/>
      <c r="M138" s="37" t="n"/>
      <c r="N138" s="35" t="n"/>
      <c r="O138" s="48" t="n"/>
      <c r="P138" s="50">
        <f>N138+O138+L138</f>
        <v/>
      </c>
      <c r="Q138" s="46" t="n"/>
      <c r="R138" s="41" t="n"/>
      <c r="S138" s="47" t="n"/>
      <c r="T138" s="46" t="n"/>
      <c r="U138" s="57" t="n"/>
      <c r="V138" s="41" t="n"/>
      <c r="W138" s="47" t="n"/>
    </row>
    <row r="139" outlineLevel="1" ht="15" customHeight="1">
      <c r="A139" s="39">
        <f>A138+1</f>
        <v/>
      </c>
      <c r="B139" s="672" t="n"/>
      <c r="C139" s="227" t="n"/>
      <c r="D139" s="227" t="n"/>
      <c r="E139" s="266" t="n"/>
      <c r="F139" s="40" t="n"/>
      <c r="G139" s="318" t="n"/>
      <c r="H139" s="318" t="n"/>
      <c r="I139" s="55" t="n"/>
      <c r="J139" s="55">
        <f>1250-I139</f>
        <v/>
      </c>
      <c r="K139" s="50">
        <f>I139+J139</f>
        <v/>
      </c>
      <c r="L139" s="37" t="n"/>
      <c r="M139" s="37" t="n"/>
      <c r="N139" s="35" t="n"/>
      <c r="O139" s="48" t="n"/>
      <c r="P139" s="50">
        <f>N139+O139+L139</f>
        <v/>
      </c>
      <c r="Q139" s="46" t="n"/>
      <c r="R139" s="41" t="n"/>
      <c r="S139" s="47" t="n"/>
      <c r="T139" s="46" t="n"/>
      <c r="U139" s="57" t="n"/>
      <c r="V139" s="41" t="n"/>
      <c r="W139" s="47" t="n"/>
    </row>
    <row r="140" outlineLevel="1" ht="15" customHeight="1">
      <c r="A140" s="39">
        <f>A139+1</f>
        <v/>
      </c>
      <c r="B140" s="672" t="n"/>
      <c r="C140" s="227" t="n"/>
      <c r="D140" s="227" t="n"/>
      <c r="E140" s="266" t="n"/>
      <c r="F140" s="40" t="n"/>
      <c r="G140" s="318" t="n"/>
      <c r="H140" s="318" t="n"/>
      <c r="I140" s="55" t="n"/>
      <c r="J140" s="55">
        <f>1250-I140</f>
        <v/>
      </c>
      <c r="K140" s="50">
        <f>I140+J140</f>
        <v/>
      </c>
      <c r="L140" s="37" t="n"/>
      <c r="M140" s="37" t="n"/>
      <c r="N140" s="35" t="n"/>
      <c r="O140" s="48" t="n"/>
      <c r="P140" s="50">
        <f>N140+O140+L140</f>
        <v/>
      </c>
      <c r="Q140" s="46" t="n"/>
      <c r="R140" s="41" t="n"/>
      <c r="S140" s="47" t="n"/>
      <c r="T140" s="46" t="n"/>
      <c r="U140" s="57" t="n"/>
      <c r="V140" s="41" t="n"/>
      <c r="W140" s="47" t="n"/>
    </row>
    <row r="141" outlineLevel="1" ht="15" customHeight="1">
      <c r="A141" s="39">
        <f>A140+1</f>
        <v/>
      </c>
      <c r="B141" s="672" t="n"/>
      <c r="C141" s="227" t="n"/>
      <c r="D141" s="227" t="n"/>
      <c r="E141" s="266" t="n"/>
      <c r="F141" s="40" t="n"/>
      <c r="G141" s="318" t="n"/>
      <c r="H141" s="318" t="n"/>
      <c r="I141" s="55" t="n"/>
      <c r="J141" s="55">
        <f>1250-I141</f>
        <v/>
      </c>
      <c r="K141" s="50">
        <f>I141+J141</f>
        <v/>
      </c>
      <c r="L141" s="37" t="n"/>
      <c r="M141" s="37" t="n"/>
      <c r="N141" s="35" t="n"/>
      <c r="O141" s="48" t="n"/>
      <c r="P141" s="50">
        <f>N141+O141+L141</f>
        <v/>
      </c>
      <c r="Q141" s="46" t="n"/>
      <c r="R141" s="41" t="n"/>
      <c r="S141" s="47" t="n"/>
      <c r="T141" s="46" t="n"/>
      <c r="U141" s="57" t="n"/>
      <c r="V141" s="41" t="n"/>
      <c r="W141" s="47" t="n"/>
    </row>
    <row r="142" outlineLevel="1" ht="15" customHeight="1">
      <c r="A142" s="39">
        <f>A141+1</f>
        <v/>
      </c>
      <c r="B142" s="672" t="n"/>
      <c r="C142" s="227" t="n"/>
      <c r="D142" s="227" t="n"/>
      <c r="E142" s="266" t="n"/>
      <c r="F142" s="40" t="n"/>
      <c r="G142" s="318" t="n"/>
      <c r="H142" s="318" t="n"/>
      <c r="I142" s="55" t="n"/>
      <c r="J142" s="55">
        <f>1250-I142</f>
        <v/>
      </c>
      <c r="K142" s="50">
        <f>I142+J142</f>
        <v/>
      </c>
      <c r="L142" s="37" t="n"/>
      <c r="M142" s="37" t="n"/>
      <c r="N142" s="35" t="n"/>
      <c r="O142" s="48" t="n"/>
      <c r="P142" s="50">
        <f>N142+O142+L142</f>
        <v/>
      </c>
      <c r="Q142" s="46" t="n"/>
      <c r="R142" s="41" t="n"/>
      <c r="S142" s="47" t="n"/>
      <c r="T142" s="46" t="n"/>
      <c r="U142" s="57" t="n"/>
      <c r="V142" s="41" t="n"/>
      <c r="W142" s="47" t="n"/>
    </row>
    <row r="143" outlineLevel="1" ht="15" customHeight="1">
      <c r="A143" s="39">
        <f>A142+1</f>
        <v/>
      </c>
      <c r="B143" s="672" t="n"/>
      <c r="C143" s="227" t="n"/>
      <c r="D143" s="227" t="n"/>
      <c r="E143" s="266" t="n"/>
      <c r="F143" s="40" t="n"/>
      <c r="G143" s="318" t="n"/>
      <c r="H143" s="318" t="n"/>
      <c r="I143" s="55" t="n"/>
      <c r="J143" s="55">
        <f>1250-I143</f>
        <v/>
      </c>
      <c r="K143" s="50">
        <f>I143+J143</f>
        <v/>
      </c>
      <c r="L143" s="37" t="n"/>
      <c r="M143" s="37" t="n"/>
      <c r="N143" s="35" t="n"/>
      <c r="O143" s="48" t="n"/>
      <c r="P143" s="50">
        <f>N143+O143+L143</f>
        <v/>
      </c>
      <c r="Q143" s="46" t="n"/>
      <c r="R143" s="41" t="n"/>
      <c r="S143" s="47" t="n"/>
      <c r="T143" s="46" t="n"/>
      <c r="U143" s="57" t="n"/>
      <c r="V143" s="41" t="n"/>
      <c r="W143" s="47" t="n"/>
    </row>
    <row r="144" outlineLevel="1" ht="15" customHeight="1">
      <c r="A144" s="39">
        <f>A143+1</f>
        <v/>
      </c>
      <c r="B144" s="672" t="n"/>
      <c r="C144" s="227" t="n"/>
      <c r="D144" s="227" t="n"/>
      <c r="E144" s="266" t="n"/>
      <c r="F144" s="40" t="n"/>
      <c r="G144" s="318" t="n"/>
      <c r="H144" s="318" t="n"/>
      <c r="I144" s="55" t="n"/>
      <c r="J144" s="55">
        <f>1250-I144</f>
        <v/>
      </c>
      <c r="K144" s="50">
        <f>I144+J144</f>
        <v/>
      </c>
      <c r="L144" s="37" t="n"/>
      <c r="M144" s="37" t="n"/>
      <c r="N144" s="35" t="n"/>
      <c r="O144" s="48" t="n"/>
      <c r="P144" s="50">
        <f>N144+O144+L144</f>
        <v/>
      </c>
      <c r="Q144" s="46" t="n"/>
      <c r="R144" s="41" t="n"/>
      <c r="S144" s="47" t="n"/>
      <c r="T144" s="46" t="n"/>
      <c r="U144" s="57" t="n"/>
      <c r="V144" s="41" t="n"/>
      <c r="W144" s="47" t="n"/>
    </row>
    <row r="145" outlineLevel="1" ht="15" customHeight="1">
      <c r="A145" s="39">
        <f>A144+1</f>
        <v/>
      </c>
      <c r="B145" s="672" t="n"/>
      <c r="C145" s="227" t="n"/>
      <c r="D145" s="227" t="n"/>
      <c r="E145" s="266" t="n"/>
      <c r="F145" s="40" t="n"/>
      <c r="G145" s="318" t="n"/>
      <c r="H145" s="318" t="n"/>
      <c r="I145" s="55" t="n"/>
      <c r="J145" s="55">
        <f>1250-I145</f>
        <v/>
      </c>
      <c r="K145" s="50">
        <f>I145+J145</f>
        <v/>
      </c>
      <c r="L145" s="37" t="n"/>
      <c r="M145" s="37" t="n"/>
      <c r="N145" s="35" t="n"/>
      <c r="O145" s="48" t="n"/>
      <c r="P145" s="50">
        <f>N145+O145+L145</f>
        <v/>
      </c>
      <c r="Q145" s="46" t="n"/>
      <c r="R145" s="41" t="n"/>
      <c r="S145" s="47" t="n"/>
      <c r="T145" s="46" t="n"/>
      <c r="U145" s="57" t="n"/>
      <c r="V145" s="41" t="n"/>
      <c r="W145" s="47" t="n"/>
    </row>
    <row r="146" outlineLevel="1" ht="15" customHeight="1">
      <c r="A146" s="39">
        <f>A145+1</f>
        <v/>
      </c>
      <c r="B146" s="672" t="n"/>
      <c r="C146" s="227" t="n"/>
      <c r="D146" s="227" t="n"/>
      <c r="E146" s="266" t="n"/>
      <c r="F146" s="40" t="n"/>
      <c r="G146" s="318" t="n"/>
      <c r="H146" s="318" t="n"/>
      <c r="I146" s="55" t="n"/>
      <c r="J146" s="55">
        <f>1250-I146</f>
        <v/>
      </c>
      <c r="K146" s="50">
        <f>I146+J146</f>
        <v/>
      </c>
      <c r="L146" s="37" t="n"/>
      <c r="M146" s="37" t="n"/>
      <c r="N146" s="35" t="n"/>
      <c r="O146" s="48" t="n"/>
      <c r="P146" s="50">
        <f>N146+O146+L146</f>
        <v/>
      </c>
      <c r="Q146" s="46" t="n"/>
      <c r="R146" s="41" t="n"/>
      <c r="S146" s="47" t="n"/>
      <c r="T146" s="46" t="n"/>
      <c r="U146" s="57" t="n"/>
      <c r="V146" s="41" t="n"/>
      <c r="W146" s="47" t="n"/>
    </row>
    <row r="147" outlineLevel="1" ht="15" customHeight="1">
      <c r="A147" s="39">
        <f>A146+1</f>
        <v/>
      </c>
      <c r="B147" s="672" t="n"/>
      <c r="C147" s="227" t="n"/>
      <c r="D147" s="227" t="n"/>
      <c r="E147" s="266" t="n"/>
      <c r="F147" s="40" t="n"/>
      <c r="G147" s="318" t="n"/>
      <c r="H147" s="318" t="n"/>
      <c r="I147" s="55" t="n"/>
      <c r="J147" s="55">
        <f>1250-I147</f>
        <v/>
      </c>
      <c r="K147" s="50">
        <f>I147+J147</f>
        <v/>
      </c>
      <c r="L147" s="37" t="n"/>
      <c r="M147" s="37" t="n"/>
      <c r="N147" s="35" t="n"/>
      <c r="O147" s="48" t="n"/>
      <c r="P147" s="50">
        <f>N147+O147+L147</f>
        <v/>
      </c>
      <c r="Q147" s="46" t="n"/>
      <c r="R147" s="41" t="n"/>
      <c r="S147" s="47" t="n"/>
      <c r="T147" s="46" t="n"/>
      <c r="U147" s="57" t="n"/>
      <c r="V147" s="41" t="n"/>
      <c r="W147" s="47" t="n"/>
    </row>
    <row r="148" outlineLevel="1" ht="15" customHeight="1">
      <c r="A148" s="39">
        <f>A147+1</f>
        <v/>
      </c>
      <c r="B148" s="672" t="n"/>
      <c r="C148" s="227" t="n"/>
      <c r="D148" s="227" t="n"/>
      <c r="E148" s="266" t="n"/>
      <c r="F148" s="40" t="n"/>
      <c r="G148" s="318" t="n"/>
      <c r="H148" s="318" t="n"/>
      <c r="I148" s="55" t="n"/>
      <c r="J148" s="55">
        <f>1250-I148</f>
        <v/>
      </c>
      <c r="K148" s="50">
        <f>I148+J148</f>
        <v/>
      </c>
      <c r="L148" s="37" t="n"/>
      <c r="M148" s="37" t="n"/>
      <c r="N148" s="35" t="n"/>
      <c r="O148" s="48" t="n"/>
      <c r="P148" s="50">
        <f>N148+O148+L148</f>
        <v/>
      </c>
      <c r="Q148" s="46" t="n"/>
      <c r="R148" s="41" t="n"/>
      <c r="S148" s="47" t="n"/>
      <c r="T148" s="46" t="n"/>
      <c r="U148" s="57" t="n"/>
      <c r="V148" s="41" t="n"/>
      <c r="W148" s="47" t="n"/>
    </row>
    <row r="149" outlineLevel="1" ht="15" customHeight="1">
      <c r="A149" s="39">
        <f>A148+1</f>
        <v/>
      </c>
      <c r="B149" s="672" t="n"/>
      <c r="C149" s="227" t="n"/>
      <c r="D149" s="227" t="n"/>
      <c r="E149" s="266" t="n"/>
      <c r="F149" s="40" t="n"/>
      <c r="G149" s="318" t="n"/>
      <c r="H149" s="318" t="n"/>
      <c r="I149" s="55" t="n"/>
      <c r="J149" s="55">
        <f>1250-I149</f>
        <v/>
      </c>
      <c r="K149" s="50">
        <f>I149+J149</f>
        <v/>
      </c>
      <c r="L149" s="37" t="n"/>
      <c r="M149" s="37" t="n"/>
      <c r="N149" s="35" t="n"/>
      <c r="O149" s="48" t="n"/>
      <c r="P149" s="50">
        <f>N149+O149+L149</f>
        <v/>
      </c>
      <c r="Q149" s="46" t="n"/>
      <c r="R149" s="41" t="n"/>
      <c r="S149" s="47" t="n"/>
      <c r="T149" s="46" t="n"/>
      <c r="U149" s="57" t="n"/>
      <c r="V149" s="41" t="n"/>
      <c r="W149" s="47" t="n"/>
    </row>
    <row r="150" outlineLevel="1" ht="15.75" customHeight="1" thickBot="1">
      <c r="A150" s="39">
        <f>A149+1</f>
        <v/>
      </c>
      <c r="B150" s="672" t="n"/>
      <c r="C150" s="227" t="n"/>
      <c r="D150" s="227" t="n"/>
      <c r="E150" s="266" t="n"/>
      <c r="F150" s="40" t="n"/>
      <c r="G150" s="318" t="n"/>
      <c r="H150" s="318" t="n"/>
      <c r="I150" s="55" t="n"/>
      <c r="J150" s="55">
        <f>1250-I150</f>
        <v/>
      </c>
      <c r="K150" s="50">
        <f>I150+J150</f>
        <v/>
      </c>
      <c r="L150" s="37" t="n"/>
      <c r="M150" s="37" t="n"/>
      <c r="N150" s="35" t="n"/>
      <c r="O150" s="48" t="n"/>
      <c r="P150" s="50">
        <f>N150+O150+L150</f>
        <v/>
      </c>
      <c r="Q150" s="46" t="n"/>
      <c r="R150" s="41" t="n"/>
      <c r="S150" s="47" t="n"/>
      <c r="T150" s="46" t="n"/>
      <c r="U150" s="57" t="n"/>
      <c r="V150" s="41" t="n"/>
      <c r="W150" s="47" t="n"/>
    </row>
    <row r="151" ht="32.25" customHeight="1" thickBot="1">
      <c r="A151" s="3">
        <f>A150+1</f>
        <v/>
      </c>
      <c r="B151" s="3" t="n"/>
      <c r="C151" s="3" t="n"/>
      <c r="D151" s="3" t="n"/>
      <c r="E151" s="3" t="n"/>
      <c r="F151" s="3" t="n"/>
      <c r="G151" s="3" t="n"/>
      <c r="H151" s="3" t="n"/>
      <c r="I151" s="76">
        <f>SUM(I3:I150)</f>
        <v/>
      </c>
      <c r="J151" s="77">
        <f>SUM(J3:J150)</f>
        <v/>
      </c>
      <c r="K151" s="78">
        <f>SUM(K3:K150)</f>
        <v/>
      </c>
      <c r="L151" s="79">
        <f>SUM(L3:L150)</f>
        <v/>
      </c>
      <c r="M151" s="80">
        <f>SUM(M3:M150)</f>
        <v/>
      </c>
      <c r="N151" s="80">
        <f>SUM(N3:N150)</f>
        <v/>
      </c>
      <c r="O151" s="81">
        <f>SUM(O3:O150)</f>
        <v/>
      </c>
      <c r="P151" s="78">
        <f>SUM(P3:P150)</f>
        <v/>
      </c>
      <c r="Q151" s="76">
        <f>SUM(Q3:Q150)</f>
        <v/>
      </c>
      <c r="R151" s="80">
        <f>SUM(R3:R150)</f>
        <v/>
      </c>
      <c r="S151" s="77">
        <f>SUM(S3:S150)</f>
        <v/>
      </c>
      <c r="T151" s="76">
        <f>SUM(T3:T150)</f>
        <v/>
      </c>
      <c r="U151" s="80" t="inlineStr">
        <is>
          <t>N/A</t>
        </is>
      </c>
      <c r="V151" s="80" t="inlineStr">
        <is>
          <t>N/A</t>
        </is>
      </c>
      <c r="W151" s="77">
        <f>SUM(W3:W150)</f>
        <v/>
      </c>
    </row>
    <row r="152" ht="15" customFormat="1" customHeight="1" s="3">
      <c r="A152">
        <f>A151+1</f>
        <v/>
      </c>
      <c r="I152" s="20" t="n"/>
      <c r="K152">
        <f>I152+J152</f>
        <v/>
      </c>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c r="CL152" s="59" t="n"/>
      <c r="CM152" s="59" t="n"/>
      <c r="CN152" s="59" t="n"/>
    </row>
    <row r="153" ht="15" customHeight="1">
      <c r="A153">
        <f>A152+1</f>
        <v/>
      </c>
      <c r="I153" s="280">
        <f>I151*12</f>
        <v/>
      </c>
      <c r="J153" s="248">
        <f>J151*12</f>
        <v/>
      </c>
      <c r="K153">
        <f>K151*12</f>
        <v/>
      </c>
      <c r="Q153" s="280">
        <f>Q151*12</f>
        <v/>
      </c>
      <c r="R153" s="317">
        <f>R151*12</f>
        <v/>
      </c>
    </row>
    <row r="154" ht="15" customFormat="1" customHeight="1" s="3">
      <c r="A154">
        <f>A153+1</f>
        <v/>
      </c>
      <c r="I154" s="20" t="n"/>
      <c r="K154">
        <f>I154+J154</f>
        <v/>
      </c>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c r="CL154" s="59" t="n"/>
      <c r="CM154" s="59" t="n"/>
      <c r="CN154" s="59" t="n"/>
    </row>
    <row r="155" ht="15" customFormat="1" customHeight="1" s="3">
      <c r="A155">
        <f>A154+1</f>
        <v/>
      </c>
      <c r="I155" s="20" t="n"/>
      <c r="K155">
        <f>I155+J155</f>
        <v/>
      </c>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c r="CL155" s="59" t="n"/>
      <c r="CM155" s="59" t="n"/>
      <c r="CN155" s="59" t="n"/>
    </row>
    <row r="156" ht="15" customFormat="1" customHeight="1" s="3">
      <c r="A156">
        <f>A155+1</f>
        <v/>
      </c>
      <c r="I156" s="20" t="n"/>
      <c r="K156">
        <f>I156+J156</f>
        <v/>
      </c>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c r="CL156" s="59" t="n"/>
      <c r="CM156" s="59" t="n"/>
      <c r="CN156" s="59" t="n"/>
    </row>
    <row r="157" ht="15" customFormat="1" customHeight="1" s="3">
      <c r="A157">
        <f>A156+1</f>
        <v/>
      </c>
      <c r="I157" s="20" t="n"/>
      <c r="K157">
        <f>I157+J157</f>
        <v/>
      </c>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c r="CL157" s="59" t="n"/>
      <c r="CM157" s="59" t="n"/>
      <c r="CN157" s="59" t="n"/>
    </row>
    <row r="158" ht="15" customFormat="1" customHeight="1" s="3">
      <c r="A158">
        <f>A157+1</f>
        <v/>
      </c>
      <c r="I158" s="20" t="n"/>
      <c r="K158">
        <f>I158+J158</f>
        <v/>
      </c>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c r="CL158" s="59" t="n"/>
      <c r="CM158" s="59" t="n"/>
      <c r="CN158" s="59" t="n"/>
    </row>
    <row r="159" ht="15" customFormat="1" customHeight="1" s="3">
      <c r="A159">
        <f>A158+1</f>
        <v/>
      </c>
      <c r="I159" s="20" t="n"/>
      <c r="K159">
        <f>I159+J159</f>
        <v/>
      </c>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c r="CL159" s="59" t="n"/>
      <c r="CM159" s="59" t="n"/>
      <c r="CN159" s="59" t="n"/>
    </row>
    <row r="160" ht="15" customFormat="1" customHeight="1" s="3">
      <c r="A160">
        <f>A159+1</f>
        <v/>
      </c>
      <c r="I160" s="20" t="n"/>
      <c r="K160">
        <f>I160+J160</f>
        <v/>
      </c>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c r="CL160" s="59" t="n"/>
      <c r="CM160" s="59" t="n"/>
      <c r="CN160" s="59" t="n"/>
    </row>
    <row r="161" ht="15" customFormat="1" customHeight="1" s="3">
      <c r="A161">
        <f>A160+1</f>
        <v/>
      </c>
      <c r="I161" s="20" t="n"/>
      <c r="K161">
        <f>I161+J161</f>
        <v/>
      </c>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c r="CL161" s="59" t="n"/>
      <c r="CM161" s="59" t="n"/>
      <c r="CN161" s="59" t="n"/>
    </row>
    <row r="162" ht="15" customFormat="1" customHeight="1" s="3">
      <c r="A162">
        <f>A161+1</f>
        <v/>
      </c>
      <c r="I162" s="20" t="n"/>
      <c r="K162">
        <f>I162+J162</f>
        <v/>
      </c>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c r="CL162" s="59" t="n"/>
      <c r="CM162" s="59" t="n"/>
      <c r="CN162" s="59" t="n"/>
    </row>
    <row r="163" ht="15" customFormat="1" customHeight="1" s="3">
      <c r="A163">
        <f>A162+1</f>
        <v/>
      </c>
      <c r="I163" s="20" t="n"/>
      <c r="K163">
        <f>I163+J163</f>
        <v/>
      </c>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c r="CL163" s="59" t="n"/>
      <c r="CM163" s="59" t="n"/>
      <c r="CN163" s="59" t="n"/>
    </row>
    <row r="164" ht="15" customFormat="1" customHeight="1" s="3">
      <c r="A164">
        <f>A163+1</f>
        <v/>
      </c>
      <c r="I164" s="20" t="n"/>
      <c r="K164">
        <f>I164+J164</f>
        <v/>
      </c>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c r="CL164" s="59" t="n"/>
      <c r="CM164" s="59" t="n"/>
      <c r="CN164" s="59" t="n"/>
    </row>
    <row r="165" ht="15" customFormat="1" customHeight="1" s="3">
      <c r="A165">
        <f>A164+1</f>
        <v/>
      </c>
      <c r="I165" s="20" t="n"/>
      <c r="K165">
        <f>I165+J165</f>
        <v/>
      </c>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c r="CL165" s="59" t="n"/>
      <c r="CM165" s="59" t="n"/>
      <c r="CN165" s="59" t="n"/>
    </row>
    <row r="166" ht="15" customFormat="1" customHeight="1" s="3">
      <c r="A166">
        <f>A165+1</f>
        <v/>
      </c>
      <c r="I166" s="20" t="n"/>
      <c r="K166">
        <f>I166+J166</f>
        <v/>
      </c>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c r="CL166" s="59" t="n"/>
      <c r="CM166" s="59" t="n"/>
      <c r="CN166" s="59" t="n"/>
    </row>
    <row r="167" ht="15" customFormat="1" customHeight="1" s="3">
      <c r="A167">
        <f>A166+1</f>
        <v/>
      </c>
      <c r="I167" s="20" t="n"/>
      <c r="K167">
        <f>I167+J167</f>
        <v/>
      </c>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c r="CL167" s="59" t="n"/>
      <c r="CM167" s="59" t="n"/>
      <c r="CN167" s="59" t="n"/>
    </row>
    <row r="168" ht="15" customFormat="1" customHeight="1" s="3">
      <c r="A168">
        <f>A167+1</f>
        <v/>
      </c>
      <c r="I168" s="20" t="n"/>
      <c r="K168">
        <f>I168+J168</f>
        <v/>
      </c>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c r="CL168" s="59" t="n"/>
      <c r="CM168" s="59" t="n"/>
      <c r="CN168" s="59" t="n"/>
    </row>
    <row r="169" ht="15" customFormat="1" customHeight="1" s="3">
      <c r="A169">
        <f>A168+1</f>
        <v/>
      </c>
      <c r="I169" s="20" t="n"/>
      <c r="K169">
        <f>I169+J169</f>
        <v/>
      </c>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c r="CL169" s="59" t="n"/>
      <c r="CM169" s="59" t="n"/>
      <c r="CN169" s="59" t="n"/>
    </row>
    <row r="170" ht="15" customFormat="1" customHeight="1" s="3">
      <c r="A170">
        <f>A169+1</f>
        <v/>
      </c>
      <c r="I170" s="20" t="n"/>
      <c r="K170">
        <f>I170+J170</f>
        <v/>
      </c>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c r="CL170" s="59" t="n"/>
      <c r="CM170" s="59" t="n"/>
      <c r="CN170" s="59" t="n"/>
    </row>
    <row r="171" ht="15" customFormat="1" customHeight="1" s="3">
      <c r="A171">
        <f>A170+1</f>
        <v/>
      </c>
      <c r="I171" s="20" t="n"/>
      <c r="K171">
        <f>I171+J171</f>
        <v/>
      </c>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c r="CL171" s="59" t="n"/>
      <c r="CM171" s="59" t="n"/>
      <c r="CN171" s="59" t="n"/>
    </row>
    <row r="172" ht="15" customFormat="1" customHeight="1" s="3">
      <c r="A172">
        <f>A171+1</f>
        <v/>
      </c>
      <c r="I172" s="20" t="n"/>
      <c r="K172">
        <f>I172+J172</f>
        <v/>
      </c>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c r="CL172" s="59" t="n"/>
      <c r="CM172" s="59" t="n"/>
      <c r="CN172" s="59" t="n"/>
    </row>
    <row r="173" ht="15" customFormat="1" customHeight="1" s="3">
      <c r="A173">
        <f>A172+1</f>
        <v/>
      </c>
      <c r="I173" s="20" t="n"/>
      <c r="K173">
        <f>I173+J173</f>
        <v/>
      </c>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c r="CL173" s="59" t="n"/>
      <c r="CM173" s="59" t="n"/>
      <c r="CN173" s="59" t="n"/>
    </row>
    <row r="174" ht="15" customFormat="1" customHeight="1" s="3">
      <c r="A174">
        <f>A173+1</f>
        <v/>
      </c>
      <c r="I174" s="20" t="n"/>
      <c r="K174">
        <f>I174+J174</f>
        <v/>
      </c>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c r="CL174" s="59" t="n"/>
      <c r="CM174" s="59" t="n"/>
      <c r="CN174" s="59" t="n"/>
    </row>
    <row r="175" ht="15" customFormat="1" customHeight="1" s="3">
      <c r="A175">
        <f>A174+1</f>
        <v/>
      </c>
      <c r="I175" s="20" t="n"/>
      <c r="K175">
        <f>I175+J175</f>
        <v/>
      </c>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c r="CL175" s="59" t="n"/>
      <c r="CM175" s="59" t="n"/>
      <c r="CN175" s="59" t="n"/>
    </row>
    <row r="176" ht="15" customFormat="1" customHeight="1" s="3">
      <c r="A176">
        <f>A175+1</f>
        <v/>
      </c>
      <c r="I176" s="20" t="n"/>
      <c r="K176">
        <f>I176+J176</f>
        <v/>
      </c>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c r="CL176" s="59" t="n"/>
      <c r="CM176" s="59" t="n"/>
      <c r="CN176" s="59" t="n"/>
    </row>
    <row r="177" ht="15" customFormat="1" customHeight="1" s="3">
      <c r="A177">
        <f>A176+1</f>
        <v/>
      </c>
      <c r="I177" s="20" t="n"/>
      <c r="K177">
        <f>I177+J177</f>
        <v/>
      </c>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c r="CL177" s="59" t="n"/>
      <c r="CM177" s="59" t="n"/>
      <c r="CN177" s="59" t="n"/>
    </row>
    <row r="178" ht="15" customFormat="1" customHeight="1" s="3">
      <c r="A178">
        <f>A177+1</f>
        <v/>
      </c>
      <c r="I178" s="20" t="n"/>
      <c r="K178">
        <f>I178+J178</f>
        <v/>
      </c>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c r="CL178" s="59" t="n"/>
      <c r="CM178" s="59" t="n"/>
      <c r="CN178" s="59" t="n"/>
    </row>
    <row r="179" ht="15" customFormat="1" customHeight="1" s="3">
      <c r="A179">
        <f>A178+1</f>
        <v/>
      </c>
      <c r="I179" s="20" t="n"/>
      <c r="K179">
        <f>I179+J179</f>
        <v/>
      </c>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c r="CL179" s="59" t="n"/>
      <c r="CM179" s="59" t="n"/>
      <c r="CN179" s="59" t="n"/>
    </row>
    <row r="180" ht="15" customFormat="1" customHeight="1" s="3">
      <c r="A180">
        <f>A179+1</f>
        <v/>
      </c>
      <c r="I180" s="20" t="n"/>
      <c r="K180">
        <f>I180+J180</f>
        <v/>
      </c>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c r="CL180" s="59" t="n"/>
      <c r="CM180" s="59" t="n"/>
      <c r="CN180" s="59" t="n"/>
    </row>
    <row r="181" ht="15" customFormat="1" customHeight="1" s="3">
      <c r="A181">
        <f>A180+1</f>
        <v/>
      </c>
      <c r="I181" s="20" t="n"/>
      <c r="K181">
        <f>I181+J181</f>
        <v/>
      </c>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c r="CL181" s="59" t="n"/>
      <c r="CM181" s="59" t="n"/>
      <c r="CN181" s="59" t="n"/>
    </row>
    <row r="182" ht="15" customFormat="1" customHeight="1" s="3">
      <c r="A182">
        <f>A181+1</f>
        <v/>
      </c>
      <c r="I182" s="20" t="n"/>
      <c r="K182">
        <f>I182+J182</f>
        <v/>
      </c>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c r="CL182" s="59" t="n"/>
      <c r="CM182" s="59" t="n"/>
      <c r="CN182" s="59" t="n"/>
    </row>
    <row r="183" ht="15" customFormat="1" customHeight="1" s="3">
      <c r="A183">
        <f>A182+1</f>
        <v/>
      </c>
      <c r="I183" s="20" t="n"/>
      <c r="K183">
        <f>I183+J183</f>
        <v/>
      </c>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c r="CL183" s="59" t="n"/>
      <c r="CM183" s="59" t="n"/>
      <c r="CN183" s="59" t="n"/>
    </row>
    <row r="184" ht="15" customFormat="1" customHeight="1" s="3">
      <c r="A184">
        <f>A183+1</f>
        <v/>
      </c>
      <c r="I184" s="20" t="n"/>
      <c r="K184">
        <f>I184+J184</f>
        <v/>
      </c>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c r="CL184" s="59" t="n"/>
      <c r="CM184" s="59" t="n"/>
      <c r="CN184" s="59" t="n"/>
    </row>
    <row r="185" ht="15" customFormat="1" customHeight="1" s="3">
      <c r="A185">
        <f>A184+1</f>
        <v/>
      </c>
      <c r="I185" s="20" t="n"/>
      <c r="K185">
        <f>I185+J185</f>
        <v/>
      </c>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c r="CL185" s="59" t="n"/>
      <c r="CM185" s="59" t="n"/>
      <c r="CN185" s="59" t="n"/>
    </row>
    <row r="186" ht="15" customFormat="1" customHeight="1" s="3">
      <c r="A186">
        <f>A185+1</f>
        <v/>
      </c>
      <c r="I186" s="20" t="n"/>
      <c r="K186">
        <f>I186+J186</f>
        <v/>
      </c>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c r="CL186" s="59" t="n"/>
      <c r="CM186" s="59" t="n"/>
      <c r="CN186" s="59" t="n"/>
    </row>
    <row r="187" ht="15" customFormat="1" customHeight="1" s="3">
      <c r="A187">
        <f>A186+1</f>
        <v/>
      </c>
      <c r="I187" s="20" t="n"/>
      <c r="K187">
        <f>I187+J187</f>
        <v/>
      </c>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c r="CL187" s="59" t="n"/>
      <c r="CM187" s="59" t="n"/>
      <c r="CN187" s="59" t="n"/>
    </row>
    <row r="188" ht="15" customFormat="1" customHeight="1" s="3">
      <c r="A188">
        <f>A187+1</f>
        <v/>
      </c>
      <c r="I188" s="20" t="n"/>
      <c r="K188">
        <f>I188+J188</f>
        <v/>
      </c>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c r="CL188" s="59" t="n"/>
      <c r="CM188" s="59" t="n"/>
      <c r="CN188" s="59" t="n"/>
    </row>
    <row r="189" ht="15" customFormat="1" customHeight="1" s="3">
      <c r="A189">
        <f>A188+1</f>
        <v/>
      </c>
      <c r="I189" s="20" t="n"/>
      <c r="K189">
        <f>I189+J189</f>
        <v/>
      </c>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c r="CL189" s="59" t="n"/>
      <c r="CM189" s="59" t="n"/>
      <c r="CN189" s="59" t="n"/>
    </row>
    <row r="190" ht="15" customFormat="1" customHeight="1" s="3">
      <c r="A190">
        <f>A189+1</f>
        <v/>
      </c>
      <c r="I190" s="20" t="n"/>
      <c r="K190">
        <f>I190+J190</f>
        <v/>
      </c>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c r="CL190" s="59" t="n"/>
      <c r="CM190" s="59" t="n"/>
      <c r="CN190" s="59" t="n"/>
    </row>
    <row r="191" ht="15" customFormat="1" customHeight="1" s="3">
      <c r="A191">
        <f>A190+1</f>
        <v/>
      </c>
      <c r="I191" s="20" t="n"/>
      <c r="K191">
        <f>I191+J191</f>
        <v/>
      </c>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c r="CL191" s="59" t="n"/>
      <c r="CM191" s="59" t="n"/>
      <c r="CN191" s="59" t="n"/>
    </row>
    <row r="192" ht="15" customFormat="1" customHeight="1" s="3">
      <c r="A192">
        <f>A191+1</f>
        <v/>
      </c>
      <c r="I192" s="20" t="n"/>
      <c r="K192">
        <f>I192+J192</f>
        <v/>
      </c>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c r="CL192" s="59" t="n"/>
      <c r="CM192" s="59" t="n"/>
      <c r="CN192" s="59" t="n"/>
    </row>
    <row r="193" ht="15" customFormat="1" customHeight="1" s="3">
      <c r="A193">
        <f>A192+1</f>
        <v/>
      </c>
      <c r="I193" s="20" t="n"/>
      <c r="K193">
        <f>I193+J193</f>
        <v/>
      </c>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c r="CL193" s="59" t="n"/>
      <c r="CM193" s="59" t="n"/>
      <c r="CN193" s="59" t="n"/>
    </row>
    <row r="194" ht="15" customFormat="1" customHeight="1" s="3">
      <c r="A194">
        <f>A193+1</f>
        <v/>
      </c>
      <c r="I194" s="20" t="n"/>
      <c r="K194">
        <f>I194+J194</f>
        <v/>
      </c>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c r="CL194" s="59" t="n"/>
      <c r="CM194" s="59" t="n"/>
      <c r="CN194" s="59" t="n"/>
    </row>
    <row r="195" ht="15" customFormat="1" customHeight="1" s="3">
      <c r="A195">
        <f>A194+1</f>
        <v/>
      </c>
      <c r="I195" s="20" t="n"/>
      <c r="K195">
        <f>I195+J195</f>
        <v/>
      </c>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c r="CL195" s="59" t="n"/>
      <c r="CM195" s="59" t="n"/>
      <c r="CN195" s="59" t="n"/>
    </row>
    <row r="196" ht="15" customFormat="1" customHeight="1" s="3">
      <c r="A196">
        <f>A195+1</f>
        <v/>
      </c>
      <c r="I196" s="20" t="n"/>
      <c r="K196">
        <f>I196+J196</f>
        <v/>
      </c>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c r="CL196" s="59" t="n"/>
      <c r="CM196" s="59" t="n"/>
      <c r="CN196" s="59" t="n"/>
    </row>
    <row r="197" ht="15" customFormat="1" customHeight="1" s="3">
      <c r="A197">
        <f>A196+1</f>
        <v/>
      </c>
      <c r="I197" s="20" t="n"/>
      <c r="K197">
        <f>I197+J197</f>
        <v/>
      </c>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c r="CL197" s="59" t="n"/>
      <c r="CM197" s="59" t="n"/>
      <c r="CN197" s="59" t="n"/>
    </row>
    <row r="198" ht="15" customFormat="1" customHeight="1" s="3">
      <c r="A198">
        <f>A197+1</f>
        <v/>
      </c>
      <c r="I198" s="20" t="n"/>
      <c r="K198">
        <f>I198+J198</f>
        <v/>
      </c>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c r="CL198" s="59" t="n"/>
      <c r="CM198" s="59" t="n"/>
      <c r="CN198" s="59" t="n"/>
    </row>
    <row r="199" ht="15" customFormat="1" customHeight="1" s="3">
      <c r="A199">
        <f>A198+1</f>
        <v/>
      </c>
      <c r="I199" s="20" t="n"/>
      <c r="K199">
        <f>I199+J199</f>
        <v/>
      </c>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c r="CL199" s="59" t="n"/>
      <c r="CM199" s="59" t="n"/>
      <c r="CN199" s="59" t="n"/>
    </row>
    <row r="200" ht="15" customFormat="1" customHeight="1" s="3">
      <c r="A200">
        <f>A199+1</f>
        <v/>
      </c>
      <c r="I200" s="20" t="n"/>
      <c r="K200">
        <f>I200+J200</f>
        <v/>
      </c>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c r="CL200" s="59" t="n"/>
      <c r="CM200" s="59" t="n"/>
      <c r="CN200" s="59" t="n"/>
    </row>
    <row r="201" ht="15" customFormat="1" customHeight="1" s="3">
      <c r="A201">
        <f>A200+1</f>
        <v/>
      </c>
      <c r="I201" s="20" t="n"/>
      <c r="K201">
        <f>I201+J201</f>
        <v/>
      </c>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c r="CL201" s="59" t="n"/>
      <c r="CM201" s="59" t="n"/>
      <c r="CN201" s="59" t="n"/>
    </row>
    <row r="202" ht="15" customFormat="1" customHeight="1" s="3">
      <c r="A202">
        <f>A201+1</f>
        <v/>
      </c>
      <c r="I202" s="20" t="n"/>
      <c r="K202">
        <f>I202+J202</f>
        <v/>
      </c>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c r="CL202" s="59" t="n"/>
      <c r="CM202" s="59" t="n"/>
      <c r="CN202" s="59" t="n"/>
    </row>
    <row r="203" ht="15" customFormat="1" customHeight="1" s="3">
      <c r="A203">
        <f>A202+1</f>
        <v/>
      </c>
      <c r="I203" s="20" t="n"/>
      <c r="K203">
        <f>I203+J203</f>
        <v/>
      </c>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c r="CL203" s="59" t="n"/>
      <c r="CM203" s="59" t="n"/>
      <c r="CN203" s="59" t="n"/>
    </row>
    <row r="204" ht="15" customFormat="1" customHeight="1" s="3">
      <c r="A204">
        <f>A203+1</f>
        <v/>
      </c>
      <c r="I204" s="20" t="n"/>
      <c r="K204">
        <f>I204+J204</f>
        <v/>
      </c>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c r="CL204" s="59" t="n"/>
      <c r="CM204" s="59" t="n"/>
      <c r="CN204" s="59" t="n"/>
    </row>
    <row r="205" ht="15" customFormat="1" customHeight="1" s="3">
      <c r="A205">
        <f>A204+1</f>
        <v/>
      </c>
      <c r="I205" s="20" t="n"/>
      <c r="K205">
        <f>I205+J205</f>
        <v/>
      </c>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c r="CL205" s="59" t="n"/>
      <c r="CM205" s="59" t="n"/>
      <c r="CN205" s="59" t="n"/>
    </row>
    <row r="206" ht="15" customFormat="1" customHeight="1" s="3">
      <c r="A206">
        <f>A205+1</f>
        <v/>
      </c>
      <c r="I206" s="20" t="n"/>
      <c r="K206">
        <f>I206+J206</f>
        <v/>
      </c>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c r="CL206" s="59" t="n"/>
      <c r="CM206" s="59" t="n"/>
      <c r="CN206" s="59" t="n"/>
    </row>
    <row r="207" ht="15" customFormat="1" customHeight="1" s="3">
      <c r="A207">
        <f>A206+1</f>
        <v/>
      </c>
      <c r="I207" s="20" t="n"/>
      <c r="K207">
        <f>I207+J207</f>
        <v/>
      </c>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c r="CL207" s="59" t="n"/>
      <c r="CM207" s="59" t="n"/>
      <c r="CN207" s="59" t="n"/>
    </row>
    <row r="208" ht="15" customFormat="1" customHeight="1" s="3">
      <c r="A208">
        <f>A207+1</f>
        <v/>
      </c>
      <c r="I208" s="20" t="n"/>
      <c r="K208">
        <f>I208+J208</f>
        <v/>
      </c>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c r="CL208" s="59" t="n"/>
      <c r="CM208" s="59" t="n"/>
      <c r="CN208" s="59" t="n"/>
    </row>
    <row r="209" ht="15" customFormat="1" customHeight="1" s="3">
      <c r="A209">
        <f>A208+1</f>
        <v/>
      </c>
      <c r="I209" s="20" t="n"/>
      <c r="K209">
        <f>I209+J209</f>
        <v/>
      </c>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c r="CL209" s="59" t="n"/>
      <c r="CM209" s="59" t="n"/>
      <c r="CN209" s="59" t="n"/>
    </row>
    <row r="210" ht="15" customFormat="1" customHeight="1" s="3">
      <c r="A210">
        <f>A209+1</f>
        <v/>
      </c>
      <c r="I210" s="20" t="n"/>
      <c r="K210">
        <f>I210+J210</f>
        <v/>
      </c>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c r="CL210" s="59" t="n"/>
      <c r="CM210" s="59" t="n"/>
      <c r="CN210" s="59" t="n"/>
    </row>
    <row r="211" ht="15" customFormat="1" customHeight="1" s="3">
      <c r="A211">
        <f>A210+1</f>
        <v/>
      </c>
      <c r="I211" s="20" t="n"/>
      <c r="K211">
        <f>I211+J211</f>
        <v/>
      </c>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c r="CL211" s="59" t="n"/>
      <c r="CM211" s="59" t="n"/>
      <c r="CN211" s="59" t="n"/>
    </row>
    <row r="212" ht="15" customFormat="1" customHeight="1" s="3">
      <c r="A212">
        <f>A211+1</f>
        <v/>
      </c>
      <c r="I212" s="20" t="n"/>
      <c r="K212">
        <f>I212+J212</f>
        <v/>
      </c>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c r="CL212" s="59" t="n"/>
      <c r="CM212" s="59" t="n"/>
      <c r="CN212" s="59" t="n"/>
    </row>
    <row r="213" ht="15" customFormat="1" customHeight="1" s="3">
      <c r="A213">
        <f>A212+1</f>
        <v/>
      </c>
      <c r="I213" s="20" t="n"/>
      <c r="K213">
        <f>I213+J213</f>
        <v/>
      </c>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c r="CL213" s="59" t="n"/>
      <c r="CM213" s="59" t="n"/>
      <c r="CN213" s="59" t="n"/>
    </row>
    <row r="214" ht="15" customFormat="1" customHeight="1" s="3">
      <c r="A214">
        <f>A213+1</f>
        <v/>
      </c>
      <c r="I214" s="20" t="n"/>
      <c r="K214">
        <f>I214+J214</f>
        <v/>
      </c>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c r="CL214" s="59" t="n"/>
      <c r="CM214" s="59" t="n"/>
      <c r="CN214" s="59" t="n"/>
    </row>
    <row r="215" ht="15" customFormat="1" customHeight="1" s="3">
      <c r="A215">
        <f>A214+1</f>
        <v/>
      </c>
      <c r="I215" s="20" t="n"/>
      <c r="K215">
        <f>I215+J215</f>
        <v/>
      </c>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c r="CL215" s="59" t="n"/>
      <c r="CM215" s="59" t="n"/>
      <c r="CN215" s="59" t="n"/>
    </row>
    <row r="216" ht="15" customFormat="1" customHeight="1" s="3">
      <c r="A216">
        <f>A215+1</f>
        <v/>
      </c>
      <c r="I216" s="20" t="n"/>
      <c r="K216">
        <f>I216+J216</f>
        <v/>
      </c>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c r="CL216" s="59" t="n"/>
      <c r="CM216" s="59" t="n"/>
      <c r="CN216" s="59" t="n"/>
    </row>
    <row r="217" ht="15" customFormat="1" customHeight="1" s="3">
      <c r="A217">
        <f>A216+1</f>
        <v/>
      </c>
      <c r="I217" s="20" t="n"/>
      <c r="K217">
        <f>I217+J217</f>
        <v/>
      </c>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c r="CL217" s="59" t="n"/>
      <c r="CM217" s="59" t="n"/>
      <c r="CN217" s="59" t="n"/>
    </row>
    <row r="218" ht="15" customFormat="1" customHeight="1" s="3">
      <c r="A218">
        <f>A217+1</f>
        <v/>
      </c>
      <c r="I218" s="20" t="n"/>
      <c r="K218">
        <f>I218+J218</f>
        <v/>
      </c>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c r="CL218" s="59" t="n"/>
      <c r="CM218" s="59" t="n"/>
      <c r="CN218" s="59" t="n"/>
    </row>
    <row r="219" ht="15" customFormat="1" customHeight="1" s="3">
      <c r="A219">
        <f>A218+1</f>
        <v/>
      </c>
      <c r="I219" s="20" t="n"/>
      <c r="K219">
        <f>I219+J219</f>
        <v/>
      </c>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c r="CL219" s="59" t="n"/>
      <c r="CM219" s="59" t="n"/>
      <c r="CN219" s="59" t="n"/>
    </row>
    <row r="220" ht="15" customFormat="1" customHeight="1" s="3">
      <c r="A220">
        <f>A219+1</f>
        <v/>
      </c>
      <c r="I220" s="20" t="n"/>
      <c r="K220">
        <f>I220+J220</f>
        <v/>
      </c>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c r="CL220" s="59" t="n"/>
      <c r="CM220" s="59" t="n"/>
      <c r="CN220" s="59" t="n"/>
    </row>
    <row r="221" ht="15" customFormat="1" customHeight="1" s="3">
      <c r="A221">
        <f>A220+1</f>
        <v/>
      </c>
      <c r="I221" s="20" t="n"/>
      <c r="K221">
        <f>I221+J221</f>
        <v/>
      </c>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c r="CL221" s="59" t="n"/>
      <c r="CM221" s="59" t="n"/>
      <c r="CN221" s="59" t="n"/>
    </row>
    <row r="222" ht="15" customFormat="1" customHeight="1" s="3">
      <c r="A222">
        <f>A221+1</f>
        <v/>
      </c>
      <c r="I222" s="20" t="n"/>
      <c r="K222">
        <f>I222+J222</f>
        <v/>
      </c>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c r="CL222" s="59" t="n"/>
      <c r="CM222" s="59" t="n"/>
      <c r="CN222" s="59" t="n"/>
    </row>
    <row r="223" ht="15" customFormat="1" customHeight="1" s="3">
      <c r="A223">
        <f>A222+1</f>
        <v/>
      </c>
      <c r="I223" s="20" t="n"/>
      <c r="K223">
        <f>I223+J223</f>
        <v/>
      </c>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c r="CL223" s="59" t="n"/>
      <c r="CM223" s="59" t="n"/>
      <c r="CN223" s="59" t="n"/>
    </row>
    <row r="224" ht="15" customFormat="1" customHeight="1" s="3">
      <c r="A224">
        <f>A223+1</f>
        <v/>
      </c>
      <c r="I224" s="20" t="n"/>
      <c r="K224">
        <f>I224+J224</f>
        <v/>
      </c>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c r="CL224" s="59" t="n"/>
      <c r="CM224" s="59" t="n"/>
      <c r="CN224" s="59" t="n"/>
    </row>
    <row r="225" ht="15" customFormat="1" customHeight="1" s="3">
      <c r="A225">
        <f>A224+1</f>
        <v/>
      </c>
      <c r="I225" s="20" t="n"/>
      <c r="K225">
        <f>I225+J225</f>
        <v/>
      </c>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c r="CL225" s="59" t="n"/>
      <c r="CM225" s="59" t="n"/>
      <c r="CN225" s="59" t="n"/>
    </row>
    <row r="226" ht="15" customFormat="1" customHeight="1" s="3">
      <c r="A226">
        <f>A225+1</f>
        <v/>
      </c>
      <c r="I226" s="20" t="n"/>
      <c r="K226">
        <f>I226+J226</f>
        <v/>
      </c>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c r="CL226" s="59" t="n"/>
      <c r="CM226" s="59" t="n"/>
      <c r="CN226" s="59" t="n"/>
    </row>
    <row r="227" ht="15" customFormat="1" customHeight="1" s="3">
      <c r="A227">
        <f>A226+1</f>
        <v/>
      </c>
      <c r="I227" s="20" t="n"/>
      <c r="K227">
        <f>I227+J227</f>
        <v/>
      </c>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c r="CL227" s="59" t="n"/>
      <c r="CM227" s="59" t="n"/>
      <c r="CN227" s="59" t="n"/>
    </row>
    <row r="228" ht="15" customFormat="1" customHeight="1" s="3">
      <c r="A228">
        <f>A227+1</f>
        <v/>
      </c>
      <c r="I228" s="20" t="n"/>
      <c r="K228">
        <f>I228+J228</f>
        <v/>
      </c>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c r="CL228" s="59" t="n"/>
      <c r="CM228" s="59" t="n"/>
      <c r="CN228" s="59" t="n"/>
    </row>
    <row r="229" ht="15" customFormat="1" customHeight="1" s="3">
      <c r="A229">
        <f>A228+1</f>
        <v/>
      </c>
      <c r="I229" s="20" t="n"/>
      <c r="K229">
        <f>I229+J229</f>
        <v/>
      </c>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c r="CL229" s="59" t="n"/>
      <c r="CM229" s="59" t="n"/>
      <c r="CN229" s="59" t="n"/>
    </row>
    <row r="230" ht="15" customFormat="1" customHeight="1" s="3">
      <c r="A230">
        <f>A229+1</f>
        <v/>
      </c>
      <c r="I230" s="20" t="n"/>
      <c r="K230">
        <f>I230+J230</f>
        <v/>
      </c>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c r="CL230" s="59" t="n"/>
      <c r="CM230" s="59" t="n"/>
      <c r="CN230" s="59" t="n"/>
    </row>
    <row r="231" ht="15" customFormat="1" customHeight="1" s="3">
      <c r="A231">
        <f>A230+1</f>
        <v/>
      </c>
      <c r="I231" s="20" t="n"/>
      <c r="K231">
        <f>I231+J231</f>
        <v/>
      </c>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c r="CL231" s="59" t="n"/>
      <c r="CM231" s="59" t="n"/>
      <c r="CN231" s="59" t="n"/>
    </row>
    <row r="232" ht="15" customFormat="1" customHeight="1" s="3">
      <c r="A232">
        <f>A231+1</f>
        <v/>
      </c>
      <c r="I232" s="20" t="n"/>
      <c r="K232">
        <f>I232+J232</f>
        <v/>
      </c>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c r="CL232" s="59" t="n"/>
      <c r="CM232" s="59" t="n"/>
      <c r="CN232" s="59" t="n"/>
    </row>
    <row r="233" ht="15" customFormat="1" customHeight="1" s="3">
      <c r="A233">
        <f>A232+1</f>
        <v/>
      </c>
      <c r="I233" s="20" t="n"/>
      <c r="K233">
        <f>I233+J233</f>
        <v/>
      </c>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c r="CL233" s="59" t="n"/>
      <c r="CM233" s="59" t="n"/>
      <c r="CN233" s="59" t="n"/>
    </row>
    <row r="234" ht="15" customFormat="1" customHeight="1" s="3">
      <c r="A234">
        <f>A233+1</f>
        <v/>
      </c>
      <c r="I234" s="20" t="n"/>
      <c r="K234">
        <f>I234+J234</f>
        <v/>
      </c>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c r="CL234" s="59" t="n"/>
      <c r="CM234" s="59" t="n"/>
      <c r="CN234" s="59" t="n"/>
    </row>
    <row r="235" ht="15" customFormat="1" customHeight="1" s="3">
      <c r="A235">
        <f>A234+1</f>
        <v/>
      </c>
      <c r="I235" s="20" t="n"/>
      <c r="K235">
        <f>I235+J235</f>
        <v/>
      </c>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c r="CL235" s="59" t="n"/>
      <c r="CM235" s="59" t="n"/>
      <c r="CN235" s="59" t="n"/>
    </row>
    <row r="236" ht="15" customFormat="1" customHeight="1" s="3">
      <c r="A236">
        <f>A235+1</f>
        <v/>
      </c>
      <c r="I236" s="20" t="n"/>
      <c r="K236">
        <f>I236+J236</f>
        <v/>
      </c>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c r="CL236" s="59" t="n"/>
      <c r="CM236" s="59" t="n"/>
      <c r="CN236" s="59" t="n"/>
    </row>
    <row r="237" ht="15" customFormat="1" customHeight="1" s="3">
      <c r="A237">
        <f>A236+1</f>
        <v/>
      </c>
      <c r="I237" s="20" t="n"/>
      <c r="K237">
        <f>I237+J237</f>
        <v/>
      </c>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row>
    <row r="238" ht="15" customFormat="1" customHeight="1" s="3">
      <c r="A238">
        <f>A237+1</f>
        <v/>
      </c>
      <c r="I238" s="20" t="n"/>
      <c r="K238">
        <f>I238+J238</f>
        <v/>
      </c>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c r="CL238" s="59" t="n"/>
      <c r="CM238" s="59" t="n"/>
      <c r="CN238" s="59" t="n"/>
    </row>
    <row r="239" ht="15" customFormat="1" customHeight="1" s="3">
      <c r="A239">
        <f>A238+1</f>
        <v/>
      </c>
      <c r="I239" s="20" t="n"/>
      <c r="K239">
        <f>I239+J239</f>
        <v/>
      </c>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c r="CL239" s="59" t="n"/>
      <c r="CM239" s="59" t="n"/>
      <c r="CN239" s="59" t="n"/>
    </row>
    <row r="240" ht="15" customFormat="1" customHeight="1" s="3">
      <c r="A240">
        <f>A239+1</f>
        <v/>
      </c>
      <c r="I240" s="20" t="n"/>
      <c r="K240">
        <f>I240+J240</f>
        <v/>
      </c>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c r="CL240" s="59" t="n"/>
      <c r="CM240" s="59" t="n"/>
      <c r="CN240" s="59" t="n"/>
    </row>
    <row r="241" ht="15" customFormat="1" customHeight="1" s="3">
      <c r="A241">
        <f>A240+1</f>
        <v/>
      </c>
      <c r="I241" s="20" t="n"/>
      <c r="K241">
        <f>I241+J241</f>
        <v/>
      </c>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c r="CL241" s="59" t="n"/>
      <c r="CM241" s="59" t="n"/>
      <c r="CN241" s="59" t="n"/>
    </row>
    <row r="242" ht="15" customFormat="1" customHeight="1" s="3">
      <c r="A242">
        <f>A241+1</f>
        <v/>
      </c>
      <c r="I242" s="20" t="n"/>
      <c r="K242">
        <f>I242+J242</f>
        <v/>
      </c>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c r="CL242" s="59" t="n"/>
      <c r="CM242" s="59" t="n"/>
      <c r="CN242" s="59" t="n"/>
    </row>
    <row r="243" ht="15" customFormat="1" customHeight="1" s="3">
      <c r="A243">
        <f>A242+1</f>
        <v/>
      </c>
      <c r="I243" s="20" t="n"/>
      <c r="K243">
        <f>I243+J243</f>
        <v/>
      </c>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c r="CL243" s="59" t="n"/>
      <c r="CM243" s="59" t="n"/>
      <c r="CN243" s="59" t="n"/>
    </row>
    <row r="244" ht="15" customFormat="1" customHeight="1" s="3">
      <c r="A244">
        <f>A243+1</f>
        <v/>
      </c>
      <c r="I244" s="20" t="n"/>
      <c r="K244">
        <f>I244+J244</f>
        <v/>
      </c>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c r="CL244" s="59" t="n"/>
      <c r="CM244" s="59" t="n"/>
      <c r="CN244" s="59" t="n"/>
    </row>
    <row r="245" ht="15" customFormat="1" customHeight="1" s="3">
      <c r="A245">
        <f>A244+1</f>
        <v/>
      </c>
      <c r="I245" s="20" t="n"/>
      <c r="K245">
        <f>I245+J245</f>
        <v/>
      </c>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c r="CL245" s="59" t="n"/>
      <c r="CM245" s="59" t="n"/>
      <c r="CN245" s="59" t="n"/>
    </row>
    <row r="246" ht="15" customFormat="1" customHeight="1" s="3">
      <c r="A246">
        <f>A245+1</f>
        <v/>
      </c>
      <c r="I246" s="20" t="n"/>
      <c r="K246">
        <f>I246+J246</f>
        <v/>
      </c>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c r="CL246" s="59" t="n"/>
      <c r="CM246" s="59" t="n"/>
      <c r="CN246" s="59" t="n"/>
    </row>
    <row r="247" ht="15" customFormat="1" customHeight="1" s="3">
      <c r="A247">
        <f>A246+1</f>
        <v/>
      </c>
      <c r="I247" s="20" t="n"/>
      <c r="K247">
        <f>I247+J247</f>
        <v/>
      </c>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c r="CL247" s="59" t="n"/>
      <c r="CM247" s="59" t="n"/>
      <c r="CN247" s="59" t="n"/>
    </row>
    <row r="248" ht="15" customFormat="1" customHeight="1" s="3">
      <c r="A248">
        <f>A247+1</f>
        <v/>
      </c>
      <c r="I248" s="20" t="n"/>
      <c r="K248">
        <f>I248+J248</f>
        <v/>
      </c>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c r="CL248" s="59" t="n"/>
      <c r="CM248" s="59" t="n"/>
      <c r="CN248" s="59" t="n"/>
    </row>
    <row r="249" ht="15" customFormat="1" customHeight="1" s="3">
      <c r="A249">
        <f>A248+1</f>
        <v/>
      </c>
      <c r="I249" s="20" t="n"/>
      <c r="K249">
        <f>I249+J249</f>
        <v/>
      </c>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c r="CL249" s="59" t="n"/>
      <c r="CM249" s="59" t="n"/>
      <c r="CN249" s="59" t="n"/>
    </row>
    <row r="250" ht="15" customFormat="1" customHeight="1" s="3">
      <c r="A250">
        <f>A249+1</f>
        <v/>
      </c>
      <c r="I250" s="20" t="n"/>
      <c r="K250">
        <f>I250+J250</f>
        <v/>
      </c>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c r="CL250" s="59" t="n"/>
      <c r="CM250" s="59" t="n"/>
      <c r="CN250" s="59" t="n"/>
    </row>
    <row r="251" ht="15" customFormat="1" customHeight="1" s="3">
      <c r="A251">
        <f>A250+1</f>
        <v/>
      </c>
      <c r="I251" s="20" t="n"/>
      <c r="K251">
        <f>I251+J251</f>
        <v/>
      </c>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c r="CL251" s="59" t="n"/>
      <c r="CM251" s="59" t="n"/>
      <c r="CN251" s="59" t="n"/>
    </row>
    <row r="252" ht="15" customFormat="1" customHeight="1" s="3">
      <c r="A252">
        <f>A251+1</f>
        <v/>
      </c>
      <c r="I252" s="20" t="n"/>
      <c r="K252">
        <f>I252+J252</f>
        <v/>
      </c>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c r="CL252" s="59" t="n"/>
      <c r="CM252" s="59" t="n"/>
      <c r="CN252" s="59" t="n"/>
    </row>
    <row r="253" ht="15" customFormat="1" customHeight="1" s="3">
      <c r="A253">
        <f>A252+1</f>
        <v/>
      </c>
      <c r="I253" s="20" t="n"/>
      <c r="K253">
        <f>I253+J253</f>
        <v/>
      </c>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c r="CL253" s="59" t="n"/>
      <c r="CM253" s="59" t="n"/>
      <c r="CN253" s="59" t="n"/>
    </row>
    <row r="254" ht="15" customFormat="1" customHeight="1" s="3">
      <c r="A254">
        <f>A253+1</f>
        <v/>
      </c>
      <c r="I254" s="20" t="n"/>
      <c r="K254">
        <f>I254+J254</f>
        <v/>
      </c>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c r="CL254" s="59" t="n"/>
      <c r="CM254" s="59" t="n"/>
      <c r="CN254" s="59" t="n"/>
    </row>
    <row r="255" ht="15" customFormat="1" customHeight="1" s="3">
      <c r="A255">
        <f>A254+1</f>
        <v/>
      </c>
      <c r="I255" s="20" t="n"/>
      <c r="K255">
        <f>I255+J255</f>
        <v/>
      </c>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c r="CL255" s="59" t="n"/>
      <c r="CM255" s="59" t="n"/>
      <c r="CN255" s="59" t="n"/>
    </row>
    <row r="256" ht="15" customFormat="1" customHeight="1" s="3">
      <c r="A256">
        <f>A255+1</f>
        <v/>
      </c>
      <c r="I256" s="20" t="n"/>
      <c r="K256">
        <f>I256+J256</f>
        <v/>
      </c>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c r="CL256" s="59" t="n"/>
      <c r="CM256" s="59" t="n"/>
      <c r="CN256" s="59" t="n"/>
    </row>
    <row r="257" ht="15" customFormat="1" customHeight="1" s="3">
      <c r="A257">
        <f>A256+1</f>
        <v/>
      </c>
      <c r="I257" s="20" t="n"/>
      <c r="K257">
        <f>I257+J257</f>
        <v/>
      </c>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c r="CL257" s="59" t="n"/>
      <c r="CM257" s="59" t="n"/>
      <c r="CN257" s="59" t="n"/>
    </row>
    <row r="258" ht="15" customFormat="1" customHeight="1" s="3">
      <c r="A258">
        <f>A257+1</f>
        <v/>
      </c>
      <c r="I258" s="20" t="n"/>
      <c r="K258">
        <f>I258+J258</f>
        <v/>
      </c>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c r="CL258" s="59" t="n"/>
      <c r="CM258" s="59" t="n"/>
      <c r="CN258" s="59" t="n"/>
    </row>
    <row r="259" ht="15" customFormat="1" customHeight="1" s="3">
      <c r="A259">
        <f>A258+1</f>
        <v/>
      </c>
      <c r="I259" s="20" t="n"/>
      <c r="K259">
        <f>I259+J259</f>
        <v/>
      </c>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c r="CL259" s="59" t="n"/>
      <c r="CM259" s="59" t="n"/>
      <c r="CN259" s="59" t="n"/>
    </row>
    <row r="260" ht="15" customFormat="1" customHeight="1" s="3">
      <c r="A260">
        <f>A259+1</f>
        <v/>
      </c>
      <c r="I260" s="20" t="n"/>
      <c r="K260">
        <f>I260+J260</f>
        <v/>
      </c>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c r="CL260" s="59" t="n"/>
      <c r="CM260" s="59" t="n"/>
      <c r="CN260" s="59" t="n"/>
    </row>
    <row r="261" ht="15" customFormat="1" customHeight="1" s="3">
      <c r="A261">
        <f>A260+1</f>
        <v/>
      </c>
      <c r="I261" s="20" t="n"/>
      <c r="K261">
        <f>I261+J261</f>
        <v/>
      </c>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c r="CL261" s="59" t="n"/>
      <c r="CM261" s="59" t="n"/>
      <c r="CN261" s="59" t="n"/>
    </row>
    <row r="262" ht="15" customFormat="1" customHeight="1" s="3">
      <c r="A262">
        <f>A261+1</f>
        <v/>
      </c>
      <c r="I262" s="20" t="n"/>
      <c r="K262">
        <f>I262+J262</f>
        <v/>
      </c>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c r="CL262" s="59" t="n"/>
      <c r="CM262" s="59" t="n"/>
      <c r="CN262" s="59" t="n"/>
    </row>
    <row r="263" ht="15" customFormat="1" customHeight="1" s="3">
      <c r="A263">
        <f>A262+1</f>
        <v/>
      </c>
      <c r="I263" s="20" t="n"/>
      <c r="K263">
        <f>I263+J263</f>
        <v/>
      </c>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c r="CL263" s="59" t="n"/>
      <c r="CM263" s="59" t="n"/>
      <c r="CN263" s="59" t="n"/>
    </row>
    <row r="264" ht="15" customFormat="1" customHeight="1" s="3">
      <c r="A264">
        <f>A263+1</f>
        <v/>
      </c>
      <c r="I264" s="20" t="n"/>
      <c r="K264">
        <f>I264+J264</f>
        <v/>
      </c>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c r="CL264" s="59" t="n"/>
      <c r="CM264" s="59" t="n"/>
      <c r="CN264" s="59" t="n"/>
    </row>
    <row r="265" ht="15" customFormat="1" customHeight="1" s="3">
      <c r="A265">
        <f>A264+1</f>
        <v/>
      </c>
      <c r="I265" s="20" t="n"/>
      <c r="K265">
        <f>I265+J265</f>
        <v/>
      </c>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c r="CL265" s="59" t="n"/>
      <c r="CM265" s="59" t="n"/>
      <c r="CN265" s="59" t="n"/>
    </row>
    <row r="266" ht="15" customFormat="1" customHeight="1" s="3">
      <c r="A266">
        <f>A265+1</f>
        <v/>
      </c>
      <c r="I266" s="20" t="n"/>
      <c r="K266">
        <f>I266+J266</f>
        <v/>
      </c>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c r="CL266" s="59" t="n"/>
      <c r="CM266" s="59" t="n"/>
      <c r="CN266" s="59" t="n"/>
    </row>
    <row r="267" ht="15" customFormat="1" customHeight="1" s="3">
      <c r="A267">
        <f>A266+1</f>
        <v/>
      </c>
      <c r="I267" s="20" t="n"/>
      <c r="K267">
        <f>I267+J267</f>
        <v/>
      </c>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c r="CL267" s="59" t="n"/>
      <c r="CM267" s="59" t="n"/>
      <c r="CN267" s="59" t="n"/>
    </row>
    <row r="268" ht="15" customFormat="1" customHeight="1" s="3">
      <c r="A268">
        <f>A267+1</f>
        <v/>
      </c>
      <c r="I268" s="20" t="n"/>
      <c r="K268">
        <f>I268+J268</f>
        <v/>
      </c>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c r="CL268" s="59" t="n"/>
      <c r="CM268" s="59" t="n"/>
      <c r="CN268" s="59" t="n"/>
    </row>
    <row r="269" ht="15" customFormat="1" customHeight="1" s="3">
      <c r="A269">
        <f>A268+1</f>
        <v/>
      </c>
      <c r="I269" s="20" t="n"/>
      <c r="K269">
        <f>I269+J269</f>
        <v/>
      </c>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c r="CL269" s="59" t="n"/>
      <c r="CM269" s="59" t="n"/>
      <c r="CN269" s="59" t="n"/>
    </row>
    <row r="270" ht="15" customFormat="1" customHeight="1" s="3">
      <c r="A270">
        <f>A269+1</f>
        <v/>
      </c>
      <c r="I270" s="20" t="n"/>
      <c r="K270">
        <f>I270+J270</f>
        <v/>
      </c>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c r="CL270" s="59" t="n"/>
      <c r="CM270" s="59" t="n"/>
      <c r="CN270" s="59" t="n"/>
    </row>
    <row r="271" ht="15" customFormat="1" customHeight="1" s="3">
      <c r="A271">
        <f>A270+1</f>
        <v/>
      </c>
      <c r="I271" s="20" t="n"/>
      <c r="K271">
        <f>I271+J271</f>
        <v/>
      </c>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c r="CL271" s="59" t="n"/>
      <c r="CM271" s="59" t="n"/>
      <c r="CN271" s="59" t="n"/>
    </row>
    <row r="272" ht="15" customFormat="1" customHeight="1" s="3">
      <c r="A272">
        <f>A271+1</f>
        <v/>
      </c>
      <c r="I272" s="20" t="n"/>
      <c r="K272">
        <f>I272+J272</f>
        <v/>
      </c>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c r="CL272" s="59" t="n"/>
      <c r="CM272" s="59" t="n"/>
      <c r="CN272" s="59" t="n"/>
    </row>
    <row r="273" ht="15" customFormat="1" customHeight="1" s="3">
      <c r="A273">
        <f>A272+1</f>
        <v/>
      </c>
      <c r="I273" s="20" t="n"/>
      <c r="K273">
        <f>I273+J273</f>
        <v/>
      </c>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c r="CL273" s="59" t="n"/>
      <c r="CM273" s="59" t="n"/>
      <c r="CN273" s="59" t="n"/>
    </row>
    <row r="274" ht="15" customFormat="1" customHeight="1" s="3">
      <c r="A274">
        <f>A273+1</f>
        <v/>
      </c>
      <c r="I274" s="20" t="n"/>
      <c r="K274">
        <f>I274+J274</f>
        <v/>
      </c>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c r="CL274" s="59" t="n"/>
      <c r="CM274" s="59" t="n"/>
      <c r="CN274" s="59" t="n"/>
    </row>
    <row r="275" ht="15" customFormat="1" customHeight="1" s="3">
      <c r="A275">
        <f>A274+1</f>
        <v/>
      </c>
      <c r="I275" s="20" t="n"/>
      <c r="K275">
        <f>I275+J275</f>
        <v/>
      </c>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c r="CL275" s="59" t="n"/>
      <c r="CM275" s="59" t="n"/>
      <c r="CN275" s="59" t="n"/>
    </row>
    <row r="276" ht="15" customFormat="1" customHeight="1" s="3">
      <c r="A276">
        <f>A275+1</f>
        <v/>
      </c>
      <c r="I276" s="20" t="n"/>
      <c r="K276">
        <f>I276+J276</f>
        <v/>
      </c>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c r="CL276" s="59" t="n"/>
      <c r="CM276" s="59" t="n"/>
      <c r="CN276" s="59" t="n"/>
    </row>
    <row r="277" ht="15" customFormat="1" customHeight="1" s="3">
      <c r="A277">
        <f>A276+1</f>
        <v/>
      </c>
      <c r="I277" s="20" t="n"/>
      <c r="K277">
        <f>I277+J277</f>
        <v/>
      </c>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c r="CL277" s="59" t="n"/>
      <c r="CM277" s="59" t="n"/>
      <c r="CN277" s="59" t="n"/>
    </row>
    <row r="278" ht="15" customFormat="1" customHeight="1" s="3">
      <c r="A278">
        <f>A277+1</f>
        <v/>
      </c>
      <c r="I278" s="20" t="n"/>
      <c r="K278">
        <f>I278+J278</f>
        <v/>
      </c>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c r="CL278" s="59" t="n"/>
      <c r="CM278" s="59" t="n"/>
      <c r="CN278" s="59" t="n"/>
    </row>
    <row r="279" ht="15" customFormat="1" customHeight="1" s="3">
      <c r="A279">
        <f>A278+1</f>
        <v/>
      </c>
      <c r="I279" s="20" t="n"/>
      <c r="K279">
        <f>I279+J279</f>
        <v/>
      </c>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c r="CL279" s="59" t="n"/>
      <c r="CM279" s="59" t="n"/>
      <c r="CN279" s="59" t="n"/>
    </row>
    <row r="280" ht="15" customFormat="1" customHeight="1" s="3">
      <c r="A280">
        <f>A279+1</f>
        <v/>
      </c>
      <c r="I280" s="20" t="n"/>
      <c r="K280">
        <f>I280+J280</f>
        <v/>
      </c>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c r="CL280" s="59" t="n"/>
      <c r="CM280" s="59" t="n"/>
      <c r="CN280" s="59" t="n"/>
    </row>
    <row r="281" ht="15" customFormat="1" customHeight="1" s="3">
      <c r="A281">
        <f>A280+1</f>
        <v/>
      </c>
      <c r="I281" s="20" t="n"/>
      <c r="K281">
        <f>I281+J281</f>
        <v/>
      </c>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c r="CL281" s="59" t="n"/>
      <c r="CM281" s="59" t="n"/>
      <c r="CN281" s="59" t="n"/>
    </row>
    <row r="282" ht="15" customFormat="1" customHeight="1" s="3">
      <c r="A282">
        <f>A281+1</f>
        <v/>
      </c>
      <c r="I282" s="20" t="n"/>
      <c r="K282">
        <f>I282+J282</f>
        <v/>
      </c>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c r="CL282" s="59" t="n"/>
      <c r="CM282" s="59" t="n"/>
      <c r="CN282" s="59" t="n"/>
    </row>
    <row r="283" ht="15" customFormat="1" customHeight="1" s="3">
      <c r="A283">
        <f>A282+1</f>
        <v/>
      </c>
      <c r="I283" s="20" t="n"/>
      <c r="K283">
        <f>I283+J283</f>
        <v/>
      </c>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c r="CL283" s="59" t="n"/>
      <c r="CM283" s="59" t="n"/>
      <c r="CN283" s="59" t="n"/>
    </row>
    <row r="284" ht="15" customFormat="1" customHeight="1" s="3">
      <c r="A284">
        <f>A283+1</f>
        <v/>
      </c>
      <c r="I284" s="20" t="n"/>
      <c r="K284">
        <f>I284+J284</f>
        <v/>
      </c>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c r="CL284" s="59" t="n"/>
      <c r="CM284" s="59" t="n"/>
      <c r="CN284" s="59" t="n"/>
    </row>
    <row r="285" ht="15" customFormat="1" customHeight="1" s="3">
      <c r="A285">
        <f>A284+1</f>
        <v/>
      </c>
      <c r="I285" s="20" t="n"/>
      <c r="K285">
        <f>I285+J285</f>
        <v/>
      </c>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c r="CL285" s="59" t="n"/>
      <c r="CM285" s="59" t="n"/>
      <c r="CN285" s="59" t="n"/>
    </row>
    <row r="286" ht="15" customFormat="1" customHeight="1" s="3">
      <c r="A286">
        <f>A285+1</f>
        <v/>
      </c>
      <c r="I286" s="20" t="n"/>
      <c r="K286">
        <f>I286+J286</f>
        <v/>
      </c>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c r="CL286" s="59" t="n"/>
      <c r="CM286" s="59" t="n"/>
      <c r="CN286" s="59" t="n"/>
    </row>
    <row r="287" ht="15" customFormat="1" customHeight="1" s="3">
      <c r="A287">
        <f>A286+1</f>
        <v/>
      </c>
      <c r="I287" s="20" t="n"/>
      <c r="K287">
        <f>I287+J287</f>
        <v/>
      </c>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c r="CL287" s="59" t="n"/>
      <c r="CM287" s="59" t="n"/>
      <c r="CN287" s="59" t="n"/>
    </row>
    <row r="288" ht="15" customFormat="1" customHeight="1" s="3">
      <c r="A288">
        <f>A287+1</f>
        <v/>
      </c>
      <c r="I288" s="20" t="n"/>
      <c r="K288">
        <f>I288+J288</f>
        <v/>
      </c>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c r="CL288" s="59" t="n"/>
      <c r="CM288" s="59" t="n"/>
      <c r="CN288" s="59" t="n"/>
    </row>
    <row r="289" ht="15" customFormat="1" customHeight="1" s="3">
      <c r="A289">
        <f>A288+1</f>
        <v/>
      </c>
      <c r="I289" s="20" t="n"/>
      <c r="K289">
        <f>I289+J289</f>
        <v/>
      </c>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c r="CL289" s="59" t="n"/>
      <c r="CM289" s="59" t="n"/>
      <c r="CN289" s="59" t="n"/>
    </row>
    <row r="290" ht="15" customFormat="1" customHeight="1" s="3">
      <c r="A290">
        <f>A289+1</f>
        <v/>
      </c>
      <c r="I290" s="20" t="n"/>
      <c r="K290">
        <f>I290+J290</f>
        <v/>
      </c>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c r="CL290" s="59" t="n"/>
      <c r="CM290" s="59" t="n"/>
      <c r="CN290" s="59" t="n"/>
    </row>
    <row r="291" ht="15" customFormat="1" customHeight="1" s="3">
      <c r="A291">
        <f>A290+1</f>
        <v/>
      </c>
      <c r="I291" s="20" t="n"/>
      <c r="K291">
        <f>I291+J291</f>
        <v/>
      </c>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c r="CL291" s="59" t="n"/>
      <c r="CM291" s="59" t="n"/>
      <c r="CN291" s="59" t="n"/>
    </row>
    <row r="292" ht="15" customFormat="1" customHeight="1" s="3">
      <c r="A292">
        <f>A291+1</f>
        <v/>
      </c>
      <c r="I292" s="20" t="n"/>
      <c r="K292">
        <f>I292+J292</f>
        <v/>
      </c>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c r="CL292" s="59" t="n"/>
      <c r="CM292" s="59" t="n"/>
      <c r="CN292" s="59" t="n"/>
    </row>
    <row r="293" ht="15" customFormat="1" customHeight="1" s="3">
      <c r="A293">
        <f>A292+1</f>
        <v/>
      </c>
      <c r="I293" s="20" t="n"/>
      <c r="K293">
        <f>I293+J293</f>
        <v/>
      </c>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c r="CL293" s="59" t="n"/>
      <c r="CM293" s="59" t="n"/>
      <c r="CN293" s="59" t="n"/>
    </row>
    <row r="294" ht="15" customFormat="1" customHeight="1" s="3">
      <c r="A294">
        <f>A293+1</f>
        <v/>
      </c>
      <c r="I294" s="20" t="n"/>
      <c r="K294">
        <f>I294+J294</f>
        <v/>
      </c>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c r="CL294" s="59" t="n"/>
      <c r="CM294" s="59" t="n"/>
      <c r="CN294" s="59" t="n"/>
    </row>
    <row r="295" ht="15" customFormat="1" customHeight="1" s="3">
      <c r="A295">
        <f>A294+1</f>
        <v/>
      </c>
      <c r="I295" s="20" t="n"/>
      <c r="K295">
        <f>I295+J295</f>
        <v/>
      </c>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c r="CL295" s="59" t="n"/>
      <c r="CM295" s="59" t="n"/>
      <c r="CN295" s="59" t="n"/>
    </row>
    <row r="296" ht="15" customFormat="1" customHeight="1" s="3">
      <c r="A296">
        <f>A295+1</f>
        <v/>
      </c>
      <c r="I296" s="20" t="n"/>
      <c r="K296">
        <f>I296+J296</f>
        <v/>
      </c>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c r="CL296" s="59" t="n"/>
      <c r="CM296" s="59" t="n"/>
      <c r="CN296" s="59" t="n"/>
    </row>
    <row r="297" ht="15" customFormat="1" customHeight="1" s="3">
      <c r="A297">
        <f>A296+1</f>
        <v/>
      </c>
      <c r="I297" s="20" t="n"/>
      <c r="K297">
        <f>I297+J297</f>
        <v/>
      </c>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c r="CL297" s="59" t="n"/>
      <c r="CM297" s="59" t="n"/>
      <c r="CN297" s="59" t="n"/>
    </row>
    <row r="298" ht="15" customFormat="1" customHeight="1" s="3">
      <c r="A298">
        <f>A297+1</f>
        <v/>
      </c>
      <c r="I298" s="20" t="n"/>
      <c r="K298">
        <f>I298+J298</f>
        <v/>
      </c>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c r="CL298" s="59" t="n"/>
      <c r="CM298" s="59" t="n"/>
      <c r="CN298" s="59" t="n"/>
    </row>
    <row r="299" ht="15" customFormat="1" customHeight="1" s="3">
      <c r="A299">
        <f>A298+1</f>
        <v/>
      </c>
      <c r="I299" s="20" t="n"/>
      <c r="K299">
        <f>I299+J299</f>
        <v/>
      </c>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c r="CL299" s="59" t="n"/>
      <c r="CM299" s="59" t="n"/>
      <c r="CN299" s="59" t="n"/>
    </row>
    <row r="300" ht="15" customFormat="1" customHeight="1" s="3">
      <c r="A300">
        <f>A299+1</f>
        <v/>
      </c>
      <c r="I300" s="20" t="n"/>
      <c r="K300">
        <f>I300+J300</f>
        <v/>
      </c>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c r="CL300" s="59" t="n"/>
      <c r="CM300" s="59" t="n"/>
      <c r="CN300" s="59" t="n"/>
    </row>
    <row r="301" ht="15" customFormat="1" customHeight="1" s="3">
      <c r="A301">
        <f>A300+1</f>
        <v/>
      </c>
      <c r="I301" s="20" t="n"/>
      <c r="K301">
        <f>I301+J301</f>
        <v/>
      </c>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c r="CL301" s="59" t="n"/>
      <c r="CM301" s="59" t="n"/>
      <c r="CN301" s="59" t="n"/>
    </row>
    <row r="302" ht="15" customFormat="1" customHeight="1" s="3">
      <c r="A302">
        <f>A301+1</f>
        <v/>
      </c>
      <c r="I302" s="20" t="n"/>
      <c r="K302">
        <f>I302+J302</f>
        <v/>
      </c>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c r="CL302" s="59" t="n"/>
      <c r="CM302" s="59" t="n"/>
      <c r="CN302" s="59" t="n"/>
    </row>
    <row r="303" ht="15" customFormat="1" customHeight="1" s="3">
      <c r="A303">
        <f>A302+1</f>
        <v/>
      </c>
      <c r="I303" s="20" t="n"/>
      <c r="K303">
        <f>I303+J303</f>
        <v/>
      </c>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c r="CL303" s="59" t="n"/>
      <c r="CM303" s="59" t="n"/>
      <c r="CN303" s="59" t="n"/>
    </row>
    <row r="304" ht="15" customFormat="1" customHeight="1" s="3">
      <c r="A304">
        <f>A303+1</f>
        <v/>
      </c>
      <c r="I304" s="20" t="n"/>
      <c r="K304">
        <f>I304+J304</f>
        <v/>
      </c>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c r="CL304" s="59" t="n"/>
      <c r="CM304" s="59" t="n"/>
      <c r="CN304" s="59" t="n"/>
    </row>
    <row r="305" ht="15" customFormat="1" customHeight="1" s="3">
      <c r="A305">
        <f>A304+1</f>
        <v/>
      </c>
      <c r="I305" s="20" t="n"/>
      <c r="K305">
        <f>I305+J305</f>
        <v/>
      </c>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c r="CL305" s="59" t="n"/>
      <c r="CM305" s="59" t="n"/>
      <c r="CN305" s="59" t="n"/>
    </row>
    <row r="306" ht="15" customFormat="1" customHeight="1" s="3">
      <c r="A306">
        <f>A305+1</f>
        <v/>
      </c>
      <c r="I306" s="20" t="n"/>
      <c r="K306">
        <f>I306+J306</f>
        <v/>
      </c>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c r="CL306" s="59" t="n"/>
      <c r="CM306" s="59" t="n"/>
      <c r="CN306" s="59" t="n"/>
    </row>
    <row r="307" ht="15" customFormat="1" customHeight="1" s="3">
      <c r="A307">
        <f>A306+1</f>
        <v/>
      </c>
      <c r="I307" s="20" t="n"/>
      <c r="K307">
        <f>I307+J307</f>
        <v/>
      </c>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c r="CL307" s="59" t="n"/>
      <c r="CM307" s="59" t="n"/>
      <c r="CN307" s="59" t="n"/>
    </row>
    <row r="308" ht="15" customFormat="1" customHeight="1" s="3">
      <c r="A308">
        <f>A307+1</f>
        <v/>
      </c>
      <c r="I308" s="20" t="n"/>
      <c r="K308">
        <f>I308+J308</f>
        <v/>
      </c>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c r="CL308" s="59" t="n"/>
      <c r="CM308" s="59" t="n"/>
      <c r="CN308" s="59" t="n"/>
    </row>
    <row r="309" ht="15" customFormat="1" customHeight="1" s="3">
      <c r="A309">
        <f>A308+1</f>
        <v/>
      </c>
      <c r="I309" s="20" t="n"/>
      <c r="K309">
        <f>I309+J309</f>
        <v/>
      </c>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c r="CL309" s="59" t="n"/>
      <c r="CM309" s="59" t="n"/>
      <c r="CN309" s="59" t="n"/>
    </row>
    <row r="310" ht="15" customFormat="1" customHeight="1" s="3">
      <c r="A310">
        <f>A309+1</f>
        <v/>
      </c>
      <c r="I310" s="20" t="n"/>
      <c r="K310">
        <f>I310+J310</f>
        <v/>
      </c>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c r="CL310" s="59" t="n"/>
      <c r="CM310" s="59" t="n"/>
      <c r="CN310" s="59" t="n"/>
    </row>
    <row r="311" ht="15" customFormat="1" customHeight="1" s="3">
      <c r="A311">
        <f>A310+1</f>
        <v/>
      </c>
      <c r="I311" s="20" t="n"/>
      <c r="K311">
        <f>I311+J311</f>
        <v/>
      </c>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c r="CL311" s="59" t="n"/>
      <c r="CM311" s="59" t="n"/>
      <c r="CN311" s="59" t="n"/>
    </row>
    <row r="312" ht="15" customFormat="1" customHeight="1" s="3">
      <c r="A312">
        <f>A311+1</f>
        <v/>
      </c>
      <c r="I312" s="20" t="n"/>
      <c r="K312">
        <f>I312+J312</f>
        <v/>
      </c>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c r="CL312" s="59" t="n"/>
      <c r="CM312" s="59" t="n"/>
      <c r="CN312" s="59" t="n"/>
    </row>
    <row r="313" ht="15" customFormat="1" customHeight="1" s="3">
      <c r="A313">
        <f>A312+1</f>
        <v/>
      </c>
      <c r="I313" s="20" t="n"/>
      <c r="K313">
        <f>I313+J313</f>
        <v/>
      </c>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c r="CL313" s="59" t="n"/>
      <c r="CM313" s="59" t="n"/>
      <c r="CN313" s="59" t="n"/>
    </row>
    <row r="314" ht="15" customFormat="1" customHeight="1" s="3">
      <c r="A314">
        <f>A313+1</f>
        <v/>
      </c>
      <c r="I314" s="20" t="n"/>
      <c r="K314">
        <f>I314+J314</f>
        <v/>
      </c>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c r="CL314" s="59" t="n"/>
      <c r="CM314" s="59" t="n"/>
      <c r="CN314" s="59" t="n"/>
    </row>
    <row r="315" ht="15" customFormat="1" customHeight="1" s="3">
      <c r="A315">
        <f>A314+1</f>
        <v/>
      </c>
      <c r="I315" s="20" t="n"/>
      <c r="K315">
        <f>I315+J315</f>
        <v/>
      </c>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c r="CL315" s="59" t="n"/>
      <c r="CM315" s="59" t="n"/>
      <c r="CN315" s="59" t="n"/>
    </row>
    <row r="316" ht="15" customFormat="1" customHeight="1" s="3">
      <c r="A316">
        <f>A315+1</f>
        <v/>
      </c>
      <c r="I316" s="20" t="n"/>
      <c r="K316">
        <f>I316+J316</f>
        <v/>
      </c>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c r="CL316" s="59" t="n"/>
      <c r="CM316" s="59" t="n"/>
      <c r="CN316" s="59" t="n"/>
    </row>
    <row r="317" ht="15" customFormat="1" customHeight="1" s="3">
      <c r="A317">
        <f>A316+1</f>
        <v/>
      </c>
      <c r="I317" s="20" t="n"/>
      <c r="K317">
        <f>I317+J317</f>
        <v/>
      </c>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c r="CL317" s="59" t="n"/>
      <c r="CM317" s="59" t="n"/>
      <c r="CN317" s="59" t="n"/>
    </row>
    <row r="318" ht="15" customFormat="1" customHeight="1" s="3">
      <c r="A318">
        <f>A317+1</f>
        <v/>
      </c>
      <c r="I318" s="20" t="n"/>
      <c r="K318">
        <f>I318+J318</f>
        <v/>
      </c>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c r="CL318" s="59" t="n"/>
      <c r="CM318" s="59" t="n"/>
      <c r="CN318" s="59" t="n"/>
    </row>
    <row r="319" ht="15" customFormat="1" customHeight="1" s="3">
      <c r="A319">
        <f>A318+1</f>
        <v/>
      </c>
      <c r="I319" s="20" t="n"/>
      <c r="K319">
        <f>I319+J319</f>
        <v/>
      </c>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c r="CL319" s="59" t="n"/>
      <c r="CM319" s="59" t="n"/>
      <c r="CN319" s="59" t="n"/>
    </row>
    <row r="320" ht="15" customFormat="1" customHeight="1" s="3">
      <c r="A320">
        <f>A319+1</f>
        <v/>
      </c>
      <c r="I320" s="20" t="n"/>
      <c r="K320">
        <f>I320+J320</f>
        <v/>
      </c>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c r="CL320" s="59" t="n"/>
      <c r="CM320" s="59" t="n"/>
      <c r="CN320" s="59" t="n"/>
    </row>
    <row r="321" ht="15" customFormat="1" customHeight="1" s="3">
      <c r="A321">
        <f>A320+1</f>
        <v/>
      </c>
      <c r="I321" s="20" t="n"/>
      <c r="K321">
        <f>I321+J321</f>
        <v/>
      </c>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c r="CL321" s="59" t="n"/>
      <c r="CM321" s="59" t="n"/>
      <c r="CN321" s="59" t="n"/>
    </row>
    <row r="322" ht="15" customFormat="1" customHeight="1" s="3">
      <c r="A322">
        <f>A321+1</f>
        <v/>
      </c>
      <c r="I322" s="20" t="n"/>
      <c r="K322">
        <f>I322+J322</f>
        <v/>
      </c>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c r="CL322" s="59" t="n"/>
      <c r="CM322" s="59" t="n"/>
      <c r="CN322" s="59" t="n"/>
    </row>
    <row r="323" ht="15" customFormat="1" customHeight="1" s="3">
      <c r="A323">
        <f>A322+1</f>
        <v/>
      </c>
      <c r="I323" s="20" t="n"/>
      <c r="K323">
        <f>I323+J323</f>
        <v/>
      </c>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c r="CL323" s="59" t="n"/>
      <c r="CM323" s="59" t="n"/>
      <c r="CN323" s="59" t="n"/>
    </row>
    <row r="324" ht="15" customFormat="1" customHeight="1" s="3">
      <c r="A324">
        <f>A323+1</f>
        <v/>
      </c>
      <c r="I324" s="20" t="n"/>
      <c r="K324">
        <f>I324+J324</f>
        <v/>
      </c>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c r="CL324" s="59" t="n"/>
      <c r="CM324" s="59" t="n"/>
      <c r="CN324" s="59" t="n"/>
    </row>
    <row r="325" ht="15" customFormat="1" customHeight="1" s="3">
      <c r="A325">
        <f>A324+1</f>
        <v/>
      </c>
      <c r="I325" s="20" t="n"/>
      <c r="K325">
        <f>I325+J325</f>
        <v/>
      </c>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c r="CL325" s="59" t="n"/>
      <c r="CM325" s="59" t="n"/>
      <c r="CN325" s="59" t="n"/>
    </row>
    <row r="326" ht="15" customFormat="1" customHeight="1" s="3">
      <c r="A326">
        <f>A325+1</f>
        <v/>
      </c>
      <c r="I326" s="20" t="n"/>
      <c r="K326">
        <f>I326+J326</f>
        <v/>
      </c>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c r="CL326" s="59" t="n"/>
      <c r="CM326" s="59" t="n"/>
      <c r="CN326" s="59" t="n"/>
    </row>
    <row r="327" ht="15" customFormat="1" customHeight="1" s="3">
      <c r="A327">
        <f>A326+1</f>
        <v/>
      </c>
      <c r="I327" s="20" t="n"/>
      <c r="K327">
        <f>I327+J327</f>
        <v/>
      </c>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c r="CL327" s="59" t="n"/>
      <c r="CM327" s="59" t="n"/>
      <c r="CN327" s="59" t="n"/>
    </row>
    <row r="328" ht="15" customFormat="1" customHeight="1" s="3">
      <c r="A328">
        <f>A327+1</f>
        <v/>
      </c>
      <c r="I328" s="20" t="n"/>
      <c r="K328">
        <f>I328+J328</f>
        <v/>
      </c>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c r="CL328" s="59" t="n"/>
      <c r="CM328" s="59" t="n"/>
      <c r="CN328" s="59" t="n"/>
    </row>
    <row r="329" ht="15" customFormat="1" customHeight="1" s="3">
      <c r="A329">
        <f>A328+1</f>
        <v/>
      </c>
      <c r="I329" s="20" t="n"/>
      <c r="K329">
        <f>I329+J329</f>
        <v/>
      </c>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c r="CL329" s="59" t="n"/>
      <c r="CM329" s="59" t="n"/>
      <c r="CN329" s="59" t="n"/>
    </row>
    <row r="330" ht="15" customFormat="1" customHeight="1" s="3">
      <c r="A330">
        <f>A329+1</f>
        <v/>
      </c>
      <c r="I330" s="20" t="n"/>
      <c r="K330">
        <f>I330+J330</f>
        <v/>
      </c>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c r="CL330" s="59" t="n"/>
      <c r="CM330" s="59" t="n"/>
      <c r="CN330" s="59" t="n"/>
    </row>
    <row r="331" ht="15" customFormat="1" customHeight="1" s="3">
      <c r="A331">
        <f>A330+1</f>
        <v/>
      </c>
      <c r="I331" s="20" t="n"/>
      <c r="K331">
        <f>I331+J331</f>
        <v/>
      </c>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c r="CL331" s="59" t="n"/>
      <c r="CM331" s="59" t="n"/>
      <c r="CN331" s="59" t="n"/>
    </row>
    <row r="332" ht="15" customFormat="1" customHeight="1" s="3">
      <c r="A332">
        <f>A331+1</f>
        <v/>
      </c>
      <c r="I332" s="20" t="n"/>
      <c r="K332">
        <f>I332+J332</f>
        <v/>
      </c>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c r="CL332" s="59" t="n"/>
      <c r="CM332" s="59" t="n"/>
      <c r="CN332" s="59" t="n"/>
    </row>
    <row r="333" ht="15" customFormat="1" customHeight="1" s="3">
      <c r="A333">
        <f>A332+1</f>
        <v/>
      </c>
      <c r="I333" s="20" t="n"/>
      <c r="K333">
        <f>I333+J333</f>
        <v/>
      </c>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c r="CL333" s="59" t="n"/>
      <c r="CM333" s="59" t="n"/>
      <c r="CN333" s="59" t="n"/>
    </row>
    <row r="334" ht="15" customFormat="1" customHeight="1" s="3">
      <c r="A334">
        <f>A333+1</f>
        <v/>
      </c>
      <c r="I334" s="20" t="n"/>
      <c r="K334">
        <f>I334+J334</f>
        <v/>
      </c>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c r="CL334" s="59" t="n"/>
      <c r="CM334" s="59" t="n"/>
      <c r="CN334" s="59" t="n"/>
    </row>
    <row r="335" ht="15" customFormat="1" customHeight="1" s="3">
      <c r="A335">
        <f>A334+1</f>
        <v/>
      </c>
      <c r="I335" s="20" t="n"/>
      <c r="K335">
        <f>I335+J335</f>
        <v/>
      </c>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c r="CL335" s="59" t="n"/>
      <c r="CM335" s="59" t="n"/>
      <c r="CN335" s="59" t="n"/>
    </row>
    <row r="336" ht="15" customFormat="1" customHeight="1" s="3">
      <c r="A336">
        <f>A335+1</f>
        <v/>
      </c>
      <c r="I336" s="20" t="n"/>
      <c r="K336">
        <f>I336+J336</f>
        <v/>
      </c>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c r="CL336" s="59" t="n"/>
      <c r="CM336" s="59" t="n"/>
      <c r="CN336" s="59" t="n"/>
    </row>
    <row r="337" ht="15" customFormat="1" customHeight="1" s="3">
      <c r="A337">
        <f>A336+1</f>
        <v/>
      </c>
      <c r="I337" s="20" t="n"/>
      <c r="K337">
        <f>I337+J337</f>
        <v/>
      </c>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c r="CL337" s="59" t="n"/>
      <c r="CM337" s="59" t="n"/>
      <c r="CN337" s="59" t="n"/>
    </row>
    <row r="338" ht="15" customFormat="1" customHeight="1" s="3">
      <c r="A338">
        <f>A337+1</f>
        <v/>
      </c>
      <c r="I338" s="20" t="n"/>
      <c r="K338">
        <f>I338+J338</f>
        <v/>
      </c>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c r="CL338" s="59" t="n"/>
      <c r="CM338" s="59" t="n"/>
      <c r="CN338" s="59" t="n"/>
    </row>
    <row r="339" ht="15" customFormat="1" customHeight="1" s="3">
      <c r="A339">
        <f>A338+1</f>
        <v/>
      </c>
      <c r="I339" s="20" t="n"/>
      <c r="K339">
        <f>I339+J339</f>
        <v/>
      </c>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c r="CL339" s="59" t="n"/>
      <c r="CM339" s="59" t="n"/>
      <c r="CN339" s="59" t="n"/>
    </row>
    <row r="340" ht="15" customFormat="1" customHeight="1" s="3">
      <c r="A340">
        <f>A339+1</f>
        <v/>
      </c>
      <c r="I340" s="20" t="n"/>
      <c r="K340">
        <f>I340+J340</f>
        <v/>
      </c>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c r="CL340" s="59" t="n"/>
      <c r="CM340" s="59" t="n"/>
      <c r="CN340" s="59" t="n"/>
    </row>
    <row r="341" ht="15" customFormat="1" customHeight="1" s="3">
      <c r="A341">
        <f>A340+1</f>
        <v/>
      </c>
      <c r="I341" s="20" t="n"/>
      <c r="K341">
        <f>I341+J341</f>
        <v/>
      </c>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c r="CL341" s="59" t="n"/>
      <c r="CM341" s="59" t="n"/>
      <c r="CN341" s="59" t="n"/>
    </row>
    <row r="342" ht="15" customFormat="1" customHeight="1" s="3">
      <c r="A342">
        <f>A341+1</f>
        <v/>
      </c>
      <c r="I342" s="20" t="n"/>
      <c r="K342">
        <f>I342+J342</f>
        <v/>
      </c>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c r="CL342" s="59" t="n"/>
      <c r="CM342" s="59" t="n"/>
      <c r="CN342" s="59" t="n"/>
    </row>
    <row r="343" ht="15" customFormat="1" customHeight="1" s="3">
      <c r="A343">
        <f>A342+1</f>
        <v/>
      </c>
      <c r="I343" s="20" t="n"/>
      <c r="K343">
        <f>I343+J343</f>
        <v/>
      </c>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c r="CL343" s="59" t="n"/>
      <c r="CM343" s="59" t="n"/>
      <c r="CN343" s="59" t="n"/>
    </row>
    <row r="344" ht="15" customFormat="1" customHeight="1" s="3">
      <c r="A344">
        <f>A343+1</f>
        <v/>
      </c>
      <c r="I344" s="20" t="n"/>
      <c r="K344">
        <f>I344+J344</f>
        <v/>
      </c>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c r="CL344" s="59" t="n"/>
      <c r="CM344" s="59" t="n"/>
      <c r="CN344" s="59" t="n"/>
    </row>
    <row r="345" ht="15" customFormat="1" customHeight="1" s="3">
      <c r="A345">
        <f>A344+1</f>
        <v/>
      </c>
      <c r="I345" s="20" t="n"/>
      <c r="K345">
        <f>I345+J345</f>
        <v/>
      </c>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c r="CL345" s="59" t="n"/>
      <c r="CM345" s="59" t="n"/>
      <c r="CN345" s="59" t="n"/>
    </row>
    <row r="346" ht="15" customFormat="1" customHeight="1" s="3">
      <c r="A346">
        <f>A345+1</f>
        <v/>
      </c>
      <c r="I346" s="20" t="n"/>
      <c r="K346">
        <f>I346+J346</f>
        <v/>
      </c>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c r="CL346" s="59" t="n"/>
      <c r="CM346" s="59" t="n"/>
      <c r="CN346" s="59" t="n"/>
    </row>
    <row r="347" ht="15" customFormat="1" customHeight="1" s="3">
      <c r="A347">
        <f>A346+1</f>
        <v/>
      </c>
      <c r="I347" s="20" t="n"/>
      <c r="K347">
        <f>I347+J347</f>
        <v/>
      </c>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c r="CL347" s="59" t="n"/>
      <c r="CM347" s="59" t="n"/>
      <c r="CN347" s="59" t="n"/>
    </row>
    <row r="348" ht="15" customFormat="1" customHeight="1" s="3">
      <c r="A348">
        <f>A347+1</f>
        <v/>
      </c>
      <c r="I348" s="20" t="n"/>
      <c r="K348">
        <f>I348+J348</f>
        <v/>
      </c>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c r="CL348" s="59" t="n"/>
      <c r="CM348" s="59" t="n"/>
      <c r="CN348" s="59" t="n"/>
    </row>
    <row r="349" ht="15" customFormat="1" customHeight="1" s="3">
      <c r="A349">
        <f>A348+1</f>
        <v/>
      </c>
      <c r="I349" s="20" t="n"/>
      <c r="K349">
        <f>I349+J349</f>
        <v/>
      </c>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c r="CL349" s="59" t="n"/>
      <c r="CM349" s="59" t="n"/>
      <c r="CN349" s="59" t="n"/>
    </row>
    <row r="350" ht="15" customFormat="1" customHeight="1" s="3">
      <c r="A350">
        <f>A349+1</f>
        <v/>
      </c>
      <c r="I350" s="20" t="n"/>
      <c r="K350">
        <f>I350+J350</f>
        <v/>
      </c>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c r="CL350" s="59" t="n"/>
      <c r="CM350" s="59" t="n"/>
      <c r="CN350" s="59" t="n"/>
    </row>
    <row r="351" ht="15" customFormat="1" customHeight="1" s="3">
      <c r="A351">
        <f>A350+1</f>
        <v/>
      </c>
      <c r="I351" s="20" t="n"/>
      <c r="K351">
        <f>I351+J351</f>
        <v/>
      </c>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c r="CL351" s="59" t="n"/>
      <c r="CM351" s="59" t="n"/>
      <c r="CN351" s="59" t="n"/>
    </row>
    <row r="352" ht="15" customFormat="1" customHeight="1" s="3">
      <c r="A352">
        <f>A351+1</f>
        <v/>
      </c>
      <c r="I352" s="20" t="n"/>
      <c r="K352">
        <f>I352+J352</f>
        <v/>
      </c>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c r="CL352" s="59" t="n"/>
      <c r="CM352" s="59" t="n"/>
      <c r="CN352" s="59" t="n"/>
    </row>
    <row r="353" ht="15" customFormat="1" customHeight="1" s="3">
      <c r="A353">
        <f>A352+1</f>
        <v/>
      </c>
      <c r="I353" s="20" t="n"/>
      <c r="K353">
        <f>I353+J353</f>
        <v/>
      </c>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c r="CL353" s="59" t="n"/>
      <c r="CM353" s="59" t="n"/>
      <c r="CN353" s="59" t="n"/>
    </row>
    <row r="354" ht="15" customFormat="1" customHeight="1" s="3">
      <c r="A354">
        <f>A353+1</f>
        <v/>
      </c>
      <c r="I354" s="20" t="n"/>
      <c r="K354">
        <f>I354+J354</f>
        <v/>
      </c>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c r="CL354" s="59" t="n"/>
      <c r="CM354" s="59" t="n"/>
      <c r="CN354" s="59" t="n"/>
    </row>
    <row r="355" ht="15" customFormat="1" customHeight="1" s="3">
      <c r="A355">
        <f>A354+1</f>
        <v/>
      </c>
      <c r="I355" s="20" t="n"/>
      <c r="K355">
        <f>I355+J355</f>
        <v/>
      </c>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c r="CL355" s="59" t="n"/>
      <c r="CM355" s="59" t="n"/>
      <c r="CN355" s="59" t="n"/>
    </row>
    <row r="356" ht="15" customFormat="1" customHeight="1" s="3">
      <c r="A356">
        <f>A355+1</f>
        <v/>
      </c>
      <c r="I356" s="20" t="n"/>
      <c r="K356">
        <f>I356+J356</f>
        <v/>
      </c>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c r="CL356" s="59" t="n"/>
      <c r="CM356" s="59" t="n"/>
      <c r="CN356" s="59" t="n"/>
    </row>
    <row r="357" ht="15" customFormat="1" customHeight="1" s="3">
      <c r="A357">
        <f>A356+1</f>
        <v/>
      </c>
      <c r="I357" s="20" t="n"/>
      <c r="K357">
        <f>I357+J357</f>
        <v/>
      </c>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c r="CL357" s="59" t="n"/>
      <c r="CM357" s="59" t="n"/>
      <c r="CN357" s="59" t="n"/>
    </row>
    <row r="358" ht="15" customFormat="1" customHeight="1" s="3">
      <c r="A358">
        <f>A357+1</f>
        <v/>
      </c>
      <c r="I358" s="20" t="n"/>
      <c r="K358">
        <f>I358+J358</f>
        <v/>
      </c>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c r="CL358" s="59" t="n"/>
      <c r="CM358" s="59" t="n"/>
      <c r="CN358" s="59" t="n"/>
    </row>
    <row r="359" ht="15" customFormat="1" customHeight="1" s="3">
      <c r="A359">
        <f>A358+1</f>
        <v/>
      </c>
      <c r="I359" s="20" t="n"/>
      <c r="K359">
        <f>I359+J359</f>
        <v/>
      </c>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c r="CL359" s="59" t="n"/>
      <c r="CM359" s="59" t="n"/>
      <c r="CN359" s="59" t="n"/>
    </row>
    <row r="360" ht="15" customFormat="1" customHeight="1" s="3">
      <c r="A360">
        <f>A359+1</f>
        <v/>
      </c>
      <c r="I360" s="20" t="n"/>
      <c r="K360">
        <f>I360+J360</f>
        <v/>
      </c>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c r="CL360" s="59" t="n"/>
      <c r="CM360" s="59" t="n"/>
      <c r="CN360" s="59" t="n"/>
    </row>
    <row r="361" ht="15" customFormat="1" customHeight="1" s="3">
      <c r="A361">
        <f>A360+1</f>
        <v/>
      </c>
      <c r="I361" s="20" t="n"/>
      <c r="K361">
        <f>I361+J361</f>
        <v/>
      </c>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c r="CL361" s="59" t="n"/>
      <c r="CM361" s="59" t="n"/>
      <c r="CN361" s="59" t="n"/>
    </row>
    <row r="362" ht="15" customFormat="1" customHeight="1" s="3">
      <c r="A362">
        <f>A361+1</f>
        <v/>
      </c>
      <c r="I362" s="20" t="n"/>
      <c r="K362">
        <f>I362+J362</f>
        <v/>
      </c>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c r="CL362" s="59" t="n"/>
      <c r="CM362" s="59" t="n"/>
      <c r="CN362" s="59" t="n"/>
    </row>
    <row r="363" ht="15" customFormat="1" customHeight="1" s="3">
      <c r="A363">
        <f>A362+1</f>
        <v/>
      </c>
      <c r="I363" s="20" t="n"/>
      <c r="K363">
        <f>I363+J363</f>
        <v/>
      </c>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c r="CL363" s="59" t="n"/>
      <c r="CM363" s="59" t="n"/>
      <c r="CN363" s="59" t="n"/>
    </row>
    <row r="364" ht="15" customFormat="1" customHeight="1" s="3">
      <c r="A364">
        <f>A363+1</f>
        <v/>
      </c>
      <c r="I364" s="20" t="n"/>
      <c r="K364">
        <f>I364+J364</f>
        <v/>
      </c>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c r="CL364" s="59" t="n"/>
      <c r="CM364" s="59" t="n"/>
      <c r="CN364" s="59" t="n"/>
    </row>
    <row r="365" ht="15" customFormat="1" customHeight="1" s="3">
      <c r="A365">
        <f>A364+1</f>
        <v/>
      </c>
      <c r="I365" s="20" t="n"/>
      <c r="K365">
        <f>I365+J365</f>
        <v/>
      </c>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c r="CL365" s="59" t="n"/>
      <c r="CM365" s="59" t="n"/>
      <c r="CN365" s="59" t="n"/>
    </row>
    <row r="366" ht="15" customFormat="1" customHeight="1" s="3">
      <c r="A366">
        <f>A365+1</f>
        <v/>
      </c>
      <c r="I366" s="20" t="n"/>
      <c r="K366">
        <f>I366+J366</f>
        <v/>
      </c>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c r="CL366" s="59" t="n"/>
      <c r="CM366" s="59" t="n"/>
      <c r="CN366" s="59" t="n"/>
    </row>
    <row r="367" ht="15" customFormat="1" customHeight="1" s="3">
      <c r="A367">
        <f>A366+1</f>
        <v/>
      </c>
      <c r="I367" s="20" t="n"/>
      <c r="K367">
        <f>I367+J367</f>
        <v/>
      </c>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c r="CL367" s="59" t="n"/>
      <c r="CM367" s="59" t="n"/>
      <c r="CN367" s="59" t="n"/>
    </row>
    <row r="368" ht="15" customFormat="1" customHeight="1" s="3">
      <c r="A368">
        <f>A367+1</f>
        <v/>
      </c>
      <c r="I368" s="20" t="n"/>
      <c r="K368">
        <f>I368+J368</f>
        <v/>
      </c>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c r="CL368" s="59" t="n"/>
      <c r="CM368" s="59" t="n"/>
      <c r="CN368" s="59" t="n"/>
    </row>
    <row r="369" ht="15" customFormat="1" customHeight="1" s="3">
      <c r="A369">
        <f>A368+1</f>
        <v/>
      </c>
      <c r="I369" s="20" t="n"/>
      <c r="K369">
        <f>I369+J369</f>
        <v/>
      </c>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c r="CL369" s="59" t="n"/>
      <c r="CM369" s="59" t="n"/>
      <c r="CN369" s="59" t="n"/>
    </row>
    <row r="370" ht="15" customFormat="1" customHeight="1" s="3">
      <c r="A370">
        <f>A369+1</f>
        <v/>
      </c>
      <c r="I370" s="20" t="n"/>
      <c r="K370">
        <f>I370+J370</f>
        <v/>
      </c>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c r="CL370" s="59" t="n"/>
      <c r="CM370" s="59" t="n"/>
      <c r="CN370" s="59" t="n"/>
    </row>
    <row r="371" ht="15" customFormat="1" customHeight="1" s="3">
      <c r="A371">
        <f>A370+1</f>
        <v/>
      </c>
      <c r="I371" s="20" t="n"/>
      <c r="K371">
        <f>I371+J371</f>
        <v/>
      </c>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c r="CL371" s="59" t="n"/>
      <c r="CM371" s="59" t="n"/>
      <c r="CN371" s="59" t="n"/>
    </row>
    <row r="372" ht="15" customFormat="1" customHeight="1" s="3">
      <c r="A372">
        <f>A371+1</f>
        <v/>
      </c>
      <c r="I372" s="20" t="n"/>
      <c r="K372">
        <f>I372+J372</f>
        <v/>
      </c>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c r="CL372" s="59" t="n"/>
      <c r="CM372" s="59" t="n"/>
      <c r="CN372" s="59" t="n"/>
    </row>
    <row r="373" ht="15" customFormat="1" customHeight="1" s="3">
      <c r="A373">
        <f>A372+1</f>
        <v/>
      </c>
      <c r="I373" s="20" t="n"/>
      <c r="K373">
        <f>I373+J373</f>
        <v/>
      </c>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c r="CL373" s="59" t="n"/>
      <c r="CM373" s="59" t="n"/>
      <c r="CN373" s="59" t="n"/>
    </row>
    <row r="374" ht="15" customFormat="1" customHeight="1" s="3">
      <c r="A374">
        <f>A373+1</f>
        <v/>
      </c>
      <c r="I374" s="20" t="n"/>
      <c r="K374">
        <f>I374+J374</f>
        <v/>
      </c>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c r="CL374" s="59" t="n"/>
      <c r="CM374" s="59" t="n"/>
      <c r="CN374" s="59" t="n"/>
    </row>
    <row r="375" ht="15" customFormat="1" customHeight="1" s="3">
      <c r="A375">
        <f>A374+1</f>
        <v/>
      </c>
      <c r="I375" s="20" t="n"/>
      <c r="K375">
        <f>I375+J375</f>
        <v/>
      </c>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c r="CL375" s="59" t="n"/>
      <c r="CM375" s="59" t="n"/>
      <c r="CN375" s="59" t="n"/>
    </row>
    <row r="376" ht="15" customFormat="1" customHeight="1" s="3">
      <c r="A376">
        <f>A375+1</f>
        <v/>
      </c>
      <c r="I376" s="20" t="n"/>
      <c r="K376">
        <f>I376+J376</f>
        <v/>
      </c>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c r="CL376" s="59" t="n"/>
      <c r="CM376" s="59" t="n"/>
      <c r="CN376" s="59" t="n"/>
    </row>
    <row r="377" ht="15" customFormat="1" customHeight="1" s="3">
      <c r="A377">
        <f>A376+1</f>
        <v/>
      </c>
      <c r="I377" s="20" t="n"/>
      <c r="K377">
        <f>I377+J377</f>
        <v/>
      </c>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c r="CL377" s="59" t="n"/>
      <c r="CM377" s="59" t="n"/>
      <c r="CN377" s="59" t="n"/>
    </row>
    <row r="378" ht="15" customFormat="1" customHeight="1" s="3">
      <c r="A378">
        <f>A377+1</f>
        <v/>
      </c>
      <c r="I378" s="20" t="n"/>
      <c r="K378">
        <f>I378+J378</f>
        <v/>
      </c>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c r="CL378" s="59" t="n"/>
      <c r="CM378" s="59" t="n"/>
      <c r="CN378" s="59" t="n"/>
    </row>
    <row r="379" ht="15" customFormat="1" customHeight="1" s="3">
      <c r="A379">
        <f>A378+1</f>
        <v/>
      </c>
      <c r="I379" s="20" t="n"/>
      <c r="K379">
        <f>I379+J379</f>
        <v/>
      </c>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c r="CL379" s="59" t="n"/>
      <c r="CM379" s="59" t="n"/>
      <c r="CN379" s="59" t="n"/>
    </row>
    <row r="380" ht="15" customFormat="1" customHeight="1" s="3">
      <c r="A380">
        <f>A379+1</f>
        <v/>
      </c>
      <c r="I380" s="20" t="n"/>
      <c r="K380">
        <f>I380+J380</f>
        <v/>
      </c>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c r="CL380" s="59" t="n"/>
      <c r="CM380" s="59" t="n"/>
      <c r="CN380" s="59" t="n"/>
    </row>
    <row r="381" ht="15" customFormat="1" customHeight="1" s="3">
      <c r="A381">
        <f>A380+1</f>
        <v/>
      </c>
      <c r="I381" s="20" t="n"/>
      <c r="K381">
        <f>I381+J381</f>
        <v/>
      </c>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c r="CL381" s="59" t="n"/>
      <c r="CM381" s="59" t="n"/>
      <c r="CN381" s="59" t="n"/>
    </row>
    <row r="382" ht="15" customFormat="1" customHeight="1" s="3">
      <c r="A382">
        <f>A381+1</f>
        <v/>
      </c>
      <c r="I382" s="20" t="n"/>
      <c r="K382">
        <f>I382+J382</f>
        <v/>
      </c>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c r="CL382" s="59" t="n"/>
      <c r="CM382" s="59" t="n"/>
      <c r="CN382" s="59" t="n"/>
    </row>
    <row r="383" ht="15" customFormat="1" customHeight="1" s="3">
      <c r="A383">
        <f>A382+1</f>
        <v/>
      </c>
      <c r="I383" s="20" t="n"/>
      <c r="K383">
        <f>I383+J383</f>
        <v/>
      </c>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c r="CL383" s="59" t="n"/>
      <c r="CM383" s="59" t="n"/>
      <c r="CN383" s="59" t="n"/>
    </row>
    <row r="384" ht="15" customFormat="1" customHeight="1" s="3">
      <c r="A384">
        <f>A383+1</f>
        <v/>
      </c>
      <c r="I384" s="20" t="n"/>
      <c r="K384">
        <f>I384+J384</f>
        <v/>
      </c>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c r="CL384" s="59" t="n"/>
      <c r="CM384" s="59" t="n"/>
      <c r="CN384" s="59" t="n"/>
    </row>
    <row r="385" ht="15" customFormat="1" customHeight="1" s="3">
      <c r="A385">
        <f>A384+1</f>
        <v/>
      </c>
      <c r="I385" s="20" t="n"/>
      <c r="K385">
        <f>I385+J385</f>
        <v/>
      </c>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c r="CL385" s="59" t="n"/>
      <c r="CM385" s="59" t="n"/>
      <c r="CN385" s="59" t="n"/>
    </row>
    <row r="386" ht="15" customFormat="1" customHeight="1" s="3">
      <c r="A386">
        <f>A385+1</f>
        <v/>
      </c>
      <c r="I386" s="20" t="n"/>
      <c r="K386">
        <f>I386+J386</f>
        <v/>
      </c>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c r="CL386" s="59" t="n"/>
      <c r="CM386" s="59" t="n"/>
      <c r="CN386" s="59" t="n"/>
    </row>
    <row r="387" ht="15" customFormat="1" customHeight="1" s="3">
      <c r="A387">
        <f>A386+1</f>
        <v/>
      </c>
      <c r="I387" s="20" t="n"/>
      <c r="K387">
        <f>I387+J387</f>
        <v/>
      </c>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c r="CL387" s="59" t="n"/>
      <c r="CM387" s="59" t="n"/>
      <c r="CN387" s="59" t="n"/>
    </row>
    <row r="388" ht="15" customFormat="1" customHeight="1" s="3">
      <c r="A388">
        <f>A387+1</f>
        <v/>
      </c>
      <c r="I388" s="20" t="n"/>
      <c r="K388">
        <f>I388+J388</f>
        <v/>
      </c>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c r="CL388" s="59" t="n"/>
      <c r="CM388" s="59" t="n"/>
      <c r="CN388" s="59" t="n"/>
    </row>
    <row r="389" ht="15" customFormat="1" customHeight="1" s="3">
      <c r="A389">
        <f>A388+1</f>
        <v/>
      </c>
      <c r="I389" s="20" t="n"/>
      <c r="K389">
        <f>I389+J389</f>
        <v/>
      </c>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c r="CL389" s="59" t="n"/>
      <c r="CM389" s="59" t="n"/>
      <c r="CN389" s="59" t="n"/>
    </row>
    <row r="390" ht="15" customFormat="1" customHeight="1" s="3">
      <c r="A390">
        <f>A389+1</f>
        <v/>
      </c>
      <c r="I390" s="20" t="n"/>
      <c r="K390">
        <f>I390+J390</f>
        <v/>
      </c>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c r="CL390" s="59" t="n"/>
      <c r="CM390" s="59" t="n"/>
      <c r="CN390" s="59" t="n"/>
    </row>
    <row r="391" ht="15" customFormat="1" customHeight="1" s="3">
      <c r="A391">
        <f>A390+1</f>
        <v/>
      </c>
      <c r="I391" s="20" t="n"/>
      <c r="K391">
        <f>I391+J391</f>
        <v/>
      </c>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c r="CL391" s="59" t="n"/>
      <c r="CM391" s="59" t="n"/>
      <c r="CN391" s="59" t="n"/>
    </row>
    <row r="392" ht="15" customFormat="1" customHeight="1" s="3">
      <c r="A392">
        <f>A391+1</f>
        <v/>
      </c>
      <c r="I392" s="20" t="n"/>
      <c r="K392">
        <f>I392+J392</f>
        <v/>
      </c>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c r="CL392" s="59" t="n"/>
      <c r="CM392" s="59" t="n"/>
      <c r="CN392" s="59" t="n"/>
    </row>
    <row r="393" ht="15" customFormat="1" customHeight="1" s="3">
      <c r="A393">
        <f>A392+1</f>
        <v/>
      </c>
      <c r="I393" s="20" t="n"/>
      <c r="K393">
        <f>I393+J393</f>
        <v/>
      </c>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c r="CL393" s="59" t="n"/>
      <c r="CM393" s="59" t="n"/>
      <c r="CN393" s="59" t="n"/>
    </row>
    <row r="394" ht="15" customFormat="1" customHeight="1" s="3">
      <c r="A394">
        <f>A393+1</f>
        <v/>
      </c>
      <c r="I394" s="20" t="n"/>
      <c r="K394">
        <f>I394+J394</f>
        <v/>
      </c>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c r="CL394" s="59" t="n"/>
      <c r="CM394" s="59" t="n"/>
      <c r="CN394" s="59" t="n"/>
    </row>
    <row r="395" ht="15" customFormat="1" customHeight="1" s="3">
      <c r="A395">
        <f>A394+1</f>
        <v/>
      </c>
      <c r="I395" s="20" t="n"/>
      <c r="K395">
        <f>I395+J395</f>
        <v/>
      </c>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c r="CL395" s="59" t="n"/>
      <c r="CM395" s="59" t="n"/>
      <c r="CN395" s="59" t="n"/>
    </row>
    <row r="396" ht="15" customFormat="1" customHeight="1" s="3">
      <c r="A396">
        <f>A395+1</f>
        <v/>
      </c>
      <c r="I396" s="20" t="n"/>
      <c r="K396">
        <f>I396+J396</f>
        <v/>
      </c>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c r="CL396" s="59" t="n"/>
      <c r="CM396" s="59" t="n"/>
      <c r="CN396" s="59" t="n"/>
    </row>
    <row r="397" ht="15" customFormat="1" customHeight="1" s="3">
      <c r="A397">
        <f>A396+1</f>
        <v/>
      </c>
      <c r="I397" s="20" t="n"/>
      <c r="K397">
        <f>I397+J397</f>
        <v/>
      </c>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c r="CL397" s="59" t="n"/>
      <c r="CM397" s="59" t="n"/>
      <c r="CN397" s="59" t="n"/>
    </row>
    <row r="398" ht="15" customFormat="1" customHeight="1" s="3">
      <c r="A398">
        <f>A397+1</f>
        <v/>
      </c>
      <c r="I398" s="20" t="n"/>
      <c r="K398">
        <f>I398+J398</f>
        <v/>
      </c>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c r="CL398" s="59" t="n"/>
      <c r="CM398" s="59" t="n"/>
      <c r="CN398" s="59" t="n"/>
    </row>
    <row r="399" ht="15" customFormat="1" customHeight="1" s="3">
      <c r="A399">
        <f>A398+1</f>
        <v/>
      </c>
      <c r="I399" s="20" t="n"/>
      <c r="K399">
        <f>I399+J399</f>
        <v/>
      </c>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c r="CL399" s="59" t="n"/>
      <c r="CM399" s="59" t="n"/>
      <c r="CN399" s="59" t="n"/>
    </row>
    <row r="400" ht="15" customFormat="1" customHeight="1" s="3">
      <c r="A400">
        <f>A399+1</f>
        <v/>
      </c>
      <c r="I400" s="20" t="n"/>
      <c r="K400">
        <f>I400+J400</f>
        <v/>
      </c>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c r="CL400" s="59" t="n"/>
      <c r="CM400" s="59" t="n"/>
      <c r="CN400" s="59" t="n"/>
    </row>
    <row r="401" ht="15" customFormat="1" customHeight="1" s="3">
      <c r="A401">
        <f>A400+1</f>
        <v/>
      </c>
      <c r="I401" s="20" t="n"/>
      <c r="K401">
        <f>I401+J401</f>
        <v/>
      </c>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c r="CL401" s="59" t="n"/>
      <c r="CM401" s="59" t="n"/>
      <c r="CN401" s="59" t="n"/>
    </row>
    <row r="402" ht="15" customFormat="1" customHeight="1" s="3">
      <c r="A402">
        <f>A401+1</f>
        <v/>
      </c>
      <c r="I402" s="20" t="n"/>
      <c r="K402">
        <f>I402+J402</f>
        <v/>
      </c>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c r="CL402" s="59" t="n"/>
      <c r="CM402" s="59" t="n"/>
      <c r="CN402" s="59" t="n"/>
    </row>
    <row r="403" ht="15" customFormat="1" customHeight="1" s="3">
      <c r="A403">
        <f>A402+1</f>
        <v/>
      </c>
      <c r="I403" s="20" t="n"/>
      <c r="K403">
        <f>I403+J403</f>
        <v/>
      </c>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c r="CL403" s="59" t="n"/>
      <c r="CM403" s="59" t="n"/>
      <c r="CN403" s="59" t="n"/>
    </row>
    <row r="404" ht="15" customFormat="1" customHeight="1" s="3">
      <c r="A404">
        <f>A403+1</f>
        <v/>
      </c>
      <c r="I404" s="20" t="n"/>
      <c r="K404">
        <f>I404+J404</f>
        <v/>
      </c>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c r="CL404" s="59" t="n"/>
      <c r="CM404" s="59" t="n"/>
      <c r="CN404" s="59" t="n"/>
    </row>
    <row r="405" ht="15" customFormat="1" customHeight="1" s="3">
      <c r="A405">
        <f>A404+1</f>
        <v/>
      </c>
      <c r="I405" s="20" t="n"/>
      <c r="K405">
        <f>I405+J405</f>
        <v/>
      </c>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c r="CL405" s="59" t="n"/>
      <c r="CM405" s="59" t="n"/>
      <c r="CN405" s="59" t="n"/>
    </row>
    <row r="406" ht="15" customFormat="1" customHeight="1" s="3">
      <c r="A406">
        <f>A405+1</f>
        <v/>
      </c>
      <c r="I406" s="20" t="n"/>
      <c r="K406">
        <f>I406+J406</f>
        <v/>
      </c>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c r="CL406" s="59" t="n"/>
      <c r="CM406" s="59" t="n"/>
      <c r="CN406" s="59" t="n"/>
    </row>
    <row r="407" ht="15" customFormat="1" customHeight="1" s="3">
      <c r="A407">
        <f>A406+1</f>
        <v/>
      </c>
      <c r="I407" s="20" t="n"/>
      <c r="K407">
        <f>I407+J407</f>
        <v/>
      </c>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c r="CL407" s="59" t="n"/>
      <c r="CM407" s="59" t="n"/>
      <c r="CN407" s="59" t="n"/>
    </row>
    <row r="408" ht="15" customFormat="1" customHeight="1" s="3">
      <c r="A408">
        <f>A407+1</f>
        <v/>
      </c>
      <c r="I408" s="20" t="n"/>
      <c r="K408">
        <f>I408+J408</f>
        <v/>
      </c>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c r="CL408" s="59" t="n"/>
      <c r="CM408" s="59" t="n"/>
      <c r="CN408" s="59" t="n"/>
    </row>
    <row r="409" ht="15" customFormat="1" customHeight="1" s="3">
      <c r="A409">
        <f>A408+1</f>
        <v/>
      </c>
      <c r="I409" s="20" t="n"/>
      <c r="K409">
        <f>I409+J409</f>
        <v/>
      </c>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c r="CL409" s="59" t="n"/>
      <c r="CM409" s="59" t="n"/>
      <c r="CN409" s="59" t="n"/>
    </row>
    <row r="410" ht="15" customFormat="1" customHeight="1" s="3">
      <c r="A410">
        <f>A409+1</f>
        <v/>
      </c>
      <c r="I410" s="20" t="n"/>
      <c r="K410">
        <f>I410+J410</f>
        <v/>
      </c>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c r="CL410" s="59" t="n"/>
      <c r="CM410" s="59" t="n"/>
      <c r="CN410" s="59" t="n"/>
    </row>
    <row r="411" ht="15" customFormat="1" customHeight="1" s="3">
      <c r="A411">
        <f>A410+1</f>
        <v/>
      </c>
      <c r="I411" s="20" t="n"/>
      <c r="K411">
        <f>I411+J411</f>
        <v/>
      </c>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c r="CL411" s="59" t="n"/>
      <c r="CM411" s="59" t="n"/>
      <c r="CN411" s="59" t="n"/>
    </row>
    <row r="412" ht="15" customFormat="1" customHeight="1" s="3">
      <c r="A412">
        <f>A411+1</f>
        <v/>
      </c>
      <c r="I412" s="20" t="n"/>
      <c r="K412">
        <f>I412+J412</f>
        <v/>
      </c>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c r="CL412" s="59" t="n"/>
      <c r="CM412" s="59" t="n"/>
      <c r="CN412" s="59" t="n"/>
    </row>
    <row r="413" ht="15" customFormat="1" customHeight="1" s="3">
      <c r="A413">
        <f>A412+1</f>
        <v/>
      </c>
      <c r="I413" s="20" t="n"/>
      <c r="K413">
        <f>I413+J413</f>
        <v/>
      </c>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c r="CL413" s="59" t="n"/>
      <c r="CM413" s="59" t="n"/>
      <c r="CN413" s="59" t="n"/>
    </row>
    <row r="414" ht="15" customFormat="1" customHeight="1" s="3">
      <c r="A414">
        <f>A413+1</f>
        <v/>
      </c>
      <c r="I414" s="20" t="n"/>
      <c r="K414">
        <f>I414+J414</f>
        <v/>
      </c>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c r="CL414" s="59" t="n"/>
      <c r="CM414" s="59" t="n"/>
      <c r="CN414" s="59" t="n"/>
    </row>
    <row r="415" ht="15" customFormat="1" customHeight="1" s="3">
      <c r="A415">
        <f>A414+1</f>
        <v/>
      </c>
      <c r="I415" s="20" t="n"/>
      <c r="K415">
        <f>I415+J415</f>
        <v/>
      </c>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c r="CL415" s="59" t="n"/>
      <c r="CM415" s="59" t="n"/>
      <c r="CN415" s="59" t="n"/>
    </row>
    <row r="416" ht="15" customFormat="1" customHeight="1" s="3">
      <c r="A416">
        <f>A415+1</f>
        <v/>
      </c>
      <c r="I416" s="20" t="n"/>
      <c r="K416">
        <f>I416+J416</f>
        <v/>
      </c>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c r="CL416" s="59" t="n"/>
      <c r="CM416" s="59" t="n"/>
      <c r="CN416" s="59" t="n"/>
    </row>
    <row r="417" ht="15" customFormat="1" customHeight="1" s="3">
      <c r="A417">
        <f>A416+1</f>
        <v/>
      </c>
      <c r="I417" s="20" t="n"/>
      <c r="K417">
        <f>I417+J417</f>
        <v/>
      </c>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c r="CL417" s="59" t="n"/>
      <c r="CM417" s="59" t="n"/>
      <c r="CN417" s="59" t="n"/>
    </row>
    <row r="418" ht="15" customFormat="1" customHeight="1" s="3">
      <c r="A418">
        <f>A417+1</f>
        <v/>
      </c>
      <c r="I418" s="20" t="n"/>
      <c r="K418">
        <f>I418+J418</f>
        <v/>
      </c>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c r="CL418" s="59" t="n"/>
      <c r="CM418" s="59" t="n"/>
      <c r="CN418" s="59" t="n"/>
    </row>
    <row r="419" ht="15" customFormat="1" customHeight="1" s="3">
      <c r="A419">
        <f>A418+1</f>
        <v/>
      </c>
      <c r="I419" s="20" t="n"/>
      <c r="K419">
        <f>I419+J419</f>
        <v/>
      </c>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c r="CL419" s="59" t="n"/>
      <c r="CM419" s="59" t="n"/>
      <c r="CN419" s="59" t="n"/>
    </row>
    <row r="420" ht="15" customFormat="1" customHeight="1" s="3">
      <c r="A420">
        <f>A419+1</f>
        <v/>
      </c>
      <c r="I420" s="20" t="n"/>
      <c r="K420">
        <f>I420+J420</f>
        <v/>
      </c>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c r="CL420" s="59" t="n"/>
      <c r="CM420" s="59" t="n"/>
      <c r="CN420" s="59" t="n"/>
    </row>
    <row r="421" ht="15" customFormat="1" customHeight="1" s="3">
      <c r="A421">
        <f>A420+1</f>
        <v/>
      </c>
      <c r="I421" s="20" t="n"/>
      <c r="K421">
        <f>I421+J421</f>
        <v/>
      </c>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c r="CL421" s="59" t="n"/>
      <c r="CM421" s="59" t="n"/>
      <c r="CN421" s="59" t="n"/>
    </row>
    <row r="422" ht="15" customFormat="1" customHeight="1" s="3">
      <c r="A422">
        <f>A421+1</f>
        <v/>
      </c>
      <c r="I422" s="20" t="n"/>
      <c r="K422">
        <f>I422+J422</f>
        <v/>
      </c>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c r="CL422" s="59" t="n"/>
      <c r="CM422" s="59" t="n"/>
      <c r="CN422" s="59" t="n"/>
    </row>
    <row r="423" ht="15" customFormat="1" customHeight="1" s="3">
      <c r="A423">
        <f>A422+1</f>
        <v/>
      </c>
      <c r="I423" s="20" t="n"/>
      <c r="K423">
        <f>I423+J423</f>
        <v/>
      </c>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c r="CL423" s="59" t="n"/>
      <c r="CM423" s="59" t="n"/>
      <c r="CN423" s="59" t="n"/>
    </row>
    <row r="424" ht="15" customFormat="1" customHeight="1" s="3">
      <c r="A424">
        <f>A423+1</f>
        <v/>
      </c>
      <c r="I424" s="20" t="n"/>
      <c r="K424">
        <f>I424+J424</f>
        <v/>
      </c>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c r="CL424" s="59" t="n"/>
      <c r="CM424" s="59" t="n"/>
      <c r="CN424" s="59" t="n"/>
    </row>
    <row r="425" ht="15" customFormat="1" customHeight="1" s="3">
      <c r="A425">
        <f>A424+1</f>
        <v/>
      </c>
      <c r="I425" s="20" t="n"/>
      <c r="K425">
        <f>I425+J425</f>
        <v/>
      </c>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c r="CL425" s="59" t="n"/>
      <c r="CM425" s="59" t="n"/>
      <c r="CN425" s="59" t="n"/>
    </row>
    <row r="426" ht="15" customFormat="1" customHeight="1" s="3">
      <c r="A426">
        <f>A425+1</f>
        <v/>
      </c>
      <c r="I426" s="20" t="n"/>
      <c r="K426">
        <f>I426+J426</f>
        <v/>
      </c>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c r="CL426" s="59" t="n"/>
      <c r="CM426" s="59" t="n"/>
      <c r="CN426" s="59" t="n"/>
    </row>
    <row r="427" ht="15" customFormat="1" customHeight="1" s="3">
      <c r="A427">
        <f>A426+1</f>
        <v/>
      </c>
      <c r="I427" s="20" t="n"/>
      <c r="K427">
        <f>I427+J427</f>
        <v/>
      </c>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c r="CL427" s="59" t="n"/>
      <c r="CM427" s="59" t="n"/>
      <c r="CN427" s="59" t="n"/>
    </row>
    <row r="428" ht="15" customFormat="1" customHeight="1" s="3">
      <c r="A428">
        <f>A427+1</f>
        <v/>
      </c>
      <c r="I428" s="20" t="n"/>
      <c r="K428">
        <f>I428+J428</f>
        <v/>
      </c>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c r="CL428" s="59" t="n"/>
      <c r="CM428" s="59" t="n"/>
      <c r="CN428" s="59" t="n"/>
    </row>
    <row r="429" ht="15" customFormat="1" customHeight="1" s="3">
      <c r="A429">
        <f>A428+1</f>
        <v/>
      </c>
      <c r="I429" s="20" t="n"/>
      <c r="K429">
        <f>I429+J429</f>
        <v/>
      </c>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c r="CL429" s="59" t="n"/>
      <c r="CM429" s="59" t="n"/>
      <c r="CN429" s="59" t="n"/>
    </row>
    <row r="430" ht="15" customFormat="1" customHeight="1" s="3">
      <c r="A430">
        <f>A429+1</f>
        <v/>
      </c>
      <c r="I430" s="20" t="n"/>
      <c r="K430">
        <f>I430+J430</f>
        <v/>
      </c>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c r="CL430" s="59" t="n"/>
      <c r="CM430" s="59" t="n"/>
      <c r="CN430" s="59" t="n"/>
    </row>
    <row r="431" ht="15" customFormat="1" customHeight="1" s="3">
      <c r="A431">
        <f>A430+1</f>
        <v/>
      </c>
      <c r="I431" s="20" t="n"/>
      <c r="K431">
        <f>I431+J431</f>
        <v/>
      </c>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c r="CL431" s="59" t="n"/>
      <c r="CM431" s="59" t="n"/>
      <c r="CN431" s="59" t="n"/>
    </row>
    <row r="432" ht="15" customFormat="1" customHeight="1" s="3">
      <c r="A432">
        <f>A431+1</f>
        <v/>
      </c>
      <c r="I432" s="20" t="n"/>
      <c r="K432">
        <f>I432+J432</f>
        <v/>
      </c>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c r="CL432" s="59" t="n"/>
      <c r="CM432" s="59" t="n"/>
      <c r="CN432" s="59" t="n"/>
    </row>
    <row r="433" ht="15" customFormat="1" customHeight="1" s="3">
      <c r="A433">
        <f>A432+1</f>
        <v/>
      </c>
      <c r="I433" s="20" t="n"/>
      <c r="K433">
        <f>I433+J433</f>
        <v/>
      </c>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c r="CL433" s="59" t="n"/>
      <c r="CM433" s="59" t="n"/>
      <c r="CN433" s="59" t="n"/>
    </row>
    <row r="434" ht="15" customFormat="1" customHeight="1" s="3">
      <c r="A434">
        <f>A433+1</f>
        <v/>
      </c>
      <c r="I434" s="20" t="n"/>
      <c r="K434">
        <f>I434+J434</f>
        <v/>
      </c>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c r="CL434" s="59" t="n"/>
      <c r="CM434" s="59" t="n"/>
      <c r="CN434" s="59" t="n"/>
    </row>
    <row r="435" ht="15" customFormat="1" customHeight="1" s="3">
      <c r="A435">
        <f>A434+1</f>
        <v/>
      </c>
      <c r="I435" s="20" t="n"/>
      <c r="K435">
        <f>I435+J435</f>
        <v/>
      </c>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c r="CL435" s="59" t="n"/>
      <c r="CM435" s="59" t="n"/>
      <c r="CN435" s="59" t="n"/>
    </row>
    <row r="436" ht="15" customFormat="1" customHeight="1" s="3">
      <c r="A436">
        <f>A435+1</f>
        <v/>
      </c>
      <c r="I436" s="20" t="n"/>
      <c r="K436">
        <f>I436+J436</f>
        <v/>
      </c>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c r="CL436" s="59" t="n"/>
      <c r="CM436" s="59" t="n"/>
      <c r="CN436" s="59" t="n"/>
    </row>
    <row r="437" ht="15" customFormat="1" customHeight="1" s="3">
      <c r="A437">
        <f>A436+1</f>
        <v/>
      </c>
      <c r="I437" s="20" t="n"/>
      <c r="K437">
        <f>I437+J437</f>
        <v/>
      </c>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c r="CL437" s="59" t="n"/>
      <c r="CM437" s="59" t="n"/>
      <c r="CN437" s="59" t="n"/>
    </row>
    <row r="438" ht="15" customFormat="1" customHeight="1" s="3">
      <c r="A438">
        <f>A437+1</f>
        <v/>
      </c>
      <c r="I438" s="20" t="n"/>
      <c r="K438">
        <f>I438+J438</f>
        <v/>
      </c>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c r="CL438" s="59" t="n"/>
      <c r="CM438" s="59" t="n"/>
      <c r="CN438" s="59" t="n"/>
    </row>
    <row r="439" ht="15" customFormat="1" customHeight="1" s="3">
      <c r="A439">
        <f>A438+1</f>
        <v/>
      </c>
      <c r="I439" s="20" t="n"/>
      <c r="K439">
        <f>I439+J439</f>
        <v/>
      </c>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c r="CL439" s="59" t="n"/>
      <c r="CM439" s="59" t="n"/>
      <c r="CN439" s="59" t="n"/>
    </row>
    <row r="440" ht="15" customFormat="1" customHeight="1" s="3">
      <c r="A440">
        <f>A439+1</f>
        <v/>
      </c>
      <c r="I440" s="20" t="n"/>
      <c r="K440">
        <f>I440+J440</f>
        <v/>
      </c>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c r="CL440" s="59" t="n"/>
      <c r="CM440" s="59" t="n"/>
      <c r="CN440" s="59" t="n"/>
    </row>
    <row r="441" ht="15" customFormat="1" customHeight="1" s="3">
      <c r="A441">
        <f>A440+1</f>
        <v/>
      </c>
      <c r="I441" s="20" t="n"/>
      <c r="K441">
        <f>I441+J441</f>
        <v/>
      </c>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c r="CL441" s="59" t="n"/>
      <c r="CM441" s="59" t="n"/>
      <c r="CN441" s="59" t="n"/>
    </row>
    <row r="442" ht="15" customFormat="1" customHeight="1" s="3">
      <c r="A442">
        <f>A441+1</f>
        <v/>
      </c>
      <c r="I442" s="20" t="n"/>
      <c r="K442">
        <f>I442+J442</f>
        <v/>
      </c>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c r="CL442" s="59" t="n"/>
      <c r="CM442" s="59" t="n"/>
      <c r="CN442" s="59" t="n"/>
    </row>
    <row r="443" ht="15" customFormat="1" customHeight="1" s="3">
      <c r="A443">
        <f>A442+1</f>
        <v/>
      </c>
      <c r="I443" s="20" t="n"/>
      <c r="K443">
        <f>I443+J443</f>
        <v/>
      </c>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c r="CL443" s="59" t="n"/>
      <c r="CM443" s="59" t="n"/>
      <c r="CN443" s="59" t="n"/>
    </row>
    <row r="444" ht="15" customFormat="1" customHeight="1" s="3">
      <c r="A444">
        <f>A443+1</f>
        <v/>
      </c>
      <c r="I444" s="20" t="n"/>
      <c r="K444">
        <f>I444+J444</f>
        <v/>
      </c>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c r="CL444" s="59" t="n"/>
      <c r="CM444" s="59" t="n"/>
      <c r="CN444" s="59" t="n"/>
    </row>
    <row r="445" ht="15" customFormat="1" customHeight="1" s="3">
      <c r="A445">
        <f>A444+1</f>
        <v/>
      </c>
      <c r="I445" s="20" t="n"/>
      <c r="K445">
        <f>I445+J445</f>
        <v/>
      </c>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c r="CL445" s="59" t="n"/>
      <c r="CM445" s="59" t="n"/>
      <c r="CN445" s="59" t="n"/>
    </row>
    <row r="446" ht="15" customFormat="1" customHeight="1" s="3">
      <c r="A446">
        <f>A445+1</f>
        <v/>
      </c>
      <c r="I446" s="20" t="n"/>
      <c r="K446">
        <f>I446+J446</f>
        <v/>
      </c>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c r="CL446" s="59" t="n"/>
      <c r="CM446" s="59" t="n"/>
      <c r="CN446" s="59" t="n"/>
    </row>
    <row r="447" ht="15" customFormat="1" customHeight="1" s="3">
      <c r="A447">
        <f>A446+1</f>
        <v/>
      </c>
      <c r="I447" s="20" t="n"/>
      <c r="K447">
        <f>I447+J447</f>
        <v/>
      </c>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c r="CL447" s="59" t="n"/>
      <c r="CM447" s="59" t="n"/>
      <c r="CN447" s="59" t="n"/>
    </row>
    <row r="448" ht="15" customFormat="1" customHeight="1" s="3">
      <c r="A448">
        <f>A447+1</f>
        <v/>
      </c>
      <c r="I448" s="20" t="n"/>
      <c r="K448">
        <f>I448+J448</f>
        <v/>
      </c>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c r="CL448" s="59" t="n"/>
      <c r="CM448" s="59" t="n"/>
      <c r="CN448" s="59" t="n"/>
    </row>
    <row r="449" ht="15" customFormat="1" customHeight="1" s="3">
      <c r="A449">
        <f>A448+1</f>
        <v/>
      </c>
      <c r="I449" s="20" t="n"/>
      <c r="K449">
        <f>I449+J449</f>
        <v/>
      </c>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c r="CL449" s="59" t="n"/>
      <c r="CM449" s="59" t="n"/>
      <c r="CN449" s="59" t="n"/>
    </row>
    <row r="450" ht="15" customFormat="1" customHeight="1" s="3">
      <c r="A450">
        <f>A449+1</f>
        <v/>
      </c>
      <c r="I450" s="20" t="n"/>
      <c r="K450">
        <f>I450+J450</f>
        <v/>
      </c>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c r="CL450" s="59" t="n"/>
      <c r="CM450" s="59" t="n"/>
      <c r="CN450" s="59" t="n"/>
    </row>
    <row r="451" ht="15" customFormat="1" customHeight="1" s="3">
      <c r="A451">
        <f>A450+1</f>
        <v/>
      </c>
      <c r="I451" s="20" t="n"/>
      <c r="K451">
        <f>I451+J451</f>
        <v/>
      </c>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c r="CL451" s="59" t="n"/>
      <c r="CM451" s="59" t="n"/>
      <c r="CN451" s="59" t="n"/>
    </row>
    <row r="452" ht="15" customFormat="1" customHeight="1" s="3">
      <c r="A452">
        <f>A451+1</f>
        <v/>
      </c>
      <c r="I452" s="20" t="n"/>
      <c r="K452">
        <f>I452+J452</f>
        <v/>
      </c>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c r="CL452" s="59" t="n"/>
      <c r="CM452" s="59" t="n"/>
      <c r="CN452" s="59" t="n"/>
    </row>
    <row r="453" ht="15" customFormat="1" customHeight="1" s="3">
      <c r="A453">
        <f>A452+1</f>
        <v/>
      </c>
      <c r="I453" s="20" t="n"/>
      <c r="K453">
        <f>I453+J453</f>
        <v/>
      </c>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c r="CL453" s="59" t="n"/>
      <c r="CM453" s="59" t="n"/>
      <c r="CN453" s="59" t="n"/>
    </row>
    <row r="454" ht="15" customFormat="1" customHeight="1" s="3">
      <c r="A454">
        <f>A453+1</f>
        <v/>
      </c>
      <c r="I454" s="20" t="n"/>
      <c r="K454">
        <f>I454+J454</f>
        <v/>
      </c>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c r="CL454" s="59" t="n"/>
      <c r="CM454" s="59" t="n"/>
      <c r="CN454" s="59" t="n"/>
    </row>
    <row r="455" ht="15" customFormat="1" customHeight="1" s="3">
      <c r="A455">
        <f>A454+1</f>
        <v/>
      </c>
      <c r="I455" s="20" t="n"/>
      <c r="K455">
        <f>I455+J455</f>
        <v/>
      </c>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c r="CL455" s="59" t="n"/>
      <c r="CM455" s="59" t="n"/>
      <c r="CN455" s="59" t="n"/>
    </row>
    <row r="456" ht="15" customFormat="1" customHeight="1" s="3">
      <c r="A456">
        <f>A455+1</f>
        <v/>
      </c>
      <c r="I456" s="20" t="n"/>
      <c r="K456">
        <f>I456+J456</f>
        <v/>
      </c>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c r="CL456" s="59" t="n"/>
      <c r="CM456" s="59" t="n"/>
      <c r="CN456" s="59" t="n"/>
    </row>
    <row r="457" ht="15" customFormat="1" customHeight="1" s="3">
      <c r="A457">
        <f>A456+1</f>
        <v/>
      </c>
      <c r="I457" s="20" t="n"/>
      <c r="K457">
        <f>I457+J457</f>
        <v/>
      </c>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c r="CL457" s="59" t="n"/>
      <c r="CM457" s="59" t="n"/>
      <c r="CN457" s="59" t="n"/>
    </row>
    <row r="458" ht="15" customFormat="1" customHeight="1" s="3">
      <c r="A458">
        <f>A457+1</f>
        <v/>
      </c>
      <c r="I458" s="20" t="n"/>
      <c r="K458">
        <f>I458+J458</f>
        <v/>
      </c>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c r="CL458" s="59" t="n"/>
      <c r="CM458" s="59" t="n"/>
      <c r="CN458" s="59" t="n"/>
    </row>
    <row r="459" ht="15" customFormat="1" customHeight="1" s="3">
      <c r="A459">
        <f>A458+1</f>
        <v/>
      </c>
      <c r="I459" s="20" t="n"/>
      <c r="K459">
        <f>I459+J459</f>
        <v/>
      </c>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c r="CL459" s="59" t="n"/>
      <c r="CM459" s="59" t="n"/>
      <c r="CN459" s="59" t="n"/>
    </row>
    <row r="460" ht="15" customFormat="1" customHeight="1" s="3">
      <c r="A460">
        <f>A459+1</f>
        <v/>
      </c>
      <c r="I460" s="20" t="n"/>
      <c r="K460">
        <f>I460+J460</f>
        <v/>
      </c>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c r="CL460" s="59" t="n"/>
      <c r="CM460" s="59" t="n"/>
      <c r="CN460" s="59" t="n"/>
    </row>
    <row r="461" ht="15" customFormat="1" customHeight="1" s="3">
      <c r="A461">
        <f>A460+1</f>
        <v/>
      </c>
      <c r="I461" s="20" t="n"/>
      <c r="K461">
        <f>I461+J461</f>
        <v/>
      </c>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c r="CL461" s="59" t="n"/>
      <c r="CM461" s="59" t="n"/>
      <c r="CN461" s="59" t="n"/>
    </row>
    <row r="462" ht="15" customFormat="1" customHeight="1" s="3">
      <c r="A462">
        <f>A461+1</f>
        <v/>
      </c>
      <c r="I462" s="20" t="n"/>
      <c r="K462">
        <f>I462+J462</f>
        <v/>
      </c>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c r="CL462" s="59" t="n"/>
      <c r="CM462" s="59" t="n"/>
      <c r="CN462" s="59" t="n"/>
    </row>
    <row r="463" ht="15" customFormat="1" customHeight="1" s="3">
      <c r="A463">
        <f>A462+1</f>
        <v/>
      </c>
      <c r="I463" s="20" t="n"/>
      <c r="K463">
        <f>I463+J463</f>
        <v/>
      </c>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c r="CL463" s="59" t="n"/>
      <c r="CM463" s="59" t="n"/>
      <c r="CN463" s="59" t="n"/>
    </row>
    <row r="464" ht="15" customFormat="1" customHeight="1" s="3">
      <c r="A464">
        <f>A463+1</f>
        <v/>
      </c>
      <c r="I464" s="20" t="n"/>
      <c r="K464">
        <f>I464+J464</f>
        <v/>
      </c>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c r="CL464" s="59" t="n"/>
      <c r="CM464" s="59" t="n"/>
      <c r="CN464" s="59" t="n"/>
    </row>
    <row r="465" ht="15" customFormat="1" customHeight="1" s="3">
      <c r="A465">
        <f>A464+1</f>
        <v/>
      </c>
      <c r="I465" s="20" t="n"/>
      <c r="K465">
        <f>I465+J465</f>
        <v/>
      </c>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c r="CL465" s="59" t="n"/>
      <c r="CM465" s="59" t="n"/>
      <c r="CN465" s="59" t="n"/>
    </row>
    <row r="466" ht="15" customFormat="1" customHeight="1" s="3">
      <c r="A466">
        <f>A465+1</f>
        <v/>
      </c>
      <c r="I466" s="20" t="n"/>
      <c r="K466">
        <f>I466+J466</f>
        <v/>
      </c>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c r="CL466" s="59" t="n"/>
      <c r="CM466" s="59" t="n"/>
      <c r="CN466" s="59" t="n"/>
    </row>
    <row r="467" ht="15" customFormat="1" customHeight="1" s="3">
      <c r="A467">
        <f>A466+1</f>
        <v/>
      </c>
      <c r="I467" s="20" t="n"/>
      <c r="K467">
        <f>I467+J467</f>
        <v/>
      </c>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c r="CL467" s="59" t="n"/>
      <c r="CM467" s="59" t="n"/>
      <c r="CN467" s="59" t="n"/>
    </row>
    <row r="468" ht="15" customFormat="1" customHeight="1" s="3">
      <c r="A468">
        <f>A467+1</f>
        <v/>
      </c>
      <c r="I468" s="20" t="n"/>
      <c r="K468">
        <f>I468+J468</f>
        <v/>
      </c>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c r="CL468" s="59" t="n"/>
      <c r="CM468" s="59" t="n"/>
      <c r="CN468" s="59" t="n"/>
    </row>
    <row r="469" ht="15" customFormat="1" customHeight="1" s="3">
      <c r="A469">
        <f>A468+1</f>
        <v/>
      </c>
      <c r="I469" s="20" t="n"/>
      <c r="K469">
        <f>I469+J469</f>
        <v/>
      </c>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c r="CL469" s="59" t="n"/>
      <c r="CM469" s="59" t="n"/>
      <c r="CN469" s="59" t="n"/>
    </row>
    <row r="470" ht="15" customFormat="1" customHeight="1" s="3">
      <c r="A470">
        <f>A469+1</f>
        <v/>
      </c>
      <c r="I470" s="20" t="n"/>
      <c r="K470">
        <f>I470+J470</f>
        <v/>
      </c>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c r="CL470" s="59" t="n"/>
      <c r="CM470" s="59" t="n"/>
      <c r="CN470" s="59" t="n"/>
    </row>
    <row r="471" ht="15" customFormat="1" customHeight="1" s="3">
      <c r="A471">
        <f>A470+1</f>
        <v/>
      </c>
      <c r="I471" s="20" t="n"/>
      <c r="K471">
        <f>I471+J471</f>
        <v/>
      </c>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c r="CL471" s="59" t="n"/>
      <c r="CM471" s="59" t="n"/>
      <c r="CN471" s="59" t="n"/>
    </row>
    <row r="472" ht="15" customFormat="1" customHeight="1" s="3">
      <c r="A472">
        <f>A471+1</f>
        <v/>
      </c>
      <c r="I472" s="20" t="n"/>
      <c r="K472">
        <f>I472+J472</f>
        <v/>
      </c>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c r="CL472" s="59" t="n"/>
      <c r="CM472" s="59" t="n"/>
      <c r="CN472" s="59" t="n"/>
    </row>
    <row r="473" ht="15" customFormat="1" customHeight="1" s="3">
      <c r="A473">
        <f>A472+1</f>
        <v/>
      </c>
      <c r="I473" s="20" t="n"/>
      <c r="K473">
        <f>I473+J473</f>
        <v/>
      </c>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c r="CL473" s="59" t="n"/>
      <c r="CM473" s="59" t="n"/>
      <c r="CN473" s="59" t="n"/>
    </row>
    <row r="474" ht="15" customFormat="1" customHeight="1" s="3">
      <c r="A474">
        <f>A473+1</f>
        <v/>
      </c>
      <c r="I474" s="20" t="n"/>
      <c r="K474">
        <f>I474+J474</f>
        <v/>
      </c>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c r="CL474" s="59" t="n"/>
      <c r="CM474" s="59" t="n"/>
      <c r="CN474" s="59" t="n"/>
    </row>
    <row r="475" ht="15" customFormat="1" customHeight="1" s="3">
      <c r="A475">
        <f>A474+1</f>
        <v/>
      </c>
      <c r="I475" s="20" t="n"/>
      <c r="K475">
        <f>I475+J475</f>
        <v/>
      </c>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c r="CL475" s="59" t="n"/>
      <c r="CM475" s="59" t="n"/>
      <c r="CN475" s="59" t="n"/>
    </row>
    <row r="476" ht="15" customFormat="1" customHeight="1" s="3">
      <c r="A476">
        <f>A475+1</f>
        <v/>
      </c>
      <c r="I476" s="20" t="n"/>
      <c r="K476">
        <f>I476+J476</f>
        <v/>
      </c>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c r="CL476" s="59" t="n"/>
      <c r="CM476" s="59" t="n"/>
      <c r="CN476" s="59" t="n"/>
    </row>
    <row r="477" ht="15" customFormat="1" customHeight="1" s="3">
      <c r="A477">
        <f>A476+1</f>
        <v/>
      </c>
      <c r="I477" s="20" t="n"/>
      <c r="K477">
        <f>I477+J477</f>
        <v/>
      </c>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c r="CL477" s="59" t="n"/>
      <c r="CM477" s="59" t="n"/>
      <c r="CN477" s="59" t="n"/>
    </row>
    <row r="478" ht="15" customFormat="1" customHeight="1" s="3">
      <c r="A478">
        <f>A477+1</f>
        <v/>
      </c>
      <c r="I478" s="20" t="n"/>
      <c r="K478">
        <f>I478+J478</f>
        <v/>
      </c>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c r="CL478" s="59" t="n"/>
      <c r="CM478" s="59" t="n"/>
      <c r="CN478" s="59" t="n"/>
    </row>
    <row r="479" ht="15" customFormat="1" customHeight="1" s="3">
      <c r="A479">
        <f>A478+1</f>
        <v/>
      </c>
      <c r="I479" s="20" t="n"/>
      <c r="K479">
        <f>I479+J479</f>
        <v/>
      </c>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c r="CL479" s="59" t="n"/>
      <c r="CM479" s="59" t="n"/>
      <c r="CN479" s="59" t="n"/>
    </row>
    <row r="480" ht="15" customFormat="1" customHeight="1" s="3">
      <c r="A480">
        <f>A479+1</f>
        <v/>
      </c>
      <c r="I480" s="20" t="n"/>
      <c r="K480">
        <f>I480+J480</f>
        <v/>
      </c>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c r="CL480" s="59" t="n"/>
      <c r="CM480" s="59" t="n"/>
      <c r="CN480" s="59" t="n"/>
    </row>
    <row r="481" ht="15" customFormat="1" customHeight="1" s="3">
      <c r="A481">
        <f>A480+1</f>
        <v/>
      </c>
      <c r="I481" s="20" t="n"/>
      <c r="K481">
        <f>I481+J481</f>
        <v/>
      </c>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c r="CL481" s="59" t="n"/>
      <c r="CM481" s="59" t="n"/>
      <c r="CN481" s="59" t="n"/>
    </row>
    <row r="482" ht="15" customFormat="1" customHeight="1" s="3">
      <c r="A482">
        <f>A481+1</f>
        <v/>
      </c>
      <c r="I482" s="20" t="n"/>
      <c r="K482">
        <f>I482+J482</f>
        <v/>
      </c>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c r="CL482" s="59" t="n"/>
      <c r="CM482" s="59" t="n"/>
      <c r="CN482" s="59" t="n"/>
    </row>
    <row r="483" ht="15" customFormat="1" customHeight="1" s="3">
      <c r="A483">
        <f>A482+1</f>
        <v/>
      </c>
      <c r="I483" s="20" t="n"/>
      <c r="K483">
        <f>I483+J483</f>
        <v/>
      </c>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c r="CL483" s="59" t="n"/>
      <c r="CM483" s="59" t="n"/>
      <c r="CN483" s="59" t="n"/>
    </row>
    <row r="484" ht="15" customFormat="1" customHeight="1" s="3">
      <c r="A484">
        <f>A483+1</f>
        <v/>
      </c>
      <c r="I484" s="20" t="n"/>
      <c r="K484">
        <f>I484+J484</f>
        <v/>
      </c>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c r="CL484" s="59" t="n"/>
      <c r="CM484" s="59" t="n"/>
      <c r="CN484" s="59" t="n"/>
    </row>
    <row r="485" ht="15" customFormat="1" customHeight="1" s="3">
      <c r="A485">
        <f>A484+1</f>
        <v/>
      </c>
      <c r="I485" s="20" t="n"/>
      <c r="K485">
        <f>I485+J485</f>
        <v/>
      </c>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c r="CL485" s="59" t="n"/>
      <c r="CM485" s="59" t="n"/>
      <c r="CN485" s="59" t="n"/>
    </row>
    <row r="486" ht="15" customFormat="1" customHeight="1" s="3">
      <c r="A486">
        <f>A485+1</f>
        <v/>
      </c>
      <c r="I486" s="20" t="n"/>
      <c r="K486">
        <f>I486+J486</f>
        <v/>
      </c>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c r="CL486" s="59" t="n"/>
      <c r="CM486" s="59" t="n"/>
      <c r="CN486" s="59" t="n"/>
    </row>
    <row r="487" ht="15" customFormat="1" customHeight="1" s="3">
      <c r="A487">
        <f>A486+1</f>
        <v/>
      </c>
      <c r="I487" s="20" t="n"/>
      <c r="K487">
        <f>I487+J487</f>
        <v/>
      </c>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c r="CL487" s="59" t="n"/>
      <c r="CM487" s="59" t="n"/>
      <c r="CN487" s="59" t="n"/>
    </row>
    <row r="488" ht="15" customFormat="1" customHeight="1" s="3">
      <c r="A488">
        <f>A487+1</f>
        <v/>
      </c>
      <c r="I488" s="20" t="n"/>
      <c r="K488">
        <f>I488+J488</f>
        <v/>
      </c>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c r="CL488" s="59" t="n"/>
      <c r="CM488" s="59" t="n"/>
      <c r="CN488" s="59" t="n"/>
    </row>
    <row r="489" ht="15" customFormat="1" customHeight="1" s="3">
      <c r="A489">
        <f>A488+1</f>
        <v/>
      </c>
      <c r="I489" s="20" t="n"/>
      <c r="K489">
        <f>I489+J489</f>
        <v/>
      </c>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c r="CL489" s="59" t="n"/>
      <c r="CM489" s="59" t="n"/>
      <c r="CN489" s="59" t="n"/>
    </row>
    <row r="490" ht="15" customFormat="1" customHeight="1" s="3">
      <c r="A490">
        <f>A489+1</f>
        <v/>
      </c>
      <c r="I490" s="20" t="n"/>
      <c r="K490">
        <f>I490+J490</f>
        <v/>
      </c>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c r="CL490" s="59" t="n"/>
      <c r="CM490" s="59" t="n"/>
      <c r="CN490" s="59" t="n"/>
    </row>
    <row r="491" ht="15" customFormat="1" customHeight="1" s="3">
      <c r="A491">
        <f>A490+1</f>
        <v/>
      </c>
      <c r="I491" s="20" t="n"/>
      <c r="K491">
        <f>I491+J491</f>
        <v/>
      </c>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c r="CL491" s="59" t="n"/>
      <c r="CM491" s="59" t="n"/>
      <c r="CN491" s="59" t="n"/>
    </row>
    <row r="492" ht="15" customFormat="1" customHeight="1" s="3">
      <c r="A492">
        <f>A491+1</f>
        <v/>
      </c>
      <c r="I492" s="20" t="n"/>
      <c r="K492">
        <f>I492+J492</f>
        <v/>
      </c>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c r="CL492" s="59" t="n"/>
      <c r="CM492" s="59" t="n"/>
      <c r="CN492" s="59" t="n"/>
    </row>
    <row r="493" ht="15" customFormat="1" customHeight="1" s="3">
      <c r="A493">
        <f>A492+1</f>
        <v/>
      </c>
      <c r="I493" s="20" t="n"/>
      <c r="K493">
        <f>I493+J493</f>
        <v/>
      </c>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c r="CL493" s="59" t="n"/>
      <c r="CM493" s="59" t="n"/>
      <c r="CN493" s="59" t="n"/>
    </row>
    <row r="494" ht="15" customFormat="1" customHeight="1" s="3">
      <c r="A494">
        <f>A493+1</f>
        <v/>
      </c>
      <c r="I494" s="20" t="n"/>
      <c r="K494">
        <f>I494+J494</f>
        <v/>
      </c>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c r="CL494" s="59" t="n"/>
      <c r="CM494" s="59" t="n"/>
      <c r="CN494" s="59" t="n"/>
    </row>
    <row r="495" ht="15" customFormat="1" customHeight="1" s="3">
      <c r="A495">
        <f>A494+1</f>
        <v/>
      </c>
      <c r="I495" s="20" t="n"/>
      <c r="K495">
        <f>I495+J495</f>
        <v/>
      </c>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c r="CL495" s="59" t="n"/>
      <c r="CM495" s="59" t="n"/>
      <c r="CN495" s="59" t="n"/>
    </row>
    <row r="496" ht="15" customFormat="1" customHeight="1" s="3">
      <c r="A496">
        <f>A495+1</f>
        <v/>
      </c>
      <c r="I496" s="20" t="n"/>
      <c r="K496">
        <f>I496+J496</f>
        <v/>
      </c>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c r="CL496" s="59" t="n"/>
      <c r="CM496" s="59" t="n"/>
      <c r="CN496" s="59" t="n"/>
    </row>
    <row r="497" ht="15" customFormat="1" customHeight="1" s="3">
      <c r="A497">
        <f>A496+1</f>
        <v/>
      </c>
      <c r="I497" s="20" t="n"/>
      <c r="K497">
        <f>I497+J497</f>
        <v/>
      </c>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c r="CL497" s="59" t="n"/>
      <c r="CM497" s="59" t="n"/>
      <c r="CN497" s="59" t="n"/>
    </row>
    <row r="498" ht="15" customFormat="1" customHeight="1" s="3">
      <c r="A498">
        <f>A497+1</f>
        <v/>
      </c>
      <c r="I498" s="20" t="n"/>
      <c r="K498">
        <f>I498+J498</f>
        <v/>
      </c>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c r="CL498" s="59" t="n"/>
      <c r="CM498" s="59" t="n"/>
      <c r="CN498" s="59" t="n"/>
    </row>
    <row r="499" ht="15" customFormat="1" customHeight="1" s="3">
      <c r="A499">
        <f>A498+1</f>
        <v/>
      </c>
      <c r="I499" s="20" t="n"/>
      <c r="K499">
        <f>I499+J499</f>
        <v/>
      </c>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c r="CL499" s="59" t="n"/>
      <c r="CM499" s="59" t="n"/>
      <c r="CN499" s="59" t="n"/>
    </row>
    <row r="500" ht="15" customFormat="1" customHeight="1" s="3">
      <c r="A500">
        <f>A499+1</f>
        <v/>
      </c>
      <c r="I500" s="20" t="n"/>
      <c r="K500">
        <f>I500+J500</f>
        <v/>
      </c>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c r="CL500" s="59" t="n"/>
      <c r="CM500" s="59" t="n"/>
      <c r="CN500" s="59" t="n"/>
    </row>
    <row r="501" ht="15" customFormat="1" customHeight="1" s="3">
      <c r="A501">
        <f>A500+1</f>
        <v/>
      </c>
      <c r="I501" s="20" t="n"/>
      <c r="K501">
        <f>I501+J501</f>
        <v/>
      </c>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c r="CL501" s="59" t="n"/>
      <c r="CM501" s="59" t="n"/>
      <c r="CN501" s="59" t="n"/>
    </row>
    <row r="502" ht="15" customFormat="1" customHeight="1" s="3">
      <c r="A502">
        <f>A501+1</f>
        <v/>
      </c>
      <c r="I502" s="20" t="n"/>
      <c r="K502">
        <f>I502+J502</f>
        <v/>
      </c>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c r="CL502" s="59" t="n"/>
      <c r="CM502" s="59" t="n"/>
      <c r="CN502" s="59" t="n"/>
    </row>
    <row r="503" ht="15" customFormat="1" customHeight="1" s="3">
      <c r="A503">
        <f>A502+1</f>
        <v/>
      </c>
      <c r="I503" s="20" t="n"/>
      <c r="K503">
        <f>I503+J503</f>
        <v/>
      </c>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c r="CL503" s="59" t="n"/>
      <c r="CM503" s="59" t="n"/>
      <c r="CN503" s="59" t="n"/>
    </row>
    <row r="504" ht="15" customFormat="1" customHeight="1" s="3">
      <c r="A504">
        <f>A503+1</f>
        <v/>
      </c>
      <c r="I504" s="20" t="n"/>
      <c r="K504">
        <f>I504+J504</f>
        <v/>
      </c>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c r="CL504" s="59" t="n"/>
      <c r="CM504" s="59" t="n"/>
      <c r="CN504" s="59" t="n"/>
    </row>
    <row r="505" ht="15" customFormat="1" customHeight="1" s="3">
      <c r="A505">
        <f>A504+1</f>
        <v/>
      </c>
      <c r="I505" s="20" t="n"/>
      <c r="K505">
        <f>I505+J505</f>
        <v/>
      </c>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c r="CL505" s="59" t="n"/>
      <c r="CM505" s="59" t="n"/>
      <c r="CN505" s="59" t="n"/>
    </row>
    <row r="506" ht="15" customFormat="1" customHeight="1" s="3">
      <c r="A506">
        <f>A505+1</f>
        <v/>
      </c>
      <c r="I506" s="20" t="n"/>
      <c r="K506">
        <f>I506+J506</f>
        <v/>
      </c>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c r="CL506" s="59" t="n"/>
      <c r="CM506" s="59" t="n"/>
      <c r="CN506" s="59" t="n"/>
    </row>
    <row r="507" ht="15" customFormat="1" customHeight="1" s="3">
      <c r="A507">
        <f>A506+1</f>
        <v/>
      </c>
      <c r="I507" s="20" t="n"/>
      <c r="K507">
        <f>I507+J507</f>
        <v/>
      </c>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c r="CL507" s="59" t="n"/>
      <c r="CM507" s="59" t="n"/>
      <c r="CN507" s="59" t="n"/>
    </row>
    <row r="508" ht="15" customFormat="1" customHeight="1" s="3">
      <c r="A508">
        <f>A507+1</f>
        <v/>
      </c>
      <c r="I508" s="20" t="n"/>
      <c r="K508">
        <f>I508+J508</f>
        <v/>
      </c>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c r="CL508" s="59" t="n"/>
      <c r="CM508" s="59" t="n"/>
      <c r="CN508" s="59" t="n"/>
    </row>
    <row r="509" ht="15" customFormat="1" customHeight="1" s="3">
      <c r="A509">
        <f>A508+1</f>
        <v/>
      </c>
      <c r="I509" s="20" t="n"/>
      <c r="K509">
        <f>I509+J509</f>
        <v/>
      </c>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c r="CL509" s="59" t="n"/>
      <c r="CM509" s="59" t="n"/>
      <c r="CN509" s="59" t="n"/>
    </row>
    <row r="510" ht="15" customFormat="1" customHeight="1" s="3">
      <c r="A510">
        <f>A509+1</f>
        <v/>
      </c>
      <c r="I510" s="20" t="n"/>
      <c r="K510">
        <f>I510+J510</f>
        <v/>
      </c>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c r="CL510" s="59" t="n"/>
      <c r="CM510" s="59" t="n"/>
      <c r="CN510" s="59" t="n"/>
    </row>
    <row r="511" ht="15" customFormat="1" customHeight="1" s="3">
      <c r="A511">
        <f>A510+1</f>
        <v/>
      </c>
      <c r="I511" s="20" t="n"/>
      <c r="K511">
        <f>I511+J511</f>
        <v/>
      </c>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c r="CL511" s="59" t="n"/>
      <c r="CM511" s="59" t="n"/>
      <c r="CN511" s="59" t="n"/>
    </row>
    <row r="512" ht="15" customFormat="1" customHeight="1" s="3">
      <c r="A512">
        <f>A511+1</f>
        <v/>
      </c>
      <c r="I512" s="20" t="n"/>
      <c r="K512">
        <f>I512+J512</f>
        <v/>
      </c>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c r="CL512" s="59" t="n"/>
      <c r="CM512" s="59" t="n"/>
      <c r="CN512" s="59" t="n"/>
    </row>
    <row r="513" ht="15" customFormat="1" customHeight="1" s="3">
      <c r="A513">
        <f>A512+1</f>
        <v/>
      </c>
      <c r="I513" s="20" t="n"/>
      <c r="K513">
        <f>I513+J513</f>
        <v/>
      </c>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c r="CL513" s="59" t="n"/>
      <c r="CM513" s="59" t="n"/>
      <c r="CN513" s="59" t="n"/>
    </row>
    <row r="514" ht="15" customFormat="1" customHeight="1" s="3">
      <c r="A514">
        <f>A513+1</f>
        <v/>
      </c>
      <c r="I514" s="20" t="n"/>
      <c r="K514">
        <f>I514+J514</f>
        <v/>
      </c>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c r="CL514" s="59" t="n"/>
      <c r="CM514" s="59" t="n"/>
      <c r="CN514" s="59" t="n"/>
    </row>
    <row r="515" ht="15" customFormat="1" customHeight="1" s="3">
      <c r="A515">
        <f>A514+1</f>
        <v/>
      </c>
      <c r="I515" s="20" t="n"/>
      <c r="K515">
        <f>I515+J515</f>
        <v/>
      </c>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c r="CL515" s="59" t="n"/>
      <c r="CM515" s="59" t="n"/>
      <c r="CN515" s="59" t="n"/>
    </row>
    <row r="516" ht="15" customFormat="1" customHeight="1" s="3">
      <c r="A516">
        <f>A515+1</f>
        <v/>
      </c>
      <c r="I516" s="20" t="n"/>
      <c r="K516">
        <f>I516+J516</f>
        <v/>
      </c>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c r="CL516" s="59" t="n"/>
      <c r="CM516" s="59" t="n"/>
      <c r="CN516" s="59" t="n"/>
    </row>
    <row r="517" ht="15" customFormat="1" customHeight="1" s="3">
      <c r="A517">
        <f>A516+1</f>
        <v/>
      </c>
      <c r="I517" s="20" t="n"/>
      <c r="K517">
        <f>I517+J517</f>
        <v/>
      </c>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c r="CL517" s="59" t="n"/>
      <c r="CM517" s="59" t="n"/>
      <c r="CN517" s="59" t="n"/>
    </row>
    <row r="518" ht="15" customFormat="1" customHeight="1" s="3">
      <c r="A518">
        <f>A517+1</f>
        <v/>
      </c>
      <c r="I518" s="20" t="n"/>
      <c r="K518">
        <f>I518+J518</f>
        <v/>
      </c>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c r="CL518" s="59" t="n"/>
      <c r="CM518" s="59" t="n"/>
      <c r="CN518" s="59" t="n"/>
    </row>
    <row r="519" ht="15" customFormat="1" customHeight="1" s="3">
      <c r="A519">
        <f>A518+1</f>
        <v/>
      </c>
      <c r="I519" s="20" t="n"/>
      <c r="K519">
        <f>I519+J519</f>
        <v/>
      </c>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c r="CL519" s="59" t="n"/>
      <c r="CM519" s="59" t="n"/>
      <c r="CN519" s="59" t="n"/>
    </row>
    <row r="520" ht="15" customFormat="1" customHeight="1" s="3">
      <c r="A520">
        <f>A519+1</f>
        <v/>
      </c>
      <c r="I520" s="20" t="n"/>
      <c r="K520">
        <f>I520+J520</f>
        <v/>
      </c>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c r="CL520" s="59" t="n"/>
      <c r="CM520" s="59" t="n"/>
      <c r="CN520" s="59" t="n"/>
    </row>
    <row r="521" ht="15" customFormat="1" customHeight="1" s="3">
      <c r="A521">
        <f>A520+1</f>
        <v/>
      </c>
      <c r="I521" s="20" t="n"/>
      <c r="K521">
        <f>I521+J521</f>
        <v/>
      </c>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c r="CL521" s="59" t="n"/>
      <c r="CM521" s="59" t="n"/>
      <c r="CN521" s="59" t="n"/>
    </row>
    <row r="522" ht="15" customFormat="1" customHeight="1" s="3">
      <c r="A522">
        <f>A521+1</f>
        <v/>
      </c>
      <c r="I522" s="20" t="n"/>
      <c r="K522">
        <f>I522+J522</f>
        <v/>
      </c>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c r="CL522" s="59" t="n"/>
      <c r="CM522" s="59" t="n"/>
      <c r="CN522" s="59" t="n"/>
    </row>
    <row r="523" ht="15" customFormat="1" customHeight="1" s="3">
      <c r="A523">
        <f>A522+1</f>
        <v/>
      </c>
      <c r="I523" s="20" t="n"/>
      <c r="K523">
        <f>I523+J523</f>
        <v/>
      </c>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c r="CL523" s="59" t="n"/>
      <c r="CM523" s="59" t="n"/>
      <c r="CN523" s="59" t="n"/>
    </row>
    <row r="524" ht="15" customFormat="1" customHeight="1" s="3">
      <c r="A524">
        <f>A523+1</f>
        <v/>
      </c>
      <c r="I524" s="20" t="n"/>
      <c r="K524">
        <f>I524+J524</f>
        <v/>
      </c>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c r="CL524" s="59" t="n"/>
      <c r="CM524" s="59" t="n"/>
      <c r="CN524" s="59" t="n"/>
    </row>
    <row r="525" ht="15" customFormat="1" customHeight="1" s="3">
      <c r="A525">
        <f>A524+1</f>
        <v/>
      </c>
      <c r="I525" s="20" t="n"/>
      <c r="K525">
        <f>I525+J525</f>
        <v/>
      </c>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c r="CL525" s="59" t="n"/>
      <c r="CM525" s="59" t="n"/>
      <c r="CN525" s="59" t="n"/>
    </row>
    <row r="526" ht="15" customFormat="1" customHeight="1" s="3">
      <c r="A526">
        <f>A525+1</f>
        <v/>
      </c>
      <c r="I526" s="20" t="n"/>
      <c r="K526">
        <f>I526+J526</f>
        <v/>
      </c>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c r="CL526" s="59" t="n"/>
      <c r="CM526" s="59" t="n"/>
      <c r="CN526" s="59" t="n"/>
    </row>
    <row r="527" ht="15" customFormat="1" customHeight="1" s="3">
      <c r="A527">
        <f>A526+1</f>
        <v/>
      </c>
      <c r="I527" s="20" t="n"/>
      <c r="K527">
        <f>I527+J527</f>
        <v/>
      </c>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c r="CL527" s="59" t="n"/>
      <c r="CM527" s="59" t="n"/>
      <c r="CN527" s="59" t="n"/>
    </row>
    <row r="528" ht="15" customFormat="1" customHeight="1" s="3">
      <c r="A528">
        <f>A527+1</f>
        <v/>
      </c>
      <c r="I528" s="20" t="n"/>
      <c r="K528">
        <f>I528+J528</f>
        <v/>
      </c>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c r="CL528" s="59" t="n"/>
      <c r="CM528" s="59" t="n"/>
      <c r="CN528" s="59" t="n"/>
    </row>
    <row r="529" ht="15" customFormat="1" customHeight="1" s="3">
      <c r="A529">
        <f>A528+1</f>
        <v/>
      </c>
      <c r="I529" s="20" t="n"/>
      <c r="K529">
        <f>I529+J529</f>
        <v/>
      </c>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c r="CL529" s="59" t="n"/>
      <c r="CM529" s="59" t="n"/>
      <c r="CN529" s="59" t="n"/>
    </row>
    <row r="530" ht="15" customFormat="1" customHeight="1" s="3">
      <c r="A530">
        <f>A529+1</f>
        <v/>
      </c>
      <c r="I530" s="20" t="n"/>
      <c r="K530">
        <f>I530+J530</f>
        <v/>
      </c>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c r="CL530" s="59" t="n"/>
      <c r="CM530" s="59" t="n"/>
      <c r="CN530" s="59" t="n"/>
    </row>
    <row r="531" ht="15" customFormat="1" customHeight="1" s="3">
      <c r="A531">
        <f>A530+1</f>
        <v/>
      </c>
      <c r="I531" s="20" t="n"/>
      <c r="K531">
        <f>I531+J531</f>
        <v/>
      </c>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c r="CL531" s="59" t="n"/>
      <c r="CM531" s="59" t="n"/>
      <c r="CN531" s="59" t="n"/>
    </row>
    <row r="532" ht="15" customFormat="1" customHeight="1" s="3">
      <c r="A532">
        <f>A531+1</f>
        <v/>
      </c>
      <c r="I532" s="20" t="n"/>
      <c r="K532">
        <f>I532+J532</f>
        <v/>
      </c>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c r="CL532" s="59" t="n"/>
      <c r="CM532" s="59" t="n"/>
      <c r="CN532" s="59" t="n"/>
    </row>
    <row r="533" ht="15" customFormat="1" customHeight="1" s="3">
      <c r="A533">
        <f>A532+1</f>
        <v/>
      </c>
      <c r="I533" s="20" t="n"/>
      <c r="K533">
        <f>I533+J533</f>
        <v/>
      </c>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c r="CL533" s="59" t="n"/>
      <c r="CM533" s="59" t="n"/>
      <c r="CN533" s="59" t="n"/>
    </row>
    <row r="534" ht="15" customFormat="1" customHeight="1" s="3">
      <c r="A534">
        <f>A533+1</f>
        <v/>
      </c>
      <c r="I534" s="20" t="n"/>
      <c r="K534">
        <f>I534+J534</f>
        <v/>
      </c>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c r="CL534" s="59" t="n"/>
      <c r="CM534" s="59" t="n"/>
      <c r="CN534" s="59" t="n"/>
    </row>
    <row r="535" ht="15" customFormat="1" customHeight="1" s="3">
      <c r="A535">
        <f>A534+1</f>
        <v/>
      </c>
      <c r="I535" s="20" t="n"/>
      <c r="K535">
        <f>I535+J535</f>
        <v/>
      </c>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c r="CL535" s="59" t="n"/>
      <c r="CM535" s="59" t="n"/>
      <c r="CN535" s="59" t="n"/>
    </row>
    <row r="536" ht="15" customFormat="1" customHeight="1" s="3">
      <c r="A536">
        <f>A535+1</f>
        <v/>
      </c>
      <c r="I536" s="20" t="n"/>
      <c r="K536">
        <f>I536+J536</f>
        <v/>
      </c>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c r="CL536" s="59" t="n"/>
      <c r="CM536" s="59" t="n"/>
      <c r="CN536" s="59" t="n"/>
    </row>
    <row r="537" ht="15" customFormat="1" customHeight="1" s="3">
      <c r="A537">
        <f>A536+1</f>
        <v/>
      </c>
      <c r="I537" s="20" t="n"/>
      <c r="K537">
        <f>I537+J537</f>
        <v/>
      </c>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c r="CL537" s="59" t="n"/>
      <c r="CM537" s="59" t="n"/>
      <c r="CN537" s="59" t="n"/>
    </row>
    <row r="538" ht="15" customFormat="1" customHeight="1" s="3">
      <c r="A538">
        <f>A537+1</f>
        <v/>
      </c>
      <c r="I538" s="20" t="n"/>
      <c r="K538">
        <f>I538+J538</f>
        <v/>
      </c>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c r="CL538" s="59" t="n"/>
      <c r="CM538" s="59" t="n"/>
      <c r="CN538" s="59" t="n"/>
    </row>
    <row r="539" ht="15" customFormat="1" customHeight="1" s="3">
      <c r="A539">
        <f>A538+1</f>
        <v/>
      </c>
      <c r="I539" s="20" t="n"/>
      <c r="K539">
        <f>I539+J539</f>
        <v/>
      </c>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c r="CL539" s="59" t="n"/>
      <c r="CM539" s="59" t="n"/>
      <c r="CN539" s="59" t="n"/>
    </row>
    <row r="540" ht="15" customFormat="1" customHeight="1" s="3">
      <c r="A540">
        <f>A539+1</f>
        <v/>
      </c>
      <c r="I540" s="20" t="n"/>
      <c r="K540">
        <f>I540+J540</f>
        <v/>
      </c>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c r="CL540" s="59" t="n"/>
      <c r="CM540" s="59" t="n"/>
      <c r="CN540" s="59" t="n"/>
    </row>
    <row r="541" ht="15" customFormat="1" customHeight="1" s="3">
      <c r="A541">
        <f>A540+1</f>
        <v/>
      </c>
      <c r="I541" s="20" t="n"/>
      <c r="K541">
        <f>I541+J541</f>
        <v/>
      </c>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c r="CL541" s="59" t="n"/>
      <c r="CM541" s="59" t="n"/>
      <c r="CN541" s="59" t="n"/>
    </row>
    <row r="542" ht="15" customFormat="1" customHeight="1" s="3">
      <c r="A542">
        <f>A541+1</f>
        <v/>
      </c>
      <c r="I542" s="20" t="n"/>
      <c r="K542">
        <f>I542+J542</f>
        <v/>
      </c>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c r="CL542" s="59" t="n"/>
      <c r="CM542" s="59" t="n"/>
      <c r="CN542" s="59" t="n"/>
    </row>
    <row r="543" ht="15" customFormat="1" customHeight="1" s="3">
      <c r="A543">
        <f>A542+1</f>
        <v/>
      </c>
      <c r="I543" s="20" t="n"/>
      <c r="K543">
        <f>I543+J543</f>
        <v/>
      </c>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c r="CL543" s="59" t="n"/>
      <c r="CM543" s="59" t="n"/>
      <c r="CN543" s="59" t="n"/>
    </row>
    <row r="544" ht="15" customFormat="1" customHeight="1" s="3">
      <c r="A544">
        <f>A543+1</f>
        <v/>
      </c>
      <c r="I544" s="20" t="n"/>
      <c r="K544">
        <f>I544+J544</f>
        <v/>
      </c>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c r="CL544" s="59" t="n"/>
      <c r="CM544" s="59" t="n"/>
      <c r="CN544" s="59" t="n"/>
    </row>
    <row r="545" ht="15" customFormat="1" customHeight="1" s="3">
      <c r="A545">
        <f>A544+1</f>
        <v/>
      </c>
      <c r="I545" s="20" t="n"/>
      <c r="K545">
        <f>I545+J545</f>
        <v/>
      </c>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c r="CL545" s="59" t="n"/>
      <c r="CM545" s="59" t="n"/>
      <c r="CN545" s="59" t="n"/>
    </row>
    <row r="546" ht="15" customFormat="1" customHeight="1" s="3">
      <c r="A546">
        <f>A545+1</f>
        <v/>
      </c>
      <c r="I546" s="20" t="n"/>
      <c r="K546">
        <f>I546+J546</f>
        <v/>
      </c>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c r="CL546" s="59" t="n"/>
      <c r="CM546" s="59" t="n"/>
      <c r="CN546" s="59" t="n"/>
    </row>
    <row r="547" ht="15" customFormat="1" customHeight="1" s="3">
      <c r="A547">
        <f>A546+1</f>
        <v/>
      </c>
      <c r="I547" s="20" t="n"/>
      <c r="K547">
        <f>I547+J547</f>
        <v/>
      </c>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c r="CL547" s="59" t="n"/>
      <c r="CM547" s="59" t="n"/>
      <c r="CN547" s="59" t="n"/>
    </row>
    <row r="548" ht="15" customFormat="1" customHeight="1" s="3">
      <c r="A548">
        <f>A547+1</f>
        <v/>
      </c>
      <c r="I548" s="20" t="n"/>
      <c r="K548">
        <f>I548+J548</f>
        <v/>
      </c>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c r="CL548" s="59" t="n"/>
      <c r="CM548" s="59" t="n"/>
      <c r="CN548" s="59" t="n"/>
    </row>
    <row r="549" ht="15" customFormat="1" customHeight="1" s="3">
      <c r="A549">
        <f>A548+1</f>
        <v/>
      </c>
      <c r="I549" s="20" t="n"/>
      <c r="K549">
        <f>I549+J549</f>
        <v/>
      </c>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c r="CL549" s="59" t="n"/>
      <c r="CM549" s="59" t="n"/>
      <c r="CN549" s="59" t="n"/>
    </row>
    <row r="550" ht="15" customFormat="1" customHeight="1" s="3">
      <c r="A550">
        <f>A549+1</f>
        <v/>
      </c>
      <c r="I550" s="20" t="n"/>
      <c r="K550">
        <f>I550+J550</f>
        <v/>
      </c>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c r="CL550" s="59" t="n"/>
      <c r="CM550" s="59" t="n"/>
      <c r="CN550" s="59" t="n"/>
    </row>
    <row r="551" ht="15" customFormat="1" customHeight="1" s="3">
      <c r="A551">
        <f>A550+1</f>
        <v/>
      </c>
      <c r="I551" s="20" t="n"/>
      <c r="K551">
        <f>I551+J551</f>
        <v/>
      </c>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c r="CL551" s="59" t="n"/>
      <c r="CM551" s="59" t="n"/>
      <c r="CN551" s="59" t="n"/>
    </row>
    <row r="552" ht="15" customFormat="1" customHeight="1" s="3">
      <c r="A552">
        <f>A551+1</f>
        <v/>
      </c>
      <c r="I552" s="20" t="n"/>
      <c r="K552">
        <f>I552+J552</f>
        <v/>
      </c>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c r="CL552" s="59" t="n"/>
      <c r="CM552" s="59" t="n"/>
      <c r="CN552" s="59" t="n"/>
    </row>
    <row r="553" ht="15" customFormat="1" customHeight="1" s="3">
      <c r="A553">
        <f>A552+1</f>
        <v/>
      </c>
      <c r="I553" s="20" t="n"/>
      <c r="K553">
        <f>I553+J553</f>
        <v/>
      </c>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c r="CL553" s="59" t="n"/>
      <c r="CM553" s="59" t="n"/>
      <c r="CN553" s="59" t="n"/>
    </row>
    <row r="554" ht="15" customFormat="1" customHeight="1" s="3">
      <c r="A554">
        <f>A553+1</f>
        <v/>
      </c>
      <c r="I554" s="20" t="n"/>
      <c r="K554">
        <f>I554+J554</f>
        <v/>
      </c>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c r="CL554" s="59" t="n"/>
      <c r="CM554" s="59" t="n"/>
      <c r="CN554" s="59" t="n"/>
    </row>
    <row r="555" ht="15" customFormat="1" customHeight="1" s="3">
      <c r="A555">
        <f>A554+1</f>
        <v/>
      </c>
      <c r="I555" s="20" t="n"/>
      <c r="K555">
        <f>I555+J555</f>
        <v/>
      </c>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c r="CL555" s="59" t="n"/>
      <c r="CM555" s="59" t="n"/>
      <c r="CN555" s="59" t="n"/>
    </row>
    <row r="556" ht="15" customFormat="1" customHeight="1" s="3">
      <c r="A556">
        <f>A555+1</f>
        <v/>
      </c>
      <c r="I556" s="20" t="n"/>
      <c r="K556">
        <f>I556+J556</f>
        <v/>
      </c>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c r="CL556" s="59" t="n"/>
      <c r="CM556" s="59" t="n"/>
      <c r="CN556" s="59" t="n"/>
    </row>
    <row r="557" ht="15" customFormat="1" customHeight="1" s="3">
      <c r="A557">
        <f>A556+1</f>
        <v/>
      </c>
      <c r="I557" s="20" t="n"/>
      <c r="K557">
        <f>I557+J557</f>
        <v/>
      </c>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c r="CL557" s="59" t="n"/>
      <c r="CM557" s="59" t="n"/>
      <c r="CN557" s="59" t="n"/>
    </row>
    <row r="558" ht="15" customFormat="1" customHeight="1" s="3">
      <c r="A558">
        <f>A557+1</f>
        <v/>
      </c>
      <c r="I558" s="20" t="n"/>
      <c r="K558">
        <f>I558+J558</f>
        <v/>
      </c>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c r="CL558" s="59" t="n"/>
      <c r="CM558" s="59" t="n"/>
      <c r="CN558" s="59" t="n"/>
    </row>
    <row r="559" ht="15" customFormat="1" customHeight="1" s="3">
      <c r="A559">
        <f>A558+1</f>
        <v/>
      </c>
      <c r="I559" s="20" t="n"/>
      <c r="K559">
        <f>I559+J559</f>
        <v/>
      </c>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c r="CL559" s="59" t="n"/>
      <c r="CM559" s="59" t="n"/>
      <c r="CN559" s="59" t="n"/>
    </row>
    <row r="560" ht="15" customFormat="1" customHeight="1" s="3">
      <c r="A560">
        <f>A559+1</f>
        <v/>
      </c>
      <c r="I560" s="20" t="n"/>
      <c r="K560">
        <f>I560+J560</f>
        <v/>
      </c>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c r="CL560" s="59" t="n"/>
      <c r="CM560" s="59" t="n"/>
      <c r="CN560" s="59" t="n"/>
    </row>
    <row r="561" ht="15" customFormat="1" customHeight="1" s="3">
      <c r="A561">
        <f>A560+1</f>
        <v/>
      </c>
      <c r="I561" s="20" t="n"/>
      <c r="K561">
        <f>I561+J561</f>
        <v/>
      </c>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c r="CL561" s="59" t="n"/>
      <c r="CM561" s="59" t="n"/>
      <c r="CN561" s="59" t="n"/>
    </row>
    <row r="562" ht="15" customFormat="1" customHeight="1" s="3">
      <c r="A562">
        <f>A561+1</f>
        <v/>
      </c>
      <c r="I562" s="20" t="n"/>
      <c r="K562">
        <f>I562+J562</f>
        <v/>
      </c>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c r="CL562" s="59" t="n"/>
      <c r="CM562" s="59" t="n"/>
      <c r="CN562" s="59" t="n"/>
    </row>
    <row r="563" ht="15" customFormat="1" customHeight="1" s="3">
      <c r="A563">
        <f>A562+1</f>
        <v/>
      </c>
      <c r="I563" s="20" t="n"/>
      <c r="K563">
        <f>I563+J563</f>
        <v/>
      </c>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c r="CL563" s="59" t="n"/>
      <c r="CM563" s="59" t="n"/>
      <c r="CN563" s="59" t="n"/>
    </row>
    <row r="564" ht="15" customFormat="1" customHeight="1" s="3">
      <c r="A564">
        <f>A563+1</f>
        <v/>
      </c>
      <c r="I564" s="20" t="n"/>
      <c r="K564">
        <f>I564+J564</f>
        <v/>
      </c>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c r="CL564" s="59" t="n"/>
      <c r="CM564" s="59" t="n"/>
      <c r="CN564" s="59" t="n"/>
    </row>
    <row r="565" ht="15" customFormat="1" customHeight="1" s="3">
      <c r="A565">
        <f>A564+1</f>
        <v/>
      </c>
      <c r="I565" s="20" t="n"/>
      <c r="K565">
        <f>I565+J565</f>
        <v/>
      </c>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c r="CL565" s="59" t="n"/>
      <c r="CM565" s="59" t="n"/>
      <c r="CN565" s="59" t="n"/>
    </row>
    <row r="566" ht="15" customFormat="1" customHeight="1" s="3">
      <c r="A566">
        <f>A565+1</f>
        <v/>
      </c>
      <c r="I566" s="20" t="n"/>
      <c r="K566">
        <f>I566+J566</f>
        <v/>
      </c>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c r="CL566" s="59" t="n"/>
      <c r="CM566" s="59" t="n"/>
      <c r="CN566" s="59" t="n"/>
    </row>
    <row r="567" ht="15" customFormat="1" customHeight="1" s="3">
      <c r="A567">
        <f>A566+1</f>
        <v/>
      </c>
      <c r="I567" s="20" t="n"/>
      <c r="K567">
        <f>I567+J567</f>
        <v/>
      </c>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c r="CL567" s="59" t="n"/>
      <c r="CM567" s="59" t="n"/>
      <c r="CN567" s="59" t="n"/>
    </row>
    <row r="568" ht="15" customFormat="1" customHeight="1" s="3">
      <c r="A568">
        <f>A567+1</f>
        <v/>
      </c>
      <c r="I568" s="20" t="n"/>
      <c r="K568">
        <f>I568+J568</f>
        <v/>
      </c>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c r="CL568" s="59" t="n"/>
      <c r="CM568" s="59" t="n"/>
      <c r="CN568" s="59" t="n"/>
    </row>
    <row r="569" ht="15" customFormat="1" customHeight="1" s="3">
      <c r="A569">
        <f>A568+1</f>
        <v/>
      </c>
      <c r="I569" s="20" t="n"/>
      <c r="K569">
        <f>I569+J569</f>
        <v/>
      </c>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c r="CL569" s="59" t="n"/>
      <c r="CM569" s="59" t="n"/>
      <c r="CN569" s="59" t="n"/>
    </row>
    <row r="570" ht="15" customFormat="1" customHeight="1" s="3">
      <c r="A570">
        <f>A569+1</f>
        <v/>
      </c>
      <c r="I570" s="20" t="n"/>
      <c r="K570">
        <f>I570+J570</f>
        <v/>
      </c>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c r="CL570" s="59" t="n"/>
      <c r="CM570" s="59" t="n"/>
      <c r="CN570" s="59" t="n"/>
    </row>
    <row r="571" ht="15" customFormat="1" customHeight="1" s="3">
      <c r="A571">
        <f>A570+1</f>
        <v/>
      </c>
      <c r="I571" s="20" t="n"/>
      <c r="K571">
        <f>I571+J571</f>
        <v/>
      </c>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c r="CL571" s="59" t="n"/>
      <c r="CM571" s="59" t="n"/>
      <c r="CN571" s="59" t="n"/>
    </row>
    <row r="572" ht="15" customFormat="1" customHeight="1" s="3">
      <c r="A572">
        <f>A571+1</f>
        <v/>
      </c>
      <c r="I572" s="20" t="n"/>
      <c r="K572">
        <f>I572+J572</f>
        <v/>
      </c>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c r="CL572" s="59" t="n"/>
      <c r="CM572" s="59" t="n"/>
      <c r="CN572" s="59" t="n"/>
    </row>
    <row r="573" ht="15" customFormat="1" customHeight="1" s="3">
      <c r="A573">
        <f>A572+1</f>
        <v/>
      </c>
      <c r="I573" s="20" t="n"/>
      <c r="K573">
        <f>I573+J573</f>
        <v/>
      </c>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c r="CL573" s="59" t="n"/>
      <c r="CM573" s="59" t="n"/>
      <c r="CN573" s="59" t="n"/>
    </row>
    <row r="574" ht="15" customFormat="1" customHeight="1" s="3">
      <c r="A574">
        <f>A573+1</f>
        <v/>
      </c>
      <c r="I574" s="20" t="n"/>
      <c r="K574">
        <f>I574+J574</f>
        <v/>
      </c>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c r="CL574" s="59" t="n"/>
      <c r="CM574" s="59" t="n"/>
      <c r="CN574" s="59" t="n"/>
    </row>
    <row r="575" ht="15" customFormat="1" customHeight="1" s="3">
      <c r="A575">
        <f>A574+1</f>
        <v/>
      </c>
      <c r="I575" s="20" t="n"/>
      <c r="K575">
        <f>I575+J575</f>
        <v/>
      </c>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c r="CL575" s="59" t="n"/>
      <c r="CM575" s="59" t="n"/>
      <c r="CN575" s="59" t="n"/>
    </row>
    <row r="576" ht="15" customFormat="1" customHeight="1" s="3">
      <c r="A576">
        <f>A575+1</f>
        <v/>
      </c>
      <c r="I576" s="20" t="n"/>
      <c r="K576">
        <f>I576+J576</f>
        <v/>
      </c>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c r="CL576" s="59" t="n"/>
      <c r="CM576" s="59" t="n"/>
      <c r="CN576" s="59" t="n"/>
    </row>
    <row r="577" ht="15" customFormat="1" customHeight="1" s="3">
      <c r="A577">
        <f>A576+1</f>
        <v/>
      </c>
      <c r="I577" s="20" t="n"/>
      <c r="K577">
        <f>I577+J577</f>
        <v/>
      </c>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c r="CL577" s="59" t="n"/>
      <c r="CM577" s="59" t="n"/>
      <c r="CN577" s="59" t="n"/>
    </row>
    <row r="578" ht="15" customFormat="1" customHeight="1" s="3">
      <c r="A578">
        <f>A577+1</f>
        <v/>
      </c>
      <c r="I578" s="20" t="n"/>
      <c r="K578">
        <f>I578+J578</f>
        <v/>
      </c>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c r="CL578" s="59" t="n"/>
      <c r="CM578" s="59" t="n"/>
      <c r="CN578" s="59" t="n"/>
    </row>
    <row r="579" ht="15" customFormat="1" customHeight="1" s="3">
      <c r="A579">
        <f>A578+1</f>
        <v/>
      </c>
      <c r="I579" s="20" t="n"/>
      <c r="K579">
        <f>I579+J579</f>
        <v/>
      </c>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c r="CL579" s="59" t="n"/>
      <c r="CM579" s="59" t="n"/>
      <c r="CN579" s="59" t="n"/>
    </row>
    <row r="580" ht="15" customFormat="1" customHeight="1" s="3">
      <c r="A580">
        <f>A579+1</f>
        <v/>
      </c>
      <c r="I580" s="20" t="n"/>
      <c r="K580">
        <f>I580+J580</f>
        <v/>
      </c>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c r="CL580" s="59" t="n"/>
      <c r="CM580" s="59" t="n"/>
      <c r="CN580" s="59" t="n"/>
    </row>
    <row r="581" ht="15" customFormat="1" customHeight="1" s="3">
      <c r="A581">
        <f>A580+1</f>
        <v/>
      </c>
      <c r="I581" s="20" t="n"/>
      <c r="K581">
        <f>I581+J581</f>
        <v/>
      </c>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c r="CL581" s="59" t="n"/>
      <c r="CM581" s="59" t="n"/>
      <c r="CN581" s="59" t="n"/>
    </row>
    <row r="582" ht="15" customFormat="1" customHeight="1" s="3">
      <c r="A582">
        <f>A581+1</f>
        <v/>
      </c>
      <c r="I582" s="20" t="n"/>
      <c r="K582">
        <f>I582+J582</f>
        <v/>
      </c>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c r="CL582" s="59" t="n"/>
      <c r="CM582" s="59" t="n"/>
      <c r="CN582" s="59" t="n"/>
    </row>
    <row r="583" ht="15" customFormat="1" customHeight="1" s="3">
      <c r="A583">
        <f>A582+1</f>
        <v/>
      </c>
      <c r="I583" s="20" t="n"/>
      <c r="K583">
        <f>I583+J583</f>
        <v/>
      </c>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c r="CL583" s="59" t="n"/>
      <c r="CM583" s="59" t="n"/>
      <c r="CN583" s="59" t="n"/>
    </row>
    <row r="584" ht="15" customFormat="1" customHeight="1" s="3">
      <c r="A584">
        <f>A583+1</f>
        <v/>
      </c>
      <c r="I584" s="20" t="n"/>
      <c r="K584">
        <f>I584+J584</f>
        <v/>
      </c>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c r="CL584" s="59" t="n"/>
      <c r="CM584" s="59" t="n"/>
      <c r="CN584" s="59" t="n"/>
    </row>
    <row r="585" ht="15" customFormat="1" customHeight="1" s="3">
      <c r="A585">
        <f>A584+1</f>
        <v/>
      </c>
      <c r="I585" s="20" t="n"/>
      <c r="K585">
        <f>I585+J585</f>
        <v/>
      </c>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c r="CL585" s="59" t="n"/>
      <c r="CM585" s="59" t="n"/>
      <c r="CN585" s="59" t="n"/>
    </row>
    <row r="586" ht="15" customFormat="1" customHeight="1" s="3">
      <c r="A586">
        <f>A585+1</f>
        <v/>
      </c>
      <c r="I586" s="20" t="n"/>
      <c r="K586">
        <f>I586+J586</f>
        <v/>
      </c>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c r="CL586" s="59" t="n"/>
      <c r="CM586" s="59" t="n"/>
      <c r="CN586" s="59" t="n"/>
    </row>
    <row r="587" ht="15" customFormat="1" customHeight="1" s="3">
      <c r="A587">
        <f>A586+1</f>
        <v/>
      </c>
      <c r="I587" s="20" t="n"/>
      <c r="K587">
        <f>I587+J587</f>
        <v/>
      </c>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c r="CL587" s="59" t="n"/>
      <c r="CM587" s="59" t="n"/>
      <c r="CN587" s="59" t="n"/>
    </row>
    <row r="588" ht="15" customFormat="1" customHeight="1" s="3">
      <c r="A588">
        <f>A587+1</f>
        <v/>
      </c>
      <c r="I588" s="20" t="n"/>
      <c r="K588">
        <f>I588+J588</f>
        <v/>
      </c>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c r="CL588" s="59" t="n"/>
      <c r="CM588" s="59" t="n"/>
      <c r="CN588" s="59" t="n"/>
    </row>
    <row r="589" ht="15" customFormat="1" customHeight="1" s="3">
      <c r="A589">
        <f>A588+1</f>
        <v/>
      </c>
      <c r="I589" s="20" t="n"/>
      <c r="K589">
        <f>I589+J589</f>
        <v/>
      </c>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c r="CL589" s="59" t="n"/>
      <c r="CM589" s="59" t="n"/>
      <c r="CN589" s="59" t="n"/>
    </row>
    <row r="590" ht="15" customFormat="1" customHeight="1" s="3">
      <c r="A590">
        <f>A589+1</f>
        <v/>
      </c>
      <c r="I590" s="20" t="n"/>
      <c r="K590">
        <f>I590+J590</f>
        <v/>
      </c>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c r="CL590" s="59" t="n"/>
      <c r="CM590" s="59" t="n"/>
      <c r="CN590" s="59" t="n"/>
    </row>
    <row r="591" ht="15" customFormat="1" customHeight="1" s="3">
      <c r="A591">
        <f>A590+1</f>
        <v/>
      </c>
      <c r="I591" s="20" t="n"/>
      <c r="K591">
        <f>I591+J591</f>
        <v/>
      </c>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c r="CL591" s="59" t="n"/>
      <c r="CM591" s="59" t="n"/>
      <c r="CN591" s="59" t="n"/>
    </row>
    <row r="592" ht="15" customFormat="1" customHeight="1" s="3">
      <c r="A592">
        <f>A591+1</f>
        <v/>
      </c>
      <c r="I592" s="20" t="n"/>
      <c r="K592">
        <f>I592+J592</f>
        <v/>
      </c>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c r="CL592" s="59" t="n"/>
      <c r="CM592" s="59" t="n"/>
      <c r="CN592" s="59" t="n"/>
    </row>
    <row r="593" ht="15" customFormat="1" customHeight="1" s="3">
      <c r="A593">
        <f>A592+1</f>
        <v/>
      </c>
      <c r="I593" s="20" t="n"/>
      <c r="K593">
        <f>I593+J593</f>
        <v/>
      </c>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c r="CL593" s="59" t="n"/>
      <c r="CM593" s="59" t="n"/>
      <c r="CN593" s="59" t="n"/>
    </row>
    <row r="594" ht="15" customFormat="1" customHeight="1" s="3">
      <c r="A594">
        <f>A593+1</f>
        <v/>
      </c>
      <c r="I594" s="20" t="n"/>
      <c r="K594">
        <f>I594+J594</f>
        <v/>
      </c>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c r="CL594" s="59" t="n"/>
      <c r="CM594" s="59" t="n"/>
      <c r="CN594" s="59" t="n"/>
    </row>
    <row r="595" ht="15" customFormat="1" customHeight="1" s="3">
      <c r="A595">
        <f>A594+1</f>
        <v/>
      </c>
      <c r="I595" s="20" t="n"/>
      <c r="K595">
        <f>I595+J595</f>
        <v/>
      </c>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c r="CL595" s="59" t="n"/>
      <c r="CM595" s="59" t="n"/>
      <c r="CN595" s="59" t="n"/>
    </row>
    <row r="596" ht="15" customFormat="1" customHeight="1" s="3">
      <c r="A596">
        <f>A595+1</f>
        <v/>
      </c>
      <c r="I596" s="20" t="n"/>
      <c r="K596">
        <f>I596+J596</f>
        <v/>
      </c>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c r="CL596" s="59" t="n"/>
      <c r="CM596" s="59" t="n"/>
      <c r="CN596" s="59" t="n"/>
    </row>
    <row r="597" ht="15" customFormat="1" customHeight="1" s="3">
      <c r="A597">
        <f>A596+1</f>
        <v/>
      </c>
      <c r="I597" s="20" t="n"/>
      <c r="K597">
        <f>I597+J597</f>
        <v/>
      </c>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c r="CL597" s="59" t="n"/>
      <c r="CM597" s="59" t="n"/>
      <c r="CN597" s="59" t="n"/>
    </row>
    <row r="598" ht="15" customFormat="1" customHeight="1" s="3">
      <c r="A598">
        <f>A597+1</f>
        <v/>
      </c>
      <c r="I598" s="20" t="n"/>
      <c r="K598">
        <f>I598+J598</f>
        <v/>
      </c>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c r="CL598" s="59" t="n"/>
      <c r="CM598" s="59" t="n"/>
      <c r="CN598" s="59" t="n"/>
    </row>
    <row r="599" ht="15" customFormat="1" customHeight="1" s="3">
      <c r="A599">
        <f>A598+1</f>
        <v/>
      </c>
      <c r="I599" s="20" t="n"/>
      <c r="K599">
        <f>I599+J599</f>
        <v/>
      </c>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c r="CL599" s="59" t="n"/>
      <c r="CM599" s="59" t="n"/>
      <c r="CN599" s="59" t="n"/>
    </row>
    <row r="600" ht="15" customFormat="1" customHeight="1" s="3">
      <c r="A600">
        <f>A599+1</f>
        <v/>
      </c>
      <c r="I600" s="20" t="n"/>
      <c r="K600">
        <f>I600+J600</f>
        <v/>
      </c>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c r="CL600" s="59" t="n"/>
      <c r="CM600" s="59" t="n"/>
      <c r="CN600" s="59" t="n"/>
    </row>
    <row r="601" ht="15" customFormat="1" customHeight="1" s="3">
      <c r="A601">
        <f>A600+1</f>
        <v/>
      </c>
      <c r="I601" s="20" t="n"/>
      <c r="K601">
        <f>I601+J601</f>
        <v/>
      </c>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c r="CL601" s="59" t="n"/>
      <c r="CM601" s="59" t="n"/>
      <c r="CN601" s="59" t="n"/>
    </row>
    <row r="602" ht="15" customFormat="1" customHeight="1" s="3">
      <c r="A602">
        <f>A601+1</f>
        <v/>
      </c>
      <c r="I602" s="20" t="n"/>
      <c r="K602">
        <f>I602+J602</f>
        <v/>
      </c>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c r="CL602" s="59" t="n"/>
      <c r="CM602" s="59" t="n"/>
      <c r="CN602" s="59" t="n"/>
    </row>
    <row r="603" ht="15" customFormat="1" customHeight="1" s="3">
      <c r="A603">
        <f>A602+1</f>
        <v/>
      </c>
      <c r="I603" s="20" t="n"/>
      <c r="K603">
        <f>I603+J603</f>
        <v/>
      </c>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c r="CL603" s="59" t="n"/>
      <c r="CM603" s="59" t="n"/>
      <c r="CN603" s="59" t="n"/>
    </row>
    <row r="604" ht="15" customFormat="1" customHeight="1" s="3">
      <c r="A604">
        <f>A603+1</f>
        <v/>
      </c>
      <c r="I604" s="20" t="n"/>
      <c r="K604">
        <f>I604+J604</f>
        <v/>
      </c>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c r="CL604" s="59" t="n"/>
      <c r="CM604" s="59" t="n"/>
      <c r="CN604" s="59" t="n"/>
    </row>
    <row r="605" ht="15" customFormat="1" customHeight="1" s="3">
      <c r="A605">
        <f>A604+1</f>
        <v/>
      </c>
      <c r="I605" s="20" t="n"/>
      <c r="K605">
        <f>I605+J605</f>
        <v/>
      </c>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c r="CL605" s="59" t="n"/>
      <c r="CM605" s="59" t="n"/>
      <c r="CN605" s="59" t="n"/>
    </row>
    <row r="606" ht="15" customFormat="1" customHeight="1" s="3">
      <c r="A606">
        <f>A605+1</f>
        <v/>
      </c>
      <c r="I606" s="20" t="n"/>
      <c r="K606">
        <f>I606+J606</f>
        <v/>
      </c>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c r="CL606" s="59" t="n"/>
      <c r="CM606" s="59" t="n"/>
      <c r="CN606" s="59" t="n"/>
    </row>
    <row r="607" ht="15" customFormat="1" customHeight="1" s="3">
      <c r="A607">
        <f>A606+1</f>
        <v/>
      </c>
      <c r="I607" s="20" t="n"/>
      <c r="K607">
        <f>I607+J607</f>
        <v/>
      </c>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c r="CL607" s="59" t="n"/>
      <c r="CM607" s="59" t="n"/>
      <c r="CN607" s="59" t="n"/>
    </row>
    <row r="608" ht="15" customFormat="1" customHeight="1" s="3">
      <c r="A608">
        <f>A607+1</f>
        <v/>
      </c>
      <c r="I608" s="20" t="n"/>
      <c r="K608">
        <f>I608+J608</f>
        <v/>
      </c>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c r="CL608" s="59" t="n"/>
      <c r="CM608" s="59" t="n"/>
      <c r="CN608" s="59" t="n"/>
    </row>
    <row r="609" ht="15" customFormat="1" customHeight="1" s="3">
      <c r="A609">
        <f>A608+1</f>
        <v/>
      </c>
      <c r="I609" s="20" t="n"/>
      <c r="K609">
        <f>I609+J609</f>
        <v/>
      </c>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c r="CL609" s="59" t="n"/>
      <c r="CM609" s="59" t="n"/>
      <c r="CN609" s="59" t="n"/>
    </row>
    <row r="610" ht="15" customFormat="1" customHeight="1" s="3">
      <c r="A610">
        <f>A609+1</f>
        <v/>
      </c>
      <c r="I610" s="20" t="n"/>
      <c r="K610">
        <f>I610+J610</f>
        <v/>
      </c>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c r="CL610" s="59" t="n"/>
      <c r="CM610" s="59" t="n"/>
      <c r="CN610" s="59" t="n"/>
    </row>
    <row r="611" ht="15" customFormat="1" customHeight="1" s="3">
      <c r="A611">
        <f>A610+1</f>
        <v/>
      </c>
      <c r="I611" s="20" t="n"/>
      <c r="K611">
        <f>I611+J611</f>
        <v/>
      </c>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c r="CL611" s="59" t="n"/>
      <c r="CM611" s="59" t="n"/>
      <c r="CN611" s="59" t="n"/>
    </row>
    <row r="612" ht="15" customFormat="1" customHeight="1" s="3">
      <c r="A612">
        <f>A611+1</f>
        <v/>
      </c>
      <c r="I612" s="20" t="n"/>
      <c r="K612">
        <f>I612+J612</f>
        <v/>
      </c>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c r="CL612" s="59" t="n"/>
      <c r="CM612" s="59" t="n"/>
      <c r="CN612" s="59" t="n"/>
    </row>
    <row r="613" ht="15" customFormat="1" customHeight="1" s="3">
      <c r="A613">
        <f>A612+1</f>
        <v/>
      </c>
      <c r="I613" s="20" t="n"/>
      <c r="K613">
        <f>I613+J613</f>
        <v/>
      </c>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c r="CL613" s="59" t="n"/>
      <c r="CM613" s="59" t="n"/>
      <c r="CN613" s="59" t="n"/>
    </row>
    <row r="614" ht="15" customFormat="1" customHeight="1" s="3">
      <c r="A614">
        <f>A613+1</f>
        <v/>
      </c>
      <c r="I614" s="20" t="n"/>
      <c r="K614">
        <f>I614+J614</f>
        <v/>
      </c>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c r="CL614" s="59" t="n"/>
      <c r="CM614" s="59" t="n"/>
      <c r="CN614" s="59" t="n"/>
    </row>
    <row r="615" ht="15" customFormat="1" customHeight="1" s="3">
      <c r="A615">
        <f>A614+1</f>
        <v/>
      </c>
      <c r="I615" s="20" t="n"/>
      <c r="K615">
        <f>I615+J615</f>
        <v/>
      </c>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c r="CL615" s="59" t="n"/>
      <c r="CM615" s="59" t="n"/>
      <c r="CN615" s="59" t="n"/>
    </row>
    <row r="616" ht="15" customFormat="1" customHeight="1" s="3">
      <c r="A616">
        <f>A615+1</f>
        <v/>
      </c>
      <c r="I616" s="20" t="n"/>
      <c r="K616">
        <f>I616+J616</f>
        <v/>
      </c>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c r="CL616" s="59" t="n"/>
      <c r="CM616" s="59" t="n"/>
      <c r="CN616" s="59" t="n"/>
    </row>
    <row r="617" ht="15" customFormat="1" customHeight="1" s="3">
      <c r="A617">
        <f>A616+1</f>
        <v/>
      </c>
      <c r="I617" s="20" t="n"/>
      <c r="K617">
        <f>I617+J617</f>
        <v/>
      </c>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c r="CL617" s="59" t="n"/>
      <c r="CM617" s="59" t="n"/>
      <c r="CN617" s="59" t="n"/>
    </row>
    <row r="618" ht="15" customFormat="1" customHeight="1" s="3">
      <c r="A618">
        <f>A617+1</f>
        <v/>
      </c>
      <c r="I618" s="20" t="n"/>
      <c r="K618">
        <f>I618+J618</f>
        <v/>
      </c>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c r="CL618" s="59" t="n"/>
      <c r="CM618" s="59" t="n"/>
      <c r="CN618" s="59" t="n"/>
    </row>
    <row r="619" ht="15" customFormat="1" customHeight="1" s="3">
      <c r="A619">
        <f>A618+1</f>
        <v/>
      </c>
      <c r="I619" s="20" t="n"/>
      <c r="K619">
        <f>I619+J619</f>
        <v/>
      </c>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c r="CL619" s="59" t="n"/>
      <c r="CM619" s="59" t="n"/>
      <c r="CN619" s="59" t="n"/>
    </row>
    <row r="620" ht="15" customFormat="1" customHeight="1" s="3">
      <c r="A620">
        <f>A619+1</f>
        <v/>
      </c>
      <c r="I620" s="20" t="n"/>
      <c r="K620">
        <f>I620+J620</f>
        <v/>
      </c>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c r="CL620" s="59" t="n"/>
      <c r="CM620" s="59" t="n"/>
      <c r="CN620" s="59" t="n"/>
    </row>
    <row r="621" ht="15" customFormat="1" customHeight="1" s="3">
      <c r="A621">
        <f>A620+1</f>
        <v/>
      </c>
      <c r="I621" s="20" t="n"/>
      <c r="K621">
        <f>I621+J621</f>
        <v/>
      </c>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c r="CL621" s="59" t="n"/>
      <c r="CM621" s="59" t="n"/>
      <c r="CN621" s="59" t="n"/>
    </row>
    <row r="622" ht="15" customFormat="1" customHeight="1" s="3">
      <c r="A622">
        <f>A621+1</f>
        <v/>
      </c>
      <c r="I622" s="20" t="n"/>
      <c r="K622">
        <f>I622+J622</f>
        <v/>
      </c>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c r="CL622" s="59" t="n"/>
      <c r="CM622" s="59" t="n"/>
      <c r="CN622" s="59" t="n"/>
    </row>
    <row r="623" ht="15" customFormat="1" customHeight="1" s="3">
      <c r="A623">
        <f>A622+1</f>
        <v/>
      </c>
      <c r="I623" s="20" t="n"/>
      <c r="K623">
        <f>I623+J623</f>
        <v/>
      </c>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c r="CL623" s="59" t="n"/>
      <c r="CM623" s="59" t="n"/>
      <c r="CN623" s="59" t="n"/>
    </row>
    <row r="624" ht="15" customFormat="1" customHeight="1" s="3">
      <c r="A624">
        <f>A623+1</f>
        <v/>
      </c>
      <c r="I624" s="20" t="n"/>
      <c r="K624">
        <f>I624+J624</f>
        <v/>
      </c>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c r="CL624" s="59" t="n"/>
      <c r="CM624" s="59" t="n"/>
      <c r="CN624" s="59" t="n"/>
    </row>
    <row r="625" ht="15" customFormat="1" customHeight="1" s="3">
      <c r="A625">
        <f>A624+1</f>
        <v/>
      </c>
      <c r="I625" s="20" t="n"/>
      <c r="K625">
        <f>I625+J625</f>
        <v/>
      </c>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c r="CL625" s="59" t="n"/>
      <c r="CM625" s="59" t="n"/>
      <c r="CN625" s="59" t="n"/>
    </row>
    <row r="626" ht="15" customFormat="1" customHeight="1" s="3">
      <c r="A626">
        <f>A625+1</f>
        <v/>
      </c>
      <c r="I626" s="20" t="n"/>
      <c r="K626">
        <f>I626+J626</f>
        <v/>
      </c>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c r="CL626" s="59" t="n"/>
      <c r="CM626" s="59" t="n"/>
      <c r="CN626" s="59" t="n"/>
    </row>
    <row r="627" ht="15" customFormat="1" customHeight="1" s="3">
      <c r="A627">
        <f>A626+1</f>
        <v/>
      </c>
      <c r="I627" s="20" t="n"/>
      <c r="K627">
        <f>I627+J627</f>
        <v/>
      </c>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c r="CL627" s="59" t="n"/>
      <c r="CM627" s="59" t="n"/>
      <c r="CN627" s="59" t="n"/>
    </row>
    <row r="628" ht="15" customFormat="1" customHeight="1" s="3">
      <c r="A628">
        <f>A627+1</f>
        <v/>
      </c>
      <c r="I628" s="20" t="n"/>
      <c r="K628">
        <f>I628+J628</f>
        <v/>
      </c>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c r="CL628" s="59" t="n"/>
      <c r="CM628" s="59" t="n"/>
      <c r="CN628" s="59" t="n"/>
    </row>
    <row r="629" ht="15" customFormat="1" customHeight="1" s="3">
      <c r="A629">
        <f>A628+1</f>
        <v/>
      </c>
      <c r="I629" s="20" t="n"/>
      <c r="K629">
        <f>I629+J629</f>
        <v/>
      </c>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c r="CL629" s="59" t="n"/>
      <c r="CM629" s="59" t="n"/>
      <c r="CN629" s="59" t="n"/>
    </row>
    <row r="630" ht="15" customFormat="1" customHeight="1" s="3">
      <c r="A630">
        <f>A629+1</f>
        <v/>
      </c>
      <c r="I630" s="20" t="n"/>
      <c r="K630">
        <f>I630+J630</f>
        <v/>
      </c>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c r="CL630" s="59" t="n"/>
      <c r="CM630" s="59" t="n"/>
      <c r="CN630" s="59" t="n"/>
    </row>
    <row r="631" ht="15" customFormat="1" customHeight="1" s="3">
      <c r="A631">
        <f>A630+1</f>
        <v/>
      </c>
      <c r="I631" s="20" t="n"/>
      <c r="K631">
        <f>I631+J631</f>
        <v/>
      </c>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c r="CL631" s="59" t="n"/>
      <c r="CM631" s="59" t="n"/>
      <c r="CN631" s="59" t="n"/>
    </row>
    <row r="632" ht="15" customFormat="1" customHeight="1" s="3">
      <c r="A632">
        <f>A631+1</f>
        <v/>
      </c>
      <c r="I632" s="20" t="n"/>
      <c r="K632">
        <f>I632+J632</f>
        <v/>
      </c>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c r="CL632" s="59" t="n"/>
      <c r="CM632" s="59" t="n"/>
      <c r="CN632" s="59" t="n"/>
    </row>
    <row r="633" ht="15" customFormat="1" customHeight="1" s="3">
      <c r="A633">
        <f>A632+1</f>
        <v/>
      </c>
      <c r="I633" s="20" t="n"/>
      <c r="K633">
        <f>I633+J633</f>
        <v/>
      </c>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c r="CL633" s="59" t="n"/>
      <c r="CM633" s="59" t="n"/>
      <c r="CN633" s="59" t="n"/>
    </row>
    <row r="634" ht="15" customFormat="1" customHeight="1" s="3">
      <c r="A634">
        <f>A633+1</f>
        <v/>
      </c>
      <c r="I634" s="20" t="n"/>
      <c r="K634">
        <f>I634+J634</f>
        <v/>
      </c>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c r="CL634" s="59" t="n"/>
      <c r="CM634" s="59" t="n"/>
      <c r="CN634" s="59" t="n"/>
    </row>
    <row r="635" ht="15" customFormat="1" customHeight="1" s="3">
      <c r="A635">
        <f>A634+1</f>
        <v/>
      </c>
      <c r="I635" s="20" t="n"/>
      <c r="K635">
        <f>I635+J635</f>
        <v/>
      </c>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c r="CL635" s="59" t="n"/>
      <c r="CM635" s="59" t="n"/>
      <c r="CN635" s="59" t="n"/>
    </row>
    <row r="636" ht="15" customFormat="1" customHeight="1" s="3">
      <c r="A636">
        <f>A635+1</f>
        <v/>
      </c>
      <c r="I636" s="20" t="n"/>
      <c r="K636">
        <f>I636+J636</f>
        <v/>
      </c>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c r="CL636" s="59" t="n"/>
      <c r="CM636" s="59" t="n"/>
      <c r="CN636" s="59" t="n"/>
    </row>
    <row r="637" ht="15" customFormat="1" customHeight="1" s="3">
      <c r="A637">
        <f>A636+1</f>
        <v/>
      </c>
      <c r="I637" s="20" t="n"/>
      <c r="K637">
        <f>I637+J637</f>
        <v/>
      </c>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c r="CL637" s="59" t="n"/>
      <c r="CM637" s="59" t="n"/>
      <c r="CN637" s="59" t="n"/>
    </row>
    <row r="638" ht="15" customFormat="1" customHeight="1" s="3">
      <c r="A638">
        <f>A637+1</f>
        <v/>
      </c>
      <c r="I638" s="20" t="n"/>
      <c r="K638">
        <f>I638+J638</f>
        <v/>
      </c>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c r="CL638" s="59" t="n"/>
      <c r="CM638" s="59" t="n"/>
      <c r="CN638" s="59" t="n"/>
    </row>
    <row r="639" ht="15" customFormat="1" customHeight="1" s="3">
      <c r="A639">
        <f>A638+1</f>
        <v/>
      </c>
      <c r="I639" s="20" t="n"/>
      <c r="K639">
        <f>I639+J639</f>
        <v/>
      </c>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c r="CL639" s="59" t="n"/>
      <c r="CM639" s="59" t="n"/>
      <c r="CN639" s="59" t="n"/>
    </row>
    <row r="640" ht="15" customFormat="1" customHeight="1" s="3">
      <c r="A640">
        <f>A639+1</f>
        <v/>
      </c>
      <c r="I640" s="20" t="n"/>
      <c r="K640">
        <f>I640+J640</f>
        <v/>
      </c>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c r="CL640" s="59" t="n"/>
      <c r="CM640" s="59" t="n"/>
      <c r="CN640" s="59" t="n"/>
    </row>
    <row r="641" ht="15" customFormat="1" customHeight="1" s="3">
      <c r="A641">
        <f>A640+1</f>
        <v/>
      </c>
      <c r="I641" s="20" t="n"/>
      <c r="K641">
        <f>I641+J641</f>
        <v/>
      </c>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c r="CL641" s="59" t="n"/>
      <c r="CM641" s="59" t="n"/>
      <c r="CN641" s="59" t="n"/>
    </row>
    <row r="642" ht="15" customFormat="1" customHeight="1" s="3">
      <c r="A642">
        <f>A641+1</f>
        <v/>
      </c>
      <c r="I642" s="20" t="n"/>
      <c r="K642">
        <f>I642+J642</f>
        <v/>
      </c>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c r="CL642" s="59" t="n"/>
      <c r="CM642" s="59" t="n"/>
      <c r="CN642" s="59" t="n"/>
    </row>
    <row r="643" ht="15" customFormat="1" customHeight="1" s="3">
      <c r="A643">
        <f>A642+1</f>
        <v/>
      </c>
      <c r="I643" s="20" t="n"/>
      <c r="K643">
        <f>I643+J643</f>
        <v/>
      </c>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c r="CL643" s="59" t="n"/>
      <c r="CM643" s="59" t="n"/>
      <c r="CN643" s="59" t="n"/>
    </row>
    <row r="644" ht="15" customFormat="1" customHeight="1" s="3">
      <c r="A644">
        <f>A643+1</f>
        <v/>
      </c>
      <c r="I644" s="20" t="n"/>
      <c r="K644">
        <f>I644+J644</f>
        <v/>
      </c>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c r="CL644" s="59" t="n"/>
      <c r="CM644" s="59" t="n"/>
      <c r="CN644" s="59" t="n"/>
    </row>
    <row r="645" ht="15" customFormat="1" customHeight="1" s="3">
      <c r="A645">
        <f>A644+1</f>
        <v/>
      </c>
      <c r="I645" s="20" t="n"/>
      <c r="K645">
        <f>I645+J645</f>
        <v/>
      </c>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c r="CL645" s="59" t="n"/>
      <c r="CM645" s="59" t="n"/>
      <c r="CN645" s="59" t="n"/>
    </row>
    <row r="646" ht="15" customFormat="1" customHeight="1" s="3">
      <c r="A646">
        <f>A645+1</f>
        <v/>
      </c>
      <c r="I646" s="20" t="n"/>
      <c r="K646">
        <f>I646+J646</f>
        <v/>
      </c>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c r="CL646" s="59" t="n"/>
      <c r="CM646" s="59" t="n"/>
      <c r="CN646" s="59" t="n"/>
    </row>
    <row r="647" ht="15" customFormat="1" customHeight="1" s="3">
      <c r="A647">
        <f>A646+1</f>
        <v/>
      </c>
      <c r="I647" s="20" t="n"/>
      <c r="K647">
        <f>I647+J647</f>
        <v/>
      </c>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c r="CL647" s="59" t="n"/>
      <c r="CM647" s="59" t="n"/>
      <c r="CN647" s="59" t="n"/>
    </row>
    <row r="648" ht="15" customFormat="1" customHeight="1" s="3">
      <c r="A648">
        <f>A647+1</f>
        <v/>
      </c>
      <c r="I648" s="20" t="n"/>
      <c r="K648">
        <f>I648+J648</f>
        <v/>
      </c>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c r="CL648" s="59" t="n"/>
      <c r="CM648" s="59" t="n"/>
      <c r="CN648" s="59" t="n"/>
    </row>
    <row r="649" ht="15" customFormat="1" customHeight="1" s="3">
      <c r="A649">
        <f>A648+1</f>
        <v/>
      </c>
      <c r="I649" s="20" t="n"/>
      <c r="K649">
        <f>I649+J649</f>
        <v/>
      </c>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c r="CL649" s="59" t="n"/>
      <c r="CM649" s="59" t="n"/>
      <c r="CN649" s="59" t="n"/>
    </row>
    <row r="650" ht="15" customFormat="1" customHeight="1" s="3">
      <c r="A650">
        <f>A649+1</f>
        <v/>
      </c>
      <c r="I650" s="20" t="n"/>
      <c r="K650">
        <f>I650+J650</f>
        <v/>
      </c>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c r="CL650" s="59" t="n"/>
      <c r="CM650" s="59" t="n"/>
      <c r="CN650" s="59" t="n"/>
    </row>
    <row r="651" ht="15" customFormat="1" customHeight="1" s="3">
      <c r="A651">
        <f>A650+1</f>
        <v/>
      </c>
      <c r="I651" s="20" t="n"/>
      <c r="K651">
        <f>I651+J651</f>
        <v/>
      </c>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c r="CL651" s="59" t="n"/>
      <c r="CM651" s="59" t="n"/>
      <c r="CN651" s="59" t="n"/>
    </row>
    <row r="652" ht="15" customFormat="1" customHeight="1" s="3">
      <c r="A652">
        <f>A651+1</f>
        <v/>
      </c>
      <c r="I652" s="20" t="n"/>
      <c r="K652">
        <f>I652+J652</f>
        <v/>
      </c>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c r="CL652" s="59" t="n"/>
      <c r="CM652" s="59" t="n"/>
      <c r="CN652" s="59" t="n"/>
    </row>
    <row r="653" ht="15" customFormat="1" customHeight="1" s="3">
      <c r="A653">
        <f>A652+1</f>
        <v/>
      </c>
      <c r="I653" s="20" t="n"/>
      <c r="K653">
        <f>I653+J653</f>
        <v/>
      </c>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c r="CL653" s="59" t="n"/>
      <c r="CM653" s="59" t="n"/>
      <c r="CN653" s="59" t="n"/>
    </row>
    <row r="654" ht="15" customFormat="1" customHeight="1" s="3">
      <c r="A654">
        <f>A653+1</f>
        <v/>
      </c>
      <c r="I654" s="20" t="n"/>
      <c r="K654">
        <f>I654+J654</f>
        <v/>
      </c>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c r="CL654" s="59" t="n"/>
      <c r="CM654" s="59" t="n"/>
      <c r="CN654" s="59" t="n"/>
    </row>
    <row r="655" ht="15" customFormat="1" customHeight="1" s="3">
      <c r="A655">
        <f>A654+1</f>
        <v/>
      </c>
      <c r="I655" s="20" t="n"/>
      <c r="K655">
        <f>I655+J655</f>
        <v/>
      </c>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c r="CL655" s="59" t="n"/>
      <c r="CM655" s="59" t="n"/>
      <c r="CN655" s="59" t="n"/>
    </row>
    <row r="656" ht="15" customFormat="1" customHeight="1" s="3">
      <c r="A656">
        <f>A655+1</f>
        <v/>
      </c>
      <c r="I656" s="20" t="n"/>
      <c r="K656">
        <f>I656+J656</f>
        <v/>
      </c>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c r="CL656" s="59" t="n"/>
      <c r="CM656" s="59" t="n"/>
      <c r="CN656" s="59" t="n"/>
    </row>
    <row r="657" ht="15" customFormat="1" customHeight="1" s="3">
      <c r="A657">
        <f>A656+1</f>
        <v/>
      </c>
      <c r="I657" s="20" t="n"/>
      <c r="K657">
        <f>I657+J657</f>
        <v/>
      </c>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c r="CL657" s="59" t="n"/>
      <c r="CM657" s="59" t="n"/>
      <c r="CN657" s="59" t="n"/>
    </row>
    <row r="658" ht="15" customFormat="1" customHeight="1" s="3">
      <c r="A658">
        <f>A657+1</f>
        <v/>
      </c>
      <c r="I658" s="20" t="n"/>
      <c r="K658">
        <f>I658+J658</f>
        <v/>
      </c>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c r="CL658" s="59" t="n"/>
      <c r="CM658" s="59" t="n"/>
      <c r="CN658" s="59" t="n"/>
    </row>
    <row r="659" ht="15" customFormat="1" customHeight="1" s="3">
      <c r="A659">
        <f>A658+1</f>
        <v/>
      </c>
      <c r="I659" s="20" t="n"/>
      <c r="K659">
        <f>I659+J659</f>
        <v/>
      </c>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c r="CL659" s="59" t="n"/>
      <c r="CM659" s="59" t="n"/>
      <c r="CN659" s="59" t="n"/>
    </row>
    <row r="660" ht="15" customFormat="1" customHeight="1" s="3">
      <c r="A660">
        <f>A659+1</f>
        <v/>
      </c>
      <c r="I660" s="20" t="n"/>
      <c r="K660">
        <f>I660+J660</f>
        <v/>
      </c>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c r="CL660" s="59" t="n"/>
      <c r="CM660" s="59" t="n"/>
      <c r="CN660" s="59" t="n"/>
    </row>
    <row r="661" ht="15" customFormat="1" customHeight="1" s="3">
      <c r="A661">
        <f>A660+1</f>
        <v/>
      </c>
      <c r="I661" s="20" t="n"/>
      <c r="K661">
        <f>I661+J661</f>
        <v/>
      </c>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c r="CL661" s="59" t="n"/>
      <c r="CM661" s="59" t="n"/>
      <c r="CN661" s="59" t="n"/>
    </row>
    <row r="662" ht="15" customFormat="1" customHeight="1" s="3">
      <c r="A662">
        <f>A661+1</f>
        <v/>
      </c>
      <c r="I662" s="20" t="n"/>
      <c r="K662">
        <f>I662+J662</f>
        <v/>
      </c>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c r="CL662" s="59" t="n"/>
      <c r="CM662" s="59" t="n"/>
      <c r="CN662" s="59" t="n"/>
    </row>
    <row r="663" ht="15" customFormat="1" customHeight="1" s="3">
      <c r="A663">
        <f>A662+1</f>
        <v/>
      </c>
      <c r="I663" s="20" t="n"/>
      <c r="K663">
        <f>I663+J663</f>
        <v/>
      </c>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c r="CL663" s="59" t="n"/>
      <c r="CM663" s="59" t="n"/>
      <c r="CN663" s="59" t="n"/>
    </row>
    <row r="664" ht="15" customFormat="1" customHeight="1" s="3">
      <c r="A664">
        <f>A663+1</f>
        <v/>
      </c>
      <c r="I664" s="20" t="n"/>
      <c r="K664">
        <f>I664+J664</f>
        <v/>
      </c>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c r="CL664" s="59" t="n"/>
      <c r="CM664" s="59" t="n"/>
      <c r="CN664" s="59" t="n"/>
    </row>
    <row r="665" ht="15" customFormat="1" customHeight="1" s="3">
      <c r="A665">
        <f>A664+1</f>
        <v/>
      </c>
      <c r="I665" s="20" t="n"/>
      <c r="K665">
        <f>I665+J665</f>
        <v/>
      </c>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c r="CL665" s="59" t="n"/>
      <c r="CM665" s="59" t="n"/>
      <c r="CN665" s="59" t="n"/>
    </row>
    <row r="666" ht="15" customFormat="1" customHeight="1" s="3">
      <c r="A666">
        <f>A665+1</f>
        <v/>
      </c>
      <c r="I666" s="20" t="n"/>
      <c r="K666">
        <f>I666+J666</f>
        <v/>
      </c>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c r="CL666" s="59" t="n"/>
      <c r="CM666" s="59" t="n"/>
      <c r="CN666" s="59" t="n"/>
    </row>
    <row r="667" ht="15" customFormat="1" customHeight="1" s="3">
      <c r="A667">
        <f>A666+1</f>
        <v/>
      </c>
      <c r="I667" s="20" t="n"/>
      <c r="K667">
        <f>I667+J667</f>
        <v/>
      </c>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c r="CL667" s="59" t="n"/>
      <c r="CM667" s="59" t="n"/>
      <c r="CN667" s="59" t="n"/>
    </row>
    <row r="668" ht="15" customFormat="1" customHeight="1" s="3">
      <c r="A668">
        <f>A667+1</f>
        <v/>
      </c>
      <c r="I668" s="20" t="n"/>
      <c r="K668">
        <f>I668+J668</f>
        <v/>
      </c>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c r="CL668" s="59" t="n"/>
      <c r="CM668" s="59" t="n"/>
      <c r="CN668" s="59" t="n"/>
    </row>
    <row r="669" ht="15" customFormat="1" customHeight="1" s="3">
      <c r="A669">
        <f>A668+1</f>
        <v/>
      </c>
      <c r="I669" s="20" t="n"/>
      <c r="K669">
        <f>I669+J669</f>
        <v/>
      </c>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c r="CL669" s="59" t="n"/>
      <c r="CM669" s="59" t="n"/>
      <c r="CN669" s="59" t="n"/>
    </row>
    <row r="670" ht="15" customFormat="1" customHeight="1" s="3">
      <c r="A670">
        <f>A669+1</f>
        <v/>
      </c>
      <c r="I670" s="20" t="n"/>
      <c r="K670">
        <f>I670+J670</f>
        <v/>
      </c>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c r="CL670" s="59" t="n"/>
      <c r="CM670" s="59" t="n"/>
      <c r="CN670" s="59" t="n"/>
    </row>
    <row r="671" ht="15" customFormat="1" customHeight="1" s="3">
      <c r="A671">
        <f>A670+1</f>
        <v/>
      </c>
      <c r="I671" s="20" t="n"/>
      <c r="K671">
        <f>I671+J671</f>
        <v/>
      </c>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c r="CL671" s="59" t="n"/>
      <c r="CM671" s="59" t="n"/>
      <c r="CN671" s="59" t="n"/>
    </row>
    <row r="672" ht="15" customFormat="1" customHeight="1" s="3">
      <c r="A672">
        <f>A671+1</f>
        <v/>
      </c>
      <c r="I672" s="20" t="n"/>
      <c r="K672">
        <f>I672+J672</f>
        <v/>
      </c>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c r="CL672" s="59" t="n"/>
      <c r="CM672" s="59" t="n"/>
      <c r="CN672" s="59" t="n"/>
    </row>
    <row r="673" ht="15" customFormat="1" customHeight="1" s="3">
      <c r="A673">
        <f>A672+1</f>
        <v/>
      </c>
      <c r="I673" s="20" t="n"/>
      <c r="K673">
        <f>I673+J673</f>
        <v/>
      </c>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c r="CL673" s="59" t="n"/>
      <c r="CM673" s="59" t="n"/>
      <c r="CN673" s="59" t="n"/>
    </row>
    <row r="674" ht="15" customFormat="1" customHeight="1" s="3">
      <c r="A674">
        <f>A673+1</f>
        <v/>
      </c>
      <c r="I674" s="20" t="n"/>
      <c r="K674">
        <f>I674+J674</f>
        <v/>
      </c>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c r="CL674" s="59" t="n"/>
      <c r="CM674" s="59" t="n"/>
      <c r="CN674" s="59" t="n"/>
    </row>
    <row r="675" ht="15" customFormat="1" customHeight="1" s="3">
      <c r="A675">
        <f>A674+1</f>
        <v/>
      </c>
      <c r="I675" s="20" t="n"/>
      <c r="K675">
        <f>I675+J675</f>
        <v/>
      </c>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c r="CL675" s="59" t="n"/>
      <c r="CM675" s="59" t="n"/>
      <c r="CN675" s="59" t="n"/>
    </row>
    <row r="676" ht="15" customFormat="1" customHeight="1" s="3">
      <c r="A676">
        <f>A675+1</f>
        <v/>
      </c>
      <c r="I676" s="20" t="n"/>
      <c r="K676">
        <f>I676+J676</f>
        <v/>
      </c>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c r="CL676" s="59" t="n"/>
      <c r="CM676" s="59" t="n"/>
      <c r="CN676" s="59" t="n"/>
    </row>
    <row r="677" ht="15" customFormat="1" customHeight="1" s="3">
      <c r="A677">
        <f>A676+1</f>
        <v/>
      </c>
      <c r="I677" s="20" t="n"/>
      <c r="K677">
        <f>I677+J677</f>
        <v/>
      </c>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c r="CL677" s="59" t="n"/>
      <c r="CM677" s="59" t="n"/>
      <c r="CN677" s="59" t="n"/>
    </row>
    <row r="678" ht="15" customFormat="1" customHeight="1" s="3">
      <c r="A678">
        <f>A677+1</f>
        <v/>
      </c>
      <c r="I678" s="20" t="n"/>
      <c r="K678">
        <f>I678+J678</f>
        <v/>
      </c>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c r="CL678" s="59" t="n"/>
      <c r="CM678" s="59" t="n"/>
      <c r="CN678" s="59" t="n"/>
    </row>
    <row r="679" ht="15" customFormat="1" customHeight="1" s="3">
      <c r="A679">
        <f>A678+1</f>
        <v/>
      </c>
      <c r="I679" s="20" t="n"/>
      <c r="K679">
        <f>I679+J679</f>
        <v/>
      </c>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c r="CL679" s="59" t="n"/>
      <c r="CM679" s="59" t="n"/>
      <c r="CN679" s="59" t="n"/>
    </row>
    <row r="680" ht="15" customFormat="1" customHeight="1" s="3">
      <c r="A680">
        <f>A679+1</f>
        <v/>
      </c>
      <c r="I680" s="20" t="n"/>
      <c r="K680">
        <f>I680+J680</f>
        <v/>
      </c>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c r="CL680" s="59" t="n"/>
      <c r="CM680" s="59" t="n"/>
      <c r="CN680" s="59" t="n"/>
    </row>
    <row r="681" ht="15" customFormat="1" customHeight="1" s="3">
      <c r="A681">
        <f>A680+1</f>
        <v/>
      </c>
      <c r="I681" s="20" t="n"/>
      <c r="K681">
        <f>I681+J681</f>
        <v/>
      </c>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c r="CL681" s="59" t="n"/>
      <c r="CM681" s="59" t="n"/>
      <c r="CN681" s="59" t="n"/>
    </row>
    <row r="682" ht="15" customFormat="1" customHeight="1" s="3">
      <c r="A682">
        <f>A681+1</f>
        <v/>
      </c>
      <c r="I682" s="20" t="n"/>
      <c r="K682">
        <f>I682+J682</f>
        <v/>
      </c>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c r="CL682" s="59" t="n"/>
      <c r="CM682" s="59" t="n"/>
      <c r="CN682" s="59" t="n"/>
    </row>
    <row r="683" ht="15" customFormat="1" customHeight="1" s="3">
      <c r="A683">
        <f>A682+1</f>
        <v/>
      </c>
      <c r="I683" s="20" t="n"/>
      <c r="K683">
        <f>I683+J683</f>
        <v/>
      </c>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c r="CL683" s="59" t="n"/>
      <c r="CM683" s="59" t="n"/>
      <c r="CN683" s="59" t="n"/>
    </row>
    <row r="684" ht="15" customFormat="1" customHeight="1" s="3">
      <c r="A684">
        <f>A683+1</f>
        <v/>
      </c>
      <c r="I684" s="20" t="n"/>
      <c r="K684">
        <f>I684+J684</f>
        <v/>
      </c>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c r="CL684" s="59" t="n"/>
      <c r="CM684" s="59" t="n"/>
      <c r="CN684" s="59" t="n"/>
    </row>
    <row r="685" ht="15" customFormat="1" customHeight="1" s="3">
      <c r="A685">
        <f>A684+1</f>
        <v/>
      </c>
      <c r="I685" s="20" t="n"/>
      <c r="K685">
        <f>I685+J685</f>
        <v/>
      </c>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c r="CL685" s="59" t="n"/>
      <c r="CM685" s="59" t="n"/>
      <c r="CN685" s="59" t="n"/>
    </row>
    <row r="686" ht="15" customFormat="1" customHeight="1" s="3">
      <c r="A686">
        <f>A685+1</f>
        <v/>
      </c>
      <c r="I686" s="20" t="n"/>
      <c r="K686">
        <f>I686+J686</f>
        <v/>
      </c>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c r="CL686" s="59" t="n"/>
      <c r="CM686" s="59" t="n"/>
      <c r="CN686" s="59" t="n"/>
    </row>
    <row r="687" ht="15" customFormat="1" customHeight="1" s="3">
      <c r="A687">
        <f>A686+1</f>
        <v/>
      </c>
      <c r="I687" s="20" t="n"/>
      <c r="K687">
        <f>I687+J687</f>
        <v/>
      </c>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c r="CL687" s="59" t="n"/>
      <c r="CM687" s="59" t="n"/>
      <c r="CN687" s="59" t="n"/>
    </row>
    <row r="688" ht="15" customFormat="1" customHeight="1" s="3">
      <c r="A688">
        <f>A687+1</f>
        <v/>
      </c>
      <c r="I688" s="20" t="n"/>
      <c r="K688">
        <f>I688+J688</f>
        <v/>
      </c>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c r="CL688" s="59" t="n"/>
      <c r="CM688" s="59" t="n"/>
      <c r="CN688" s="59" t="n"/>
    </row>
    <row r="689" ht="15" customFormat="1" customHeight="1" s="3">
      <c r="A689">
        <f>A688+1</f>
        <v/>
      </c>
      <c r="I689" s="20" t="n"/>
      <c r="K689">
        <f>I689+J689</f>
        <v/>
      </c>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c r="CL689" s="59" t="n"/>
      <c r="CM689" s="59" t="n"/>
      <c r="CN689" s="59" t="n"/>
    </row>
    <row r="690" ht="15" customFormat="1" customHeight="1" s="3">
      <c r="A690">
        <f>A689+1</f>
        <v/>
      </c>
      <c r="I690" s="20" t="n"/>
      <c r="K690">
        <f>I690+J690</f>
        <v/>
      </c>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c r="CL690" s="59" t="n"/>
      <c r="CM690" s="59" t="n"/>
      <c r="CN690" s="59" t="n"/>
    </row>
    <row r="691" ht="15" customFormat="1" customHeight="1" s="3">
      <c r="A691">
        <f>A690+1</f>
        <v/>
      </c>
      <c r="I691" s="20" t="n"/>
      <c r="K691">
        <f>I691+J691</f>
        <v/>
      </c>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c r="CL691" s="59" t="n"/>
      <c r="CM691" s="59" t="n"/>
      <c r="CN691" s="59" t="n"/>
    </row>
    <row r="692" ht="15" customFormat="1" customHeight="1" s="3">
      <c r="A692">
        <f>A691+1</f>
        <v/>
      </c>
      <c r="I692" s="20" t="n"/>
      <c r="K692">
        <f>I692+J692</f>
        <v/>
      </c>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c r="CL692" s="59" t="n"/>
      <c r="CM692" s="59" t="n"/>
      <c r="CN692" s="59" t="n"/>
    </row>
    <row r="693" ht="15" customFormat="1" customHeight="1" s="3">
      <c r="A693">
        <f>A692+1</f>
        <v/>
      </c>
      <c r="I693" s="20" t="n"/>
      <c r="K693">
        <f>I693+J693</f>
        <v/>
      </c>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c r="CL693" s="59" t="n"/>
      <c r="CM693" s="59" t="n"/>
      <c r="CN693" s="59" t="n"/>
    </row>
    <row r="694" ht="15" customFormat="1" customHeight="1" s="3">
      <c r="A694">
        <f>A693+1</f>
        <v/>
      </c>
      <c r="I694" s="20" t="n"/>
      <c r="K694">
        <f>I694+J694</f>
        <v/>
      </c>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c r="CL694" s="59" t="n"/>
      <c r="CM694" s="59" t="n"/>
      <c r="CN694" s="59" t="n"/>
    </row>
    <row r="695" ht="15" customFormat="1" customHeight="1" s="3">
      <c r="A695">
        <f>A694+1</f>
        <v/>
      </c>
      <c r="I695" s="20" t="n"/>
      <c r="K695">
        <f>I695+J695</f>
        <v/>
      </c>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c r="CL695" s="59" t="n"/>
      <c r="CM695" s="59" t="n"/>
      <c r="CN695" s="59" t="n"/>
    </row>
    <row r="696" ht="15" customFormat="1" customHeight="1" s="3">
      <c r="A696">
        <f>A695+1</f>
        <v/>
      </c>
      <c r="I696" s="20" t="n"/>
      <c r="K696">
        <f>I696+J696</f>
        <v/>
      </c>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c r="CL696" s="59" t="n"/>
      <c r="CM696" s="59" t="n"/>
      <c r="CN696" s="59" t="n"/>
    </row>
    <row r="697" ht="15" customFormat="1" customHeight="1" s="3">
      <c r="A697">
        <f>A696+1</f>
        <v/>
      </c>
      <c r="I697" s="20" t="n"/>
      <c r="K697">
        <f>I697+J697</f>
        <v/>
      </c>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c r="CL697" s="59" t="n"/>
      <c r="CM697" s="59" t="n"/>
      <c r="CN697" s="59" t="n"/>
    </row>
    <row r="698" ht="15" customFormat="1" customHeight="1" s="3">
      <c r="A698">
        <f>A697+1</f>
        <v/>
      </c>
      <c r="I698" s="20" t="n"/>
      <c r="K698">
        <f>I698+J698</f>
        <v/>
      </c>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c r="CL698" s="59" t="n"/>
      <c r="CM698" s="59" t="n"/>
      <c r="CN698" s="59" t="n"/>
    </row>
    <row r="699" ht="15" customFormat="1" customHeight="1" s="3">
      <c r="A699">
        <f>A698+1</f>
        <v/>
      </c>
      <c r="I699" s="20" t="n"/>
      <c r="K699">
        <f>I699+J699</f>
        <v/>
      </c>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c r="CL699" s="59" t="n"/>
      <c r="CM699" s="59" t="n"/>
      <c r="CN699" s="59" t="n"/>
    </row>
    <row r="700" ht="15" customFormat="1" customHeight="1" s="3">
      <c r="A700">
        <f>A699+1</f>
        <v/>
      </c>
      <c r="I700" s="20" t="n"/>
      <c r="K700">
        <f>I700+J700</f>
        <v/>
      </c>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c r="CL700" s="59" t="n"/>
      <c r="CM700" s="59" t="n"/>
      <c r="CN700" s="59" t="n"/>
    </row>
    <row r="701" ht="15" customFormat="1" customHeight="1" s="3">
      <c r="A701">
        <f>A700+1</f>
        <v/>
      </c>
      <c r="I701" s="20" t="n"/>
      <c r="K701">
        <f>I701+J701</f>
        <v/>
      </c>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c r="CL701" s="59" t="n"/>
      <c r="CM701" s="59" t="n"/>
      <c r="CN701" s="59" t="n"/>
    </row>
    <row r="702" ht="15" customFormat="1" customHeight="1" s="3">
      <c r="A702">
        <f>A701+1</f>
        <v/>
      </c>
      <c r="I702" s="20" t="n"/>
      <c r="K702">
        <f>I702+J702</f>
        <v/>
      </c>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c r="CL702" s="59" t="n"/>
      <c r="CM702" s="59" t="n"/>
      <c r="CN702" s="59" t="n"/>
    </row>
    <row r="703" ht="15" customFormat="1" customHeight="1" s="3">
      <c r="A703">
        <f>A702+1</f>
        <v/>
      </c>
      <c r="I703" s="20" t="n"/>
      <c r="K703">
        <f>I703+J703</f>
        <v/>
      </c>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c r="CL703" s="59" t="n"/>
      <c r="CM703" s="59" t="n"/>
      <c r="CN703" s="59" t="n"/>
    </row>
    <row r="704" ht="15" customFormat="1" customHeight="1" s="3">
      <c r="A704">
        <f>A703+1</f>
        <v/>
      </c>
      <c r="I704" s="20" t="n"/>
      <c r="K704">
        <f>I704+J704</f>
        <v/>
      </c>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c r="CL704" s="59" t="n"/>
      <c r="CM704" s="59" t="n"/>
      <c r="CN704" s="59" t="n"/>
    </row>
    <row r="705" ht="15" customFormat="1" customHeight="1" s="3">
      <c r="A705">
        <f>A704+1</f>
        <v/>
      </c>
      <c r="I705" s="20" t="n"/>
      <c r="K705">
        <f>I705+J705</f>
        <v/>
      </c>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c r="CL705" s="59" t="n"/>
      <c r="CM705" s="59" t="n"/>
      <c r="CN705" s="59" t="n"/>
    </row>
    <row r="706" ht="15" customFormat="1" customHeight="1" s="3">
      <c r="A706">
        <f>A705+1</f>
        <v/>
      </c>
      <c r="I706" s="20" t="n"/>
      <c r="K706">
        <f>I706+J706</f>
        <v/>
      </c>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c r="CL706" s="59" t="n"/>
      <c r="CM706" s="59" t="n"/>
      <c r="CN706" s="59" t="n"/>
    </row>
    <row r="707" ht="15" customFormat="1" customHeight="1" s="3">
      <c r="A707">
        <f>A706+1</f>
        <v/>
      </c>
      <c r="I707" s="20" t="n"/>
      <c r="K707">
        <f>I707+J707</f>
        <v/>
      </c>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c r="CL707" s="59" t="n"/>
      <c r="CM707" s="59" t="n"/>
      <c r="CN707" s="59" t="n"/>
    </row>
    <row r="708" ht="15" customFormat="1" customHeight="1" s="3">
      <c r="A708">
        <f>A707+1</f>
        <v/>
      </c>
      <c r="I708" s="20" t="n"/>
      <c r="K708">
        <f>I708+J708</f>
        <v/>
      </c>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c r="CL708" s="59" t="n"/>
      <c r="CM708" s="59" t="n"/>
      <c r="CN708" s="59" t="n"/>
    </row>
    <row r="709" ht="15" customFormat="1" customHeight="1" s="3">
      <c r="A709">
        <f>A708+1</f>
        <v/>
      </c>
      <c r="I709" s="20" t="n"/>
      <c r="K709">
        <f>I709+J709</f>
        <v/>
      </c>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c r="CL709" s="59" t="n"/>
      <c r="CM709" s="59" t="n"/>
      <c r="CN709" s="59" t="n"/>
    </row>
    <row r="710" ht="15" customFormat="1" customHeight="1" s="3">
      <c r="A710">
        <f>A709+1</f>
        <v/>
      </c>
      <c r="I710" s="20" t="n"/>
      <c r="K710">
        <f>I710+J710</f>
        <v/>
      </c>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c r="CL710" s="59" t="n"/>
      <c r="CM710" s="59" t="n"/>
      <c r="CN710" s="59" t="n"/>
    </row>
    <row r="711" ht="15" customFormat="1" customHeight="1" s="3">
      <c r="A711">
        <f>A710+1</f>
        <v/>
      </c>
      <c r="I711" s="20" t="n"/>
      <c r="K711">
        <f>I711+J711</f>
        <v/>
      </c>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c r="CL711" s="59" t="n"/>
      <c r="CM711" s="59" t="n"/>
      <c r="CN711" s="59" t="n"/>
    </row>
    <row r="712" ht="15" customFormat="1" customHeight="1" s="3">
      <c r="A712">
        <f>A711+1</f>
        <v/>
      </c>
      <c r="I712" s="20" t="n"/>
      <c r="K712">
        <f>I712+J712</f>
        <v/>
      </c>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c r="CL712" s="59" t="n"/>
      <c r="CM712" s="59" t="n"/>
      <c r="CN712" s="59" t="n"/>
    </row>
    <row r="713" ht="15" customFormat="1" customHeight="1" s="3">
      <c r="A713">
        <f>A712+1</f>
        <v/>
      </c>
      <c r="I713" s="20" t="n"/>
      <c r="K713">
        <f>I713+J713</f>
        <v/>
      </c>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c r="CL713" s="59" t="n"/>
      <c r="CM713" s="59" t="n"/>
      <c r="CN713" s="59" t="n"/>
    </row>
    <row r="714" ht="15" customFormat="1" customHeight="1" s="3">
      <c r="A714">
        <f>A713+1</f>
        <v/>
      </c>
      <c r="I714" s="20" t="n"/>
      <c r="K714">
        <f>I714+J714</f>
        <v/>
      </c>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c r="CL714" s="59" t="n"/>
      <c r="CM714" s="59" t="n"/>
      <c r="CN714" s="59" t="n"/>
    </row>
    <row r="715" ht="15" customFormat="1" customHeight="1" s="3">
      <c r="A715">
        <f>A714+1</f>
        <v/>
      </c>
      <c r="I715" s="20" t="n"/>
      <c r="K715">
        <f>I715+J715</f>
        <v/>
      </c>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c r="CL715" s="59" t="n"/>
      <c r="CM715" s="59" t="n"/>
      <c r="CN715" s="59" t="n"/>
    </row>
    <row r="716" ht="15" customFormat="1" customHeight="1" s="3">
      <c r="A716">
        <f>A715+1</f>
        <v/>
      </c>
      <c r="I716" s="20" t="n"/>
      <c r="K716">
        <f>I716+J716</f>
        <v/>
      </c>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c r="CL716" s="59" t="n"/>
      <c r="CM716" s="59" t="n"/>
      <c r="CN716" s="59" t="n"/>
    </row>
    <row r="717" ht="15" customFormat="1" customHeight="1" s="3">
      <c r="A717">
        <f>A716+1</f>
        <v/>
      </c>
      <c r="I717" s="20" t="n"/>
      <c r="K717">
        <f>I717+J717</f>
        <v/>
      </c>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c r="CL717" s="59" t="n"/>
      <c r="CM717" s="59" t="n"/>
      <c r="CN717" s="59" t="n"/>
    </row>
    <row r="718" ht="15" customFormat="1" customHeight="1" s="3">
      <c r="A718">
        <f>A717+1</f>
        <v/>
      </c>
      <c r="I718" s="20" t="n"/>
      <c r="K718">
        <f>I718+J718</f>
        <v/>
      </c>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c r="CL718" s="59" t="n"/>
      <c r="CM718" s="59" t="n"/>
      <c r="CN718" s="59" t="n"/>
    </row>
    <row r="719" ht="15" customFormat="1" customHeight="1" s="3">
      <c r="A719">
        <f>A718+1</f>
        <v/>
      </c>
      <c r="I719" s="20" t="n"/>
      <c r="K719">
        <f>I719+J719</f>
        <v/>
      </c>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c r="CL719" s="59" t="n"/>
      <c r="CM719" s="59" t="n"/>
      <c r="CN719" s="59" t="n"/>
    </row>
    <row r="720" ht="15" customFormat="1" customHeight="1" s="3">
      <c r="A720">
        <f>A719+1</f>
        <v/>
      </c>
      <c r="I720" s="20" t="n"/>
      <c r="K720">
        <f>I720+J720</f>
        <v/>
      </c>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c r="CL720" s="59" t="n"/>
      <c r="CM720" s="59" t="n"/>
      <c r="CN720" s="59" t="n"/>
    </row>
    <row r="721" ht="15" customFormat="1" customHeight="1" s="3">
      <c r="A721">
        <f>A720+1</f>
        <v/>
      </c>
      <c r="I721" s="20" t="n"/>
      <c r="K721">
        <f>I721+J721</f>
        <v/>
      </c>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c r="CL721" s="59" t="n"/>
      <c r="CM721" s="59" t="n"/>
      <c r="CN721" s="59" t="n"/>
    </row>
    <row r="722" ht="15" customFormat="1" customHeight="1" s="3">
      <c r="A722">
        <f>A721+1</f>
        <v/>
      </c>
      <c r="I722" s="20" t="n"/>
      <c r="K722">
        <f>I722+J722</f>
        <v/>
      </c>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c r="CL722" s="59" t="n"/>
      <c r="CM722" s="59" t="n"/>
      <c r="CN722" s="59" t="n"/>
    </row>
    <row r="723" ht="15" customFormat="1" customHeight="1" s="3">
      <c r="A723">
        <f>A722+1</f>
        <v/>
      </c>
      <c r="I723" s="20" t="n"/>
      <c r="K723">
        <f>I723+J723</f>
        <v/>
      </c>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c r="CL723" s="59" t="n"/>
      <c r="CM723" s="59" t="n"/>
      <c r="CN723" s="59" t="n"/>
    </row>
    <row r="724" ht="15" customFormat="1" customHeight="1" s="3">
      <c r="A724">
        <f>A723+1</f>
        <v/>
      </c>
      <c r="I724" s="20" t="n"/>
      <c r="K724">
        <f>I724+J724</f>
        <v/>
      </c>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c r="CL724" s="59" t="n"/>
      <c r="CM724" s="59" t="n"/>
      <c r="CN724" s="59" t="n"/>
    </row>
    <row r="725" ht="15" customFormat="1" customHeight="1" s="3">
      <c r="A725">
        <f>A724+1</f>
        <v/>
      </c>
      <c r="I725" s="20" t="n"/>
      <c r="K725">
        <f>I725+J725</f>
        <v/>
      </c>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c r="CL725" s="59" t="n"/>
      <c r="CM725" s="59" t="n"/>
      <c r="CN725" s="59" t="n"/>
    </row>
    <row r="726" ht="15" customFormat="1" customHeight="1" s="3">
      <c r="A726">
        <f>A725+1</f>
        <v/>
      </c>
      <c r="I726" s="20" t="n"/>
      <c r="K726">
        <f>I726+J726</f>
        <v/>
      </c>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c r="CL726" s="59" t="n"/>
      <c r="CM726" s="59" t="n"/>
      <c r="CN726" s="59" t="n"/>
    </row>
    <row r="727" ht="15" customFormat="1" customHeight="1" s="3">
      <c r="A727">
        <f>A726+1</f>
        <v/>
      </c>
      <c r="I727" s="20" t="n"/>
      <c r="K727">
        <f>I727+J727</f>
        <v/>
      </c>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c r="CL727" s="59" t="n"/>
      <c r="CM727" s="59" t="n"/>
      <c r="CN727" s="59" t="n"/>
    </row>
    <row r="728" ht="15" customFormat="1" customHeight="1" s="3">
      <c r="A728">
        <f>A727+1</f>
        <v/>
      </c>
      <c r="I728" s="20" t="n"/>
      <c r="K728">
        <f>I728+J728</f>
        <v/>
      </c>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c r="CL728" s="59" t="n"/>
      <c r="CM728" s="59" t="n"/>
      <c r="CN728" s="59" t="n"/>
    </row>
    <row r="729" ht="15" customFormat="1" customHeight="1" s="3">
      <c r="A729">
        <f>A728+1</f>
        <v/>
      </c>
      <c r="I729" s="20" t="n"/>
      <c r="K729">
        <f>I729+J729</f>
        <v/>
      </c>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c r="CL729" s="59" t="n"/>
      <c r="CM729" s="59" t="n"/>
      <c r="CN729" s="59" t="n"/>
    </row>
    <row r="730" ht="15" customFormat="1" customHeight="1" s="3">
      <c r="A730">
        <f>A729+1</f>
        <v/>
      </c>
      <c r="I730" s="20" t="n"/>
      <c r="K730">
        <f>I730+J730</f>
        <v/>
      </c>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c r="CL730" s="59" t="n"/>
      <c r="CM730" s="59" t="n"/>
      <c r="CN730" s="59" t="n"/>
    </row>
    <row r="731" ht="15" customFormat="1" customHeight="1" s="3">
      <c r="A731">
        <f>A730+1</f>
        <v/>
      </c>
      <c r="I731" s="20" t="n"/>
      <c r="K731">
        <f>I731+J731</f>
        <v/>
      </c>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c r="CL731" s="59" t="n"/>
      <c r="CM731" s="59" t="n"/>
      <c r="CN731" s="59" t="n"/>
    </row>
    <row r="732" ht="15" customFormat="1" customHeight="1" s="3">
      <c r="A732">
        <f>A731+1</f>
        <v/>
      </c>
      <c r="I732" s="20" t="n"/>
      <c r="K732">
        <f>I732+J732</f>
        <v/>
      </c>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c r="CL732" s="59" t="n"/>
      <c r="CM732" s="59" t="n"/>
      <c r="CN732" s="59" t="n"/>
    </row>
    <row r="733" ht="15" customFormat="1" customHeight="1" s="3">
      <c r="A733">
        <f>A732+1</f>
        <v/>
      </c>
      <c r="I733" s="20" t="n"/>
      <c r="K733">
        <f>I733+J733</f>
        <v/>
      </c>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c r="CL733" s="59" t="n"/>
      <c r="CM733" s="59" t="n"/>
      <c r="CN733" s="59" t="n"/>
    </row>
    <row r="734" ht="15" customFormat="1" customHeight="1" s="3">
      <c r="A734">
        <f>A733+1</f>
        <v/>
      </c>
      <c r="I734" s="20" t="n"/>
      <c r="K734">
        <f>I734+J734</f>
        <v/>
      </c>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c r="CL734" s="59" t="n"/>
      <c r="CM734" s="59" t="n"/>
      <c r="CN734" s="59" t="n"/>
    </row>
    <row r="735" ht="15" customFormat="1" customHeight="1" s="3">
      <c r="A735">
        <f>A734+1</f>
        <v/>
      </c>
      <c r="I735" s="20" t="n"/>
      <c r="K735">
        <f>I735+J735</f>
        <v/>
      </c>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c r="CL735" s="59" t="n"/>
      <c r="CM735" s="59" t="n"/>
      <c r="CN735" s="59" t="n"/>
    </row>
    <row r="736" ht="15" customFormat="1" customHeight="1" s="3">
      <c r="A736">
        <f>A735+1</f>
        <v/>
      </c>
      <c r="I736" s="20" t="n"/>
      <c r="K736">
        <f>I736+J736</f>
        <v/>
      </c>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c r="CL736" s="59" t="n"/>
      <c r="CM736" s="59" t="n"/>
      <c r="CN736" s="59" t="n"/>
    </row>
    <row r="737" ht="15" customFormat="1" customHeight="1" s="3">
      <c r="A737">
        <f>A736+1</f>
        <v/>
      </c>
      <c r="I737" s="20" t="n"/>
      <c r="K737">
        <f>I737+J737</f>
        <v/>
      </c>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c r="CL737" s="59" t="n"/>
      <c r="CM737" s="59" t="n"/>
      <c r="CN737" s="59" t="n"/>
    </row>
    <row r="738" ht="15" customFormat="1" customHeight="1" s="3">
      <c r="A738">
        <f>A737+1</f>
        <v/>
      </c>
      <c r="I738" s="20" t="n"/>
      <c r="K738">
        <f>I738+J738</f>
        <v/>
      </c>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c r="CL738" s="59" t="n"/>
      <c r="CM738" s="59" t="n"/>
      <c r="CN738" s="59" t="n"/>
    </row>
    <row r="739" ht="15" customFormat="1" customHeight="1" s="3">
      <c r="A739">
        <f>A738+1</f>
        <v/>
      </c>
      <c r="I739" s="20" t="n"/>
      <c r="K739">
        <f>I739+J739</f>
        <v/>
      </c>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c r="CL739" s="59" t="n"/>
      <c r="CM739" s="59" t="n"/>
      <c r="CN739" s="59" t="n"/>
    </row>
    <row r="740" ht="15" customFormat="1" customHeight="1" s="3">
      <c r="A740">
        <f>A739+1</f>
        <v/>
      </c>
      <c r="I740" s="20" t="n"/>
      <c r="K740">
        <f>I740+J740</f>
        <v/>
      </c>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c r="CL740" s="59" t="n"/>
      <c r="CM740" s="59" t="n"/>
      <c r="CN740" s="59" t="n"/>
    </row>
    <row r="741" ht="15" customFormat="1" customHeight="1" s="3">
      <c r="A741">
        <f>A740+1</f>
        <v/>
      </c>
      <c r="I741" s="20" t="n"/>
      <c r="K741">
        <f>I741+J741</f>
        <v/>
      </c>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c r="CL741" s="59" t="n"/>
      <c r="CM741" s="59" t="n"/>
      <c r="CN741" s="59" t="n"/>
    </row>
    <row r="742" ht="15" customFormat="1" customHeight="1" s="3">
      <c r="A742">
        <f>A741+1</f>
        <v/>
      </c>
      <c r="I742" s="20" t="n"/>
      <c r="K742">
        <f>I742+J742</f>
        <v/>
      </c>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c r="CL742" s="59" t="n"/>
      <c r="CM742" s="59" t="n"/>
      <c r="CN742" s="59" t="n"/>
    </row>
    <row r="743" ht="15" customFormat="1" customHeight="1" s="3">
      <c r="A743">
        <f>A742+1</f>
        <v/>
      </c>
      <c r="I743" s="20" t="n"/>
      <c r="K743">
        <f>I743+J743</f>
        <v/>
      </c>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c r="CL743" s="59" t="n"/>
      <c r="CM743" s="59" t="n"/>
      <c r="CN743" s="59" t="n"/>
    </row>
    <row r="744" ht="15" customFormat="1" customHeight="1" s="3">
      <c r="A744">
        <f>A743+1</f>
        <v/>
      </c>
      <c r="I744" s="20" t="n"/>
      <c r="K744">
        <f>I744+J744</f>
        <v/>
      </c>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c r="CL744" s="59" t="n"/>
      <c r="CM744" s="59" t="n"/>
      <c r="CN744" s="59" t="n"/>
    </row>
    <row r="745" ht="15" customFormat="1" customHeight="1" s="3">
      <c r="A745">
        <f>A744+1</f>
        <v/>
      </c>
      <c r="I745" s="20" t="n"/>
      <c r="K745">
        <f>I745+J745</f>
        <v/>
      </c>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c r="CL745" s="59" t="n"/>
      <c r="CM745" s="59" t="n"/>
      <c r="CN745" s="59" t="n"/>
    </row>
    <row r="746" ht="15" customFormat="1" customHeight="1" s="3">
      <c r="A746">
        <f>A745+1</f>
        <v/>
      </c>
      <c r="I746" s="20" t="n"/>
      <c r="K746">
        <f>I746+J746</f>
        <v/>
      </c>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c r="CL746" s="59" t="n"/>
      <c r="CM746" s="59" t="n"/>
      <c r="CN746" s="59" t="n"/>
    </row>
    <row r="747" ht="15" customFormat="1" customHeight="1" s="3">
      <c r="A747">
        <f>A746+1</f>
        <v/>
      </c>
      <c r="I747" s="20" t="n"/>
      <c r="K747">
        <f>I747+J747</f>
        <v/>
      </c>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c r="CL747" s="59" t="n"/>
      <c r="CM747" s="59" t="n"/>
      <c r="CN747" s="59" t="n"/>
    </row>
    <row r="748" ht="15" customFormat="1" customHeight="1" s="3">
      <c r="A748">
        <f>A747+1</f>
        <v/>
      </c>
      <c r="I748" s="20" t="n"/>
      <c r="K748">
        <f>I748+J748</f>
        <v/>
      </c>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c r="CL748" s="59" t="n"/>
      <c r="CM748" s="59" t="n"/>
      <c r="CN748" s="59" t="n"/>
    </row>
    <row r="749" ht="15" customFormat="1" customHeight="1" s="3">
      <c r="A749">
        <f>A748+1</f>
        <v/>
      </c>
      <c r="I749" s="20" t="n"/>
      <c r="K749">
        <f>I749+J749</f>
        <v/>
      </c>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c r="CL749" s="59" t="n"/>
      <c r="CM749" s="59" t="n"/>
      <c r="CN749" s="59" t="n"/>
    </row>
    <row r="750" ht="15" customFormat="1" customHeight="1" s="3">
      <c r="A750">
        <f>A749+1</f>
        <v/>
      </c>
      <c r="I750" s="20" t="n"/>
      <c r="K750">
        <f>I750+J750</f>
        <v/>
      </c>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c r="CL750" s="59" t="n"/>
      <c r="CM750" s="59" t="n"/>
      <c r="CN750" s="59" t="n"/>
    </row>
    <row r="751" ht="15" customFormat="1" customHeight="1" s="3">
      <c r="A751">
        <f>A750+1</f>
        <v/>
      </c>
      <c r="I751" s="20" t="n"/>
      <c r="K751">
        <f>I751+J751</f>
        <v/>
      </c>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c r="CL751" s="59" t="n"/>
      <c r="CM751" s="59" t="n"/>
      <c r="CN751" s="59" t="n"/>
    </row>
    <row r="752" ht="15" customFormat="1" customHeight="1" s="3">
      <c r="A752">
        <f>A751+1</f>
        <v/>
      </c>
      <c r="I752" s="20" t="n"/>
      <c r="K752">
        <f>I752+J752</f>
        <v/>
      </c>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c r="CL752" s="59" t="n"/>
      <c r="CM752" s="59" t="n"/>
      <c r="CN752" s="59" t="n"/>
    </row>
    <row r="753" ht="15" customFormat="1" customHeight="1" s="3">
      <c r="A753">
        <f>A752+1</f>
        <v/>
      </c>
      <c r="I753" s="20" t="n"/>
      <c r="K753">
        <f>I753+J753</f>
        <v/>
      </c>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c r="CL753" s="59" t="n"/>
      <c r="CM753" s="59" t="n"/>
      <c r="CN753" s="59" t="n"/>
    </row>
    <row r="754" ht="15" customFormat="1" customHeight="1" s="3">
      <c r="A754">
        <f>A753+1</f>
        <v/>
      </c>
      <c r="I754" s="20" t="n"/>
      <c r="K754">
        <f>I754+J754</f>
        <v/>
      </c>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c r="CL754" s="59" t="n"/>
      <c r="CM754" s="59" t="n"/>
      <c r="CN754" s="59" t="n"/>
    </row>
    <row r="755" ht="15" customFormat="1" customHeight="1" s="3">
      <c r="A755">
        <f>A754+1</f>
        <v/>
      </c>
      <c r="I755" s="20" t="n"/>
      <c r="K755">
        <f>I755+J755</f>
        <v/>
      </c>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c r="CL755" s="59" t="n"/>
      <c r="CM755" s="59" t="n"/>
      <c r="CN755" s="59" t="n"/>
    </row>
    <row r="756" ht="15" customFormat="1" customHeight="1" s="3">
      <c r="A756">
        <f>A755+1</f>
        <v/>
      </c>
      <c r="I756" s="20" t="n"/>
      <c r="K756">
        <f>I756+J756</f>
        <v/>
      </c>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c r="CL756" s="59" t="n"/>
      <c r="CM756" s="59" t="n"/>
      <c r="CN756" s="59" t="n"/>
    </row>
    <row r="757" ht="15" customFormat="1" customHeight="1" s="3">
      <c r="A757">
        <f>A756+1</f>
        <v/>
      </c>
      <c r="I757" s="20" t="n"/>
      <c r="K757">
        <f>I757+J757</f>
        <v/>
      </c>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c r="CL757" s="59" t="n"/>
      <c r="CM757" s="59" t="n"/>
      <c r="CN757" s="59" t="n"/>
    </row>
    <row r="758" ht="15" customFormat="1" customHeight="1" s="3">
      <c r="A758">
        <f>A757+1</f>
        <v/>
      </c>
      <c r="I758" s="20" t="n"/>
      <c r="K758">
        <f>I758+J758</f>
        <v/>
      </c>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c r="CL758" s="59" t="n"/>
      <c r="CM758" s="59" t="n"/>
      <c r="CN758" s="59" t="n"/>
    </row>
    <row r="759" ht="15" customFormat="1" customHeight="1" s="3">
      <c r="A759">
        <f>A758+1</f>
        <v/>
      </c>
      <c r="I759" s="20" t="n"/>
      <c r="K759">
        <f>I759+J759</f>
        <v/>
      </c>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c r="CL759" s="59" t="n"/>
      <c r="CM759" s="59" t="n"/>
      <c r="CN759" s="59" t="n"/>
    </row>
    <row r="760" ht="15" customFormat="1" customHeight="1" s="3">
      <c r="A760">
        <f>A759+1</f>
        <v/>
      </c>
      <c r="I760" s="20" t="n"/>
      <c r="K760">
        <f>I760+J760</f>
        <v/>
      </c>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c r="CL760" s="59" t="n"/>
      <c r="CM760" s="59" t="n"/>
      <c r="CN760" s="59" t="n"/>
    </row>
    <row r="761" ht="15" customFormat="1" customHeight="1" s="3">
      <c r="A761">
        <f>A760+1</f>
        <v/>
      </c>
      <c r="I761" s="20" t="n"/>
      <c r="K761">
        <f>I761+J761</f>
        <v/>
      </c>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c r="CL761" s="59" t="n"/>
      <c r="CM761" s="59" t="n"/>
      <c r="CN761" s="59" t="n"/>
    </row>
    <row r="762" ht="15" customFormat="1" customHeight="1" s="3">
      <c r="A762">
        <f>A761+1</f>
        <v/>
      </c>
      <c r="I762" s="20" t="n"/>
      <c r="K762">
        <f>I762+J762</f>
        <v/>
      </c>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c r="CL762" s="59" t="n"/>
      <c r="CM762" s="59" t="n"/>
      <c r="CN762" s="59" t="n"/>
    </row>
    <row r="763" ht="15" customFormat="1" customHeight="1" s="3">
      <c r="A763">
        <f>A762+1</f>
        <v/>
      </c>
      <c r="I763" s="20" t="n"/>
      <c r="K763">
        <f>I763+J763</f>
        <v/>
      </c>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c r="CL763" s="59" t="n"/>
      <c r="CM763" s="59" t="n"/>
      <c r="CN763" s="59" t="n"/>
    </row>
    <row r="764" ht="15" customFormat="1" customHeight="1" s="3">
      <c r="A764">
        <f>A763+1</f>
        <v/>
      </c>
      <c r="I764" s="20" t="n"/>
      <c r="K764">
        <f>I764+J764</f>
        <v/>
      </c>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c r="CL764" s="59" t="n"/>
      <c r="CM764" s="59" t="n"/>
      <c r="CN764" s="59" t="n"/>
    </row>
    <row r="765" ht="15" customFormat="1" customHeight="1" s="3">
      <c r="A765">
        <f>A764+1</f>
        <v/>
      </c>
      <c r="I765" s="20" t="n"/>
      <c r="K765">
        <f>I765+J765</f>
        <v/>
      </c>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c r="CL765" s="59" t="n"/>
      <c r="CM765" s="59" t="n"/>
      <c r="CN765" s="59" t="n"/>
    </row>
    <row r="766" ht="15" customFormat="1" customHeight="1" s="3">
      <c r="A766">
        <f>A765+1</f>
        <v/>
      </c>
      <c r="I766" s="20" t="n"/>
      <c r="K766">
        <f>I766+J766</f>
        <v/>
      </c>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c r="CL766" s="59" t="n"/>
      <c r="CM766" s="59" t="n"/>
      <c r="CN766" s="59" t="n"/>
    </row>
    <row r="767" ht="15" customFormat="1" customHeight="1" s="3">
      <c r="A767">
        <f>A766+1</f>
        <v/>
      </c>
      <c r="I767" s="20" t="n"/>
      <c r="K767">
        <f>I767+J767</f>
        <v/>
      </c>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c r="CL767" s="59" t="n"/>
      <c r="CM767" s="59" t="n"/>
      <c r="CN767" s="59" t="n"/>
    </row>
    <row r="768" ht="15" customFormat="1" customHeight="1" s="3">
      <c r="A768">
        <f>A767+1</f>
        <v/>
      </c>
      <c r="I768" s="20" t="n"/>
      <c r="K768">
        <f>I768+J768</f>
        <v/>
      </c>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c r="CL768" s="59" t="n"/>
      <c r="CM768" s="59" t="n"/>
      <c r="CN768" s="59" t="n"/>
    </row>
    <row r="769" ht="15" customFormat="1" customHeight="1" s="3">
      <c r="A769">
        <f>A768+1</f>
        <v/>
      </c>
      <c r="I769" s="20" t="n"/>
      <c r="K769">
        <f>I769+J769</f>
        <v/>
      </c>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c r="CL769" s="59" t="n"/>
      <c r="CM769" s="59" t="n"/>
      <c r="CN769" s="59" t="n"/>
    </row>
    <row r="770" ht="15" customFormat="1" customHeight="1" s="3">
      <c r="A770">
        <f>A769+1</f>
        <v/>
      </c>
      <c r="I770" s="20" t="n"/>
      <c r="K770">
        <f>I770+J770</f>
        <v/>
      </c>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c r="CL770" s="59" t="n"/>
      <c r="CM770" s="59" t="n"/>
      <c r="CN770" s="59" t="n"/>
    </row>
    <row r="771" ht="15" customFormat="1" customHeight="1" s="3">
      <c r="A771">
        <f>A770+1</f>
        <v/>
      </c>
      <c r="I771" s="20" t="n"/>
      <c r="K771">
        <f>I771+J771</f>
        <v/>
      </c>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c r="CL771" s="59" t="n"/>
      <c r="CM771" s="59" t="n"/>
      <c r="CN771" s="59" t="n"/>
    </row>
    <row r="772" ht="15" customFormat="1" customHeight="1" s="3">
      <c r="A772">
        <f>A771+1</f>
        <v/>
      </c>
      <c r="I772" s="20" t="n"/>
      <c r="K772">
        <f>I772+J772</f>
        <v/>
      </c>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c r="CL772" s="59" t="n"/>
      <c r="CM772" s="59" t="n"/>
      <c r="CN772" s="59" t="n"/>
    </row>
    <row r="773" ht="15" customFormat="1" customHeight="1" s="3">
      <c r="A773">
        <f>A772+1</f>
        <v/>
      </c>
      <c r="I773" s="20" t="n"/>
      <c r="K773">
        <f>I773+J773</f>
        <v/>
      </c>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c r="CL773" s="59" t="n"/>
      <c r="CM773" s="59" t="n"/>
      <c r="CN773" s="59" t="n"/>
    </row>
    <row r="774" ht="15" customFormat="1" customHeight="1" s="3">
      <c r="A774">
        <f>A773+1</f>
        <v/>
      </c>
      <c r="I774" s="20" t="n"/>
      <c r="K774">
        <f>I774+J774</f>
        <v/>
      </c>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c r="CL774" s="59" t="n"/>
      <c r="CM774" s="59" t="n"/>
      <c r="CN774" s="59" t="n"/>
    </row>
    <row r="775" ht="15" customFormat="1" customHeight="1" s="3">
      <c r="A775">
        <f>A774+1</f>
        <v/>
      </c>
      <c r="I775" s="20" t="n"/>
      <c r="K775">
        <f>I775+J775</f>
        <v/>
      </c>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c r="CL775" s="59" t="n"/>
      <c r="CM775" s="59" t="n"/>
      <c r="CN775" s="59" t="n"/>
    </row>
    <row r="776" ht="15" customFormat="1" customHeight="1" s="3">
      <c r="A776">
        <f>A775+1</f>
        <v/>
      </c>
      <c r="I776" s="20" t="n"/>
      <c r="K776">
        <f>I776+J776</f>
        <v/>
      </c>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c r="CL776" s="59" t="n"/>
      <c r="CM776" s="59" t="n"/>
      <c r="CN776" s="59" t="n"/>
    </row>
    <row r="777" ht="15" customFormat="1" customHeight="1" s="3">
      <c r="A777">
        <f>A776+1</f>
        <v/>
      </c>
      <c r="I777" s="20" t="n"/>
      <c r="K777">
        <f>I777+J777</f>
        <v/>
      </c>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c r="CL777" s="59" t="n"/>
      <c r="CM777" s="59" t="n"/>
      <c r="CN777" s="59" t="n"/>
    </row>
    <row r="778" ht="15" customFormat="1" customHeight="1" s="3">
      <c r="A778">
        <f>A777+1</f>
        <v/>
      </c>
      <c r="I778" s="20" t="n"/>
      <c r="K778">
        <f>I778+J778</f>
        <v/>
      </c>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c r="CL778" s="59" t="n"/>
      <c r="CM778" s="59" t="n"/>
      <c r="CN778" s="59" t="n"/>
    </row>
    <row r="779" ht="15" customFormat="1" customHeight="1" s="3">
      <c r="A779">
        <f>A778+1</f>
        <v/>
      </c>
      <c r="I779" s="20" t="n"/>
      <c r="K779">
        <f>I779+J779</f>
        <v/>
      </c>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c r="CL779" s="59" t="n"/>
      <c r="CM779" s="59" t="n"/>
      <c r="CN779" s="59" t="n"/>
    </row>
    <row r="780" ht="15" customFormat="1" customHeight="1" s="3">
      <c r="A780">
        <f>A779+1</f>
        <v/>
      </c>
      <c r="I780" s="20" t="n"/>
      <c r="K780">
        <f>I780+J780</f>
        <v/>
      </c>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c r="CL780" s="59" t="n"/>
      <c r="CM780" s="59" t="n"/>
      <c r="CN780" s="59" t="n"/>
    </row>
    <row r="781" ht="15" customFormat="1" customHeight="1" s="3">
      <c r="A781">
        <f>A780+1</f>
        <v/>
      </c>
      <c r="I781" s="20" t="n"/>
      <c r="K781">
        <f>I781+J781</f>
        <v/>
      </c>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c r="CL781" s="59" t="n"/>
      <c r="CM781" s="59" t="n"/>
      <c r="CN781" s="59" t="n"/>
    </row>
    <row r="782" ht="15" customFormat="1" customHeight="1" s="3">
      <c r="A782">
        <f>A781+1</f>
        <v/>
      </c>
      <c r="I782" s="20" t="n"/>
      <c r="K782">
        <f>I782+J782</f>
        <v/>
      </c>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c r="CL782" s="59" t="n"/>
      <c r="CM782" s="59" t="n"/>
      <c r="CN782" s="59" t="n"/>
    </row>
    <row r="783" ht="15" customFormat="1" customHeight="1" s="3">
      <c r="A783">
        <f>A782+1</f>
        <v/>
      </c>
      <c r="I783" s="20" t="n"/>
      <c r="K783">
        <f>I783+J783</f>
        <v/>
      </c>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c r="CL783" s="59" t="n"/>
      <c r="CM783" s="59" t="n"/>
      <c r="CN783" s="59" t="n"/>
    </row>
    <row r="784" ht="15" customFormat="1" customHeight="1" s="3">
      <c r="A784">
        <f>A783+1</f>
        <v/>
      </c>
      <c r="I784" s="20" t="n"/>
      <c r="K784">
        <f>I784+J784</f>
        <v/>
      </c>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c r="CL784" s="59" t="n"/>
      <c r="CM784" s="59" t="n"/>
      <c r="CN784" s="59" t="n"/>
    </row>
    <row r="785" ht="15" customFormat="1" customHeight="1" s="3">
      <c r="A785">
        <f>A784+1</f>
        <v/>
      </c>
      <c r="I785" s="20" t="n"/>
      <c r="K785">
        <f>I785+J785</f>
        <v/>
      </c>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c r="CL785" s="59" t="n"/>
      <c r="CM785" s="59" t="n"/>
      <c r="CN785" s="59" t="n"/>
    </row>
    <row r="786" ht="15" customFormat="1" customHeight="1" s="3">
      <c r="A786">
        <f>A785+1</f>
        <v/>
      </c>
      <c r="I786" s="20" t="n"/>
      <c r="K786">
        <f>I786+J786</f>
        <v/>
      </c>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c r="CL786" s="59" t="n"/>
      <c r="CM786" s="59" t="n"/>
      <c r="CN786" s="59" t="n"/>
    </row>
    <row r="787" ht="15" customFormat="1" customHeight="1" s="3">
      <c r="A787">
        <f>A786+1</f>
        <v/>
      </c>
      <c r="I787" s="20" t="n"/>
      <c r="K787">
        <f>I787+J787</f>
        <v/>
      </c>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c r="CL787" s="59" t="n"/>
      <c r="CM787" s="59" t="n"/>
      <c r="CN787" s="59" t="n"/>
    </row>
    <row r="788" ht="15" customFormat="1" customHeight="1" s="3">
      <c r="A788">
        <f>A787+1</f>
        <v/>
      </c>
      <c r="I788" s="20" t="n"/>
      <c r="K788">
        <f>I788+J788</f>
        <v/>
      </c>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c r="CL788" s="59" t="n"/>
      <c r="CM788" s="59" t="n"/>
      <c r="CN788" s="59" t="n"/>
    </row>
    <row r="789" ht="15" customFormat="1" customHeight="1" s="3">
      <c r="A789">
        <f>A788+1</f>
        <v/>
      </c>
      <c r="I789" s="20" t="n"/>
      <c r="K789">
        <f>I789+J789</f>
        <v/>
      </c>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c r="CL789" s="59" t="n"/>
      <c r="CM789" s="59" t="n"/>
      <c r="CN789" s="59" t="n"/>
    </row>
    <row r="790" ht="15" customFormat="1" customHeight="1" s="3">
      <c r="A790">
        <f>A789+1</f>
        <v/>
      </c>
      <c r="I790" s="20" t="n"/>
      <c r="K790">
        <f>I790+J790</f>
        <v/>
      </c>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c r="CL790" s="59" t="n"/>
      <c r="CM790" s="59" t="n"/>
      <c r="CN790" s="59" t="n"/>
    </row>
    <row r="791" ht="15" customFormat="1" customHeight="1" s="3">
      <c r="A791">
        <f>A790+1</f>
        <v/>
      </c>
      <c r="I791" s="20" t="n"/>
      <c r="K791">
        <f>I791+J791</f>
        <v/>
      </c>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c r="CL791" s="59" t="n"/>
      <c r="CM791" s="59" t="n"/>
      <c r="CN791" s="59" t="n"/>
    </row>
    <row r="792" ht="15" customFormat="1" customHeight="1" s="3">
      <c r="A792">
        <f>A791+1</f>
        <v/>
      </c>
      <c r="I792" s="20" t="n"/>
      <c r="K792">
        <f>I792+J792</f>
        <v/>
      </c>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c r="CL792" s="59" t="n"/>
      <c r="CM792" s="59" t="n"/>
      <c r="CN792" s="59" t="n"/>
    </row>
    <row r="793" ht="15" customFormat="1" customHeight="1" s="3">
      <c r="A793">
        <f>A792+1</f>
        <v/>
      </c>
      <c r="I793" s="20" t="n"/>
      <c r="K793">
        <f>I793+J793</f>
        <v/>
      </c>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c r="CL793" s="59" t="n"/>
      <c r="CM793" s="59" t="n"/>
      <c r="CN793" s="59" t="n"/>
    </row>
    <row r="794" ht="15" customFormat="1" customHeight="1" s="3">
      <c r="A794">
        <f>A793+1</f>
        <v/>
      </c>
      <c r="I794" s="20" t="n"/>
      <c r="K794">
        <f>I794+J794</f>
        <v/>
      </c>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c r="CL794" s="59" t="n"/>
      <c r="CM794" s="59" t="n"/>
      <c r="CN794" s="59" t="n"/>
    </row>
    <row r="795" ht="15" customFormat="1" customHeight="1" s="3">
      <c r="A795">
        <f>A794+1</f>
        <v/>
      </c>
      <c r="I795" s="20" t="n"/>
      <c r="K795">
        <f>I795+J795</f>
        <v/>
      </c>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c r="CL795" s="59" t="n"/>
      <c r="CM795" s="59" t="n"/>
      <c r="CN795" s="59" t="n"/>
    </row>
    <row r="796" ht="15" customFormat="1" customHeight="1" s="3">
      <c r="A796">
        <f>A795+1</f>
        <v/>
      </c>
      <c r="I796" s="20" t="n"/>
      <c r="K796">
        <f>I796+J796</f>
        <v/>
      </c>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c r="CL796" s="59" t="n"/>
      <c r="CM796" s="59" t="n"/>
      <c r="CN796" s="59" t="n"/>
    </row>
    <row r="797" ht="15" customFormat="1" customHeight="1" s="3">
      <c r="A797">
        <f>A796+1</f>
        <v/>
      </c>
      <c r="I797" s="20" t="n"/>
      <c r="K797">
        <f>I797+J797</f>
        <v/>
      </c>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c r="CL797" s="59" t="n"/>
      <c r="CM797" s="59" t="n"/>
      <c r="CN797" s="59" t="n"/>
    </row>
    <row r="798" ht="15" customFormat="1" customHeight="1" s="3">
      <c r="A798">
        <f>A797+1</f>
        <v/>
      </c>
      <c r="I798" s="20" t="n"/>
      <c r="K798">
        <f>I798+J798</f>
        <v/>
      </c>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c r="CL798" s="59" t="n"/>
      <c r="CM798" s="59" t="n"/>
      <c r="CN798" s="59" t="n"/>
    </row>
    <row r="799" ht="15" customFormat="1" customHeight="1" s="3">
      <c r="A799">
        <f>A798+1</f>
        <v/>
      </c>
      <c r="I799" s="20" t="n"/>
      <c r="K799">
        <f>I799+J799</f>
        <v/>
      </c>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c r="CL799" s="59" t="n"/>
      <c r="CM799" s="59" t="n"/>
      <c r="CN799" s="59" t="n"/>
    </row>
    <row r="800" ht="15" customFormat="1" customHeight="1" s="3">
      <c r="A800">
        <f>A799+1</f>
        <v/>
      </c>
      <c r="I800" s="20" t="n"/>
      <c r="K800">
        <f>I800+J800</f>
        <v/>
      </c>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c r="CL800" s="59" t="n"/>
      <c r="CM800" s="59" t="n"/>
      <c r="CN800" s="59" t="n"/>
    </row>
    <row r="801" ht="15" customFormat="1" customHeight="1" s="3">
      <c r="A801">
        <f>A800+1</f>
        <v/>
      </c>
      <c r="I801" s="20" t="n"/>
      <c r="K801">
        <f>I801+J801</f>
        <v/>
      </c>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c r="CL801" s="59" t="n"/>
      <c r="CM801" s="59" t="n"/>
      <c r="CN801" s="59" t="n"/>
    </row>
    <row r="802" ht="15" customFormat="1" customHeight="1" s="3">
      <c r="A802">
        <f>A801+1</f>
        <v/>
      </c>
      <c r="I802" s="20" t="n"/>
      <c r="K802">
        <f>I802+J802</f>
        <v/>
      </c>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c r="CL802" s="59" t="n"/>
      <c r="CM802" s="59" t="n"/>
      <c r="CN802" s="59" t="n"/>
    </row>
    <row r="803" ht="15" customFormat="1" customHeight="1" s="3">
      <c r="A803">
        <f>A802+1</f>
        <v/>
      </c>
      <c r="I803" s="20" t="n"/>
      <c r="K803">
        <f>I803+J803</f>
        <v/>
      </c>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c r="CL803" s="59" t="n"/>
      <c r="CM803" s="59" t="n"/>
      <c r="CN803" s="59" t="n"/>
    </row>
    <row r="804" ht="15" customFormat="1" customHeight="1" s="3">
      <c r="A804">
        <f>A803+1</f>
        <v/>
      </c>
      <c r="I804" s="20" t="n"/>
      <c r="K804">
        <f>I804+J804</f>
        <v/>
      </c>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c r="CL804" s="59" t="n"/>
      <c r="CM804" s="59" t="n"/>
      <c r="CN804" s="59" t="n"/>
    </row>
    <row r="805" ht="15" customFormat="1" customHeight="1" s="3">
      <c r="A805">
        <f>A804+1</f>
        <v/>
      </c>
      <c r="I805" s="20" t="n"/>
      <c r="K805">
        <f>I805+J805</f>
        <v/>
      </c>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c r="CL805" s="59" t="n"/>
      <c r="CM805" s="59" t="n"/>
      <c r="CN805" s="59" t="n"/>
    </row>
    <row r="806" ht="15" customFormat="1" customHeight="1" s="3">
      <c r="A806">
        <f>A805+1</f>
        <v/>
      </c>
      <c r="I806" s="20" t="n"/>
      <c r="K806">
        <f>I806+J806</f>
        <v/>
      </c>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c r="CL806" s="59" t="n"/>
      <c r="CM806" s="59" t="n"/>
      <c r="CN806" s="59" t="n"/>
    </row>
    <row r="807" ht="15" customFormat="1" customHeight="1" s="3">
      <c r="A807">
        <f>A806+1</f>
        <v/>
      </c>
      <c r="I807" s="20" t="n"/>
      <c r="K807">
        <f>I807+J807</f>
        <v/>
      </c>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c r="CL807" s="59" t="n"/>
      <c r="CM807" s="59" t="n"/>
      <c r="CN807" s="59" t="n"/>
    </row>
    <row r="808" ht="15" customFormat="1" customHeight="1" s="3">
      <c r="A808">
        <f>A807+1</f>
        <v/>
      </c>
      <c r="I808" s="20" t="n"/>
      <c r="K808">
        <f>I808+J808</f>
        <v/>
      </c>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c r="CL808" s="59" t="n"/>
      <c r="CM808" s="59" t="n"/>
      <c r="CN808" s="59" t="n"/>
    </row>
    <row r="809" ht="15" customFormat="1" customHeight="1" s="3">
      <c r="A809">
        <f>A808+1</f>
        <v/>
      </c>
      <c r="I809" s="20" t="n"/>
      <c r="K809">
        <f>I809+J809</f>
        <v/>
      </c>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c r="CL809" s="59" t="n"/>
      <c r="CM809" s="59" t="n"/>
      <c r="CN809" s="59" t="n"/>
    </row>
    <row r="810" ht="15" customFormat="1" customHeight="1" s="3">
      <c r="A810">
        <f>A809+1</f>
        <v/>
      </c>
      <c r="I810" s="20" t="n"/>
      <c r="K810">
        <f>I810+J810</f>
        <v/>
      </c>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c r="CL810" s="59" t="n"/>
      <c r="CM810" s="59" t="n"/>
      <c r="CN810" s="59" t="n"/>
    </row>
    <row r="811" ht="15" customFormat="1" customHeight="1" s="3">
      <c r="A811">
        <f>A810+1</f>
        <v/>
      </c>
      <c r="I811" s="20" t="n"/>
      <c r="K811">
        <f>I811+J811</f>
        <v/>
      </c>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c r="CL811" s="59" t="n"/>
      <c r="CM811" s="59" t="n"/>
      <c r="CN811" s="59" t="n"/>
    </row>
    <row r="812" ht="15" customFormat="1" customHeight="1" s="3">
      <c r="A812">
        <f>A811+1</f>
        <v/>
      </c>
      <c r="I812" s="20" t="n"/>
      <c r="K812">
        <f>I812+J812</f>
        <v/>
      </c>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c r="CL812" s="59" t="n"/>
      <c r="CM812" s="59" t="n"/>
      <c r="CN812" s="59" t="n"/>
    </row>
    <row r="813" ht="15" customFormat="1" customHeight="1" s="3">
      <c r="A813">
        <f>A812+1</f>
        <v/>
      </c>
      <c r="I813" s="20" t="n"/>
      <c r="K813">
        <f>I813+J813</f>
        <v/>
      </c>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c r="CL813" s="59" t="n"/>
      <c r="CM813" s="59" t="n"/>
      <c r="CN813" s="59" t="n"/>
    </row>
    <row r="814" ht="15" customFormat="1" customHeight="1" s="3">
      <c r="A814">
        <f>A813+1</f>
        <v/>
      </c>
      <c r="I814" s="20" t="n"/>
      <c r="K814">
        <f>I814+J814</f>
        <v/>
      </c>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c r="CL814" s="59" t="n"/>
      <c r="CM814" s="59" t="n"/>
      <c r="CN814" s="59" t="n"/>
    </row>
    <row r="815" ht="15" customFormat="1" customHeight="1" s="3">
      <c r="A815">
        <f>A814+1</f>
        <v/>
      </c>
      <c r="I815" s="20" t="n"/>
      <c r="K815">
        <f>I815+J815</f>
        <v/>
      </c>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c r="CL815" s="59" t="n"/>
      <c r="CM815" s="59" t="n"/>
      <c r="CN815" s="59" t="n"/>
    </row>
    <row r="816" ht="15" customFormat="1" customHeight="1" s="3">
      <c r="A816">
        <f>A815+1</f>
        <v/>
      </c>
      <c r="I816" s="20" t="n"/>
      <c r="K816">
        <f>I816+J816</f>
        <v/>
      </c>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c r="CL816" s="59" t="n"/>
      <c r="CM816" s="59" t="n"/>
      <c r="CN816" s="59" t="n"/>
    </row>
    <row r="817" ht="15" customFormat="1" customHeight="1" s="3">
      <c r="A817">
        <f>A816+1</f>
        <v/>
      </c>
      <c r="I817" s="20" t="n"/>
      <c r="K817">
        <f>I817+J817</f>
        <v/>
      </c>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c r="CL817" s="59" t="n"/>
      <c r="CM817" s="59" t="n"/>
      <c r="CN817" s="59" t="n"/>
    </row>
    <row r="818" ht="15" customFormat="1" customHeight="1" s="3">
      <c r="A818">
        <f>A817+1</f>
        <v/>
      </c>
      <c r="I818" s="20" t="n"/>
      <c r="K818">
        <f>I818+J818</f>
        <v/>
      </c>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c r="CL818" s="59" t="n"/>
      <c r="CM818" s="59" t="n"/>
      <c r="CN818" s="59" t="n"/>
    </row>
    <row r="819" ht="15" customFormat="1" customHeight="1" s="3">
      <c r="A819">
        <f>A818+1</f>
        <v/>
      </c>
      <c r="I819" s="20" t="n"/>
      <c r="K819">
        <f>I819+J819</f>
        <v/>
      </c>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c r="CL819" s="59" t="n"/>
      <c r="CM819" s="59" t="n"/>
      <c r="CN819" s="59" t="n"/>
    </row>
    <row r="820" ht="15" customFormat="1" customHeight="1" s="3">
      <c r="A820">
        <f>A819+1</f>
        <v/>
      </c>
      <c r="I820" s="20" t="n"/>
      <c r="K820">
        <f>I820+J820</f>
        <v/>
      </c>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c r="CL820" s="59" t="n"/>
      <c r="CM820" s="59" t="n"/>
      <c r="CN820" s="59" t="n"/>
    </row>
    <row r="821" ht="15" customFormat="1" customHeight="1" s="3">
      <c r="A821">
        <f>A820+1</f>
        <v/>
      </c>
      <c r="I821" s="20" t="n"/>
      <c r="K821">
        <f>I821+J821</f>
        <v/>
      </c>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c r="CL821" s="59" t="n"/>
      <c r="CM821" s="59" t="n"/>
      <c r="CN821" s="59" t="n"/>
    </row>
    <row r="822" ht="15" customFormat="1" customHeight="1" s="3">
      <c r="A822">
        <f>A821+1</f>
        <v/>
      </c>
      <c r="I822" s="20" t="n"/>
      <c r="K822">
        <f>I822+J822</f>
        <v/>
      </c>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c r="CL822" s="59" t="n"/>
      <c r="CM822" s="59" t="n"/>
      <c r="CN822" s="59" t="n"/>
    </row>
    <row r="823" ht="15" customFormat="1" customHeight="1" s="3">
      <c r="A823">
        <f>A822+1</f>
        <v/>
      </c>
      <c r="I823" s="20" t="n"/>
      <c r="K823">
        <f>I823+J823</f>
        <v/>
      </c>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c r="CL823" s="59" t="n"/>
      <c r="CM823" s="59" t="n"/>
      <c r="CN823" s="59" t="n"/>
    </row>
    <row r="824" ht="15" customFormat="1" customHeight="1" s="3">
      <c r="A824">
        <f>A823+1</f>
        <v/>
      </c>
      <c r="I824" s="20" t="n"/>
      <c r="K824">
        <f>I824+J824</f>
        <v/>
      </c>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c r="CL824" s="59" t="n"/>
      <c r="CM824" s="59" t="n"/>
      <c r="CN824" s="59" t="n"/>
    </row>
    <row r="825" ht="15" customFormat="1" customHeight="1" s="3">
      <c r="A825">
        <f>A824+1</f>
        <v/>
      </c>
      <c r="I825" s="20" t="n"/>
      <c r="K825">
        <f>I825+J825</f>
        <v/>
      </c>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c r="CL825" s="59" t="n"/>
      <c r="CM825" s="59" t="n"/>
      <c r="CN825" s="59" t="n"/>
    </row>
    <row r="826" ht="15" customFormat="1" customHeight="1" s="3">
      <c r="A826">
        <f>A825+1</f>
        <v/>
      </c>
      <c r="I826" s="20" t="n"/>
      <c r="K826">
        <f>I826+J826</f>
        <v/>
      </c>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c r="CL826" s="59" t="n"/>
      <c r="CM826" s="59" t="n"/>
      <c r="CN826" s="59" t="n"/>
    </row>
    <row r="827" ht="15" customFormat="1" customHeight="1" s="3">
      <c r="A827">
        <f>A826+1</f>
        <v/>
      </c>
      <c r="I827" s="20" t="n"/>
      <c r="K827">
        <f>I827+J827</f>
        <v/>
      </c>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c r="CL827" s="59" t="n"/>
      <c r="CM827" s="59" t="n"/>
      <c r="CN827" s="59" t="n"/>
    </row>
    <row r="828" ht="15" customFormat="1" customHeight="1" s="3">
      <c r="A828">
        <f>A827+1</f>
        <v/>
      </c>
      <c r="I828" s="20" t="n"/>
      <c r="K828">
        <f>I828+J828</f>
        <v/>
      </c>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c r="CL828" s="59" t="n"/>
      <c r="CM828" s="59" t="n"/>
      <c r="CN828" s="59" t="n"/>
    </row>
    <row r="829" ht="15" customFormat="1" customHeight="1" s="3">
      <c r="A829">
        <f>A828+1</f>
        <v/>
      </c>
      <c r="I829" s="20" t="n"/>
      <c r="K829">
        <f>I829+J829</f>
        <v/>
      </c>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c r="CL829" s="59" t="n"/>
      <c r="CM829" s="59" t="n"/>
      <c r="CN829" s="59" t="n"/>
    </row>
    <row r="830" ht="15" customFormat="1" customHeight="1" s="3">
      <c r="A830">
        <f>A829+1</f>
        <v/>
      </c>
      <c r="I830" s="20" t="n"/>
      <c r="K830">
        <f>I830+J830</f>
        <v/>
      </c>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c r="CL830" s="59" t="n"/>
      <c r="CM830" s="59" t="n"/>
      <c r="CN830" s="59" t="n"/>
    </row>
    <row r="831" ht="15" customFormat="1" customHeight="1" s="3">
      <c r="A831">
        <f>A830+1</f>
        <v/>
      </c>
      <c r="I831" s="20" t="n"/>
      <c r="K831">
        <f>I831+J831</f>
        <v/>
      </c>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c r="CL831" s="59" t="n"/>
      <c r="CM831" s="59" t="n"/>
      <c r="CN831" s="59" t="n"/>
    </row>
    <row r="832" ht="15" customFormat="1" customHeight="1" s="3">
      <c r="A832">
        <f>A831+1</f>
        <v/>
      </c>
      <c r="I832" s="20" t="n"/>
      <c r="K832">
        <f>I832+J832</f>
        <v/>
      </c>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c r="CL832" s="59" t="n"/>
      <c r="CM832" s="59" t="n"/>
      <c r="CN832" s="59" t="n"/>
    </row>
    <row r="833" ht="15" customFormat="1" customHeight="1" s="3">
      <c r="A833">
        <f>A832+1</f>
        <v/>
      </c>
      <c r="I833" s="20" t="n"/>
      <c r="K833">
        <f>I833+J833</f>
        <v/>
      </c>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c r="CL833" s="59" t="n"/>
      <c r="CM833" s="59" t="n"/>
      <c r="CN833" s="59" t="n"/>
    </row>
    <row r="834" ht="15" customFormat="1" customHeight="1" s="3">
      <c r="A834">
        <f>A833+1</f>
        <v/>
      </c>
      <c r="I834" s="20" t="n"/>
      <c r="K834">
        <f>I834+J834</f>
        <v/>
      </c>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c r="CL834" s="59" t="n"/>
      <c r="CM834" s="59" t="n"/>
      <c r="CN834" s="59" t="n"/>
    </row>
    <row r="835" ht="15" customFormat="1" customHeight="1" s="3">
      <c r="A835">
        <f>A834+1</f>
        <v/>
      </c>
      <c r="I835" s="20" t="n"/>
      <c r="K835">
        <f>I835+J835</f>
        <v/>
      </c>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c r="CL835" s="59" t="n"/>
      <c r="CM835" s="59" t="n"/>
      <c r="CN835" s="59" t="n"/>
    </row>
    <row r="836" ht="15" customFormat="1" customHeight="1" s="3">
      <c r="A836">
        <f>A835+1</f>
        <v/>
      </c>
      <c r="I836" s="20" t="n"/>
      <c r="K836">
        <f>I836+J836</f>
        <v/>
      </c>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c r="CL836" s="59" t="n"/>
      <c r="CM836" s="59" t="n"/>
      <c r="CN836" s="59" t="n"/>
    </row>
    <row r="837" ht="15" customFormat="1" customHeight="1" s="3">
      <c r="A837">
        <f>A836+1</f>
        <v/>
      </c>
      <c r="I837" s="20" t="n"/>
      <c r="K837">
        <f>I837+J837</f>
        <v/>
      </c>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c r="CL837" s="59" t="n"/>
      <c r="CM837" s="59" t="n"/>
      <c r="CN837" s="59" t="n"/>
    </row>
    <row r="838" ht="15" customFormat="1" customHeight="1" s="3">
      <c r="A838">
        <f>A837+1</f>
        <v/>
      </c>
      <c r="I838" s="20" t="n"/>
      <c r="K838">
        <f>I838+J838</f>
        <v/>
      </c>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c r="CL838" s="59" t="n"/>
      <c r="CM838" s="59" t="n"/>
      <c r="CN838" s="59" t="n"/>
    </row>
    <row r="839" ht="15" customFormat="1" customHeight="1" s="3">
      <c r="A839">
        <f>A838+1</f>
        <v/>
      </c>
      <c r="I839" s="20" t="n"/>
      <c r="K839">
        <f>I839+J839</f>
        <v/>
      </c>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c r="CL839" s="59" t="n"/>
      <c r="CM839" s="59" t="n"/>
      <c r="CN839" s="59" t="n"/>
    </row>
    <row r="840" ht="15" customFormat="1" customHeight="1" s="3">
      <c r="A840">
        <f>A839+1</f>
        <v/>
      </c>
      <c r="I840" s="20" t="n"/>
      <c r="K840">
        <f>I840+J840</f>
        <v/>
      </c>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c r="CL840" s="59" t="n"/>
      <c r="CM840" s="59" t="n"/>
      <c r="CN840" s="59" t="n"/>
    </row>
    <row r="841" ht="15" customFormat="1" customHeight="1" s="3">
      <c r="A841">
        <f>A840+1</f>
        <v/>
      </c>
      <c r="I841" s="20" t="n"/>
      <c r="K841">
        <f>I841+J841</f>
        <v/>
      </c>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c r="CL841" s="59" t="n"/>
      <c r="CM841" s="59" t="n"/>
      <c r="CN841" s="59" t="n"/>
    </row>
    <row r="842" ht="15" customFormat="1" customHeight="1" s="3">
      <c r="A842">
        <f>A841+1</f>
        <v/>
      </c>
      <c r="I842" s="20" t="n"/>
      <c r="K842">
        <f>I842+J842</f>
        <v/>
      </c>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c r="CL842" s="59" t="n"/>
      <c r="CM842" s="59" t="n"/>
      <c r="CN842" s="59" t="n"/>
    </row>
    <row r="843" ht="15" customFormat="1" customHeight="1" s="3">
      <c r="A843">
        <f>A842+1</f>
        <v/>
      </c>
      <c r="I843" s="20" t="n"/>
      <c r="K843">
        <f>I843+J843</f>
        <v/>
      </c>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c r="CL843" s="59" t="n"/>
      <c r="CM843" s="59" t="n"/>
      <c r="CN843" s="59" t="n"/>
    </row>
    <row r="844" ht="15" customFormat="1" customHeight="1" s="3">
      <c r="A844">
        <f>A843+1</f>
        <v/>
      </c>
      <c r="I844" s="20" t="n"/>
      <c r="K844">
        <f>I844+J844</f>
        <v/>
      </c>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c r="CL844" s="59" t="n"/>
      <c r="CM844" s="59" t="n"/>
      <c r="CN844" s="59" t="n"/>
    </row>
    <row r="845" ht="15" customFormat="1" customHeight="1" s="3">
      <c r="A845">
        <f>A844+1</f>
        <v/>
      </c>
      <c r="I845" s="20" t="n"/>
      <c r="K845">
        <f>I845+J845</f>
        <v/>
      </c>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c r="CL845" s="59" t="n"/>
      <c r="CM845" s="59" t="n"/>
      <c r="CN845" s="59" t="n"/>
    </row>
    <row r="846" ht="15" customFormat="1" customHeight="1" s="3">
      <c r="A846">
        <f>A845+1</f>
        <v/>
      </c>
      <c r="I846" s="20" t="n"/>
      <c r="K846">
        <f>I846+J846</f>
        <v/>
      </c>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c r="CL846" s="59" t="n"/>
      <c r="CM846" s="59" t="n"/>
      <c r="CN846" s="59" t="n"/>
    </row>
    <row r="847" ht="15" customFormat="1" customHeight="1" s="3">
      <c r="A847">
        <f>A846+1</f>
        <v/>
      </c>
      <c r="I847" s="20" t="n"/>
      <c r="K847">
        <f>I847+J847</f>
        <v/>
      </c>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c r="CL847" s="59" t="n"/>
      <c r="CM847" s="59" t="n"/>
      <c r="CN847" s="59" t="n"/>
    </row>
    <row r="848" ht="15" customFormat="1" customHeight="1" s="3">
      <c r="A848">
        <f>A847+1</f>
        <v/>
      </c>
      <c r="I848" s="20" t="n"/>
      <c r="K848">
        <f>I848+J848</f>
        <v/>
      </c>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c r="CL848" s="59" t="n"/>
      <c r="CM848" s="59" t="n"/>
      <c r="CN848" s="59" t="n"/>
    </row>
    <row r="849" ht="15" customFormat="1" customHeight="1" s="3">
      <c r="A849">
        <f>A848+1</f>
        <v/>
      </c>
      <c r="I849" s="20" t="n"/>
      <c r="K849">
        <f>I849+J849</f>
        <v/>
      </c>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c r="CL849" s="59" t="n"/>
      <c r="CM849" s="59" t="n"/>
      <c r="CN849" s="59" t="n"/>
    </row>
    <row r="850" ht="15" customFormat="1" customHeight="1" s="3">
      <c r="A850">
        <f>A849+1</f>
        <v/>
      </c>
      <c r="I850" s="20" t="n"/>
      <c r="K850">
        <f>I850+J850</f>
        <v/>
      </c>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c r="CL850" s="59" t="n"/>
      <c r="CM850" s="59" t="n"/>
      <c r="CN850" s="59" t="n"/>
    </row>
    <row r="851" ht="15" customFormat="1" customHeight="1" s="3">
      <c r="A851">
        <f>A850+1</f>
        <v/>
      </c>
      <c r="I851" s="20" t="n"/>
      <c r="K851">
        <f>I851+J851</f>
        <v/>
      </c>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c r="CL851" s="59" t="n"/>
      <c r="CM851" s="59" t="n"/>
      <c r="CN851" s="59" t="n"/>
    </row>
    <row r="852" ht="15" customFormat="1" customHeight="1" s="3">
      <c r="A852">
        <f>A851+1</f>
        <v/>
      </c>
      <c r="I852" s="20" t="n"/>
      <c r="K852">
        <f>I852+J852</f>
        <v/>
      </c>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c r="CL852" s="59" t="n"/>
      <c r="CM852" s="59" t="n"/>
      <c r="CN852" s="59" t="n"/>
    </row>
    <row r="853" ht="15" customFormat="1" customHeight="1" s="3">
      <c r="A853">
        <f>A852+1</f>
        <v/>
      </c>
      <c r="I853" s="20" t="n"/>
      <c r="K853">
        <f>I853+J853</f>
        <v/>
      </c>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c r="CL853" s="59" t="n"/>
      <c r="CM853" s="59" t="n"/>
      <c r="CN853" s="59" t="n"/>
    </row>
    <row r="854" ht="15" customFormat="1" customHeight="1" s="3">
      <c r="A854">
        <f>A853+1</f>
        <v/>
      </c>
      <c r="I854" s="20" t="n"/>
      <c r="K854">
        <f>I854+J854</f>
        <v/>
      </c>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c r="CL854" s="59" t="n"/>
      <c r="CM854" s="59" t="n"/>
      <c r="CN854" s="59" t="n"/>
    </row>
    <row r="855" ht="15" customFormat="1" customHeight="1" s="3">
      <c r="A855">
        <f>A854+1</f>
        <v/>
      </c>
      <c r="I855" s="20" t="n"/>
      <c r="K855">
        <f>I855+J855</f>
        <v/>
      </c>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c r="CL855" s="59" t="n"/>
      <c r="CM855" s="59" t="n"/>
      <c r="CN855" s="59" t="n"/>
    </row>
    <row r="856" ht="15" customFormat="1" customHeight="1" s="3">
      <c r="A856">
        <f>A855+1</f>
        <v/>
      </c>
      <c r="I856" s="20" t="n"/>
      <c r="K856">
        <f>I856+J856</f>
        <v/>
      </c>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c r="CL856" s="59" t="n"/>
      <c r="CM856" s="59" t="n"/>
      <c r="CN856" s="59" t="n"/>
    </row>
    <row r="857" ht="15" customFormat="1" customHeight="1" s="3">
      <c r="A857">
        <f>A856+1</f>
        <v/>
      </c>
      <c r="I857" s="20" t="n"/>
      <c r="K857">
        <f>I857+J857</f>
        <v/>
      </c>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c r="CL857" s="59" t="n"/>
      <c r="CM857" s="59" t="n"/>
      <c r="CN857" s="59" t="n"/>
    </row>
    <row r="858" ht="15" customFormat="1" customHeight="1" s="3">
      <c r="A858">
        <f>A857+1</f>
        <v/>
      </c>
      <c r="I858" s="20" t="n"/>
      <c r="K858">
        <f>I858+J858</f>
        <v/>
      </c>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c r="CL858" s="59" t="n"/>
      <c r="CM858" s="59" t="n"/>
      <c r="CN858" s="59" t="n"/>
    </row>
    <row r="859" ht="15" customFormat="1" customHeight="1" s="3">
      <c r="A859">
        <f>A858+1</f>
        <v/>
      </c>
      <c r="I859" s="20" t="n"/>
      <c r="K859">
        <f>I859+J859</f>
        <v/>
      </c>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c r="CL859" s="59" t="n"/>
      <c r="CM859" s="59" t="n"/>
      <c r="CN859" s="59" t="n"/>
    </row>
    <row r="860" ht="15" customFormat="1" customHeight="1" s="3">
      <c r="A860">
        <f>A859+1</f>
        <v/>
      </c>
      <c r="I860" s="20" t="n"/>
      <c r="K860">
        <f>I860+J860</f>
        <v/>
      </c>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c r="CL860" s="59" t="n"/>
      <c r="CM860" s="59" t="n"/>
      <c r="CN860" s="59" t="n"/>
    </row>
    <row r="861" ht="15" customFormat="1" customHeight="1" s="3">
      <c r="A861">
        <f>A860+1</f>
        <v/>
      </c>
      <c r="I861" s="20" t="n"/>
      <c r="K861">
        <f>I861+J861</f>
        <v/>
      </c>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c r="CL861" s="59" t="n"/>
      <c r="CM861" s="59" t="n"/>
      <c r="CN861" s="59" t="n"/>
    </row>
    <row r="862" ht="15" customFormat="1" customHeight="1" s="3">
      <c r="A862">
        <f>A861+1</f>
        <v/>
      </c>
      <c r="I862" s="20" t="n"/>
      <c r="K862">
        <f>I862+J862</f>
        <v/>
      </c>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c r="CL862" s="59" t="n"/>
      <c r="CM862" s="59" t="n"/>
      <c r="CN862" s="59" t="n"/>
    </row>
    <row r="863" ht="15" customFormat="1" customHeight="1" s="3">
      <c r="A863">
        <f>A862+1</f>
        <v/>
      </c>
      <c r="I863" s="20" t="n"/>
      <c r="K863">
        <f>I863+J863</f>
        <v/>
      </c>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c r="CL863" s="59" t="n"/>
      <c r="CM863" s="59" t="n"/>
      <c r="CN863" s="59" t="n"/>
    </row>
    <row r="864" ht="15" customFormat="1" customHeight="1" s="3">
      <c r="A864">
        <f>A863+1</f>
        <v/>
      </c>
      <c r="I864" s="20" t="n"/>
      <c r="K864">
        <f>I864+J864</f>
        <v/>
      </c>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c r="CL864" s="59" t="n"/>
      <c r="CM864" s="59" t="n"/>
      <c r="CN864" s="59" t="n"/>
    </row>
    <row r="865" ht="15" customFormat="1" customHeight="1" s="3">
      <c r="A865">
        <f>A864+1</f>
        <v/>
      </c>
      <c r="I865" s="20" t="n"/>
      <c r="K865">
        <f>I865+J865</f>
        <v/>
      </c>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c r="CL865" s="59" t="n"/>
      <c r="CM865" s="59" t="n"/>
      <c r="CN865" s="59" t="n"/>
    </row>
    <row r="866" ht="15" customFormat="1" customHeight="1" s="3">
      <c r="A866">
        <f>A865+1</f>
        <v/>
      </c>
      <c r="I866" s="20" t="n"/>
      <c r="K866">
        <f>I866+J866</f>
        <v/>
      </c>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c r="CL866" s="59" t="n"/>
      <c r="CM866" s="59" t="n"/>
      <c r="CN866" s="59" t="n"/>
    </row>
    <row r="867" ht="15" customFormat="1" customHeight="1" s="3">
      <c r="A867">
        <f>A866+1</f>
        <v/>
      </c>
      <c r="I867" s="20" t="n"/>
      <c r="K867">
        <f>I867+J867</f>
        <v/>
      </c>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c r="CL867" s="59" t="n"/>
      <c r="CM867" s="59" t="n"/>
      <c r="CN867" s="59" t="n"/>
    </row>
    <row r="868" ht="15" customFormat="1" customHeight="1" s="3">
      <c r="A868">
        <f>A867+1</f>
        <v/>
      </c>
      <c r="I868" s="20" t="n"/>
      <c r="K868">
        <f>I868+J868</f>
        <v/>
      </c>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c r="CL868" s="59" t="n"/>
      <c r="CM868" s="59" t="n"/>
      <c r="CN868" s="59" t="n"/>
    </row>
    <row r="869" ht="15" customFormat="1" customHeight="1" s="3">
      <c r="A869">
        <f>A868+1</f>
        <v/>
      </c>
      <c r="I869" s="20" t="n"/>
      <c r="K869">
        <f>I869+J869</f>
        <v/>
      </c>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c r="CL869" s="59" t="n"/>
      <c r="CM869" s="59" t="n"/>
      <c r="CN869" s="59" t="n"/>
    </row>
    <row r="870" ht="15" customFormat="1" customHeight="1" s="3">
      <c r="A870">
        <f>A869+1</f>
        <v/>
      </c>
      <c r="I870" s="20" t="n"/>
      <c r="K870">
        <f>I870+J870</f>
        <v/>
      </c>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c r="CL870" s="59" t="n"/>
      <c r="CM870" s="59" t="n"/>
      <c r="CN870" s="59" t="n"/>
    </row>
    <row r="871" ht="15" customFormat="1" customHeight="1" s="3">
      <c r="A871">
        <f>A870+1</f>
        <v/>
      </c>
      <c r="I871" s="20" t="n"/>
      <c r="K871">
        <f>I871+J871</f>
        <v/>
      </c>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c r="CL871" s="59" t="n"/>
      <c r="CM871" s="59" t="n"/>
      <c r="CN871" s="59" t="n"/>
    </row>
    <row r="872" ht="15" customFormat="1" customHeight="1" s="3">
      <c r="A872">
        <f>A871+1</f>
        <v/>
      </c>
      <c r="I872" s="20" t="n"/>
      <c r="K872">
        <f>I872+J872</f>
        <v/>
      </c>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c r="CL872" s="59" t="n"/>
      <c r="CM872" s="59" t="n"/>
      <c r="CN872" s="59" t="n"/>
    </row>
    <row r="873" ht="15" customFormat="1" customHeight="1" s="3">
      <c r="A873">
        <f>A872+1</f>
        <v/>
      </c>
      <c r="I873" s="20" t="n"/>
      <c r="K873">
        <f>I873+J873</f>
        <v/>
      </c>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c r="CL873" s="59" t="n"/>
      <c r="CM873" s="59" t="n"/>
      <c r="CN873" s="59" t="n"/>
    </row>
    <row r="874" ht="15" customFormat="1" customHeight="1" s="3">
      <c r="A874">
        <f>A873+1</f>
        <v/>
      </c>
      <c r="I874" s="20" t="n"/>
      <c r="K874">
        <f>I874+J874</f>
        <v/>
      </c>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c r="CL874" s="59" t="n"/>
      <c r="CM874" s="59" t="n"/>
      <c r="CN874" s="59" t="n"/>
    </row>
    <row r="875" ht="15" customFormat="1" customHeight="1" s="3">
      <c r="A875">
        <f>A874+1</f>
        <v/>
      </c>
      <c r="I875" s="20" t="n"/>
      <c r="K875">
        <f>I875+J875</f>
        <v/>
      </c>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c r="CL875" s="59" t="n"/>
      <c r="CM875" s="59" t="n"/>
      <c r="CN875" s="59" t="n"/>
    </row>
    <row r="876" ht="15" customFormat="1" customHeight="1" s="3">
      <c r="A876">
        <f>A875+1</f>
        <v/>
      </c>
      <c r="I876" s="20" t="n"/>
      <c r="K876">
        <f>I876+J876</f>
        <v/>
      </c>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c r="CL876" s="59" t="n"/>
      <c r="CM876" s="59" t="n"/>
      <c r="CN876" s="59" t="n"/>
    </row>
    <row r="877" ht="15" customFormat="1" customHeight="1" s="3">
      <c r="A877">
        <f>A876+1</f>
        <v/>
      </c>
      <c r="I877" s="20" t="n"/>
      <c r="K877">
        <f>I877+J877</f>
        <v/>
      </c>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c r="CL877" s="59" t="n"/>
      <c r="CM877" s="59" t="n"/>
      <c r="CN877" s="59" t="n"/>
    </row>
    <row r="878" ht="15" customFormat="1" customHeight="1" s="3">
      <c r="A878">
        <f>A877+1</f>
        <v/>
      </c>
      <c r="I878" s="20" t="n"/>
      <c r="K878">
        <f>I878+J878</f>
        <v/>
      </c>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c r="CL878" s="59" t="n"/>
      <c r="CM878" s="59" t="n"/>
      <c r="CN878" s="59" t="n"/>
    </row>
    <row r="879" ht="15" customFormat="1" customHeight="1" s="3">
      <c r="A879">
        <f>A878+1</f>
        <v/>
      </c>
      <c r="I879" s="20" t="n"/>
      <c r="K879">
        <f>I879+J879</f>
        <v/>
      </c>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c r="CL879" s="59" t="n"/>
      <c r="CM879" s="59" t="n"/>
      <c r="CN879" s="59" t="n"/>
    </row>
    <row r="880" ht="15" customFormat="1" customHeight="1" s="3">
      <c r="A880">
        <f>A879+1</f>
        <v/>
      </c>
      <c r="I880" s="20" t="n"/>
      <c r="K880">
        <f>I880+J880</f>
        <v/>
      </c>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c r="CL880" s="59" t="n"/>
      <c r="CM880" s="59" t="n"/>
      <c r="CN880" s="59" t="n"/>
    </row>
    <row r="881" ht="15" customFormat="1" customHeight="1" s="3">
      <c r="A881">
        <f>A880+1</f>
        <v/>
      </c>
      <c r="I881" s="20" t="n"/>
      <c r="K881">
        <f>I881+J881</f>
        <v/>
      </c>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c r="CL881" s="59" t="n"/>
      <c r="CM881" s="59" t="n"/>
      <c r="CN881" s="59" t="n"/>
    </row>
    <row r="882" ht="15" customFormat="1" customHeight="1" s="3">
      <c r="A882">
        <f>A881+1</f>
        <v/>
      </c>
      <c r="I882" s="20" t="n"/>
      <c r="K882">
        <f>I882+J882</f>
        <v/>
      </c>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c r="CL882" s="59" t="n"/>
      <c r="CM882" s="59" t="n"/>
      <c r="CN882" s="59" t="n"/>
    </row>
    <row r="883" ht="15" customFormat="1" customHeight="1" s="3">
      <c r="A883">
        <f>A882+1</f>
        <v/>
      </c>
      <c r="I883" s="20" t="n"/>
      <c r="K883">
        <f>I883+J883</f>
        <v/>
      </c>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c r="CL883" s="59" t="n"/>
      <c r="CM883" s="59" t="n"/>
      <c r="CN883" s="59" t="n"/>
    </row>
    <row r="884" ht="15" customFormat="1" customHeight="1" s="3">
      <c r="A884">
        <f>A883+1</f>
        <v/>
      </c>
      <c r="I884" s="20" t="n"/>
      <c r="K884">
        <f>I884+J884</f>
        <v/>
      </c>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c r="CL884" s="59" t="n"/>
      <c r="CM884" s="59" t="n"/>
      <c r="CN884" s="59" t="n"/>
    </row>
    <row r="885" ht="15" customFormat="1" customHeight="1" s="3">
      <c r="A885">
        <f>A884+1</f>
        <v/>
      </c>
      <c r="I885" s="20" t="n"/>
      <c r="K885">
        <f>I885+J885</f>
        <v/>
      </c>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c r="CL885" s="59" t="n"/>
      <c r="CM885" s="59" t="n"/>
      <c r="CN885" s="59" t="n"/>
    </row>
    <row r="886" ht="15" customFormat="1" customHeight="1" s="3">
      <c r="A886">
        <f>A885+1</f>
        <v/>
      </c>
      <c r="I886" s="20" t="n"/>
      <c r="K886">
        <f>I886+J886</f>
        <v/>
      </c>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c r="CL886" s="59" t="n"/>
      <c r="CM886" s="59" t="n"/>
      <c r="CN886" s="59" t="n"/>
    </row>
    <row r="887" ht="15" customFormat="1" customHeight="1" s="3">
      <c r="A887">
        <f>A886+1</f>
        <v/>
      </c>
      <c r="I887" s="20" t="n"/>
      <c r="K887">
        <f>I887+J887</f>
        <v/>
      </c>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c r="CL887" s="59" t="n"/>
      <c r="CM887" s="59" t="n"/>
      <c r="CN887" s="59" t="n"/>
    </row>
    <row r="888" ht="15" customFormat="1" customHeight="1" s="3">
      <c r="A888">
        <f>A887+1</f>
        <v/>
      </c>
      <c r="I888" s="20" t="n"/>
      <c r="K888">
        <f>I888+J888</f>
        <v/>
      </c>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c r="CL888" s="59" t="n"/>
      <c r="CM888" s="59" t="n"/>
      <c r="CN888" s="59" t="n"/>
    </row>
    <row r="889" ht="15" customFormat="1" customHeight="1" s="3">
      <c r="A889">
        <f>A888+1</f>
        <v/>
      </c>
      <c r="I889" s="20" t="n"/>
      <c r="K889">
        <f>I889+J889</f>
        <v/>
      </c>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c r="CL889" s="59" t="n"/>
      <c r="CM889" s="59" t="n"/>
      <c r="CN889" s="59" t="n"/>
    </row>
    <row r="890" ht="15" customFormat="1" customHeight="1" s="3">
      <c r="A890">
        <f>A889+1</f>
        <v/>
      </c>
      <c r="I890" s="20" t="n"/>
      <c r="K890">
        <f>I890+J890</f>
        <v/>
      </c>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c r="CL890" s="59" t="n"/>
      <c r="CM890" s="59" t="n"/>
      <c r="CN890" s="59" t="n"/>
    </row>
    <row r="891" ht="15" customFormat="1" customHeight="1" s="3">
      <c r="A891">
        <f>A890+1</f>
        <v/>
      </c>
      <c r="I891" s="20" t="n"/>
      <c r="K891">
        <f>I891+J891</f>
        <v/>
      </c>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c r="CL891" s="59" t="n"/>
      <c r="CM891" s="59" t="n"/>
      <c r="CN891" s="59" t="n"/>
    </row>
    <row r="892" ht="15" customFormat="1" customHeight="1" s="3">
      <c r="A892">
        <f>A891+1</f>
        <v/>
      </c>
      <c r="I892" s="20" t="n"/>
      <c r="K892">
        <f>I892+J892</f>
        <v/>
      </c>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c r="CL892" s="59" t="n"/>
      <c r="CM892" s="59" t="n"/>
      <c r="CN892" s="59" t="n"/>
    </row>
    <row r="893" ht="15" customFormat="1" customHeight="1" s="3">
      <c r="A893">
        <f>A892+1</f>
        <v/>
      </c>
      <c r="I893" s="20" t="n"/>
      <c r="K893">
        <f>I893+J893</f>
        <v/>
      </c>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c r="CL893" s="59" t="n"/>
      <c r="CM893" s="59" t="n"/>
      <c r="CN893" s="59" t="n"/>
    </row>
    <row r="894" ht="15" customFormat="1" customHeight="1" s="3">
      <c r="A894">
        <f>A893+1</f>
        <v/>
      </c>
      <c r="I894" s="20" t="n"/>
      <c r="K894">
        <f>I894+J894</f>
        <v/>
      </c>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c r="CL894" s="59" t="n"/>
      <c r="CM894" s="59" t="n"/>
      <c r="CN894" s="59" t="n"/>
    </row>
    <row r="895" ht="15" customFormat="1" customHeight="1" s="3">
      <c r="A895">
        <f>A894+1</f>
        <v/>
      </c>
      <c r="I895" s="20" t="n"/>
      <c r="K895">
        <f>I895+J895</f>
        <v/>
      </c>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c r="CL895" s="59" t="n"/>
      <c r="CM895" s="59" t="n"/>
      <c r="CN895" s="59" t="n"/>
    </row>
    <row r="896" ht="15" customFormat="1" customHeight="1" s="3">
      <c r="A896">
        <f>A895+1</f>
        <v/>
      </c>
      <c r="I896" s="20" t="n"/>
      <c r="K896">
        <f>I896+J896</f>
        <v/>
      </c>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c r="CL896" s="59" t="n"/>
      <c r="CM896" s="59" t="n"/>
      <c r="CN896" s="59" t="n"/>
    </row>
    <row r="897" ht="15" customFormat="1" customHeight="1" s="3">
      <c r="A897">
        <f>A896+1</f>
        <v/>
      </c>
      <c r="I897" s="20" t="n"/>
      <c r="K897">
        <f>I897+J897</f>
        <v/>
      </c>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c r="CL897" s="59" t="n"/>
      <c r="CM897" s="59" t="n"/>
      <c r="CN897" s="59" t="n"/>
    </row>
    <row r="898" ht="15" customFormat="1" customHeight="1" s="3">
      <c r="A898">
        <f>A897+1</f>
        <v/>
      </c>
      <c r="I898" s="20" t="n"/>
      <c r="K898">
        <f>I898+J898</f>
        <v/>
      </c>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c r="CL898" s="59" t="n"/>
      <c r="CM898" s="59" t="n"/>
      <c r="CN898" s="59" t="n"/>
    </row>
    <row r="899" ht="15" customFormat="1" customHeight="1" s="3">
      <c r="A899">
        <f>A898+1</f>
        <v/>
      </c>
      <c r="I899" s="20" t="n"/>
      <c r="K899">
        <f>I899+J899</f>
        <v/>
      </c>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c r="CL899" s="59" t="n"/>
      <c r="CM899" s="59" t="n"/>
      <c r="CN899" s="59" t="n"/>
    </row>
    <row r="900" ht="15" customFormat="1" customHeight="1" s="3">
      <c r="A900">
        <f>A899+1</f>
        <v/>
      </c>
      <c r="I900" s="20" t="n"/>
      <c r="K900">
        <f>I900+J900</f>
        <v/>
      </c>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c r="CL900" s="59" t="n"/>
      <c r="CM900" s="59" t="n"/>
      <c r="CN900" s="59" t="n"/>
    </row>
    <row r="901" ht="15" customFormat="1" customHeight="1" s="3">
      <c r="A901">
        <f>A900+1</f>
        <v/>
      </c>
      <c r="I901" s="20" t="n"/>
      <c r="K901">
        <f>I901+J901</f>
        <v/>
      </c>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c r="CL901" s="59" t="n"/>
      <c r="CM901" s="59" t="n"/>
      <c r="CN901" s="59" t="n"/>
    </row>
    <row r="902" ht="15" customFormat="1" customHeight="1" s="3">
      <c r="A902">
        <f>A901+1</f>
        <v/>
      </c>
      <c r="I902" s="20" t="n"/>
      <c r="K902">
        <f>I902+J902</f>
        <v/>
      </c>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c r="CL902" s="59" t="n"/>
      <c r="CM902" s="59" t="n"/>
      <c r="CN902" s="59" t="n"/>
    </row>
    <row r="903" ht="15" customFormat="1" customHeight="1" s="3">
      <c r="A903">
        <f>A902+1</f>
        <v/>
      </c>
      <c r="I903" s="20" t="n"/>
      <c r="K903">
        <f>I903+J903</f>
        <v/>
      </c>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c r="CL903" s="59" t="n"/>
      <c r="CM903" s="59" t="n"/>
      <c r="CN903" s="59" t="n"/>
    </row>
    <row r="904" ht="15" customFormat="1" customHeight="1" s="3">
      <c r="A904">
        <f>A903+1</f>
        <v/>
      </c>
      <c r="I904" s="20" t="n"/>
      <c r="K904">
        <f>I904+J904</f>
        <v/>
      </c>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c r="CL904" s="59" t="n"/>
      <c r="CM904" s="59" t="n"/>
      <c r="CN904" s="59" t="n"/>
    </row>
    <row r="905" ht="15" customFormat="1" customHeight="1" s="3">
      <c r="A905">
        <f>A904+1</f>
        <v/>
      </c>
      <c r="I905" s="20" t="n"/>
      <c r="K905">
        <f>I905+J905</f>
        <v/>
      </c>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c r="CL905" s="59" t="n"/>
      <c r="CM905" s="59" t="n"/>
      <c r="CN905" s="59" t="n"/>
    </row>
    <row r="906" ht="15" customFormat="1" customHeight="1" s="3">
      <c r="A906">
        <f>A905+1</f>
        <v/>
      </c>
      <c r="I906" s="20" t="n"/>
      <c r="K906">
        <f>I906+J906</f>
        <v/>
      </c>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c r="CL906" s="59" t="n"/>
      <c r="CM906" s="59" t="n"/>
      <c r="CN906" s="59" t="n"/>
    </row>
    <row r="907" ht="15" customFormat="1" customHeight="1" s="3">
      <c r="A907">
        <f>A906+1</f>
        <v/>
      </c>
      <c r="I907" s="20" t="n"/>
      <c r="K907">
        <f>I907+J907</f>
        <v/>
      </c>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c r="CL907" s="59" t="n"/>
      <c r="CM907" s="59" t="n"/>
      <c r="CN907" s="59" t="n"/>
    </row>
    <row r="908" ht="15" customFormat="1" customHeight="1" s="3">
      <c r="A908">
        <f>A907+1</f>
        <v/>
      </c>
      <c r="I908" s="20" t="n"/>
      <c r="K908">
        <f>I908+J908</f>
        <v/>
      </c>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c r="CL908" s="59" t="n"/>
      <c r="CM908" s="59" t="n"/>
      <c r="CN908" s="59" t="n"/>
    </row>
    <row r="909" ht="15" customFormat="1" customHeight="1" s="3">
      <c r="A909">
        <f>A908+1</f>
        <v/>
      </c>
      <c r="I909" s="20" t="n"/>
      <c r="K909">
        <f>I909+J909</f>
        <v/>
      </c>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c r="CL909" s="59" t="n"/>
      <c r="CM909" s="59" t="n"/>
      <c r="CN909" s="59" t="n"/>
    </row>
    <row r="910" ht="15" customFormat="1" customHeight="1" s="3">
      <c r="A910">
        <f>A909+1</f>
        <v/>
      </c>
      <c r="I910" s="20" t="n"/>
      <c r="K910">
        <f>I910+J910</f>
        <v/>
      </c>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c r="CL910" s="59" t="n"/>
      <c r="CM910" s="59" t="n"/>
      <c r="CN910" s="59" t="n"/>
    </row>
    <row r="911" ht="15" customFormat="1" customHeight="1" s="3">
      <c r="A911">
        <f>A910+1</f>
        <v/>
      </c>
      <c r="I911" s="20" t="n"/>
      <c r="K911">
        <f>I911+J911</f>
        <v/>
      </c>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c r="CL911" s="59" t="n"/>
      <c r="CM911" s="59" t="n"/>
      <c r="CN911" s="59" t="n"/>
    </row>
    <row r="912" ht="15" customFormat="1" customHeight="1" s="3">
      <c r="A912">
        <f>A911+1</f>
        <v/>
      </c>
      <c r="I912" s="20" t="n"/>
      <c r="K912">
        <f>I912+J912</f>
        <v/>
      </c>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c r="CL912" s="59" t="n"/>
      <c r="CM912" s="59" t="n"/>
      <c r="CN912" s="59" t="n"/>
    </row>
    <row r="913" ht="15" customFormat="1" customHeight="1" s="3">
      <c r="A913">
        <f>A912+1</f>
        <v/>
      </c>
      <c r="I913" s="20" t="n"/>
      <c r="K913">
        <f>I913+J913</f>
        <v/>
      </c>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c r="CL913" s="59" t="n"/>
      <c r="CM913" s="59" t="n"/>
      <c r="CN913" s="59" t="n"/>
    </row>
    <row r="914" ht="15" customFormat="1" customHeight="1" s="3">
      <c r="A914">
        <f>A913+1</f>
        <v/>
      </c>
      <c r="I914" s="20" t="n"/>
      <c r="K914">
        <f>I914+J914</f>
        <v/>
      </c>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c r="CL914" s="59" t="n"/>
      <c r="CM914" s="59" t="n"/>
      <c r="CN914" s="59" t="n"/>
    </row>
    <row r="915" ht="15" customFormat="1" customHeight="1" s="3">
      <c r="A915">
        <f>A914+1</f>
        <v/>
      </c>
      <c r="I915" s="20" t="n"/>
      <c r="K915">
        <f>I915+J915</f>
        <v/>
      </c>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c r="CL915" s="59" t="n"/>
      <c r="CM915" s="59" t="n"/>
      <c r="CN915" s="59" t="n"/>
    </row>
    <row r="916" ht="15" customFormat="1" customHeight="1" s="3">
      <c r="A916">
        <f>A915+1</f>
        <v/>
      </c>
      <c r="I916" s="20" t="n"/>
      <c r="K916">
        <f>I916+J916</f>
        <v/>
      </c>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c r="CL916" s="59" t="n"/>
      <c r="CM916" s="59" t="n"/>
      <c r="CN916" s="59" t="n"/>
    </row>
    <row r="917" ht="15" customFormat="1" customHeight="1" s="3">
      <c r="A917">
        <f>A916+1</f>
        <v/>
      </c>
      <c r="I917" s="20" t="n"/>
      <c r="K917">
        <f>I917+J917</f>
        <v/>
      </c>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c r="CL917" s="59" t="n"/>
      <c r="CM917" s="59" t="n"/>
      <c r="CN917" s="59" t="n"/>
    </row>
    <row r="918" ht="15" customFormat="1" customHeight="1" s="3">
      <c r="A918">
        <f>A917+1</f>
        <v/>
      </c>
      <c r="I918" s="20" t="n"/>
      <c r="K918">
        <f>I918+J918</f>
        <v/>
      </c>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c r="CL918" s="59" t="n"/>
      <c r="CM918" s="59" t="n"/>
      <c r="CN918" s="59" t="n"/>
    </row>
    <row r="919" ht="15" customFormat="1" customHeight="1" s="3">
      <c r="A919">
        <f>A918+1</f>
        <v/>
      </c>
      <c r="I919" s="20" t="n"/>
      <c r="K919">
        <f>I919+J919</f>
        <v/>
      </c>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c r="CL919" s="59" t="n"/>
      <c r="CM919" s="59" t="n"/>
      <c r="CN919" s="59" t="n"/>
    </row>
    <row r="920" ht="15" customFormat="1" customHeight="1" s="3">
      <c r="A920">
        <f>A919+1</f>
        <v/>
      </c>
      <c r="I920" s="20" t="n"/>
      <c r="K920">
        <f>I920+J920</f>
        <v/>
      </c>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c r="CL920" s="59" t="n"/>
      <c r="CM920" s="59" t="n"/>
      <c r="CN920" s="59" t="n"/>
    </row>
    <row r="921" ht="15" customFormat="1" customHeight="1" s="3">
      <c r="A921">
        <f>A920+1</f>
        <v/>
      </c>
      <c r="I921" s="20" t="n"/>
      <c r="K921">
        <f>I921+J921</f>
        <v/>
      </c>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c r="CL921" s="59" t="n"/>
      <c r="CM921" s="59" t="n"/>
      <c r="CN921" s="59" t="n"/>
    </row>
    <row r="922" ht="15" customFormat="1" customHeight="1" s="3">
      <c r="A922">
        <f>A921+1</f>
        <v/>
      </c>
      <c r="I922" s="20" t="n"/>
      <c r="K922">
        <f>I922+J922</f>
        <v/>
      </c>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c r="CL922" s="59" t="n"/>
      <c r="CM922" s="59" t="n"/>
      <c r="CN922" s="59" t="n"/>
    </row>
    <row r="923" ht="15" customFormat="1" customHeight="1" s="3">
      <c r="A923">
        <f>A922+1</f>
        <v/>
      </c>
      <c r="I923" s="20" t="n"/>
      <c r="K923">
        <f>I923+J923</f>
        <v/>
      </c>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c r="CL923" s="59" t="n"/>
      <c r="CM923" s="59" t="n"/>
      <c r="CN923" s="59" t="n"/>
    </row>
    <row r="924" ht="15" customFormat="1" customHeight="1" s="3">
      <c r="A924">
        <f>A923+1</f>
        <v/>
      </c>
      <c r="I924" s="20" t="n"/>
      <c r="K924">
        <f>I924+J924</f>
        <v/>
      </c>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c r="CL924" s="59" t="n"/>
      <c r="CM924" s="59" t="n"/>
      <c r="CN924" s="59" t="n"/>
    </row>
    <row r="925" ht="15" customFormat="1" customHeight="1" s="3">
      <c r="A925">
        <f>A924+1</f>
        <v/>
      </c>
      <c r="I925" s="20" t="n"/>
      <c r="K925">
        <f>I925+J925</f>
        <v/>
      </c>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c r="CL925" s="59" t="n"/>
      <c r="CM925" s="59" t="n"/>
      <c r="CN925" s="59" t="n"/>
    </row>
    <row r="926" ht="15" customFormat="1" customHeight="1" s="3">
      <c r="A926">
        <f>A925+1</f>
        <v/>
      </c>
      <c r="I926" s="20" t="n"/>
      <c r="K926">
        <f>I926+J926</f>
        <v/>
      </c>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c r="CL926" s="59" t="n"/>
      <c r="CM926" s="59" t="n"/>
      <c r="CN926" s="59" t="n"/>
    </row>
    <row r="927" ht="15" customFormat="1" customHeight="1" s="3">
      <c r="A927">
        <f>A926+1</f>
        <v/>
      </c>
      <c r="I927" s="20" t="n"/>
      <c r="K927">
        <f>I927+J927</f>
        <v/>
      </c>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c r="CL927" s="59" t="n"/>
      <c r="CM927" s="59" t="n"/>
      <c r="CN927" s="59" t="n"/>
    </row>
    <row r="928" ht="15" customFormat="1" customHeight="1" s="3">
      <c r="A928">
        <f>A927+1</f>
        <v/>
      </c>
      <c r="I928" s="20" t="n"/>
      <c r="K928">
        <f>I928+J928</f>
        <v/>
      </c>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c r="CL928" s="59" t="n"/>
      <c r="CM928" s="59" t="n"/>
      <c r="CN928" s="59" t="n"/>
    </row>
    <row r="929" ht="15" customFormat="1" customHeight="1" s="3">
      <c r="A929">
        <f>A928+1</f>
        <v/>
      </c>
      <c r="I929" s="20" t="n"/>
      <c r="K929">
        <f>I929+J929</f>
        <v/>
      </c>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c r="CL929" s="59" t="n"/>
      <c r="CM929" s="59" t="n"/>
      <c r="CN929" s="59" t="n"/>
    </row>
    <row r="930" ht="15" customFormat="1" customHeight="1" s="3">
      <c r="A930">
        <f>A929+1</f>
        <v/>
      </c>
      <c r="I930" s="20" t="n"/>
      <c r="K930">
        <f>I930+J930</f>
        <v/>
      </c>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c r="CL930" s="59" t="n"/>
      <c r="CM930" s="59" t="n"/>
      <c r="CN930" s="59" t="n"/>
    </row>
    <row r="931" ht="15" customFormat="1" customHeight="1" s="3">
      <c r="A931">
        <f>A930+1</f>
        <v/>
      </c>
      <c r="I931" s="20" t="n"/>
      <c r="K931">
        <f>I931+J931</f>
        <v/>
      </c>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c r="CL931" s="59" t="n"/>
      <c r="CM931" s="59" t="n"/>
      <c r="CN931" s="59" t="n"/>
    </row>
    <row r="932" ht="15" customFormat="1" customHeight="1" s="3">
      <c r="A932">
        <f>A931+1</f>
        <v/>
      </c>
      <c r="I932" s="20" t="n"/>
      <c r="K932">
        <f>I932+J932</f>
        <v/>
      </c>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c r="CL932" s="59" t="n"/>
      <c r="CM932" s="59" t="n"/>
      <c r="CN932" s="59" t="n"/>
    </row>
    <row r="933" ht="15" customFormat="1" customHeight="1" s="3">
      <c r="A933">
        <f>A932+1</f>
        <v/>
      </c>
      <c r="I933" s="20" t="n"/>
      <c r="K933">
        <f>I933+J933</f>
        <v/>
      </c>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c r="CL933" s="59" t="n"/>
      <c r="CM933" s="59" t="n"/>
      <c r="CN933" s="59" t="n"/>
    </row>
    <row r="934" ht="15" customFormat="1" customHeight="1" s="3">
      <c r="A934">
        <f>A933+1</f>
        <v/>
      </c>
      <c r="I934" s="20" t="n"/>
      <c r="K934">
        <f>I934+J934</f>
        <v/>
      </c>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c r="CL934" s="59" t="n"/>
      <c r="CM934" s="59" t="n"/>
      <c r="CN934" s="59" t="n"/>
    </row>
    <row r="935" ht="15" customFormat="1" customHeight="1" s="3">
      <c r="A935">
        <f>A934+1</f>
        <v/>
      </c>
      <c r="I935" s="20" t="n"/>
      <c r="K935">
        <f>I935+J935</f>
        <v/>
      </c>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c r="CL935" s="59" t="n"/>
      <c r="CM935" s="59" t="n"/>
      <c r="CN935" s="59" t="n"/>
    </row>
    <row r="936" ht="15" customFormat="1" customHeight="1" s="3">
      <c r="A936">
        <f>A935+1</f>
        <v/>
      </c>
      <c r="I936" s="20" t="n"/>
      <c r="K936">
        <f>I936+J936</f>
        <v/>
      </c>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c r="CL936" s="59" t="n"/>
      <c r="CM936" s="59" t="n"/>
      <c r="CN936" s="59" t="n"/>
    </row>
    <row r="937" ht="15" customFormat="1" customHeight="1" s="3">
      <c r="A937">
        <f>A936+1</f>
        <v/>
      </c>
      <c r="I937" s="20" t="n"/>
      <c r="K937">
        <f>I937+J937</f>
        <v/>
      </c>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c r="CL937" s="59" t="n"/>
      <c r="CM937" s="59" t="n"/>
      <c r="CN937" s="59" t="n"/>
    </row>
    <row r="938" ht="15" customFormat="1" customHeight="1" s="3">
      <c r="A938">
        <f>A937+1</f>
        <v/>
      </c>
      <c r="I938" s="20" t="n"/>
      <c r="K938">
        <f>I938+J938</f>
        <v/>
      </c>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c r="CL938" s="59" t="n"/>
      <c r="CM938" s="59" t="n"/>
      <c r="CN938" s="59" t="n"/>
    </row>
    <row r="939" ht="15" customFormat="1" customHeight="1" s="3">
      <c r="A939">
        <f>A938+1</f>
        <v/>
      </c>
      <c r="I939" s="20" t="n"/>
      <c r="K939">
        <f>I939+J939</f>
        <v/>
      </c>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c r="CL939" s="59" t="n"/>
      <c r="CM939" s="59" t="n"/>
      <c r="CN939" s="59" t="n"/>
    </row>
    <row r="940" ht="15" customFormat="1" customHeight="1" s="3">
      <c r="A940">
        <f>A939+1</f>
        <v/>
      </c>
      <c r="I940" s="20" t="n"/>
      <c r="K940">
        <f>I940+J940</f>
        <v/>
      </c>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c r="CL940" s="59" t="n"/>
      <c r="CM940" s="59" t="n"/>
      <c r="CN940" s="59" t="n"/>
    </row>
    <row r="941" ht="15" customFormat="1" customHeight="1" s="3">
      <c r="A941">
        <f>A940+1</f>
        <v/>
      </c>
      <c r="I941" s="20" t="n"/>
      <c r="K941">
        <f>I941+J941</f>
        <v/>
      </c>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c r="CL941" s="59" t="n"/>
      <c r="CM941" s="59" t="n"/>
      <c r="CN941" s="59" t="n"/>
    </row>
    <row r="942" ht="15" customFormat="1" customHeight="1" s="3">
      <c r="A942">
        <f>A941+1</f>
        <v/>
      </c>
      <c r="I942" s="20" t="n"/>
      <c r="K942">
        <f>I942+J942</f>
        <v/>
      </c>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c r="CL942" s="59" t="n"/>
      <c r="CM942" s="59" t="n"/>
      <c r="CN942" s="59" t="n"/>
    </row>
    <row r="943" ht="15" customFormat="1" customHeight="1" s="3">
      <c r="A943">
        <f>A942+1</f>
        <v/>
      </c>
      <c r="I943" s="20" t="n"/>
      <c r="K943">
        <f>I943+J943</f>
        <v/>
      </c>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c r="CL943" s="59" t="n"/>
      <c r="CM943" s="59" t="n"/>
      <c r="CN943" s="59" t="n"/>
    </row>
    <row r="944" ht="15" customFormat="1" customHeight="1" s="3">
      <c r="A944">
        <f>A943+1</f>
        <v/>
      </c>
      <c r="I944" s="20" t="n"/>
      <c r="K944">
        <f>I944+J944</f>
        <v/>
      </c>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c r="CL944" s="59" t="n"/>
      <c r="CM944" s="59" t="n"/>
      <c r="CN944" s="59" t="n"/>
    </row>
    <row r="945" ht="15" customFormat="1" customHeight="1" s="3">
      <c r="A945">
        <f>A944+1</f>
        <v/>
      </c>
      <c r="I945" s="20" t="n"/>
      <c r="K945">
        <f>I945+J945</f>
        <v/>
      </c>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c r="CL945" s="59" t="n"/>
      <c r="CM945" s="59" t="n"/>
      <c r="CN945" s="59" t="n"/>
    </row>
    <row r="946" ht="15" customFormat="1" customHeight="1" s="3">
      <c r="A946">
        <f>A945+1</f>
        <v/>
      </c>
      <c r="I946" s="20" t="n"/>
      <c r="K946">
        <f>I946+J946</f>
        <v/>
      </c>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c r="CL946" s="59" t="n"/>
      <c r="CM946" s="59" t="n"/>
      <c r="CN946" s="59" t="n"/>
    </row>
    <row r="947" ht="15" customFormat="1" customHeight="1" s="3">
      <c r="A947">
        <f>A946+1</f>
        <v/>
      </c>
      <c r="I947" s="20" t="n"/>
      <c r="K947">
        <f>I947+J947</f>
        <v/>
      </c>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c r="CL947" s="59" t="n"/>
      <c r="CM947" s="59" t="n"/>
      <c r="CN947" s="59" t="n"/>
    </row>
    <row r="948" ht="15" customFormat="1" customHeight="1" s="3">
      <c r="A948">
        <f>A947+1</f>
        <v/>
      </c>
      <c r="I948" s="20" t="n"/>
      <c r="K948">
        <f>I948+J948</f>
        <v/>
      </c>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c r="CL948" s="59" t="n"/>
      <c r="CM948" s="59" t="n"/>
      <c r="CN948" s="59" t="n"/>
    </row>
    <row r="949" ht="15" customFormat="1" customHeight="1" s="3">
      <c r="A949">
        <f>A948+1</f>
        <v/>
      </c>
      <c r="I949" s="20" t="n"/>
      <c r="K949">
        <f>I949+J949</f>
        <v/>
      </c>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c r="CL949" s="59" t="n"/>
      <c r="CM949" s="59" t="n"/>
      <c r="CN949" s="59" t="n"/>
    </row>
    <row r="950" ht="15" customFormat="1" customHeight="1" s="3">
      <c r="A950">
        <f>A949+1</f>
        <v/>
      </c>
      <c r="I950" s="20" t="n"/>
      <c r="K950">
        <f>I950+J950</f>
        <v/>
      </c>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c r="CL950" s="59" t="n"/>
      <c r="CM950" s="59" t="n"/>
      <c r="CN950" s="59" t="n"/>
    </row>
    <row r="951" ht="15" customFormat="1" customHeight="1" s="3">
      <c r="A951">
        <f>A950+1</f>
        <v/>
      </c>
      <c r="I951" s="20" t="n"/>
      <c r="K951">
        <f>I951+J951</f>
        <v/>
      </c>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c r="CL951" s="59" t="n"/>
      <c r="CM951" s="59" t="n"/>
      <c r="CN951" s="59" t="n"/>
    </row>
    <row r="952" ht="15" customFormat="1" customHeight="1" s="3">
      <c r="A952">
        <f>A951+1</f>
        <v/>
      </c>
      <c r="I952" s="20" t="n"/>
      <c r="K952">
        <f>I952+J952</f>
        <v/>
      </c>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c r="CL952" s="59" t="n"/>
      <c r="CM952" s="59" t="n"/>
      <c r="CN952" s="59" t="n"/>
    </row>
    <row r="953" ht="15" customFormat="1" customHeight="1" s="3">
      <c r="A953">
        <f>A952+1</f>
        <v/>
      </c>
      <c r="I953" s="20" t="n"/>
      <c r="K953">
        <f>I953+J953</f>
        <v/>
      </c>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c r="CL953" s="59" t="n"/>
      <c r="CM953" s="59" t="n"/>
      <c r="CN953" s="59" t="n"/>
    </row>
    <row r="954" ht="15" customFormat="1" customHeight="1" s="3">
      <c r="A954">
        <f>A953+1</f>
        <v/>
      </c>
      <c r="I954" s="20" t="n"/>
      <c r="K954">
        <f>I954+J954</f>
        <v/>
      </c>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c r="CL954" s="59" t="n"/>
      <c r="CM954" s="59" t="n"/>
      <c r="CN954" s="59" t="n"/>
    </row>
    <row r="955" ht="15" customFormat="1" customHeight="1" s="3">
      <c r="A955">
        <f>A954+1</f>
        <v/>
      </c>
      <c r="I955" s="20" t="n"/>
      <c r="K955">
        <f>I955+J955</f>
        <v/>
      </c>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c r="CL955" s="59" t="n"/>
      <c r="CM955" s="59" t="n"/>
      <c r="CN955" s="59" t="n"/>
    </row>
    <row r="956" ht="15" customFormat="1" customHeight="1" s="3">
      <c r="A956">
        <f>A955+1</f>
        <v/>
      </c>
      <c r="I956" s="20" t="n"/>
      <c r="K956">
        <f>I956+J956</f>
        <v/>
      </c>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c r="CL956" s="59" t="n"/>
      <c r="CM956" s="59" t="n"/>
      <c r="CN956" s="59" t="n"/>
    </row>
    <row r="957" ht="15" customFormat="1" customHeight="1" s="3">
      <c r="A957">
        <f>A956+1</f>
        <v/>
      </c>
      <c r="I957" s="20" t="n"/>
      <c r="K957">
        <f>I957+J957</f>
        <v/>
      </c>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c r="CL957" s="59" t="n"/>
      <c r="CM957" s="59" t="n"/>
      <c r="CN957" s="59" t="n"/>
    </row>
    <row r="958" ht="15" customFormat="1" customHeight="1" s="3">
      <c r="A958">
        <f>A957+1</f>
        <v/>
      </c>
      <c r="I958" s="20" t="n"/>
      <c r="K958">
        <f>I958+J958</f>
        <v/>
      </c>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c r="CL958" s="59" t="n"/>
      <c r="CM958" s="59" t="n"/>
      <c r="CN958" s="59" t="n"/>
    </row>
    <row r="959" ht="15" customFormat="1" customHeight="1" s="3">
      <c r="A959">
        <f>A958+1</f>
        <v/>
      </c>
      <c r="I959" s="20" t="n"/>
      <c r="K959">
        <f>I959+J959</f>
        <v/>
      </c>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c r="CL959" s="59" t="n"/>
      <c r="CM959" s="59" t="n"/>
      <c r="CN959" s="59" t="n"/>
    </row>
    <row r="960" ht="15" customFormat="1" customHeight="1" s="3">
      <c r="A960">
        <f>A959+1</f>
        <v/>
      </c>
      <c r="I960" s="20" t="n"/>
      <c r="K960">
        <f>I960+J960</f>
        <v/>
      </c>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c r="CL960" s="59" t="n"/>
      <c r="CM960" s="59" t="n"/>
      <c r="CN960" s="59" t="n"/>
    </row>
    <row r="961" ht="15" customFormat="1" customHeight="1" s="3">
      <c r="A961">
        <f>A960+1</f>
        <v/>
      </c>
      <c r="I961" s="20" t="n"/>
      <c r="K961">
        <f>I961+J961</f>
        <v/>
      </c>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c r="CL961" s="59" t="n"/>
      <c r="CM961" s="59" t="n"/>
      <c r="CN961" s="59" t="n"/>
    </row>
    <row r="962" ht="15" customFormat="1" customHeight="1" s="3">
      <c r="A962">
        <f>A961+1</f>
        <v/>
      </c>
      <c r="I962" s="20" t="n"/>
      <c r="K962">
        <f>I962+J962</f>
        <v/>
      </c>
      <c r="X962" s="59" t="n"/>
      <c r="Y962" s="59" t="n"/>
      <c r="Z962" s="59" t="n"/>
      <c r="AA962" s="59" t="n"/>
      <c r="AB962" s="59" t="n"/>
      <c r="AC962" s="59" t="n"/>
      <c r="AD962" s="59" t="n"/>
      <c r="AE962" s="59" t="n"/>
      <c r="AF962" s="59" t="n"/>
      <c r="AG962" s="59" t="n"/>
      <c r="AH962" s="59" t="n"/>
      <c r="AI962" s="59" t="n"/>
      <c r="AJ962" s="59" t="n"/>
      <c r="AK962" s="59" t="n"/>
      <c r="AL962" s="59" t="n"/>
      <c r="AM962" s="59" t="n"/>
      <c r="AN962" s="59" t="n"/>
      <c r="AO962" s="59" t="n"/>
      <c r="AP962" s="59" t="n"/>
      <c r="AQ962" s="59" t="n"/>
      <c r="AR962" s="59" t="n"/>
      <c r="AS962" s="59" t="n"/>
      <c r="AT962" s="59" t="n"/>
      <c r="AU962" s="59" t="n"/>
      <c r="AV962" s="59" t="n"/>
      <c r="AW962" s="59" t="n"/>
      <c r="AX962" s="59" t="n"/>
      <c r="AY962" s="59" t="n"/>
      <c r="AZ962" s="59" t="n"/>
      <c r="BA962" s="59" t="n"/>
      <c r="BB962" s="59" t="n"/>
      <c r="BC962" s="59" t="n"/>
      <c r="BD962" s="59" t="n"/>
      <c r="BE962" s="59" t="n"/>
      <c r="BF962" s="59" t="n"/>
      <c r="BG962" s="59" t="n"/>
      <c r="BH962" s="59" t="n"/>
      <c r="BI962" s="59" t="n"/>
      <c r="BJ962" s="59" t="n"/>
      <c r="BK962" s="59" t="n"/>
      <c r="BL962" s="59" t="n"/>
      <c r="BM962" s="59" t="n"/>
      <c r="BN962" s="59" t="n"/>
      <c r="BO962" s="59" t="n"/>
      <c r="BP962" s="59" t="n"/>
      <c r="BQ962" s="59" t="n"/>
      <c r="BR962" s="59" t="n"/>
      <c r="BS962" s="59" t="n"/>
      <c r="BT962" s="59" t="n"/>
      <c r="BU962" s="59" t="n"/>
      <c r="BV962" s="59" t="n"/>
      <c r="BW962" s="59" t="n"/>
      <c r="BX962" s="59" t="n"/>
      <c r="BY962" s="59" t="n"/>
      <c r="BZ962" s="59" t="n"/>
      <c r="CA962" s="59" t="n"/>
      <c r="CB962" s="59" t="n"/>
      <c r="CC962" s="59" t="n"/>
      <c r="CD962" s="59" t="n"/>
      <c r="CE962" s="59" t="n"/>
      <c r="CF962" s="59" t="n"/>
      <c r="CG962" s="59" t="n"/>
      <c r="CH962" s="59" t="n"/>
      <c r="CI962" s="59" t="n"/>
      <c r="CJ962" s="59" t="n"/>
      <c r="CK962" s="59" t="n"/>
      <c r="CL962" s="59" t="n"/>
      <c r="CM962" s="59" t="n"/>
      <c r="CN962" s="59" t="n"/>
    </row>
    <row r="963" ht="15" customFormat="1" customHeight="1" s="3">
      <c r="A963">
        <f>A962+1</f>
        <v/>
      </c>
      <c r="I963" s="20" t="n"/>
      <c r="K963">
        <f>I963+J963</f>
        <v/>
      </c>
      <c r="X963" s="59" t="n"/>
      <c r="Y963" s="59" t="n"/>
      <c r="Z963" s="59" t="n"/>
      <c r="AA963" s="59" t="n"/>
      <c r="AB963" s="59" t="n"/>
      <c r="AC963" s="59" t="n"/>
      <c r="AD963" s="59" t="n"/>
      <c r="AE963" s="59" t="n"/>
      <c r="AF963" s="59" t="n"/>
      <c r="AG963" s="59" t="n"/>
      <c r="AH963" s="59" t="n"/>
      <c r="AI963" s="59" t="n"/>
      <c r="AJ963" s="59" t="n"/>
      <c r="AK963" s="59" t="n"/>
      <c r="AL963" s="59" t="n"/>
      <c r="AM963" s="59" t="n"/>
      <c r="AN963" s="59" t="n"/>
      <c r="AO963" s="59" t="n"/>
      <c r="AP963" s="59" t="n"/>
      <c r="AQ963" s="59" t="n"/>
      <c r="AR963" s="59" t="n"/>
      <c r="AS963" s="59" t="n"/>
      <c r="AT963" s="59" t="n"/>
      <c r="AU963" s="59" t="n"/>
      <c r="AV963" s="59" t="n"/>
      <c r="AW963" s="59" t="n"/>
      <c r="AX963" s="59" t="n"/>
      <c r="AY963" s="59" t="n"/>
      <c r="AZ963" s="59" t="n"/>
      <c r="BA963" s="59" t="n"/>
      <c r="BB963" s="59" t="n"/>
      <c r="BC963" s="59" t="n"/>
      <c r="BD963" s="59" t="n"/>
      <c r="BE963" s="59" t="n"/>
      <c r="BF963" s="59" t="n"/>
      <c r="BG963" s="59" t="n"/>
      <c r="BH963" s="59" t="n"/>
      <c r="BI963" s="59" t="n"/>
      <c r="BJ963" s="59" t="n"/>
      <c r="BK963" s="59" t="n"/>
      <c r="BL963" s="59" t="n"/>
      <c r="BM963" s="59" t="n"/>
      <c r="BN963" s="59" t="n"/>
      <c r="BO963" s="59" t="n"/>
      <c r="BP963" s="59" t="n"/>
      <c r="BQ963" s="59" t="n"/>
      <c r="BR963" s="59" t="n"/>
      <c r="BS963" s="59" t="n"/>
      <c r="BT963" s="59" t="n"/>
      <c r="BU963" s="59" t="n"/>
      <c r="BV963" s="59" t="n"/>
      <c r="BW963" s="59" t="n"/>
      <c r="BX963" s="59" t="n"/>
      <c r="BY963" s="59" t="n"/>
      <c r="BZ963" s="59" t="n"/>
      <c r="CA963" s="59" t="n"/>
      <c r="CB963" s="59" t="n"/>
      <c r="CC963" s="59" t="n"/>
      <c r="CD963" s="59" t="n"/>
      <c r="CE963" s="59" t="n"/>
      <c r="CF963" s="59" t="n"/>
      <c r="CG963" s="59" t="n"/>
      <c r="CH963" s="59" t="n"/>
      <c r="CI963" s="59" t="n"/>
      <c r="CJ963" s="59" t="n"/>
      <c r="CK963" s="59" t="n"/>
      <c r="CL963" s="59" t="n"/>
      <c r="CM963" s="59" t="n"/>
      <c r="CN963" s="59" t="n"/>
    </row>
    <row r="964" ht="15" customFormat="1" customHeight="1" s="3">
      <c r="A964">
        <f>A963+1</f>
        <v/>
      </c>
      <c r="I964" s="20" t="n"/>
      <c r="K964">
        <f>I964+J964</f>
        <v/>
      </c>
      <c r="X964" s="59" t="n"/>
      <c r="Y964" s="59" t="n"/>
      <c r="Z964" s="59" t="n"/>
      <c r="AA964" s="59" t="n"/>
      <c r="AB964" s="59" t="n"/>
      <c r="AC964" s="59" t="n"/>
      <c r="AD964" s="59" t="n"/>
      <c r="AE964" s="59" t="n"/>
      <c r="AF964" s="59" t="n"/>
      <c r="AG964" s="59" t="n"/>
      <c r="AH964" s="59" t="n"/>
      <c r="AI964" s="59" t="n"/>
      <c r="AJ964" s="59" t="n"/>
      <c r="AK964" s="59" t="n"/>
      <c r="AL964" s="59" t="n"/>
      <c r="AM964" s="59" t="n"/>
      <c r="AN964" s="59" t="n"/>
      <c r="AO964" s="59" t="n"/>
      <c r="AP964" s="59" t="n"/>
      <c r="AQ964" s="59" t="n"/>
      <c r="AR964" s="59" t="n"/>
      <c r="AS964" s="59" t="n"/>
      <c r="AT964" s="59" t="n"/>
      <c r="AU964" s="59" t="n"/>
      <c r="AV964" s="59" t="n"/>
      <c r="AW964" s="59" t="n"/>
      <c r="AX964" s="59" t="n"/>
      <c r="AY964" s="59" t="n"/>
      <c r="AZ964" s="59" t="n"/>
      <c r="BA964" s="59" t="n"/>
      <c r="BB964" s="59" t="n"/>
      <c r="BC964" s="59" t="n"/>
      <c r="BD964" s="59" t="n"/>
      <c r="BE964" s="59" t="n"/>
      <c r="BF964" s="59" t="n"/>
      <c r="BG964" s="59" t="n"/>
      <c r="BH964" s="59" t="n"/>
      <c r="BI964" s="59" t="n"/>
      <c r="BJ964" s="59" t="n"/>
      <c r="BK964" s="59" t="n"/>
      <c r="BL964" s="59" t="n"/>
      <c r="BM964" s="59" t="n"/>
      <c r="BN964" s="59" t="n"/>
      <c r="BO964" s="59" t="n"/>
      <c r="BP964" s="59" t="n"/>
      <c r="BQ964" s="59" t="n"/>
      <c r="BR964" s="59" t="n"/>
      <c r="BS964" s="59" t="n"/>
      <c r="BT964" s="59" t="n"/>
      <c r="BU964" s="59" t="n"/>
      <c r="BV964" s="59" t="n"/>
      <c r="BW964" s="59" t="n"/>
      <c r="BX964" s="59" t="n"/>
      <c r="BY964" s="59" t="n"/>
      <c r="BZ964" s="59" t="n"/>
      <c r="CA964" s="59" t="n"/>
      <c r="CB964" s="59" t="n"/>
      <c r="CC964" s="59" t="n"/>
      <c r="CD964" s="59" t="n"/>
      <c r="CE964" s="59" t="n"/>
      <c r="CF964" s="59" t="n"/>
      <c r="CG964" s="59" t="n"/>
      <c r="CH964" s="59" t="n"/>
      <c r="CI964" s="59" t="n"/>
      <c r="CJ964" s="59" t="n"/>
      <c r="CK964" s="59" t="n"/>
      <c r="CL964" s="59" t="n"/>
      <c r="CM964" s="59" t="n"/>
      <c r="CN964" s="59" t="n"/>
    </row>
    <row r="965" ht="15" customFormat="1" customHeight="1" s="3">
      <c r="A965">
        <f>A964+1</f>
        <v/>
      </c>
      <c r="I965" s="20" t="n"/>
      <c r="K965">
        <f>I965+J965</f>
        <v/>
      </c>
      <c r="X965" s="59" t="n"/>
      <c r="Y965" s="59" t="n"/>
      <c r="Z965" s="59" t="n"/>
      <c r="AA965" s="59" t="n"/>
      <c r="AB965" s="59" t="n"/>
      <c r="AC965" s="59" t="n"/>
      <c r="AD965" s="59" t="n"/>
      <c r="AE965" s="59" t="n"/>
      <c r="AF965" s="59" t="n"/>
      <c r="AG965" s="59" t="n"/>
      <c r="AH965" s="59" t="n"/>
      <c r="AI965" s="59" t="n"/>
      <c r="AJ965" s="59" t="n"/>
      <c r="AK965" s="59" t="n"/>
      <c r="AL965" s="59" t="n"/>
      <c r="AM965" s="59" t="n"/>
      <c r="AN965" s="59" t="n"/>
      <c r="AO965" s="59" t="n"/>
      <c r="AP965" s="59" t="n"/>
      <c r="AQ965" s="59" t="n"/>
      <c r="AR965" s="59" t="n"/>
      <c r="AS965" s="59" t="n"/>
      <c r="AT965" s="59" t="n"/>
      <c r="AU965" s="59" t="n"/>
      <c r="AV965" s="59" t="n"/>
      <c r="AW965" s="59" t="n"/>
      <c r="AX965" s="59" t="n"/>
      <c r="AY965" s="59" t="n"/>
      <c r="AZ965" s="59" t="n"/>
      <c r="BA965" s="59" t="n"/>
      <c r="BB965" s="59" t="n"/>
      <c r="BC965" s="59" t="n"/>
      <c r="BD965" s="59" t="n"/>
      <c r="BE965" s="59" t="n"/>
      <c r="BF965" s="59" t="n"/>
      <c r="BG965" s="59" t="n"/>
      <c r="BH965" s="59" t="n"/>
      <c r="BI965" s="59" t="n"/>
      <c r="BJ965" s="59" t="n"/>
      <c r="BK965" s="59" t="n"/>
      <c r="BL965" s="59" t="n"/>
      <c r="BM965" s="59" t="n"/>
      <c r="BN965" s="59" t="n"/>
      <c r="BO965" s="59" t="n"/>
      <c r="BP965" s="59" t="n"/>
      <c r="BQ965" s="59" t="n"/>
      <c r="BR965" s="59" t="n"/>
      <c r="BS965" s="59" t="n"/>
      <c r="BT965" s="59" t="n"/>
      <c r="BU965" s="59" t="n"/>
      <c r="BV965" s="59" t="n"/>
      <c r="BW965" s="59" t="n"/>
      <c r="BX965" s="59" t="n"/>
      <c r="BY965" s="59" t="n"/>
      <c r="BZ965" s="59" t="n"/>
      <c r="CA965" s="59" t="n"/>
      <c r="CB965" s="59" t="n"/>
      <c r="CC965" s="59" t="n"/>
      <c r="CD965" s="59" t="n"/>
      <c r="CE965" s="59" t="n"/>
      <c r="CF965" s="59" t="n"/>
      <c r="CG965" s="59" t="n"/>
      <c r="CH965" s="59" t="n"/>
      <c r="CI965" s="59" t="n"/>
      <c r="CJ965" s="59" t="n"/>
      <c r="CK965" s="59" t="n"/>
      <c r="CL965" s="59" t="n"/>
      <c r="CM965" s="59" t="n"/>
      <c r="CN965" s="59" t="n"/>
    </row>
    <row r="966" ht="15" customFormat="1" customHeight="1" s="3">
      <c r="A966">
        <f>A965+1</f>
        <v/>
      </c>
      <c r="I966" s="20" t="n"/>
      <c r="K966">
        <f>I966+J966</f>
        <v/>
      </c>
      <c r="X966" s="59" t="n"/>
      <c r="Y966" s="59" t="n"/>
      <c r="Z966" s="59" t="n"/>
      <c r="AA966" s="59" t="n"/>
      <c r="AB966" s="59" t="n"/>
      <c r="AC966" s="59" t="n"/>
      <c r="AD966" s="59" t="n"/>
      <c r="AE966" s="59" t="n"/>
      <c r="AF966" s="59" t="n"/>
      <c r="AG966" s="59" t="n"/>
      <c r="AH966" s="59" t="n"/>
      <c r="AI966" s="59" t="n"/>
      <c r="AJ966" s="59" t="n"/>
      <c r="AK966" s="59" t="n"/>
      <c r="AL966" s="59" t="n"/>
      <c r="AM966" s="59" t="n"/>
      <c r="AN966" s="59" t="n"/>
      <c r="AO966" s="59" t="n"/>
      <c r="AP966" s="59" t="n"/>
      <c r="AQ966" s="59" t="n"/>
      <c r="AR966" s="59" t="n"/>
      <c r="AS966" s="59" t="n"/>
      <c r="AT966" s="59" t="n"/>
      <c r="AU966" s="59" t="n"/>
      <c r="AV966" s="59" t="n"/>
      <c r="AW966" s="59" t="n"/>
      <c r="AX966" s="59" t="n"/>
      <c r="AY966" s="59" t="n"/>
      <c r="AZ966" s="59" t="n"/>
      <c r="BA966" s="59" t="n"/>
      <c r="BB966" s="59" t="n"/>
      <c r="BC966" s="59" t="n"/>
      <c r="BD966" s="59" t="n"/>
      <c r="BE966" s="59" t="n"/>
      <c r="BF966" s="59" t="n"/>
      <c r="BG966" s="59" t="n"/>
      <c r="BH966" s="59" t="n"/>
      <c r="BI966" s="59" t="n"/>
      <c r="BJ966" s="59" t="n"/>
      <c r="BK966" s="59" t="n"/>
      <c r="BL966" s="59" t="n"/>
      <c r="BM966" s="59" t="n"/>
      <c r="BN966" s="59" t="n"/>
      <c r="BO966" s="59" t="n"/>
      <c r="BP966" s="59" t="n"/>
      <c r="BQ966" s="59" t="n"/>
      <c r="BR966" s="59" t="n"/>
      <c r="BS966" s="59" t="n"/>
      <c r="BT966" s="59" t="n"/>
      <c r="BU966" s="59" t="n"/>
      <c r="BV966" s="59" t="n"/>
      <c r="BW966" s="59" t="n"/>
      <c r="BX966" s="59" t="n"/>
      <c r="BY966" s="59" t="n"/>
      <c r="BZ966" s="59" t="n"/>
      <c r="CA966" s="59" t="n"/>
      <c r="CB966" s="59" t="n"/>
      <c r="CC966" s="59" t="n"/>
      <c r="CD966" s="59" t="n"/>
      <c r="CE966" s="59" t="n"/>
      <c r="CF966" s="59" t="n"/>
      <c r="CG966" s="59" t="n"/>
      <c r="CH966" s="59" t="n"/>
      <c r="CI966" s="59" t="n"/>
      <c r="CJ966" s="59" t="n"/>
      <c r="CK966" s="59" t="n"/>
      <c r="CL966" s="59" t="n"/>
      <c r="CM966" s="59" t="n"/>
      <c r="CN966" s="59" t="n"/>
    </row>
    <row r="967" ht="15" customFormat="1" customHeight="1" s="3">
      <c r="A967">
        <f>A966+1</f>
        <v/>
      </c>
      <c r="I967" s="20" t="n"/>
      <c r="K967">
        <f>I967+J967</f>
        <v/>
      </c>
      <c r="X967" s="59" t="n"/>
      <c r="Y967" s="59" t="n"/>
      <c r="Z967" s="59" t="n"/>
      <c r="AA967" s="59" t="n"/>
      <c r="AB967" s="59" t="n"/>
      <c r="AC967" s="59" t="n"/>
      <c r="AD967" s="59" t="n"/>
      <c r="AE967" s="59" t="n"/>
      <c r="AF967" s="59" t="n"/>
      <c r="AG967" s="59" t="n"/>
      <c r="AH967" s="59" t="n"/>
      <c r="AI967" s="59" t="n"/>
      <c r="AJ967" s="59" t="n"/>
      <c r="AK967" s="59" t="n"/>
      <c r="AL967" s="59" t="n"/>
      <c r="AM967" s="59" t="n"/>
      <c r="AN967" s="59" t="n"/>
      <c r="AO967" s="59" t="n"/>
      <c r="AP967" s="59" t="n"/>
      <c r="AQ967" s="59" t="n"/>
      <c r="AR967" s="59" t="n"/>
      <c r="AS967" s="59" t="n"/>
      <c r="AT967" s="59" t="n"/>
      <c r="AU967" s="59" t="n"/>
      <c r="AV967" s="59" t="n"/>
      <c r="AW967" s="59" t="n"/>
      <c r="AX967" s="59" t="n"/>
      <c r="AY967" s="59" t="n"/>
      <c r="AZ967" s="59" t="n"/>
      <c r="BA967" s="59" t="n"/>
      <c r="BB967" s="59" t="n"/>
      <c r="BC967" s="59" t="n"/>
      <c r="BD967" s="59" t="n"/>
      <c r="BE967" s="59" t="n"/>
      <c r="BF967" s="59" t="n"/>
      <c r="BG967" s="59" t="n"/>
      <c r="BH967" s="59" t="n"/>
      <c r="BI967" s="59" t="n"/>
      <c r="BJ967" s="59" t="n"/>
      <c r="BK967" s="59" t="n"/>
      <c r="BL967" s="59" t="n"/>
      <c r="BM967" s="59" t="n"/>
      <c r="BN967" s="59" t="n"/>
      <c r="BO967" s="59" t="n"/>
      <c r="BP967" s="59" t="n"/>
      <c r="BQ967" s="59" t="n"/>
      <c r="BR967" s="59" t="n"/>
      <c r="BS967" s="59" t="n"/>
      <c r="BT967" s="59" t="n"/>
      <c r="BU967" s="59" t="n"/>
      <c r="BV967" s="59" t="n"/>
      <c r="BW967" s="59" t="n"/>
      <c r="BX967" s="59" t="n"/>
      <c r="BY967" s="59" t="n"/>
      <c r="BZ967" s="59" t="n"/>
      <c r="CA967" s="59" t="n"/>
      <c r="CB967" s="59" t="n"/>
      <c r="CC967" s="59" t="n"/>
      <c r="CD967" s="59" t="n"/>
      <c r="CE967" s="59" t="n"/>
      <c r="CF967" s="59" t="n"/>
      <c r="CG967" s="59" t="n"/>
      <c r="CH967" s="59" t="n"/>
      <c r="CI967" s="59" t="n"/>
      <c r="CJ967" s="59" t="n"/>
      <c r="CK967" s="59" t="n"/>
      <c r="CL967" s="59" t="n"/>
      <c r="CM967" s="59" t="n"/>
      <c r="CN967" s="59" t="n"/>
    </row>
    <row r="968" ht="15" customFormat="1" customHeight="1" s="3">
      <c r="A968">
        <f>A967+1</f>
        <v/>
      </c>
      <c r="I968" s="20" t="n"/>
      <c r="K968">
        <f>I968+J968</f>
        <v/>
      </c>
      <c r="X968" s="59" t="n"/>
      <c r="Y968" s="59" t="n"/>
      <c r="Z968" s="59" t="n"/>
      <c r="AA968" s="59" t="n"/>
      <c r="AB968" s="59" t="n"/>
      <c r="AC968" s="59" t="n"/>
      <c r="AD968" s="59" t="n"/>
      <c r="AE968" s="59" t="n"/>
      <c r="AF968" s="59" t="n"/>
      <c r="AG968" s="59" t="n"/>
      <c r="AH968" s="59" t="n"/>
      <c r="AI968" s="59" t="n"/>
      <c r="AJ968" s="59" t="n"/>
      <c r="AK968" s="59" t="n"/>
      <c r="AL968" s="59" t="n"/>
      <c r="AM968" s="59" t="n"/>
      <c r="AN968" s="59" t="n"/>
      <c r="AO968" s="59" t="n"/>
      <c r="AP968" s="59" t="n"/>
      <c r="AQ968" s="59" t="n"/>
      <c r="AR968" s="59" t="n"/>
      <c r="AS968" s="59" t="n"/>
      <c r="AT968" s="59" t="n"/>
      <c r="AU968" s="59" t="n"/>
      <c r="AV968" s="59" t="n"/>
      <c r="AW968" s="59" t="n"/>
      <c r="AX968" s="59" t="n"/>
      <c r="AY968" s="59" t="n"/>
      <c r="AZ968" s="59" t="n"/>
      <c r="BA968" s="59" t="n"/>
      <c r="BB968" s="59" t="n"/>
      <c r="BC968" s="59" t="n"/>
      <c r="BD968" s="59" t="n"/>
      <c r="BE968" s="59" t="n"/>
      <c r="BF968" s="59" t="n"/>
      <c r="BG968" s="59" t="n"/>
      <c r="BH968" s="59" t="n"/>
      <c r="BI968" s="59" t="n"/>
      <c r="BJ968" s="59" t="n"/>
      <c r="BK968" s="59" t="n"/>
      <c r="BL968" s="59" t="n"/>
      <c r="BM968" s="59" t="n"/>
      <c r="BN968" s="59" t="n"/>
      <c r="BO968" s="59" t="n"/>
      <c r="BP968" s="59" t="n"/>
      <c r="BQ968" s="59" t="n"/>
      <c r="BR968" s="59" t="n"/>
      <c r="BS968" s="59" t="n"/>
      <c r="BT968" s="59" t="n"/>
      <c r="BU968" s="59" t="n"/>
      <c r="BV968" s="59" t="n"/>
      <c r="BW968" s="59" t="n"/>
      <c r="BX968" s="59" t="n"/>
      <c r="BY968" s="59" t="n"/>
      <c r="BZ968" s="59" t="n"/>
      <c r="CA968" s="59" t="n"/>
      <c r="CB968" s="59" t="n"/>
      <c r="CC968" s="59" t="n"/>
      <c r="CD968" s="59" t="n"/>
      <c r="CE968" s="59" t="n"/>
      <c r="CF968" s="59" t="n"/>
      <c r="CG968" s="59" t="n"/>
      <c r="CH968" s="59" t="n"/>
      <c r="CI968" s="59" t="n"/>
      <c r="CJ968" s="59" t="n"/>
      <c r="CK968" s="59" t="n"/>
      <c r="CL968" s="59" t="n"/>
      <c r="CM968" s="59" t="n"/>
      <c r="CN968" s="59" t="n"/>
    </row>
    <row r="969" ht="15" customFormat="1" customHeight="1" s="3">
      <c r="A969">
        <f>A968+1</f>
        <v/>
      </c>
      <c r="I969" s="20" t="n"/>
      <c r="K969">
        <f>I969+J969</f>
        <v/>
      </c>
      <c r="X969" s="59" t="n"/>
      <c r="Y969" s="59" t="n"/>
      <c r="Z969" s="59" t="n"/>
      <c r="AA969" s="59" t="n"/>
      <c r="AB969" s="59" t="n"/>
      <c r="AC969" s="59" t="n"/>
      <c r="AD969" s="59" t="n"/>
      <c r="AE969" s="59" t="n"/>
      <c r="AF969" s="59" t="n"/>
      <c r="AG969" s="59" t="n"/>
      <c r="AH969" s="59" t="n"/>
      <c r="AI969" s="59" t="n"/>
      <c r="AJ969" s="59" t="n"/>
      <c r="AK969" s="59" t="n"/>
      <c r="AL969" s="59" t="n"/>
      <c r="AM969" s="59" t="n"/>
      <c r="AN969" s="59" t="n"/>
      <c r="AO969" s="59" t="n"/>
      <c r="AP969" s="59" t="n"/>
      <c r="AQ969" s="59" t="n"/>
      <c r="AR969" s="59" t="n"/>
      <c r="AS969" s="59" t="n"/>
      <c r="AT969" s="59" t="n"/>
      <c r="AU969" s="59" t="n"/>
      <c r="AV969" s="59" t="n"/>
      <c r="AW969" s="59" t="n"/>
      <c r="AX969" s="59" t="n"/>
      <c r="AY969" s="59" t="n"/>
      <c r="AZ969" s="59" t="n"/>
      <c r="BA969" s="59" t="n"/>
      <c r="BB969" s="59" t="n"/>
      <c r="BC969" s="59" t="n"/>
      <c r="BD969" s="59" t="n"/>
      <c r="BE969" s="59" t="n"/>
      <c r="BF969" s="59" t="n"/>
      <c r="BG969" s="59" t="n"/>
      <c r="BH969" s="59" t="n"/>
      <c r="BI969" s="59" t="n"/>
      <c r="BJ969" s="59" t="n"/>
      <c r="BK969" s="59" t="n"/>
      <c r="BL969" s="59" t="n"/>
      <c r="BM969" s="59" t="n"/>
      <c r="BN969" s="59" t="n"/>
      <c r="BO969" s="59" t="n"/>
      <c r="BP969" s="59" t="n"/>
      <c r="BQ969" s="59" t="n"/>
      <c r="BR969" s="59" t="n"/>
      <c r="BS969" s="59" t="n"/>
      <c r="BT969" s="59" t="n"/>
      <c r="BU969" s="59" t="n"/>
      <c r="BV969" s="59" t="n"/>
      <c r="BW969" s="59" t="n"/>
      <c r="BX969" s="59" t="n"/>
      <c r="BY969" s="59" t="n"/>
      <c r="BZ969" s="59" t="n"/>
      <c r="CA969" s="59" t="n"/>
      <c r="CB969" s="59" t="n"/>
      <c r="CC969" s="59" t="n"/>
      <c r="CD969" s="59" t="n"/>
      <c r="CE969" s="59" t="n"/>
      <c r="CF969" s="59" t="n"/>
      <c r="CG969" s="59" t="n"/>
      <c r="CH969" s="59" t="n"/>
      <c r="CI969" s="59" t="n"/>
      <c r="CJ969" s="59" t="n"/>
      <c r="CK969" s="59" t="n"/>
      <c r="CL969" s="59" t="n"/>
      <c r="CM969" s="59" t="n"/>
      <c r="CN969" s="59" t="n"/>
    </row>
    <row r="970" ht="15" customFormat="1" customHeight="1" s="3">
      <c r="A970">
        <f>A969+1</f>
        <v/>
      </c>
      <c r="I970" s="20" t="n"/>
      <c r="K970">
        <f>I970+J970</f>
        <v/>
      </c>
      <c r="X970" s="59" t="n"/>
      <c r="Y970" s="59" t="n"/>
      <c r="Z970" s="59" t="n"/>
      <c r="AA970" s="59" t="n"/>
      <c r="AB970" s="59" t="n"/>
      <c r="AC970" s="59" t="n"/>
      <c r="AD970" s="59" t="n"/>
      <c r="AE970" s="59" t="n"/>
      <c r="AF970" s="59" t="n"/>
      <c r="AG970" s="59" t="n"/>
      <c r="AH970" s="59" t="n"/>
      <c r="AI970" s="59" t="n"/>
      <c r="AJ970" s="59" t="n"/>
      <c r="AK970" s="59" t="n"/>
      <c r="AL970" s="59" t="n"/>
      <c r="AM970" s="59" t="n"/>
      <c r="AN970" s="59" t="n"/>
      <c r="AO970" s="59" t="n"/>
      <c r="AP970" s="59" t="n"/>
      <c r="AQ970" s="59" t="n"/>
      <c r="AR970" s="59" t="n"/>
      <c r="AS970" s="59" t="n"/>
      <c r="AT970" s="59" t="n"/>
      <c r="AU970" s="59" t="n"/>
      <c r="AV970" s="59" t="n"/>
      <c r="AW970" s="59" t="n"/>
      <c r="AX970" s="59" t="n"/>
      <c r="AY970" s="59" t="n"/>
      <c r="AZ970" s="59" t="n"/>
      <c r="BA970" s="59" t="n"/>
      <c r="BB970" s="59" t="n"/>
      <c r="BC970" s="59" t="n"/>
      <c r="BD970" s="59" t="n"/>
      <c r="BE970" s="59" t="n"/>
      <c r="BF970" s="59" t="n"/>
      <c r="BG970" s="59" t="n"/>
      <c r="BH970" s="59" t="n"/>
      <c r="BI970" s="59" t="n"/>
      <c r="BJ970" s="59" t="n"/>
      <c r="BK970" s="59" t="n"/>
      <c r="BL970" s="59" t="n"/>
      <c r="BM970" s="59" t="n"/>
      <c r="BN970" s="59" t="n"/>
      <c r="BO970" s="59" t="n"/>
      <c r="BP970" s="59" t="n"/>
      <c r="BQ970" s="59" t="n"/>
      <c r="BR970" s="59" t="n"/>
      <c r="BS970" s="59" t="n"/>
      <c r="BT970" s="59" t="n"/>
      <c r="BU970" s="59" t="n"/>
      <c r="BV970" s="59" t="n"/>
      <c r="BW970" s="59" t="n"/>
      <c r="BX970" s="59" t="n"/>
      <c r="BY970" s="59" t="n"/>
      <c r="BZ970" s="59" t="n"/>
      <c r="CA970" s="59" t="n"/>
      <c r="CB970" s="59" t="n"/>
      <c r="CC970" s="59" t="n"/>
      <c r="CD970" s="59" t="n"/>
      <c r="CE970" s="59" t="n"/>
      <c r="CF970" s="59" t="n"/>
      <c r="CG970" s="59" t="n"/>
      <c r="CH970" s="59" t="n"/>
      <c r="CI970" s="59" t="n"/>
      <c r="CJ970" s="59" t="n"/>
      <c r="CK970" s="59" t="n"/>
      <c r="CL970" s="59" t="n"/>
      <c r="CM970" s="59" t="n"/>
      <c r="CN970" s="59" t="n"/>
    </row>
    <row r="971" ht="15" customFormat="1" customHeight="1" s="3">
      <c r="A971">
        <f>A970+1</f>
        <v/>
      </c>
      <c r="I971" s="20" t="n"/>
      <c r="K971">
        <f>I971+J971</f>
        <v/>
      </c>
      <c r="X971" s="59" t="n"/>
      <c r="Y971" s="59" t="n"/>
      <c r="Z971" s="59" t="n"/>
      <c r="AA971" s="59" t="n"/>
      <c r="AB971" s="59" t="n"/>
      <c r="AC971" s="59" t="n"/>
      <c r="AD971" s="59" t="n"/>
      <c r="AE971" s="59" t="n"/>
      <c r="AF971" s="59" t="n"/>
      <c r="AG971" s="59" t="n"/>
      <c r="AH971" s="59" t="n"/>
      <c r="AI971" s="59" t="n"/>
      <c r="AJ971" s="59" t="n"/>
      <c r="AK971" s="59" t="n"/>
      <c r="AL971" s="59" t="n"/>
      <c r="AM971" s="59" t="n"/>
      <c r="AN971" s="59" t="n"/>
      <c r="AO971" s="59" t="n"/>
      <c r="AP971" s="59" t="n"/>
      <c r="AQ971" s="59" t="n"/>
      <c r="AR971" s="59" t="n"/>
      <c r="AS971" s="59" t="n"/>
      <c r="AT971" s="59" t="n"/>
      <c r="AU971" s="59" t="n"/>
      <c r="AV971" s="59" t="n"/>
      <c r="AW971" s="59" t="n"/>
      <c r="AX971" s="59" t="n"/>
      <c r="AY971" s="59" t="n"/>
      <c r="AZ971" s="59" t="n"/>
      <c r="BA971" s="59" t="n"/>
      <c r="BB971" s="59" t="n"/>
      <c r="BC971" s="59" t="n"/>
      <c r="BD971" s="59" t="n"/>
      <c r="BE971" s="59" t="n"/>
      <c r="BF971" s="59" t="n"/>
      <c r="BG971" s="59" t="n"/>
      <c r="BH971" s="59" t="n"/>
      <c r="BI971" s="59" t="n"/>
      <c r="BJ971" s="59" t="n"/>
      <c r="BK971" s="59" t="n"/>
      <c r="BL971" s="59" t="n"/>
      <c r="BM971" s="59" t="n"/>
      <c r="BN971" s="59" t="n"/>
      <c r="BO971" s="59" t="n"/>
      <c r="BP971" s="59" t="n"/>
      <c r="BQ971" s="59" t="n"/>
      <c r="BR971" s="59" t="n"/>
      <c r="BS971" s="59" t="n"/>
      <c r="BT971" s="59" t="n"/>
      <c r="BU971" s="59" t="n"/>
      <c r="BV971" s="59" t="n"/>
      <c r="BW971" s="59" t="n"/>
      <c r="BX971" s="59" t="n"/>
      <c r="BY971" s="59" t="n"/>
      <c r="BZ971" s="59" t="n"/>
      <c r="CA971" s="59" t="n"/>
      <c r="CB971" s="59" t="n"/>
      <c r="CC971" s="59" t="n"/>
      <c r="CD971" s="59" t="n"/>
      <c r="CE971" s="59" t="n"/>
      <c r="CF971" s="59" t="n"/>
      <c r="CG971" s="59" t="n"/>
      <c r="CH971" s="59" t="n"/>
      <c r="CI971" s="59" t="n"/>
      <c r="CJ971" s="59" t="n"/>
      <c r="CK971" s="59" t="n"/>
      <c r="CL971" s="59" t="n"/>
      <c r="CM971" s="59" t="n"/>
      <c r="CN971" s="59" t="n"/>
    </row>
    <row r="972" ht="15" customFormat="1" customHeight="1" s="3">
      <c r="A972">
        <f>A971+1</f>
        <v/>
      </c>
      <c r="I972" s="20" t="n"/>
      <c r="K972">
        <f>I972+J972</f>
        <v/>
      </c>
      <c r="X972" s="59" t="n"/>
      <c r="Y972" s="59" t="n"/>
      <c r="Z972" s="59" t="n"/>
      <c r="AA972" s="59" t="n"/>
      <c r="AB972" s="59" t="n"/>
      <c r="AC972" s="59" t="n"/>
      <c r="AD972" s="59" t="n"/>
      <c r="AE972" s="59" t="n"/>
      <c r="AF972" s="59" t="n"/>
      <c r="AG972" s="59" t="n"/>
      <c r="AH972" s="59" t="n"/>
      <c r="AI972" s="59" t="n"/>
      <c r="AJ972" s="59" t="n"/>
      <c r="AK972" s="59" t="n"/>
      <c r="AL972" s="59" t="n"/>
      <c r="AM972" s="59" t="n"/>
      <c r="AN972" s="59" t="n"/>
      <c r="AO972" s="59" t="n"/>
      <c r="AP972" s="59" t="n"/>
      <c r="AQ972" s="59" t="n"/>
      <c r="AR972" s="59" t="n"/>
      <c r="AS972" s="59" t="n"/>
      <c r="AT972" s="59" t="n"/>
      <c r="AU972" s="59" t="n"/>
      <c r="AV972" s="59" t="n"/>
      <c r="AW972" s="59" t="n"/>
      <c r="AX972" s="59" t="n"/>
      <c r="AY972" s="59" t="n"/>
      <c r="AZ972" s="59" t="n"/>
      <c r="BA972" s="59" t="n"/>
      <c r="BB972" s="59" t="n"/>
      <c r="BC972" s="59" t="n"/>
      <c r="BD972" s="59" t="n"/>
      <c r="BE972" s="59" t="n"/>
      <c r="BF972" s="59" t="n"/>
      <c r="BG972" s="59" t="n"/>
      <c r="BH972" s="59" t="n"/>
      <c r="BI972" s="59" t="n"/>
      <c r="BJ972" s="59" t="n"/>
      <c r="BK972" s="59" t="n"/>
      <c r="BL972" s="59" t="n"/>
      <c r="BM972" s="59" t="n"/>
      <c r="BN972" s="59" t="n"/>
      <c r="BO972" s="59" t="n"/>
      <c r="BP972" s="59" t="n"/>
      <c r="BQ972" s="59" t="n"/>
      <c r="BR972" s="59" t="n"/>
      <c r="BS972" s="59" t="n"/>
      <c r="BT972" s="59" t="n"/>
      <c r="BU972" s="59" t="n"/>
      <c r="BV972" s="59" t="n"/>
      <c r="BW972" s="59" t="n"/>
      <c r="BX972" s="59" t="n"/>
      <c r="BY972" s="59" t="n"/>
      <c r="BZ972" s="59" t="n"/>
      <c r="CA972" s="59" t="n"/>
      <c r="CB972" s="59" t="n"/>
      <c r="CC972" s="59" t="n"/>
      <c r="CD972" s="59" t="n"/>
      <c r="CE972" s="59" t="n"/>
      <c r="CF972" s="59" t="n"/>
      <c r="CG972" s="59" t="n"/>
      <c r="CH972" s="59" t="n"/>
      <c r="CI972" s="59" t="n"/>
      <c r="CJ972" s="59" t="n"/>
      <c r="CK972" s="59" t="n"/>
      <c r="CL972" s="59" t="n"/>
      <c r="CM972" s="59" t="n"/>
      <c r="CN972" s="59" t="n"/>
    </row>
    <row r="973" ht="15" customFormat="1" customHeight="1" s="3">
      <c r="A973">
        <f>A972+1</f>
        <v/>
      </c>
      <c r="I973" s="20" t="n"/>
      <c r="K973">
        <f>I973+J973</f>
        <v/>
      </c>
      <c r="X973" s="59" t="n"/>
      <c r="Y973" s="59" t="n"/>
      <c r="Z973" s="59" t="n"/>
      <c r="AA973" s="59" t="n"/>
      <c r="AB973" s="59" t="n"/>
      <c r="AC973" s="59" t="n"/>
      <c r="AD973" s="59" t="n"/>
      <c r="AE973" s="59" t="n"/>
      <c r="AF973" s="59" t="n"/>
      <c r="AG973" s="59" t="n"/>
      <c r="AH973" s="59" t="n"/>
      <c r="AI973" s="59" t="n"/>
      <c r="AJ973" s="59" t="n"/>
      <c r="AK973" s="59" t="n"/>
      <c r="AL973" s="59" t="n"/>
      <c r="AM973" s="59" t="n"/>
      <c r="AN973" s="59" t="n"/>
      <c r="AO973" s="59" t="n"/>
      <c r="AP973" s="59" t="n"/>
      <c r="AQ973" s="59" t="n"/>
      <c r="AR973" s="59" t="n"/>
      <c r="AS973" s="59" t="n"/>
      <c r="AT973" s="59" t="n"/>
      <c r="AU973" s="59" t="n"/>
      <c r="AV973" s="59" t="n"/>
      <c r="AW973" s="59" t="n"/>
      <c r="AX973" s="59" t="n"/>
      <c r="AY973" s="59" t="n"/>
      <c r="AZ973" s="59" t="n"/>
      <c r="BA973" s="59" t="n"/>
      <c r="BB973" s="59" t="n"/>
      <c r="BC973" s="59" t="n"/>
      <c r="BD973" s="59" t="n"/>
      <c r="BE973" s="59" t="n"/>
      <c r="BF973" s="59" t="n"/>
      <c r="BG973" s="59" t="n"/>
      <c r="BH973" s="59" t="n"/>
      <c r="BI973" s="59" t="n"/>
      <c r="BJ973" s="59" t="n"/>
      <c r="BK973" s="59" t="n"/>
      <c r="BL973" s="59" t="n"/>
      <c r="BM973" s="59" t="n"/>
      <c r="BN973" s="59" t="n"/>
      <c r="BO973" s="59" t="n"/>
      <c r="BP973" s="59" t="n"/>
      <c r="BQ973" s="59" t="n"/>
      <c r="BR973" s="59" t="n"/>
      <c r="BS973" s="59" t="n"/>
      <c r="BT973" s="59" t="n"/>
      <c r="BU973" s="59" t="n"/>
      <c r="BV973" s="59" t="n"/>
      <c r="BW973" s="59" t="n"/>
      <c r="BX973" s="59" t="n"/>
      <c r="BY973" s="59" t="n"/>
      <c r="BZ973" s="59" t="n"/>
      <c r="CA973" s="59" t="n"/>
      <c r="CB973" s="59" t="n"/>
      <c r="CC973" s="59" t="n"/>
      <c r="CD973" s="59" t="n"/>
      <c r="CE973" s="59" t="n"/>
      <c r="CF973" s="59" t="n"/>
      <c r="CG973" s="59" t="n"/>
      <c r="CH973" s="59" t="n"/>
      <c r="CI973" s="59" t="n"/>
      <c r="CJ973" s="59" t="n"/>
      <c r="CK973" s="59" t="n"/>
      <c r="CL973" s="59" t="n"/>
      <c r="CM973" s="59" t="n"/>
      <c r="CN973" s="59" t="n"/>
    </row>
    <row r="974" ht="15" customFormat="1" customHeight="1" s="3">
      <c r="A974">
        <f>A973+1</f>
        <v/>
      </c>
      <c r="I974" s="20" t="n"/>
      <c r="K974">
        <f>I974+J974</f>
        <v/>
      </c>
      <c r="X974" s="59" t="n"/>
      <c r="Y974" s="59" t="n"/>
      <c r="Z974" s="59" t="n"/>
      <c r="AA974" s="59" t="n"/>
      <c r="AB974" s="59" t="n"/>
      <c r="AC974" s="59" t="n"/>
      <c r="AD974" s="59" t="n"/>
      <c r="AE974" s="59" t="n"/>
      <c r="AF974" s="59" t="n"/>
      <c r="AG974" s="59" t="n"/>
      <c r="AH974" s="59" t="n"/>
      <c r="AI974" s="59" t="n"/>
      <c r="AJ974" s="59" t="n"/>
      <c r="AK974" s="59" t="n"/>
      <c r="AL974" s="59" t="n"/>
      <c r="AM974" s="59" t="n"/>
      <c r="AN974" s="59" t="n"/>
      <c r="AO974" s="59" t="n"/>
      <c r="AP974" s="59" t="n"/>
      <c r="AQ974" s="59" t="n"/>
      <c r="AR974" s="59" t="n"/>
      <c r="AS974" s="59" t="n"/>
      <c r="AT974" s="59" t="n"/>
      <c r="AU974" s="59" t="n"/>
      <c r="AV974" s="59" t="n"/>
      <c r="AW974" s="59" t="n"/>
      <c r="AX974" s="59" t="n"/>
      <c r="AY974" s="59" t="n"/>
      <c r="AZ974" s="59" t="n"/>
      <c r="BA974" s="59" t="n"/>
      <c r="BB974" s="59" t="n"/>
      <c r="BC974" s="59" t="n"/>
      <c r="BD974" s="59" t="n"/>
      <c r="BE974" s="59" t="n"/>
      <c r="BF974" s="59" t="n"/>
      <c r="BG974" s="59" t="n"/>
      <c r="BH974" s="59" t="n"/>
      <c r="BI974" s="59" t="n"/>
      <c r="BJ974" s="59" t="n"/>
      <c r="BK974" s="59" t="n"/>
      <c r="BL974" s="59" t="n"/>
      <c r="BM974" s="59" t="n"/>
      <c r="BN974" s="59" t="n"/>
      <c r="BO974" s="59" t="n"/>
      <c r="BP974" s="59" t="n"/>
      <c r="BQ974" s="59" t="n"/>
      <c r="BR974" s="59" t="n"/>
      <c r="BS974" s="59" t="n"/>
      <c r="BT974" s="59" t="n"/>
      <c r="BU974" s="59" t="n"/>
      <c r="BV974" s="59" t="n"/>
      <c r="BW974" s="59" t="n"/>
      <c r="BX974" s="59" t="n"/>
      <c r="BY974" s="59" t="n"/>
      <c r="BZ974" s="59" t="n"/>
      <c r="CA974" s="59" t="n"/>
      <c r="CB974" s="59" t="n"/>
      <c r="CC974" s="59" t="n"/>
      <c r="CD974" s="59" t="n"/>
      <c r="CE974" s="59" t="n"/>
      <c r="CF974" s="59" t="n"/>
      <c r="CG974" s="59" t="n"/>
      <c r="CH974" s="59" t="n"/>
      <c r="CI974" s="59" t="n"/>
      <c r="CJ974" s="59" t="n"/>
      <c r="CK974" s="59" t="n"/>
      <c r="CL974" s="59" t="n"/>
      <c r="CM974" s="59" t="n"/>
      <c r="CN974" s="59" t="n"/>
    </row>
    <row r="975" ht="15" customFormat="1" customHeight="1" s="3">
      <c r="A975">
        <f>A974+1</f>
        <v/>
      </c>
      <c r="I975" s="20" t="n"/>
      <c r="K975">
        <f>I975+J975</f>
        <v/>
      </c>
      <c r="X975" s="59" t="n"/>
      <c r="Y975" s="59" t="n"/>
      <c r="Z975" s="59" t="n"/>
      <c r="AA975" s="59" t="n"/>
      <c r="AB975" s="59" t="n"/>
      <c r="AC975" s="59" t="n"/>
      <c r="AD975" s="59" t="n"/>
      <c r="AE975" s="59" t="n"/>
      <c r="AF975" s="59" t="n"/>
      <c r="AG975" s="59" t="n"/>
      <c r="AH975" s="59" t="n"/>
      <c r="AI975" s="59" t="n"/>
      <c r="AJ975" s="59" t="n"/>
      <c r="AK975" s="59" t="n"/>
      <c r="AL975" s="59" t="n"/>
      <c r="AM975" s="59" t="n"/>
      <c r="AN975" s="59" t="n"/>
      <c r="AO975" s="59" t="n"/>
      <c r="AP975" s="59" t="n"/>
      <c r="AQ975" s="59" t="n"/>
      <c r="AR975" s="59" t="n"/>
      <c r="AS975" s="59" t="n"/>
      <c r="AT975" s="59" t="n"/>
      <c r="AU975" s="59" t="n"/>
      <c r="AV975" s="59" t="n"/>
      <c r="AW975" s="59" t="n"/>
      <c r="AX975" s="59" t="n"/>
      <c r="AY975" s="59" t="n"/>
      <c r="AZ975" s="59" t="n"/>
      <c r="BA975" s="59" t="n"/>
      <c r="BB975" s="59" t="n"/>
      <c r="BC975" s="59" t="n"/>
      <c r="BD975" s="59" t="n"/>
      <c r="BE975" s="59" t="n"/>
      <c r="BF975" s="59" t="n"/>
      <c r="BG975" s="59" t="n"/>
      <c r="BH975" s="59" t="n"/>
      <c r="BI975" s="59" t="n"/>
      <c r="BJ975" s="59" t="n"/>
      <c r="BK975" s="59" t="n"/>
      <c r="BL975" s="59" t="n"/>
      <c r="BM975" s="59" t="n"/>
      <c r="BN975" s="59" t="n"/>
      <c r="BO975" s="59" t="n"/>
      <c r="BP975" s="59" t="n"/>
      <c r="BQ975" s="59" t="n"/>
      <c r="BR975" s="59" t="n"/>
      <c r="BS975" s="59" t="n"/>
      <c r="BT975" s="59" t="n"/>
      <c r="BU975" s="59" t="n"/>
      <c r="BV975" s="59" t="n"/>
      <c r="BW975" s="59" t="n"/>
      <c r="BX975" s="59" t="n"/>
      <c r="BY975" s="59" t="n"/>
      <c r="BZ975" s="59" t="n"/>
      <c r="CA975" s="59" t="n"/>
      <c r="CB975" s="59" t="n"/>
      <c r="CC975" s="59" t="n"/>
      <c r="CD975" s="59" t="n"/>
      <c r="CE975" s="59" t="n"/>
      <c r="CF975" s="59" t="n"/>
      <c r="CG975" s="59" t="n"/>
      <c r="CH975" s="59" t="n"/>
      <c r="CI975" s="59" t="n"/>
      <c r="CJ975" s="59" t="n"/>
      <c r="CK975" s="59" t="n"/>
      <c r="CL975" s="59" t="n"/>
      <c r="CM975" s="59" t="n"/>
      <c r="CN975" s="59" t="n"/>
    </row>
    <row r="976" ht="15" customFormat="1" customHeight="1" s="3">
      <c r="A976">
        <f>A975+1</f>
        <v/>
      </c>
      <c r="I976" s="20" t="n"/>
      <c r="K976">
        <f>I976+J976</f>
        <v/>
      </c>
      <c r="X976" s="59" t="n"/>
      <c r="Y976" s="59" t="n"/>
      <c r="Z976" s="59" t="n"/>
      <c r="AA976" s="59" t="n"/>
      <c r="AB976" s="59" t="n"/>
      <c r="AC976" s="59" t="n"/>
      <c r="AD976" s="59" t="n"/>
      <c r="AE976" s="59" t="n"/>
      <c r="AF976" s="59" t="n"/>
      <c r="AG976" s="59" t="n"/>
      <c r="AH976" s="59" t="n"/>
      <c r="AI976" s="59" t="n"/>
      <c r="AJ976" s="59" t="n"/>
      <c r="AK976" s="59" t="n"/>
      <c r="AL976" s="59" t="n"/>
      <c r="AM976" s="59" t="n"/>
      <c r="AN976" s="59" t="n"/>
      <c r="AO976" s="59" t="n"/>
      <c r="AP976" s="59" t="n"/>
      <c r="AQ976" s="59" t="n"/>
      <c r="AR976" s="59" t="n"/>
      <c r="AS976" s="59" t="n"/>
      <c r="AT976" s="59" t="n"/>
      <c r="AU976" s="59" t="n"/>
      <c r="AV976" s="59" t="n"/>
      <c r="AW976" s="59" t="n"/>
      <c r="AX976" s="59" t="n"/>
      <c r="AY976" s="59" t="n"/>
      <c r="AZ976" s="59" t="n"/>
      <c r="BA976" s="59" t="n"/>
      <c r="BB976" s="59" t="n"/>
      <c r="BC976" s="59" t="n"/>
      <c r="BD976" s="59" t="n"/>
      <c r="BE976" s="59" t="n"/>
      <c r="BF976" s="59" t="n"/>
      <c r="BG976" s="59" t="n"/>
      <c r="BH976" s="59" t="n"/>
      <c r="BI976" s="59" t="n"/>
      <c r="BJ976" s="59" t="n"/>
      <c r="BK976" s="59" t="n"/>
      <c r="BL976" s="59" t="n"/>
      <c r="BM976" s="59" t="n"/>
      <c r="BN976" s="59" t="n"/>
      <c r="BO976" s="59" t="n"/>
      <c r="BP976" s="59" t="n"/>
      <c r="BQ976" s="59" t="n"/>
      <c r="BR976" s="59" t="n"/>
      <c r="BS976" s="59" t="n"/>
      <c r="BT976" s="59" t="n"/>
      <c r="BU976" s="59" t="n"/>
      <c r="BV976" s="59" t="n"/>
      <c r="BW976" s="59" t="n"/>
      <c r="BX976" s="59" t="n"/>
      <c r="BY976" s="59" t="n"/>
      <c r="BZ976" s="59" t="n"/>
      <c r="CA976" s="59" t="n"/>
      <c r="CB976" s="59" t="n"/>
      <c r="CC976" s="59" t="n"/>
      <c r="CD976" s="59" t="n"/>
      <c r="CE976" s="59" t="n"/>
      <c r="CF976" s="59" t="n"/>
      <c r="CG976" s="59" t="n"/>
      <c r="CH976" s="59" t="n"/>
      <c r="CI976" s="59" t="n"/>
      <c r="CJ976" s="59" t="n"/>
      <c r="CK976" s="59" t="n"/>
      <c r="CL976" s="59" t="n"/>
      <c r="CM976" s="59" t="n"/>
      <c r="CN976" s="59" t="n"/>
    </row>
    <row r="977" ht="15" customFormat="1" customHeight="1" s="3">
      <c r="A977">
        <f>A976+1</f>
        <v/>
      </c>
      <c r="I977" s="20" t="n"/>
      <c r="K977">
        <f>I977+J977</f>
        <v/>
      </c>
      <c r="X977" s="59" t="n"/>
      <c r="Y977" s="59" t="n"/>
      <c r="Z977" s="59" t="n"/>
      <c r="AA977" s="59" t="n"/>
      <c r="AB977" s="59" t="n"/>
      <c r="AC977" s="59" t="n"/>
      <c r="AD977" s="59" t="n"/>
      <c r="AE977" s="59" t="n"/>
      <c r="AF977" s="59" t="n"/>
      <c r="AG977" s="59" t="n"/>
      <c r="AH977" s="59" t="n"/>
      <c r="AI977" s="59" t="n"/>
      <c r="AJ977" s="59" t="n"/>
      <c r="AK977" s="59" t="n"/>
      <c r="AL977" s="59" t="n"/>
      <c r="AM977" s="59" t="n"/>
      <c r="AN977" s="59" t="n"/>
      <c r="AO977" s="59" t="n"/>
      <c r="AP977" s="59" t="n"/>
      <c r="AQ977" s="59" t="n"/>
      <c r="AR977" s="59" t="n"/>
      <c r="AS977" s="59" t="n"/>
      <c r="AT977" s="59" t="n"/>
      <c r="AU977" s="59" t="n"/>
      <c r="AV977" s="59" t="n"/>
      <c r="AW977" s="59" t="n"/>
      <c r="AX977" s="59" t="n"/>
      <c r="AY977" s="59" t="n"/>
      <c r="AZ977" s="59" t="n"/>
      <c r="BA977" s="59" t="n"/>
      <c r="BB977" s="59" t="n"/>
      <c r="BC977" s="59" t="n"/>
      <c r="BD977" s="59" t="n"/>
      <c r="BE977" s="59" t="n"/>
      <c r="BF977" s="59" t="n"/>
      <c r="BG977" s="59" t="n"/>
      <c r="BH977" s="59" t="n"/>
      <c r="BI977" s="59" t="n"/>
      <c r="BJ977" s="59" t="n"/>
      <c r="BK977" s="59" t="n"/>
      <c r="BL977" s="59" t="n"/>
      <c r="BM977" s="59" t="n"/>
      <c r="BN977" s="59" t="n"/>
      <c r="BO977" s="59" t="n"/>
      <c r="BP977" s="59" t="n"/>
      <c r="BQ977" s="59" t="n"/>
      <c r="BR977" s="59" t="n"/>
      <c r="BS977" s="59" t="n"/>
      <c r="BT977" s="59" t="n"/>
      <c r="BU977" s="59" t="n"/>
      <c r="BV977" s="59" t="n"/>
      <c r="BW977" s="59" t="n"/>
      <c r="BX977" s="59" t="n"/>
      <c r="BY977" s="59" t="n"/>
      <c r="BZ977" s="59" t="n"/>
      <c r="CA977" s="59" t="n"/>
      <c r="CB977" s="59" t="n"/>
      <c r="CC977" s="59" t="n"/>
      <c r="CD977" s="59" t="n"/>
      <c r="CE977" s="59" t="n"/>
      <c r="CF977" s="59" t="n"/>
      <c r="CG977" s="59" t="n"/>
      <c r="CH977" s="59" t="n"/>
      <c r="CI977" s="59" t="n"/>
      <c r="CJ977" s="59" t="n"/>
      <c r="CK977" s="59" t="n"/>
      <c r="CL977" s="59" t="n"/>
      <c r="CM977" s="59" t="n"/>
      <c r="CN977" s="59" t="n"/>
    </row>
    <row r="978" ht="15" customFormat="1" customHeight="1" s="3">
      <c r="A978">
        <f>A977+1</f>
        <v/>
      </c>
      <c r="I978" s="20" t="n"/>
      <c r="K978">
        <f>I978+J978</f>
        <v/>
      </c>
      <c r="X978" s="59" t="n"/>
      <c r="Y978" s="59" t="n"/>
      <c r="Z978" s="59" t="n"/>
      <c r="AA978" s="59" t="n"/>
      <c r="AB978" s="59" t="n"/>
      <c r="AC978" s="59" t="n"/>
      <c r="AD978" s="59" t="n"/>
      <c r="AE978" s="59" t="n"/>
      <c r="AF978" s="59" t="n"/>
      <c r="AG978" s="59" t="n"/>
      <c r="AH978" s="59" t="n"/>
      <c r="AI978" s="59" t="n"/>
      <c r="AJ978" s="59" t="n"/>
      <c r="AK978" s="59" t="n"/>
      <c r="AL978" s="59" t="n"/>
      <c r="AM978" s="59" t="n"/>
      <c r="AN978" s="59" t="n"/>
      <c r="AO978" s="59" t="n"/>
      <c r="AP978" s="59" t="n"/>
      <c r="AQ978" s="59" t="n"/>
      <c r="AR978" s="59" t="n"/>
      <c r="AS978" s="59" t="n"/>
      <c r="AT978" s="59" t="n"/>
      <c r="AU978" s="59" t="n"/>
      <c r="AV978" s="59" t="n"/>
      <c r="AW978" s="59" t="n"/>
      <c r="AX978" s="59" t="n"/>
      <c r="AY978" s="59" t="n"/>
      <c r="AZ978" s="59" t="n"/>
      <c r="BA978" s="59" t="n"/>
      <c r="BB978" s="59" t="n"/>
      <c r="BC978" s="59" t="n"/>
      <c r="BD978" s="59" t="n"/>
      <c r="BE978" s="59" t="n"/>
      <c r="BF978" s="59" t="n"/>
      <c r="BG978" s="59" t="n"/>
      <c r="BH978" s="59" t="n"/>
      <c r="BI978" s="59" t="n"/>
      <c r="BJ978" s="59" t="n"/>
      <c r="BK978" s="59" t="n"/>
      <c r="BL978" s="59" t="n"/>
      <c r="BM978" s="59" t="n"/>
      <c r="BN978" s="59" t="n"/>
      <c r="BO978" s="59" t="n"/>
      <c r="BP978" s="59" t="n"/>
      <c r="BQ978" s="59" t="n"/>
      <c r="BR978" s="59" t="n"/>
      <c r="BS978" s="59" t="n"/>
      <c r="BT978" s="59" t="n"/>
      <c r="BU978" s="59" t="n"/>
      <c r="BV978" s="59" t="n"/>
      <c r="BW978" s="59" t="n"/>
      <c r="BX978" s="59" t="n"/>
      <c r="BY978" s="59" t="n"/>
      <c r="BZ978" s="59" t="n"/>
      <c r="CA978" s="59" t="n"/>
      <c r="CB978" s="59" t="n"/>
      <c r="CC978" s="59" t="n"/>
      <c r="CD978" s="59" t="n"/>
      <c r="CE978" s="59" t="n"/>
      <c r="CF978" s="59" t="n"/>
      <c r="CG978" s="59" t="n"/>
      <c r="CH978" s="59" t="n"/>
      <c r="CI978" s="59" t="n"/>
      <c r="CJ978" s="59" t="n"/>
      <c r="CK978" s="59" t="n"/>
      <c r="CL978" s="59" t="n"/>
      <c r="CM978" s="59" t="n"/>
      <c r="CN978" s="59" t="n"/>
    </row>
    <row r="979" ht="15" customFormat="1" customHeight="1" s="3">
      <c r="A979">
        <f>A978+1</f>
        <v/>
      </c>
      <c r="I979" s="20" t="n"/>
      <c r="K979">
        <f>I979+J979</f>
        <v/>
      </c>
      <c r="X979" s="59" t="n"/>
      <c r="Y979" s="59" t="n"/>
      <c r="Z979" s="59" t="n"/>
      <c r="AA979" s="59" t="n"/>
      <c r="AB979" s="59" t="n"/>
      <c r="AC979" s="59" t="n"/>
      <c r="AD979" s="59" t="n"/>
      <c r="AE979" s="59" t="n"/>
      <c r="AF979" s="59" t="n"/>
      <c r="AG979" s="59" t="n"/>
      <c r="AH979" s="59" t="n"/>
      <c r="AI979" s="59" t="n"/>
      <c r="AJ979" s="59" t="n"/>
      <c r="AK979" s="59" t="n"/>
      <c r="AL979" s="59" t="n"/>
      <c r="AM979" s="59" t="n"/>
      <c r="AN979" s="59" t="n"/>
      <c r="AO979" s="59" t="n"/>
      <c r="AP979" s="59" t="n"/>
      <c r="AQ979" s="59" t="n"/>
      <c r="AR979" s="59" t="n"/>
      <c r="AS979" s="59" t="n"/>
      <c r="AT979" s="59" t="n"/>
      <c r="AU979" s="59" t="n"/>
      <c r="AV979" s="59" t="n"/>
      <c r="AW979" s="59" t="n"/>
      <c r="AX979" s="59" t="n"/>
      <c r="AY979" s="59" t="n"/>
      <c r="AZ979" s="59" t="n"/>
      <c r="BA979" s="59" t="n"/>
      <c r="BB979" s="59" t="n"/>
      <c r="BC979" s="59" t="n"/>
      <c r="BD979" s="59" t="n"/>
      <c r="BE979" s="59" t="n"/>
      <c r="BF979" s="59" t="n"/>
      <c r="BG979" s="59" t="n"/>
      <c r="BH979" s="59" t="n"/>
      <c r="BI979" s="59" t="n"/>
      <c r="BJ979" s="59" t="n"/>
      <c r="BK979" s="59" t="n"/>
      <c r="BL979" s="59" t="n"/>
      <c r="BM979" s="59" t="n"/>
      <c r="BN979" s="59" t="n"/>
      <c r="BO979" s="59" t="n"/>
      <c r="BP979" s="59" t="n"/>
      <c r="BQ979" s="59" t="n"/>
      <c r="BR979" s="59" t="n"/>
      <c r="BS979" s="59" t="n"/>
      <c r="BT979" s="59" t="n"/>
      <c r="BU979" s="59" t="n"/>
      <c r="BV979" s="59" t="n"/>
      <c r="BW979" s="59" t="n"/>
      <c r="BX979" s="59" t="n"/>
      <c r="BY979" s="59" t="n"/>
      <c r="BZ979" s="59" t="n"/>
      <c r="CA979" s="59" t="n"/>
      <c r="CB979" s="59" t="n"/>
      <c r="CC979" s="59" t="n"/>
      <c r="CD979" s="59" t="n"/>
      <c r="CE979" s="59" t="n"/>
      <c r="CF979" s="59" t="n"/>
      <c r="CG979" s="59" t="n"/>
      <c r="CH979" s="59" t="n"/>
      <c r="CI979" s="59" t="n"/>
      <c r="CJ979" s="59" t="n"/>
      <c r="CK979" s="59" t="n"/>
      <c r="CL979" s="59" t="n"/>
      <c r="CM979" s="59" t="n"/>
      <c r="CN979" s="59" t="n"/>
    </row>
    <row r="980" ht="15" customFormat="1" customHeight="1" s="3">
      <c r="A980">
        <f>A979+1</f>
        <v/>
      </c>
      <c r="I980" s="20" t="n"/>
      <c r="K980">
        <f>I980+J980</f>
        <v/>
      </c>
      <c r="X980" s="59" t="n"/>
      <c r="Y980" s="59" t="n"/>
      <c r="Z980" s="59" t="n"/>
      <c r="AA980" s="59" t="n"/>
      <c r="AB980" s="59" t="n"/>
      <c r="AC980" s="59" t="n"/>
      <c r="AD980" s="59" t="n"/>
      <c r="AE980" s="59" t="n"/>
      <c r="AF980" s="59" t="n"/>
      <c r="AG980" s="59" t="n"/>
      <c r="AH980" s="59" t="n"/>
      <c r="AI980" s="59" t="n"/>
      <c r="AJ980" s="59" t="n"/>
      <c r="AK980" s="59" t="n"/>
      <c r="AL980" s="59" t="n"/>
      <c r="AM980" s="59" t="n"/>
      <c r="AN980" s="59" t="n"/>
      <c r="AO980" s="59" t="n"/>
      <c r="AP980" s="59" t="n"/>
      <c r="AQ980" s="59" t="n"/>
      <c r="AR980" s="59" t="n"/>
      <c r="AS980" s="59" t="n"/>
      <c r="AT980" s="59" t="n"/>
      <c r="AU980" s="59" t="n"/>
      <c r="AV980" s="59" t="n"/>
      <c r="AW980" s="59" t="n"/>
      <c r="AX980" s="59" t="n"/>
      <c r="AY980" s="59" t="n"/>
      <c r="AZ980" s="59" t="n"/>
      <c r="BA980" s="59" t="n"/>
      <c r="BB980" s="59" t="n"/>
      <c r="BC980" s="59" t="n"/>
      <c r="BD980" s="59" t="n"/>
      <c r="BE980" s="59" t="n"/>
      <c r="BF980" s="59" t="n"/>
      <c r="BG980" s="59" t="n"/>
      <c r="BH980" s="59" t="n"/>
      <c r="BI980" s="59" t="n"/>
      <c r="BJ980" s="59" t="n"/>
      <c r="BK980" s="59" t="n"/>
      <c r="BL980" s="59" t="n"/>
      <c r="BM980" s="59" t="n"/>
      <c r="BN980" s="59" t="n"/>
      <c r="BO980" s="59" t="n"/>
      <c r="BP980" s="59" t="n"/>
      <c r="BQ980" s="59" t="n"/>
      <c r="BR980" s="59" t="n"/>
      <c r="BS980" s="59" t="n"/>
      <c r="BT980" s="59" t="n"/>
      <c r="BU980" s="59" t="n"/>
      <c r="BV980" s="59" t="n"/>
      <c r="BW980" s="59" t="n"/>
      <c r="BX980" s="59" t="n"/>
      <c r="BY980" s="59" t="n"/>
      <c r="BZ980" s="59" t="n"/>
      <c r="CA980" s="59" t="n"/>
      <c r="CB980" s="59" t="n"/>
      <c r="CC980" s="59" t="n"/>
      <c r="CD980" s="59" t="n"/>
      <c r="CE980" s="59" t="n"/>
      <c r="CF980" s="59" t="n"/>
      <c r="CG980" s="59" t="n"/>
      <c r="CH980" s="59" t="n"/>
      <c r="CI980" s="59" t="n"/>
      <c r="CJ980" s="59" t="n"/>
      <c r="CK980" s="59" t="n"/>
      <c r="CL980" s="59" t="n"/>
      <c r="CM980" s="59" t="n"/>
      <c r="CN980" s="59" t="n"/>
    </row>
    <row r="981" ht="15" customFormat="1" customHeight="1" s="3">
      <c r="A981">
        <f>A980+1</f>
        <v/>
      </c>
      <c r="I981" s="20" t="n"/>
      <c r="K981">
        <f>I981+J981</f>
        <v/>
      </c>
      <c r="X981" s="59" t="n"/>
      <c r="Y981" s="59" t="n"/>
      <c r="Z981" s="59" t="n"/>
      <c r="AA981" s="59" t="n"/>
      <c r="AB981" s="59" t="n"/>
      <c r="AC981" s="59" t="n"/>
      <c r="AD981" s="59" t="n"/>
      <c r="AE981" s="59" t="n"/>
      <c r="AF981" s="59" t="n"/>
      <c r="AG981" s="59" t="n"/>
      <c r="AH981" s="59" t="n"/>
      <c r="AI981" s="59" t="n"/>
      <c r="AJ981" s="59" t="n"/>
      <c r="AK981" s="59" t="n"/>
      <c r="AL981" s="59" t="n"/>
      <c r="AM981" s="59" t="n"/>
      <c r="AN981" s="59" t="n"/>
      <c r="AO981" s="59" t="n"/>
      <c r="AP981" s="59" t="n"/>
      <c r="AQ981" s="59" t="n"/>
      <c r="AR981" s="59" t="n"/>
      <c r="AS981" s="59" t="n"/>
      <c r="AT981" s="59" t="n"/>
      <c r="AU981" s="59" t="n"/>
      <c r="AV981" s="59" t="n"/>
      <c r="AW981" s="59" t="n"/>
      <c r="AX981" s="59" t="n"/>
      <c r="AY981" s="59" t="n"/>
      <c r="AZ981" s="59" t="n"/>
      <c r="BA981" s="59" t="n"/>
      <c r="BB981" s="59" t="n"/>
      <c r="BC981" s="59" t="n"/>
      <c r="BD981" s="59" t="n"/>
      <c r="BE981" s="59" t="n"/>
      <c r="BF981" s="59" t="n"/>
      <c r="BG981" s="59" t="n"/>
      <c r="BH981" s="59" t="n"/>
      <c r="BI981" s="59" t="n"/>
      <c r="BJ981" s="59" t="n"/>
      <c r="BK981" s="59" t="n"/>
      <c r="BL981" s="59" t="n"/>
      <c r="BM981" s="59" t="n"/>
      <c r="BN981" s="59" t="n"/>
      <c r="BO981" s="59" t="n"/>
      <c r="BP981" s="59" t="n"/>
      <c r="BQ981" s="59" t="n"/>
      <c r="BR981" s="59" t="n"/>
      <c r="BS981" s="59" t="n"/>
      <c r="BT981" s="59" t="n"/>
      <c r="BU981" s="59" t="n"/>
      <c r="BV981" s="59" t="n"/>
      <c r="BW981" s="59" t="n"/>
      <c r="BX981" s="59" t="n"/>
      <c r="BY981" s="59" t="n"/>
      <c r="BZ981" s="59" t="n"/>
      <c r="CA981" s="59" t="n"/>
      <c r="CB981" s="59" t="n"/>
      <c r="CC981" s="59" t="n"/>
      <c r="CD981" s="59" t="n"/>
      <c r="CE981" s="59" t="n"/>
      <c r="CF981" s="59" t="n"/>
      <c r="CG981" s="59" t="n"/>
      <c r="CH981" s="59" t="n"/>
      <c r="CI981" s="59" t="n"/>
      <c r="CJ981" s="59" t="n"/>
      <c r="CK981" s="59" t="n"/>
      <c r="CL981" s="59" t="n"/>
      <c r="CM981" s="59" t="n"/>
      <c r="CN981" s="59" t="n"/>
    </row>
    <row r="982" ht="15" customFormat="1" customHeight="1" s="3">
      <c r="A982">
        <f>A981+1</f>
        <v/>
      </c>
      <c r="I982" s="20" t="n"/>
      <c r="K982">
        <f>I982+J982</f>
        <v/>
      </c>
      <c r="X982" s="59" t="n"/>
      <c r="Y982" s="59" t="n"/>
      <c r="Z982" s="59" t="n"/>
      <c r="AA982" s="59" t="n"/>
      <c r="AB982" s="59" t="n"/>
      <c r="AC982" s="59" t="n"/>
      <c r="AD982" s="59" t="n"/>
      <c r="AE982" s="59" t="n"/>
      <c r="AF982" s="59" t="n"/>
      <c r="AG982" s="59" t="n"/>
      <c r="AH982" s="59" t="n"/>
      <c r="AI982" s="59" t="n"/>
      <c r="AJ982" s="59" t="n"/>
      <c r="AK982" s="59" t="n"/>
      <c r="AL982" s="59" t="n"/>
      <c r="AM982" s="59" t="n"/>
      <c r="AN982" s="59" t="n"/>
      <c r="AO982" s="59" t="n"/>
      <c r="AP982" s="59" t="n"/>
      <c r="AQ982" s="59" t="n"/>
      <c r="AR982" s="59" t="n"/>
      <c r="AS982" s="59" t="n"/>
      <c r="AT982" s="59" t="n"/>
      <c r="AU982" s="59" t="n"/>
      <c r="AV982" s="59" t="n"/>
      <c r="AW982" s="59" t="n"/>
      <c r="AX982" s="59" t="n"/>
      <c r="AY982" s="59" t="n"/>
      <c r="AZ982" s="59" t="n"/>
      <c r="BA982" s="59" t="n"/>
      <c r="BB982" s="59" t="n"/>
      <c r="BC982" s="59" t="n"/>
      <c r="BD982" s="59" t="n"/>
      <c r="BE982" s="59" t="n"/>
      <c r="BF982" s="59" t="n"/>
      <c r="BG982" s="59" t="n"/>
      <c r="BH982" s="59" t="n"/>
      <c r="BI982" s="59" t="n"/>
      <c r="BJ982" s="59" t="n"/>
      <c r="BK982" s="59" t="n"/>
      <c r="BL982" s="59" t="n"/>
      <c r="BM982" s="59" t="n"/>
      <c r="BN982" s="59" t="n"/>
      <c r="BO982" s="59" t="n"/>
      <c r="BP982" s="59" t="n"/>
      <c r="BQ982" s="59" t="n"/>
      <c r="BR982" s="59" t="n"/>
      <c r="BS982" s="59" t="n"/>
      <c r="BT982" s="59" t="n"/>
      <c r="BU982" s="59" t="n"/>
      <c r="BV982" s="59" t="n"/>
      <c r="BW982" s="59" t="n"/>
      <c r="BX982" s="59" t="n"/>
      <c r="BY982" s="59" t="n"/>
      <c r="BZ982" s="59" t="n"/>
      <c r="CA982" s="59" t="n"/>
      <c r="CB982" s="59" t="n"/>
      <c r="CC982" s="59" t="n"/>
      <c r="CD982" s="59" t="n"/>
      <c r="CE982" s="59" t="n"/>
      <c r="CF982" s="59" t="n"/>
      <c r="CG982" s="59" t="n"/>
      <c r="CH982" s="59" t="n"/>
      <c r="CI982" s="59" t="n"/>
      <c r="CJ982" s="59" t="n"/>
      <c r="CK982" s="59" t="n"/>
      <c r="CL982" s="59" t="n"/>
      <c r="CM982" s="59" t="n"/>
      <c r="CN982" s="59" t="n"/>
    </row>
    <row r="983" ht="15" customFormat="1" customHeight="1" s="3">
      <c r="A983">
        <f>A982+1</f>
        <v/>
      </c>
      <c r="I983" s="20" t="n"/>
      <c r="K983">
        <f>I983+J983</f>
        <v/>
      </c>
      <c r="X983" s="59" t="n"/>
      <c r="Y983" s="59" t="n"/>
      <c r="Z983" s="59" t="n"/>
      <c r="AA983" s="59" t="n"/>
      <c r="AB983" s="59" t="n"/>
      <c r="AC983" s="59" t="n"/>
      <c r="AD983" s="59" t="n"/>
      <c r="AE983" s="59" t="n"/>
      <c r="AF983" s="59" t="n"/>
      <c r="AG983" s="59" t="n"/>
      <c r="AH983" s="59" t="n"/>
      <c r="AI983" s="59" t="n"/>
      <c r="AJ983" s="59" t="n"/>
      <c r="AK983" s="59" t="n"/>
      <c r="AL983" s="59" t="n"/>
      <c r="AM983" s="59" t="n"/>
      <c r="AN983" s="59" t="n"/>
      <c r="AO983" s="59" t="n"/>
      <c r="AP983" s="59" t="n"/>
      <c r="AQ983" s="59" t="n"/>
      <c r="AR983" s="59" t="n"/>
      <c r="AS983" s="59" t="n"/>
      <c r="AT983" s="59" t="n"/>
      <c r="AU983" s="59" t="n"/>
      <c r="AV983" s="59" t="n"/>
      <c r="AW983" s="59" t="n"/>
      <c r="AX983" s="59" t="n"/>
      <c r="AY983" s="59" t="n"/>
      <c r="AZ983" s="59" t="n"/>
      <c r="BA983" s="59" t="n"/>
      <c r="BB983" s="59" t="n"/>
      <c r="BC983" s="59" t="n"/>
      <c r="BD983" s="59" t="n"/>
      <c r="BE983" s="59" t="n"/>
      <c r="BF983" s="59" t="n"/>
      <c r="BG983" s="59" t="n"/>
      <c r="BH983" s="59" t="n"/>
      <c r="BI983" s="59" t="n"/>
      <c r="BJ983" s="59" t="n"/>
      <c r="BK983" s="59" t="n"/>
      <c r="BL983" s="59" t="n"/>
      <c r="BM983" s="59" t="n"/>
      <c r="BN983" s="59" t="n"/>
      <c r="BO983" s="59" t="n"/>
      <c r="BP983" s="59" t="n"/>
      <c r="BQ983" s="59" t="n"/>
      <c r="BR983" s="59" t="n"/>
      <c r="BS983" s="59" t="n"/>
      <c r="BT983" s="59" t="n"/>
      <c r="BU983" s="59" t="n"/>
      <c r="BV983" s="59" t="n"/>
      <c r="BW983" s="59" t="n"/>
      <c r="BX983" s="59" t="n"/>
      <c r="BY983" s="59" t="n"/>
      <c r="BZ983" s="59" t="n"/>
      <c r="CA983" s="59" t="n"/>
      <c r="CB983" s="59" t="n"/>
      <c r="CC983" s="59" t="n"/>
      <c r="CD983" s="59" t="n"/>
      <c r="CE983" s="59" t="n"/>
      <c r="CF983" s="59" t="n"/>
      <c r="CG983" s="59" t="n"/>
      <c r="CH983" s="59" t="n"/>
      <c r="CI983" s="59" t="n"/>
      <c r="CJ983" s="59" t="n"/>
      <c r="CK983" s="59" t="n"/>
      <c r="CL983" s="59" t="n"/>
      <c r="CM983" s="59" t="n"/>
      <c r="CN983" s="59" t="n"/>
    </row>
    <row r="984" ht="15" customFormat="1" customHeight="1" s="3">
      <c r="A984">
        <f>A983+1</f>
        <v/>
      </c>
      <c r="I984" s="20" t="n"/>
      <c r="K984">
        <f>I984+J984</f>
        <v/>
      </c>
      <c r="X984" s="59" t="n"/>
      <c r="Y984" s="59" t="n"/>
      <c r="Z984" s="59" t="n"/>
      <c r="AA984" s="59" t="n"/>
      <c r="AB984" s="59" t="n"/>
      <c r="AC984" s="59" t="n"/>
      <c r="AD984" s="59" t="n"/>
      <c r="AE984" s="59" t="n"/>
      <c r="AF984" s="59" t="n"/>
      <c r="AG984" s="59" t="n"/>
      <c r="AH984" s="59" t="n"/>
      <c r="AI984" s="59" t="n"/>
      <c r="AJ984" s="59" t="n"/>
      <c r="AK984" s="59" t="n"/>
      <c r="AL984" s="59" t="n"/>
      <c r="AM984" s="59" t="n"/>
      <c r="AN984" s="59" t="n"/>
      <c r="AO984" s="59" t="n"/>
      <c r="AP984" s="59" t="n"/>
      <c r="AQ984" s="59" t="n"/>
      <c r="AR984" s="59" t="n"/>
      <c r="AS984" s="59" t="n"/>
      <c r="AT984" s="59" t="n"/>
      <c r="AU984" s="59" t="n"/>
      <c r="AV984" s="59" t="n"/>
      <c r="AW984" s="59" t="n"/>
      <c r="AX984" s="59" t="n"/>
      <c r="AY984" s="59" t="n"/>
      <c r="AZ984" s="59" t="n"/>
      <c r="BA984" s="59" t="n"/>
      <c r="BB984" s="59" t="n"/>
      <c r="BC984" s="59" t="n"/>
      <c r="BD984" s="59" t="n"/>
      <c r="BE984" s="59" t="n"/>
      <c r="BF984" s="59" t="n"/>
      <c r="BG984" s="59" t="n"/>
      <c r="BH984" s="59" t="n"/>
      <c r="BI984" s="59" t="n"/>
      <c r="BJ984" s="59" t="n"/>
      <c r="BK984" s="59" t="n"/>
      <c r="BL984" s="59" t="n"/>
      <c r="BM984" s="59" t="n"/>
      <c r="BN984" s="59" t="n"/>
      <c r="BO984" s="59" t="n"/>
      <c r="BP984" s="59" t="n"/>
      <c r="BQ984" s="59" t="n"/>
      <c r="BR984" s="59" t="n"/>
      <c r="BS984" s="59" t="n"/>
      <c r="BT984" s="59" t="n"/>
      <c r="BU984" s="59" t="n"/>
      <c r="BV984" s="59" t="n"/>
      <c r="BW984" s="59" t="n"/>
      <c r="BX984" s="59" t="n"/>
      <c r="BY984" s="59" t="n"/>
      <c r="BZ984" s="59" t="n"/>
      <c r="CA984" s="59" t="n"/>
      <c r="CB984" s="59" t="n"/>
      <c r="CC984" s="59" t="n"/>
      <c r="CD984" s="59" t="n"/>
      <c r="CE984" s="59" t="n"/>
      <c r="CF984" s="59" t="n"/>
      <c r="CG984" s="59" t="n"/>
      <c r="CH984" s="59" t="n"/>
      <c r="CI984" s="59" t="n"/>
      <c r="CJ984" s="59" t="n"/>
      <c r="CK984" s="59" t="n"/>
      <c r="CL984" s="59" t="n"/>
      <c r="CM984" s="59" t="n"/>
      <c r="CN984" s="59" t="n"/>
    </row>
    <row r="985" ht="15" customFormat="1" customHeight="1" s="3">
      <c r="A985">
        <f>A984+1</f>
        <v/>
      </c>
      <c r="I985" s="20" t="n"/>
      <c r="K985">
        <f>I985+J985</f>
        <v/>
      </c>
      <c r="X985" s="59" t="n"/>
      <c r="Y985" s="59" t="n"/>
      <c r="Z985" s="59" t="n"/>
      <c r="AA985" s="59" t="n"/>
      <c r="AB985" s="59" t="n"/>
      <c r="AC985" s="59" t="n"/>
      <c r="AD985" s="59" t="n"/>
      <c r="AE985" s="59" t="n"/>
      <c r="AF985" s="59" t="n"/>
      <c r="AG985" s="59" t="n"/>
      <c r="AH985" s="59" t="n"/>
      <c r="AI985" s="59" t="n"/>
      <c r="AJ985" s="59" t="n"/>
      <c r="AK985" s="59" t="n"/>
      <c r="AL985" s="59" t="n"/>
      <c r="AM985" s="59" t="n"/>
      <c r="AN985" s="59" t="n"/>
      <c r="AO985" s="59" t="n"/>
      <c r="AP985" s="59" t="n"/>
      <c r="AQ985" s="59" t="n"/>
      <c r="AR985" s="59" t="n"/>
      <c r="AS985" s="59" t="n"/>
      <c r="AT985" s="59" t="n"/>
      <c r="AU985" s="59" t="n"/>
      <c r="AV985" s="59" t="n"/>
      <c r="AW985" s="59" t="n"/>
      <c r="AX985" s="59" t="n"/>
      <c r="AY985" s="59" t="n"/>
      <c r="AZ985" s="59" t="n"/>
      <c r="BA985" s="59" t="n"/>
      <c r="BB985" s="59" t="n"/>
      <c r="BC985" s="59" t="n"/>
      <c r="BD985" s="59" t="n"/>
      <c r="BE985" s="59" t="n"/>
      <c r="BF985" s="59" t="n"/>
      <c r="BG985" s="59" t="n"/>
      <c r="BH985" s="59" t="n"/>
      <c r="BI985" s="59" t="n"/>
      <c r="BJ985" s="59" t="n"/>
      <c r="BK985" s="59" t="n"/>
      <c r="BL985" s="59" t="n"/>
      <c r="BM985" s="59" t="n"/>
      <c r="BN985" s="59" t="n"/>
      <c r="BO985" s="59" t="n"/>
      <c r="BP985" s="59" t="n"/>
      <c r="BQ985" s="59" t="n"/>
      <c r="BR985" s="59" t="n"/>
      <c r="BS985" s="59" t="n"/>
      <c r="BT985" s="59" t="n"/>
      <c r="BU985" s="59" t="n"/>
      <c r="BV985" s="59" t="n"/>
      <c r="BW985" s="59" t="n"/>
      <c r="BX985" s="59" t="n"/>
      <c r="BY985" s="59" t="n"/>
      <c r="BZ985" s="59" t="n"/>
      <c r="CA985" s="59" t="n"/>
      <c r="CB985" s="59" t="n"/>
      <c r="CC985" s="59" t="n"/>
      <c r="CD985" s="59" t="n"/>
      <c r="CE985" s="59" t="n"/>
      <c r="CF985" s="59" t="n"/>
      <c r="CG985" s="59" t="n"/>
      <c r="CH985" s="59" t="n"/>
      <c r="CI985" s="59" t="n"/>
      <c r="CJ985" s="59" t="n"/>
      <c r="CK985" s="59" t="n"/>
      <c r="CL985" s="59" t="n"/>
      <c r="CM985" s="59" t="n"/>
      <c r="CN985" s="59" t="n"/>
    </row>
    <row r="986" ht="15" customFormat="1" customHeight="1" s="3">
      <c r="A986">
        <f>A985+1</f>
        <v/>
      </c>
      <c r="I986" s="20" t="n"/>
      <c r="K986">
        <f>I986+J986</f>
        <v/>
      </c>
      <c r="X986" s="59" t="n"/>
      <c r="Y986" s="59" t="n"/>
      <c r="Z986" s="59" t="n"/>
      <c r="AA986" s="59" t="n"/>
      <c r="AB986" s="59" t="n"/>
      <c r="AC986" s="59" t="n"/>
      <c r="AD986" s="59" t="n"/>
      <c r="AE986" s="59" t="n"/>
      <c r="AF986" s="59" t="n"/>
      <c r="AG986" s="59" t="n"/>
      <c r="AH986" s="59" t="n"/>
      <c r="AI986" s="59" t="n"/>
      <c r="AJ986" s="59" t="n"/>
      <c r="AK986" s="59" t="n"/>
      <c r="AL986" s="59" t="n"/>
      <c r="AM986" s="59" t="n"/>
      <c r="AN986" s="59" t="n"/>
      <c r="AO986" s="59" t="n"/>
      <c r="AP986" s="59" t="n"/>
      <c r="AQ986" s="59" t="n"/>
      <c r="AR986" s="59" t="n"/>
      <c r="AS986" s="59" t="n"/>
      <c r="AT986" s="59" t="n"/>
      <c r="AU986" s="59" t="n"/>
      <c r="AV986" s="59" t="n"/>
      <c r="AW986" s="59" t="n"/>
      <c r="AX986" s="59" t="n"/>
      <c r="AY986" s="59" t="n"/>
      <c r="AZ986" s="59" t="n"/>
      <c r="BA986" s="59" t="n"/>
      <c r="BB986" s="59" t="n"/>
      <c r="BC986" s="59" t="n"/>
      <c r="BD986" s="59" t="n"/>
      <c r="BE986" s="59" t="n"/>
      <c r="BF986" s="59" t="n"/>
      <c r="BG986" s="59" t="n"/>
      <c r="BH986" s="59" t="n"/>
      <c r="BI986" s="59" t="n"/>
      <c r="BJ986" s="59" t="n"/>
      <c r="BK986" s="59" t="n"/>
      <c r="BL986" s="59" t="n"/>
      <c r="BM986" s="59" t="n"/>
      <c r="BN986" s="59" t="n"/>
      <c r="BO986" s="59" t="n"/>
      <c r="BP986" s="59" t="n"/>
      <c r="BQ986" s="59" t="n"/>
      <c r="BR986" s="59" t="n"/>
      <c r="BS986" s="59" t="n"/>
      <c r="BT986" s="59" t="n"/>
      <c r="BU986" s="59" t="n"/>
      <c r="BV986" s="59" t="n"/>
      <c r="BW986" s="59" t="n"/>
      <c r="BX986" s="59" t="n"/>
      <c r="BY986" s="59" t="n"/>
      <c r="BZ986" s="59" t="n"/>
      <c r="CA986" s="59" t="n"/>
      <c r="CB986" s="59" t="n"/>
      <c r="CC986" s="59" t="n"/>
      <c r="CD986" s="59" t="n"/>
      <c r="CE986" s="59" t="n"/>
      <c r="CF986" s="59" t="n"/>
      <c r="CG986" s="59" t="n"/>
      <c r="CH986" s="59" t="n"/>
      <c r="CI986" s="59" t="n"/>
      <c r="CJ986" s="59" t="n"/>
      <c r="CK986" s="59" t="n"/>
      <c r="CL986" s="59" t="n"/>
      <c r="CM986" s="59" t="n"/>
      <c r="CN986" s="59" t="n"/>
    </row>
    <row r="987" ht="15" customFormat="1" customHeight="1" s="3">
      <c r="A987">
        <f>A986+1</f>
        <v/>
      </c>
      <c r="I987" s="20" t="n"/>
      <c r="K987">
        <f>I987+J987</f>
        <v/>
      </c>
      <c r="X987" s="59" t="n"/>
      <c r="Y987" s="59" t="n"/>
      <c r="Z987" s="59" t="n"/>
      <c r="AA987" s="59" t="n"/>
      <c r="AB987" s="59" t="n"/>
      <c r="AC987" s="59" t="n"/>
      <c r="AD987" s="59" t="n"/>
      <c r="AE987" s="59" t="n"/>
      <c r="AF987" s="59" t="n"/>
      <c r="AG987" s="59" t="n"/>
      <c r="AH987" s="59" t="n"/>
      <c r="AI987" s="59" t="n"/>
      <c r="AJ987" s="59" t="n"/>
      <c r="AK987" s="59" t="n"/>
      <c r="AL987" s="59" t="n"/>
      <c r="AM987" s="59" t="n"/>
      <c r="AN987" s="59" t="n"/>
      <c r="AO987" s="59" t="n"/>
      <c r="AP987" s="59" t="n"/>
      <c r="AQ987" s="59" t="n"/>
      <c r="AR987" s="59" t="n"/>
      <c r="AS987" s="59" t="n"/>
      <c r="AT987" s="59" t="n"/>
      <c r="AU987" s="59" t="n"/>
      <c r="AV987" s="59" t="n"/>
      <c r="AW987" s="59" t="n"/>
      <c r="AX987" s="59" t="n"/>
      <c r="AY987" s="59" t="n"/>
      <c r="AZ987" s="59" t="n"/>
      <c r="BA987" s="59" t="n"/>
      <c r="BB987" s="59" t="n"/>
      <c r="BC987" s="59" t="n"/>
      <c r="BD987" s="59" t="n"/>
      <c r="BE987" s="59" t="n"/>
      <c r="BF987" s="59" t="n"/>
      <c r="BG987" s="59" t="n"/>
      <c r="BH987" s="59" t="n"/>
      <c r="BI987" s="59" t="n"/>
      <c r="BJ987" s="59" t="n"/>
      <c r="BK987" s="59" t="n"/>
      <c r="BL987" s="59" t="n"/>
      <c r="BM987" s="59" t="n"/>
      <c r="BN987" s="59" t="n"/>
      <c r="BO987" s="59" t="n"/>
      <c r="BP987" s="59" t="n"/>
      <c r="BQ987" s="59" t="n"/>
      <c r="BR987" s="59" t="n"/>
      <c r="BS987" s="59" t="n"/>
      <c r="BT987" s="59" t="n"/>
      <c r="BU987" s="59" t="n"/>
      <c r="BV987" s="59" t="n"/>
      <c r="BW987" s="59" t="n"/>
      <c r="BX987" s="59" t="n"/>
      <c r="BY987" s="59" t="n"/>
      <c r="BZ987" s="59" t="n"/>
      <c r="CA987" s="59" t="n"/>
      <c r="CB987" s="59" t="n"/>
      <c r="CC987" s="59" t="n"/>
      <c r="CD987" s="59" t="n"/>
      <c r="CE987" s="59" t="n"/>
      <c r="CF987" s="59" t="n"/>
      <c r="CG987" s="59" t="n"/>
      <c r="CH987" s="59" t="n"/>
      <c r="CI987" s="59" t="n"/>
      <c r="CJ987" s="59" t="n"/>
      <c r="CK987" s="59" t="n"/>
      <c r="CL987" s="59" t="n"/>
      <c r="CM987" s="59" t="n"/>
      <c r="CN987" s="59" t="n"/>
    </row>
    <row r="988" ht="15" customFormat="1" customHeight="1" s="3">
      <c r="A988">
        <f>A987+1</f>
        <v/>
      </c>
      <c r="I988" s="20" t="n"/>
      <c r="K988">
        <f>I988+J988</f>
        <v/>
      </c>
      <c r="X988" s="59" t="n"/>
      <c r="Y988" s="59" t="n"/>
      <c r="Z988" s="59" t="n"/>
      <c r="AA988" s="59" t="n"/>
      <c r="AB988" s="59" t="n"/>
      <c r="AC988" s="59" t="n"/>
      <c r="AD988" s="59" t="n"/>
      <c r="AE988" s="59" t="n"/>
      <c r="AF988" s="59" t="n"/>
      <c r="AG988" s="59" t="n"/>
      <c r="AH988" s="59" t="n"/>
      <c r="AI988" s="59" t="n"/>
      <c r="AJ988" s="59" t="n"/>
      <c r="AK988" s="59" t="n"/>
      <c r="AL988" s="59" t="n"/>
      <c r="AM988" s="59" t="n"/>
      <c r="AN988" s="59" t="n"/>
      <c r="AO988" s="59" t="n"/>
      <c r="AP988" s="59" t="n"/>
      <c r="AQ988" s="59" t="n"/>
      <c r="AR988" s="59" t="n"/>
      <c r="AS988" s="59" t="n"/>
      <c r="AT988" s="59" t="n"/>
      <c r="AU988" s="59" t="n"/>
      <c r="AV988" s="59" t="n"/>
      <c r="AW988" s="59" t="n"/>
      <c r="AX988" s="59" t="n"/>
      <c r="AY988" s="59" t="n"/>
      <c r="AZ988" s="59" t="n"/>
      <c r="BA988" s="59" t="n"/>
      <c r="BB988" s="59" t="n"/>
      <c r="BC988" s="59" t="n"/>
      <c r="BD988" s="59" t="n"/>
      <c r="BE988" s="59" t="n"/>
      <c r="BF988" s="59" t="n"/>
      <c r="BG988" s="59" t="n"/>
      <c r="BH988" s="59" t="n"/>
      <c r="BI988" s="59" t="n"/>
      <c r="BJ988" s="59" t="n"/>
      <c r="BK988" s="59" t="n"/>
      <c r="BL988" s="59" t="n"/>
      <c r="BM988" s="59" t="n"/>
      <c r="BN988" s="59" t="n"/>
      <c r="BO988" s="59" t="n"/>
      <c r="BP988" s="59" t="n"/>
      <c r="BQ988" s="59" t="n"/>
      <c r="BR988" s="59" t="n"/>
      <c r="BS988" s="59" t="n"/>
      <c r="BT988" s="59" t="n"/>
      <c r="BU988" s="59" t="n"/>
      <c r="BV988" s="59" t="n"/>
      <c r="BW988" s="59" t="n"/>
      <c r="BX988" s="59" t="n"/>
      <c r="BY988" s="59" t="n"/>
      <c r="BZ988" s="59" t="n"/>
      <c r="CA988" s="59" t="n"/>
      <c r="CB988" s="59" t="n"/>
      <c r="CC988" s="59" t="n"/>
      <c r="CD988" s="59" t="n"/>
      <c r="CE988" s="59" t="n"/>
      <c r="CF988" s="59" t="n"/>
      <c r="CG988" s="59" t="n"/>
      <c r="CH988" s="59" t="n"/>
      <c r="CI988" s="59" t="n"/>
      <c r="CJ988" s="59" t="n"/>
      <c r="CK988" s="59" t="n"/>
      <c r="CL988" s="59" t="n"/>
      <c r="CM988" s="59" t="n"/>
      <c r="CN988" s="59" t="n"/>
    </row>
    <row r="989" ht="15" customFormat="1" customHeight="1" s="3">
      <c r="A989">
        <f>A988+1</f>
        <v/>
      </c>
      <c r="I989" s="20" t="n"/>
      <c r="K989">
        <f>I989+J989</f>
        <v/>
      </c>
      <c r="X989" s="59" t="n"/>
      <c r="Y989" s="59" t="n"/>
      <c r="Z989" s="59" t="n"/>
      <c r="AA989" s="59" t="n"/>
      <c r="AB989" s="59" t="n"/>
      <c r="AC989" s="59" t="n"/>
      <c r="AD989" s="59" t="n"/>
      <c r="AE989" s="59" t="n"/>
      <c r="AF989" s="59" t="n"/>
      <c r="AG989" s="59" t="n"/>
      <c r="AH989" s="59" t="n"/>
      <c r="AI989" s="59" t="n"/>
      <c r="AJ989" s="59" t="n"/>
      <c r="AK989" s="59" t="n"/>
      <c r="AL989" s="59" t="n"/>
      <c r="AM989" s="59" t="n"/>
      <c r="AN989" s="59" t="n"/>
      <c r="AO989" s="59" t="n"/>
      <c r="AP989" s="59" t="n"/>
      <c r="AQ989" s="59" t="n"/>
      <c r="AR989" s="59" t="n"/>
      <c r="AS989" s="59" t="n"/>
      <c r="AT989" s="59" t="n"/>
      <c r="AU989" s="59" t="n"/>
      <c r="AV989" s="59" t="n"/>
      <c r="AW989" s="59" t="n"/>
      <c r="AX989" s="59" t="n"/>
      <c r="AY989" s="59" t="n"/>
      <c r="AZ989" s="59" t="n"/>
      <c r="BA989" s="59" t="n"/>
      <c r="BB989" s="59" t="n"/>
      <c r="BC989" s="59" t="n"/>
      <c r="BD989" s="59" t="n"/>
      <c r="BE989" s="59" t="n"/>
      <c r="BF989" s="59" t="n"/>
      <c r="BG989" s="59" t="n"/>
      <c r="BH989" s="59" t="n"/>
      <c r="BI989" s="59" t="n"/>
      <c r="BJ989" s="59" t="n"/>
      <c r="BK989" s="59" t="n"/>
      <c r="BL989" s="59" t="n"/>
      <c r="BM989" s="59" t="n"/>
      <c r="BN989" s="59" t="n"/>
      <c r="BO989" s="59" t="n"/>
      <c r="BP989" s="59" t="n"/>
      <c r="BQ989" s="59" t="n"/>
      <c r="BR989" s="59" t="n"/>
      <c r="BS989" s="59" t="n"/>
      <c r="BT989" s="59" t="n"/>
      <c r="BU989" s="59" t="n"/>
      <c r="BV989" s="59" t="n"/>
      <c r="BW989" s="59" t="n"/>
      <c r="BX989" s="59" t="n"/>
      <c r="BY989" s="59" t="n"/>
      <c r="BZ989" s="59" t="n"/>
      <c r="CA989" s="59" t="n"/>
      <c r="CB989" s="59" t="n"/>
      <c r="CC989" s="59" t="n"/>
      <c r="CD989" s="59" t="n"/>
      <c r="CE989" s="59" t="n"/>
      <c r="CF989" s="59" t="n"/>
      <c r="CG989" s="59" t="n"/>
      <c r="CH989" s="59" t="n"/>
      <c r="CI989" s="59" t="n"/>
      <c r="CJ989" s="59" t="n"/>
      <c r="CK989" s="59" t="n"/>
      <c r="CL989" s="59" t="n"/>
      <c r="CM989" s="59" t="n"/>
      <c r="CN989" s="59" t="n"/>
    </row>
    <row r="990" ht="15" customFormat="1" customHeight="1" s="3">
      <c r="A990">
        <f>A989+1</f>
        <v/>
      </c>
      <c r="I990" s="20" t="n"/>
      <c r="K990">
        <f>I990+J990</f>
        <v/>
      </c>
      <c r="X990" s="59" t="n"/>
      <c r="Y990" s="59" t="n"/>
      <c r="Z990" s="59" t="n"/>
      <c r="AA990" s="59" t="n"/>
      <c r="AB990" s="59" t="n"/>
      <c r="AC990" s="59" t="n"/>
      <c r="AD990" s="59" t="n"/>
      <c r="AE990" s="59" t="n"/>
      <c r="AF990" s="59" t="n"/>
      <c r="AG990" s="59" t="n"/>
      <c r="AH990" s="59" t="n"/>
      <c r="AI990" s="59" t="n"/>
      <c r="AJ990" s="59" t="n"/>
      <c r="AK990" s="59" t="n"/>
      <c r="AL990" s="59" t="n"/>
      <c r="AM990" s="59" t="n"/>
      <c r="AN990" s="59" t="n"/>
      <c r="AO990" s="59" t="n"/>
      <c r="AP990" s="59" t="n"/>
      <c r="AQ990" s="59" t="n"/>
      <c r="AR990" s="59" t="n"/>
      <c r="AS990" s="59" t="n"/>
      <c r="AT990" s="59" t="n"/>
      <c r="AU990" s="59" t="n"/>
      <c r="AV990" s="59" t="n"/>
      <c r="AW990" s="59" t="n"/>
      <c r="AX990" s="59" t="n"/>
      <c r="AY990" s="59" t="n"/>
      <c r="AZ990" s="59" t="n"/>
      <c r="BA990" s="59" t="n"/>
      <c r="BB990" s="59" t="n"/>
      <c r="BC990" s="59" t="n"/>
      <c r="BD990" s="59" t="n"/>
      <c r="BE990" s="59" t="n"/>
      <c r="BF990" s="59" t="n"/>
      <c r="BG990" s="59" t="n"/>
      <c r="BH990" s="59" t="n"/>
      <c r="BI990" s="59" t="n"/>
      <c r="BJ990" s="59" t="n"/>
      <c r="BK990" s="59" t="n"/>
      <c r="BL990" s="59" t="n"/>
      <c r="BM990" s="59" t="n"/>
      <c r="BN990" s="59" t="n"/>
      <c r="BO990" s="59" t="n"/>
      <c r="BP990" s="59" t="n"/>
      <c r="BQ990" s="59" t="n"/>
      <c r="BR990" s="59" t="n"/>
      <c r="BS990" s="59" t="n"/>
      <c r="BT990" s="59" t="n"/>
      <c r="BU990" s="59" t="n"/>
      <c r="BV990" s="59" t="n"/>
      <c r="BW990" s="59" t="n"/>
      <c r="BX990" s="59" t="n"/>
      <c r="BY990" s="59" t="n"/>
      <c r="BZ990" s="59" t="n"/>
      <c r="CA990" s="59" t="n"/>
      <c r="CB990" s="59" t="n"/>
      <c r="CC990" s="59" t="n"/>
      <c r="CD990" s="59" t="n"/>
      <c r="CE990" s="59" t="n"/>
      <c r="CF990" s="59" t="n"/>
      <c r="CG990" s="59" t="n"/>
      <c r="CH990" s="59" t="n"/>
      <c r="CI990" s="59" t="n"/>
      <c r="CJ990" s="59" t="n"/>
      <c r="CK990" s="59" t="n"/>
      <c r="CL990" s="59" t="n"/>
      <c r="CM990" s="59" t="n"/>
      <c r="CN990" s="59" t="n"/>
    </row>
    <row r="991" ht="15" customFormat="1" customHeight="1" s="3">
      <c r="A991">
        <f>A990+1</f>
        <v/>
      </c>
      <c r="I991" s="20" t="n"/>
      <c r="K991">
        <f>I991+J991</f>
        <v/>
      </c>
      <c r="X991" s="59" t="n"/>
      <c r="Y991" s="59" t="n"/>
      <c r="Z991" s="59" t="n"/>
      <c r="AA991" s="59" t="n"/>
      <c r="AB991" s="59" t="n"/>
      <c r="AC991" s="59" t="n"/>
      <c r="AD991" s="59" t="n"/>
      <c r="AE991" s="59" t="n"/>
      <c r="AF991" s="59" t="n"/>
      <c r="AG991" s="59" t="n"/>
      <c r="AH991" s="59" t="n"/>
      <c r="AI991" s="59" t="n"/>
      <c r="AJ991" s="59" t="n"/>
      <c r="AK991" s="59" t="n"/>
      <c r="AL991" s="59" t="n"/>
      <c r="AM991" s="59" t="n"/>
      <c r="AN991" s="59" t="n"/>
      <c r="AO991" s="59" t="n"/>
      <c r="AP991" s="59" t="n"/>
      <c r="AQ991" s="59" t="n"/>
      <c r="AR991" s="59" t="n"/>
      <c r="AS991" s="59" t="n"/>
      <c r="AT991" s="59" t="n"/>
      <c r="AU991" s="59" t="n"/>
      <c r="AV991" s="59" t="n"/>
      <c r="AW991" s="59" t="n"/>
      <c r="AX991" s="59" t="n"/>
      <c r="AY991" s="59" t="n"/>
      <c r="AZ991" s="59" t="n"/>
      <c r="BA991" s="59" t="n"/>
      <c r="BB991" s="59" t="n"/>
      <c r="BC991" s="59" t="n"/>
      <c r="BD991" s="59" t="n"/>
      <c r="BE991" s="59" t="n"/>
      <c r="BF991" s="59" t="n"/>
      <c r="BG991" s="59" t="n"/>
      <c r="BH991" s="59" t="n"/>
      <c r="BI991" s="59" t="n"/>
      <c r="BJ991" s="59" t="n"/>
      <c r="BK991" s="59" t="n"/>
      <c r="BL991" s="59" t="n"/>
      <c r="BM991" s="59" t="n"/>
      <c r="BN991" s="59" t="n"/>
      <c r="BO991" s="59" t="n"/>
      <c r="BP991" s="59" t="n"/>
      <c r="BQ991" s="59" t="n"/>
      <c r="BR991" s="59" t="n"/>
      <c r="BS991" s="59" t="n"/>
      <c r="BT991" s="59" t="n"/>
      <c r="BU991" s="59" t="n"/>
      <c r="BV991" s="59" t="n"/>
      <c r="BW991" s="59" t="n"/>
      <c r="BX991" s="59" t="n"/>
      <c r="BY991" s="59" t="n"/>
      <c r="BZ991" s="59" t="n"/>
      <c r="CA991" s="59" t="n"/>
      <c r="CB991" s="59" t="n"/>
      <c r="CC991" s="59" t="n"/>
      <c r="CD991" s="59" t="n"/>
      <c r="CE991" s="59" t="n"/>
      <c r="CF991" s="59" t="n"/>
      <c r="CG991" s="59" t="n"/>
      <c r="CH991" s="59" t="n"/>
      <c r="CI991" s="59" t="n"/>
      <c r="CJ991" s="59" t="n"/>
      <c r="CK991" s="59" t="n"/>
      <c r="CL991" s="59" t="n"/>
      <c r="CM991" s="59" t="n"/>
      <c r="CN991" s="59" t="n"/>
    </row>
    <row r="992" ht="15" customFormat="1" customHeight="1" s="3">
      <c r="A992">
        <f>A991+1</f>
        <v/>
      </c>
      <c r="I992" s="20" t="n"/>
      <c r="K992">
        <f>I992+J992</f>
        <v/>
      </c>
      <c r="X992" s="59" t="n"/>
      <c r="Y992" s="59" t="n"/>
      <c r="Z992" s="59" t="n"/>
      <c r="AA992" s="59" t="n"/>
      <c r="AB992" s="59" t="n"/>
      <c r="AC992" s="59" t="n"/>
      <c r="AD992" s="59" t="n"/>
      <c r="AE992" s="59" t="n"/>
      <c r="AF992" s="59" t="n"/>
      <c r="AG992" s="59" t="n"/>
      <c r="AH992" s="59" t="n"/>
      <c r="AI992" s="59" t="n"/>
      <c r="AJ992" s="59" t="n"/>
      <c r="AK992" s="59" t="n"/>
      <c r="AL992" s="59" t="n"/>
      <c r="AM992" s="59" t="n"/>
      <c r="AN992" s="59" t="n"/>
      <c r="AO992" s="59" t="n"/>
      <c r="AP992" s="59" t="n"/>
      <c r="AQ992" s="59" t="n"/>
      <c r="AR992" s="59" t="n"/>
      <c r="AS992" s="59" t="n"/>
      <c r="AT992" s="59" t="n"/>
      <c r="AU992" s="59" t="n"/>
      <c r="AV992" s="59" t="n"/>
      <c r="AW992" s="59" t="n"/>
      <c r="AX992" s="59" t="n"/>
      <c r="AY992" s="59" t="n"/>
      <c r="AZ992" s="59" t="n"/>
      <c r="BA992" s="59" t="n"/>
      <c r="BB992" s="59" t="n"/>
      <c r="BC992" s="59" t="n"/>
      <c r="BD992" s="59" t="n"/>
      <c r="BE992" s="59" t="n"/>
      <c r="BF992" s="59" t="n"/>
      <c r="BG992" s="59" t="n"/>
      <c r="BH992" s="59" t="n"/>
      <c r="BI992" s="59" t="n"/>
      <c r="BJ992" s="59" t="n"/>
      <c r="BK992" s="59" t="n"/>
      <c r="BL992" s="59" t="n"/>
      <c r="BM992" s="59" t="n"/>
      <c r="BN992" s="59" t="n"/>
      <c r="BO992" s="59" t="n"/>
      <c r="BP992" s="59" t="n"/>
      <c r="BQ992" s="59" t="n"/>
      <c r="BR992" s="59" t="n"/>
      <c r="BS992" s="59" t="n"/>
      <c r="BT992" s="59" t="n"/>
      <c r="BU992" s="59" t="n"/>
      <c r="BV992" s="59" t="n"/>
      <c r="BW992" s="59" t="n"/>
      <c r="BX992" s="59" t="n"/>
      <c r="BY992" s="59" t="n"/>
      <c r="BZ992" s="59" t="n"/>
      <c r="CA992" s="59" t="n"/>
      <c r="CB992" s="59" t="n"/>
      <c r="CC992" s="59" t="n"/>
      <c r="CD992" s="59" t="n"/>
      <c r="CE992" s="59" t="n"/>
      <c r="CF992" s="59" t="n"/>
      <c r="CG992" s="59" t="n"/>
      <c r="CH992" s="59" t="n"/>
      <c r="CI992" s="59" t="n"/>
      <c r="CJ992" s="59" t="n"/>
      <c r="CK992" s="59" t="n"/>
      <c r="CL992" s="59" t="n"/>
      <c r="CM992" s="59" t="n"/>
      <c r="CN992" s="59" t="n"/>
    </row>
    <row r="993" ht="15" customFormat="1" customHeight="1" s="3">
      <c r="A993">
        <f>A992+1</f>
        <v/>
      </c>
      <c r="I993" s="20" t="n"/>
      <c r="K993">
        <f>I993+J993</f>
        <v/>
      </c>
      <c r="X993" s="59" t="n"/>
      <c r="Y993" s="59" t="n"/>
      <c r="Z993" s="59" t="n"/>
      <c r="AA993" s="59" t="n"/>
      <c r="AB993" s="59" t="n"/>
      <c r="AC993" s="59" t="n"/>
      <c r="AD993" s="59" t="n"/>
      <c r="AE993" s="59" t="n"/>
      <c r="AF993" s="59" t="n"/>
      <c r="AG993" s="59" t="n"/>
      <c r="AH993" s="59" t="n"/>
      <c r="AI993" s="59" t="n"/>
      <c r="AJ993" s="59" t="n"/>
      <c r="AK993" s="59" t="n"/>
      <c r="AL993" s="59" t="n"/>
      <c r="AM993" s="59" t="n"/>
      <c r="AN993" s="59" t="n"/>
      <c r="AO993" s="59" t="n"/>
      <c r="AP993" s="59" t="n"/>
      <c r="AQ993" s="59" t="n"/>
      <c r="AR993" s="59" t="n"/>
      <c r="AS993" s="59" t="n"/>
      <c r="AT993" s="59" t="n"/>
      <c r="AU993" s="59" t="n"/>
      <c r="AV993" s="59" t="n"/>
      <c r="AW993" s="59" t="n"/>
      <c r="AX993" s="59" t="n"/>
      <c r="AY993" s="59" t="n"/>
      <c r="AZ993" s="59" t="n"/>
      <c r="BA993" s="59" t="n"/>
      <c r="BB993" s="59" t="n"/>
      <c r="BC993" s="59" t="n"/>
      <c r="BD993" s="59" t="n"/>
      <c r="BE993" s="59" t="n"/>
      <c r="BF993" s="59" t="n"/>
      <c r="BG993" s="59" t="n"/>
      <c r="BH993" s="59" t="n"/>
      <c r="BI993" s="59" t="n"/>
      <c r="BJ993" s="59" t="n"/>
      <c r="BK993" s="59" t="n"/>
      <c r="BL993" s="59" t="n"/>
      <c r="BM993" s="59" t="n"/>
      <c r="BN993" s="59" t="n"/>
      <c r="BO993" s="59" t="n"/>
      <c r="BP993" s="59" t="n"/>
      <c r="BQ993" s="59" t="n"/>
      <c r="BR993" s="59" t="n"/>
      <c r="BS993" s="59" t="n"/>
      <c r="BT993" s="59" t="n"/>
      <c r="BU993" s="59" t="n"/>
      <c r="BV993" s="59" t="n"/>
      <c r="BW993" s="59" t="n"/>
      <c r="BX993" s="59" t="n"/>
      <c r="BY993" s="59" t="n"/>
      <c r="BZ993" s="59" t="n"/>
      <c r="CA993" s="59" t="n"/>
      <c r="CB993" s="59" t="n"/>
      <c r="CC993" s="59" t="n"/>
      <c r="CD993" s="59" t="n"/>
      <c r="CE993" s="59" t="n"/>
      <c r="CF993" s="59" t="n"/>
      <c r="CG993" s="59" t="n"/>
      <c r="CH993" s="59" t="n"/>
      <c r="CI993" s="59" t="n"/>
      <c r="CJ993" s="59" t="n"/>
      <c r="CK993" s="59" t="n"/>
      <c r="CL993" s="59" t="n"/>
      <c r="CM993" s="59" t="n"/>
      <c r="CN993" s="59" t="n"/>
    </row>
    <row r="994" ht="15" customFormat="1" customHeight="1" s="3">
      <c r="A994">
        <f>A993+1</f>
        <v/>
      </c>
      <c r="I994" s="20" t="n"/>
      <c r="K994">
        <f>I994+J994</f>
        <v/>
      </c>
      <c r="X994" s="59" t="n"/>
      <c r="Y994" s="59" t="n"/>
      <c r="Z994" s="59" t="n"/>
      <c r="AA994" s="59" t="n"/>
      <c r="AB994" s="59" t="n"/>
      <c r="AC994" s="59" t="n"/>
      <c r="AD994" s="59" t="n"/>
      <c r="AE994" s="59" t="n"/>
      <c r="AF994" s="59" t="n"/>
      <c r="AG994" s="59" t="n"/>
      <c r="AH994" s="59" t="n"/>
      <c r="AI994" s="59" t="n"/>
      <c r="AJ994" s="59" t="n"/>
      <c r="AK994" s="59" t="n"/>
      <c r="AL994" s="59" t="n"/>
      <c r="AM994" s="59" t="n"/>
      <c r="AN994" s="59" t="n"/>
      <c r="AO994" s="59" t="n"/>
      <c r="AP994" s="59" t="n"/>
      <c r="AQ994" s="59" t="n"/>
      <c r="AR994" s="59" t="n"/>
      <c r="AS994" s="59" t="n"/>
      <c r="AT994" s="59" t="n"/>
      <c r="AU994" s="59" t="n"/>
      <c r="AV994" s="59" t="n"/>
      <c r="AW994" s="59" t="n"/>
      <c r="AX994" s="59" t="n"/>
      <c r="AY994" s="59" t="n"/>
      <c r="AZ994" s="59" t="n"/>
      <c r="BA994" s="59" t="n"/>
      <c r="BB994" s="59" t="n"/>
      <c r="BC994" s="59" t="n"/>
      <c r="BD994" s="59" t="n"/>
      <c r="BE994" s="59" t="n"/>
      <c r="BF994" s="59" t="n"/>
      <c r="BG994" s="59" t="n"/>
      <c r="BH994" s="59" t="n"/>
      <c r="BI994" s="59" t="n"/>
      <c r="BJ994" s="59" t="n"/>
      <c r="BK994" s="59" t="n"/>
      <c r="BL994" s="59" t="n"/>
      <c r="BM994" s="59" t="n"/>
      <c r="BN994" s="59" t="n"/>
      <c r="BO994" s="59" t="n"/>
      <c r="BP994" s="59" t="n"/>
      <c r="BQ994" s="59" t="n"/>
      <c r="BR994" s="59" t="n"/>
      <c r="BS994" s="59" t="n"/>
      <c r="BT994" s="59" t="n"/>
      <c r="BU994" s="59" t="n"/>
      <c r="BV994" s="59" t="n"/>
      <c r="BW994" s="59" t="n"/>
      <c r="BX994" s="59" t="n"/>
      <c r="BY994" s="59" t="n"/>
      <c r="BZ994" s="59" t="n"/>
      <c r="CA994" s="59" t="n"/>
      <c r="CB994" s="59" t="n"/>
      <c r="CC994" s="59" t="n"/>
      <c r="CD994" s="59" t="n"/>
      <c r="CE994" s="59" t="n"/>
      <c r="CF994" s="59" t="n"/>
      <c r="CG994" s="59" t="n"/>
      <c r="CH994" s="59" t="n"/>
      <c r="CI994" s="59" t="n"/>
      <c r="CJ994" s="59" t="n"/>
      <c r="CK994" s="59" t="n"/>
      <c r="CL994" s="59" t="n"/>
      <c r="CM994" s="59" t="n"/>
      <c r="CN994" s="59" t="n"/>
    </row>
    <row r="995" ht="15" customFormat="1" customHeight="1" s="3">
      <c r="A995">
        <f>A994+1</f>
        <v/>
      </c>
      <c r="I995" s="20" t="n"/>
      <c r="K995">
        <f>I995+J995</f>
        <v/>
      </c>
      <c r="X995" s="59" t="n"/>
      <c r="Y995" s="59" t="n"/>
      <c r="Z995" s="59" t="n"/>
      <c r="AA995" s="59" t="n"/>
      <c r="AB995" s="59" t="n"/>
      <c r="AC995" s="59" t="n"/>
      <c r="AD995" s="59" t="n"/>
      <c r="AE995" s="59" t="n"/>
      <c r="AF995" s="59" t="n"/>
      <c r="AG995" s="59" t="n"/>
      <c r="AH995" s="59" t="n"/>
      <c r="AI995" s="59" t="n"/>
      <c r="AJ995" s="59" t="n"/>
      <c r="AK995" s="59" t="n"/>
      <c r="AL995" s="59" t="n"/>
      <c r="AM995" s="59" t="n"/>
      <c r="AN995" s="59" t="n"/>
      <c r="AO995" s="59" t="n"/>
      <c r="AP995" s="59" t="n"/>
      <c r="AQ995" s="59" t="n"/>
      <c r="AR995" s="59" t="n"/>
      <c r="AS995" s="59" t="n"/>
      <c r="AT995" s="59" t="n"/>
      <c r="AU995" s="59" t="n"/>
      <c r="AV995" s="59" t="n"/>
      <c r="AW995" s="59" t="n"/>
      <c r="AX995" s="59" t="n"/>
      <c r="AY995" s="59" t="n"/>
      <c r="AZ995" s="59" t="n"/>
      <c r="BA995" s="59" t="n"/>
      <c r="BB995" s="59" t="n"/>
      <c r="BC995" s="59" t="n"/>
      <c r="BD995" s="59" t="n"/>
      <c r="BE995" s="59" t="n"/>
      <c r="BF995" s="59" t="n"/>
      <c r="BG995" s="59" t="n"/>
      <c r="BH995" s="59" t="n"/>
      <c r="BI995" s="59" t="n"/>
      <c r="BJ995" s="59" t="n"/>
      <c r="BK995" s="59" t="n"/>
      <c r="BL995" s="59" t="n"/>
      <c r="BM995" s="59" t="n"/>
      <c r="BN995" s="59" t="n"/>
      <c r="BO995" s="59" t="n"/>
      <c r="BP995" s="59" t="n"/>
      <c r="BQ995" s="59" t="n"/>
      <c r="BR995" s="59" t="n"/>
      <c r="BS995" s="59" t="n"/>
      <c r="BT995" s="59" t="n"/>
      <c r="BU995" s="59" t="n"/>
      <c r="BV995" s="59" t="n"/>
      <c r="BW995" s="59" t="n"/>
      <c r="BX995" s="59" t="n"/>
      <c r="BY995" s="59" t="n"/>
      <c r="BZ995" s="59" t="n"/>
      <c r="CA995" s="59" t="n"/>
      <c r="CB995" s="59" t="n"/>
      <c r="CC995" s="59" t="n"/>
      <c r="CD995" s="59" t="n"/>
      <c r="CE995" s="59" t="n"/>
      <c r="CF995" s="59" t="n"/>
      <c r="CG995" s="59" t="n"/>
      <c r="CH995" s="59" t="n"/>
      <c r="CI995" s="59" t="n"/>
      <c r="CJ995" s="59" t="n"/>
      <c r="CK995" s="59" t="n"/>
      <c r="CL995" s="59" t="n"/>
      <c r="CM995" s="59" t="n"/>
      <c r="CN995" s="59" t="n"/>
    </row>
    <row r="996" ht="15" customFormat="1" customHeight="1" s="3">
      <c r="A996">
        <f>A995+1</f>
        <v/>
      </c>
      <c r="I996" s="20" t="n"/>
      <c r="K996">
        <f>I996+J996</f>
        <v/>
      </c>
      <c r="X996" s="59" t="n"/>
      <c r="Y996" s="59" t="n"/>
      <c r="Z996" s="59" t="n"/>
      <c r="AA996" s="59" t="n"/>
      <c r="AB996" s="59" t="n"/>
      <c r="AC996" s="59" t="n"/>
      <c r="AD996" s="59" t="n"/>
      <c r="AE996" s="59" t="n"/>
      <c r="AF996" s="59" t="n"/>
      <c r="AG996" s="59" t="n"/>
      <c r="AH996" s="59" t="n"/>
      <c r="AI996" s="59" t="n"/>
      <c r="AJ996" s="59" t="n"/>
      <c r="AK996" s="59" t="n"/>
      <c r="AL996" s="59" t="n"/>
      <c r="AM996" s="59" t="n"/>
      <c r="AN996" s="59" t="n"/>
      <c r="AO996" s="59" t="n"/>
      <c r="AP996" s="59" t="n"/>
      <c r="AQ996" s="59" t="n"/>
      <c r="AR996" s="59" t="n"/>
      <c r="AS996" s="59" t="n"/>
      <c r="AT996" s="59" t="n"/>
      <c r="AU996" s="59" t="n"/>
      <c r="AV996" s="59" t="n"/>
      <c r="AW996" s="59" t="n"/>
      <c r="AX996" s="59" t="n"/>
      <c r="AY996" s="59" t="n"/>
      <c r="AZ996" s="59" t="n"/>
      <c r="BA996" s="59" t="n"/>
      <c r="BB996" s="59" t="n"/>
      <c r="BC996" s="59" t="n"/>
      <c r="BD996" s="59" t="n"/>
      <c r="BE996" s="59" t="n"/>
      <c r="BF996" s="59" t="n"/>
      <c r="BG996" s="59" t="n"/>
      <c r="BH996" s="59" t="n"/>
      <c r="BI996" s="59" t="n"/>
      <c r="BJ996" s="59" t="n"/>
      <c r="BK996" s="59" t="n"/>
      <c r="BL996" s="59" t="n"/>
      <c r="BM996" s="59" t="n"/>
      <c r="BN996" s="59" t="n"/>
      <c r="BO996" s="59" t="n"/>
      <c r="BP996" s="59" t="n"/>
      <c r="BQ996" s="59" t="n"/>
      <c r="BR996" s="59" t="n"/>
      <c r="BS996" s="59" t="n"/>
      <c r="BT996" s="59" t="n"/>
      <c r="BU996" s="59" t="n"/>
      <c r="BV996" s="59" t="n"/>
      <c r="BW996" s="59" t="n"/>
      <c r="BX996" s="59" t="n"/>
      <c r="BY996" s="59" t="n"/>
      <c r="BZ996" s="59" t="n"/>
      <c r="CA996" s="59" t="n"/>
      <c r="CB996" s="59" t="n"/>
      <c r="CC996" s="59" t="n"/>
      <c r="CD996" s="59" t="n"/>
      <c r="CE996" s="59" t="n"/>
      <c r="CF996" s="59" t="n"/>
      <c r="CG996" s="59" t="n"/>
      <c r="CH996" s="59" t="n"/>
      <c r="CI996" s="59" t="n"/>
      <c r="CJ996" s="59" t="n"/>
      <c r="CK996" s="59" t="n"/>
      <c r="CL996" s="59" t="n"/>
      <c r="CM996" s="59" t="n"/>
      <c r="CN996" s="59" t="n"/>
    </row>
    <row r="997" ht="15" customFormat="1" customHeight="1" s="3">
      <c r="A997">
        <f>A996+1</f>
        <v/>
      </c>
      <c r="I997" s="20" t="n"/>
      <c r="K997">
        <f>I997+J997</f>
        <v/>
      </c>
      <c r="X997" s="59" t="n"/>
      <c r="Y997" s="59" t="n"/>
      <c r="Z997" s="59" t="n"/>
      <c r="AA997" s="59" t="n"/>
      <c r="AB997" s="59" t="n"/>
      <c r="AC997" s="59" t="n"/>
      <c r="AD997" s="59" t="n"/>
      <c r="AE997" s="59" t="n"/>
      <c r="AF997" s="59" t="n"/>
      <c r="AG997" s="59" t="n"/>
      <c r="AH997" s="59" t="n"/>
      <c r="AI997" s="59" t="n"/>
      <c r="AJ997" s="59" t="n"/>
      <c r="AK997" s="59" t="n"/>
      <c r="AL997" s="59" t="n"/>
      <c r="AM997" s="59" t="n"/>
      <c r="AN997" s="59" t="n"/>
      <c r="AO997" s="59" t="n"/>
      <c r="AP997" s="59" t="n"/>
      <c r="AQ997" s="59" t="n"/>
      <c r="AR997" s="59" t="n"/>
      <c r="AS997" s="59" t="n"/>
      <c r="AT997" s="59" t="n"/>
      <c r="AU997" s="59" t="n"/>
      <c r="AV997" s="59" t="n"/>
      <c r="AW997" s="59" t="n"/>
      <c r="AX997" s="59" t="n"/>
      <c r="AY997" s="59" t="n"/>
      <c r="AZ997" s="59" t="n"/>
      <c r="BA997" s="59" t="n"/>
      <c r="BB997" s="59" t="n"/>
      <c r="BC997" s="59" t="n"/>
      <c r="BD997" s="59" t="n"/>
      <c r="BE997" s="59" t="n"/>
      <c r="BF997" s="59" t="n"/>
      <c r="BG997" s="59" t="n"/>
      <c r="BH997" s="59" t="n"/>
      <c r="BI997" s="59" t="n"/>
      <c r="BJ997" s="59" t="n"/>
      <c r="BK997" s="59" t="n"/>
      <c r="BL997" s="59" t="n"/>
      <c r="BM997" s="59" t="n"/>
      <c r="BN997" s="59" t="n"/>
      <c r="BO997" s="59" t="n"/>
      <c r="BP997" s="59" t="n"/>
      <c r="BQ997" s="59" t="n"/>
      <c r="BR997" s="59" t="n"/>
      <c r="BS997" s="59" t="n"/>
      <c r="BT997" s="59" t="n"/>
      <c r="BU997" s="59" t="n"/>
      <c r="BV997" s="59" t="n"/>
      <c r="BW997" s="59" t="n"/>
      <c r="BX997" s="59" t="n"/>
      <c r="BY997" s="59" t="n"/>
      <c r="BZ997" s="59" t="n"/>
      <c r="CA997" s="59" t="n"/>
      <c r="CB997" s="59" t="n"/>
      <c r="CC997" s="59" t="n"/>
      <c r="CD997" s="59" t="n"/>
      <c r="CE997" s="59" t="n"/>
      <c r="CF997" s="59" t="n"/>
      <c r="CG997" s="59" t="n"/>
      <c r="CH997" s="59" t="n"/>
      <c r="CI997" s="59" t="n"/>
      <c r="CJ997" s="59" t="n"/>
      <c r="CK997" s="59" t="n"/>
      <c r="CL997" s="59" t="n"/>
      <c r="CM997" s="59" t="n"/>
      <c r="CN997" s="59" t="n"/>
    </row>
    <row r="998" ht="15" customFormat="1" customHeight="1" s="3">
      <c r="A998">
        <f>A997+1</f>
        <v/>
      </c>
      <c r="I998" s="20" t="n"/>
      <c r="K998">
        <f>I998+J998</f>
        <v/>
      </c>
      <c r="X998" s="59" t="n"/>
      <c r="Y998" s="59" t="n"/>
      <c r="Z998" s="59" t="n"/>
      <c r="AA998" s="59" t="n"/>
      <c r="AB998" s="59" t="n"/>
      <c r="AC998" s="59" t="n"/>
      <c r="AD998" s="59" t="n"/>
      <c r="AE998" s="59" t="n"/>
      <c r="AF998" s="59" t="n"/>
      <c r="AG998" s="59" t="n"/>
      <c r="AH998" s="59" t="n"/>
      <c r="AI998" s="59" t="n"/>
      <c r="AJ998" s="59" t="n"/>
      <c r="AK998" s="59" t="n"/>
      <c r="AL998" s="59" t="n"/>
      <c r="AM998" s="59" t="n"/>
      <c r="AN998" s="59" t="n"/>
      <c r="AO998" s="59" t="n"/>
      <c r="AP998" s="59" t="n"/>
      <c r="AQ998" s="59" t="n"/>
      <c r="AR998" s="59" t="n"/>
      <c r="AS998" s="59" t="n"/>
      <c r="AT998" s="59" t="n"/>
      <c r="AU998" s="59" t="n"/>
      <c r="AV998" s="59" t="n"/>
      <c r="AW998" s="59" t="n"/>
      <c r="AX998" s="59" t="n"/>
      <c r="AY998" s="59" t="n"/>
      <c r="AZ998" s="59" t="n"/>
      <c r="BA998" s="59" t="n"/>
      <c r="BB998" s="59" t="n"/>
      <c r="BC998" s="59" t="n"/>
      <c r="BD998" s="59" t="n"/>
      <c r="BE998" s="59" t="n"/>
      <c r="BF998" s="59" t="n"/>
      <c r="BG998" s="59" t="n"/>
      <c r="BH998" s="59" t="n"/>
      <c r="BI998" s="59" t="n"/>
      <c r="BJ998" s="59" t="n"/>
      <c r="BK998" s="59" t="n"/>
      <c r="BL998" s="59" t="n"/>
      <c r="BM998" s="59" t="n"/>
      <c r="BN998" s="59" t="n"/>
      <c r="BO998" s="59" t="n"/>
      <c r="BP998" s="59" t="n"/>
      <c r="BQ998" s="59" t="n"/>
      <c r="BR998" s="59" t="n"/>
      <c r="BS998" s="59" t="n"/>
      <c r="BT998" s="59" t="n"/>
      <c r="BU998" s="59" t="n"/>
      <c r="BV998" s="59" t="n"/>
      <c r="BW998" s="59" t="n"/>
      <c r="BX998" s="59" t="n"/>
      <c r="BY998" s="59" t="n"/>
      <c r="BZ998" s="59" t="n"/>
      <c r="CA998" s="59" t="n"/>
      <c r="CB998" s="59" t="n"/>
      <c r="CC998" s="59" t="n"/>
      <c r="CD998" s="59" t="n"/>
      <c r="CE998" s="59" t="n"/>
      <c r="CF998" s="59" t="n"/>
      <c r="CG998" s="59" t="n"/>
      <c r="CH998" s="59" t="n"/>
      <c r="CI998" s="59" t="n"/>
      <c r="CJ998" s="59" t="n"/>
      <c r="CK998" s="59" t="n"/>
      <c r="CL998" s="59" t="n"/>
      <c r="CM998" s="59" t="n"/>
      <c r="CN998" s="59" t="n"/>
    </row>
    <row r="999" ht="15" customFormat="1" customHeight="1" s="3">
      <c r="A999">
        <f>A998+1</f>
        <v/>
      </c>
      <c r="I999" s="20" t="n"/>
      <c r="K999">
        <f>I999+J999</f>
        <v/>
      </c>
      <c r="X999" s="59" t="n"/>
      <c r="Y999" s="59" t="n"/>
      <c r="Z999" s="59" t="n"/>
      <c r="AA999" s="59" t="n"/>
      <c r="AB999" s="59" t="n"/>
      <c r="AC999" s="59" t="n"/>
      <c r="AD999" s="59" t="n"/>
      <c r="AE999" s="59" t="n"/>
      <c r="AF999" s="59" t="n"/>
      <c r="AG999" s="59" t="n"/>
      <c r="AH999" s="59" t="n"/>
      <c r="AI999" s="59" t="n"/>
      <c r="AJ999" s="59" t="n"/>
      <c r="AK999" s="59" t="n"/>
      <c r="AL999" s="59" t="n"/>
      <c r="AM999" s="59" t="n"/>
      <c r="AN999" s="59" t="n"/>
      <c r="AO999" s="59" t="n"/>
      <c r="AP999" s="59" t="n"/>
      <c r="AQ999" s="59" t="n"/>
      <c r="AR999" s="59" t="n"/>
      <c r="AS999" s="59" t="n"/>
      <c r="AT999" s="59" t="n"/>
      <c r="AU999" s="59" t="n"/>
      <c r="AV999" s="59" t="n"/>
      <c r="AW999" s="59" t="n"/>
      <c r="AX999" s="59" t="n"/>
      <c r="AY999" s="59" t="n"/>
      <c r="AZ999" s="59" t="n"/>
      <c r="BA999" s="59" t="n"/>
      <c r="BB999" s="59" t="n"/>
      <c r="BC999" s="59" t="n"/>
      <c r="BD999" s="59" t="n"/>
      <c r="BE999" s="59" t="n"/>
      <c r="BF999" s="59" t="n"/>
      <c r="BG999" s="59" t="n"/>
      <c r="BH999" s="59" t="n"/>
      <c r="BI999" s="59" t="n"/>
      <c r="BJ999" s="59" t="n"/>
      <c r="BK999" s="59" t="n"/>
      <c r="BL999" s="59" t="n"/>
      <c r="BM999" s="59" t="n"/>
      <c r="BN999" s="59" t="n"/>
      <c r="BO999" s="59" t="n"/>
      <c r="BP999" s="59" t="n"/>
      <c r="BQ999" s="59" t="n"/>
      <c r="BR999" s="59" t="n"/>
      <c r="BS999" s="59" t="n"/>
      <c r="BT999" s="59" t="n"/>
      <c r="BU999" s="59" t="n"/>
      <c r="BV999" s="59" t="n"/>
      <c r="BW999" s="59" t="n"/>
      <c r="BX999" s="59" t="n"/>
      <c r="BY999" s="59" t="n"/>
      <c r="BZ999" s="59" t="n"/>
      <c r="CA999" s="59" t="n"/>
      <c r="CB999" s="59" t="n"/>
      <c r="CC999" s="59" t="n"/>
      <c r="CD999" s="59" t="n"/>
      <c r="CE999" s="59" t="n"/>
      <c r="CF999" s="59" t="n"/>
      <c r="CG999" s="59" t="n"/>
      <c r="CH999" s="59" t="n"/>
      <c r="CI999" s="59" t="n"/>
      <c r="CJ999" s="59" t="n"/>
      <c r="CK999" s="59" t="n"/>
      <c r="CL999" s="59" t="n"/>
      <c r="CM999" s="59" t="n"/>
      <c r="CN999" s="59" t="n"/>
    </row>
    <row r="1000" ht="15" customFormat="1" customHeight="1" s="3">
      <c r="A1000">
        <f>A999+1</f>
        <v/>
      </c>
      <c r="I1000" s="20" t="n"/>
      <c r="K1000">
        <f>I1000+J1000</f>
        <v/>
      </c>
      <c r="X1000" s="59" t="n"/>
      <c r="Y1000" s="59" t="n"/>
      <c r="Z1000" s="59" t="n"/>
      <c r="AA1000" s="59" t="n"/>
      <c r="AB1000" s="59" t="n"/>
      <c r="AC1000" s="59" t="n"/>
      <c r="AD1000" s="59" t="n"/>
      <c r="AE1000" s="59" t="n"/>
      <c r="AF1000" s="59" t="n"/>
      <c r="AG1000" s="59" t="n"/>
      <c r="AH1000" s="59" t="n"/>
      <c r="AI1000" s="59" t="n"/>
      <c r="AJ1000" s="59" t="n"/>
      <c r="AK1000" s="59" t="n"/>
      <c r="AL1000" s="59" t="n"/>
      <c r="AM1000" s="59" t="n"/>
      <c r="AN1000" s="59" t="n"/>
      <c r="AO1000" s="59" t="n"/>
      <c r="AP1000" s="59" t="n"/>
      <c r="AQ1000" s="59" t="n"/>
      <c r="AR1000" s="59" t="n"/>
      <c r="AS1000" s="59" t="n"/>
      <c r="AT1000" s="59" t="n"/>
      <c r="AU1000" s="59" t="n"/>
      <c r="AV1000" s="59" t="n"/>
      <c r="AW1000" s="59" t="n"/>
      <c r="AX1000" s="59" t="n"/>
      <c r="AY1000" s="59" t="n"/>
      <c r="AZ1000" s="59" t="n"/>
      <c r="BA1000" s="59" t="n"/>
      <c r="BB1000" s="59" t="n"/>
      <c r="BC1000" s="59" t="n"/>
      <c r="BD1000" s="59" t="n"/>
      <c r="BE1000" s="59" t="n"/>
      <c r="BF1000" s="59" t="n"/>
      <c r="BG1000" s="59" t="n"/>
      <c r="BH1000" s="59" t="n"/>
      <c r="BI1000" s="59" t="n"/>
      <c r="BJ1000" s="59" t="n"/>
      <c r="BK1000" s="59" t="n"/>
      <c r="BL1000" s="59" t="n"/>
      <c r="BM1000" s="59" t="n"/>
      <c r="BN1000" s="59" t="n"/>
      <c r="BO1000" s="59" t="n"/>
      <c r="BP1000" s="59" t="n"/>
      <c r="BQ1000" s="59" t="n"/>
      <c r="BR1000" s="59" t="n"/>
      <c r="BS1000" s="59" t="n"/>
      <c r="BT1000" s="59" t="n"/>
      <c r="BU1000" s="59" t="n"/>
      <c r="BV1000" s="59" t="n"/>
      <c r="BW1000" s="59" t="n"/>
      <c r="BX1000" s="59" t="n"/>
      <c r="BY1000" s="59" t="n"/>
      <c r="BZ1000" s="59" t="n"/>
      <c r="CA1000" s="59" t="n"/>
      <c r="CB1000" s="59" t="n"/>
      <c r="CC1000" s="59" t="n"/>
      <c r="CD1000" s="59" t="n"/>
      <c r="CE1000" s="59" t="n"/>
      <c r="CF1000" s="59" t="n"/>
      <c r="CG1000" s="59" t="n"/>
      <c r="CH1000" s="59" t="n"/>
      <c r="CI1000" s="59" t="n"/>
      <c r="CJ1000" s="59" t="n"/>
      <c r="CK1000" s="59" t="n"/>
      <c r="CL1000" s="59" t="n"/>
      <c r="CM1000" s="59" t="n"/>
      <c r="CN1000" s="59" t="n"/>
    </row>
    <row r="1001" ht="15" customFormat="1" customHeight="1" s="3">
      <c r="A1001">
        <f>A1000+1</f>
        <v/>
      </c>
      <c r="I1001" s="20" t="n"/>
      <c r="K1001">
        <f>I1001+J1001</f>
        <v/>
      </c>
      <c r="X1001" s="59" t="n"/>
      <c r="Y1001" s="59" t="n"/>
      <c r="Z1001" s="59" t="n"/>
      <c r="AA1001" s="59" t="n"/>
      <c r="AB1001" s="59" t="n"/>
      <c r="AC1001" s="59" t="n"/>
      <c r="AD1001" s="59" t="n"/>
      <c r="AE1001" s="59" t="n"/>
      <c r="AF1001" s="59" t="n"/>
      <c r="AG1001" s="59" t="n"/>
      <c r="AH1001" s="59" t="n"/>
      <c r="AI1001" s="59" t="n"/>
      <c r="AJ1001" s="59" t="n"/>
      <c r="AK1001" s="59" t="n"/>
      <c r="AL1001" s="59" t="n"/>
      <c r="AM1001" s="59" t="n"/>
      <c r="AN1001" s="59" t="n"/>
      <c r="AO1001" s="59" t="n"/>
      <c r="AP1001" s="59" t="n"/>
      <c r="AQ1001" s="59" t="n"/>
      <c r="AR1001" s="59" t="n"/>
      <c r="AS1001" s="59" t="n"/>
      <c r="AT1001" s="59" t="n"/>
      <c r="AU1001" s="59" t="n"/>
      <c r="AV1001" s="59" t="n"/>
      <c r="AW1001" s="59" t="n"/>
      <c r="AX1001" s="59" t="n"/>
      <c r="AY1001" s="59" t="n"/>
      <c r="AZ1001" s="59" t="n"/>
      <c r="BA1001" s="59" t="n"/>
      <c r="BB1001" s="59" t="n"/>
      <c r="BC1001" s="59" t="n"/>
      <c r="BD1001" s="59" t="n"/>
      <c r="BE1001" s="59" t="n"/>
      <c r="BF1001" s="59" t="n"/>
      <c r="BG1001" s="59" t="n"/>
      <c r="BH1001" s="59" t="n"/>
      <c r="BI1001" s="59" t="n"/>
      <c r="BJ1001" s="59" t="n"/>
      <c r="BK1001" s="59" t="n"/>
      <c r="BL1001" s="59" t="n"/>
      <c r="BM1001" s="59" t="n"/>
      <c r="BN1001" s="59" t="n"/>
      <c r="BO1001" s="59" t="n"/>
      <c r="BP1001" s="59" t="n"/>
      <c r="BQ1001" s="59" t="n"/>
      <c r="BR1001" s="59" t="n"/>
      <c r="BS1001" s="59" t="n"/>
      <c r="BT1001" s="59" t="n"/>
      <c r="BU1001" s="59" t="n"/>
      <c r="BV1001" s="59" t="n"/>
      <c r="BW1001" s="59" t="n"/>
      <c r="BX1001" s="59" t="n"/>
      <c r="BY1001" s="59" t="n"/>
      <c r="BZ1001" s="59" t="n"/>
      <c r="CA1001" s="59" t="n"/>
      <c r="CB1001" s="59" t="n"/>
      <c r="CC1001" s="59" t="n"/>
      <c r="CD1001" s="59" t="n"/>
      <c r="CE1001" s="59" t="n"/>
      <c r="CF1001" s="59" t="n"/>
      <c r="CG1001" s="59" t="n"/>
      <c r="CH1001" s="59" t="n"/>
      <c r="CI1001" s="59" t="n"/>
      <c r="CJ1001" s="59" t="n"/>
      <c r="CK1001" s="59" t="n"/>
      <c r="CL1001" s="59" t="n"/>
      <c r="CM1001" s="59" t="n"/>
      <c r="CN1001" s="59" t="n"/>
    </row>
    <row r="1002" ht="15" customFormat="1" customHeight="1" s="3">
      <c r="A1002">
        <f>A1001+1</f>
        <v/>
      </c>
      <c r="I1002" s="20" t="n"/>
      <c r="K1002">
        <f>I1002+J1002</f>
        <v/>
      </c>
      <c r="X1002" s="59" t="n"/>
      <c r="Y1002" s="59" t="n"/>
      <c r="Z1002" s="59" t="n"/>
      <c r="AA1002" s="59" t="n"/>
      <c r="AB1002" s="59" t="n"/>
      <c r="AC1002" s="59" t="n"/>
      <c r="AD1002" s="59" t="n"/>
      <c r="AE1002" s="59" t="n"/>
      <c r="AF1002" s="59" t="n"/>
      <c r="AG1002" s="59" t="n"/>
      <c r="AH1002" s="59" t="n"/>
      <c r="AI1002" s="59" t="n"/>
      <c r="AJ1002" s="59" t="n"/>
      <c r="AK1002" s="59" t="n"/>
      <c r="AL1002" s="59" t="n"/>
      <c r="AM1002" s="59" t="n"/>
      <c r="AN1002" s="59" t="n"/>
      <c r="AO1002" s="59" t="n"/>
      <c r="AP1002" s="59" t="n"/>
      <c r="AQ1002" s="59" t="n"/>
      <c r="AR1002" s="59" t="n"/>
      <c r="AS1002" s="59" t="n"/>
      <c r="AT1002" s="59" t="n"/>
      <c r="AU1002" s="59" t="n"/>
      <c r="AV1002" s="59" t="n"/>
      <c r="AW1002" s="59" t="n"/>
      <c r="AX1002" s="59" t="n"/>
      <c r="AY1002" s="59" t="n"/>
      <c r="AZ1002" s="59" t="n"/>
      <c r="BA1002" s="59" t="n"/>
      <c r="BB1002" s="59" t="n"/>
      <c r="BC1002" s="59" t="n"/>
      <c r="BD1002" s="59" t="n"/>
      <c r="BE1002" s="59" t="n"/>
      <c r="BF1002" s="59" t="n"/>
      <c r="BG1002" s="59" t="n"/>
      <c r="BH1002" s="59" t="n"/>
      <c r="BI1002" s="59" t="n"/>
      <c r="BJ1002" s="59" t="n"/>
      <c r="BK1002" s="59" t="n"/>
      <c r="BL1002" s="59" t="n"/>
      <c r="BM1002" s="59" t="n"/>
      <c r="BN1002" s="59" t="n"/>
      <c r="BO1002" s="59" t="n"/>
      <c r="BP1002" s="59" t="n"/>
      <c r="BQ1002" s="59" t="n"/>
      <c r="BR1002" s="59" t="n"/>
      <c r="BS1002" s="59" t="n"/>
      <c r="BT1002" s="59" t="n"/>
      <c r="BU1002" s="59" t="n"/>
      <c r="BV1002" s="59" t="n"/>
      <c r="BW1002" s="59" t="n"/>
      <c r="BX1002" s="59" t="n"/>
      <c r="BY1002" s="59" t="n"/>
      <c r="BZ1002" s="59" t="n"/>
      <c r="CA1002" s="59" t="n"/>
      <c r="CB1002" s="59" t="n"/>
      <c r="CC1002" s="59" t="n"/>
      <c r="CD1002" s="59" t="n"/>
      <c r="CE1002" s="59" t="n"/>
      <c r="CF1002" s="59" t="n"/>
      <c r="CG1002" s="59" t="n"/>
      <c r="CH1002" s="59" t="n"/>
      <c r="CI1002" s="59" t="n"/>
      <c r="CJ1002" s="59" t="n"/>
      <c r="CK1002" s="59" t="n"/>
      <c r="CL1002" s="59" t="n"/>
      <c r="CM1002" s="59" t="n"/>
      <c r="CN1002" s="59" t="n"/>
    </row>
    <row r="1003" ht="15" customFormat="1" customHeight="1" s="3">
      <c r="A1003">
        <f>A1002+1</f>
        <v/>
      </c>
      <c r="I1003" s="20" t="n"/>
      <c r="K1003">
        <f>I1003+J1003</f>
        <v/>
      </c>
      <c r="X1003" s="59" t="n"/>
      <c r="Y1003" s="59" t="n"/>
      <c r="Z1003" s="59" t="n"/>
      <c r="AA1003" s="59" t="n"/>
      <c r="AB1003" s="59" t="n"/>
      <c r="AC1003" s="59" t="n"/>
      <c r="AD1003" s="59" t="n"/>
      <c r="AE1003" s="59" t="n"/>
      <c r="AF1003" s="59" t="n"/>
      <c r="AG1003" s="59" t="n"/>
      <c r="AH1003" s="59" t="n"/>
      <c r="AI1003" s="59" t="n"/>
      <c r="AJ1003" s="59" t="n"/>
      <c r="AK1003" s="59" t="n"/>
      <c r="AL1003" s="59" t="n"/>
      <c r="AM1003" s="59" t="n"/>
      <c r="AN1003" s="59" t="n"/>
      <c r="AO1003" s="59" t="n"/>
      <c r="AP1003" s="59" t="n"/>
      <c r="AQ1003" s="59" t="n"/>
      <c r="AR1003" s="59" t="n"/>
      <c r="AS1003" s="59" t="n"/>
      <c r="AT1003" s="59" t="n"/>
      <c r="AU1003" s="59" t="n"/>
      <c r="AV1003" s="59" t="n"/>
      <c r="AW1003" s="59" t="n"/>
      <c r="AX1003" s="59" t="n"/>
      <c r="AY1003" s="59" t="n"/>
      <c r="AZ1003" s="59" t="n"/>
      <c r="BA1003" s="59" t="n"/>
      <c r="BB1003" s="59" t="n"/>
      <c r="BC1003" s="59" t="n"/>
      <c r="BD1003" s="59" t="n"/>
      <c r="BE1003" s="59" t="n"/>
      <c r="BF1003" s="59" t="n"/>
      <c r="BG1003" s="59" t="n"/>
      <c r="BH1003" s="59" t="n"/>
      <c r="BI1003" s="59" t="n"/>
      <c r="BJ1003" s="59" t="n"/>
      <c r="BK1003" s="59" t="n"/>
      <c r="BL1003" s="59" t="n"/>
      <c r="BM1003" s="59" t="n"/>
      <c r="BN1003" s="59" t="n"/>
      <c r="BO1003" s="59" t="n"/>
      <c r="BP1003" s="59" t="n"/>
      <c r="BQ1003" s="59" t="n"/>
      <c r="BR1003" s="59" t="n"/>
      <c r="BS1003" s="59" t="n"/>
      <c r="BT1003" s="59" t="n"/>
      <c r="BU1003" s="59" t="n"/>
      <c r="BV1003" s="59" t="n"/>
      <c r="BW1003" s="59" t="n"/>
      <c r="BX1003" s="59" t="n"/>
      <c r="BY1003" s="59" t="n"/>
      <c r="BZ1003" s="59" t="n"/>
      <c r="CA1003" s="59" t="n"/>
      <c r="CB1003" s="59" t="n"/>
      <c r="CC1003" s="59" t="n"/>
      <c r="CD1003" s="59" t="n"/>
      <c r="CE1003" s="59" t="n"/>
      <c r="CF1003" s="59" t="n"/>
      <c r="CG1003" s="59" t="n"/>
      <c r="CH1003" s="59" t="n"/>
      <c r="CI1003" s="59" t="n"/>
      <c r="CJ1003" s="59" t="n"/>
      <c r="CK1003" s="59" t="n"/>
      <c r="CL1003" s="59" t="n"/>
      <c r="CM1003" s="59" t="n"/>
      <c r="CN1003" s="59" t="n"/>
    </row>
    <row r="1004" ht="15" customFormat="1" customHeight="1" s="3">
      <c r="A1004">
        <f>A1003+1</f>
        <v/>
      </c>
      <c r="I1004" s="20" t="n"/>
      <c r="K1004">
        <f>I1004+J1004</f>
        <v/>
      </c>
      <c r="X1004" s="59" t="n"/>
      <c r="Y1004" s="59" t="n"/>
      <c r="Z1004" s="59" t="n"/>
      <c r="AA1004" s="59" t="n"/>
      <c r="AB1004" s="59" t="n"/>
      <c r="AC1004" s="59" t="n"/>
      <c r="AD1004" s="59" t="n"/>
      <c r="AE1004" s="59" t="n"/>
      <c r="AF1004" s="59" t="n"/>
      <c r="AG1004" s="59" t="n"/>
      <c r="AH1004" s="59" t="n"/>
      <c r="AI1004" s="59" t="n"/>
      <c r="AJ1004" s="59" t="n"/>
      <c r="AK1004" s="59" t="n"/>
      <c r="AL1004" s="59" t="n"/>
      <c r="AM1004" s="59" t="n"/>
      <c r="AN1004" s="59" t="n"/>
      <c r="AO1004" s="59" t="n"/>
      <c r="AP1004" s="59" t="n"/>
      <c r="AQ1004" s="59" t="n"/>
      <c r="AR1004" s="59" t="n"/>
      <c r="AS1004" s="59" t="n"/>
      <c r="AT1004" s="59" t="n"/>
      <c r="AU1004" s="59" t="n"/>
      <c r="AV1004" s="59" t="n"/>
      <c r="AW1004" s="59" t="n"/>
      <c r="AX1004" s="59" t="n"/>
      <c r="AY1004" s="59" t="n"/>
      <c r="AZ1004" s="59" t="n"/>
      <c r="BA1004" s="59" t="n"/>
      <c r="BB1004" s="59" t="n"/>
      <c r="BC1004" s="59" t="n"/>
      <c r="BD1004" s="59" t="n"/>
      <c r="BE1004" s="59" t="n"/>
      <c r="BF1004" s="59" t="n"/>
      <c r="BG1004" s="59" t="n"/>
      <c r="BH1004" s="59" t="n"/>
      <c r="BI1004" s="59" t="n"/>
      <c r="BJ1004" s="59" t="n"/>
      <c r="BK1004" s="59" t="n"/>
      <c r="BL1004" s="59" t="n"/>
      <c r="BM1004" s="59" t="n"/>
      <c r="BN1004" s="59" t="n"/>
      <c r="BO1004" s="59" t="n"/>
      <c r="BP1004" s="59" t="n"/>
      <c r="BQ1004" s="59" t="n"/>
      <c r="BR1004" s="59" t="n"/>
      <c r="BS1004" s="59" t="n"/>
      <c r="BT1004" s="59" t="n"/>
      <c r="BU1004" s="59" t="n"/>
      <c r="BV1004" s="59" t="n"/>
      <c r="BW1004" s="59" t="n"/>
      <c r="BX1004" s="59" t="n"/>
      <c r="BY1004" s="59" t="n"/>
      <c r="BZ1004" s="59" t="n"/>
      <c r="CA1004" s="59" t="n"/>
      <c r="CB1004" s="59" t="n"/>
      <c r="CC1004" s="59" t="n"/>
      <c r="CD1004" s="59" t="n"/>
      <c r="CE1004" s="59" t="n"/>
      <c r="CF1004" s="59" t="n"/>
      <c r="CG1004" s="59" t="n"/>
      <c r="CH1004" s="59" t="n"/>
      <c r="CI1004" s="59" t="n"/>
      <c r="CJ1004" s="59" t="n"/>
      <c r="CK1004" s="59" t="n"/>
      <c r="CL1004" s="59" t="n"/>
      <c r="CM1004" s="59" t="n"/>
      <c r="CN1004" s="59" t="n"/>
    </row>
    <row r="1005" ht="15" customFormat="1" customHeight="1" s="3">
      <c r="A1005">
        <f>A1004+1</f>
        <v/>
      </c>
      <c r="I1005" s="20" t="n"/>
      <c r="K1005">
        <f>I1005+J1005</f>
        <v/>
      </c>
      <c r="X1005" s="59" t="n"/>
      <c r="Y1005" s="59" t="n"/>
      <c r="Z1005" s="59" t="n"/>
      <c r="AA1005" s="59" t="n"/>
      <c r="AB1005" s="59" t="n"/>
      <c r="AC1005" s="59" t="n"/>
      <c r="AD1005" s="59" t="n"/>
      <c r="AE1005" s="59" t="n"/>
      <c r="AF1005" s="59" t="n"/>
      <c r="AG1005" s="59" t="n"/>
      <c r="AH1005" s="59" t="n"/>
      <c r="AI1005" s="59" t="n"/>
      <c r="AJ1005" s="59" t="n"/>
      <c r="AK1005" s="59" t="n"/>
      <c r="AL1005" s="59" t="n"/>
      <c r="AM1005" s="59" t="n"/>
      <c r="AN1005" s="59" t="n"/>
      <c r="AO1005" s="59" t="n"/>
      <c r="AP1005" s="59" t="n"/>
      <c r="AQ1005" s="59" t="n"/>
      <c r="AR1005" s="59" t="n"/>
      <c r="AS1005" s="59" t="n"/>
      <c r="AT1005" s="59" t="n"/>
      <c r="AU1005" s="59" t="n"/>
      <c r="AV1005" s="59" t="n"/>
      <c r="AW1005" s="59" t="n"/>
      <c r="AX1005" s="59" t="n"/>
      <c r="AY1005" s="59" t="n"/>
      <c r="AZ1005" s="59" t="n"/>
      <c r="BA1005" s="59" t="n"/>
      <c r="BB1005" s="59" t="n"/>
      <c r="BC1005" s="59" t="n"/>
      <c r="BD1005" s="59" t="n"/>
      <c r="BE1005" s="59" t="n"/>
      <c r="BF1005" s="59" t="n"/>
      <c r="BG1005" s="59" t="n"/>
      <c r="BH1005" s="59" t="n"/>
      <c r="BI1005" s="59" t="n"/>
      <c r="BJ1005" s="59" t="n"/>
      <c r="BK1005" s="59" t="n"/>
      <c r="BL1005" s="59" t="n"/>
      <c r="BM1005" s="59" t="n"/>
      <c r="BN1005" s="59" t="n"/>
      <c r="BO1005" s="59" t="n"/>
      <c r="BP1005" s="59" t="n"/>
      <c r="BQ1005" s="59" t="n"/>
      <c r="BR1005" s="59" t="n"/>
      <c r="BS1005" s="59" t="n"/>
      <c r="BT1005" s="59" t="n"/>
      <c r="BU1005" s="59" t="n"/>
      <c r="BV1005" s="59" t="n"/>
      <c r="BW1005" s="59" t="n"/>
      <c r="BX1005" s="59" t="n"/>
      <c r="BY1005" s="59" t="n"/>
      <c r="BZ1005" s="59" t="n"/>
      <c r="CA1005" s="59" t="n"/>
      <c r="CB1005" s="59" t="n"/>
      <c r="CC1005" s="59" t="n"/>
      <c r="CD1005" s="59" t="n"/>
      <c r="CE1005" s="59" t="n"/>
      <c r="CF1005" s="59" t="n"/>
      <c r="CG1005" s="59" t="n"/>
      <c r="CH1005" s="59" t="n"/>
      <c r="CI1005" s="59" t="n"/>
      <c r="CJ1005" s="59" t="n"/>
      <c r="CK1005" s="59" t="n"/>
      <c r="CL1005" s="59" t="n"/>
      <c r="CM1005" s="59" t="n"/>
      <c r="CN1005" s="59" t="n"/>
    </row>
    <row r="1006" ht="15" customFormat="1" customHeight="1" s="3">
      <c r="A1006">
        <f>A1005+1</f>
        <v/>
      </c>
      <c r="I1006" s="20" t="n"/>
      <c r="K1006">
        <f>I1006+J1006</f>
        <v/>
      </c>
      <c r="X1006" s="59" t="n"/>
      <c r="Y1006" s="59" t="n"/>
      <c r="Z1006" s="59" t="n"/>
      <c r="AA1006" s="59" t="n"/>
      <c r="AB1006" s="59" t="n"/>
      <c r="AC1006" s="59" t="n"/>
      <c r="AD1006" s="59" t="n"/>
      <c r="AE1006" s="59" t="n"/>
      <c r="AF1006" s="59" t="n"/>
      <c r="AG1006" s="59" t="n"/>
      <c r="AH1006" s="59" t="n"/>
      <c r="AI1006" s="59" t="n"/>
      <c r="AJ1006" s="59" t="n"/>
      <c r="AK1006" s="59" t="n"/>
      <c r="AL1006" s="59" t="n"/>
      <c r="AM1006" s="59" t="n"/>
      <c r="AN1006" s="59" t="n"/>
      <c r="AO1006" s="59" t="n"/>
      <c r="AP1006" s="59" t="n"/>
      <c r="AQ1006" s="59" t="n"/>
      <c r="AR1006" s="59" t="n"/>
      <c r="AS1006" s="59" t="n"/>
      <c r="AT1006" s="59" t="n"/>
      <c r="AU1006" s="59" t="n"/>
      <c r="AV1006" s="59" t="n"/>
      <c r="AW1006" s="59" t="n"/>
      <c r="AX1006" s="59" t="n"/>
      <c r="AY1006" s="59" t="n"/>
      <c r="AZ1006" s="59" t="n"/>
      <c r="BA1006" s="59" t="n"/>
      <c r="BB1006" s="59" t="n"/>
      <c r="BC1006" s="59" t="n"/>
      <c r="BD1006" s="59" t="n"/>
      <c r="BE1006" s="59" t="n"/>
      <c r="BF1006" s="59" t="n"/>
      <c r="BG1006" s="59" t="n"/>
      <c r="BH1006" s="59" t="n"/>
      <c r="BI1006" s="59" t="n"/>
      <c r="BJ1006" s="59" t="n"/>
      <c r="BK1006" s="59" t="n"/>
      <c r="BL1006" s="59" t="n"/>
      <c r="BM1006" s="59" t="n"/>
      <c r="BN1006" s="59" t="n"/>
      <c r="BO1006" s="59" t="n"/>
      <c r="BP1006" s="59" t="n"/>
      <c r="BQ1006" s="59" t="n"/>
      <c r="BR1006" s="59" t="n"/>
      <c r="BS1006" s="59" t="n"/>
      <c r="BT1006" s="59" t="n"/>
      <c r="BU1006" s="59" t="n"/>
      <c r="BV1006" s="59" t="n"/>
      <c r="BW1006" s="59" t="n"/>
      <c r="BX1006" s="59" t="n"/>
      <c r="BY1006" s="59" t="n"/>
      <c r="BZ1006" s="59" t="n"/>
      <c r="CA1006" s="59" t="n"/>
      <c r="CB1006" s="59" t="n"/>
      <c r="CC1006" s="59" t="n"/>
      <c r="CD1006" s="59" t="n"/>
      <c r="CE1006" s="59" t="n"/>
      <c r="CF1006" s="59" t="n"/>
      <c r="CG1006" s="59" t="n"/>
      <c r="CH1006" s="59" t="n"/>
      <c r="CI1006" s="59" t="n"/>
      <c r="CJ1006" s="59" t="n"/>
      <c r="CK1006" s="59" t="n"/>
      <c r="CL1006" s="59" t="n"/>
      <c r="CM1006" s="59" t="n"/>
      <c r="CN1006" s="59" t="n"/>
    </row>
    <row r="1007" ht="15" customFormat="1" customHeight="1" s="3">
      <c r="A1007">
        <f>A1006+1</f>
        <v/>
      </c>
      <c r="I1007" s="20" t="n"/>
      <c r="K1007">
        <f>I1007+J1007</f>
        <v/>
      </c>
      <c r="X1007" s="59" t="n"/>
      <c r="Y1007" s="59" t="n"/>
      <c r="Z1007" s="59" t="n"/>
      <c r="AA1007" s="59" t="n"/>
      <c r="AB1007" s="59" t="n"/>
      <c r="AC1007" s="59" t="n"/>
      <c r="AD1007" s="59" t="n"/>
      <c r="AE1007" s="59" t="n"/>
      <c r="AF1007" s="59" t="n"/>
      <c r="AG1007" s="59" t="n"/>
      <c r="AH1007" s="59" t="n"/>
      <c r="AI1007" s="59" t="n"/>
      <c r="AJ1007" s="59" t="n"/>
      <c r="AK1007" s="59" t="n"/>
      <c r="AL1007" s="59" t="n"/>
      <c r="AM1007" s="59" t="n"/>
      <c r="AN1007" s="59" t="n"/>
      <c r="AO1007" s="59" t="n"/>
      <c r="AP1007" s="59" t="n"/>
      <c r="AQ1007" s="59" t="n"/>
      <c r="AR1007" s="59" t="n"/>
      <c r="AS1007" s="59" t="n"/>
      <c r="AT1007" s="59" t="n"/>
      <c r="AU1007" s="59" t="n"/>
      <c r="AV1007" s="59" t="n"/>
      <c r="AW1007" s="59" t="n"/>
      <c r="AX1007" s="59" t="n"/>
      <c r="AY1007" s="59" t="n"/>
      <c r="AZ1007" s="59" t="n"/>
      <c r="BA1007" s="59" t="n"/>
      <c r="BB1007" s="59" t="n"/>
      <c r="BC1007" s="59" t="n"/>
      <c r="BD1007" s="59" t="n"/>
      <c r="BE1007" s="59" t="n"/>
      <c r="BF1007" s="59" t="n"/>
      <c r="BG1007" s="59" t="n"/>
      <c r="BH1007" s="59" t="n"/>
      <c r="BI1007" s="59" t="n"/>
      <c r="BJ1007" s="59" t="n"/>
      <c r="BK1007" s="59" t="n"/>
      <c r="BL1007" s="59" t="n"/>
      <c r="BM1007" s="59" t="n"/>
      <c r="BN1007" s="59" t="n"/>
      <c r="BO1007" s="59" t="n"/>
      <c r="BP1007" s="59" t="n"/>
      <c r="BQ1007" s="59" t="n"/>
      <c r="BR1007" s="59" t="n"/>
      <c r="BS1007" s="59" t="n"/>
      <c r="BT1007" s="59" t="n"/>
      <c r="BU1007" s="59" t="n"/>
      <c r="BV1007" s="59" t="n"/>
      <c r="BW1007" s="59" t="n"/>
      <c r="BX1007" s="59" t="n"/>
      <c r="BY1007" s="59" t="n"/>
      <c r="BZ1007" s="59" t="n"/>
      <c r="CA1007" s="59" t="n"/>
      <c r="CB1007" s="59" t="n"/>
      <c r="CC1007" s="59" t="n"/>
      <c r="CD1007" s="59" t="n"/>
      <c r="CE1007" s="59" t="n"/>
      <c r="CF1007" s="59" t="n"/>
      <c r="CG1007" s="59" t="n"/>
      <c r="CH1007" s="59" t="n"/>
      <c r="CI1007" s="59" t="n"/>
      <c r="CJ1007" s="59" t="n"/>
      <c r="CK1007" s="59" t="n"/>
      <c r="CL1007" s="59" t="n"/>
      <c r="CM1007" s="59" t="n"/>
      <c r="CN1007" s="59" t="n"/>
    </row>
    <row r="1008" ht="15" customFormat="1" customHeight="1" s="3">
      <c r="A1008">
        <f>A1007+1</f>
        <v/>
      </c>
      <c r="I1008" s="20" t="n"/>
      <c r="K1008">
        <f>I1008+J1008</f>
        <v/>
      </c>
      <c r="X1008" s="59" t="n"/>
      <c r="Y1008" s="59" t="n"/>
      <c r="Z1008" s="59" t="n"/>
      <c r="AA1008" s="59" t="n"/>
      <c r="AB1008" s="59" t="n"/>
      <c r="AC1008" s="59" t="n"/>
      <c r="AD1008" s="59" t="n"/>
      <c r="AE1008" s="59" t="n"/>
      <c r="AF1008" s="59" t="n"/>
      <c r="AG1008" s="59" t="n"/>
      <c r="AH1008" s="59" t="n"/>
      <c r="AI1008" s="59" t="n"/>
      <c r="AJ1008" s="59" t="n"/>
      <c r="AK1008" s="59" t="n"/>
      <c r="AL1008" s="59" t="n"/>
      <c r="AM1008" s="59" t="n"/>
      <c r="AN1008" s="59" t="n"/>
      <c r="AO1008" s="59" t="n"/>
      <c r="AP1008" s="59" t="n"/>
      <c r="AQ1008" s="59" t="n"/>
      <c r="AR1008" s="59" t="n"/>
      <c r="AS1008" s="59" t="n"/>
      <c r="AT1008" s="59" t="n"/>
      <c r="AU1008" s="59" t="n"/>
      <c r="AV1008" s="59" t="n"/>
      <c r="AW1008" s="59" t="n"/>
      <c r="AX1008" s="59" t="n"/>
      <c r="AY1008" s="59" t="n"/>
      <c r="AZ1008" s="59" t="n"/>
      <c r="BA1008" s="59" t="n"/>
      <c r="BB1008" s="59" t="n"/>
      <c r="BC1008" s="59" t="n"/>
      <c r="BD1008" s="59" t="n"/>
      <c r="BE1008" s="59" t="n"/>
      <c r="BF1008" s="59" t="n"/>
      <c r="BG1008" s="59" t="n"/>
      <c r="BH1008" s="59" t="n"/>
      <c r="BI1008" s="59" t="n"/>
      <c r="BJ1008" s="59" t="n"/>
      <c r="BK1008" s="59" t="n"/>
      <c r="BL1008" s="59" t="n"/>
      <c r="BM1008" s="59" t="n"/>
      <c r="BN1008" s="59" t="n"/>
      <c r="BO1008" s="59" t="n"/>
      <c r="BP1008" s="59" t="n"/>
      <c r="BQ1008" s="59" t="n"/>
      <c r="BR1008" s="59" t="n"/>
      <c r="BS1008" s="59" t="n"/>
      <c r="BT1008" s="59" t="n"/>
      <c r="BU1008" s="59" t="n"/>
      <c r="BV1008" s="59" t="n"/>
      <c r="BW1008" s="59" t="n"/>
      <c r="BX1008" s="59" t="n"/>
      <c r="BY1008" s="59" t="n"/>
      <c r="BZ1008" s="59" t="n"/>
      <c r="CA1008" s="59" t="n"/>
      <c r="CB1008" s="59" t="n"/>
      <c r="CC1008" s="59" t="n"/>
      <c r="CD1008" s="59" t="n"/>
      <c r="CE1008" s="59" t="n"/>
      <c r="CF1008" s="59" t="n"/>
      <c r="CG1008" s="59" t="n"/>
      <c r="CH1008" s="59" t="n"/>
      <c r="CI1008" s="59" t="n"/>
      <c r="CJ1008" s="59" t="n"/>
      <c r="CK1008" s="59" t="n"/>
      <c r="CL1008" s="59" t="n"/>
      <c r="CM1008" s="59" t="n"/>
      <c r="CN1008" s="59" t="n"/>
    </row>
    <row r="1009" ht="15" customFormat="1" customHeight="1" s="3">
      <c r="A1009">
        <f>A1008+1</f>
        <v/>
      </c>
      <c r="I1009" s="20" t="n"/>
      <c r="K1009">
        <f>I1009+J1009</f>
        <v/>
      </c>
      <c r="X1009" s="59" t="n"/>
      <c r="Y1009" s="59" t="n"/>
      <c r="Z1009" s="59" t="n"/>
      <c r="AA1009" s="59" t="n"/>
      <c r="AB1009" s="59" t="n"/>
      <c r="AC1009" s="59" t="n"/>
      <c r="AD1009" s="59" t="n"/>
      <c r="AE1009" s="59" t="n"/>
      <c r="AF1009" s="59" t="n"/>
      <c r="AG1009" s="59" t="n"/>
      <c r="AH1009" s="59" t="n"/>
      <c r="AI1009" s="59" t="n"/>
      <c r="AJ1009" s="59" t="n"/>
      <c r="AK1009" s="59" t="n"/>
      <c r="AL1009" s="59" t="n"/>
      <c r="AM1009" s="59" t="n"/>
      <c r="AN1009" s="59" t="n"/>
      <c r="AO1009" s="59" t="n"/>
      <c r="AP1009" s="59" t="n"/>
      <c r="AQ1009" s="59" t="n"/>
      <c r="AR1009" s="59" t="n"/>
      <c r="AS1009" s="59" t="n"/>
      <c r="AT1009" s="59" t="n"/>
      <c r="AU1009" s="59" t="n"/>
      <c r="AV1009" s="59" t="n"/>
      <c r="AW1009" s="59" t="n"/>
      <c r="AX1009" s="59" t="n"/>
      <c r="AY1009" s="59" t="n"/>
      <c r="AZ1009" s="59" t="n"/>
      <c r="BA1009" s="59" t="n"/>
      <c r="BB1009" s="59" t="n"/>
      <c r="BC1009" s="59" t="n"/>
      <c r="BD1009" s="59" t="n"/>
      <c r="BE1009" s="59" t="n"/>
      <c r="BF1009" s="59" t="n"/>
      <c r="BG1009" s="59" t="n"/>
      <c r="BH1009" s="59" t="n"/>
      <c r="BI1009" s="59" t="n"/>
      <c r="BJ1009" s="59" t="n"/>
      <c r="BK1009" s="59" t="n"/>
      <c r="BL1009" s="59" t="n"/>
      <c r="BM1009" s="59" t="n"/>
      <c r="BN1009" s="59" t="n"/>
      <c r="BO1009" s="59" t="n"/>
      <c r="BP1009" s="59" t="n"/>
      <c r="BQ1009" s="59" t="n"/>
      <c r="BR1009" s="59" t="n"/>
      <c r="BS1009" s="59" t="n"/>
      <c r="BT1009" s="59" t="n"/>
      <c r="BU1009" s="59" t="n"/>
      <c r="BV1009" s="59" t="n"/>
      <c r="BW1009" s="59" t="n"/>
      <c r="BX1009" s="59" t="n"/>
      <c r="BY1009" s="59" t="n"/>
      <c r="BZ1009" s="59" t="n"/>
      <c r="CA1009" s="59" t="n"/>
      <c r="CB1009" s="59" t="n"/>
      <c r="CC1009" s="59" t="n"/>
      <c r="CD1009" s="59" t="n"/>
      <c r="CE1009" s="59" t="n"/>
      <c r="CF1009" s="59" t="n"/>
      <c r="CG1009" s="59" t="n"/>
      <c r="CH1009" s="59" t="n"/>
      <c r="CI1009" s="59" t="n"/>
      <c r="CJ1009" s="59" t="n"/>
      <c r="CK1009" s="59" t="n"/>
      <c r="CL1009" s="59" t="n"/>
      <c r="CM1009" s="59" t="n"/>
      <c r="CN1009" s="59" t="n"/>
    </row>
    <row r="1010" ht="15" customFormat="1" customHeight="1" s="3">
      <c r="A1010">
        <f>A1009+1</f>
        <v/>
      </c>
      <c r="I1010" s="20" t="n"/>
      <c r="K1010">
        <f>I1010+J1010</f>
        <v/>
      </c>
      <c r="X1010" s="59" t="n"/>
      <c r="Y1010" s="59" t="n"/>
      <c r="Z1010" s="59" t="n"/>
      <c r="AA1010" s="59" t="n"/>
      <c r="AB1010" s="59" t="n"/>
      <c r="AC1010" s="59" t="n"/>
      <c r="AD1010" s="59" t="n"/>
      <c r="AE1010" s="59" t="n"/>
      <c r="AF1010" s="59" t="n"/>
      <c r="AG1010" s="59" t="n"/>
      <c r="AH1010" s="59" t="n"/>
      <c r="AI1010" s="59" t="n"/>
      <c r="AJ1010" s="59" t="n"/>
      <c r="AK1010" s="59" t="n"/>
      <c r="AL1010" s="59" t="n"/>
      <c r="AM1010" s="59" t="n"/>
      <c r="AN1010" s="59" t="n"/>
      <c r="AO1010" s="59" t="n"/>
      <c r="AP1010" s="59" t="n"/>
      <c r="AQ1010" s="59" t="n"/>
      <c r="AR1010" s="59" t="n"/>
      <c r="AS1010" s="59" t="n"/>
      <c r="AT1010" s="59" t="n"/>
      <c r="AU1010" s="59" t="n"/>
      <c r="AV1010" s="59" t="n"/>
      <c r="AW1010" s="59" t="n"/>
      <c r="AX1010" s="59" t="n"/>
      <c r="AY1010" s="59" t="n"/>
      <c r="AZ1010" s="59" t="n"/>
      <c r="BA1010" s="59" t="n"/>
      <c r="BB1010" s="59" t="n"/>
      <c r="BC1010" s="59" t="n"/>
      <c r="BD1010" s="59" t="n"/>
      <c r="BE1010" s="59" t="n"/>
      <c r="BF1010" s="59" t="n"/>
      <c r="BG1010" s="59" t="n"/>
      <c r="BH1010" s="59" t="n"/>
      <c r="BI1010" s="59" t="n"/>
      <c r="BJ1010" s="59" t="n"/>
      <c r="BK1010" s="59" t="n"/>
      <c r="BL1010" s="59" t="n"/>
      <c r="BM1010" s="59" t="n"/>
      <c r="BN1010" s="59" t="n"/>
      <c r="BO1010" s="59" t="n"/>
      <c r="BP1010" s="59" t="n"/>
      <c r="BQ1010" s="59" t="n"/>
      <c r="BR1010" s="59" t="n"/>
      <c r="BS1010" s="59" t="n"/>
      <c r="BT1010" s="59" t="n"/>
      <c r="BU1010" s="59" t="n"/>
      <c r="BV1010" s="59" t="n"/>
      <c r="BW1010" s="59" t="n"/>
      <c r="BX1010" s="59" t="n"/>
      <c r="BY1010" s="59" t="n"/>
      <c r="BZ1010" s="59" t="n"/>
      <c r="CA1010" s="59" t="n"/>
      <c r="CB1010" s="59" t="n"/>
      <c r="CC1010" s="59" t="n"/>
      <c r="CD1010" s="59" t="n"/>
      <c r="CE1010" s="59" t="n"/>
      <c r="CF1010" s="59" t="n"/>
      <c r="CG1010" s="59" t="n"/>
      <c r="CH1010" s="59" t="n"/>
      <c r="CI1010" s="59" t="n"/>
      <c r="CJ1010" s="59" t="n"/>
      <c r="CK1010" s="59" t="n"/>
      <c r="CL1010" s="59" t="n"/>
      <c r="CM1010" s="59" t="n"/>
      <c r="CN1010" s="59" t="n"/>
    </row>
    <row r="1011" ht="15" customFormat="1" customHeight="1" s="3">
      <c r="A1011">
        <f>A1010+1</f>
        <v/>
      </c>
      <c r="I1011" s="20" t="n"/>
      <c r="K1011">
        <f>I1011+J1011</f>
        <v/>
      </c>
      <c r="X1011" s="59" t="n"/>
      <c r="Y1011" s="59" t="n"/>
      <c r="Z1011" s="59" t="n"/>
      <c r="AA1011" s="59" t="n"/>
      <c r="AB1011" s="59" t="n"/>
      <c r="AC1011" s="59" t="n"/>
      <c r="AD1011" s="59" t="n"/>
      <c r="AE1011" s="59" t="n"/>
      <c r="AF1011" s="59" t="n"/>
      <c r="AG1011" s="59" t="n"/>
      <c r="AH1011" s="59" t="n"/>
      <c r="AI1011" s="59" t="n"/>
      <c r="AJ1011" s="59" t="n"/>
      <c r="AK1011" s="59" t="n"/>
      <c r="AL1011" s="59" t="n"/>
      <c r="AM1011" s="59" t="n"/>
      <c r="AN1011" s="59" t="n"/>
      <c r="AO1011" s="59" t="n"/>
      <c r="AP1011" s="59" t="n"/>
      <c r="AQ1011" s="59" t="n"/>
      <c r="AR1011" s="59" t="n"/>
      <c r="AS1011" s="59" t="n"/>
      <c r="AT1011" s="59" t="n"/>
      <c r="AU1011" s="59" t="n"/>
      <c r="AV1011" s="59" t="n"/>
      <c r="AW1011" s="59" t="n"/>
      <c r="AX1011" s="59" t="n"/>
      <c r="AY1011" s="59" t="n"/>
      <c r="AZ1011" s="59" t="n"/>
      <c r="BA1011" s="59" t="n"/>
      <c r="BB1011" s="59" t="n"/>
      <c r="BC1011" s="59" t="n"/>
      <c r="BD1011" s="59" t="n"/>
      <c r="BE1011" s="59" t="n"/>
      <c r="BF1011" s="59" t="n"/>
      <c r="BG1011" s="59" t="n"/>
      <c r="BH1011" s="59" t="n"/>
      <c r="BI1011" s="59" t="n"/>
      <c r="BJ1011" s="59" t="n"/>
      <c r="BK1011" s="59" t="n"/>
      <c r="BL1011" s="59" t="n"/>
      <c r="BM1011" s="59" t="n"/>
      <c r="BN1011" s="59" t="n"/>
      <c r="BO1011" s="59" t="n"/>
      <c r="BP1011" s="59" t="n"/>
      <c r="BQ1011" s="59" t="n"/>
      <c r="BR1011" s="59" t="n"/>
      <c r="BS1011" s="59" t="n"/>
      <c r="BT1011" s="59" t="n"/>
      <c r="BU1011" s="59" t="n"/>
      <c r="BV1011" s="59" t="n"/>
      <c r="BW1011" s="59" t="n"/>
      <c r="BX1011" s="59" t="n"/>
      <c r="BY1011" s="59" t="n"/>
      <c r="BZ1011" s="59" t="n"/>
      <c r="CA1011" s="59" t="n"/>
      <c r="CB1011" s="59" t="n"/>
      <c r="CC1011" s="59" t="n"/>
      <c r="CD1011" s="59" t="n"/>
      <c r="CE1011" s="59" t="n"/>
      <c r="CF1011" s="59" t="n"/>
      <c r="CG1011" s="59" t="n"/>
      <c r="CH1011" s="59" t="n"/>
      <c r="CI1011" s="59" t="n"/>
      <c r="CJ1011" s="59" t="n"/>
      <c r="CK1011" s="59" t="n"/>
      <c r="CL1011" s="59" t="n"/>
      <c r="CM1011" s="59" t="n"/>
      <c r="CN1011" s="59" t="n"/>
    </row>
    <row r="1012" ht="15" customFormat="1" customHeight="1" s="3">
      <c r="A1012">
        <f>A1011+1</f>
        <v/>
      </c>
      <c r="I1012" s="20" t="n"/>
      <c r="K1012">
        <f>I1012+J1012</f>
        <v/>
      </c>
      <c r="X1012" s="59" t="n"/>
      <c r="Y1012" s="59" t="n"/>
      <c r="Z1012" s="59" t="n"/>
      <c r="AA1012" s="59" t="n"/>
      <c r="AB1012" s="59" t="n"/>
      <c r="AC1012" s="59" t="n"/>
      <c r="AD1012" s="59" t="n"/>
      <c r="AE1012" s="59" t="n"/>
      <c r="AF1012" s="59" t="n"/>
      <c r="AG1012" s="59" t="n"/>
      <c r="AH1012" s="59" t="n"/>
      <c r="AI1012" s="59" t="n"/>
      <c r="AJ1012" s="59" t="n"/>
      <c r="AK1012" s="59" t="n"/>
      <c r="AL1012" s="59" t="n"/>
      <c r="AM1012" s="59" t="n"/>
      <c r="AN1012" s="59" t="n"/>
      <c r="AO1012" s="59" t="n"/>
      <c r="AP1012" s="59" t="n"/>
      <c r="AQ1012" s="59" t="n"/>
      <c r="AR1012" s="59" t="n"/>
      <c r="AS1012" s="59" t="n"/>
      <c r="AT1012" s="59" t="n"/>
      <c r="AU1012" s="59" t="n"/>
      <c r="AV1012" s="59" t="n"/>
      <c r="AW1012" s="59" t="n"/>
      <c r="AX1012" s="59" t="n"/>
      <c r="AY1012" s="59" t="n"/>
      <c r="AZ1012" s="59" t="n"/>
      <c r="BA1012" s="59" t="n"/>
      <c r="BB1012" s="59" t="n"/>
      <c r="BC1012" s="59" t="n"/>
      <c r="BD1012" s="59" t="n"/>
      <c r="BE1012" s="59" t="n"/>
      <c r="BF1012" s="59" t="n"/>
      <c r="BG1012" s="59" t="n"/>
      <c r="BH1012" s="59" t="n"/>
      <c r="BI1012" s="59" t="n"/>
      <c r="BJ1012" s="59" t="n"/>
      <c r="BK1012" s="59" t="n"/>
      <c r="BL1012" s="59" t="n"/>
      <c r="BM1012" s="59" t="n"/>
      <c r="BN1012" s="59" t="n"/>
      <c r="BO1012" s="59" t="n"/>
      <c r="BP1012" s="59" t="n"/>
      <c r="BQ1012" s="59" t="n"/>
      <c r="BR1012" s="59" t="n"/>
      <c r="BS1012" s="59" t="n"/>
      <c r="BT1012" s="59" t="n"/>
      <c r="BU1012" s="59" t="n"/>
      <c r="BV1012" s="59" t="n"/>
      <c r="BW1012" s="59" t="n"/>
      <c r="BX1012" s="59" t="n"/>
      <c r="BY1012" s="59" t="n"/>
      <c r="BZ1012" s="59" t="n"/>
      <c r="CA1012" s="59" t="n"/>
      <c r="CB1012" s="59" t="n"/>
      <c r="CC1012" s="59" t="n"/>
      <c r="CD1012" s="59" t="n"/>
      <c r="CE1012" s="59" t="n"/>
      <c r="CF1012" s="59" t="n"/>
      <c r="CG1012" s="59" t="n"/>
      <c r="CH1012" s="59" t="n"/>
      <c r="CI1012" s="59" t="n"/>
      <c r="CJ1012" s="59" t="n"/>
      <c r="CK1012" s="59" t="n"/>
      <c r="CL1012" s="59" t="n"/>
      <c r="CM1012" s="59" t="n"/>
      <c r="CN1012" s="59" t="n"/>
    </row>
    <row r="1013" ht="15" customFormat="1" customHeight="1" s="3">
      <c r="A1013">
        <f>A1012+1</f>
        <v/>
      </c>
      <c r="I1013" s="20" t="n"/>
      <c r="K1013">
        <f>I1013+J1013</f>
        <v/>
      </c>
      <c r="X1013" s="59" t="n"/>
      <c r="Y1013" s="59" t="n"/>
      <c r="Z1013" s="59" t="n"/>
      <c r="AA1013" s="59" t="n"/>
      <c r="AB1013" s="59" t="n"/>
      <c r="AC1013" s="59" t="n"/>
      <c r="AD1013" s="59" t="n"/>
      <c r="AE1013" s="59" t="n"/>
      <c r="AF1013" s="59" t="n"/>
      <c r="AG1013" s="59" t="n"/>
      <c r="AH1013" s="59" t="n"/>
      <c r="AI1013" s="59" t="n"/>
      <c r="AJ1013" s="59" t="n"/>
      <c r="AK1013" s="59" t="n"/>
      <c r="AL1013" s="59" t="n"/>
      <c r="AM1013" s="59" t="n"/>
      <c r="AN1013" s="59" t="n"/>
      <c r="AO1013" s="59" t="n"/>
      <c r="AP1013" s="59" t="n"/>
      <c r="AQ1013" s="59" t="n"/>
      <c r="AR1013" s="59" t="n"/>
      <c r="AS1013" s="59" t="n"/>
      <c r="AT1013" s="59" t="n"/>
      <c r="AU1013" s="59" t="n"/>
      <c r="AV1013" s="59" t="n"/>
      <c r="AW1013" s="59" t="n"/>
      <c r="AX1013" s="59" t="n"/>
      <c r="AY1013" s="59" t="n"/>
      <c r="AZ1013" s="59" t="n"/>
      <c r="BA1013" s="59" t="n"/>
      <c r="BB1013" s="59" t="n"/>
      <c r="BC1013" s="59" t="n"/>
      <c r="BD1013" s="59" t="n"/>
      <c r="BE1013" s="59" t="n"/>
      <c r="BF1013" s="59" t="n"/>
      <c r="BG1013" s="59" t="n"/>
      <c r="BH1013" s="59" t="n"/>
      <c r="BI1013" s="59" t="n"/>
      <c r="BJ1013" s="59" t="n"/>
      <c r="BK1013" s="59" t="n"/>
      <c r="BL1013" s="59" t="n"/>
      <c r="BM1013" s="59" t="n"/>
      <c r="BN1013" s="59" t="n"/>
      <c r="BO1013" s="59" t="n"/>
      <c r="BP1013" s="59" t="n"/>
      <c r="BQ1013" s="59" t="n"/>
      <c r="BR1013" s="59" t="n"/>
      <c r="BS1013" s="59" t="n"/>
      <c r="BT1013" s="59" t="n"/>
      <c r="BU1013" s="59" t="n"/>
      <c r="BV1013" s="59" t="n"/>
      <c r="BW1013" s="59" t="n"/>
      <c r="BX1013" s="59" t="n"/>
      <c r="BY1013" s="59" t="n"/>
      <c r="BZ1013" s="59" t="n"/>
      <c r="CA1013" s="59" t="n"/>
      <c r="CB1013" s="59" t="n"/>
      <c r="CC1013" s="59" t="n"/>
      <c r="CD1013" s="59" t="n"/>
      <c r="CE1013" s="59" t="n"/>
      <c r="CF1013" s="59" t="n"/>
      <c r="CG1013" s="59" t="n"/>
      <c r="CH1013" s="59" t="n"/>
      <c r="CI1013" s="59" t="n"/>
      <c r="CJ1013" s="59" t="n"/>
      <c r="CK1013" s="59" t="n"/>
      <c r="CL1013" s="59" t="n"/>
      <c r="CM1013" s="59" t="n"/>
      <c r="CN1013" s="59" t="n"/>
    </row>
    <row r="1014" ht="15" customFormat="1" customHeight="1" s="3">
      <c r="A1014">
        <f>A1013+1</f>
        <v/>
      </c>
      <c r="I1014" s="20" t="n"/>
      <c r="K1014">
        <f>I1014+J1014</f>
        <v/>
      </c>
      <c r="X1014" s="59" t="n"/>
      <c r="Y1014" s="59" t="n"/>
      <c r="Z1014" s="59" t="n"/>
      <c r="AA1014" s="59" t="n"/>
      <c r="AB1014" s="59" t="n"/>
      <c r="AC1014" s="59" t="n"/>
      <c r="AD1014" s="59" t="n"/>
      <c r="AE1014" s="59" t="n"/>
      <c r="AF1014" s="59" t="n"/>
      <c r="AG1014" s="59" t="n"/>
      <c r="AH1014" s="59" t="n"/>
      <c r="AI1014" s="59" t="n"/>
      <c r="AJ1014" s="59" t="n"/>
      <c r="AK1014" s="59" t="n"/>
      <c r="AL1014" s="59" t="n"/>
      <c r="AM1014" s="59" t="n"/>
      <c r="AN1014" s="59" t="n"/>
      <c r="AO1014" s="59" t="n"/>
      <c r="AP1014" s="59" t="n"/>
      <c r="AQ1014" s="59" t="n"/>
      <c r="AR1014" s="59" t="n"/>
      <c r="AS1014" s="59" t="n"/>
      <c r="AT1014" s="59" t="n"/>
      <c r="AU1014" s="59" t="n"/>
      <c r="AV1014" s="59" t="n"/>
      <c r="AW1014" s="59" t="n"/>
      <c r="AX1014" s="59" t="n"/>
      <c r="AY1014" s="59" t="n"/>
      <c r="AZ1014" s="59" t="n"/>
      <c r="BA1014" s="59" t="n"/>
      <c r="BB1014" s="59" t="n"/>
      <c r="BC1014" s="59" t="n"/>
      <c r="BD1014" s="59" t="n"/>
      <c r="BE1014" s="59" t="n"/>
      <c r="BF1014" s="59" t="n"/>
      <c r="BG1014" s="59" t="n"/>
      <c r="BH1014" s="59" t="n"/>
      <c r="BI1014" s="59" t="n"/>
      <c r="BJ1014" s="59" t="n"/>
      <c r="BK1014" s="59" t="n"/>
      <c r="BL1014" s="59" t="n"/>
      <c r="BM1014" s="59" t="n"/>
      <c r="BN1014" s="59" t="n"/>
      <c r="BO1014" s="59" t="n"/>
      <c r="BP1014" s="59" t="n"/>
      <c r="BQ1014" s="59" t="n"/>
      <c r="BR1014" s="59" t="n"/>
      <c r="BS1014" s="59" t="n"/>
      <c r="BT1014" s="59" t="n"/>
      <c r="BU1014" s="59" t="n"/>
      <c r="BV1014" s="59" t="n"/>
      <c r="BW1014" s="59" t="n"/>
      <c r="BX1014" s="59" t="n"/>
      <c r="BY1014" s="59" t="n"/>
      <c r="BZ1014" s="59" t="n"/>
      <c r="CA1014" s="59" t="n"/>
      <c r="CB1014" s="59" t="n"/>
      <c r="CC1014" s="59" t="n"/>
      <c r="CD1014" s="59" t="n"/>
      <c r="CE1014" s="59" t="n"/>
      <c r="CF1014" s="59" t="n"/>
      <c r="CG1014" s="59" t="n"/>
      <c r="CH1014" s="59" t="n"/>
      <c r="CI1014" s="59" t="n"/>
      <c r="CJ1014" s="59" t="n"/>
      <c r="CK1014" s="59" t="n"/>
      <c r="CL1014" s="59" t="n"/>
      <c r="CM1014" s="59" t="n"/>
      <c r="CN1014" s="59" t="n"/>
    </row>
    <row r="1015" ht="15" customFormat="1" customHeight="1" s="3">
      <c r="A1015">
        <f>A1014+1</f>
        <v/>
      </c>
      <c r="I1015" s="20" t="n"/>
      <c r="K1015">
        <f>I1015+J1015</f>
        <v/>
      </c>
      <c r="X1015" s="59" t="n"/>
      <c r="Y1015" s="59" t="n"/>
      <c r="Z1015" s="59" t="n"/>
      <c r="AA1015" s="59" t="n"/>
      <c r="AB1015" s="59" t="n"/>
      <c r="AC1015" s="59" t="n"/>
      <c r="AD1015" s="59" t="n"/>
      <c r="AE1015" s="59" t="n"/>
      <c r="AF1015" s="59" t="n"/>
      <c r="AG1015" s="59" t="n"/>
      <c r="AH1015" s="59" t="n"/>
      <c r="AI1015" s="59" t="n"/>
      <c r="AJ1015" s="59" t="n"/>
      <c r="AK1015" s="59" t="n"/>
      <c r="AL1015" s="59" t="n"/>
      <c r="AM1015" s="59" t="n"/>
      <c r="AN1015" s="59" t="n"/>
      <c r="AO1015" s="59" t="n"/>
      <c r="AP1015" s="59" t="n"/>
      <c r="AQ1015" s="59" t="n"/>
      <c r="AR1015" s="59" t="n"/>
      <c r="AS1015" s="59" t="n"/>
      <c r="AT1015" s="59" t="n"/>
      <c r="AU1015" s="59" t="n"/>
      <c r="AV1015" s="59" t="n"/>
      <c r="AW1015" s="59" t="n"/>
      <c r="AX1015" s="59" t="n"/>
      <c r="AY1015" s="59" t="n"/>
      <c r="AZ1015" s="59" t="n"/>
      <c r="BA1015" s="59" t="n"/>
      <c r="BB1015" s="59" t="n"/>
      <c r="BC1015" s="59" t="n"/>
      <c r="BD1015" s="59" t="n"/>
      <c r="BE1015" s="59" t="n"/>
      <c r="BF1015" s="59" t="n"/>
      <c r="BG1015" s="59" t="n"/>
      <c r="BH1015" s="59" t="n"/>
      <c r="BI1015" s="59" t="n"/>
      <c r="BJ1015" s="59" t="n"/>
      <c r="BK1015" s="59" t="n"/>
      <c r="BL1015" s="59" t="n"/>
      <c r="BM1015" s="59" t="n"/>
      <c r="BN1015" s="59" t="n"/>
      <c r="BO1015" s="59" t="n"/>
      <c r="BP1015" s="59" t="n"/>
      <c r="BQ1015" s="59" t="n"/>
      <c r="BR1015" s="59" t="n"/>
      <c r="BS1015" s="59" t="n"/>
      <c r="BT1015" s="59" t="n"/>
      <c r="BU1015" s="59" t="n"/>
      <c r="BV1015" s="59" t="n"/>
      <c r="BW1015" s="59" t="n"/>
      <c r="BX1015" s="59" t="n"/>
      <c r="BY1015" s="59" t="n"/>
      <c r="BZ1015" s="59" t="n"/>
      <c r="CA1015" s="59" t="n"/>
      <c r="CB1015" s="59" t="n"/>
      <c r="CC1015" s="59" t="n"/>
      <c r="CD1015" s="59" t="n"/>
      <c r="CE1015" s="59" t="n"/>
      <c r="CF1015" s="59" t="n"/>
      <c r="CG1015" s="59" t="n"/>
      <c r="CH1015" s="59" t="n"/>
      <c r="CI1015" s="59" t="n"/>
      <c r="CJ1015" s="59" t="n"/>
      <c r="CK1015" s="59" t="n"/>
      <c r="CL1015" s="59" t="n"/>
      <c r="CM1015" s="59" t="n"/>
      <c r="CN1015" s="59" t="n"/>
    </row>
    <row r="1016" ht="15" customFormat="1" customHeight="1" s="3">
      <c r="A1016">
        <f>A1015+1</f>
        <v/>
      </c>
      <c r="I1016" s="20" t="n"/>
      <c r="K1016">
        <f>I1016+J1016</f>
        <v/>
      </c>
      <c r="X1016" s="59" t="n"/>
      <c r="Y1016" s="59" t="n"/>
      <c r="Z1016" s="59" t="n"/>
      <c r="AA1016" s="59" t="n"/>
      <c r="AB1016" s="59" t="n"/>
      <c r="AC1016" s="59" t="n"/>
      <c r="AD1016" s="59" t="n"/>
      <c r="AE1016" s="59" t="n"/>
      <c r="AF1016" s="59" t="n"/>
      <c r="AG1016" s="59" t="n"/>
      <c r="AH1016" s="59" t="n"/>
      <c r="AI1016" s="59" t="n"/>
      <c r="AJ1016" s="59" t="n"/>
      <c r="AK1016" s="59" t="n"/>
      <c r="AL1016" s="59" t="n"/>
      <c r="AM1016" s="59" t="n"/>
      <c r="AN1016" s="59" t="n"/>
      <c r="AO1016" s="59" t="n"/>
      <c r="AP1016" s="59" t="n"/>
      <c r="AQ1016" s="59" t="n"/>
      <c r="AR1016" s="59" t="n"/>
      <c r="AS1016" s="59" t="n"/>
      <c r="AT1016" s="59" t="n"/>
      <c r="AU1016" s="59" t="n"/>
      <c r="AV1016" s="59" t="n"/>
      <c r="AW1016" s="59" t="n"/>
      <c r="AX1016" s="59" t="n"/>
      <c r="AY1016" s="59" t="n"/>
      <c r="AZ1016" s="59" t="n"/>
      <c r="BA1016" s="59" t="n"/>
      <c r="BB1016" s="59" t="n"/>
      <c r="BC1016" s="59" t="n"/>
      <c r="BD1016" s="59" t="n"/>
      <c r="BE1016" s="59" t="n"/>
      <c r="BF1016" s="59" t="n"/>
      <c r="BG1016" s="59" t="n"/>
      <c r="BH1016" s="59" t="n"/>
      <c r="BI1016" s="59" t="n"/>
      <c r="BJ1016" s="59" t="n"/>
      <c r="BK1016" s="59" t="n"/>
      <c r="BL1016" s="59" t="n"/>
      <c r="BM1016" s="59" t="n"/>
      <c r="BN1016" s="59" t="n"/>
      <c r="BO1016" s="59" t="n"/>
      <c r="BP1016" s="59" t="n"/>
      <c r="BQ1016" s="59" t="n"/>
      <c r="BR1016" s="59" t="n"/>
      <c r="BS1016" s="59" t="n"/>
      <c r="BT1016" s="59" t="n"/>
      <c r="BU1016" s="59" t="n"/>
      <c r="BV1016" s="59" t="n"/>
      <c r="BW1016" s="59" t="n"/>
      <c r="BX1016" s="59" t="n"/>
      <c r="BY1016" s="59" t="n"/>
      <c r="BZ1016" s="59" t="n"/>
      <c r="CA1016" s="59" t="n"/>
      <c r="CB1016" s="59" t="n"/>
      <c r="CC1016" s="59" t="n"/>
      <c r="CD1016" s="59" t="n"/>
      <c r="CE1016" s="59" t="n"/>
      <c r="CF1016" s="59" t="n"/>
      <c r="CG1016" s="59" t="n"/>
      <c r="CH1016" s="59" t="n"/>
      <c r="CI1016" s="59" t="n"/>
      <c r="CJ1016" s="59" t="n"/>
      <c r="CK1016" s="59" t="n"/>
      <c r="CL1016" s="59" t="n"/>
      <c r="CM1016" s="59" t="n"/>
      <c r="CN1016" s="59" t="n"/>
    </row>
    <row r="1017" ht="15" customFormat="1" customHeight="1" s="3">
      <c r="A1017">
        <f>A1016+1</f>
        <v/>
      </c>
      <c r="I1017" s="20" t="n"/>
      <c r="K1017">
        <f>I1017+J1017</f>
        <v/>
      </c>
      <c r="X1017" s="59" t="n"/>
      <c r="Y1017" s="59" t="n"/>
      <c r="Z1017" s="59" t="n"/>
      <c r="AA1017" s="59" t="n"/>
      <c r="AB1017" s="59" t="n"/>
      <c r="AC1017" s="59" t="n"/>
      <c r="AD1017" s="59" t="n"/>
      <c r="AE1017" s="59" t="n"/>
      <c r="AF1017" s="59" t="n"/>
      <c r="AG1017" s="59" t="n"/>
      <c r="AH1017" s="59" t="n"/>
      <c r="AI1017" s="59" t="n"/>
      <c r="AJ1017" s="59" t="n"/>
      <c r="AK1017" s="59" t="n"/>
      <c r="AL1017" s="59" t="n"/>
      <c r="AM1017" s="59" t="n"/>
      <c r="AN1017" s="59" t="n"/>
      <c r="AO1017" s="59" t="n"/>
      <c r="AP1017" s="59" t="n"/>
      <c r="AQ1017" s="59" t="n"/>
      <c r="AR1017" s="59" t="n"/>
      <c r="AS1017" s="59" t="n"/>
      <c r="AT1017" s="59" t="n"/>
      <c r="AU1017" s="59" t="n"/>
      <c r="AV1017" s="59" t="n"/>
      <c r="AW1017" s="59" t="n"/>
      <c r="AX1017" s="59" t="n"/>
      <c r="AY1017" s="59" t="n"/>
      <c r="AZ1017" s="59" t="n"/>
      <c r="BA1017" s="59" t="n"/>
      <c r="BB1017" s="59" t="n"/>
      <c r="BC1017" s="59" t="n"/>
      <c r="BD1017" s="59" t="n"/>
      <c r="BE1017" s="59" t="n"/>
      <c r="BF1017" s="59" t="n"/>
      <c r="BG1017" s="59" t="n"/>
      <c r="BH1017" s="59" t="n"/>
      <c r="BI1017" s="59" t="n"/>
      <c r="BJ1017" s="59" t="n"/>
      <c r="BK1017" s="59" t="n"/>
      <c r="BL1017" s="59" t="n"/>
      <c r="BM1017" s="59" t="n"/>
      <c r="BN1017" s="59" t="n"/>
      <c r="BO1017" s="59" t="n"/>
      <c r="BP1017" s="59" t="n"/>
      <c r="BQ1017" s="59" t="n"/>
      <c r="BR1017" s="59" t="n"/>
      <c r="BS1017" s="59" t="n"/>
      <c r="BT1017" s="59" t="n"/>
      <c r="BU1017" s="59" t="n"/>
      <c r="BV1017" s="59" t="n"/>
      <c r="BW1017" s="59" t="n"/>
      <c r="BX1017" s="59" t="n"/>
      <c r="BY1017" s="59" t="n"/>
      <c r="BZ1017" s="59" t="n"/>
      <c r="CA1017" s="59" t="n"/>
      <c r="CB1017" s="59" t="n"/>
      <c r="CC1017" s="59" t="n"/>
      <c r="CD1017" s="59" t="n"/>
      <c r="CE1017" s="59" t="n"/>
      <c r="CF1017" s="59" t="n"/>
      <c r="CG1017" s="59" t="n"/>
      <c r="CH1017" s="59" t="n"/>
      <c r="CI1017" s="59" t="n"/>
      <c r="CJ1017" s="59" t="n"/>
      <c r="CK1017" s="59" t="n"/>
      <c r="CL1017" s="59" t="n"/>
      <c r="CM1017" s="59" t="n"/>
      <c r="CN1017" s="59" t="n"/>
    </row>
    <row r="1018" ht="15" customFormat="1" customHeight="1" s="3">
      <c r="A1018">
        <f>A1017+1</f>
        <v/>
      </c>
      <c r="I1018" s="20" t="n"/>
      <c r="K1018">
        <f>I1018+J1018</f>
        <v/>
      </c>
      <c r="X1018" s="59" t="n"/>
      <c r="Y1018" s="59" t="n"/>
      <c r="Z1018" s="59" t="n"/>
      <c r="AA1018" s="59" t="n"/>
      <c r="AB1018" s="59" t="n"/>
      <c r="AC1018" s="59" t="n"/>
      <c r="AD1018" s="59" t="n"/>
      <c r="AE1018" s="59" t="n"/>
      <c r="AF1018" s="59" t="n"/>
      <c r="AG1018" s="59" t="n"/>
      <c r="AH1018" s="59" t="n"/>
      <c r="AI1018" s="59" t="n"/>
      <c r="AJ1018" s="59" t="n"/>
      <c r="AK1018" s="59" t="n"/>
      <c r="AL1018" s="59" t="n"/>
      <c r="AM1018" s="59" t="n"/>
      <c r="AN1018" s="59" t="n"/>
      <c r="AO1018" s="59" t="n"/>
      <c r="AP1018" s="59" t="n"/>
      <c r="AQ1018" s="59" t="n"/>
      <c r="AR1018" s="59" t="n"/>
      <c r="AS1018" s="59" t="n"/>
      <c r="AT1018" s="59" t="n"/>
      <c r="AU1018" s="59" t="n"/>
      <c r="AV1018" s="59" t="n"/>
      <c r="AW1018" s="59" t="n"/>
      <c r="AX1018" s="59" t="n"/>
      <c r="AY1018" s="59" t="n"/>
      <c r="AZ1018" s="59" t="n"/>
      <c r="BA1018" s="59" t="n"/>
      <c r="BB1018" s="59" t="n"/>
      <c r="BC1018" s="59" t="n"/>
      <c r="BD1018" s="59" t="n"/>
      <c r="BE1018" s="59" t="n"/>
      <c r="BF1018" s="59" t="n"/>
      <c r="BG1018" s="59" t="n"/>
      <c r="BH1018" s="59" t="n"/>
      <c r="BI1018" s="59" t="n"/>
      <c r="BJ1018" s="59" t="n"/>
      <c r="BK1018" s="59" t="n"/>
      <c r="BL1018" s="59" t="n"/>
      <c r="BM1018" s="59" t="n"/>
      <c r="BN1018" s="59" t="n"/>
      <c r="BO1018" s="59" t="n"/>
      <c r="BP1018" s="59" t="n"/>
      <c r="BQ1018" s="59" t="n"/>
      <c r="BR1018" s="59" t="n"/>
      <c r="BS1018" s="59" t="n"/>
      <c r="BT1018" s="59" t="n"/>
      <c r="BU1018" s="59" t="n"/>
      <c r="BV1018" s="59" t="n"/>
      <c r="BW1018" s="59" t="n"/>
      <c r="BX1018" s="59" t="n"/>
      <c r="BY1018" s="59" t="n"/>
      <c r="BZ1018" s="59" t="n"/>
      <c r="CA1018" s="59" t="n"/>
      <c r="CB1018" s="59" t="n"/>
      <c r="CC1018" s="59" t="n"/>
      <c r="CD1018" s="59" t="n"/>
      <c r="CE1018" s="59" t="n"/>
      <c r="CF1018" s="59" t="n"/>
      <c r="CG1018" s="59" t="n"/>
      <c r="CH1018" s="59" t="n"/>
      <c r="CI1018" s="59" t="n"/>
      <c r="CJ1018" s="59" t="n"/>
      <c r="CK1018" s="59" t="n"/>
      <c r="CL1018" s="59" t="n"/>
      <c r="CM1018" s="59" t="n"/>
      <c r="CN1018" s="59" t="n"/>
    </row>
    <row r="1019" ht="15" customFormat="1" customHeight="1" s="3">
      <c r="A1019">
        <f>A1018+1</f>
        <v/>
      </c>
      <c r="I1019" s="20" t="n"/>
      <c r="K1019">
        <f>I1019+J1019</f>
        <v/>
      </c>
      <c r="X1019" s="59" t="n"/>
      <c r="Y1019" s="59" t="n"/>
      <c r="Z1019" s="59" t="n"/>
      <c r="AA1019" s="59" t="n"/>
      <c r="AB1019" s="59" t="n"/>
      <c r="AC1019" s="59" t="n"/>
      <c r="AD1019" s="59" t="n"/>
      <c r="AE1019" s="59" t="n"/>
      <c r="AF1019" s="59" t="n"/>
      <c r="AG1019" s="59" t="n"/>
      <c r="AH1019" s="59" t="n"/>
      <c r="AI1019" s="59" t="n"/>
      <c r="AJ1019" s="59" t="n"/>
      <c r="AK1019" s="59" t="n"/>
      <c r="AL1019" s="59" t="n"/>
      <c r="AM1019" s="59" t="n"/>
      <c r="AN1019" s="59" t="n"/>
      <c r="AO1019" s="59" t="n"/>
      <c r="AP1019" s="59" t="n"/>
      <c r="AQ1019" s="59" t="n"/>
      <c r="AR1019" s="59" t="n"/>
      <c r="AS1019" s="59" t="n"/>
      <c r="AT1019" s="59" t="n"/>
      <c r="AU1019" s="59" t="n"/>
      <c r="AV1019" s="59" t="n"/>
      <c r="AW1019" s="59" t="n"/>
      <c r="AX1019" s="59" t="n"/>
      <c r="AY1019" s="59" t="n"/>
      <c r="AZ1019" s="59" t="n"/>
      <c r="BA1019" s="59" t="n"/>
      <c r="BB1019" s="59" t="n"/>
      <c r="BC1019" s="59" t="n"/>
      <c r="BD1019" s="59" t="n"/>
      <c r="BE1019" s="59" t="n"/>
      <c r="BF1019" s="59" t="n"/>
      <c r="BG1019" s="59" t="n"/>
      <c r="BH1019" s="59" t="n"/>
      <c r="BI1019" s="59" t="n"/>
      <c r="BJ1019" s="59" t="n"/>
      <c r="BK1019" s="59" t="n"/>
      <c r="BL1019" s="59" t="n"/>
      <c r="BM1019" s="59" t="n"/>
      <c r="BN1019" s="59" t="n"/>
      <c r="BO1019" s="59" t="n"/>
      <c r="BP1019" s="59" t="n"/>
      <c r="BQ1019" s="59" t="n"/>
      <c r="BR1019" s="59" t="n"/>
      <c r="BS1019" s="59" t="n"/>
      <c r="BT1019" s="59" t="n"/>
      <c r="BU1019" s="59" t="n"/>
      <c r="BV1019" s="59" t="n"/>
      <c r="BW1019" s="59" t="n"/>
      <c r="BX1019" s="59" t="n"/>
      <c r="BY1019" s="59" t="n"/>
      <c r="BZ1019" s="59" t="n"/>
      <c r="CA1019" s="59" t="n"/>
      <c r="CB1019" s="59" t="n"/>
      <c r="CC1019" s="59" t="n"/>
      <c r="CD1019" s="59" t="n"/>
      <c r="CE1019" s="59" t="n"/>
      <c r="CF1019" s="59" t="n"/>
      <c r="CG1019" s="59" t="n"/>
      <c r="CH1019" s="59" t="n"/>
      <c r="CI1019" s="59" t="n"/>
      <c r="CJ1019" s="59" t="n"/>
      <c r="CK1019" s="59" t="n"/>
      <c r="CL1019" s="59" t="n"/>
      <c r="CM1019" s="59" t="n"/>
      <c r="CN1019" s="59" t="n"/>
    </row>
    <row r="1020" ht="15" customFormat="1" customHeight="1" s="3">
      <c r="A1020">
        <f>A1019+1</f>
        <v/>
      </c>
      <c r="I1020" s="20" t="n"/>
      <c r="K1020">
        <f>I1020+J1020</f>
        <v/>
      </c>
      <c r="X1020" s="59" t="n"/>
      <c r="Y1020" s="59" t="n"/>
      <c r="Z1020" s="59" t="n"/>
      <c r="AA1020" s="59" t="n"/>
      <c r="AB1020" s="59" t="n"/>
      <c r="AC1020" s="59" t="n"/>
      <c r="AD1020" s="59" t="n"/>
      <c r="AE1020" s="59" t="n"/>
      <c r="AF1020" s="59" t="n"/>
      <c r="AG1020" s="59" t="n"/>
      <c r="AH1020" s="59" t="n"/>
      <c r="AI1020" s="59" t="n"/>
      <c r="AJ1020" s="59" t="n"/>
      <c r="AK1020" s="59" t="n"/>
      <c r="AL1020" s="59" t="n"/>
      <c r="AM1020" s="59" t="n"/>
      <c r="AN1020" s="59" t="n"/>
      <c r="AO1020" s="59" t="n"/>
      <c r="AP1020" s="59" t="n"/>
      <c r="AQ1020" s="59" t="n"/>
      <c r="AR1020" s="59" t="n"/>
      <c r="AS1020" s="59" t="n"/>
      <c r="AT1020" s="59" t="n"/>
      <c r="AU1020" s="59" t="n"/>
      <c r="AV1020" s="59" t="n"/>
      <c r="AW1020" s="59" t="n"/>
      <c r="AX1020" s="59" t="n"/>
      <c r="AY1020" s="59" t="n"/>
      <c r="AZ1020" s="59" t="n"/>
      <c r="BA1020" s="59" t="n"/>
      <c r="BB1020" s="59" t="n"/>
      <c r="BC1020" s="59" t="n"/>
      <c r="BD1020" s="59" t="n"/>
      <c r="BE1020" s="59" t="n"/>
      <c r="BF1020" s="59" t="n"/>
      <c r="BG1020" s="59" t="n"/>
      <c r="BH1020" s="59" t="n"/>
      <c r="BI1020" s="59" t="n"/>
      <c r="BJ1020" s="59" t="n"/>
      <c r="BK1020" s="59" t="n"/>
      <c r="BL1020" s="59" t="n"/>
      <c r="BM1020" s="59" t="n"/>
      <c r="BN1020" s="59" t="n"/>
      <c r="BO1020" s="59" t="n"/>
      <c r="BP1020" s="59" t="n"/>
      <c r="BQ1020" s="59" t="n"/>
      <c r="BR1020" s="59" t="n"/>
      <c r="BS1020" s="59" t="n"/>
      <c r="BT1020" s="59" t="n"/>
      <c r="BU1020" s="59" t="n"/>
      <c r="BV1020" s="59" t="n"/>
      <c r="BW1020" s="59" t="n"/>
      <c r="BX1020" s="59" t="n"/>
      <c r="BY1020" s="59" t="n"/>
      <c r="BZ1020" s="59" t="n"/>
      <c r="CA1020" s="59" t="n"/>
      <c r="CB1020" s="59" t="n"/>
      <c r="CC1020" s="59" t="n"/>
      <c r="CD1020" s="59" t="n"/>
      <c r="CE1020" s="59" t="n"/>
      <c r="CF1020" s="59" t="n"/>
      <c r="CG1020" s="59" t="n"/>
      <c r="CH1020" s="59" t="n"/>
      <c r="CI1020" s="59" t="n"/>
      <c r="CJ1020" s="59" t="n"/>
      <c r="CK1020" s="59" t="n"/>
      <c r="CL1020" s="59" t="n"/>
      <c r="CM1020" s="59" t="n"/>
      <c r="CN1020" s="59" t="n"/>
    </row>
    <row r="1021" ht="15" customFormat="1" customHeight="1" s="3">
      <c r="A1021">
        <f>A1020+1</f>
        <v/>
      </c>
      <c r="I1021" s="20" t="n"/>
      <c r="K1021">
        <f>I1021+J1021</f>
        <v/>
      </c>
      <c r="X1021" s="59" t="n"/>
      <c r="Y1021" s="59" t="n"/>
      <c r="Z1021" s="59" t="n"/>
      <c r="AA1021" s="59" t="n"/>
      <c r="AB1021" s="59" t="n"/>
      <c r="AC1021" s="59" t="n"/>
      <c r="AD1021" s="59" t="n"/>
      <c r="AE1021" s="59" t="n"/>
      <c r="AF1021" s="59" t="n"/>
      <c r="AG1021" s="59" t="n"/>
      <c r="AH1021" s="59" t="n"/>
      <c r="AI1021" s="59" t="n"/>
      <c r="AJ1021" s="59" t="n"/>
      <c r="AK1021" s="59" t="n"/>
      <c r="AL1021" s="59" t="n"/>
      <c r="AM1021" s="59" t="n"/>
      <c r="AN1021" s="59" t="n"/>
      <c r="AO1021" s="59" t="n"/>
      <c r="AP1021" s="59" t="n"/>
      <c r="AQ1021" s="59" t="n"/>
      <c r="AR1021" s="59" t="n"/>
      <c r="AS1021" s="59" t="n"/>
      <c r="AT1021" s="59" t="n"/>
      <c r="AU1021" s="59" t="n"/>
      <c r="AV1021" s="59" t="n"/>
      <c r="AW1021" s="59" t="n"/>
      <c r="AX1021" s="59" t="n"/>
      <c r="AY1021" s="59" t="n"/>
      <c r="AZ1021" s="59" t="n"/>
      <c r="BA1021" s="59" t="n"/>
      <c r="BB1021" s="59" t="n"/>
      <c r="BC1021" s="59" t="n"/>
      <c r="BD1021" s="59" t="n"/>
      <c r="BE1021" s="59" t="n"/>
      <c r="BF1021" s="59" t="n"/>
      <c r="BG1021" s="59" t="n"/>
      <c r="BH1021" s="59" t="n"/>
      <c r="BI1021" s="59" t="n"/>
      <c r="BJ1021" s="59" t="n"/>
      <c r="BK1021" s="59" t="n"/>
      <c r="BL1021" s="59" t="n"/>
      <c r="BM1021" s="59" t="n"/>
      <c r="BN1021" s="59" t="n"/>
      <c r="BO1021" s="59" t="n"/>
      <c r="BP1021" s="59" t="n"/>
      <c r="BQ1021" s="59" t="n"/>
      <c r="BR1021" s="59" t="n"/>
      <c r="BS1021" s="59" t="n"/>
      <c r="BT1021" s="59" t="n"/>
      <c r="BU1021" s="59" t="n"/>
      <c r="BV1021" s="59" t="n"/>
      <c r="BW1021" s="59" t="n"/>
      <c r="BX1021" s="59" t="n"/>
      <c r="BY1021" s="59" t="n"/>
      <c r="BZ1021" s="59" t="n"/>
      <c r="CA1021" s="59" t="n"/>
      <c r="CB1021" s="59" t="n"/>
      <c r="CC1021" s="59" t="n"/>
      <c r="CD1021" s="59" t="n"/>
      <c r="CE1021" s="59" t="n"/>
      <c r="CF1021" s="59" t="n"/>
      <c r="CG1021" s="59" t="n"/>
      <c r="CH1021" s="59" t="n"/>
      <c r="CI1021" s="59" t="n"/>
      <c r="CJ1021" s="59" t="n"/>
      <c r="CK1021" s="59" t="n"/>
      <c r="CL1021" s="59" t="n"/>
      <c r="CM1021" s="59" t="n"/>
      <c r="CN1021" s="59" t="n"/>
    </row>
    <row r="1022" ht="15" customFormat="1" customHeight="1" s="3">
      <c r="A1022">
        <f>A1021+1</f>
        <v/>
      </c>
      <c r="I1022" s="20" t="n"/>
      <c r="K1022">
        <f>I1022+J1022</f>
        <v/>
      </c>
      <c r="X1022" s="59" t="n"/>
      <c r="Y1022" s="59" t="n"/>
      <c r="Z1022" s="59" t="n"/>
      <c r="AA1022" s="59" t="n"/>
      <c r="AB1022" s="59" t="n"/>
      <c r="AC1022" s="59" t="n"/>
      <c r="AD1022" s="59" t="n"/>
      <c r="AE1022" s="59" t="n"/>
      <c r="AF1022" s="59" t="n"/>
      <c r="AG1022" s="59" t="n"/>
      <c r="AH1022" s="59" t="n"/>
      <c r="AI1022" s="59" t="n"/>
      <c r="AJ1022" s="59" t="n"/>
      <c r="AK1022" s="59" t="n"/>
      <c r="AL1022" s="59" t="n"/>
      <c r="AM1022" s="59" t="n"/>
      <c r="AN1022" s="59" t="n"/>
      <c r="AO1022" s="59" t="n"/>
      <c r="AP1022" s="59" t="n"/>
      <c r="AQ1022" s="59" t="n"/>
      <c r="AR1022" s="59" t="n"/>
      <c r="AS1022" s="59" t="n"/>
      <c r="AT1022" s="59" t="n"/>
      <c r="AU1022" s="59" t="n"/>
      <c r="AV1022" s="59" t="n"/>
      <c r="AW1022" s="59" t="n"/>
      <c r="AX1022" s="59" t="n"/>
      <c r="AY1022" s="59" t="n"/>
      <c r="AZ1022" s="59" t="n"/>
      <c r="BA1022" s="59" t="n"/>
      <c r="BB1022" s="59" t="n"/>
      <c r="BC1022" s="59" t="n"/>
      <c r="BD1022" s="59" t="n"/>
      <c r="BE1022" s="59" t="n"/>
      <c r="BF1022" s="59" t="n"/>
      <c r="BG1022" s="59" t="n"/>
      <c r="BH1022" s="59" t="n"/>
      <c r="BI1022" s="59" t="n"/>
      <c r="BJ1022" s="59" t="n"/>
      <c r="BK1022" s="59" t="n"/>
      <c r="BL1022" s="59" t="n"/>
      <c r="BM1022" s="59" t="n"/>
      <c r="BN1022" s="59" t="n"/>
      <c r="BO1022" s="59" t="n"/>
      <c r="BP1022" s="59" t="n"/>
      <c r="BQ1022" s="59" t="n"/>
      <c r="BR1022" s="59" t="n"/>
      <c r="BS1022" s="59" t="n"/>
      <c r="BT1022" s="59" t="n"/>
      <c r="BU1022" s="59" t="n"/>
      <c r="BV1022" s="59" t="n"/>
      <c r="BW1022" s="59" t="n"/>
      <c r="BX1022" s="59" t="n"/>
      <c r="BY1022" s="59" t="n"/>
      <c r="BZ1022" s="59" t="n"/>
      <c r="CA1022" s="59" t="n"/>
      <c r="CB1022" s="59" t="n"/>
      <c r="CC1022" s="59" t="n"/>
      <c r="CD1022" s="59" t="n"/>
      <c r="CE1022" s="59" t="n"/>
      <c r="CF1022" s="59" t="n"/>
      <c r="CG1022" s="59" t="n"/>
      <c r="CH1022" s="59" t="n"/>
      <c r="CI1022" s="59" t="n"/>
      <c r="CJ1022" s="59" t="n"/>
      <c r="CK1022" s="59" t="n"/>
      <c r="CL1022" s="59" t="n"/>
      <c r="CM1022" s="59" t="n"/>
      <c r="CN1022" s="59" t="n"/>
    </row>
    <row r="1023" ht="15" customFormat="1" customHeight="1" s="3">
      <c r="A1023">
        <f>A1022+1</f>
        <v/>
      </c>
      <c r="I1023" s="20" t="n"/>
      <c r="K1023">
        <f>I1023+J1023</f>
        <v/>
      </c>
      <c r="X1023" s="59" t="n"/>
      <c r="Y1023" s="59" t="n"/>
      <c r="Z1023" s="59" t="n"/>
      <c r="AA1023" s="59" t="n"/>
      <c r="AB1023" s="59" t="n"/>
      <c r="AC1023" s="59" t="n"/>
      <c r="AD1023" s="59" t="n"/>
      <c r="AE1023" s="59" t="n"/>
      <c r="AF1023" s="59" t="n"/>
      <c r="AG1023" s="59" t="n"/>
      <c r="AH1023" s="59" t="n"/>
      <c r="AI1023" s="59" t="n"/>
      <c r="AJ1023" s="59" t="n"/>
      <c r="AK1023" s="59" t="n"/>
      <c r="AL1023" s="59" t="n"/>
      <c r="AM1023" s="59" t="n"/>
      <c r="AN1023" s="59" t="n"/>
      <c r="AO1023" s="59" t="n"/>
      <c r="AP1023" s="59" t="n"/>
      <c r="AQ1023" s="59" t="n"/>
      <c r="AR1023" s="59" t="n"/>
      <c r="AS1023" s="59" t="n"/>
      <c r="AT1023" s="59" t="n"/>
      <c r="AU1023" s="59" t="n"/>
      <c r="AV1023" s="59" t="n"/>
      <c r="AW1023" s="59" t="n"/>
      <c r="AX1023" s="59" t="n"/>
      <c r="AY1023" s="59" t="n"/>
      <c r="AZ1023" s="59" t="n"/>
      <c r="BA1023" s="59" t="n"/>
      <c r="BB1023" s="59" t="n"/>
      <c r="BC1023" s="59" t="n"/>
      <c r="BD1023" s="59" t="n"/>
      <c r="BE1023" s="59" t="n"/>
      <c r="BF1023" s="59" t="n"/>
      <c r="BG1023" s="59" t="n"/>
      <c r="BH1023" s="59" t="n"/>
      <c r="BI1023" s="59" t="n"/>
      <c r="BJ1023" s="59" t="n"/>
      <c r="BK1023" s="59" t="n"/>
      <c r="BL1023" s="59" t="n"/>
      <c r="BM1023" s="59" t="n"/>
      <c r="BN1023" s="59" t="n"/>
      <c r="BO1023" s="59" t="n"/>
      <c r="BP1023" s="59" t="n"/>
      <c r="BQ1023" s="59" t="n"/>
      <c r="BR1023" s="59" t="n"/>
      <c r="BS1023" s="59" t="n"/>
      <c r="BT1023" s="59" t="n"/>
      <c r="BU1023" s="59" t="n"/>
      <c r="BV1023" s="59" t="n"/>
      <c r="BW1023" s="59" t="n"/>
      <c r="BX1023" s="59" t="n"/>
      <c r="BY1023" s="59" t="n"/>
      <c r="BZ1023" s="59" t="n"/>
      <c r="CA1023" s="59" t="n"/>
      <c r="CB1023" s="59" t="n"/>
      <c r="CC1023" s="59" t="n"/>
      <c r="CD1023" s="59" t="n"/>
      <c r="CE1023" s="59" t="n"/>
      <c r="CF1023" s="59" t="n"/>
      <c r="CG1023" s="59" t="n"/>
      <c r="CH1023" s="59" t="n"/>
      <c r="CI1023" s="59" t="n"/>
      <c r="CJ1023" s="59" t="n"/>
      <c r="CK1023" s="59" t="n"/>
      <c r="CL1023" s="59" t="n"/>
      <c r="CM1023" s="59" t="n"/>
      <c r="CN1023" s="59" t="n"/>
    </row>
    <row r="1024" ht="15" customFormat="1" customHeight="1" s="3">
      <c r="A1024">
        <f>A1023+1</f>
        <v/>
      </c>
      <c r="I1024" s="20" t="n"/>
      <c r="K1024">
        <f>I1024+J1024</f>
        <v/>
      </c>
      <c r="X1024" s="59" t="n"/>
      <c r="Y1024" s="59" t="n"/>
      <c r="Z1024" s="59" t="n"/>
      <c r="AA1024" s="59" t="n"/>
      <c r="AB1024" s="59" t="n"/>
      <c r="AC1024" s="59" t="n"/>
      <c r="AD1024" s="59" t="n"/>
      <c r="AE1024" s="59" t="n"/>
      <c r="AF1024" s="59" t="n"/>
      <c r="AG1024" s="59" t="n"/>
      <c r="AH1024" s="59" t="n"/>
      <c r="AI1024" s="59" t="n"/>
      <c r="AJ1024" s="59" t="n"/>
      <c r="AK1024" s="59" t="n"/>
      <c r="AL1024" s="59" t="n"/>
      <c r="AM1024" s="59" t="n"/>
      <c r="AN1024" s="59" t="n"/>
      <c r="AO1024" s="59" t="n"/>
      <c r="AP1024" s="59" t="n"/>
      <c r="AQ1024" s="59" t="n"/>
      <c r="AR1024" s="59" t="n"/>
      <c r="AS1024" s="59" t="n"/>
      <c r="AT1024" s="59" t="n"/>
      <c r="AU1024" s="59" t="n"/>
      <c r="AV1024" s="59" t="n"/>
      <c r="AW1024" s="59" t="n"/>
      <c r="AX1024" s="59" t="n"/>
      <c r="AY1024" s="59" t="n"/>
      <c r="AZ1024" s="59" t="n"/>
      <c r="BA1024" s="59" t="n"/>
      <c r="BB1024" s="59" t="n"/>
      <c r="BC1024" s="59" t="n"/>
      <c r="BD1024" s="59" t="n"/>
      <c r="BE1024" s="59" t="n"/>
      <c r="BF1024" s="59" t="n"/>
      <c r="BG1024" s="59" t="n"/>
      <c r="BH1024" s="59" t="n"/>
      <c r="BI1024" s="59" t="n"/>
      <c r="BJ1024" s="59" t="n"/>
      <c r="BK1024" s="59" t="n"/>
      <c r="BL1024" s="59" t="n"/>
      <c r="BM1024" s="59" t="n"/>
      <c r="BN1024" s="59" t="n"/>
      <c r="BO1024" s="59" t="n"/>
      <c r="BP1024" s="59" t="n"/>
      <c r="BQ1024" s="59" t="n"/>
      <c r="BR1024" s="59" t="n"/>
      <c r="BS1024" s="59" t="n"/>
      <c r="BT1024" s="59" t="n"/>
      <c r="BU1024" s="59" t="n"/>
      <c r="BV1024" s="59" t="n"/>
      <c r="BW1024" s="59" t="n"/>
      <c r="BX1024" s="59" t="n"/>
      <c r="BY1024" s="59" t="n"/>
      <c r="BZ1024" s="59" t="n"/>
      <c r="CA1024" s="59" t="n"/>
      <c r="CB1024" s="59" t="n"/>
      <c r="CC1024" s="59" t="n"/>
      <c r="CD1024" s="59" t="n"/>
      <c r="CE1024" s="59" t="n"/>
      <c r="CF1024" s="59" t="n"/>
      <c r="CG1024" s="59" t="n"/>
      <c r="CH1024" s="59" t="n"/>
      <c r="CI1024" s="59" t="n"/>
      <c r="CJ1024" s="59" t="n"/>
      <c r="CK1024" s="59" t="n"/>
      <c r="CL1024" s="59" t="n"/>
      <c r="CM1024" s="59" t="n"/>
      <c r="CN1024" s="59" t="n"/>
    </row>
    <row r="1025" ht="15" customFormat="1" customHeight="1" s="3">
      <c r="A1025">
        <f>A1024+1</f>
        <v/>
      </c>
      <c r="I1025" s="20" t="n"/>
      <c r="K1025">
        <f>I1025+J1025</f>
        <v/>
      </c>
      <c r="X1025" s="59" t="n"/>
      <c r="Y1025" s="59" t="n"/>
      <c r="Z1025" s="59" t="n"/>
      <c r="AA1025" s="59" t="n"/>
      <c r="AB1025" s="59" t="n"/>
      <c r="AC1025" s="59" t="n"/>
      <c r="AD1025" s="59" t="n"/>
      <c r="AE1025" s="59" t="n"/>
      <c r="AF1025" s="59" t="n"/>
      <c r="AG1025" s="59" t="n"/>
      <c r="AH1025" s="59" t="n"/>
      <c r="AI1025" s="59" t="n"/>
      <c r="AJ1025" s="59" t="n"/>
      <c r="AK1025" s="59" t="n"/>
      <c r="AL1025" s="59" t="n"/>
      <c r="AM1025" s="59" t="n"/>
      <c r="AN1025" s="59" t="n"/>
      <c r="AO1025" s="59" t="n"/>
      <c r="AP1025" s="59" t="n"/>
      <c r="AQ1025" s="59" t="n"/>
      <c r="AR1025" s="59" t="n"/>
      <c r="AS1025" s="59" t="n"/>
      <c r="AT1025" s="59" t="n"/>
      <c r="AU1025" s="59" t="n"/>
      <c r="AV1025" s="59" t="n"/>
      <c r="AW1025" s="59" t="n"/>
      <c r="AX1025" s="59" t="n"/>
      <c r="AY1025" s="59" t="n"/>
      <c r="AZ1025" s="59" t="n"/>
      <c r="BA1025" s="59" t="n"/>
      <c r="BB1025" s="59" t="n"/>
      <c r="BC1025" s="59" t="n"/>
      <c r="BD1025" s="59" t="n"/>
      <c r="BE1025" s="59" t="n"/>
      <c r="BF1025" s="59" t="n"/>
      <c r="BG1025" s="59" t="n"/>
      <c r="BH1025" s="59" t="n"/>
      <c r="BI1025" s="59" t="n"/>
      <c r="BJ1025" s="59" t="n"/>
      <c r="BK1025" s="59" t="n"/>
      <c r="BL1025" s="59" t="n"/>
      <c r="BM1025" s="59" t="n"/>
      <c r="BN1025" s="59" t="n"/>
      <c r="BO1025" s="59" t="n"/>
      <c r="BP1025" s="59" t="n"/>
      <c r="BQ1025" s="59" t="n"/>
      <c r="BR1025" s="59" t="n"/>
      <c r="BS1025" s="59" t="n"/>
      <c r="BT1025" s="59" t="n"/>
      <c r="BU1025" s="59" t="n"/>
      <c r="BV1025" s="59" t="n"/>
      <c r="BW1025" s="59" t="n"/>
      <c r="BX1025" s="59" t="n"/>
      <c r="BY1025" s="59" t="n"/>
      <c r="BZ1025" s="59" t="n"/>
      <c r="CA1025" s="59" t="n"/>
      <c r="CB1025" s="59" t="n"/>
      <c r="CC1025" s="59" t="n"/>
      <c r="CD1025" s="59" t="n"/>
      <c r="CE1025" s="59" t="n"/>
      <c r="CF1025" s="59" t="n"/>
      <c r="CG1025" s="59" t="n"/>
      <c r="CH1025" s="59" t="n"/>
      <c r="CI1025" s="59" t="n"/>
      <c r="CJ1025" s="59" t="n"/>
      <c r="CK1025" s="59" t="n"/>
      <c r="CL1025" s="59" t="n"/>
      <c r="CM1025" s="59" t="n"/>
      <c r="CN1025" s="59" t="n"/>
    </row>
    <row r="1026" ht="15" customFormat="1" customHeight="1" s="3">
      <c r="A1026">
        <f>A1025+1</f>
        <v/>
      </c>
      <c r="I1026" s="20" t="n"/>
      <c r="K1026">
        <f>I1026+J1026</f>
        <v/>
      </c>
      <c r="X1026" s="59" t="n"/>
      <c r="Y1026" s="59" t="n"/>
      <c r="Z1026" s="59" t="n"/>
      <c r="AA1026" s="59" t="n"/>
      <c r="AB1026" s="59" t="n"/>
      <c r="AC1026" s="59" t="n"/>
      <c r="AD1026" s="59" t="n"/>
      <c r="AE1026" s="59" t="n"/>
      <c r="AF1026" s="59" t="n"/>
      <c r="AG1026" s="59" t="n"/>
      <c r="AH1026" s="59" t="n"/>
      <c r="AI1026" s="59" t="n"/>
      <c r="AJ1026" s="59" t="n"/>
      <c r="AK1026" s="59" t="n"/>
      <c r="AL1026" s="59" t="n"/>
      <c r="AM1026" s="59" t="n"/>
      <c r="AN1026" s="59" t="n"/>
      <c r="AO1026" s="59" t="n"/>
      <c r="AP1026" s="59" t="n"/>
      <c r="AQ1026" s="59" t="n"/>
      <c r="AR1026" s="59" t="n"/>
      <c r="AS1026" s="59" t="n"/>
      <c r="AT1026" s="59" t="n"/>
      <c r="AU1026" s="59" t="n"/>
      <c r="AV1026" s="59" t="n"/>
      <c r="AW1026" s="59" t="n"/>
      <c r="AX1026" s="59" t="n"/>
      <c r="AY1026" s="59" t="n"/>
      <c r="AZ1026" s="59" t="n"/>
      <c r="BA1026" s="59" t="n"/>
      <c r="BB1026" s="59" t="n"/>
      <c r="BC1026" s="59" t="n"/>
      <c r="BD1026" s="59" t="n"/>
      <c r="BE1026" s="59" t="n"/>
      <c r="BF1026" s="59" t="n"/>
      <c r="BG1026" s="59" t="n"/>
      <c r="BH1026" s="59" t="n"/>
      <c r="BI1026" s="59" t="n"/>
      <c r="BJ1026" s="59" t="n"/>
      <c r="BK1026" s="59" t="n"/>
      <c r="BL1026" s="59" t="n"/>
      <c r="BM1026" s="59" t="n"/>
      <c r="BN1026" s="59" t="n"/>
      <c r="BO1026" s="59" t="n"/>
      <c r="BP1026" s="59" t="n"/>
      <c r="BQ1026" s="59" t="n"/>
      <c r="BR1026" s="59" t="n"/>
      <c r="BS1026" s="59" t="n"/>
      <c r="BT1026" s="59" t="n"/>
      <c r="BU1026" s="59" t="n"/>
      <c r="BV1026" s="59" t="n"/>
      <c r="BW1026" s="59" t="n"/>
      <c r="BX1026" s="59" t="n"/>
      <c r="BY1026" s="59" t="n"/>
      <c r="BZ1026" s="59" t="n"/>
      <c r="CA1026" s="59" t="n"/>
      <c r="CB1026" s="59" t="n"/>
      <c r="CC1026" s="59" t="n"/>
      <c r="CD1026" s="59" t="n"/>
      <c r="CE1026" s="59" t="n"/>
      <c r="CF1026" s="59" t="n"/>
      <c r="CG1026" s="59" t="n"/>
      <c r="CH1026" s="59" t="n"/>
      <c r="CI1026" s="59" t="n"/>
      <c r="CJ1026" s="59" t="n"/>
      <c r="CK1026" s="59" t="n"/>
      <c r="CL1026" s="59" t="n"/>
      <c r="CM1026" s="59" t="n"/>
      <c r="CN1026" s="59" t="n"/>
    </row>
    <row r="1027" ht="15" customFormat="1" customHeight="1" s="3">
      <c r="A1027">
        <f>A1026+1</f>
        <v/>
      </c>
      <c r="I1027" s="20" t="n"/>
      <c r="K1027">
        <f>I1027+J1027</f>
        <v/>
      </c>
      <c r="X1027" s="59" t="n"/>
      <c r="Y1027" s="59" t="n"/>
      <c r="Z1027" s="59" t="n"/>
      <c r="AA1027" s="59" t="n"/>
      <c r="AB1027" s="59" t="n"/>
      <c r="AC1027" s="59" t="n"/>
      <c r="AD1027" s="59" t="n"/>
      <c r="AE1027" s="59" t="n"/>
      <c r="AF1027" s="59" t="n"/>
      <c r="AG1027" s="59" t="n"/>
      <c r="AH1027" s="59" t="n"/>
      <c r="AI1027" s="59" t="n"/>
      <c r="AJ1027" s="59" t="n"/>
      <c r="AK1027" s="59" t="n"/>
      <c r="AL1027" s="59" t="n"/>
      <c r="AM1027" s="59" t="n"/>
      <c r="AN1027" s="59" t="n"/>
      <c r="AO1027" s="59" t="n"/>
      <c r="AP1027" s="59" t="n"/>
      <c r="AQ1027" s="59" t="n"/>
      <c r="AR1027" s="59" t="n"/>
      <c r="AS1027" s="59" t="n"/>
      <c r="AT1027" s="59" t="n"/>
      <c r="AU1027" s="59" t="n"/>
      <c r="AV1027" s="59" t="n"/>
      <c r="AW1027" s="59" t="n"/>
      <c r="AX1027" s="59" t="n"/>
      <c r="AY1027" s="59" t="n"/>
      <c r="AZ1027" s="59" t="n"/>
      <c r="BA1027" s="59" t="n"/>
      <c r="BB1027" s="59" t="n"/>
      <c r="BC1027" s="59" t="n"/>
      <c r="BD1027" s="59" t="n"/>
      <c r="BE1027" s="59" t="n"/>
      <c r="BF1027" s="59" t="n"/>
      <c r="BG1027" s="59" t="n"/>
      <c r="BH1027" s="59" t="n"/>
      <c r="BI1027" s="59" t="n"/>
      <c r="BJ1027" s="59" t="n"/>
      <c r="BK1027" s="59" t="n"/>
      <c r="BL1027" s="59" t="n"/>
      <c r="BM1027" s="59" t="n"/>
      <c r="BN1027" s="59" t="n"/>
      <c r="BO1027" s="59" t="n"/>
      <c r="BP1027" s="59" t="n"/>
      <c r="BQ1027" s="59" t="n"/>
      <c r="BR1027" s="59" t="n"/>
      <c r="BS1027" s="59" t="n"/>
      <c r="BT1027" s="59" t="n"/>
      <c r="BU1027" s="59" t="n"/>
      <c r="BV1027" s="59" t="n"/>
      <c r="BW1027" s="59" t="n"/>
      <c r="BX1027" s="59" t="n"/>
      <c r="BY1027" s="59" t="n"/>
      <c r="BZ1027" s="59" t="n"/>
      <c r="CA1027" s="59" t="n"/>
      <c r="CB1027" s="59" t="n"/>
      <c r="CC1027" s="59" t="n"/>
      <c r="CD1027" s="59" t="n"/>
      <c r="CE1027" s="59" t="n"/>
      <c r="CF1027" s="59" t="n"/>
      <c r="CG1027" s="59" t="n"/>
      <c r="CH1027" s="59" t="n"/>
      <c r="CI1027" s="59" t="n"/>
      <c r="CJ1027" s="59" t="n"/>
      <c r="CK1027" s="59" t="n"/>
      <c r="CL1027" s="59" t="n"/>
      <c r="CM1027" s="59" t="n"/>
      <c r="CN1027" s="59" t="n"/>
    </row>
    <row r="1028" ht="15" customFormat="1" customHeight="1" s="3">
      <c r="A1028">
        <f>A1027+1</f>
        <v/>
      </c>
      <c r="I1028" s="20" t="n"/>
      <c r="K1028">
        <f>I1028+J1028</f>
        <v/>
      </c>
      <c r="X1028" s="59" t="n"/>
      <c r="Y1028" s="59" t="n"/>
      <c r="Z1028" s="59" t="n"/>
      <c r="AA1028" s="59" t="n"/>
      <c r="AB1028" s="59" t="n"/>
      <c r="AC1028" s="59" t="n"/>
      <c r="AD1028" s="59" t="n"/>
      <c r="AE1028" s="59" t="n"/>
      <c r="AF1028" s="59" t="n"/>
      <c r="AG1028" s="59" t="n"/>
      <c r="AH1028" s="59" t="n"/>
      <c r="AI1028" s="59" t="n"/>
      <c r="AJ1028" s="59" t="n"/>
      <c r="AK1028" s="59" t="n"/>
      <c r="AL1028" s="59" t="n"/>
      <c r="AM1028" s="59" t="n"/>
      <c r="AN1028" s="59" t="n"/>
      <c r="AO1028" s="59" t="n"/>
      <c r="AP1028" s="59" t="n"/>
      <c r="AQ1028" s="59" t="n"/>
      <c r="AR1028" s="59" t="n"/>
      <c r="AS1028" s="59" t="n"/>
      <c r="AT1028" s="59" t="n"/>
      <c r="AU1028" s="59" t="n"/>
      <c r="AV1028" s="59" t="n"/>
      <c r="AW1028" s="59" t="n"/>
      <c r="AX1028" s="59" t="n"/>
      <c r="AY1028" s="59" t="n"/>
      <c r="AZ1028" s="59" t="n"/>
      <c r="BA1028" s="59" t="n"/>
      <c r="BB1028" s="59" t="n"/>
      <c r="BC1028" s="59" t="n"/>
      <c r="BD1028" s="59" t="n"/>
      <c r="BE1028" s="59" t="n"/>
      <c r="BF1028" s="59" t="n"/>
      <c r="BG1028" s="59" t="n"/>
      <c r="BH1028" s="59" t="n"/>
      <c r="BI1028" s="59" t="n"/>
      <c r="BJ1028" s="59" t="n"/>
      <c r="BK1028" s="59" t="n"/>
      <c r="BL1028" s="59" t="n"/>
      <c r="BM1028" s="59" t="n"/>
      <c r="BN1028" s="59" t="n"/>
      <c r="BO1028" s="59" t="n"/>
      <c r="BP1028" s="59" t="n"/>
      <c r="BQ1028" s="59" t="n"/>
      <c r="BR1028" s="59" t="n"/>
      <c r="BS1028" s="59" t="n"/>
      <c r="BT1028" s="59" t="n"/>
      <c r="BU1028" s="59" t="n"/>
      <c r="BV1028" s="59" t="n"/>
      <c r="BW1028" s="59" t="n"/>
      <c r="BX1028" s="59" t="n"/>
      <c r="BY1028" s="59" t="n"/>
      <c r="BZ1028" s="59" t="n"/>
      <c r="CA1028" s="59" t="n"/>
      <c r="CB1028" s="59" t="n"/>
      <c r="CC1028" s="59" t="n"/>
      <c r="CD1028" s="59" t="n"/>
      <c r="CE1028" s="59" t="n"/>
      <c r="CF1028" s="59" t="n"/>
      <c r="CG1028" s="59" t="n"/>
      <c r="CH1028" s="59" t="n"/>
      <c r="CI1028" s="59" t="n"/>
      <c r="CJ1028" s="59" t="n"/>
      <c r="CK1028" s="59" t="n"/>
      <c r="CL1028" s="59" t="n"/>
      <c r="CM1028" s="59" t="n"/>
      <c r="CN1028" s="59" t="n"/>
    </row>
    <row r="1029" ht="15" customFormat="1" customHeight="1" s="3">
      <c r="A1029">
        <f>A1028+1</f>
        <v/>
      </c>
      <c r="I1029" s="20" t="n"/>
      <c r="K1029">
        <f>I1029+J1029</f>
        <v/>
      </c>
      <c r="X1029" s="59" t="n"/>
      <c r="Y1029" s="59" t="n"/>
      <c r="Z1029" s="59" t="n"/>
      <c r="AA1029" s="59" t="n"/>
      <c r="AB1029" s="59" t="n"/>
      <c r="AC1029" s="59" t="n"/>
      <c r="AD1029" s="59" t="n"/>
      <c r="AE1029" s="59" t="n"/>
      <c r="AF1029" s="59" t="n"/>
      <c r="AG1029" s="59" t="n"/>
      <c r="AH1029" s="59" t="n"/>
      <c r="AI1029" s="59" t="n"/>
      <c r="AJ1029" s="59" t="n"/>
      <c r="AK1029" s="59" t="n"/>
      <c r="AL1029" s="59" t="n"/>
      <c r="AM1029" s="59" t="n"/>
      <c r="AN1029" s="59" t="n"/>
      <c r="AO1029" s="59" t="n"/>
      <c r="AP1029" s="59" t="n"/>
      <c r="AQ1029" s="59" t="n"/>
      <c r="AR1029" s="59" t="n"/>
      <c r="AS1029" s="59" t="n"/>
      <c r="AT1029" s="59" t="n"/>
      <c r="AU1029" s="59" t="n"/>
      <c r="AV1029" s="59" t="n"/>
      <c r="AW1029" s="59" t="n"/>
      <c r="AX1029" s="59" t="n"/>
      <c r="AY1029" s="59" t="n"/>
      <c r="AZ1029" s="59" t="n"/>
      <c r="BA1029" s="59" t="n"/>
      <c r="BB1029" s="59" t="n"/>
      <c r="BC1029" s="59" t="n"/>
      <c r="BD1029" s="59" t="n"/>
      <c r="BE1029" s="59" t="n"/>
      <c r="BF1029" s="59" t="n"/>
      <c r="BG1029" s="59" t="n"/>
      <c r="BH1029" s="59" t="n"/>
      <c r="BI1029" s="59" t="n"/>
      <c r="BJ1029" s="59" t="n"/>
      <c r="BK1029" s="59" t="n"/>
      <c r="BL1029" s="59" t="n"/>
      <c r="BM1029" s="59" t="n"/>
      <c r="BN1029" s="59" t="n"/>
      <c r="BO1029" s="59" t="n"/>
      <c r="BP1029" s="59" t="n"/>
      <c r="BQ1029" s="59" t="n"/>
      <c r="BR1029" s="59" t="n"/>
      <c r="BS1029" s="59" t="n"/>
      <c r="BT1029" s="59" t="n"/>
      <c r="BU1029" s="59" t="n"/>
      <c r="BV1029" s="59" t="n"/>
      <c r="BW1029" s="59" t="n"/>
      <c r="BX1029" s="59" t="n"/>
      <c r="BY1029" s="59" t="n"/>
      <c r="BZ1029" s="59" t="n"/>
      <c r="CA1029" s="59" t="n"/>
      <c r="CB1029" s="59" t="n"/>
      <c r="CC1029" s="59" t="n"/>
      <c r="CD1029" s="59" t="n"/>
      <c r="CE1029" s="59" t="n"/>
      <c r="CF1029" s="59" t="n"/>
      <c r="CG1029" s="59" t="n"/>
      <c r="CH1029" s="59" t="n"/>
      <c r="CI1029" s="59" t="n"/>
      <c r="CJ1029" s="59" t="n"/>
      <c r="CK1029" s="59" t="n"/>
      <c r="CL1029" s="59" t="n"/>
      <c r="CM1029" s="59" t="n"/>
      <c r="CN1029" s="59" t="n"/>
    </row>
    <row r="1030" ht="15" customFormat="1" customHeight="1" s="3">
      <c r="A1030">
        <f>A1029+1</f>
        <v/>
      </c>
      <c r="I1030" s="20" t="n"/>
      <c r="K1030">
        <f>I1030+J1030</f>
        <v/>
      </c>
      <c r="X1030" s="59" t="n"/>
      <c r="Y1030" s="59" t="n"/>
      <c r="Z1030" s="59" t="n"/>
      <c r="AA1030" s="59" t="n"/>
      <c r="AB1030" s="59" t="n"/>
      <c r="AC1030" s="59" t="n"/>
      <c r="AD1030" s="59" t="n"/>
      <c r="AE1030" s="59" t="n"/>
      <c r="AF1030" s="59" t="n"/>
      <c r="AG1030" s="59" t="n"/>
      <c r="AH1030" s="59" t="n"/>
      <c r="AI1030" s="59" t="n"/>
      <c r="AJ1030" s="59" t="n"/>
      <c r="AK1030" s="59" t="n"/>
      <c r="AL1030" s="59" t="n"/>
      <c r="AM1030" s="59" t="n"/>
      <c r="AN1030" s="59" t="n"/>
      <c r="AO1030" s="59" t="n"/>
      <c r="AP1030" s="59" t="n"/>
      <c r="AQ1030" s="59" t="n"/>
      <c r="AR1030" s="59" t="n"/>
      <c r="AS1030" s="59" t="n"/>
      <c r="AT1030" s="59" t="n"/>
      <c r="AU1030" s="59" t="n"/>
      <c r="AV1030" s="59" t="n"/>
      <c r="AW1030" s="59" t="n"/>
      <c r="AX1030" s="59" t="n"/>
      <c r="AY1030" s="59" t="n"/>
      <c r="AZ1030" s="59" t="n"/>
      <c r="BA1030" s="59" t="n"/>
      <c r="BB1030" s="59" t="n"/>
      <c r="BC1030" s="59" t="n"/>
      <c r="BD1030" s="59" t="n"/>
      <c r="BE1030" s="59" t="n"/>
      <c r="BF1030" s="59" t="n"/>
      <c r="BG1030" s="59" t="n"/>
      <c r="BH1030" s="59" t="n"/>
      <c r="BI1030" s="59" t="n"/>
      <c r="BJ1030" s="59" t="n"/>
      <c r="BK1030" s="59" t="n"/>
      <c r="BL1030" s="59" t="n"/>
      <c r="BM1030" s="59" t="n"/>
      <c r="BN1030" s="59" t="n"/>
      <c r="BO1030" s="59" t="n"/>
      <c r="BP1030" s="59" t="n"/>
      <c r="BQ1030" s="59" t="n"/>
      <c r="BR1030" s="59" t="n"/>
      <c r="BS1030" s="59" t="n"/>
      <c r="BT1030" s="59" t="n"/>
      <c r="BU1030" s="59" t="n"/>
      <c r="BV1030" s="59" t="n"/>
      <c r="BW1030" s="59" t="n"/>
      <c r="BX1030" s="59" t="n"/>
      <c r="BY1030" s="59" t="n"/>
      <c r="BZ1030" s="59" t="n"/>
      <c r="CA1030" s="59" t="n"/>
      <c r="CB1030" s="59" t="n"/>
      <c r="CC1030" s="59" t="n"/>
      <c r="CD1030" s="59" t="n"/>
      <c r="CE1030" s="59" t="n"/>
      <c r="CF1030" s="59" t="n"/>
      <c r="CG1030" s="59" t="n"/>
      <c r="CH1030" s="59" t="n"/>
      <c r="CI1030" s="59" t="n"/>
      <c r="CJ1030" s="59" t="n"/>
      <c r="CK1030" s="59" t="n"/>
      <c r="CL1030" s="59" t="n"/>
      <c r="CM1030" s="59" t="n"/>
      <c r="CN1030" s="59" t="n"/>
    </row>
    <row r="1031" ht="15" customFormat="1" customHeight="1" s="3">
      <c r="A1031">
        <f>A1030+1</f>
        <v/>
      </c>
      <c r="I1031" s="20" t="n"/>
      <c r="K1031">
        <f>I1031+J1031</f>
        <v/>
      </c>
      <c r="X1031" s="59" t="n"/>
      <c r="Y1031" s="59" t="n"/>
      <c r="Z1031" s="59" t="n"/>
      <c r="AA1031" s="59" t="n"/>
      <c r="AB1031" s="59" t="n"/>
      <c r="AC1031" s="59" t="n"/>
      <c r="AD1031" s="59" t="n"/>
      <c r="AE1031" s="59" t="n"/>
      <c r="AF1031" s="59" t="n"/>
      <c r="AG1031" s="59" t="n"/>
      <c r="AH1031" s="59" t="n"/>
      <c r="AI1031" s="59" t="n"/>
      <c r="AJ1031" s="59" t="n"/>
      <c r="AK1031" s="59" t="n"/>
      <c r="AL1031" s="59" t="n"/>
      <c r="AM1031" s="59" t="n"/>
      <c r="AN1031" s="59" t="n"/>
      <c r="AO1031" s="59" t="n"/>
      <c r="AP1031" s="59" t="n"/>
      <c r="AQ1031" s="59" t="n"/>
      <c r="AR1031" s="59" t="n"/>
      <c r="AS1031" s="59" t="n"/>
      <c r="AT1031" s="59" t="n"/>
      <c r="AU1031" s="59" t="n"/>
      <c r="AV1031" s="59" t="n"/>
      <c r="AW1031" s="59" t="n"/>
      <c r="AX1031" s="59" t="n"/>
      <c r="AY1031" s="59" t="n"/>
      <c r="AZ1031" s="59" t="n"/>
      <c r="BA1031" s="59" t="n"/>
      <c r="BB1031" s="59" t="n"/>
      <c r="BC1031" s="59" t="n"/>
      <c r="BD1031" s="59" t="n"/>
      <c r="BE1031" s="59" t="n"/>
      <c r="BF1031" s="59" t="n"/>
      <c r="BG1031" s="59" t="n"/>
      <c r="BH1031" s="59" t="n"/>
      <c r="BI1031" s="59" t="n"/>
      <c r="BJ1031" s="59" t="n"/>
      <c r="BK1031" s="59" t="n"/>
      <c r="BL1031" s="59" t="n"/>
      <c r="BM1031" s="59" t="n"/>
      <c r="BN1031" s="59" t="n"/>
      <c r="BO1031" s="59" t="n"/>
      <c r="BP1031" s="59" t="n"/>
      <c r="BQ1031" s="59" t="n"/>
      <c r="BR1031" s="59" t="n"/>
      <c r="BS1031" s="59" t="n"/>
      <c r="BT1031" s="59" t="n"/>
      <c r="BU1031" s="59" t="n"/>
      <c r="BV1031" s="59" t="n"/>
      <c r="BW1031" s="59" t="n"/>
      <c r="BX1031" s="59" t="n"/>
      <c r="BY1031" s="59" t="n"/>
      <c r="BZ1031" s="59" t="n"/>
      <c r="CA1031" s="59" t="n"/>
      <c r="CB1031" s="59" t="n"/>
      <c r="CC1031" s="59" t="n"/>
      <c r="CD1031" s="59" t="n"/>
      <c r="CE1031" s="59" t="n"/>
      <c r="CF1031" s="59" t="n"/>
      <c r="CG1031" s="59" t="n"/>
      <c r="CH1031" s="59" t="n"/>
      <c r="CI1031" s="59" t="n"/>
      <c r="CJ1031" s="59" t="n"/>
      <c r="CK1031" s="59" t="n"/>
      <c r="CL1031" s="59" t="n"/>
      <c r="CM1031" s="59" t="n"/>
      <c r="CN1031" s="59" t="n"/>
    </row>
    <row r="1032" ht="15" customFormat="1" customHeight="1" s="3">
      <c r="A1032">
        <f>A1031+1</f>
        <v/>
      </c>
      <c r="I1032" s="20" t="n"/>
      <c r="K1032">
        <f>I1032+J1032</f>
        <v/>
      </c>
      <c r="X1032" s="59" t="n"/>
      <c r="Y1032" s="59" t="n"/>
      <c r="Z1032" s="59" t="n"/>
      <c r="AA1032" s="59" t="n"/>
      <c r="AB1032" s="59" t="n"/>
      <c r="AC1032" s="59" t="n"/>
      <c r="AD1032" s="59" t="n"/>
      <c r="AE1032" s="59" t="n"/>
      <c r="AF1032" s="59" t="n"/>
      <c r="AG1032" s="59" t="n"/>
      <c r="AH1032" s="59" t="n"/>
      <c r="AI1032" s="59" t="n"/>
      <c r="AJ1032" s="59" t="n"/>
      <c r="AK1032" s="59" t="n"/>
      <c r="AL1032" s="59" t="n"/>
      <c r="AM1032" s="59" t="n"/>
      <c r="AN1032" s="59" t="n"/>
      <c r="AO1032" s="59" t="n"/>
      <c r="AP1032" s="59" t="n"/>
      <c r="AQ1032" s="59" t="n"/>
      <c r="AR1032" s="59" t="n"/>
      <c r="AS1032" s="59" t="n"/>
      <c r="AT1032" s="59" t="n"/>
      <c r="AU1032" s="59" t="n"/>
      <c r="AV1032" s="59" t="n"/>
      <c r="AW1032" s="59" t="n"/>
      <c r="AX1032" s="59" t="n"/>
      <c r="AY1032" s="59" t="n"/>
      <c r="AZ1032" s="59" t="n"/>
      <c r="BA1032" s="59" t="n"/>
      <c r="BB1032" s="59" t="n"/>
      <c r="BC1032" s="59" t="n"/>
      <c r="BD1032" s="59" t="n"/>
      <c r="BE1032" s="59" t="n"/>
      <c r="BF1032" s="59" t="n"/>
      <c r="BG1032" s="59" t="n"/>
      <c r="BH1032" s="59" t="n"/>
      <c r="BI1032" s="59" t="n"/>
      <c r="BJ1032" s="59" t="n"/>
      <c r="BK1032" s="59" t="n"/>
      <c r="BL1032" s="59" t="n"/>
      <c r="BM1032" s="59" t="n"/>
      <c r="BN1032" s="59" t="n"/>
      <c r="BO1032" s="59" t="n"/>
      <c r="BP1032" s="59" t="n"/>
      <c r="BQ1032" s="59" t="n"/>
      <c r="BR1032" s="59" t="n"/>
      <c r="BS1032" s="59" t="n"/>
      <c r="BT1032" s="59" t="n"/>
      <c r="BU1032" s="59" t="n"/>
      <c r="BV1032" s="59" t="n"/>
      <c r="BW1032" s="59" t="n"/>
      <c r="BX1032" s="59" t="n"/>
      <c r="BY1032" s="59" t="n"/>
      <c r="BZ1032" s="59" t="n"/>
      <c r="CA1032" s="59" t="n"/>
      <c r="CB1032" s="59" t="n"/>
      <c r="CC1032" s="59" t="n"/>
      <c r="CD1032" s="59" t="n"/>
      <c r="CE1032" s="59" t="n"/>
      <c r="CF1032" s="59" t="n"/>
      <c r="CG1032" s="59" t="n"/>
      <c r="CH1032" s="59" t="n"/>
      <c r="CI1032" s="59" t="n"/>
      <c r="CJ1032" s="59" t="n"/>
      <c r="CK1032" s="59" t="n"/>
      <c r="CL1032" s="59" t="n"/>
      <c r="CM1032" s="59" t="n"/>
      <c r="CN1032" s="59" t="n"/>
    </row>
    <row r="1033" ht="15" customFormat="1" customHeight="1" s="3">
      <c r="A1033">
        <f>A1032+1</f>
        <v/>
      </c>
      <c r="I1033" s="20" t="n"/>
      <c r="K1033">
        <f>I1033+J1033</f>
        <v/>
      </c>
      <c r="X1033" s="59" t="n"/>
      <c r="Y1033" s="59" t="n"/>
      <c r="Z1033" s="59" t="n"/>
      <c r="AA1033" s="59" t="n"/>
      <c r="AB1033" s="59" t="n"/>
      <c r="AC1033" s="59" t="n"/>
      <c r="AD1033" s="59" t="n"/>
      <c r="AE1033" s="59" t="n"/>
      <c r="AF1033" s="59" t="n"/>
      <c r="AG1033" s="59" t="n"/>
      <c r="AH1033" s="59" t="n"/>
      <c r="AI1033" s="59" t="n"/>
      <c r="AJ1033" s="59" t="n"/>
      <c r="AK1033" s="59" t="n"/>
      <c r="AL1033" s="59" t="n"/>
      <c r="AM1033" s="59" t="n"/>
      <c r="AN1033" s="59" t="n"/>
      <c r="AO1033" s="59" t="n"/>
      <c r="AP1033" s="59" t="n"/>
      <c r="AQ1033" s="59" t="n"/>
      <c r="AR1033" s="59" t="n"/>
      <c r="AS1033" s="59" t="n"/>
      <c r="AT1033" s="59" t="n"/>
      <c r="AU1033" s="59" t="n"/>
      <c r="AV1033" s="59" t="n"/>
      <c r="AW1033" s="59" t="n"/>
      <c r="AX1033" s="59" t="n"/>
      <c r="AY1033" s="59" t="n"/>
      <c r="AZ1033" s="59" t="n"/>
      <c r="BA1033" s="59" t="n"/>
      <c r="BB1033" s="59" t="n"/>
      <c r="BC1033" s="59" t="n"/>
      <c r="BD1033" s="59" t="n"/>
      <c r="BE1033" s="59" t="n"/>
      <c r="BF1033" s="59" t="n"/>
      <c r="BG1033" s="59" t="n"/>
      <c r="BH1033" s="59" t="n"/>
      <c r="BI1033" s="59" t="n"/>
      <c r="BJ1033" s="59" t="n"/>
      <c r="BK1033" s="59" t="n"/>
      <c r="BL1033" s="59" t="n"/>
      <c r="BM1033" s="59" t="n"/>
      <c r="BN1033" s="59" t="n"/>
      <c r="BO1033" s="59" t="n"/>
      <c r="BP1033" s="59" t="n"/>
      <c r="BQ1033" s="59" t="n"/>
      <c r="BR1033" s="59" t="n"/>
      <c r="BS1033" s="59" t="n"/>
      <c r="BT1033" s="59" t="n"/>
      <c r="BU1033" s="59" t="n"/>
      <c r="BV1033" s="59" t="n"/>
      <c r="BW1033" s="59" t="n"/>
      <c r="BX1033" s="59" t="n"/>
      <c r="BY1033" s="59" t="n"/>
      <c r="BZ1033" s="59" t="n"/>
      <c r="CA1033" s="59" t="n"/>
      <c r="CB1033" s="59" t="n"/>
      <c r="CC1033" s="59" t="n"/>
      <c r="CD1033" s="59" t="n"/>
      <c r="CE1033" s="59" t="n"/>
      <c r="CF1033" s="59" t="n"/>
      <c r="CG1033" s="59" t="n"/>
      <c r="CH1033" s="59" t="n"/>
      <c r="CI1033" s="59" t="n"/>
      <c r="CJ1033" s="59" t="n"/>
      <c r="CK1033" s="59" t="n"/>
      <c r="CL1033" s="59" t="n"/>
      <c r="CM1033" s="59" t="n"/>
      <c r="CN1033" s="59" t="n"/>
    </row>
    <row r="1034" ht="15" customFormat="1" customHeight="1" s="3">
      <c r="A1034">
        <f>A1033+1</f>
        <v/>
      </c>
      <c r="I1034" s="20" t="n"/>
      <c r="K1034">
        <f>I1034+J1034</f>
        <v/>
      </c>
      <c r="X1034" s="59" t="n"/>
      <c r="Y1034" s="59" t="n"/>
      <c r="Z1034" s="59" t="n"/>
      <c r="AA1034" s="59" t="n"/>
      <c r="AB1034" s="59" t="n"/>
      <c r="AC1034" s="59" t="n"/>
      <c r="AD1034" s="59" t="n"/>
      <c r="AE1034" s="59" t="n"/>
      <c r="AF1034" s="59" t="n"/>
      <c r="AG1034" s="59" t="n"/>
      <c r="AH1034" s="59" t="n"/>
      <c r="AI1034" s="59" t="n"/>
      <c r="AJ1034" s="59" t="n"/>
      <c r="AK1034" s="59" t="n"/>
      <c r="AL1034" s="59" t="n"/>
      <c r="AM1034" s="59" t="n"/>
      <c r="AN1034" s="59" t="n"/>
      <c r="AO1034" s="59" t="n"/>
      <c r="AP1034" s="59" t="n"/>
      <c r="AQ1034" s="59" t="n"/>
      <c r="AR1034" s="59" t="n"/>
      <c r="AS1034" s="59" t="n"/>
      <c r="AT1034" s="59" t="n"/>
      <c r="AU1034" s="59" t="n"/>
      <c r="AV1034" s="59" t="n"/>
      <c r="AW1034" s="59" t="n"/>
      <c r="AX1034" s="59" t="n"/>
      <c r="AY1034" s="59" t="n"/>
      <c r="AZ1034" s="59" t="n"/>
      <c r="BA1034" s="59" t="n"/>
      <c r="BB1034" s="59" t="n"/>
      <c r="BC1034" s="59" t="n"/>
      <c r="BD1034" s="59" t="n"/>
      <c r="BE1034" s="59" t="n"/>
      <c r="BF1034" s="59" t="n"/>
      <c r="BG1034" s="59" t="n"/>
      <c r="BH1034" s="59" t="n"/>
      <c r="BI1034" s="59" t="n"/>
      <c r="BJ1034" s="59" t="n"/>
      <c r="BK1034" s="59" t="n"/>
      <c r="BL1034" s="59" t="n"/>
      <c r="BM1034" s="59" t="n"/>
      <c r="BN1034" s="59" t="n"/>
      <c r="BO1034" s="59" t="n"/>
      <c r="BP1034" s="59" t="n"/>
      <c r="BQ1034" s="59" t="n"/>
      <c r="BR1034" s="59" t="n"/>
      <c r="BS1034" s="59" t="n"/>
      <c r="BT1034" s="59" t="n"/>
      <c r="BU1034" s="59" t="n"/>
      <c r="BV1034" s="59" t="n"/>
      <c r="BW1034" s="59" t="n"/>
      <c r="BX1034" s="59" t="n"/>
      <c r="BY1034" s="59" t="n"/>
      <c r="BZ1034" s="59" t="n"/>
      <c r="CA1034" s="59" t="n"/>
      <c r="CB1034" s="59" t="n"/>
      <c r="CC1034" s="59" t="n"/>
      <c r="CD1034" s="59" t="n"/>
      <c r="CE1034" s="59" t="n"/>
      <c r="CF1034" s="59" t="n"/>
      <c r="CG1034" s="59" t="n"/>
      <c r="CH1034" s="59" t="n"/>
      <c r="CI1034" s="59" t="n"/>
      <c r="CJ1034" s="59" t="n"/>
      <c r="CK1034" s="59" t="n"/>
      <c r="CL1034" s="59" t="n"/>
      <c r="CM1034" s="59" t="n"/>
      <c r="CN1034" s="59" t="n"/>
    </row>
    <row r="1035" ht="15" customFormat="1" customHeight="1" s="3">
      <c r="A1035">
        <f>A1034+1</f>
        <v/>
      </c>
      <c r="I1035" s="20" t="n"/>
      <c r="K1035">
        <f>I1035+J1035</f>
        <v/>
      </c>
      <c r="X1035" s="59" t="n"/>
      <c r="Y1035" s="59" t="n"/>
      <c r="Z1035" s="59" t="n"/>
      <c r="AA1035" s="59" t="n"/>
      <c r="AB1035" s="59" t="n"/>
      <c r="AC1035" s="59" t="n"/>
      <c r="AD1035" s="59" t="n"/>
      <c r="AE1035" s="59" t="n"/>
      <c r="AF1035" s="59" t="n"/>
      <c r="AG1035" s="59" t="n"/>
      <c r="AH1035" s="59" t="n"/>
      <c r="AI1035" s="59" t="n"/>
      <c r="AJ1035" s="59" t="n"/>
      <c r="AK1035" s="59" t="n"/>
      <c r="AL1035" s="59" t="n"/>
      <c r="AM1035" s="59" t="n"/>
      <c r="AN1035" s="59" t="n"/>
      <c r="AO1035" s="59" t="n"/>
      <c r="AP1035" s="59" t="n"/>
      <c r="AQ1035" s="59" t="n"/>
      <c r="AR1035" s="59" t="n"/>
      <c r="AS1035" s="59" t="n"/>
      <c r="AT1035" s="59" t="n"/>
      <c r="AU1035" s="59" t="n"/>
      <c r="AV1035" s="59" t="n"/>
      <c r="AW1035" s="59" t="n"/>
      <c r="AX1035" s="59" t="n"/>
      <c r="AY1035" s="59" t="n"/>
      <c r="AZ1035" s="59" t="n"/>
      <c r="BA1035" s="59" t="n"/>
      <c r="BB1035" s="59" t="n"/>
      <c r="BC1035" s="59" t="n"/>
      <c r="BD1035" s="59" t="n"/>
      <c r="BE1035" s="59" t="n"/>
      <c r="BF1035" s="59" t="n"/>
      <c r="BG1035" s="59" t="n"/>
      <c r="BH1035" s="59" t="n"/>
      <c r="BI1035" s="59" t="n"/>
      <c r="BJ1035" s="59" t="n"/>
      <c r="BK1035" s="59" t="n"/>
      <c r="BL1035" s="59" t="n"/>
      <c r="BM1035" s="59" t="n"/>
      <c r="BN1035" s="59" t="n"/>
      <c r="BO1035" s="59" t="n"/>
      <c r="BP1035" s="59" t="n"/>
      <c r="BQ1035" s="59" t="n"/>
      <c r="BR1035" s="59" t="n"/>
      <c r="BS1035" s="59" t="n"/>
      <c r="BT1035" s="59" t="n"/>
      <c r="BU1035" s="59" t="n"/>
      <c r="BV1035" s="59" t="n"/>
      <c r="BW1035" s="59" t="n"/>
      <c r="BX1035" s="59" t="n"/>
      <c r="BY1035" s="59" t="n"/>
      <c r="BZ1035" s="59" t="n"/>
      <c r="CA1035" s="59" t="n"/>
      <c r="CB1035" s="59" t="n"/>
      <c r="CC1035" s="59" t="n"/>
      <c r="CD1035" s="59" t="n"/>
      <c r="CE1035" s="59" t="n"/>
      <c r="CF1035" s="59" t="n"/>
      <c r="CG1035" s="59" t="n"/>
      <c r="CH1035" s="59" t="n"/>
      <c r="CI1035" s="59" t="n"/>
      <c r="CJ1035" s="59" t="n"/>
      <c r="CK1035" s="59" t="n"/>
      <c r="CL1035" s="59" t="n"/>
      <c r="CM1035" s="59" t="n"/>
      <c r="CN1035" s="59" t="n"/>
    </row>
    <row r="1036" ht="15" customFormat="1" customHeight="1" s="3">
      <c r="A1036">
        <f>A1035+1</f>
        <v/>
      </c>
      <c r="I1036" s="20" t="n"/>
      <c r="K1036">
        <f>I1036+J1036</f>
        <v/>
      </c>
      <c r="X1036" s="59" t="n"/>
      <c r="Y1036" s="59" t="n"/>
      <c r="Z1036" s="59" t="n"/>
      <c r="AA1036" s="59" t="n"/>
      <c r="AB1036" s="59" t="n"/>
      <c r="AC1036" s="59" t="n"/>
      <c r="AD1036" s="59" t="n"/>
      <c r="AE1036" s="59" t="n"/>
      <c r="AF1036" s="59" t="n"/>
      <c r="AG1036" s="59" t="n"/>
      <c r="AH1036" s="59" t="n"/>
      <c r="AI1036" s="59" t="n"/>
      <c r="AJ1036" s="59" t="n"/>
      <c r="AK1036" s="59" t="n"/>
      <c r="AL1036" s="59" t="n"/>
      <c r="AM1036" s="59" t="n"/>
      <c r="AN1036" s="59" t="n"/>
      <c r="AO1036" s="59" t="n"/>
      <c r="AP1036" s="59" t="n"/>
      <c r="AQ1036" s="59" t="n"/>
      <c r="AR1036" s="59" t="n"/>
      <c r="AS1036" s="59" t="n"/>
      <c r="AT1036" s="59" t="n"/>
      <c r="AU1036" s="59" t="n"/>
      <c r="AV1036" s="59" t="n"/>
      <c r="AW1036" s="59" t="n"/>
      <c r="AX1036" s="59" t="n"/>
      <c r="AY1036" s="59" t="n"/>
      <c r="AZ1036" s="59" t="n"/>
      <c r="BA1036" s="59" t="n"/>
      <c r="BB1036" s="59" t="n"/>
      <c r="BC1036" s="59" t="n"/>
      <c r="BD1036" s="59" t="n"/>
      <c r="BE1036" s="59" t="n"/>
      <c r="BF1036" s="59" t="n"/>
      <c r="BG1036" s="59" t="n"/>
      <c r="BH1036" s="59" t="n"/>
      <c r="BI1036" s="59" t="n"/>
      <c r="BJ1036" s="59" t="n"/>
      <c r="BK1036" s="59" t="n"/>
      <c r="BL1036" s="59" t="n"/>
      <c r="BM1036" s="59" t="n"/>
      <c r="BN1036" s="59" t="n"/>
      <c r="BO1036" s="59" t="n"/>
      <c r="BP1036" s="59" t="n"/>
      <c r="BQ1036" s="59" t="n"/>
      <c r="BR1036" s="59" t="n"/>
      <c r="BS1036" s="59" t="n"/>
      <c r="BT1036" s="59" t="n"/>
      <c r="BU1036" s="59" t="n"/>
      <c r="BV1036" s="59" t="n"/>
      <c r="BW1036" s="59" t="n"/>
      <c r="BX1036" s="59" t="n"/>
      <c r="BY1036" s="59" t="n"/>
      <c r="BZ1036" s="59" t="n"/>
      <c r="CA1036" s="59" t="n"/>
      <c r="CB1036" s="59" t="n"/>
      <c r="CC1036" s="59" t="n"/>
      <c r="CD1036" s="59" t="n"/>
      <c r="CE1036" s="59" t="n"/>
      <c r="CF1036" s="59" t="n"/>
      <c r="CG1036" s="59" t="n"/>
      <c r="CH1036" s="59" t="n"/>
      <c r="CI1036" s="59" t="n"/>
      <c r="CJ1036" s="59" t="n"/>
      <c r="CK1036" s="59" t="n"/>
      <c r="CL1036" s="59" t="n"/>
      <c r="CM1036" s="59" t="n"/>
      <c r="CN1036" s="59" t="n"/>
    </row>
    <row r="1037" ht="15" customFormat="1" customHeight="1" s="3">
      <c r="A1037">
        <f>A1036+1</f>
        <v/>
      </c>
      <c r="I1037" s="20" t="n"/>
      <c r="K1037">
        <f>I1037+J1037</f>
        <v/>
      </c>
      <c r="X1037" s="59" t="n"/>
      <c r="Y1037" s="59" t="n"/>
      <c r="Z1037" s="59" t="n"/>
      <c r="AA1037" s="59" t="n"/>
      <c r="AB1037" s="59" t="n"/>
      <c r="AC1037" s="59" t="n"/>
      <c r="AD1037" s="59" t="n"/>
      <c r="AE1037" s="59" t="n"/>
      <c r="AF1037" s="59" t="n"/>
      <c r="AG1037" s="59" t="n"/>
      <c r="AH1037" s="59" t="n"/>
      <c r="AI1037" s="59" t="n"/>
      <c r="AJ1037" s="59" t="n"/>
      <c r="AK1037" s="59" t="n"/>
      <c r="AL1037" s="59" t="n"/>
      <c r="AM1037" s="59" t="n"/>
      <c r="AN1037" s="59" t="n"/>
      <c r="AO1037" s="59" t="n"/>
      <c r="AP1037" s="59" t="n"/>
      <c r="AQ1037" s="59" t="n"/>
      <c r="AR1037" s="59" t="n"/>
      <c r="AS1037" s="59" t="n"/>
      <c r="AT1037" s="59" t="n"/>
      <c r="AU1037" s="59" t="n"/>
      <c r="AV1037" s="59" t="n"/>
      <c r="AW1037" s="59" t="n"/>
      <c r="AX1037" s="59" t="n"/>
      <c r="AY1037" s="59" t="n"/>
      <c r="AZ1037" s="59" t="n"/>
      <c r="BA1037" s="59" t="n"/>
      <c r="BB1037" s="59" t="n"/>
      <c r="BC1037" s="59" t="n"/>
      <c r="BD1037" s="59" t="n"/>
      <c r="BE1037" s="59" t="n"/>
      <c r="BF1037" s="59" t="n"/>
      <c r="BG1037" s="59" t="n"/>
      <c r="BH1037" s="59" t="n"/>
      <c r="BI1037" s="59" t="n"/>
      <c r="BJ1037" s="59" t="n"/>
      <c r="BK1037" s="59" t="n"/>
      <c r="BL1037" s="59" t="n"/>
      <c r="BM1037" s="59" t="n"/>
      <c r="BN1037" s="59" t="n"/>
      <c r="BO1037" s="59" t="n"/>
      <c r="BP1037" s="59" t="n"/>
      <c r="BQ1037" s="59" t="n"/>
      <c r="BR1037" s="59" t="n"/>
      <c r="BS1037" s="59" t="n"/>
      <c r="BT1037" s="59" t="n"/>
      <c r="BU1037" s="59" t="n"/>
      <c r="BV1037" s="59" t="n"/>
      <c r="BW1037" s="59" t="n"/>
      <c r="BX1037" s="59" t="n"/>
      <c r="BY1037" s="59" t="n"/>
      <c r="BZ1037" s="59" t="n"/>
      <c r="CA1037" s="59" t="n"/>
      <c r="CB1037" s="59" t="n"/>
      <c r="CC1037" s="59" t="n"/>
      <c r="CD1037" s="59" t="n"/>
      <c r="CE1037" s="59" t="n"/>
      <c r="CF1037" s="59" t="n"/>
      <c r="CG1037" s="59" t="n"/>
      <c r="CH1037" s="59" t="n"/>
      <c r="CI1037" s="59" t="n"/>
      <c r="CJ1037" s="59" t="n"/>
      <c r="CK1037" s="59" t="n"/>
      <c r="CL1037" s="59" t="n"/>
      <c r="CM1037" s="59" t="n"/>
      <c r="CN1037" s="59" t="n"/>
    </row>
    <row r="1038" ht="15" customFormat="1" customHeight="1" s="3">
      <c r="A1038">
        <f>A1037+1</f>
        <v/>
      </c>
      <c r="I1038" s="20" t="n"/>
      <c r="K1038">
        <f>I1038+J1038</f>
        <v/>
      </c>
      <c r="X1038" s="59" t="n"/>
      <c r="Y1038" s="59" t="n"/>
      <c r="Z1038" s="59" t="n"/>
      <c r="AA1038" s="59" t="n"/>
      <c r="AB1038" s="59" t="n"/>
      <c r="AC1038" s="59" t="n"/>
      <c r="AD1038" s="59" t="n"/>
      <c r="AE1038" s="59" t="n"/>
      <c r="AF1038" s="59" t="n"/>
      <c r="AG1038" s="59" t="n"/>
      <c r="AH1038" s="59" t="n"/>
      <c r="AI1038" s="59" t="n"/>
      <c r="AJ1038" s="59" t="n"/>
      <c r="AK1038" s="59" t="n"/>
      <c r="AL1038" s="59" t="n"/>
      <c r="AM1038" s="59" t="n"/>
      <c r="AN1038" s="59" t="n"/>
      <c r="AO1038" s="59" t="n"/>
      <c r="AP1038" s="59" t="n"/>
      <c r="AQ1038" s="59" t="n"/>
      <c r="AR1038" s="59" t="n"/>
      <c r="AS1038" s="59" t="n"/>
      <c r="AT1038" s="59" t="n"/>
      <c r="AU1038" s="59" t="n"/>
      <c r="AV1038" s="59" t="n"/>
      <c r="AW1038" s="59" t="n"/>
      <c r="AX1038" s="59" t="n"/>
      <c r="AY1038" s="59" t="n"/>
      <c r="AZ1038" s="59" t="n"/>
      <c r="BA1038" s="59" t="n"/>
      <c r="BB1038" s="59" t="n"/>
      <c r="BC1038" s="59" t="n"/>
      <c r="BD1038" s="59" t="n"/>
      <c r="BE1038" s="59" t="n"/>
      <c r="BF1038" s="59" t="n"/>
      <c r="BG1038" s="59" t="n"/>
      <c r="BH1038" s="59" t="n"/>
      <c r="BI1038" s="59" t="n"/>
      <c r="BJ1038" s="59" t="n"/>
      <c r="BK1038" s="59" t="n"/>
      <c r="BL1038" s="59" t="n"/>
      <c r="BM1038" s="59" t="n"/>
      <c r="BN1038" s="59" t="n"/>
      <c r="BO1038" s="59" t="n"/>
      <c r="BP1038" s="59" t="n"/>
      <c r="BQ1038" s="59" t="n"/>
      <c r="BR1038" s="59" t="n"/>
      <c r="BS1038" s="59" t="n"/>
      <c r="BT1038" s="59" t="n"/>
      <c r="BU1038" s="59" t="n"/>
      <c r="BV1038" s="59" t="n"/>
      <c r="BW1038" s="59" t="n"/>
      <c r="BX1038" s="59" t="n"/>
      <c r="BY1038" s="59" t="n"/>
      <c r="BZ1038" s="59" t="n"/>
      <c r="CA1038" s="59" t="n"/>
      <c r="CB1038" s="59" t="n"/>
      <c r="CC1038" s="59" t="n"/>
      <c r="CD1038" s="59" t="n"/>
      <c r="CE1038" s="59" t="n"/>
      <c r="CF1038" s="59" t="n"/>
      <c r="CG1038" s="59" t="n"/>
      <c r="CH1038" s="59" t="n"/>
      <c r="CI1038" s="59" t="n"/>
      <c r="CJ1038" s="59" t="n"/>
      <c r="CK1038" s="59" t="n"/>
      <c r="CL1038" s="59" t="n"/>
      <c r="CM1038" s="59" t="n"/>
      <c r="CN1038" s="59" t="n"/>
    </row>
    <row r="1039" ht="15" customFormat="1" customHeight="1" s="3">
      <c r="A1039">
        <f>A1038+1</f>
        <v/>
      </c>
      <c r="I1039" s="20" t="n"/>
      <c r="K1039">
        <f>I1039+J1039</f>
        <v/>
      </c>
      <c r="X1039" s="59" t="n"/>
      <c r="Y1039" s="59" t="n"/>
      <c r="Z1039" s="59" t="n"/>
      <c r="AA1039" s="59" t="n"/>
      <c r="AB1039" s="59" t="n"/>
      <c r="AC1039" s="59" t="n"/>
      <c r="AD1039" s="59" t="n"/>
      <c r="AE1039" s="59" t="n"/>
      <c r="AF1039" s="59" t="n"/>
      <c r="AG1039" s="59" t="n"/>
      <c r="AH1039" s="59" t="n"/>
      <c r="AI1039" s="59" t="n"/>
      <c r="AJ1039" s="59" t="n"/>
      <c r="AK1039" s="59" t="n"/>
      <c r="AL1039" s="59" t="n"/>
      <c r="AM1039" s="59" t="n"/>
      <c r="AN1039" s="59" t="n"/>
      <c r="AO1039" s="59" t="n"/>
      <c r="AP1039" s="59" t="n"/>
      <c r="AQ1039" s="59" t="n"/>
      <c r="AR1039" s="59" t="n"/>
      <c r="AS1039" s="59" t="n"/>
      <c r="AT1039" s="59" t="n"/>
      <c r="AU1039" s="59" t="n"/>
      <c r="AV1039" s="59" t="n"/>
      <c r="AW1039" s="59" t="n"/>
      <c r="AX1039" s="59" t="n"/>
      <c r="AY1039" s="59" t="n"/>
      <c r="AZ1039" s="59" t="n"/>
      <c r="BA1039" s="59" t="n"/>
      <c r="BB1039" s="59" t="n"/>
      <c r="BC1039" s="59" t="n"/>
      <c r="BD1039" s="59" t="n"/>
      <c r="BE1039" s="59" t="n"/>
      <c r="BF1039" s="59" t="n"/>
      <c r="BG1039" s="59" t="n"/>
      <c r="BH1039" s="59" t="n"/>
      <c r="BI1039" s="59" t="n"/>
      <c r="BJ1039" s="59" t="n"/>
      <c r="BK1039" s="59" t="n"/>
      <c r="BL1039" s="59" t="n"/>
      <c r="BM1039" s="59" t="n"/>
      <c r="BN1039" s="59" t="n"/>
      <c r="BO1039" s="59" t="n"/>
      <c r="BP1039" s="59" t="n"/>
      <c r="BQ1039" s="59" t="n"/>
      <c r="BR1039" s="59" t="n"/>
      <c r="BS1039" s="59" t="n"/>
      <c r="BT1039" s="59" t="n"/>
      <c r="BU1039" s="59" t="n"/>
      <c r="BV1039" s="59" t="n"/>
      <c r="BW1039" s="59" t="n"/>
      <c r="BX1039" s="59" t="n"/>
      <c r="BY1039" s="59" t="n"/>
      <c r="BZ1039" s="59" t="n"/>
      <c r="CA1039" s="59" t="n"/>
      <c r="CB1039" s="59" t="n"/>
      <c r="CC1039" s="59" t="n"/>
      <c r="CD1039" s="59" t="n"/>
      <c r="CE1039" s="59" t="n"/>
      <c r="CF1039" s="59" t="n"/>
      <c r="CG1039" s="59" t="n"/>
      <c r="CH1039" s="59" t="n"/>
      <c r="CI1039" s="59" t="n"/>
      <c r="CJ1039" s="59" t="n"/>
      <c r="CK1039" s="59" t="n"/>
      <c r="CL1039" s="59" t="n"/>
      <c r="CM1039" s="59" t="n"/>
      <c r="CN1039" s="59" t="n"/>
    </row>
    <row r="1040" ht="14.45" customHeight="1">
      <c r="A1040">
        <f>A1039+1</f>
        <v/>
      </c>
      <c r="K1040">
        <f>I1040+J1040</f>
        <v/>
      </c>
    </row>
    <row r="1041" ht="14.45" customHeight="1">
      <c r="A1041">
        <f>A1040+1</f>
        <v/>
      </c>
      <c r="K1041">
        <f>I1041+J1041</f>
        <v/>
      </c>
    </row>
    <row r="1042" ht="14.45" customHeight="1">
      <c r="A1042">
        <f>A1041+1</f>
        <v/>
      </c>
      <c r="K1042">
        <f>I1042+J1042</f>
        <v/>
      </c>
    </row>
    <row r="1043" ht="14.45" customHeight="1">
      <c r="A1043">
        <f>A1042+1</f>
        <v/>
      </c>
      <c r="K1043">
        <f>I1043+J1043</f>
        <v/>
      </c>
    </row>
    <row r="1044" ht="14.45" customHeight="1">
      <c r="A1044">
        <f>A1043+1</f>
        <v/>
      </c>
      <c r="K1044">
        <f>I1044+J1044</f>
        <v/>
      </c>
    </row>
    <row r="1045" ht="14.45" customHeight="1">
      <c r="A1045">
        <f>A1044+1</f>
        <v/>
      </c>
      <c r="K1045">
        <f>I1045+J1045</f>
        <v/>
      </c>
    </row>
    <row r="1046" ht="14.45" customHeight="1">
      <c r="A1046">
        <f>A1045+1</f>
        <v/>
      </c>
      <c r="K1046">
        <f>I1046+J1046</f>
        <v/>
      </c>
    </row>
    <row r="1047" ht="14.45" customHeight="1">
      <c r="A1047">
        <f>A1046+1</f>
        <v/>
      </c>
      <c r="K1047">
        <f>I1047+J1047</f>
        <v/>
      </c>
    </row>
    <row r="1048" ht="14.45" customHeight="1">
      <c r="A1048">
        <f>A1047+1</f>
        <v/>
      </c>
      <c r="K1048">
        <f>I1048+J1048</f>
        <v/>
      </c>
    </row>
    <row r="1049" ht="14.45" customHeight="1">
      <c r="A1049">
        <f>A1048+1</f>
        <v/>
      </c>
      <c r="K1049">
        <f>I1049+J1049</f>
        <v/>
      </c>
    </row>
    <row r="1050" ht="14.45" customHeight="1">
      <c r="A1050">
        <f>A1049+1</f>
        <v/>
      </c>
      <c r="K1050">
        <f>I1050+J1050</f>
        <v/>
      </c>
    </row>
    <row r="1051" ht="14.45" customHeight="1">
      <c r="A1051">
        <f>A1050+1</f>
        <v/>
      </c>
      <c r="K1051">
        <f>I1051+J1051</f>
        <v/>
      </c>
    </row>
    <row r="1052" ht="14.45" customHeight="1">
      <c r="A1052">
        <f>A1051+1</f>
        <v/>
      </c>
      <c r="K1052">
        <f>I1052+J1052</f>
        <v/>
      </c>
    </row>
    <row r="1053" ht="14.45" customHeight="1">
      <c r="A1053">
        <f>A1052+1</f>
        <v/>
      </c>
      <c r="K1053">
        <f>I1053+J1053</f>
        <v/>
      </c>
    </row>
    <row r="1054" ht="14.45" customHeight="1">
      <c r="A1054">
        <f>A1053+1</f>
        <v/>
      </c>
      <c r="K1054">
        <f>I1054+J1054</f>
        <v/>
      </c>
    </row>
    <row r="1055" ht="14.45" customHeight="1">
      <c r="A1055">
        <f>A1054+1</f>
        <v/>
      </c>
      <c r="K1055">
        <f>I1055+J1055</f>
        <v/>
      </c>
    </row>
    <row r="1056" ht="14.45" customHeight="1">
      <c r="A1056">
        <f>A1055+1</f>
        <v/>
      </c>
      <c r="K1056">
        <f>I1056+J1056</f>
        <v/>
      </c>
    </row>
    <row r="1057" ht="14.45" customHeight="1">
      <c r="A1057">
        <f>A1056+1</f>
        <v/>
      </c>
      <c r="K1057">
        <f>I1057+J1057</f>
        <v/>
      </c>
    </row>
    <row r="1058" ht="14.45" customHeight="1">
      <c r="A1058">
        <f>A1057+1</f>
        <v/>
      </c>
      <c r="K1058">
        <f>I1058+J1058</f>
        <v/>
      </c>
    </row>
    <row r="1059" ht="14.45" customHeight="1">
      <c r="A1059">
        <f>A1058+1</f>
        <v/>
      </c>
      <c r="K1059">
        <f>I1059+J1059</f>
        <v/>
      </c>
    </row>
    <row r="1060" ht="14.45" customHeight="1">
      <c r="A1060">
        <f>A1059+1</f>
        <v/>
      </c>
      <c r="K1060">
        <f>I1060+J1060</f>
        <v/>
      </c>
    </row>
    <row r="1061" ht="14.45" customHeight="1">
      <c r="A1061">
        <f>A1060+1</f>
        <v/>
      </c>
      <c r="K1061">
        <f>I1061+J1061</f>
        <v/>
      </c>
    </row>
    <row r="1062" ht="14.45" customHeight="1">
      <c r="A1062">
        <f>A1061+1</f>
        <v/>
      </c>
      <c r="K1062">
        <f>I1062+J1062</f>
        <v/>
      </c>
    </row>
    <row r="1063" ht="14.45" customHeight="1">
      <c r="A1063">
        <f>A1062+1</f>
        <v/>
      </c>
      <c r="K1063">
        <f>I1063+J1063</f>
        <v/>
      </c>
    </row>
    <row r="1064" ht="14.45" customHeight="1">
      <c r="A1064">
        <f>A1063+1</f>
        <v/>
      </c>
      <c r="K1064">
        <f>I1064+J1064</f>
        <v/>
      </c>
    </row>
    <row r="1065" ht="14.45" customHeight="1">
      <c r="A1065">
        <f>A1064+1</f>
        <v/>
      </c>
      <c r="K1065">
        <f>I1065+J1065</f>
        <v/>
      </c>
    </row>
    <row r="1066" ht="14.45" customHeight="1">
      <c r="A1066">
        <f>A1065+1</f>
        <v/>
      </c>
      <c r="K1066">
        <f>I1066+J1066</f>
        <v/>
      </c>
    </row>
    <row r="1067" ht="14.45" customHeight="1">
      <c r="A1067">
        <f>A1066+1</f>
        <v/>
      </c>
      <c r="K1067">
        <f>I1067+J1067</f>
        <v/>
      </c>
    </row>
    <row r="1068" ht="14.45" customHeight="1">
      <c r="A1068">
        <f>A1067+1</f>
        <v/>
      </c>
      <c r="K1068">
        <f>I1068+J1068</f>
        <v/>
      </c>
    </row>
    <row r="1069" ht="14.45" customHeight="1">
      <c r="A1069">
        <f>A1068+1</f>
        <v/>
      </c>
      <c r="K1069">
        <f>I1069+J1069</f>
        <v/>
      </c>
    </row>
    <row r="1070" ht="14.45" customHeight="1">
      <c r="A1070">
        <f>A1069+1</f>
        <v/>
      </c>
      <c r="K1070">
        <f>I1070+J1070</f>
        <v/>
      </c>
    </row>
    <row r="1071" ht="14.45" customHeight="1">
      <c r="A1071">
        <f>A1070+1</f>
        <v/>
      </c>
      <c r="K1071">
        <f>I1071+J1071</f>
        <v/>
      </c>
    </row>
    <row r="1072" ht="14.45" customHeight="1">
      <c r="A1072">
        <f>A1071+1</f>
        <v/>
      </c>
      <c r="K1072">
        <f>I1072+J1072</f>
        <v/>
      </c>
    </row>
    <row r="1073" ht="14.45" customHeight="1">
      <c r="A1073">
        <f>A1072+1</f>
        <v/>
      </c>
      <c r="K1073">
        <f>I1073+J1073</f>
        <v/>
      </c>
    </row>
    <row r="1074" ht="14.45" customHeight="1">
      <c r="A1074">
        <f>A1073+1</f>
        <v/>
      </c>
      <c r="K1074">
        <f>I1074+J1074</f>
        <v/>
      </c>
    </row>
    <row r="1075" ht="14.45" customHeight="1">
      <c r="A1075">
        <f>A1074+1</f>
        <v/>
      </c>
      <c r="K1075">
        <f>I1075+J1075</f>
        <v/>
      </c>
    </row>
    <row r="1076" ht="14.45" customHeight="1">
      <c r="A1076">
        <f>A1075+1</f>
        <v/>
      </c>
      <c r="K1076">
        <f>I1076+J1076</f>
        <v/>
      </c>
    </row>
    <row r="1077" ht="14.45" customHeight="1">
      <c r="A1077">
        <f>A1076+1</f>
        <v/>
      </c>
      <c r="K1077">
        <f>I1077+J1077</f>
        <v/>
      </c>
    </row>
    <row r="1078" ht="14.45" customHeight="1">
      <c r="A1078">
        <f>A1077+1</f>
        <v/>
      </c>
      <c r="K1078">
        <f>I1078+J1078</f>
        <v/>
      </c>
    </row>
    <row r="1079" ht="14.45" customHeight="1">
      <c r="A1079">
        <f>A1078+1</f>
        <v/>
      </c>
      <c r="K1079">
        <f>I1079+J1079</f>
        <v/>
      </c>
    </row>
    <row r="1080" ht="14.45" customHeight="1">
      <c r="A1080">
        <f>A1079+1</f>
        <v/>
      </c>
      <c r="K1080">
        <f>I1080+J1080</f>
        <v/>
      </c>
    </row>
    <row r="1081" ht="14.45" customHeight="1">
      <c r="A1081">
        <f>A1080+1</f>
        <v/>
      </c>
      <c r="K1081">
        <f>I1081+J1081</f>
        <v/>
      </c>
    </row>
    <row r="1082" ht="14.45" customHeight="1">
      <c r="A1082">
        <f>A1081+1</f>
        <v/>
      </c>
      <c r="K1082">
        <f>I1082+J1082</f>
        <v/>
      </c>
    </row>
    <row r="1083" ht="14.45" customHeight="1">
      <c r="A1083">
        <f>A1082+1</f>
        <v/>
      </c>
      <c r="K1083">
        <f>I1083+J1083</f>
        <v/>
      </c>
    </row>
    <row r="1084" ht="14.45" customHeight="1">
      <c r="A1084">
        <f>A1083+1</f>
        <v/>
      </c>
      <c r="K1084">
        <f>I1084+J1084</f>
        <v/>
      </c>
    </row>
    <row r="1085" ht="14.45" customHeight="1">
      <c r="A1085">
        <f>A1084+1</f>
        <v/>
      </c>
      <c r="K1085">
        <f>I1085+J1085</f>
        <v/>
      </c>
    </row>
    <row r="1086" ht="14.45" customHeight="1">
      <c r="A1086">
        <f>A1085+1</f>
        <v/>
      </c>
      <c r="K1086">
        <f>I1086+J1086</f>
        <v/>
      </c>
    </row>
    <row r="1087" ht="14.45" customHeight="1">
      <c r="A1087">
        <f>A1086+1</f>
        <v/>
      </c>
      <c r="K1087">
        <f>I1087+J1087</f>
        <v/>
      </c>
    </row>
    <row r="1088" ht="14.45" customHeight="1">
      <c r="A1088">
        <f>A1087+1</f>
        <v/>
      </c>
      <c r="K1088">
        <f>I1088+J1088</f>
        <v/>
      </c>
    </row>
    <row r="1089" ht="14.45" customHeight="1">
      <c r="A1089">
        <f>A1088+1</f>
        <v/>
      </c>
      <c r="K1089">
        <f>I1089+J1089</f>
        <v/>
      </c>
    </row>
    <row r="1090" ht="14.45" customHeight="1">
      <c r="A1090">
        <f>A1089+1</f>
        <v/>
      </c>
      <c r="K1090">
        <f>I1090+J1090</f>
        <v/>
      </c>
    </row>
    <row r="1091" ht="14.45" customHeight="1">
      <c r="A1091">
        <f>A1090+1</f>
        <v/>
      </c>
      <c r="K1091">
        <f>I1091+J1091</f>
        <v/>
      </c>
    </row>
    <row r="1092" ht="14.45" customHeight="1">
      <c r="A1092">
        <f>A1091+1</f>
        <v/>
      </c>
      <c r="K1092">
        <f>I1092+J1092</f>
        <v/>
      </c>
    </row>
    <row r="1093" ht="14.45" customHeight="1">
      <c r="A1093">
        <f>A1092+1</f>
        <v/>
      </c>
      <c r="K1093">
        <f>I1093+J1093</f>
        <v/>
      </c>
    </row>
    <row r="1094" ht="14.45" customHeight="1">
      <c r="A1094">
        <f>A1093+1</f>
        <v/>
      </c>
      <c r="K1094">
        <f>I1094+J1094</f>
        <v/>
      </c>
    </row>
    <row r="1095" ht="14.45" customHeight="1">
      <c r="A1095">
        <f>A1094+1</f>
        <v/>
      </c>
      <c r="K1095">
        <f>I1095+J1095</f>
        <v/>
      </c>
    </row>
    <row r="1096" ht="14.45" customHeight="1">
      <c r="A1096">
        <f>A1095+1</f>
        <v/>
      </c>
      <c r="K1096">
        <f>I1096+J1096</f>
        <v/>
      </c>
    </row>
    <row r="1097" ht="14.45" customHeight="1">
      <c r="A1097">
        <f>A1096+1</f>
        <v/>
      </c>
      <c r="K1097">
        <f>I1097+J1097</f>
        <v/>
      </c>
    </row>
    <row r="1098" ht="14.45" customHeight="1">
      <c r="A1098">
        <f>A1097+1</f>
        <v/>
      </c>
      <c r="K1098">
        <f>I1098+J1098</f>
        <v/>
      </c>
    </row>
    <row r="1099" ht="14.45" customHeight="1">
      <c r="A1099">
        <f>A1098+1</f>
        <v/>
      </c>
      <c r="K1099">
        <f>I1099+J1099</f>
        <v/>
      </c>
    </row>
    <row r="1100" ht="14.45" customHeight="1">
      <c r="A1100">
        <f>A1099+1</f>
        <v/>
      </c>
      <c r="K1100">
        <f>I1100+J1100</f>
        <v/>
      </c>
    </row>
    <row r="1101" ht="14.45" customHeight="1">
      <c r="A1101">
        <f>A1100+1</f>
        <v/>
      </c>
      <c r="K1101">
        <f>I1101+J1101</f>
        <v/>
      </c>
    </row>
    <row r="1102" ht="14.45" customHeight="1">
      <c r="A1102">
        <f>A1101+1</f>
        <v/>
      </c>
      <c r="K1102">
        <f>I1102+J1102</f>
        <v/>
      </c>
    </row>
    <row r="1103" ht="14.45" customHeight="1">
      <c r="A1103">
        <f>A1102+1</f>
        <v/>
      </c>
      <c r="K1103">
        <f>I1103+J1103</f>
        <v/>
      </c>
    </row>
    <row r="1104" ht="14.45" customHeight="1">
      <c r="A1104">
        <f>A1103+1</f>
        <v/>
      </c>
      <c r="K1104">
        <f>I1104+J1104</f>
        <v/>
      </c>
    </row>
    <row r="1105" ht="14.45" customHeight="1">
      <c r="A1105">
        <f>A1104+1</f>
        <v/>
      </c>
      <c r="K1105">
        <f>I1105+J1105</f>
        <v/>
      </c>
    </row>
    <row r="1106" ht="14.45" customHeight="1">
      <c r="A1106">
        <f>A1105+1</f>
        <v/>
      </c>
      <c r="K1106">
        <f>I1106+J1106</f>
        <v/>
      </c>
    </row>
    <row r="1107" ht="14.45" customHeight="1">
      <c r="A1107">
        <f>A1106+1</f>
        <v/>
      </c>
      <c r="K1107">
        <f>I1107+J1107</f>
        <v/>
      </c>
    </row>
    <row r="1108" ht="14.45" customHeight="1">
      <c r="A1108">
        <f>A1107+1</f>
        <v/>
      </c>
      <c r="K1108">
        <f>I1108+J1108</f>
        <v/>
      </c>
    </row>
    <row r="1109" ht="14.45" customHeight="1">
      <c r="A1109">
        <f>A1108+1</f>
        <v/>
      </c>
      <c r="K1109">
        <f>I1109+J1109</f>
        <v/>
      </c>
    </row>
    <row r="1110" ht="14.45" customHeight="1">
      <c r="A1110">
        <f>A1109+1</f>
        <v/>
      </c>
      <c r="K1110">
        <f>I1110+J1110</f>
        <v/>
      </c>
    </row>
    <row r="1111" ht="14.45" customHeight="1">
      <c r="A1111">
        <f>A1110+1</f>
        <v/>
      </c>
      <c r="K1111">
        <f>I1111+J1111</f>
        <v/>
      </c>
    </row>
    <row r="1112" ht="14.45" customHeight="1">
      <c r="A1112">
        <f>A1111+1</f>
        <v/>
      </c>
      <c r="K1112">
        <f>I1112+J1112</f>
        <v/>
      </c>
    </row>
    <row r="1113" ht="14.45" customHeight="1">
      <c r="A1113">
        <f>A1112+1</f>
        <v/>
      </c>
      <c r="K1113">
        <f>I1113+J1113</f>
        <v/>
      </c>
    </row>
    <row r="1114" ht="14.45" customHeight="1">
      <c r="A1114">
        <f>A1113+1</f>
        <v/>
      </c>
      <c r="K1114">
        <f>I1114+J1114</f>
        <v/>
      </c>
    </row>
    <row r="1115" ht="14.45" customHeight="1">
      <c r="A1115">
        <f>A1114+1</f>
        <v/>
      </c>
      <c r="K1115">
        <f>I1115+J1115</f>
        <v/>
      </c>
    </row>
    <row r="1116">
      <c r="A1116">
        <f>A1115+1</f>
        <v/>
      </c>
      <c r="K1116">
        <f>I1116+J1116</f>
        <v/>
      </c>
    </row>
    <row r="1117">
      <c r="A1117">
        <f>A1116+1</f>
        <v/>
      </c>
      <c r="K1117">
        <f>I1117+J1117</f>
        <v/>
      </c>
    </row>
    <row r="1118">
      <c r="A1118">
        <f>A1117+1</f>
        <v/>
      </c>
      <c r="K1118">
        <f>I1118+J1118</f>
        <v/>
      </c>
    </row>
    <row r="1119">
      <c r="A1119">
        <f>A1118+1</f>
        <v/>
      </c>
      <c r="K1119">
        <f>I1119+J1119</f>
        <v/>
      </c>
    </row>
    <row r="1120">
      <c r="A1120">
        <f>A1119+1</f>
        <v/>
      </c>
      <c r="K1120">
        <f>I1120+J1120</f>
        <v/>
      </c>
    </row>
    <row r="1121">
      <c r="A1121">
        <f>A1120+1</f>
        <v/>
      </c>
      <c r="K1121">
        <f>I1121+J1121</f>
        <v/>
      </c>
    </row>
    <row r="1122">
      <c r="A1122">
        <f>A1121+1</f>
        <v/>
      </c>
      <c r="K1122">
        <f>I1122+J1122</f>
        <v/>
      </c>
    </row>
    <row r="1123">
      <c r="A1123">
        <f>A1122+1</f>
        <v/>
      </c>
      <c r="K1123">
        <f>I1123+J1123</f>
        <v/>
      </c>
    </row>
    <row r="1124">
      <c r="A1124">
        <f>A1123+1</f>
        <v/>
      </c>
      <c r="K1124">
        <f>I1124+J1124</f>
        <v/>
      </c>
    </row>
    <row r="1125">
      <c r="A1125">
        <f>A1124+1</f>
        <v/>
      </c>
      <c r="K1125">
        <f>I1125+J1125</f>
        <v/>
      </c>
    </row>
    <row r="1126">
      <c r="A1126">
        <f>A1125+1</f>
        <v/>
      </c>
      <c r="K1126">
        <f>I1126+J1126</f>
        <v/>
      </c>
    </row>
    <row r="1127">
      <c r="A1127">
        <f>A1126+1</f>
        <v/>
      </c>
      <c r="K1127">
        <f>I1127+J1127</f>
        <v/>
      </c>
    </row>
    <row r="1128">
      <c r="A1128">
        <f>A1127+1</f>
        <v/>
      </c>
      <c r="K1128">
        <f>I1128+J1128</f>
        <v/>
      </c>
    </row>
    <row r="1129">
      <c r="A1129">
        <f>A1128+1</f>
        <v/>
      </c>
      <c r="K1129">
        <f>I1129+J1129</f>
        <v/>
      </c>
    </row>
    <row r="1130">
      <c r="A1130">
        <f>A1129+1</f>
        <v/>
      </c>
      <c r="K1130">
        <f>I1130+J1130</f>
        <v/>
      </c>
    </row>
    <row r="1131">
      <c r="A1131">
        <f>A1130+1</f>
        <v/>
      </c>
      <c r="K1131">
        <f>I1131+J1131</f>
        <v/>
      </c>
    </row>
    <row r="1132">
      <c r="A1132">
        <f>A1131+1</f>
        <v/>
      </c>
      <c r="K1132">
        <f>I1132+J1132</f>
        <v/>
      </c>
    </row>
    <row r="1133">
      <c r="A1133">
        <f>A1132+1</f>
        <v/>
      </c>
      <c r="K1133">
        <f>I1133+J1133</f>
        <v/>
      </c>
    </row>
    <row r="1134">
      <c r="A1134">
        <f>A1133+1</f>
        <v/>
      </c>
      <c r="K1134">
        <f>I1134+J1134</f>
        <v/>
      </c>
    </row>
    <row r="1135">
      <c r="A1135">
        <f>A1134+1</f>
        <v/>
      </c>
      <c r="K1135">
        <f>I1135+J1135</f>
        <v/>
      </c>
    </row>
    <row r="1136">
      <c r="A1136">
        <f>A1135+1</f>
        <v/>
      </c>
      <c r="K1136">
        <f>I1136+J1136</f>
        <v/>
      </c>
    </row>
    <row r="1137">
      <c r="A1137">
        <f>A1136+1</f>
        <v/>
      </c>
      <c r="K1137">
        <f>I1137+J1137</f>
        <v/>
      </c>
    </row>
    <row r="1138">
      <c r="A1138">
        <f>A1137+1</f>
        <v/>
      </c>
      <c r="K1138">
        <f>I1138+J1138</f>
        <v/>
      </c>
    </row>
    <row r="1139">
      <c r="A1139">
        <f>A1138+1</f>
        <v/>
      </c>
      <c r="K1139">
        <f>I1139+J1139</f>
        <v/>
      </c>
    </row>
    <row r="1140">
      <c r="A1140">
        <f>A1139+1</f>
        <v/>
      </c>
      <c r="K1140">
        <f>I1140+J1140</f>
        <v/>
      </c>
    </row>
    <row r="1141">
      <c r="A1141">
        <f>A1140+1</f>
        <v/>
      </c>
      <c r="K1141">
        <f>I1141+J1141</f>
        <v/>
      </c>
    </row>
    <row r="1142">
      <c r="A1142">
        <f>A1141+1</f>
        <v/>
      </c>
      <c r="K1142">
        <f>I1142+J1142</f>
        <v/>
      </c>
    </row>
    <row r="1143">
      <c r="A1143">
        <f>A1142+1</f>
        <v/>
      </c>
      <c r="K1143">
        <f>I1143+J1143</f>
        <v/>
      </c>
    </row>
    <row r="1144">
      <c r="A1144">
        <f>A1143+1</f>
        <v/>
      </c>
      <c r="K1144">
        <f>I1144+J1144</f>
        <v/>
      </c>
    </row>
    <row r="1145">
      <c r="A1145">
        <f>A1144+1</f>
        <v/>
      </c>
      <c r="K1145">
        <f>I1145+J1145</f>
        <v/>
      </c>
    </row>
    <row r="1146">
      <c r="A1146">
        <f>A1145+1</f>
        <v/>
      </c>
      <c r="K1146">
        <f>I1146+J1146</f>
        <v/>
      </c>
    </row>
    <row r="1147">
      <c r="A1147">
        <f>A1146+1</f>
        <v/>
      </c>
      <c r="K1147">
        <f>I1147+J1147</f>
        <v/>
      </c>
    </row>
    <row r="1148">
      <c r="A1148">
        <f>A1147+1</f>
        <v/>
      </c>
      <c r="K1148">
        <f>I1148+J1148</f>
        <v/>
      </c>
    </row>
    <row r="1149">
      <c r="A1149">
        <f>A1148+1</f>
        <v/>
      </c>
      <c r="K1149">
        <f>I1149+J1149</f>
        <v/>
      </c>
    </row>
    <row r="1150">
      <c r="A1150">
        <f>A1149+1</f>
        <v/>
      </c>
      <c r="K1150">
        <f>I1150+J1150</f>
        <v/>
      </c>
    </row>
    <row r="1151">
      <c r="A1151">
        <f>A1150+1</f>
        <v/>
      </c>
      <c r="K1151">
        <f>I1151+J1151</f>
        <v/>
      </c>
    </row>
    <row r="1152">
      <c r="A1152">
        <f>A1151+1</f>
        <v/>
      </c>
      <c r="K1152">
        <f>I1152+J1152</f>
        <v/>
      </c>
    </row>
    <row r="1153">
      <c r="A1153">
        <f>A1152+1</f>
        <v/>
      </c>
      <c r="K1153">
        <f>I1153+J1153</f>
        <v/>
      </c>
    </row>
    <row r="1154">
      <c r="A1154">
        <f>A1153+1</f>
        <v/>
      </c>
      <c r="K1154">
        <f>I1154+J1154</f>
        <v/>
      </c>
    </row>
    <row r="1155">
      <c r="A1155">
        <f>A1154+1</f>
        <v/>
      </c>
      <c r="K1155">
        <f>I1155+J1155</f>
        <v/>
      </c>
    </row>
    <row r="1156">
      <c r="A1156">
        <f>A1155+1</f>
        <v/>
      </c>
      <c r="K1156">
        <f>I1156+J1156</f>
        <v/>
      </c>
    </row>
    <row r="1157">
      <c r="A1157">
        <f>A1156+1</f>
        <v/>
      </c>
      <c r="K1157">
        <f>I1157+J1157</f>
        <v/>
      </c>
    </row>
    <row r="1158">
      <c r="A1158">
        <f>A1157+1</f>
        <v/>
      </c>
      <c r="K1158">
        <f>I1158+J1158</f>
        <v/>
      </c>
    </row>
    <row r="1159">
      <c r="A1159">
        <f>A1158+1</f>
        <v/>
      </c>
      <c r="K1159">
        <f>I1159+J1159</f>
        <v/>
      </c>
    </row>
    <row r="1160">
      <c r="A1160">
        <f>A1159+1</f>
        <v/>
      </c>
      <c r="K1160">
        <f>I1160+J1160</f>
        <v/>
      </c>
    </row>
    <row r="1161">
      <c r="A1161">
        <f>A1160+1</f>
        <v/>
      </c>
      <c r="K1161">
        <f>I1161+J1161</f>
        <v/>
      </c>
    </row>
    <row r="1162">
      <c r="A1162">
        <f>A1161+1</f>
        <v/>
      </c>
      <c r="K1162">
        <f>I1162+J1162</f>
        <v/>
      </c>
    </row>
    <row r="1163">
      <c r="A1163">
        <f>A1162+1</f>
        <v/>
      </c>
      <c r="K1163">
        <f>I1163+J1163</f>
        <v/>
      </c>
    </row>
    <row r="1164">
      <c r="A1164">
        <f>A1163+1</f>
        <v/>
      </c>
      <c r="K1164">
        <f>I1164+J1164</f>
        <v/>
      </c>
    </row>
    <row r="1165">
      <c r="A1165">
        <f>A1164+1</f>
        <v/>
      </c>
      <c r="K1165">
        <f>I1165+J1165</f>
        <v/>
      </c>
    </row>
    <row r="1166">
      <c r="A1166">
        <f>A1165+1</f>
        <v/>
      </c>
      <c r="K1166">
        <f>I1166+J1166</f>
        <v/>
      </c>
    </row>
    <row r="1167">
      <c r="A1167">
        <f>A1166+1</f>
        <v/>
      </c>
      <c r="K1167">
        <f>I1167+J1167</f>
        <v/>
      </c>
    </row>
    <row r="1168">
      <c r="A1168">
        <f>A1167+1</f>
        <v/>
      </c>
      <c r="K1168">
        <f>I1168+J1168</f>
        <v/>
      </c>
    </row>
    <row r="1169">
      <c r="A1169">
        <f>A1168+1</f>
        <v/>
      </c>
      <c r="K1169">
        <f>I1169+J1169</f>
        <v/>
      </c>
    </row>
    <row r="1170">
      <c r="A1170">
        <f>A1169+1</f>
        <v/>
      </c>
      <c r="K1170">
        <f>I1170+J1170</f>
        <v/>
      </c>
    </row>
    <row r="1171">
      <c r="A1171">
        <f>A1170+1</f>
        <v/>
      </c>
      <c r="K1171">
        <f>I1171+J1171</f>
        <v/>
      </c>
    </row>
    <row r="1172">
      <c r="A1172">
        <f>A1171+1</f>
        <v/>
      </c>
      <c r="K1172">
        <f>I1172+J1172</f>
        <v/>
      </c>
    </row>
    <row r="1173">
      <c r="A1173">
        <f>A1172+1</f>
        <v/>
      </c>
      <c r="K1173">
        <f>I1173+J1173</f>
        <v/>
      </c>
    </row>
    <row r="1174">
      <c r="A1174">
        <f>A1173+1</f>
        <v/>
      </c>
      <c r="K1174">
        <f>I1174+J1174</f>
        <v/>
      </c>
    </row>
    <row r="1175">
      <c r="A1175">
        <f>A1174+1</f>
        <v/>
      </c>
      <c r="K1175">
        <f>I1175+J1175</f>
        <v/>
      </c>
    </row>
    <row r="1176">
      <c r="A1176">
        <f>A1175+1</f>
        <v/>
      </c>
      <c r="K1176">
        <f>I1176+J1176</f>
        <v/>
      </c>
    </row>
    <row r="1177">
      <c r="A1177">
        <f>A1176+1</f>
        <v/>
      </c>
      <c r="K1177">
        <f>I1177+J1177</f>
        <v/>
      </c>
    </row>
    <row r="1178">
      <c r="A1178">
        <f>A1177+1</f>
        <v/>
      </c>
      <c r="K1178">
        <f>I1178+J1178</f>
        <v/>
      </c>
    </row>
    <row r="1179">
      <c r="A1179">
        <f>A1178+1</f>
        <v/>
      </c>
      <c r="K1179">
        <f>I1179+J1179</f>
        <v/>
      </c>
    </row>
    <row r="1180">
      <c r="A1180">
        <f>A1179+1</f>
        <v/>
      </c>
      <c r="K1180">
        <f>I1180+J1180</f>
        <v/>
      </c>
    </row>
    <row r="1181">
      <c r="A1181">
        <f>A1180+1</f>
        <v/>
      </c>
      <c r="K1181">
        <f>I1181+J1181</f>
        <v/>
      </c>
    </row>
    <row r="1182">
      <c r="A1182">
        <f>A1181+1</f>
        <v/>
      </c>
      <c r="K1182">
        <f>I1182+J1182</f>
        <v/>
      </c>
    </row>
    <row r="1183">
      <c r="A1183">
        <f>A1182+1</f>
        <v/>
      </c>
      <c r="K1183">
        <f>I1183+J1183</f>
        <v/>
      </c>
    </row>
    <row r="1184">
      <c r="A1184">
        <f>A1183+1</f>
        <v/>
      </c>
      <c r="K1184">
        <f>I1184+J1184</f>
        <v/>
      </c>
    </row>
    <row r="1185">
      <c r="A1185">
        <f>A1184+1</f>
        <v/>
      </c>
      <c r="K1185">
        <f>I1185+J1185</f>
        <v/>
      </c>
    </row>
    <row r="1186">
      <c r="A1186">
        <f>A1185+1</f>
        <v/>
      </c>
      <c r="K1186">
        <f>I1186+J1186</f>
        <v/>
      </c>
    </row>
    <row r="1187">
      <c r="A1187">
        <f>A1186+1</f>
        <v/>
      </c>
      <c r="K1187">
        <f>I1187+J1187</f>
        <v/>
      </c>
    </row>
    <row r="1188">
      <c r="A1188">
        <f>A1187+1</f>
        <v/>
      </c>
      <c r="K1188">
        <f>I1188+J1188</f>
        <v/>
      </c>
    </row>
    <row r="1189">
      <c r="A1189">
        <f>A1188+1</f>
        <v/>
      </c>
      <c r="K1189">
        <f>I1189+J1189</f>
        <v/>
      </c>
    </row>
    <row r="1190">
      <c r="A1190">
        <f>A1189+1</f>
        <v/>
      </c>
      <c r="K1190">
        <f>I1190+J1190</f>
        <v/>
      </c>
    </row>
    <row r="1191">
      <c r="A1191">
        <f>A1190+1</f>
        <v/>
      </c>
      <c r="K1191">
        <f>I1191+J1191</f>
        <v/>
      </c>
    </row>
    <row r="1192">
      <c r="A1192">
        <f>A1191+1</f>
        <v/>
      </c>
      <c r="K1192">
        <f>I1192+J1192</f>
        <v/>
      </c>
    </row>
    <row r="1193">
      <c r="A1193">
        <f>A1192+1</f>
        <v/>
      </c>
      <c r="K1193">
        <f>I1193+J1193</f>
        <v/>
      </c>
    </row>
    <row r="1194">
      <c r="A1194">
        <f>A1193+1</f>
        <v/>
      </c>
      <c r="K1194">
        <f>I1194+J1194</f>
        <v/>
      </c>
    </row>
    <row r="1195">
      <c r="A1195">
        <f>A1194+1</f>
        <v/>
      </c>
      <c r="K1195">
        <f>I1195+J1195</f>
        <v/>
      </c>
    </row>
    <row r="1196">
      <c r="A1196">
        <f>A1195+1</f>
        <v/>
      </c>
      <c r="K1196">
        <f>I1196+J1196</f>
        <v/>
      </c>
    </row>
    <row r="1197">
      <c r="A1197">
        <f>A1196+1</f>
        <v/>
      </c>
      <c r="K1197">
        <f>I1197+J1197</f>
        <v/>
      </c>
    </row>
    <row r="1198">
      <c r="A1198">
        <f>A1197+1</f>
        <v/>
      </c>
      <c r="K1198">
        <f>I1198+J1198</f>
        <v/>
      </c>
    </row>
    <row r="1199">
      <c r="A1199">
        <f>A1198+1</f>
        <v/>
      </c>
      <c r="K1199">
        <f>I1199+J1199</f>
        <v/>
      </c>
    </row>
    <row r="1200">
      <c r="A1200">
        <f>A1199+1</f>
        <v/>
      </c>
      <c r="K1200">
        <f>I1200+J1200</f>
        <v/>
      </c>
    </row>
    <row r="1201">
      <c r="A1201">
        <f>A1200+1</f>
        <v/>
      </c>
      <c r="K1201">
        <f>I1201+J1201</f>
        <v/>
      </c>
    </row>
    <row r="1202">
      <c r="A1202">
        <f>A1201+1</f>
        <v/>
      </c>
      <c r="K1202">
        <f>I1202+J1202</f>
        <v/>
      </c>
    </row>
    <row r="1203">
      <c r="A1203">
        <f>A1202+1</f>
        <v/>
      </c>
      <c r="K1203">
        <f>I1203+J1203</f>
        <v/>
      </c>
    </row>
    <row r="1204">
      <c r="A1204">
        <f>A1203+1</f>
        <v/>
      </c>
      <c r="K1204">
        <f>I1204+J1204</f>
        <v/>
      </c>
    </row>
    <row r="1205">
      <c r="A1205">
        <f>A1204+1</f>
        <v/>
      </c>
      <c r="K1205">
        <f>I1205+J1205</f>
        <v/>
      </c>
    </row>
    <row r="1206">
      <c r="A1206">
        <f>A1205+1</f>
        <v/>
      </c>
      <c r="K1206">
        <f>I1206+J1206</f>
        <v/>
      </c>
    </row>
    <row r="1207">
      <c r="A1207">
        <f>A1206+1</f>
        <v/>
      </c>
      <c r="K1207">
        <f>I1207+J1207</f>
        <v/>
      </c>
    </row>
    <row r="1208">
      <c r="A1208">
        <f>A1207+1</f>
        <v/>
      </c>
      <c r="K1208">
        <f>I1208+J1208</f>
        <v/>
      </c>
    </row>
    <row r="1209">
      <c r="A1209">
        <f>A1208+1</f>
        <v/>
      </c>
      <c r="K1209">
        <f>I1209+J1209</f>
        <v/>
      </c>
    </row>
    <row r="1210">
      <c r="A1210">
        <f>A1209+1</f>
        <v/>
      </c>
      <c r="K1210">
        <f>I1210+J1210</f>
        <v/>
      </c>
    </row>
    <row r="1211">
      <c r="A1211">
        <f>A1210+1</f>
        <v/>
      </c>
      <c r="K1211">
        <f>I1211+J1211</f>
        <v/>
      </c>
    </row>
    <row r="1212">
      <c r="A1212">
        <f>A1211+1</f>
        <v/>
      </c>
      <c r="K1212">
        <f>I1212+J1212</f>
        <v/>
      </c>
    </row>
    <row r="1213">
      <c r="A1213">
        <f>A1212+1</f>
        <v/>
      </c>
      <c r="K1213">
        <f>I1213+J1213</f>
        <v/>
      </c>
    </row>
    <row r="1214">
      <c r="A1214">
        <f>A1213+1</f>
        <v/>
      </c>
      <c r="K1214">
        <f>I1214+J1214</f>
        <v/>
      </c>
    </row>
    <row r="1215">
      <c r="A1215">
        <f>A1214+1</f>
        <v/>
      </c>
      <c r="K1215">
        <f>I1215+J1215</f>
        <v/>
      </c>
    </row>
    <row r="1216">
      <c r="A1216">
        <f>A1215+1</f>
        <v/>
      </c>
      <c r="K1216">
        <f>I1216+J1216</f>
        <v/>
      </c>
    </row>
    <row r="1217">
      <c r="A1217">
        <f>A1216+1</f>
        <v/>
      </c>
      <c r="K1217">
        <f>I1217+J1217</f>
        <v/>
      </c>
    </row>
    <row r="1218">
      <c r="A1218">
        <f>A1217+1</f>
        <v/>
      </c>
      <c r="K1218">
        <f>I1218+J1218</f>
        <v/>
      </c>
    </row>
    <row r="1219">
      <c r="A1219">
        <f>A1218+1</f>
        <v/>
      </c>
      <c r="K1219">
        <f>I1219+J1219</f>
        <v/>
      </c>
    </row>
    <row r="1220">
      <c r="A1220">
        <f>A1219+1</f>
        <v/>
      </c>
      <c r="K1220">
        <f>I1220+J1220</f>
        <v/>
      </c>
    </row>
    <row r="1221">
      <c r="A1221">
        <f>A1220+1</f>
        <v/>
      </c>
      <c r="K1221">
        <f>I1221+J1221</f>
        <v/>
      </c>
    </row>
    <row r="1222">
      <c r="A1222">
        <f>A1221+1</f>
        <v/>
      </c>
      <c r="K1222">
        <f>I1222+J1222</f>
        <v/>
      </c>
    </row>
    <row r="1223">
      <c r="A1223">
        <f>A1222+1</f>
        <v/>
      </c>
      <c r="K1223">
        <f>I1223+J1223</f>
        <v/>
      </c>
    </row>
    <row r="1224">
      <c r="A1224">
        <f>A1223+1</f>
        <v/>
      </c>
      <c r="K1224">
        <f>I1224+J1224</f>
        <v/>
      </c>
    </row>
    <row r="1225">
      <c r="A1225">
        <f>A1224+1</f>
        <v/>
      </c>
      <c r="K1225">
        <f>I1225+J1225</f>
        <v/>
      </c>
    </row>
    <row r="1226">
      <c r="A1226">
        <f>A1225+1</f>
        <v/>
      </c>
      <c r="K1226">
        <f>I1226+J1226</f>
        <v/>
      </c>
    </row>
    <row r="1227">
      <c r="A1227">
        <f>A1226+1</f>
        <v/>
      </c>
      <c r="K1227">
        <f>I1227+J1227</f>
        <v/>
      </c>
    </row>
    <row r="1228">
      <c r="A1228">
        <f>A1227+1</f>
        <v/>
      </c>
      <c r="K1228">
        <f>I1228+J1228</f>
        <v/>
      </c>
    </row>
    <row r="1229">
      <c r="A1229">
        <f>A1228+1</f>
        <v/>
      </c>
      <c r="K1229">
        <f>I1229+J1229</f>
        <v/>
      </c>
    </row>
    <row r="1230">
      <c r="A1230">
        <f>A1229+1</f>
        <v/>
      </c>
      <c r="K1230">
        <f>I1230+J1230</f>
        <v/>
      </c>
    </row>
    <row r="1231">
      <c r="A1231">
        <f>A1230+1</f>
        <v/>
      </c>
      <c r="K1231">
        <f>I1231+J1231</f>
        <v/>
      </c>
    </row>
    <row r="1232">
      <c r="A1232">
        <f>A1231+1</f>
        <v/>
      </c>
      <c r="K1232">
        <f>I1232+J1232</f>
        <v/>
      </c>
    </row>
    <row r="1233">
      <c r="A1233">
        <f>A1232+1</f>
        <v/>
      </c>
      <c r="K1233">
        <f>I1233+J1233</f>
        <v/>
      </c>
    </row>
    <row r="1234">
      <c r="A1234">
        <f>A1233+1</f>
        <v/>
      </c>
      <c r="K1234">
        <f>I1234+J1234</f>
        <v/>
      </c>
    </row>
    <row r="1235">
      <c r="A1235">
        <f>A1234+1</f>
        <v/>
      </c>
      <c r="K1235">
        <f>I1235+J1235</f>
        <v/>
      </c>
    </row>
    <row r="1236">
      <c r="A1236">
        <f>A1235+1</f>
        <v/>
      </c>
      <c r="K1236">
        <f>I1236+J1236</f>
        <v/>
      </c>
    </row>
    <row r="1237">
      <c r="A1237">
        <f>A1236+1</f>
        <v/>
      </c>
      <c r="K1237">
        <f>I1237+J1237</f>
        <v/>
      </c>
    </row>
    <row r="1238">
      <c r="A1238">
        <f>A1237+1</f>
        <v/>
      </c>
      <c r="K1238">
        <f>I1238+J1238</f>
        <v/>
      </c>
    </row>
    <row r="1239">
      <c r="A1239">
        <f>A1238+1</f>
        <v/>
      </c>
      <c r="K1239">
        <f>I1239+J1239</f>
        <v/>
      </c>
    </row>
    <row r="1240">
      <c r="A1240">
        <f>A1239+1</f>
        <v/>
      </c>
      <c r="K1240">
        <f>I1240+J1240</f>
        <v/>
      </c>
    </row>
    <row r="1241">
      <c r="A1241">
        <f>A1240+1</f>
        <v/>
      </c>
      <c r="K1241">
        <f>I1241+J1241</f>
        <v/>
      </c>
    </row>
    <row r="1242">
      <c r="A1242">
        <f>A1241+1</f>
        <v/>
      </c>
      <c r="K1242">
        <f>I1242+J1242</f>
        <v/>
      </c>
    </row>
    <row r="1243">
      <c r="A1243">
        <f>A1242+1</f>
        <v/>
      </c>
      <c r="K1243">
        <f>I1243+J1243</f>
        <v/>
      </c>
    </row>
    <row r="1244">
      <c r="A1244">
        <f>A1243+1</f>
        <v/>
      </c>
      <c r="K1244">
        <f>I1244+J1244</f>
        <v/>
      </c>
    </row>
    <row r="1245">
      <c r="A1245">
        <f>A1244+1</f>
        <v/>
      </c>
      <c r="K1245">
        <f>I1245+J1245</f>
        <v/>
      </c>
    </row>
    <row r="1246">
      <c r="A1246">
        <f>A1245+1</f>
        <v/>
      </c>
      <c r="K1246">
        <f>I1246+J1246</f>
        <v/>
      </c>
    </row>
    <row r="1247">
      <c r="A1247">
        <f>A1246+1</f>
        <v/>
      </c>
      <c r="K1247">
        <f>I1247+J1247</f>
        <v/>
      </c>
    </row>
    <row r="1248">
      <c r="A1248">
        <f>A1247+1</f>
        <v/>
      </c>
      <c r="K1248">
        <f>I1248+J1248</f>
        <v/>
      </c>
    </row>
    <row r="1249">
      <c r="A1249">
        <f>A1248+1</f>
        <v/>
      </c>
      <c r="K1249">
        <f>I1249+J1249</f>
        <v/>
      </c>
    </row>
    <row r="1250">
      <c r="A1250">
        <f>A1249+1</f>
        <v/>
      </c>
      <c r="K1250">
        <f>I1250+J1250</f>
        <v/>
      </c>
    </row>
    <row r="1251">
      <c r="A1251">
        <f>A1250+1</f>
        <v/>
      </c>
      <c r="K1251">
        <f>I1251+J1251</f>
        <v/>
      </c>
    </row>
    <row r="1252">
      <c r="A1252">
        <f>A1251+1</f>
        <v/>
      </c>
      <c r="K1252">
        <f>I1252+J1252</f>
        <v/>
      </c>
    </row>
    <row r="1253">
      <c r="A1253">
        <f>A1252+1</f>
        <v/>
      </c>
      <c r="K1253">
        <f>I1253+J1253</f>
        <v/>
      </c>
    </row>
    <row r="1254">
      <c r="A1254">
        <f>A1253+1</f>
        <v/>
      </c>
      <c r="K1254">
        <f>I1254+J1254</f>
        <v/>
      </c>
    </row>
    <row r="1255">
      <c r="A1255">
        <f>A1254+1</f>
        <v/>
      </c>
      <c r="K1255">
        <f>I1255+J1255</f>
        <v/>
      </c>
    </row>
    <row r="1256">
      <c r="A1256">
        <f>A1255+1</f>
        <v/>
      </c>
      <c r="K1256">
        <f>I1256+J1256</f>
        <v/>
      </c>
    </row>
    <row r="1257">
      <c r="A1257">
        <f>A1256+1</f>
        <v/>
      </c>
      <c r="K1257">
        <f>I1257+J1257</f>
        <v/>
      </c>
    </row>
    <row r="1258">
      <c r="A1258">
        <f>A1257+1</f>
        <v/>
      </c>
      <c r="K1258">
        <f>I1258+J1258</f>
        <v/>
      </c>
    </row>
    <row r="1259">
      <c r="A1259">
        <f>A1258+1</f>
        <v/>
      </c>
      <c r="K1259">
        <f>I1259+J1259</f>
        <v/>
      </c>
    </row>
    <row r="1260">
      <c r="A1260">
        <f>A1259+1</f>
        <v/>
      </c>
      <c r="K1260">
        <f>I1260+J1260</f>
        <v/>
      </c>
    </row>
    <row r="1261">
      <c r="A1261">
        <f>A1260+1</f>
        <v/>
      </c>
      <c r="K1261">
        <f>I1261+J1261</f>
        <v/>
      </c>
    </row>
    <row r="1262">
      <c r="A1262">
        <f>A1261+1</f>
        <v/>
      </c>
      <c r="K1262">
        <f>I1262+J1262</f>
        <v/>
      </c>
    </row>
    <row r="1263">
      <c r="A1263">
        <f>A1262+1</f>
        <v/>
      </c>
      <c r="K1263">
        <f>I1263+J1263</f>
        <v/>
      </c>
    </row>
    <row r="1264">
      <c r="A1264">
        <f>A1263+1</f>
        <v/>
      </c>
      <c r="K1264">
        <f>I1264+J1264</f>
        <v/>
      </c>
    </row>
    <row r="1265">
      <c r="A1265">
        <f>A1264+1</f>
        <v/>
      </c>
      <c r="K1265">
        <f>I1265+J1265</f>
        <v/>
      </c>
    </row>
    <row r="1266">
      <c r="A1266">
        <f>A1265+1</f>
        <v/>
      </c>
      <c r="K1266">
        <f>I1266+J1266</f>
        <v/>
      </c>
    </row>
    <row r="1267">
      <c r="A1267">
        <f>A1266+1</f>
        <v/>
      </c>
      <c r="K1267">
        <f>I1267+J1267</f>
        <v/>
      </c>
    </row>
    <row r="1268">
      <c r="A1268">
        <f>A1267+1</f>
        <v/>
      </c>
      <c r="K1268">
        <f>I1268+J1268</f>
        <v/>
      </c>
    </row>
    <row r="1269">
      <c r="A1269">
        <f>A1268+1</f>
        <v/>
      </c>
      <c r="K1269">
        <f>I1269+J1269</f>
        <v/>
      </c>
    </row>
    <row r="1270">
      <c r="A1270">
        <f>A1269+1</f>
        <v/>
      </c>
      <c r="K1270">
        <f>I1270+J1270</f>
        <v/>
      </c>
    </row>
    <row r="1271">
      <c r="A1271">
        <f>A1270+1</f>
        <v/>
      </c>
      <c r="K1271">
        <f>I1271+J1271</f>
        <v/>
      </c>
    </row>
    <row r="1272">
      <c r="A1272">
        <f>A1271+1</f>
        <v/>
      </c>
      <c r="K1272">
        <f>I1272+J1272</f>
        <v/>
      </c>
    </row>
    <row r="1273">
      <c r="A1273">
        <f>A1272+1</f>
        <v/>
      </c>
      <c r="K1273">
        <f>I1273+J1273</f>
        <v/>
      </c>
    </row>
    <row r="1274">
      <c r="A1274">
        <f>A1273+1</f>
        <v/>
      </c>
      <c r="K1274">
        <f>I1274+J1274</f>
        <v/>
      </c>
    </row>
    <row r="1275">
      <c r="A1275">
        <f>A1274+1</f>
        <v/>
      </c>
      <c r="K1275">
        <f>I1275+J1275</f>
        <v/>
      </c>
    </row>
    <row r="1276">
      <c r="A1276">
        <f>A1275+1</f>
        <v/>
      </c>
      <c r="K1276">
        <f>I1276+J1276</f>
        <v/>
      </c>
    </row>
    <row r="1277">
      <c r="A1277">
        <f>A1276+1</f>
        <v/>
      </c>
      <c r="K1277">
        <f>I1277+J1277</f>
        <v/>
      </c>
    </row>
    <row r="1278">
      <c r="A1278">
        <f>A1277+1</f>
        <v/>
      </c>
      <c r="K1278">
        <f>I1278+J1278</f>
        <v/>
      </c>
    </row>
    <row r="1279">
      <c r="A1279">
        <f>A1278+1</f>
        <v/>
      </c>
      <c r="K1279">
        <f>I1279+J1279</f>
        <v/>
      </c>
    </row>
    <row r="1280">
      <c r="A1280">
        <f>A1279+1</f>
        <v/>
      </c>
      <c r="K1280">
        <f>I1280+J1280</f>
        <v/>
      </c>
    </row>
    <row r="1281">
      <c r="A1281">
        <f>A1280+1</f>
        <v/>
      </c>
      <c r="K1281">
        <f>I1281+J1281</f>
        <v/>
      </c>
    </row>
    <row r="1282">
      <c r="A1282">
        <f>A1281+1</f>
        <v/>
      </c>
      <c r="K1282">
        <f>I1282+J1282</f>
        <v/>
      </c>
    </row>
    <row r="1283">
      <c r="A1283">
        <f>A1282+1</f>
        <v/>
      </c>
      <c r="K1283">
        <f>I1283+J1283</f>
        <v/>
      </c>
    </row>
    <row r="1284">
      <c r="A1284">
        <f>A1283+1</f>
        <v/>
      </c>
      <c r="K1284">
        <f>I1284+J1284</f>
        <v/>
      </c>
    </row>
    <row r="1285">
      <c r="A1285">
        <f>A1284+1</f>
        <v/>
      </c>
      <c r="K1285">
        <f>I1285+J1285</f>
        <v/>
      </c>
    </row>
    <row r="1286">
      <c r="A1286">
        <f>A1285+1</f>
        <v/>
      </c>
      <c r="K1286">
        <f>I1286+J1286</f>
        <v/>
      </c>
    </row>
    <row r="1287">
      <c r="A1287">
        <f>A1286+1</f>
        <v/>
      </c>
      <c r="K1287">
        <f>I1287+J1287</f>
        <v/>
      </c>
    </row>
    <row r="1288">
      <c r="A1288">
        <f>A1287+1</f>
        <v/>
      </c>
      <c r="K1288">
        <f>I1288+J1288</f>
        <v/>
      </c>
    </row>
    <row r="1289">
      <c r="A1289">
        <f>A1288+1</f>
        <v/>
      </c>
      <c r="K1289">
        <f>I1289+J1289</f>
        <v/>
      </c>
    </row>
    <row r="1290">
      <c r="A1290">
        <f>A1289+1</f>
        <v/>
      </c>
      <c r="K1290">
        <f>I1290+J1290</f>
        <v/>
      </c>
    </row>
    <row r="1291">
      <c r="A1291">
        <f>A1290+1</f>
        <v/>
      </c>
      <c r="K1291">
        <f>I1291+J1291</f>
        <v/>
      </c>
    </row>
    <row r="1292">
      <c r="A1292">
        <f>A1291+1</f>
        <v/>
      </c>
      <c r="K1292">
        <f>I1292+J1292</f>
        <v/>
      </c>
    </row>
    <row r="1293">
      <c r="A1293">
        <f>A1292+1</f>
        <v/>
      </c>
      <c r="K1293">
        <f>I1293+J1293</f>
        <v/>
      </c>
    </row>
    <row r="1294">
      <c r="A1294">
        <f>A1293+1</f>
        <v/>
      </c>
      <c r="K1294">
        <f>I1294+J1294</f>
        <v/>
      </c>
    </row>
    <row r="1295">
      <c r="A1295">
        <f>A1294+1</f>
        <v/>
      </c>
      <c r="K1295">
        <f>I1295+J1295</f>
        <v/>
      </c>
    </row>
    <row r="1296">
      <c r="A1296">
        <f>A1295+1</f>
        <v/>
      </c>
      <c r="K1296">
        <f>I1296+J1296</f>
        <v/>
      </c>
    </row>
    <row r="1297">
      <c r="A1297">
        <f>A1296+1</f>
        <v/>
      </c>
      <c r="K1297">
        <f>I1297+J1297</f>
        <v/>
      </c>
    </row>
    <row r="1298">
      <c r="A1298">
        <f>A1297+1</f>
        <v/>
      </c>
      <c r="K1298">
        <f>I1298+J1298</f>
        <v/>
      </c>
    </row>
    <row r="1299">
      <c r="A1299">
        <f>A1298+1</f>
        <v/>
      </c>
      <c r="K1299">
        <f>I1299+J1299</f>
        <v/>
      </c>
    </row>
    <row r="1300">
      <c r="A1300">
        <f>A1299+1</f>
        <v/>
      </c>
      <c r="K1300">
        <f>I1300+J1300</f>
        <v/>
      </c>
    </row>
    <row r="1301">
      <c r="A1301">
        <f>A1300+1</f>
        <v/>
      </c>
      <c r="K1301">
        <f>I1301+J1301</f>
        <v/>
      </c>
    </row>
    <row r="1302">
      <c r="A1302">
        <f>A1301+1</f>
        <v/>
      </c>
      <c r="K1302">
        <f>I1302+J1302</f>
        <v/>
      </c>
    </row>
    <row r="1303">
      <c r="A1303">
        <f>A1302+1</f>
        <v/>
      </c>
      <c r="K1303">
        <f>I1303+J1303</f>
        <v/>
      </c>
    </row>
    <row r="1304">
      <c r="A1304">
        <f>A1303+1</f>
        <v/>
      </c>
      <c r="K1304">
        <f>I1304+J1304</f>
        <v/>
      </c>
    </row>
    <row r="1305">
      <c r="A1305">
        <f>A1304+1</f>
        <v/>
      </c>
      <c r="K1305">
        <f>I1305+J1305</f>
        <v/>
      </c>
    </row>
    <row r="1306">
      <c r="A1306">
        <f>A1305+1</f>
        <v/>
      </c>
      <c r="K1306">
        <f>I1306+J1306</f>
        <v/>
      </c>
    </row>
    <row r="1307">
      <c r="A1307">
        <f>A1306+1</f>
        <v/>
      </c>
      <c r="K1307">
        <f>I1307+J1307</f>
        <v/>
      </c>
    </row>
    <row r="1308">
      <c r="A1308">
        <f>A1307+1</f>
        <v/>
      </c>
      <c r="K1308">
        <f>I1308+J1308</f>
        <v/>
      </c>
    </row>
    <row r="1309">
      <c r="A1309">
        <f>A1308+1</f>
        <v/>
      </c>
      <c r="K1309">
        <f>I1309+J1309</f>
        <v/>
      </c>
    </row>
    <row r="1310">
      <c r="A1310">
        <f>A1309+1</f>
        <v/>
      </c>
      <c r="K1310">
        <f>I1310+J1310</f>
        <v/>
      </c>
    </row>
    <row r="1311">
      <c r="A1311">
        <f>A1310+1</f>
        <v/>
      </c>
      <c r="K1311">
        <f>I1311+J1311</f>
        <v/>
      </c>
    </row>
    <row r="1312">
      <c r="A1312">
        <f>A1311+1</f>
        <v/>
      </c>
      <c r="K1312">
        <f>I1312+J1312</f>
        <v/>
      </c>
    </row>
    <row r="1313">
      <c r="A1313">
        <f>A1312+1</f>
        <v/>
      </c>
      <c r="K1313">
        <f>I1313+J1313</f>
        <v/>
      </c>
    </row>
    <row r="1314">
      <c r="A1314">
        <f>A1313+1</f>
        <v/>
      </c>
      <c r="K1314">
        <f>I1314+J1314</f>
        <v/>
      </c>
    </row>
    <row r="1315">
      <c r="A1315">
        <f>A1314+1</f>
        <v/>
      </c>
      <c r="K1315">
        <f>I1315+J1315</f>
        <v/>
      </c>
    </row>
    <row r="1316">
      <c r="A1316">
        <f>A1315+1</f>
        <v/>
      </c>
      <c r="K1316">
        <f>I1316+J1316</f>
        <v/>
      </c>
    </row>
    <row r="1317">
      <c r="A1317">
        <f>A1316+1</f>
        <v/>
      </c>
      <c r="K1317">
        <f>I1317+J1317</f>
        <v/>
      </c>
    </row>
    <row r="1318">
      <c r="A1318">
        <f>A1317+1</f>
        <v/>
      </c>
      <c r="K1318">
        <f>I1318+J1318</f>
        <v/>
      </c>
    </row>
    <row r="1319">
      <c r="A1319">
        <f>A1318+1</f>
        <v/>
      </c>
      <c r="K1319">
        <f>I1319+J1319</f>
        <v/>
      </c>
    </row>
    <row r="1320">
      <c r="A1320">
        <f>A1319+1</f>
        <v/>
      </c>
      <c r="K1320">
        <f>I1320+J1320</f>
        <v/>
      </c>
    </row>
    <row r="1321">
      <c r="A1321">
        <f>A1320+1</f>
        <v/>
      </c>
      <c r="K1321">
        <f>I1321+J1321</f>
        <v/>
      </c>
    </row>
    <row r="1322">
      <c r="A1322">
        <f>A1321+1</f>
        <v/>
      </c>
      <c r="K1322">
        <f>I1322+J1322</f>
        <v/>
      </c>
    </row>
    <row r="1323">
      <c r="A1323">
        <f>A1322+1</f>
        <v/>
      </c>
      <c r="K1323">
        <f>I1323+J1323</f>
        <v/>
      </c>
    </row>
    <row r="1324">
      <c r="A1324">
        <f>A1323+1</f>
        <v/>
      </c>
      <c r="K1324">
        <f>I1324+J1324</f>
        <v/>
      </c>
    </row>
    <row r="1325">
      <c r="A1325">
        <f>A1324+1</f>
        <v/>
      </c>
      <c r="K1325">
        <f>I1325+J1325</f>
        <v/>
      </c>
    </row>
    <row r="1326">
      <c r="A1326">
        <f>A1325+1</f>
        <v/>
      </c>
      <c r="K1326">
        <f>I1326+J1326</f>
        <v/>
      </c>
    </row>
    <row r="1327">
      <c r="A1327">
        <f>A1326+1</f>
        <v/>
      </c>
      <c r="K1327">
        <f>I1327+J1327</f>
        <v/>
      </c>
    </row>
    <row r="1328">
      <c r="A1328">
        <f>A1327+1</f>
        <v/>
      </c>
      <c r="K1328">
        <f>I1328+J1328</f>
        <v/>
      </c>
    </row>
    <row r="1329">
      <c r="A1329">
        <f>A1328+1</f>
        <v/>
      </c>
      <c r="K1329">
        <f>I1329+J1329</f>
        <v/>
      </c>
    </row>
    <row r="1330">
      <c r="A1330">
        <f>A1329+1</f>
        <v/>
      </c>
      <c r="K1330">
        <f>I1330+J1330</f>
        <v/>
      </c>
    </row>
    <row r="1331">
      <c r="A1331">
        <f>A1330+1</f>
        <v/>
      </c>
      <c r="K1331">
        <f>I1331+J1331</f>
        <v/>
      </c>
    </row>
    <row r="1332">
      <c r="A1332">
        <f>A1331+1</f>
        <v/>
      </c>
      <c r="K1332">
        <f>I1332+J1332</f>
        <v/>
      </c>
    </row>
    <row r="1333">
      <c r="A1333">
        <f>A1332+1</f>
        <v/>
      </c>
      <c r="K1333">
        <f>I1333+J1333</f>
        <v/>
      </c>
    </row>
    <row r="1334">
      <c r="A1334">
        <f>A1333+1</f>
        <v/>
      </c>
      <c r="K1334">
        <f>I1334+J1334</f>
        <v/>
      </c>
    </row>
    <row r="1335">
      <c r="A1335">
        <f>A1334+1</f>
        <v/>
      </c>
      <c r="K1335">
        <f>I1335+J1335</f>
        <v/>
      </c>
    </row>
    <row r="1336">
      <c r="A1336">
        <f>A1335+1</f>
        <v/>
      </c>
      <c r="K1336">
        <f>I1336+J1336</f>
        <v/>
      </c>
    </row>
    <row r="1337">
      <c r="A1337">
        <f>A1336+1</f>
        <v/>
      </c>
      <c r="K1337">
        <f>I1337+J1337</f>
        <v/>
      </c>
    </row>
    <row r="1338">
      <c r="A1338">
        <f>A1337+1</f>
        <v/>
      </c>
      <c r="K1338">
        <f>I1338+J1338</f>
        <v/>
      </c>
    </row>
    <row r="1339">
      <c r="A1339">
        <f>A1338+1</f>
        <v/>
      </c>
      <c r="K1339">
        <f>I1339+J1339</f>
        <v/>
      </c>
    </row>
    <row r="1340">
      <c r="A1340">
        <f>A1339+1</f>
        <v/>
      </c>
      <c r="K1340">
        <f>I1340+J1340</f>
        <v/>
      </c>
    </row>
    <row r="1341">
      <c r="A1341">
        <f>A1340+1</f>
        <v/>
      </c>
      <c r="K1341">
        <f>I1341+J1341</f>
        <v/>
      </c>
    </row>
    <row r="1342">
      <c r="A1342">
        <f>A1341+1</f>
        <v/>
      </c>
      <c r="K1342">
        <f>I1342+J1342</f>
        <v/>
      </c>
    </row>
    <row r="1343">
      <c r="A1343">
        <f>A1342+1</f>
        <v/>
      </c>
      <c r="K1343">
        <f>I1343+J1343</f>
        <v/>
      </c>
    </row>
    <row r="1344">
      <c r="A1344">
        <f>A1343+1</f>
        <v/>
      </c>
      <c r="K1344">
        <f>I1344+J1344</f>
        <v/>
      </c>
    </row>
    <row r="1345">
      <c r="A1345">
        <f>A1344+1</f>
        <v/>
      </c>
      <c r="K1345">
        <f>I1345+J1345</f>
        <v/>
      </c>
    </row>
    <row r="1346">
      <c r="A1346">
        <f>A1345+1</f>
        <v/>
      </c>
      <c r="K1346">
        <f>I1346+J1346</f>
        <v/>
      </c>
    </row>
    <row r="1347">
      <c r="A1347">
        <f>A1346+1</f>
        <v/>
      </c>
      <c r="K1347">
        <f>I1347+J1347</f>
        <v/>
      </c>
    </row>
    <row r="1348">
      <c r="A1348">
        <f>A1347+1</f>
        <v/>
      </c>
      <c r="K1348">
        <f>I1348+J1348</f>
        <v/>
      </c>
    </row>
    <row r="1349">
      <c r="A1349">
        <f>A1348+1</f>
        <v/>
      </c>
      <c r="K1349">
        <f>I1349+J1349</f>
        <v/>
      </c>
    </row>
    <row r="1350">
      <c r="A1350">
        <f>A1349+1</f>
        <v/>
      </c>
      <c r="K1350">
        <f>I1350+J1350</f>
        <v/>
      </c>
    </row>
    <row r="1351">
      <c r="A1351">
        <f>A1350+1</f>
        <v/>
      </c>
      <c r="K1351">
        <f>I1351+J1351</f>
        <v/>
      </c>
    </row>
    <row r="1352">
      <c r="A1352">
        <f>A1351+1</f>
        <v/>
      </c>
      <c r="K1352">
        <f>I1352+J1352</f>
        <v/>
      </c>
    </row>
    <row r="1353">
      <c r="A1353">
        <f>A1352+1</f>
        <v/>
      </c>
      <c r="K1353">
        <f>I1353+J1353</f>
        <v/>
      </c>
    </row>
    <row r="1354">
      <c r="A1354">
        <f>A1353+1</f>
        <v/>
      </c>
      <c r="K1354">
        <f>I1354+J1354</f>
        <v/>
      </c>
    </row>
    <row r="1355">
      <c r="A1355">
        <f>A1354+1</f>
        <v/>
      </c>
      <c r="K1355">
        <f>I1355+J1355</f>
        <v/>
      </c>
    </row>
    <row r="1356">
      <c r="A1356">
        <f>A1355+1</f>
        <v/>
      </c>
      <c r="K1356">
        <f>I1356+J1356</f>
        <v/>
      </c>
    </row>
    <row r="1357">
      <c r="A1357">
        <f>A1356+1</f>
        <v/>
      </c>
      <c r="K1357">
        <f>I1357+J1357</f>
        <v/>
      </c>
    </row>
    <row r="1358">
      <c r="A1358">
        <f>A1357+1</f>
        <v/>
      </c>
      <c r="K1358">
        <f>I1358+J1358</f>
        <v/>
      </c>
    </row>
    <row r="1359">
      <c r="A1359">
        <f>A1358+1</f>
        <v/>
      </c>
      <c r="K1359">
        <f>I1359+J1359</f>
        <v/>
      </c>
    </row>
    <row r="1360">
      <c r="A1360">
        <f>A1359+1</f>
        <v/>
      </c>
      <c r="K1360">
        <f>I1360+J1360</f>
        <v/>
      </c>
    </row>
    <row r="1361">
      <c r="A1361">
        <f>A1360+1</f>
        <v/>
      </c>
      <c r="K1361">
        <f>I1361+J1361</f>
        <v/>
      </c>
    </row>
    <row r="1362">
      <c r="A1362">
        <f>A1361+1</f>
        <v/>
      </c>
      <c r="K1362">
        <f>I1362+J1362</f>
        <v/>
      </c>
    </row>
    <row r="1363">
      <c r="A1363">
        <f>A1362+1</f>
        <v/>
      </c>
      <c r="K1363">
        <f>I1363+J1363</f>
        <v/>
      </c>
    </row>
    <row r="1364">
      <c r="A1364">
        <f>A1363+1</f>
        <v/>
      </c>
      <c r="K1364">
        <f>I1364+J1364</f>
        <v/>
      </c>
    </row>
    <row r="1365">
      <c r="A1365">
        <f>A1364+1</f>
        <v/>
      </c>
      <c r="K1365">
        <f>I1365+J1365</f>
        <v/>
      </c>
    </row>
    <row r="1366">
      <c r="A1366">
        <f>A1365+1</f>
        <v/>
      </c>
      <c r="K1366">
        <f>I1366+J1366</f>
        <v/>
      </c>
    </row>
    <row r="1367">
      <c r="A1367">
        <f>A1366+1</f>
        <v/>
      </c>
      <c r="K1367">
        <f>I1367+J1367</f>
        <v/>
      </c>
    </row>
    <row r="1368">
      <c r="A1368">
        <f>A1367+1</f>
        <v/>
      </c>
      <c r="K1368">
        <f>I1368+J1368</f>
        <v/>
      </c>
    </row>
    <row r="1369">
      <c r="A1369">
        <f>A1368+1</f>
        <v/>
      </c>
      <c r="K1369">
        <f>I1369+J1369</f>
        <v/>
      </c>
    </row>
    <row r="1370">
      <c r="A1370">
        <f>A1369+1</f>
        <v/>
      </c>
      <c r="K1370">
        <f>I1370+J1370</f>
        <v/>
      </c>
    </row>
    <row r="1371">
      <c r="A1371">
        <f>A1370+1</f>
        <v/>
      </c>
      <c r="K1371">
        <f>I1371+J1371</f>
        <v/>
      </c>
    </row>
    <row r="1372">
      <c r="A1372">
        <f>A1371+1</f>
        <v/>
      </c>
      <c r="K1372">
        <f>I1372+J1372</f>
        <v/>
      </c>
    </row>
    <row r="1373">
      <c r="A1373">
        <f>A1372+1</f>
        <v/>
      </c>
      <c r="K1373">
        <f>I1373+J1373</f>
        <v/>
      </c>
    </row>
    <row r="1374">
      <c r="A1374">
        <f>A1373+1</f>
        <v/>
      </c>
      <c r="K1374">
        <f>I1374+J1374</f>
        <v/>
      </c>
    </row>
    <row r="1375">
      <c r="A1375">
        <f>A1374+1</f>
        <v/>
      </c>
      <c r="K1375">
        <f>I1375+J1375</f>
        <v/>
      </c>
    </row>
    <row r="1376">
      <c r="A1376">
        <f>A1375+1</f>
        <v/>
      </c>
      <c r="K1376">
        <f>I1376+J1376</f>
        <v/>
      </c>
    </row>
    <row r="1377">
      <c r="A1377">
        <f>A1376+1</f>
        <v/>
      </c>
      <c r="K1377">
        <f>I1377+J1377</f>
        <v/>
      </c>
    </row>
    <row r="1378">
      <c r="A1378">
        <f>A1377+1</f>
        <v/>
      </c>
      <c r="K1378">
        <f>I1378+J1378</f>
        <v/>
      </c>
    </row>
    <row r="1379">
      <c r="A1379">
        <f>A1378+1</f>
        <v/>
      </c>
      <c r="K1379">
        <f>I1379+J1379</f>
        <v/>
      </c>
    </row>
    <row r="1380">
      <c r="A1380">
        <f>A1379+1</f>
        <v/>
      </c>
      <c r="K1380">
        <f>I1380+J1380</f>
        <v/>
      </c>
    </row>
    <row r="1381">
      <c r="A1381">
        <f>A1380+1</f>
        <v/>
      </c>
      <c r="K1381">
        <f>I1381+J1381</f>
        <v/>
      </c>
    </row>
    <row r="1382">
      <c r="A1382">
        <f>A1381+1</f>
        <v/>
      </c>
      <c r="K1382">
        <f>I1382+J1382</f>
        <v/>
      </c>
    </row>
    <row r="1383">
      <c r="A1383">
        <f>A1382+1</f>
        <v/>
      </c>
      <c r="K1383">
        <f>I1383+J1383</f>
        <v/>
      </c>
    </row>
    <row r="1384">
      <c r="A1384">
        <f>A1383+1</f>
        <v/>
      </c>
      <c r="K1384">
        <f>I1384+J1384</f>
        <v/>
      </c>
    </row>
    <row r="1385">
      <c r="A1385">
        <f>A1384+1</f>
        <v/>
      </c>
      <c r="K1385">
        <f>I1385+J1385</f>
        <v/>
      </c>
    </row>
    <row r="1386">
      <c r="A1386">
        <f>A1385+1</f>
        <v/>
      </c>
      <c r="K1386">
        <f>I1386+J1386</f>
        <v/>
      </c>
    </row>
    <row r="1387">
      <c r="A1387">
        <f>A1386+1</f>
        <v/>
      </c>
      <c r="K1387">
        <f>I1387+J1387</f>
        <v/>
      </c>
    </row>
    <row r="1388">
      <c r="A1388">
        <f>A1387+1</f>
        <v/>
      </c>
      <c r="K1388">
        <f>I1388+J1388</f>
        <v/>
      </c>
    </row>
    <row r="1389">
      <c r="A1389">
        <f>A1388+1</f>
        <v/>
      </c>
      <c r="K1389">
        <f>I1389+J1389</f>
        <v/>
      </c>
    </row>
    <row r="1390">
      <c r="A1390">
        <f>A1389+1</f>
        <v/>
      </c>
      <c r="K1390">
        <f>I1390+J1390</f>
        <v/>
      </c>
    </row>
    <row r="1391">
      <c r="A1391">
        <f>A1390+1</f>
        <v/>
      </c>
      <c r="K1391">
        <f>I1391+J1391</f>
        <v/>
      </c>
    </row>
    <row r="1392">
      <c r="A1392">
        <f>A1391+1</f>
        <v/>
      </c>
      <c r="K1392">
        <f>I1392+J1392</f>
        <v/>
      </c>
    </row>
    <row r="1393">
      <c r="A1393">
        <f>A1392+1</f>
        <v/>
      </c>
      <c r="K1393">
        <f>I1393+J1393</f>
        <v/>
      </c>
    </row>
    <row r="1394">
      <c r="A1394">
        <f>A1393+1</f>
        <v/>
      </c>
      <c r="K1394">
        <f>I1394+J1394</f>
        <v/>
      </c>
    </row>
    <row r="1395">
      <c r="A1395">
        <f>A1394+1</f>
        <v/>
      </c>
      <c r="K1395">
        <f>I1395+J1395</f>
        <v/>
      </c>
    </row>
    <row r="1396">
      <c r="A1396">
        <f>A1395+1</f>
        <v/>
      </c>
      <c r="K1396">
        <f>I1396+J1396</f>
        <v/>
      </c>
    </row>
    <row r="1397">
      <c r="A1397">
        <f>A1396+1</f>
        <v/>
      </c>
      <c r="K1397">
        <f>I1397+J1397</f>
        <v/>
      </c>
    </row>
    <row r="1398">
      <c r="A1398">
        <f>A1397+1</f>
        <v/>
      </c>
      <c r="K1398">
        <f>I1398+J1398</f>
        <v/>
      </c>
    </row>
    <row r="1399">
      <c r="A1399">
        <f>A1398+1</f>
        <v/>
      </c>
      <c r="K1399">
        <f>I1399+J1399</f>
        <v/>
      </c>
    </row>
    <row r="1400">
      <c r="A1400">
        <f>A1399+1</f>
        <v/>
      </c>
      <c r="K1400">
        <f>I1400+J1400</f>
        <v/>
      </c>
    </row>
    <row r="1401">
      <c r="A1401">
        <f>A1400+1</f>
        <v/>
      </c>
      <c r="K1401">
        <f>I1401+J1401</f>
        <v/>
      </c>
    </row>
    <row r="1402">
      <c r="A1402">
        <f>A1401+1</f>
        <v/>
      </c>
      <c r="K1402">
        <f>I1402+J1402</f>
        <v/>
      </c>
    </row>
    <row r="1403">
      <c r="A1403">
        <f>A1402+1</f>
        <v/>
      </c>
      <c r="K1403">
        <f>I1403+J1403</f>
        <v/>
      </c>
    </row>
    <row r="1404">
      <c r="A1404">
        <f>A1403+1</f>
        <v/>
      </c>
      <c r="K1404">
        <f>I1404+J1404</f>
        <v/>
      </c>
    </row>
    <row r="1405">
      <c r="A1405">
        <f>A1404+1</f>
        <v/>
      </c>
      <c r="K1405">
        <f>I1405+J1405</f>
        <v/>
      </c>
    </row>
    <row r="1406">
      <c r="A1406">
        <f>A1405+1</f>
        <v/>
      </c>
      <c r="K1406">
        <f>I1406+J1406</f>
        <v/>
      </c>
    </row>
    <row r="1407">
      <c r="A1407">
        <f>A1406+1</f>
        <v/>
      </c>
      <c r="K1407">
        <f>I1407+J1407</f>
        <v/>
      </c>
    </row>
    <row r="1408">
      <c r="A1408">
        <f>A1407+1</f>
        <v/>
      </c>
      <c r="K1408">
        <f>I1408+J1408</f>
        <v/>
      </c>
    </row>
    <row r="1409">
      <c r="A1409">
        <f>A1408+1</f>
        <v/>
      </c>
      <c r="K1409">
        <f>I1409+J1409</f>
        <v/>
      </c>
    </row>
    <row r="1410">
      <c r="A1410">
        <f>A1409+1</f>
        <v/>
      </c>
      <c r="K1410">
        <f>I1410+J1410</f>
        <v/>
      </c>
    </row>
    <row r="1411">
      <c r="A1411">
        <f>A1410+1</f>
        <v/>
      </c>
      <c r="K1411">
        <f>I1411+J1411</f>
        <v/>
      </c>
    </row>
    <row r="1412">
      <c r="A1412">
        <f>A1411+1</f>
        <v/>
      </c>
      <c r="K1412">
        <f>I1412+J1412</f>
        <v/>
      </c>
    </row>
    <row r="1413">
      <c r="A1413">
        <f>A1412+1</f>
        <v/>
      </c>
      <c r="K1413">
        <f>I1413+J1413</f>
        <v/>
      </c>
    </row>
    <row r="1414">
      <c r="A1414">
        <f>A1413+1</f>
        <v/>
      </c>
      <c r="K1414">
        <f>I1414+J1414</f>
        <v/>
      </c>
    </row>
    <row r="1415">
      <c r="A1415">
        <f>A1414+1</f>
        <v/>
      </c>
      <c r="K1415">
        <f>I1415+J1415</f>
        <v/>
      </c>
    </row>
    <row r="1416">
      <c r="A1416">
        <f>A1415+1</f>
        <v/>
      </c>
      <c r="K1416">
        <f>I1416+J1416</f>
        <v/>
      </c>
    </row>
    <row r="1417">
      <c r="A1417">
        <f>A1416+1</f>
        <v/>
      </c>
      <c r="K1417">
        <f>I1417+J1417</f>
        <v/>
      </c>
    </row>
    <row r="1418">
      <c r="A1418">
        <f>A1417+1</f>
        <v/>
      </c>
      <c r="K1418">
        <f>I1418+J1418</f>
        <v/>
      </c>
    </row>
    <row r="1419">
      <c r="A1419">
        <f>A1418+1</f>
        <v/>
      </c>
      <c r="K1419">
        <f>I1419+J1419</f>
        <v/>
      </c>
    </row>
    <row r="1420">
      <c r="A1420">
        <f>A1419+1</f>
        <v/>
      </c>
      <c r="K1420">
        <f>I1420+J1420</f>
        <v/>
      </c>
    </row>
    <row r="1421">
      <c r="A1421">
        <f>A1420+1</f>
        <v/>
      </c>
      <c r="K1421">
        <f>I1421+J1421</f>
        <v/>
      </c>
    </row>
    <row r="1422">
      <c r="A1422">
        <f>A1421+1</f>
        <v/>
      </c>
      <c r="K1422">
        <f>I1422+J1422</f>
        <v/>
      </c>
    </row>
    <row r="1423">
      <c r="A1423">
        <f>A1422+1</f>
        <v/>
      </c>
      <c r="K1423">
        <f>I1423+J1423</f>
        <v/>
      </c>
    </row>
    <row r="1424">
      <c r="A1424">
        <f>A1423+1</f>
        <v/>
      </c>
      <c r="K1424">
        <f>I1424+J1424</f>
        <v/>
      </c>
    </row>
    <row r="1425">
      <c r="A1425">
        <f>A1424+1</f>
        <v/>
      </c>
      <c r="K1425">
        <f>I1425+J1425</f>
        <v/>
      </c>
    </row>
    <row r="1426">
      <c r="A1426">
        <f>A1425+1</f>
        <v/>
      </c>
      <c r="K1426">
        <f>I1426+J1426</f>
        <v/>
      </c>
    </row>
    <row r="1427">
      <c r="A1427">
        <f>A1426+1</f>
        <v/>
      </c>
      <c r="K1427">
        <f>I1427+J1427</f>
        <v/>
      </c>
    </row>
    <row r="1428">
      <c r="A1428">
        <f>A1427+1</f>
        <v/>
      </c>
      <c r="K1428">
        <f>I1428+J1428</f>
        <v/>
      </c>
    </row>
    <row r="1429">
      <c r="A1429">
        <f>A1428+1</f>
        <v/>
      </c>
      <c r="K1429">
        <f>I1429+J1429</f>
        <v/>
      </c>
    </row>
    <row r="1430">
      <c r="A1430">
        <f>A1429+1</f>
        <v/>
      </c>
      <c r="K1430">
        <f>I1430+J1430</f>
        <v/>
      </c>
    </row>
    <row r="1431">
      <c r="A1431">
        <f>A1430+1</f>
        <v/>
      </c>
      <c r="K1431">
        <f>I1431+J1431</f>
        <v/>
      </c>
    </row>
    <row r="1432">
      <c r="A1432">
        <f>A1431+1</f>
        <v/>
      </c>
      <c r="K1432">
        <f>I1432+J1432</f>
        <v/>
      </c>
    </row>
    <row r="1433">
      <c r="A1433">
        <f>A1432+1</f>
        <v/>
      </c>
      <c r="K1433">
        <f>I1433+J1433</f>
        <v/>
      </c>
    </row>
    <row r="1434">
      <c r="A1434">
        <f>A1433+1</f>
        <v/>
      </c>
      <c r="K1434">
        <f>I1434+J1434</f>
        <v/>
      </c>
    </row>
    <row r="1435">
      <c r="A1435">
        <f>A1434+1</f>
        <v/>
      </c>
      <c r="K1435">
        <f>I1435+J1435</f>
        <v/>
      </c>
    </row>
    <row r="1436">
      <c r="A1436">
        <f>A1435+1</f>
        <v/>
      </c>
      <c r="K1436">
        <f>I1436+J1436</f>
        <v/>
      </c>
    </row>
    <row r="1437">
      <c r="A1437">
        <f>A1436+1</f>
        <v/>
      </c>
      <c r="K1437">
        <f>I1437+J1437</f>
        <v/>
      </c>
    </row>
    <row r="1438">
      <c r="A1438">
        <f>A1437+1</f>
        <v/>
      </c>
      <c r="K1438">
        <f>I1438+J1438</f>
        <v/>
      </c>
    </row>
    <row r="1439">
      <c r="A1439">
        <f>A1438+1</f>
        <v/>
      </c>
      <c r="K1439">
        <f>I1439+J1439</f>
        <v/>
      </c>
    </row>
    <row r="1440">
      <c r="A1440">
        <f>A1439+1</f>
        <v/>
      </c>
      <c r="K1440">
        <f>I1440+J1440</f>
        <v/>
      </c>
    </row>
    <row r="1441">
      <c r="A1441">
        <f>A1440+1</f>
        <v/>
      </c>
      <c r="K1441">
        <f>I1441+J1441</f>
        <v/>
      </c>
    </row>
    <row r="1442">
      <c r="A1442">
        <f>A1441+1</f>
        <v/>
      </c>
      <c r="K1442">
        <f>I1442+J1442</f>
        <v/>
      </c>
    </row>
    <row r="1443">
      <c r="A1443">
        <f>A1442+1</f>
        <v/>
      </c>
      <c r="K1443">
        <f>I1443+J1443</f>
        <v/>
      </c>
    </row>
    <row r="1444">
      <c r="A1444">
        <f>A1443+1</f>
        <v/>
      </c>
      <c r="K1444">
        <f>I1444+J1444</f>
        <v/>
      </c>
    </row>
    <row r="1445">
      <c r="A1445">
        <f>A1444+1</f>
        <v/>
      </c>
      <c r="K1445">
        <f>I1445+J1445</f>
        <v/>
      </c>
    </row>
    <row r="1446">
      <c r="A1446">
        <f>A1445+1</f>
        <v/>
      </c>
      <c r="K1446">
        <f>I1446+J1446</f>
        <v/>
      </c>
    </row>
    <row r="1447">
      <c r="A1447">
        <f>A1446+1</f>
        <v/>
      </c>
      <c r="K1447">
        <f>I1447+J1447</f>
        <v/>
      </c>
    </row>
    <row r="1448">
      <c r="A1448">
        <f>A1447+1</f>
        <v/>
      </c>
      <c r="K1448">
        <f>I1448+J1448</f>
        <v/>
      </c>
    </row>
    <row r="1449">
      <c r="A1449">
        <f>A1448+1</f>
        <v/>
      </c>
      <c r="K1449">
        <f>I1449+J1449</f>
        <v/>
      </c>
    </row>
    <row r="1450">
      <c r="A1450">
        <f>A1449+1</f>
        <v/>
      </c>
      <c r="K1450">
        <f>I1450+J1450</f>
        <v/>
      </c>
    </row>
    <row r="1451">
      <c r="A1451">
        <f>A1450+1</f>
        <v/>
      </c>
      <c r="K1451">
        <f>I1451+J1451</f>
        <v/>
      </c>
    </row>
    <row r="1452">
      <c r="A1452">
        <f>A1451+1</f>
        <v/>
      </c>
      <c r="K1452">
        <f>I1452+J1452</f>
        <v/>
      </c>
    </row>
    <row r="1453">
      <c r="A1453">
        <f>A1452+1</f>
        <v/>
      </c>
      <c r="K1453">
        <f>I1453+J1453</f>
        <v/>
      </c>
    </row>
    <row r="1454">
      <c r="A1454">
        <f>A1453+1</f>
        <v/>
      </c>
      <c r="K1454">
        <f>I1454+J1454</f>
        <v/>
      </c>
    </row>
    <row r="1455">
      <c r="A1455">
        <f>A1454+1</f>
        <v/>
      </c>
      <c r="K1455">
        <f>I1455+J1455</f>
        <v/>
      </c>
    </row>
    <row r="1456">
      <c r="A1456">
        <f>A1455+1</f>
        <v/>
      </c>
      <c r="K1456">
        <f>I1456+J1456</f>
        <v/>
      </c>
    </row>
    <row r="1457">
      <c r="A1457">
        <f>A1456+1</f>
        <v/>
      </c>
      <c r="K1457">
        <f>I1457+J1457</f>
        <v/>
      </c>
    </row>
    <row r="1458">
      <c r="A1458">
        <f>A1457+1</f>
        <v/>
      </c>
      <c r="K1458">
        <f>I1458+J1458</f>
        <v/>
      </c>
    </row>
    <row r="1459">
      <c r="A1459">
        <f>A1458+1</f>
        <v/>
      </c>
      <c r="K1459">
        <f>I1459+J1459</f>
        <v/>
      </c>
    </row>
    <row r="1460">
      <c r="A1460">
        <f>A1459+1</f>
        <v/>
      </c>
      <c r="K1460">
        <f>I1460+J1460</f>
        <v/>
      </c>
    </row>
    <row r="1461">
      <c r="A1461">
        <f>A1460+1</f>
        <v/>
      </c>
      <c r="K1461">
        <f>I1461+J1461</f>
        <v/>
      </c>
    </row>
    <row r="1462">
      <c r="A1462">
        <f>A1461+1</f>
        <v/>
      </c>
      <c r="K1462">
        <f>I1462+J1462</f>
        <v/>
      </c>
    </row>
    <row r="1463">
      <c r="A1463">
        <f>A1462+1</f>
        <v/>
      </c>
      <c r="K1463">
        <f>I1463+J1463</f>
        <v/>
      </c>
    </row>
    <row r="1464">
      <c r="A1464">
        <f>A1463+1</f>
        <v/>
      </c>
      <c r="K1464">
        <f>I1464+J1464</f>
        <v/>
      </c>
    </row>
    <row r="1465">
      <c r="A1465">
        <f>A1464+1</f>
        <v/>
      </c>
      <c r="K1465">
        <f>I1465+J1465</f>
        <v/>
      </c>
    </row>
    <row r="1466">
      <c r="A1466">
        <f>A1465+1</f>
        <v/>
      </c>
      <c r="K1466">
        <f>I1466+J1466</f>
        <v/>
      </c>
    </row>
    <row r="1467">
      <c r="A1467">
        <f>A1466+1</f>
        <v/>
      </c>
      <c r="K1467">
        <f>I1467+J1467</f>
        <v/>
      </c>
    </row>
    <row r="1468">
      <c r="A1468">
        <f>A1467+1</f>
        <v/>
      </c>
      <c r="K1468">
        <f>I1468+J1468</f>
        <v/>
      </c>
    </row>
    <row r="1469">
      <c r="A1469">
        <f>A1468+1</f>
        <v/>
      </c>
      <c r="K1469">
        <f>I1469+J1469</f>
        <v/>
      </c>
    </row>
    <row r="1470">
      <c r="A1470">
        <f>A1469+1</f>
        <v/>
      </c>
      <c r="K1470">
        <f>I1470+J1470</f>
        <v/>
      </c>
    </row>
    <row r="1471">
      <c r="A1471">
        <f>A1470+1</f>
        <v/>
      </c>
      <c r="K1471">
        <f>I1471+J1471</f>
        <v/>
      </c>
    </row>
    <row r="1472">
      <c r="A1472">
        <f>A1471+1</f>
        <v/>
      </c>
      <c r="K1472">
        <f>I1472+J1472</f>
        <v/>
      </c>
    </row>
    <row r="1473">
      <c r="A1473">
        <f>A1472+1</f>
        <v/>
      </c>
      <c r="K1473">
        <f>I1473+J1473</f>
        <v/>
      </c>
    </row>
    <row r="1474">
      <c r="A1474">
        <f>A1473+1</f>
        <v/>
      </c>
      <c r="K1474">
        <f>I1474+J1474</f>
        <v/>
      </c>
    </row>
    <row r="1475">
      <c r="A1475">
        <f>A1474+1</f>
        <v/>
      </c>
      <c r="K1475">
        <f>I1475+J1475</f>
        <v/>
      </c>
    </row>
    <row r="1476">
      <c r="A1476">
        <f>A1475+1</f>
        <v/>
      </c>
      <c r="K1476">
        <f>I1476+J1476</f>
        <v/>
      </c>
    </row>
    <row r="1477">
      <c r="A1477">
        <f>A1476+1</f>
        <v/>
      </c>
      <c r="K1477">
        <f>I1477+J1477</f>
        <v/>
      </c>
    </row>
    <row r="1478">
      <c r="A1478">
        <f>A1477+1</f>
        <v/>
      </c>
      <c r="K1478">
        <f>I1478+J1478</f>
        <v/>
      </c>
    </row>
    <row r="1479">
      <c r="A1479">
        <f>A1478+1</f>
        <v/>
      </c>
      <c r="K1479">
        <f>I1479+J1479</f>
        <v/>
      </c>
    </row>
    <row r="1480">
      <c r="A1480">
        <f>A1479+1</f>
        <v/>
      </c>
      <c r="K1480">
        <f>I1480+J1480</f>
        <v/>
      </c>
    </row>
    <row r="1481">
      <c r="A1481">
        <f>A1480+1</f>
        <v/>
      </c>
      <c r="K1481">
        <f>I1481+J1481</f>
        <v/>
      </c>
    </row>
    <row r="1482">
      <c r="A1482">
        <f>A1481+1</f>
        <v/>
      </c>
      <c r="K1482">
        <f>I1482+J1482</f>
        <v/>
      </c>
    </row>
    <row r="1483">
      <c r="A1483">
        <f>A1482+1</f>
        <v/>
      </c>
      <c r="K1483">
        <f>I1483+J1483</f>
        <v/>
      </c>
    </row>
    <row r="1484">
      <c r="A1484">
        <f>A1483+1</f>
        <v/>
      </c>
      <c r="K1484">
        <f>I1484+J1484</f>
        <v/>
      </c>
    </row>
    <row r="1485">
      <c r="A1485">
        <f>A1484+1</f>
        <v/>
      </c>
      <c r="K1485">
        <f>I1485+J1485</f>
        <v/>
      </c>
    </row>
    <row r="1486">
      <c r="A1486">
        <f>A1485+1</f>
        <v/>
      </c>
      <c r="K1486">
        <f>I1486+J1486</f>
        <v/>
      </c>
    </row>
    <row r="1487">
      <c r="A1487">
        <f>A1486+1</f>
        <v/>
      </c>
      <c r="K1487">
        <f>I1487+J1487</f>
        <v/>
      </c>
    </row>
    <row r="1488">
      <c r="A1488">
        <f>A1487+1</f>
        <v/>
      </c>
      <c r="K1488">
        <f>I1488+J1488</f>
        <v/>
      </c>
    </row>
    <row r="1489">
      <c r="A1489">
        <f>A1488+1</f>
        <v/>
      </c>
      <c r="K1489">
        <f>I1489+J1489</f>
        <v/>
      </c>
    </row>
    <row r="1490">
      <c r="A1490">
        <f>A1489+1</f>
        <v/>
      </c>
      <c r="K1490">
        <f>I1490+J1490</f>
        <v/>
      </c>
    </row>
    <row r="1491">
      <c r="A1491">
        <f>A1490+1</f>
        <v/>
      </c>
      <c r="K1491">
        <f>I1491+J1491</f>
        <v/>
      </c>
    </row>
    <row r="1492">
      <c r="A1492">
        <f>A1491+1</f>
        <v/>
      </c>
      <c r="K1492">
        <f>I1492+J1492</f>
        <v/>
      </c>
    </row>
    <row r="1493">
      <c r="A1493">
        <f>A1492+1</f>
        <v/>
      </c>
      <c r="K1493">
        <f>I1493+J1493</f>
        <v/>
      </c>
    </row>
    <row r="1494">
      <c r="A1494">
        <f>A1493+1</f>
        <v/>
      </c>
      <c r="K1494">
        <f>I1494+J1494</f>
        <v/>
      </c>
    </row>
    <row r="1495">
      <c r="A1495">
        <f>A1494+1</f>
        <v/>
      </c>
      <c r="K1495">
        <f>I1495+J1495</f>
        <v/>
      </c>
    </row>
    <row r="1496">
      <c r="A1496">
        <f>A1495+1</f>
        <v/>
      </c>
      <c r="K1496">
        <f>I1496+J1496</f>
        <v/>
      </c>
    </row>
    <row r="1497">
      <c r="A1497">
        <f>A1496+1</f>
        <v/>
      </c>
      <c r="K1497">
        <f>I1497+J1497</f>
        <v/>
      </c>
    </row>
    <row r="1498">
      <c r="A1498">
        <f>A1497+1</f>
        <v/>
      </c>
      <c r="K1498">
        <f>I1498+J1498</f>
        <v/>
      </c>
    </row>
    <row r="1499">
      <c r="A1499">
        <f>A1498+1</f>
        <v/>
      </c>
      <c r="K1499">
        <f>I1499+J1499</f>
        <v/>
      </c>
    </row>
    <row r="1500">
      <c r="A1500">
        <f>A1499+1</f>
        <v/>
      </c>
      <c r="K1500">
        <f>I1500+J1500</f>
        <v/>
      </c>
    </row>
    <row r="1501">
      <c r="A1501">
        <f>A1500+1</f>
        <v/>
      </c>
      <c r="K1501">
        <f>I1501+J1501</f>
        <v/>
      </c>
    </row>
    <row r="1502">
      <c r="A1502">
        <f>A1501+1</f>
        <v/>
      </c>
      <c r="K1502">
        <f>I1502+J1502</f>
        <v/>
      </c>
    </row>
    <row r="1503">
      <c r="A1503">
        <f>A1502+1</f>
        <v/>
      </c>
      <c r="K1503">
        <f>I1503+J1503</f>
        <v/>
      </c>
    </row>
    <row r="1504">
      <c r="A1504">
        <f>A1503+1</f>
        <v/>
      </c>
      <c r="K1504">
        <f>I1504+J1504</f>
        <v/>
      </c>
    </row>
    <row r="1505">
      <c r="A1505">
        <f>A1504+1</f>
        <v/>
      </c>
      <c r="K1505">
        <f>I1505+J1505</f>
        <v/>
      </c>
    </row>
    <row r="1506">
      <c r="A1506">
        <f>A1505+1</f>
        <v/>
      </c>
      <c r="K1506">
        <f>I1506+J1506</f>
        <v/>
      </c>
    </row>
    <row r="1507">
      <c r="A1507">
        <f>A1506+1</f>
        <v/>
      </c>
      <c r="K1507">
        <f>I1507+J1507</f>
        <v/>
      </c>
    </row>
    <row r="1508">
      <c r="A1508">
        <f>A1507+1</f>
        <v/>
      </c>
      <c r="K1508">
        <f>I1508+J1508</f>
        <v/>
      </c>
    </row>
    <row r="1509">
      <c r="A1509">
        <f>A1508+1</f>
        <v/>
      </c>
      <c r="K1509">
        <f>I1509+J1509</f>
        <v/>
      </c>
    </row>
    <row r="1510">
      <c r="A1510">
        <f>A1509+1</f>
        <v/>
      </c>
      <c r="K1510">
        <f>I1510+J1510</f>
        <v/>
      </c>
    </row>
    <row r="1511">
      <c r="A1511">
        <f>A1510+1</f>
        <v/>
      </c>
      <c r="K1511">
        <f>I1511+J1511</f>
        <v/>
      </c>
    </row>
    <row r="1512">
      <c r="A1512">
        <f>A1511+1</f>
        <v/>
      </c>
      <c r="K1512">
        <f>I1512+J1512</f>
        <v/>
      </c>
    </row>
    <row r="1513">
      <c r="A1513">
        <f>A1512+1</f>
        <v/>
      </c>
      <c r="K1513">
        <f>I1513+J1513</f>
        <v/>
      </c>
    </row>
    <row r="1514">
      <c r="A1514">
        <f>A1513+1</f>
        <v/>
      </c>
      <c r="K1514">
        <f>I1514+J1514</f>
        <v/>
      </c>
    </row>
    <row r="1515">
      <c r="A1515">
        <f>A1514+1</f>
        <v/>
      </c>
      <c r="K1515">
        <f>I1515+J1515</f>
        <v/>
      </c>
    </row>
    <row r="1516">
      <c r="A1516">
        <f>A1515+1</f>
        <v/>
      </c>
      <c r="K1516">
        <f>I1516+J1516</f>
        <v/>
      </c>
    </row>
    <row r="1517">
      <c r="A1517">
        <f>A1516+1</f>
        <v/>
      </c>
      <c r="K1517">
        <f>I1517+J1517</f>
        <v/>
      </c>
    </row>
    <row r="1518">
      <c r="A1518">
        <f>A1517+1</f>
        <v/>
      </c>
      <c r="K1518">
        <f>I1518+J1518</f>
        <v/>
      </c>
    </row>
    <row r="1519">
      <c r="A1519">
        <f>A1518+1</f>
        <v/>
      </c>
      <c r="K1519">
        <f>I1519+J1519</f>
        <v/>
      </c>
    </row>
    <row r="1520">
      <c r="A1520">
        <f>A1519+1</f>
        <v/>
      </c>
      <c r="K1520">
        <f>I1520+J1520</f>
        <v/>
      </c>
    </row>
    <row r="1521">
      <c r="A1521">
        <f>A1520+1</f>
        <v/>
      </c>
      <c r="K1521">
        <f>I1521+J1521</f>
        <v/>
      </c>
    </row>
    <row r="1522">
      <c r="A1522">
        <f>A1521+1</f>
        <v/>
      </c>
      <c r="K1522">
        <f>I1522+J1522</f>
        <v/>
      </c>
    </row>
    <row r="1523">
      <c r="A1523">
        <f>A1522+1</f>
        <v/>
      </c>
      <c r="K1523">
        <f>I1523+J1523</f>
        <v/>
      </c>
    </row>
    <row r="1524">
      <c r="A1524">
        <f>A1523+1</f>
        <v/>
      </c>
      <c r="K1524">
        <f>I1524+J1524</f>
        <v/>
      </c>
    </row>
    <row r="1525">
      <c r="A1525">
        <f>A1524+1</f>
        <v/>
      </c>
      <c r="K1525">
        <f>I1525+J1525</f>
        <v/>
      </c>
    </row>
    <row r="1526">
      <c r="A1526">
        <f>A1525+1</f>
        <v/>
      </c>
      <c r="K1526">
        <f>I1526+J1526</f>
        <v/>
      </c>
    </row>
    <row r="1527">
      <c r="A1527">
        <f>A1526+1</f>
        <v/>
      </c>
      <c r="K1527">
        <f>I1527+J1527</f>
        <v/>
      </c>
    </row>
    <row r="1528">
      <c r="A1528">
        <f>A1527+1</f>
        <v/>
      </c>
      <c r="K1528">
        <f>I1528+J1528</f>
        <v/>
      </c>
    </row>
    <row r="1529">
      <c r="A1529">
        <f>A1528+1</f>
        <v/>
      </c>
      <c r="K1529">
        <f>I1529+J1529</f>
        <v/>
      </c>
    </row>
    <row r="1530">
      <c r="A1530">
        <f>A1529+1</f>
        <v/>
      </c>
      <c r="K1530">
        <f>I1530+J1530</f>
        <v/>
      </c>
    </row>
    <row r="1531">
      <c r="A1531">
        <f>A1530+1</f>
        <v/>
      </c>
      <c r="K1531">
        <f>I1531+J1531</f>
        <v/>
      </c>
    </row>
    <row r="1532">
      <c r="A1532">
        <f>A1531+1</f>
        <v/>
      </c>
      <c r="K1532">
        <f>I1532+J1532</f>
        <v/>
      </c>
    </row>
    <row r="1533">
      <c r="A1533">
        <f>A1532+1</f>
        <v/>
      </c>
      <c r="K1533">
        <f>I1533+J1533</f>
        <v/>
      </c>
    </row>
    <row r="1534">
      <c r="A1534">
        <f>A1533+1</f>
        <v/>
      </c>
      <c r="K1534">
        <f>I1534+J1534</f>
        <v/>
      </c>
    </row>
    <row r="1535">
      <c r="A1535">
        <f>A1534+1</f>
        <v/>
      </c>
      <c r="K1535">
        <f>I1535+J1535</f>
        <v/>
      </c>
    </row>
    <row r="1536">
      <c r="A1536">
        <f>A1535+1</f>
        <v/>
      </c>
      <c r="K1536">
        <f>I1536+J1536</f>
        <v/>
      </c>
    </row>
    <row r="1537">
      <c r="A1537">
        <f>A1536+1</f>
        <v/>
      </c>
      <c r="K1537">
        <f>I1537+J1537</f>
        <v/>
      </c>
    </row>
    <row r="1538">
      <c r="A1538">
        <f>A1537+1</f>
        <v/>
      </c>
      <c r="K1538">
        <f>I1538+J1538</f>
        <v/>
      </c>
    </row>
    <row r="1539">
      <c r="A1539">
        <f>A1538+1</f>
        <v/>
      </c>
      <c r="K1539">
        <f>I1539+J1539</f>
        <v/>
      </c>
    </row>
    <row r="1540">
      <c r="A1540">
        <f>A1539+1</f>
        <v/>
      </c>
      <c r="K1540">
        <f>I1540+J1540</f>
        <v/>
      </c>
    </row>
    <row r="1541">
      <c r="A1541">
        <f>A1540+1</f>
        <v/>
      </c>
      <c r="K1541">
        <f>I1541+J1541</f>
        <v/>
      </c>
    </row>
    <row r="1542">
      <c r="A1542">
        <f>A1541+1</f>
        <v/>
      </c>
      <c r="K1542">
        <f>I1542+J1542</f>
        <v/>
      </c>
    </row>
    <row r="1543">
      <c r="A1543">
        <f>A1542+1</f>
        <v/>
      </c>
      <c r="K1543">
        <f>I1543+J1543</f>
        <v/>
      </c>
    </row>
    <row r="1544">
      <c r="A1544">
        <f>A1543+1</f>
        <v/>
      </c>
      <c r="K1544">
        <f>I1544+J1544</f>
        <v/>
      </c>
    </row>
    <row r="1545">
      <c r="A1545">
        <f>A1544+1</f>
        <v/>
      </c>
      <c r="K1545">
        <f>I1545+J1545</f>
        <v/>
      </c>
    </row>
    <row r="1546">
      <c r="A1546">
        <f>A1545+1</f>
        <v/>
      </c>
      <c r="K1546">
        <f>I1546+J1546</f>
        <v/>
      </c>
    </row>
    <row r="1547">
      <c r="A1547">
        <f>A1546+1</f>
        <v/>
      </c>
      <c r="K1547">
        <f>I1547+J1547</f>
        <v/>
      </c>
    </row>
    <row r="1548">
      <c r="A1548">
        <f>A1547+1</f>
        <v/>
      </c>
      <c r="K1548">
        <f>I1548+J1548</f>
        <v/>
      </c>
    </row>
    <row r="1549">
      <c r="A1549">
        <f>A1548+1</f>
        <v/>
      </c>
      <c r="K1549">
        <f>I1549+J1549</f>
        <v/>
      </c>
    </row>
    <row r="1550">
      <c r="A1550">
        <f>A1549+1</f>
        <v/>
      </c>
      <c r="K1550">
        <f>I1550+J1550</f>
        <v/>
      </c>
    </row>
    <row r="1551">
      <c r="A1551">
        <f>A1550+1</f>
        <v/>
      </c>
      <c r="K1551">
        <f>I1551+J1551</f>
        <v/>
      </c>
    </row>
    <row r="1552">
      <c r="A1552">
        <f>A1551+1</f>
        <v/>
      </c>
      <c r="K1552">
        <f>I1552+J1552</f>
        <v/>
      </c>
    </row>
    <row r="1553">
      <c r="A1553">
        <f>A1552+1</f>
        <v/>
      </c>
      <c r="K1553">
        <f>I1553+J1553</f>
        <v/>
      </c>
    </row>
    <row r="1554">
      <c r="A1554">
        <f>A1553+1</f>
        <v/>
      </c>
      <c r="K1554">
        <f>I1554+J1554</f>
        <v/>
      </c>
    </row>
    <row r="1555">
      <c r="A1555">
        <f>A1554+1</f>
        <v/>
      </c>
      <c r="K1555">
        <f>I1555+J1555</f>
        <v/>
      </c>
    </row>
    <row r="1556">
      <c r="A1556">
        <f>A1555+1</f>
        <v/>
      </c>
      <c r="K1556">
        <f>I1556+J1556</f>
        <v/>
      </c>
    </row>
    <row r="1557">
      <c r="A1557">
        <f>A1556+1</f>
        <v/>
      </c>
      <c r="K1557">
        <f>I1557+J1557</f>
        <v/>
      </c>
    </row>
    <row r="1558">
      <c r="A1558">
        <f>A1557+1</f>
        <v/>
      </c>
      <c r="K1558">
        <f>I1558+J1558</f>
        <v/>
      </c>
    </row>
    <row r="1559">
      <c r="A1559">
        <f>A1558+1</f>
        <v/>
      </c>
      <c r="K1559">
        <f>I1559+J1559</f>
        <v/>
      </c>
    </row>
    <row r="1560">
      <c r="A1560">
        <f>A1559+1</f>
        <v/>
      </c>
      <c r="K1560">
        <f>I1560+J1560</f>
        <v/>
      </c>
    </row>
    <row r="1561">
      <c r="A1561">
        <f>A1560+1</f>
        <v/>
      </c>
      <c r="K1561">
        <f>I1561+J1561</f>
        <v/>
      </c>
    </row>
    <row r="1562">
      <c r="A1562">
        <f>A1561+1</f>
        <v/>
      </c>
      <c r="K1562">
        <f>I1562+J1562</f>
        <v/>
      </c>
    </row>
    <row r="1563">
      <c r="A1563">
        <f>A1562+1</f>
        <v/>
      </c>
      <c r="K1563">
        <f>I1563+J1563</f>
        <v/>
      </c>
    </row>
    <row r="1564">
      <c r="A1564">
        <f>A1563+1</f>
        <v/>
      </c>
      <c r="K1564">
        <f>I1564+J1564</f>
        <v/>
      </c>
    </row>
    <row r="1565">
      <c r="A1565">
        <f>A1564+1</f>
        <v/>
      </c>
      <c r="K1565">
        <f>I1565+J1565</f>
        <v/>
      </c>
    </row>
    <row r="1566">
      <c r="A1566">
        <f>A1565+1</f>
        <v/>
      </c>
      <c r="K1566">
        <f>I1566+J1566</f>
        <v/>
      </c>
    </row>
    <row r="1567">
      <c r="A1567">
        <f>A1566+1</f>
        <v/>
      </c>
      <c r="K1567">
        <f>I1567+J1567</f>
        <v/>
      </c>
    </row>
    <row r="1568">
      <c r="A1568">
        <f>A1567+1</f>
        <v/>
      </c>
      <c r="K1568">
        <f>I1568+J1568</f>
        <v/>
      </c>
    </row>
    <row r="1569">
      <c r="A1569">
        <f>A1568+1</f>
        <v/>
      </c>
      <c r="K1569">
        <f>I1569+J1569</f>
        <v/>
      </c>
    </row>
    <row r="1570">
      <c r="A1570">
        <f>A1569+1</f>
        <v/>
      </c>
      <c r="K1570">
        <f>I1570+J1570</f>
        <v/>
      </c>
    </row>
    <row r="1571">
      <c r="A1571">
        <f>A1570+1</f>
        <v/>
      </c>
      <c r="K1571">
        <f>I1571+J1571</f>
        <v/>
      </c>
    </row>
    <row r="1572">
      <c r="A1572">
        <f>A1571+1</f>
        <v/>
      </c>
      <c r="K1572">
        <f>I1572+J1572</f>
        <v/>
      </c>
    </row>
    <row r="1573">
      <c r="A1573">
        <f>A1572+1</f>
        <v/>
      </c>
      <c r="K1573">
        <f>I1573+J1573</f>
        <v/>
      </c>
    </row>
    <row r="1574">
      <c r="A1574">
        <f>A1573+1</f>
        <v/>
      </c>
      <c r="K1574">
        <f>I1574+J1574</f>
        <v/>
      </c>
    </row>
    <row r="1575">
      <c r="A1575">
        <f>A1574+1</f>
        <v/>
      </c>
      <c r="K1575">
        <f>I1575+J1575</f>
        <v/>
      </c>
    </row>
    <row r="1576">
      <c r="A1576">
        <f>A1575+1</f>
        <v/>
      </c>
      <c r="K1576">
        <f>I1576+J1576</f>
        <v/>
      </c>
    </row>
    <row r="1577">
      <c r="A1577">
        <f>A1576+1</f>
        <v/>
      </c>
      <c r="K1577">
        <f>I1577+J1577</f>
        <v/>
      </c>
    </row>
    <row r="1578">
      <c r="A1578">
        <f>A1577+1</f>
        <v/>
      </c>
      <c r="K1578">
        <f>I1578+J1578</f>
        <v/>
      </c>
    </row>
    <row r="1579">
      <c r="A1579">
        <f>A1578+1</f>
        <v/>
      </c>
      <c r="K1579">
        <f>I1579+J1579</f>
        <v/>
      </c>
    </row>
    <row r="1580">
      <c r="A1580">
        <f>A1579+1</f>
        <v/>
      </c>
      <c r="K1580">
        <f>I1580+J1580</f>
        <v/>
      </c>
    </row>
    <row r="1581">
      <c r="A1581">
        <f>A1580+1</f>
        <v/>
      </c>
      <c r="K1581">
        <f>I1581+J1581</f>
        <v/>
      </c>
    </row>
    <row r="1582">
      <c r="A1582">
        <f>A1581+1</f>
        <v/>
      </c>
      <c r="K1582">
        <f>I1582+J1582</f>
        <v/>
      </c>
    </row>
    <row r="1583">
      <c r="A1583">
        <f>A1582+1</f>
        <v/>
      </c>
      <c r="K1583">
        <f>I1583+J1583</f>
        <v/>
      </c>
    </row>
    <row r="1584">
      <c r="A1584">
        <f>A1583+1</f>
        <v/>
      </c>
      <c r="K1584">
        <f>I1584+J1584</f>
        <v/>
      </c>
    </row>
    <row r="1585">
      <c r="A1585">
        <f>A1584+1</f>
        <v/>
      </c>
      <c r="K1585">
        <f>I1585+J1585</f>
        <v/>
      </c>
    </row>
    <row r="1586">
      <c r="A1586">
        <f>A1585+1</f>
        <v/>
      </c>
      <c r="K1586">
        <f>I1586+J1586</f>
        <v/>
      </c>
    </row>
    <row r="1587">
      <c r="A1587">
        <f>A1586+1</f>
        <v/>
      </c>
      <c r="K1587">
        <f>I1587+J1587</f>
        <v/>
      </c>
    </row>
    <row r="1588">
      <c r="A1588">
        <f>A1587+1</f>
        <v/>
      </c>
      <c r="K1588">
        <f>I1588+J1588</f>
        <v/>
      </c>
    </row>
    <row r="1589">
      <c r="A1589">
        <f>A1588+1</f>
        <v/>
      </c>
      <c r="K1589">
        <f>I1589+J1589</f>
        <v/>
      </c>
    </row>
    <row r="1590">
      <c r="A1590">
        <f>A1589+1</f>
        <v/>
      </c>
      <c r="K1590">
        <f>I1590+J1590</f>
        <v/>
      </c>
    </row>
    <row r="1591">
      <c r="A1591">
        <f>A1590+1</f>
        <v/>
      </c>
      <c r="K1591">
        <f>I1591+J1591</f>
        <v/>
      </c>
    </row>
    <row r="1592">
      <c r="A1592">
        <f>A1591+1</f>
        <v/>
      </c>
      <c r="K1592">
        <f>I1592+J1592</f>
        <v/>
      </c>
    </row>
    <row r="1593">
      <c r="A1593">
        <f>A1592+1</f>
        <v/>
      </c>
      <c r="K1593">
        <f>I1593+J1593</f>
        <v/>
      </c>
    </row>
    <row r="1594">
      <c r="A1594">
        <f>A1593+1</f>
        <v/>
      </c>
      <c r="K1594">
        <f>I1594+J1594</f>
        <v/>
      </c>
    </row>
    <row r="1595">
      <c r="A1595">
        <f>A1594+1</f>
        <v/>
      </c>
      <c r="K1595">
        <f>I1595+J1595</f>
        <v/>
      </c>
    </row>
    <row r="1596">
      <c r="A1596">
        <f>A1595+1</f>
        <v/>
      </c>
      <c r="K1596">
        <f>I1596+J1596</f>
        <v/>
      </c>
    </row>
    <row r="1597">
      <c r="A1597">
        <f>A1596+1</f>
        <v/>
      </c>
      <c r="K1597">
        <f>I1597+J1597</f>
        <v/>
      </c>
    </row>
    <row r="1598">
      <c r="A1598">
        <f>A1597+1</f>
        <v/>
      </c>
      <c r="K1598">
        <f>I1598+J1598</f>
        <v/>
      </c>
    </row>
    <row r="1599">
      <c r="A1599">
        <f>A1598+1</f>
        <v/>
      </c>
      <c r="K1599">
        <f>I1599+J1599</f>
        <v/>
      </c>
    </row>
    <row r="1600">
      <c r="A1600">
        <f>A1599+1</f>
        <v/>
      </c>
      <c r="K1600">
        <f>I1600+J1600</f>
        <v/>
      </c>
    </row>
    <row r="1601">
      <c r="A1601">
        <f>A1600+1</f>
        <v/>
      </c>
      <c r="K1601">
        <f>I1601+J1601</f>
        <v/>
      </c>
    </row>
    <row r="1602">
      <c r="A1602">
        <f>A1601+1</f>
        <v/>
      </c>
      <c r="K1602">
        <f>I1602+J1602</f>
        <v/>
      </c>
    </row>
    <row r="1603">
      <c r="A1603">
        <f>A1602+1</f>
        <v/>
      </c>
      <c r="K1603">
        <f>I1603+J1603</f>
        <v/>
      </c>
    </row>
    <row r="1604">
      <c r="A1604">
        <f>A1603+1</f>
        <v/>
      </c>
      <c r="K1604">
        <f>I1604+J1604</f>
        <v/>
      </c>
    </row>
    <row r="1605">
      <c r="A1605">
        <f>A1604+1</f>
        <v/>
      </c>
      <c r="K1605">
        <f>I1605+J1605</f>
        <v/>
      </c>
    </row>
    <row r="1606">
      <c r="A1606">
        <f>A1605+1</f>
        <v/>
      </c>
      <c r="K1606">
        <f>I1606+J1606</f>
        <v/>
      </c>
    </row>
    <row r="1607">
      <c r="A1607">
        <f>A1606+1</f>
        <v/>
      </c>
      <c r="K1607">
        <f>I1607+J1607</f>
        <v/>
      </c>
    </row>
    <row r="1608">
      <c r="A1608">
        <f>A1607+1</f>
        <v/>
      </c>
      <c r="K1608">
        <f>I1608+J1608</f>
        <v/>
      </c>
    </row>
    <row r="1609">
      <c r="A1609">
        <f>A1608+1</f>
        <v/>
      </c>
      <c r="K1609">
        <f>I1609+J1609</f>
        <v/>
      </c>
    </row>
    <row r="1610">
      <c r="A1610">
        <f>A1609+1</f>
        <v/>
      </c>
      <c r="K1610">
        <f>I1610+J1610</f>
        <v/>
      </c>
    </row>
    <row r="1611">
      <c r="A1611">
        <f>A1610+1</f>
        <v/>
      </c>
      <c r="K1611">
        <f>I1611+J1611</f>
        <v/>
      </c>
    </row>
    <row r="1612">
      <c r="A1612">
        <f>A1611+1</f>
        <v/>
      </c>
      <c r="K1612">
        <f>I1612+J1612</f>
        <v/>
      </c>
    </row>
    <row r="1613">
      <c r="A1613">
        <f>A1612+1</f>
        <v/>
      </c>
      <c r="K1613">
        <f>I1613+J1613</f>
        <v/>
      </c>
    </row>
    <row r="1614">
      <c r="A1614">
        <f>A1613+1</f>
        <v/>
      </c>
      <c r="K1614">
        <f>I1614+J1614</f>
        <v/>
      </c>
    </row>
    <row r="1615">
      <c r="A1615">
        <f>A1614+1</f>
        <v/>
      </c>
      <c r="K1615">
        <f>I1615+J1615</f>
        <v/>
      </c>
    </row>
    <row r="1616">
      <c r="A1616">
        <f>A1615+1</f>
        <v/>
      </c>
      <c r="K1616">
        <f>I1616+J1616</f>
        <v/>
      </c>
    </row>
    <row r="1617">
      <c r="A1617">
        <f>A1616+1</f>
        <v/>
      </c>
      <c r="K1617">
        <f>I1617+J1617</f>
        <v/>
      </c>
    </row>
    <row r="1618">
      <c r="A1618">
        <f>A1617+1</f>
        <v/>
      </c>
      <c r="K1618">
        <f>I1618+J1618</f>
        <v/>
      </c>
    </row>
    <row r="1619">
      <c r="A1619">
        <f>A1618+1</f>
        <v/>
      </c>
      <c r="K1619">
        <f>I1619+J1619</f>
        <v/>
      </c>
    </row>
    <row r="1620">
      <c r="A1620">
        <f>A1619+1</f>
        <v/>
      </c>
      <c r="K1620">
        <f>I1620+J1620</f>
        <v/>
      </c>
    </row>
    <row r="1621">
      <c r="A1621">
        <f>A1620+1</f>
        <v/>
      </c>
      <c r="K1621">
        <f>I1621+J1621</f>
        <v/>
      </c>
    </row>
    <row r="1622">
      <c r="A1622">
        <f>A1621+1</f>
        <v/>
      </c>
      <c r="K1622">
        <f>I1622+J1622</f>
        <v/>
      </c>
    </row>
    <row r="1623">
      <c r="A1623">
        <f>A1622+1</f>
        <v/>
      </c>
      <c r="K1623">
        <f>I1623+J1623</f>
        <v/>
      </c>
    </row>
    <row r="1624">
      <c r="A1624">
        <f>A1623+1</f>
        <v/>
      </c>
      <c r="K1624">
        <f>I1624+J1624</f>
        <v/>
      </c>
    </row>
    <row r="1625">
      <c r="A1625">
        <f>A1624+1</f>
        <v/>
      </c>
      <c r="K1625">
        <f>I1625+J1625</f>
        <v/>
      </c>
    </row>
    <row r="1626">
      <c r="A1626">
        <f>A1625+1</f>
        <v/>
      </c>
      <c r="K1626">
        <f>I1626+J1626</f>
        <v/>
      </c>
    </row>
    <row r="1627">
      <c r="A1627">
        <f>A1626+1</f>
        <v/>
      </c>
      <c r="K1627">
        <f>I1627+J1627</f>
        <v/>
      </c>
    </row>
    <row r="1628">
      <c r="A1628">
        <f>A1627+1</f>
        <v/>
      </c>
      <c r="K1628">
        <f>I1628+J1628</f>
        <v/>
      </c>
    </row>
    <row r="1629">
      <c r="A1629">
        <f>A1628+1</f>
        <v/>
      </c>
      <c r="K1629">
        <f>I1629+J1629</f>
        <v/>
      </c>
    </row>
    <row r="1630">
      <c r="A1630">
        <f>A1629+1</f>
        <v/>
      </c>
      <c r="K1630">
        <f>I1630+J1630</f>
        <v/>
      </c>
    </row>
    <row r="1631">
      <c r="A1631">
        <f>A1630+1</f>
        <v/>
      </c>
      <c r="K1631">
        <f>I1631+J1631</f>
        <v/>
      </c>
    </row>
    <row r="1632">
      <c r="A1632">
        <f>A1631+1</f>
        <v/>
      </c>
      <c r="K1632">
        <f>I1632+J1632</f>
        <v/>
      </c>
    </row>
    <row r="1633">
      <c r="A1633">
        <f>A1632+1</f>
        <v/>
      </c>
      <c r="K1633">
        <f>I1633+J1633</f>
        <v/>
      </c>
    </row>
    <row r="1634">
      <c r="A1634">
        <f>A1633+1</f>
        <v/>
      </c>
      <c r="K1634">
        <f>I1634+J1634</f>
        <v/>
      </c>
    </row>
    <row r="1635">
      <c r="A1635">
        <f>A1634+1</f>
        <v/>
      </c>
      <c r="K1635">
        <f>I1635+J1635</f>
        <v/>
      </c>
    </row>
    <row r="1636">
      <c r="A1636">
        <f>A1635+1</f>
        <v/>
      </c>
      <c r="K1636">
        <f>I1636+J1636</f>
        <v/>
      </c>
    </row>
    <row r="1637">
      <c r="A1637">
        <f>A1636+1</f>
        <v/>
      </c>
      <c r="K1637">
        <f>I1637+J1637</f>
        <v/>
      </c>
    </row>
    <row r="1638">
      <c r="A1638">
        <f>A1637+1</f>
        <v/>
      </c>
      <c r="K1638">
        <f>I1638+J1638</f>
        <v/>
      </c>
    </row>
    <row r="1639">
      <c r="A1639">
        <f>A1638+1</f>
        <v/>
      </c>
      <c r="K1639">
        <f>I1639+J1639</f>
        <v/>
      </c>
    </row>
    <row r="1640">
      <c r="A1640">
        <f>A1639+1</f>
        <v/>
      </c>
      <c r="K1640">
        <f>I1640+J1640</f>
        <v/>
      </c>
    </row>
    <row r="1641">
      <c r="A1641">
        <f>A1640+1</f>
        <v/>
      </c>
      <c r="K1641">
        <f>I1641+J1641</f>
        <v/>
      </c>
    </row>
    <row r="1642">
      <c r="A1642">
        <f>A1641+1</f>
        <v/>
      </c>
      <c r="K1642">
        <f>I1642+J1642</f>
        <v/>
      </c>
    </row>
    <row r="1643">
      <c r="A1643">
        <f>A1642+1</f>
        <v/>
      </c>
      <c r="K1643">
        <f>I1643+J1643</f>
        <v/>
      </c>
    </row>
    <row r="1644">
      <c r="A1644">
        <f>A1643+1</f>
        <v/>
      </c>
      <c r="K1644">
        <f>I1644+J1644</f>
        <v/>
      </c>
    </row>
    <row r="1645">
      <c r="A1645">
        <f>A1644+1</f>
        <v/>
      </c>
      <c r="K1645">
        <f>I1645+J1645</f>
        <v/>
      </c>
    </row>
    <row r="1646">
      <c r="A1646">
        <f>A1645+1</f>
        <v/>
      </c>
      <c r="K1646">
        <f>I1646+J1646</f>
        <v/>
      </c>
    </row>
    <row r="1647">
      <c r="A1647">
        <f>A1646+1</f>
        <v/>
      </c>
      <c r="K1647">
        <f>I1647+J1647</f>
        <v/>
      </c>
    </row>
    <row r="1648">
      <c r="A1648">
        <f>A1647+1</f>
        <v/>
      </c>
      <c r="K1648">
        <f>I1648+J1648</f>
        <v/>
      </c>
    </row>
    <row r="1649">
      <c r="A1649">
        <f>A1648+1</f>
        <v/>
      </c>
      <c r="K1649">
        <f>I1649+J1649</f>
        <v/>
      </c>
    </row>
    <row r="1650">
      <c r="A1650">
        <f>A1649+1</f>
        <v/>
      </c>
      <c r="K1650">
        <f>I1650+J1650</f>
        <v/>
      </c>
    </row>
    <row r="1651">
      <c r="A1651">
        <f>A1650+1</f>
        <v/>
      </c>
      <c r="K1651">
        <f>I1651+J1651</f>
        <v/>
      </c>
    </row>
    <row r="1652">
      <c r="A1652">
        <f>A1651+1</f>
        <v/>
      </c>
      <c r="K1652">
        <f>I1652+J1652</f>
        <v/>
      </c>
    </row>
    <row r="1653">
      <c r="A1653">
        <f>A1652+1</f>
        <v/>
      </c>
      <c r="K1653">
        <f>I1653+J1653</f>
        <v/>
      </c>
    </row>
    <row r="1654">
      <c r="A1654">
        <f>A1653+1</f>
        <v/>
      </c>
      <c r="K1654">
        <f>I1654+J1654</f>
        <v/>
      </c>
    </row>
    <row r="1655">
      <c r="A1655">
        <f>A1654+1</f>
        <v/>
      </c>
      <c r="K1655">
        <f>I1655+J1655</f>
        <v/>
      </c>
    </row>
    <row r="1656">
      <c r="A1656">
        <f>A1655+1</f>
        <v/>
      </c>
      <c r="K1656">
        <f>I1656+J1656</f>
        <v/>
      </c>
    </row>
    <row r="1657">
      <c r="A1657">
        <f>A1656+1</f>
        <v/>
      </c>
      <c r="K1657">
        <f>I1657+J1657</f>
        <v/>
      </c>
    </row>
    <row r="1658">
      <c r="A1658">
        <f>A1657+1</f>
        <v/>
      </c>
      <c r="K1658">
        <f>I1658+J1658</f>
        <v/>
      </c>
    </row>
    <row r="1659">
      <c r="A1659">
        <f>A1658+1</f>
        <v/>
      </c>
      <c r="K1659">
        <f>I1659+J1659</f>
        <v/>
      </c>
    </row>
    <row r="1660">
      <c r="A1660">
        <f>A1659+1</f>
        <v/>
      </c>
      <c r="K1660">
        <f>I1660+J1660</f>
        <v/>
      </c>
    </row>
    <row r="1661">
      <c r="A1661">
        <f>A1660+1</f>
        <v/>
      </c>
      <c r="K1661">
        <f>I1661+J1661</f>
        <v/>
      </c>
    </row>
    <row r="1662">
      <c r="A1662">
        <f>A1661+1</f>
        <v/>
      </c>
      <c r="K1662">
        <f>I1662+J1662</f>
        <v/>
      </c>
    </row>
    <row r="1663">
      <c r="A1663">
        <f>A1662+1</f>
        <v/>
      </c>
      <c r="K1663">
        <f>I1663+J1663</f>
        <v/>
      </c>
    </row>
    <row r="1664">
      <c r="A1664">
        <f>A1663+1</f>
        <v/>
      </c>
      <c r="K1664">
        <f>I1664+J1664</f>
        <v/>
      </c>
    </row>
    <row r="1665">
      <c r="A1665">
        <f>A1664+1</f>
        <v/>
      </c>
      <c r="K1665">
        <f>I1665+J1665</f>
        <v/>
      </c>
    </row>
    <row r="1666">
      <c r="A1666">
        <f>A1665+1</f>
        <v/>
      </c>
      <c r="K1666">
        <f>I1666+J1666</f>
        <v/>
      </c>
    </row>
    <row r="1667">
      <c r="A1667">
        <f>A1666+1</f>
        <v/>
      </c>
      <c r="K1667">
        <f>I1667+J1667</f>
        <v/>
      </c>
    </row>
    <row r="1668">
      <c r="A1668">
        <f>A1667+1</f>
        <v/>
      </c>
      <c r="K1668">
        <f>I1668+J1668</f>
        <v/>
      </c>
    </row>
    <row r="1669">
      <c r="A1669">
        <f>A1668+1</f>
        <v/>
      </c>
      <c r="K1669">
        <f>I1669+J1669</f>
        <v/>
      </c>
    </row>
    <row r="1670">
      <c r="A1670">
        <f>A1669+1</f>
        <v/>
      </c>
      <c r="K1670">
        <f>I1670+J1670</f>
        <v/>
      </c>
    </row>
    <row r="1671">
      <c r="A1671">
        <f>A1670+1</f>
        <v/>
      </c>
      <c r="K1671">
        <f>I1671+J1671</f>
        <v/>
      </c>
    </row>
    <row r="1672">
      <c r="A1672">
        <f>A1671+1</f>
        <v/>
      </c>
      <c r="K1672">
        <f>I1672+J1672</f>
        <v/>
      </c>
    </row>
    <row r="1673">
      <c r="A1673">
        <f>A1672+1</f>
        <v/>
      </c>
      <c r="K1673">
        <f>I1673+J1673</f>
        <v/>
      </c>
    </row>
    <row r="1674">
      <c r="A1674">
        <f>A1673+1</f>
        <v/>
      </c>
      <c r="K1674">
        <f>I1674+J1674</f>
        <v/>
      </c>
    </row>
    <row r="1675">
      <c r="A1675">
        <f>A1674+1</f>
        <v/>
      </c>
      <c r="K1675">
        <f>I1675+J1675</f>
        <v/>
      </c>
    </row>
    <row r="1676">
      <c r="A1676">
        <f>A1675+1</f>
        <v/>
      </c>
      <c r="K1676">
        <f>I1676+J1676</f>
        <v/>
      </c>
    </row>
    <row r="1677">
      <c r="A1677">
        <f>A1676+1</f>
        <v/>
      </c>
      <c r="K1677">
        <f>I1677+J1677</f>
        <v/>
      </c>
    </row>
    <row r="1678">
      <c r="A1678">
        <f>A1677+1</f>
        <v/>
      </c>
      <c r="K1678">
        <f>I1678+J1678</f>
        <v/>
      </c>
    </row>
    <row r="1679">
      <c r="A1679">
        <f>A1678+1</f>
        <v/>
      </c>
      <c r="K1679">
        <f>I1679+J1679</f>
        <v/>
      </c>
    </row>
    <row r="1680">
      <c r="A1680">
        <f>A1679+1</f>
        <v/>
      </c>
      <c r="K1680">
        <f>I1680+J1680</f>
        <v/>
      </c>
    </row>
    <row r="1681">
      <c r="A1681">
        <f>A1680+1</f>
        <v/>
      </c>
      <c r="K1681">
        <f>I1681+J1681</f>
        <v/>
      </c>
    </row>
    <row r="1682">
      <c r="A1682">
        <f>A1681+1</f>
        <v/>
      </c>
      <c r="K1682">
        <f>I1682+J1682</f>
        <v/>
      </c>
    </row>
    <row r="1683">
      <c r="A1683">
        <f>A1682+1</f>
        <v/>
      </c>
      <c r="K1683">
        <f>I1683+J1683</f>
        <v/>
      </c>
    </row>
    <row r="1684">
      <c r="A1684">
        <f>A1683+1</f>
        <v/>
      </c>
      <c r="K1684">
        <f>I1684+J1684</f>
        <v/>
      </c>
    </row>
    <row r="1685">
      <c r="A1685">
        <f>A1684+1</f>
        <v/>
      </c>
      <c r="K1685">
        <f>I1685+J1685</f>
        <v/>
      </c>
    </row>
    <row r="1686">
      <c r="A1686">
        <f>A1685+1</f>
        <v/>
      </c>
      <c r="K1686">
        <f>I1686+J1686</f>
        <v/>
      </c>
    </row>
    <row r="1687">
      <c r="A1687">
        <f>A1686+1</f>
        <v/>
      </c>
      <c r="K1687">
        <f>I1687+J1687</f>
        <v/>
      </c>
    </row>
    <row r="1688">
      <c r="A1688">
        <f>A1687+1</f>
        <v/>
      </c>
      <c r="K1688">
        <f>I1688+J1688</f>
        <v/>
      </c>
    </row>
    <row r="1689">
      <c r="A1689">
        <f>A1688+1</f>
        <v/>
      </c>
      <c r="K1689">
        <f>I1689+J1689</f>
        <v/>
      </c>
    </row>
    <row r="1690">
      <c r="A1690">
        <f>A1689+1</f>
        <v/>
      </c>
      <c r="K1690">
        <f>I1690+J1690</f>
        <v/>
      </c>
    </row>
    <row r="1691">
      <c r="A1691">
        <f>A1690+1</f>
        <v/>
      </c>
      <c r="K1691">
        <f>I1691+J1691</f>
        <v/>
      </c>
    </row>
    <row r="1692">
      <c r="A1692">
        <f>A1691+1</f>
        <v/>
      </c>
      <c r="K1692">
        <f>I1692+J1692</f>
        <v/>
      </c>
    </row>
    <row r="1693">
      <c r="A1693">
        <f>A1692+1</f>
        <v/>
      </c>
      <c r="K1693">
        <f>I1693+J1693</f>
        <v/>
      </c>
    </row>
    <row r="1694">
      <c r="A1694">
        <f>A1693+1</f>
        <v/>
      </c>
      <c r="K1694">
        <f>I1694+J1694</f>
        <v/>
      </c>
    </row>
    <row r="1695">
      <c r="A1695">
        <f>A1694+1</f>
        <v/>
      </c>
      <c r="K1695">
        <f>I1695+J1695</f>
        <v/>
      </c>
    </row>
    <row r="1696">
      <c r="A1696">
        <f>A1695+1</f>
        <v/>
      </c>
      <c r="K1696">
        <f>I1696+J1696</f>
        <v/>
      </c>
    </row>
    <row r="1697">
      <c r="A1697">
        <f>A1696+1</f>
        <v/>
      </c>
      <c r="K1697">
        <f>I1697+J1697</f>
        <v/>
      </c>
    </row>
    <row r="1698">
      <c r="A1698">
        <f>A1697+1</f>
        <v/>
      </c>
      <c r="K1698">
        <f>I1698+J1698</f>
        <v/>
      </c>
    </row>
    <row r="1699">
      <c r="A1699">
        <f>A1698+1</f>
        <v/>
      </c>
      <c r="K1699">
        <f>I1699+J1699</f>
        <v/>
      </c>
    </row>
    <row r="1700">
      <c r="A1700">
        <f>A1699+1</f>
        <v/>
      </c>
      <c r="K1700">
        <f>I1700+J1700</f>
        <v/>
      </c>
    </row>
    <row r="1701">
      <c r="A1701">
        <f>A1700+1</f>
        <v/>
      </c>
      <c r="K1701">
        <f>I1701+J1701</f>
        <v/>
      </c>
    </row>
    <row r="1702">
      <c r="A1702">
        <f>A1701+1</f>
        <v/>
      </c>
      <c r="K1702">
        <f>I1702+J1702</f>
        <v/>
      </c>
    </row>
    <row r="1703">
      <c r="A1703">
        <f>A1702+1</f>
        <v/>
      </c>
      <c r="K1703">
        <f>I1703+J1703</f>
        <v/>
      </c>
    </row>
    <row r="1704">
      <c r="A1704">
        <f>A1703+1</f>
        <v/>
      </c>
      <c r="K1704">
        <f>I1704+J1704</f>
        <v/>
      </c>
    </row>
    <row r="1705">
      <c r="A1705">
        <f>A1704+1</f>
        <v/>
      </c>
      <c r="K1705">
        <f>I1705+J1705</f>
        <v/>
      </c>
    </row>
    <row r="1706">
      <c r="A1706">
        <f>A1705+1</f>
        <v/>
      </c>
      <c r="K1706">
        <f>I1706+J1706</f>
        <v/>
      </c>
    </row>
    <row r="1707">
      <c r="A1707">
        <f>A1706+1</f>
        <v/>
      </c>
      <c r="K1707">
        <f>I1707+J1707</f>
        <v/>
      </c>
    </row>
    <row r="1708">
      <c r="A1708">
        <f>A1707+1</f>
        <v/>
      </c>
      <c r="K1708">
        <f>I1708+J1708</f>
        <v/>
      </c>
    </row>
    <row r="1709">
      <c r="A1709">
        <f>A1708+1</f>
        <v/>
      </c>
      <c r="K1709">
        <f>I1709+J1709</f>
        <v/>
      </c>
    </row>
    <row r="1710">
      <c r="A1710">
        <f>A1709+1</f>
        <v/>
      </c>
      <c r="K1710">
        <f>I1710+J1710</f>
        <v/>
      </c>
    </row>
    <row r="1711">
      <c r="A1711">
        <f>A1710+1</f>
        <v/>
      </c>
      <c r="K1711">
        <f>I1711+J1711</f>
        <v/>
      </c>
    </row>
    <row r="1712">
      <c r="A1712">
        <f>A1711+1</f>
        <v/>
      </c>
      <c r="K1712">
        <f>I1712+J1712</f>
        <v/>
      </c>
    </row>
    <row r="1713">
      <c r="A1713">
        <f>A1712+1</f>
        <v/>
      </c>
      <c r="K1713">
        <f>I1713+J1713</f>
        <v/>
      </c>
    </row>
    <row r="1714">
      <c r="A1714">
        <f>A1713+1</f>
        <v/>
      </c>
      <c r="K1714">
        <f>I1714+J1714</f>
        <v/>
      </c>
    </row>
    <row r="1715">
      <c r="A1715">
        <f>A1714+1</f>
        <v/>
      </c>
      <c r="K1715">
        <f>I1715+J1715</f>
        <v/>
      </c>
    </row>
    <row r="1716">
      <c r="A1716">
        <f>A1715+1</f>
        <v/>
      </c>
      <c r="K1716">
        <f>I1716+J1716</f>
        <v/>
      </c>
    </row>
    <row r="1717">
      <c r="A1717">
        <f>A1716+1</f>
        <v/>
      </c>
      <c r="K1717">
        <f>I1717+J1717</f>
        <v/>
      </c>
    </row>
    <row r="1718">
      <c r="A1718">
        <f>A1717+1</f>
        <v/>
      </c>
      <c r="K1718">
        <f>I1718+J1718</f>
        <v/>
      </c>
    </row>
    <row r="1719">
      <c r="A1719">
        <f>A1718+1</f>
        <v/>
      </c>
      <c r="K1719">
        <f>I1719+J1719</f>
        <v/>
      </c>
    </row>
    <row r="1720">
      <c r="A1720">
        <f>A1719+1</f>
        <v/>
      </c>
      <c r="K1720">
        <f>I1720+J1720</f>
        <v/>
      </c>
    </row>
    <row r="1721">
      <c r="A1721">
        <f>A1720+1</f>
        <v/>
      </c>
      <c r="K1721">
        <f>I1721+J1721</f>
        <v/>
      </c>
    </row>
    <row r="1722">
      <c r="A1722">
        <f>A1721+1</f>
        <v/>
      </c>
      <c r="K1722">
        <f>I1722+J1722</f>
        <v/>
      </c>
    </row>
    <row r="1723">
      <c r="A1723">
        <f>A1722+1</f>
        <v/>
      </c>
      <c r="K1723">
        <f>I1723+J1723</f>
        <v/>
      </c>
    </row>
    <row r="1724">
      <c r="A1724">
        <f>A1723+1</f>
        <v/>
      </c>
      <c r="K1724">
        <f>I1724+J1724</f>
        <v/>
      </c>
    </row>
    <row r="1725">
      <c r="A1725">
        <f>A1724+1</f>
        <v/>
      </c>
      <c r="K1725">
        <f>I1725+J1725</f>
        <v/>
      </c>
    </row>
    <row r="1726">
      <c r="A1726">
        <f>A1725+1</f>
        <v/>
      </c>
      <c r="K1726">
        <f>I1726+J1726</f>
        <v/>
      </c>
    </row>
    <row r="1727">
      <c r="A1727">
        <f>A1726+1</f>
        <v/>
      </c>
      <c r="K1727">
        <f>I1727+J1727</f>
        <v/>
      </c>
    </row>
    <row r="1728">
      <c r="A1728">
        <f>A1727+1</f>
        <v/>
      </c>
      <c r="K1728">
        <f>I1728+J1728</f>
        <v/>
      </c>
    </row>
    <row r="1729">
      <c r="A1729">
        <f>A1728+1</f>
        <v/>
      </c>
      <c r="K1729">
        <f>I1729+J1729</f>
        <v/>
      </c>
    </row>
    <row r="1730">
      <c r="A1730">
        <f>A1729+1</f>
        <v/>
      </c>
      <c r="K1730">
        <f>I1730+J1730</f>
        <v/>
      </c>
    </row>
    <row r="1731">
      <c r="A1731">
        <f>A1730+1</f>
        <v/>
      </c>
      <c r="K1731">
        <f>I1731+J1731</f>
        <v/>
      </c>
    </row>
    <row r="1732">
      <c r="A1732">
        <f>A1731+1</f>
        <v/>
      </c>
      <c r="K1732">
        <f>I1732+J1732</f>
        <v/>
      </c>
    </row>
    <row r="1733">
      <c r="A1733">
        <f>A1732+1</f>
        <v/>
      </c>
      <c r="K1733">
        <f>I1733+J1733</f>
        <v/>
      </c>
    </row>
    <row r="1734">
      <c r="A1734">
        <f>A1733+1</f>
        <v/>
      </c>
      <c r="K1734">
        <f>I1734+J1734</f>
        <v/>
      </c>
    </row>
    <row r="1735">
      <c r="A1735">
        <f>A1734+1</f>
        <v/>
      </c>
      <c r="K1735">
        <f>I1735+J1735</f>
        <v/>
      </c>
    </row>
    <row r="1736">
      <c r="A1736">
        <f>A1735+1</f>
        <v/>
      </c>
      <c r="K1736">
        <f>I1736+J1736</f>
        <v/>
      </c>
    </row>
    <row r="1737">
      <c r="A1737">
        <f>A1736+1</f>
        <v/>
      </c>
      <c r="K1737">
        <f>I1737+J1737</f>
        <v/>
      </c>
    </row>
    <row r="1738">
      <c r="A1738">
        <f>A1737+1</f>
        <v/>
      </c>
      <c r="K1738">
        <f>I1738+J1738</f>
        <v/>
      </c>
    </row>
    <row r="1739">
      <c r="A1739">
        <f>A1738+1</f>
        <v/>
      </c>
      <c r="K1739">
        <f>I1739+J1739</f>
        <v/>
      </c>
    </row>
    <row r="1740">
      <c r="A1740">
        <f>A1739+1</f>
        <v/>
      </c>
      <c r="K1740">
        <f>I1740+J1740</f>
        <v/>
      </c>
    </row>
    <row r="1741">
      <c r="A1741">
        <f>A1740+1</f>
        <v/>
      </c>
      <c r="K1741">
        <f>I1741+J1741</f>
        <v/>
      </c>
    </row>
    <row r="1742">
      <c r="A1742">
        <f>A1741+1</f>
        <v/>
      </c>
      <c r="K1742">
        <f>I1742+J1742</f>
        <v/>
      </c>
    </row>
    <row r="1743">
      <c r="A1743">
        <f>A1742+1</f>
        <v/>
      </c>
      <c r="K1743">
        <f>I1743+J1743</f>
        <v/>
      </c>
    </row>
    <row r="1744">
      <c r="A1744">
        <f>A1743+1</f>
        <v/>
      </c>
      <c r="K1744">
        <f>I1744+J1744</f>
        <v/>
      </c>
    </row>
    <row r="1745">
      <c r="A1745">
        <f>A1744+1</f>
        <v/>
      </c>
      <c r="K1745">
        <f>I1745+J1745</f>
        <v/>
      </c>
    </row>
    <row r="1746">
      <c r="A1746">
        <f>A1745+1</f>
        <v/>
      </c>
      <c r="K1746">
        <f>I1746+J1746</f>
        <v/>
      </c>
    </row>
    <row r="1747">
      <c r="A1747">
        <f>A1746+1</f>
        <v/>
      </c>
      <c r="K1747">
        <f>I1747+J1747</f>
        <v/>
      </c>
    </row>
    <row r="1748">
      <c r="A1748">
        <f>A1747+1</f>
        <v/>
      </c>
      <c r="K1748">
        <f>I1748+J1748</f>
        <v/>
      </c>
    </row>
    <row r="1749">
      <c r="A1749">
        <f>A1748+1</f>
        <v/>
      </c>
      <c r="K1749">
        <f>I1749+J1749</f>
        <v/>
      </c>
    </row>
    <row r="1750">
      <c r="A1750">
        <f>A1749+1</f>
        <v/>
      </c>
      <c r="K1750">
        <f>I1750+J1750</f>
        <v/>
      </c>
    </row>
    <row r="1751">
      <c r="A1751">
        <f>A1750+1</f>
        <v/>
      </c>
      <c r="K1751">
        <f>I1751+J1751</f>
        <v/>
      </c>
    </row>
    <row r="1752">
      <c r="A1752">
        <f>A1751+1</f>
        <v/>
      </c>
      <c r="K1752">
        <f>I1752+J1752</f>
        <v/>
      </c>
    </row>
    <row r="1753">
      <c r="A1753">
        <f>A1752+1</f>
        <v/>
      </c>
      <c r="K1753">
        <f>I1753+J1753</f>
        <v/>
      </c>
    </row>
    <row r="1754">
      <c r="A1754">
        <f>A1753+1</f>
        <v/>
      </c>
      <c r="K1754">
        <f>I1754+J1754</f>
        <v/>
      </c>
    </row>
    <row r="1755">
      <c r="A1755">
        <f>A1754+1</f>
        <v/>
      </c>
      <c r="K1755">
        <f>I1755+J1755</f>
        <v/>
      </c>
    </row>
    <row r="1756">
      <c r="A1756">
        <f>A1755+1</f>
        <v/>
      </c>
      <c r="K1756">
        <f>I1756+J1756</f>
        <v/>
      </c>
    </row>
    <row r="1757">
      <c r="A1757">
        <f>A1756+1</f>
        <v/>
      </c>
      <c r="K1757">
        <f>I1757+J1757</f>
        <v/>
      </c>
    </row>
    <row r="1758">
      <c r="A1758">
        <f>A1757+1</f>
        <v/>
      </c>
      <c r="K1758">
        <f>I1758+J1758</f>
        <v/>
      </c>
    </row>
    <row r="1759">
      <c r="A1759">
        <f>A1758+1</f>
        <v/>
      </c>
      <c r="K1759">
        <f>I1759+J1759</f>
        <v/>
      </c>
    </row>
    <row r="1760">
      <c r="A1760">
        <f>A1759+1</f>
        <v/>
      </c>
      <c r="K1760">
        <f>I1760+J1760</f>
        <v/>
      </c>
    </row>
    <row r="1761">
      <c r="A1761">
        <f>A1760+1</f>
        <v/>
      </c>
      <c r="K1761">
        <f>I1761+J1761</f>
        <v/>
      </c>
    </row>
    <row r="1762">
      <c r="A1762">
        <f>A1761+1</f>
        <v/>
      </c>
      <c r="K1762">
        <f>I1762+J1762</f>
        <v/>
      </c>
    </row>
    <row r="1763">
      <c r="A1763">
        <f>A1762+1</f>
        <v/>
      </c>
      <c r="K1763">
        <f>I1763+J1763</f>
        <v/>
      </c>
    </row>
    <row r="1764">
      <c r="A1764">
        <f>A1763+1</f>
        <v/>
      </c>
      <c r="K1764">
        <f>I1764+J1764</f>
        <v/>
      </c>
    </row>
    <row r="1765">
      <c r="A1765">
        <f>A1764+1</f>
        <v/>
      </c>
      <c r="K1765">
        <f>I1765+J1765</f>
        <v/>
      </c>
    </row>
    <row r="1766">
      <c r="A1766">
        <f>A1765+1</f>
        <v/>
      </c>
      <c r="K1766">
        <f>I1766+J1766</f>
        <v/>
      </c>
    </row>
    <row r="1767">
      <c r="A1767">
        <f>A1766+1</f>
        <v/>
      </c>
      <c r="K1767">
        <f>I1767+J1767</f>
        <v/>
      </c>
    </row>
    <row r="1768">
      <c r="A1768">
        <f>A1767+1</f>
        <v/>
      </c>
      <c r="K1768">
        <f>I1768+J1768</f>
        <v/>
      </c>
    </row>
    <row r="1769">
      <c r="A1769">
        <f>A1768+1</f>
        <v/>
      </c>
      <c r="K1769">
        <f>I1769+J1769</f>
        <v/>
      </c>
    </row>
    <row r="1770">
      <c r="A1770">
        <f>A1769+1</f>
        <v/>
      </c>
      <c r="K1770">
        <f>I1770+J1770</f>
        <v/>
      </c>
    </row>
    <row r="1771">
      <c r="A1771">
        <f>A1770+1</f>
        <v/>
      </c>
      <c r="K1771">
        <f>I1771+J1771</f>
        <v/>
      </c>
    </row>
    <row r="1772">
      <c r="A1772">
        <f>A1771+1</f>
        <v/>
      </c>
      <c r="K1772">
        <f>I1772+J1772</f>
        <v/>
      </c>
    </row>
    <row r="1773">
      <c r="A1773">
        <f>A1772+1</f>
        <v/>
      </c>
      <c r="K1773">
        <f>I1773+J1773</f>
        <v/>
      </c>
    </row>
    <row r="1774">
      <c r="A1774">
        <f>A1773+1</f>
        <v/>
      </c>
      <c r="K1774">
        <f>I1774+J1774</f>
        <v/>
      </c>
    </row>
    <row r="1775">
      <c r="A1775">
        <f>A1774+1</f>
        <v/>
      </c>
      <c r="K1775">
        <f>I1775+J1775</f>
        <v/>
      </c>
    </row>
    <row r="1776">
      <c r="A1776">
        <f>A1775+1</f>
        <v/>
      </c>
      <c r="K1776">
        <f>I1776+J1776</f>
        <v/>
      </c>
    </row>
    <row r="1777">
      <c r="A1777">
        <f>A1776+1</f>
        <v/>
      </c>
      <c r="K1777">
        <f>I1777+J1777</f>
        <v/>
      </c>
    </row>
    <row r="1778">
      <c r="A1778">
        <f>A1777+1</f>
        <v/>
      </c>
      <c r="K1778">
        <f>I1778+J1778</f>
        <v/>
      </c>
    </row>
    <row r="1779">
      <c r="A1779">
        <f>A1778+1</f>
        <v/>
      </c>
      <c r="K1779">
        <f>I1779+J1779</f>
        <v/>
      </c>
    </row>
    <row r="1780">
      <c r="A1780">
        <f>A1779+1</f>
        <v/>
      </c>
      <c r="K1780">
        <f>I1780+J1780</f>
        <v/>
      </c>
    </row>
    <row r="1781">
      <c r="A1781">
        <f>A1780+1</f>
        <v/>
      </c>
      <c r="K1781">
        <f>I1781+J1781</f>
        <v/>
      </c>
    </row>
    <row r="1782">
      <c r="A1782">
        <f>A1781+1</f>
        <v/>
      </c>
      <c r="K1782">
        <f>I1782+J1782</f>
        <v/>
      </c>
    </row>
    <row r="1783">
      <c r="A1783">
        <f>A1782+1</f>
        <v/>
      </c>
      <c r="K1783">
        <f>I1783+J1783</f>
        <v/>
      </c>
    </row>
    <row r="1784">
      <c r="A1784">
        <f>A1783+1</f>
        <v/>
      </c>
      <c r="K1784">
        <f>I1784+J1784</f>
        <v/>
      </c>
    </row>
    <row r="1785">
      <c r="A1785">
        <f>A1784+1</f>
        <v/>
      </c>
      <c r="K1785">
        <f>I1785+J1785</f>
        <v/>
      </c>
    </row>
    <row r="1786">
      <c r="A1786">
        <f>A1785+1</f>
        <v/>
      </c>
      <c r="K1786">
        <f>I1786+J1786</f>
        <v/>
      </c>
    </row>
    <row r="1787">
      <c r="A1787">
        <f>A1786+1</f>
        <v/>
      </c>
      <c r="K1787">
        <f>I1787+J1787</f>
        <v/>
      </c>
    </row>
    <row r="1788">
      <c r="A1788">
        <f>A1787+1</f>
        <v/>
      </c>
      <c r="K1788">
        <f>I1788+J1788</f>
        <v/>
      </c>
    </row>
    <row r="1789">
      <c r="A1789">
        <f>A1788+1</f>
        <v/>
      </c>
      <c r="K1789">
        <f>I1789+J1789</f>
        <v/>
      </c>
    </row>
    <row r="1790">
      <c r="A1790">
        <f>A1789+1</f>
        <v/>
      </c>
      <c r="K1790">
        <f>I1790+J1790</f>
        <v/>
      </c>
    </row>
    <row r="1791">
      <c r="A1791">
        <f>A1790+1</f>
        <v/>
      </c>
      <c r="K1791">
        <f>I1791+J1791</f>
        <v/>
      </c>
    </row>
    <row r="1792">
      <c r="A1792">
        <f>A1791+1</f>
        <v/>
      </c>
      <c r="K1792">
        <f>I1792+J1792</f>
        <v/>
      </c>
    </row>
    <row r="1793">
      <c r="A1793">
        <f>A1792+1</f>
        <v/>
      </c>
      <c r="K1793">
        <f>I1793+J1793</f>
        <v/>
      </c>
    </row>
    <row r="1794">
      <c r="A1794">
        <f>A1793+1</f>
        <v/>
      </c>
      <c r="K1794">
        <f>I1794+J1794</f>
        <v/>
      </c>
    </row>
    <row r="1795">
      <c r="A1795">
        <f>A1794+1</f>
        <v/>
      </c>
      <c r="K1795">
        <f>I1795+J1795</f>
        <v/>
      </c>
    </row>
    <row r="1796">
      <c r="A1796">
        <f>A1795+1</f>
        <v/>
      </c>
      <c r="K1796">
        <f>I1796+J1796</f>
        <v/>
      </c>
    </row>
    <row r="1797">
      <c r="A1797">
        <f>A1796+1</f>
        <v/>
      </c>
      <c r="K1797">
        <f>I1797+J1797</f>
        <v/>
      </c>
    </row>
    <row r="1798">
      <c r="A1798">
        <f>A1797+1</f>
        <v/>
      </c>
      <c r="K1798">
        <f>I1798+J1798</f>
        <v/>
      </c>
    </row>
    <row r="1799">
      <c r="A1799">
        <f>A1798+1</f>
        <v/>
      </c>
      <c r="K1799">
        <f>I1799+J1799</f>
        <v/>
      </c>
    </row>
    <row r="1800">
      <c r="A1800">
        <f>A1799+1</f>
        <v/>
      </c>
      <c r="K1800">
        <f>I1800+J1800</f>
        <v/>
      </c>
    </row>
    <row r="1801">
      <c r="A1801">
        <f>A1800+1</f>
        <v/>
      </c>
      <c r="K1801">
        <f>I1801+J1801</f>
        <v/>
      </c>
    </row>
    <row r="1802">
      <c r="A1802">
        <f>A1801+1</f>
        <v/>
      </c>
      <c r="K1802">
        <f>I1802+J1802</f>
        <v/>
      </c>
    </row>
    <row r="1803">
      <c r="A1803">
        <f>A1802+1</f>
        <v/>
      </c>
      <c r="K1803">
        <f>I1803+J1803</f>
        <v/>
      </c>
    </row>
    <row r="1804">
      <c r="A1804">
        <f>A1803+1</f>
        <v/>
      </c>
      <c r="K1804">
        <f>I1804+J1804</f>
        <v/>
      </c>
    </row>
    <row r="1805">
      <c r="A1805">
        <f>A1804+1</f>
        <v/>
      </c>
      <c r="K1805">
        <f>I1805+J1805</f>
        <v/>
      </c>
    </row>
    <row r="1806">
      <c r="A1806">
        <f>A1805+1</f>
        <v/>
      </c>
      <c r="K1806">
        <f>I1806+J1806</f>
        <v/>
      </c>
    </row>
    <row r="1807">
      <c r="A1807">
        <f>A1806+1</f>
        <v/>
      </c>
      <c r="K1807">
        <f>I1807+J1807</f>
        <v/>
      </c>
    </row>
    <row r="1808">
      <c r="A1808">
        <f>A1807+1</f>
        <v/>
      </c>
      <c r="K1808">
        <f>I1808+J1808</f>
        <v/>
      </c>
    </row>
    <row r="1809">
      <c r="A1809">
        <f>A1808+1</f>
        <v/>
      </c>
      <c r="K1809">
        <f>I1809+J1809</f>
        <v/>
      </c>
    </row>
    <row r="1810">
      <c r="A1810">
        <f>A1809+1</f>
        <v/>
      </c>
      <c r="K1810">
        <f>I1810+J1810</f>
        <v/>
      </c>
    </row>
    <row r="1811">
      <c r="A1811">
        <f>A1810+1</f>
        <v/>
      </c>
      <c r="K1811">
        <f>I1811+J1811</f>
        <v/>
      </c>
    </row>
    <row r="1812">
      <c r="A1812">
        <f>A1811+1</f>
        <v/>
      </c>
      <c r="K1812">
        <f>I1812+J1812</f>
        <v/>
      </c>
    </row>
    <row r="1813">
      <c r="A1813">
        <f>A1812+1</f>
        <v/>
      </c>
      <c r="K1813">
        <f>I1813+J1813</f>
        <v/>
      </c>
    </row>
    <row r="1814">
      <c r="A1814">
        <f>A1813+1</f>
        <v/>
      </c>
      <c r="K1814">
        <f>I1814+J1814</f>
        <v/>
      </c>
    </row>
    <row r="1815">
      <c r="A1815">
        <f>A1814+1</f>
        <v/>
      </c>
      <c r="K1815">
        <f>I1815+J1815</f>
        <v/>
      </c>
    </row>
    <row r="1816">
      <c r="A1816">
        <f>A1815+1</f>
        <v/>
      </c>
      <c r="K1816">
        <f>I1816+J1816</f>
        <v/>
      </c>
    </row>
    <row r="1817">
      <c r="A1817">
        <f>A1816+1</f>
        <v/>
      </c>
      <c r="K1817">
        <f>I1817+J1817</f>
        <v/>
      </c>
    </row>
    <row r="1818">
      <c r="A1818">
        <f>A1817+1</f>
        <v/>
      </c>
      <c r="K1818">
        <f>I1818+J1818</f>
        <v/>
      </c>
    </row>
    <row r="1819">
      <c r="A1819">
        <f>A1818+1</f>
        <v/>
      </c>
      <c r="K1819">
        <f>I1819+J1819</f>
        <v/>
      </c>
    </row>
    <row r="1820">
      <c r="A1820">
        <f>A1819+1</f>
        <v/>
      </c>
      <c r="K1820">
        <f>I1820+J1820</f>
        <v/>
      </c>
    </row>
    <row r="1821">
      <c r="A1821">
        <f>A1820+1</f>
        <v/>
      </c>
      <c r="K1821">
        <f>I1821+J1821</f>
        <v/>
      </c>
    </row>
    <row r="1822">
      <c r="A1822">
        <f>A1821+1</f>
        <v/>
      </c>
      <c r="K1822">
        <f>I1822+J1822</f>
        <v/>
      </c>
    </row>
    <row r="1823">
      <c r="A1823">
        <f>A1822+1</f>
        <v/>
      </c>
      <c r="K1823">
        <f>I1823+J1823</f>
        <v/>
      </c>
    </row>
    <row r="1824">
      <c r="A1824">
        <f>A1823+1</f>
        <v/>
      </c>
      <c r="K1824">
        <f>I1824+J1824</f>
        <v/>
      </c>
    </row>
    <row r="1825">
      <c r="A1825">
        <f>A1824+1</f>
        <v/>
      </c>
      <c r="K1825">
        <f>I1825+J1825</f>
        <v/>
      </c>
    </row>
    <row r="1826">
      <c r="A1826">
        <f>A1825+1</f>
        <v/>
      </c>
      <c r="K1826">
        <f>I1826+J1826</f>
        <v/>
      </c>
    </row>
    <row r="1827">
      <c r="A1827">
        <f>A1826+1</f>
        <v/>
      </c>
      <c r="K1827">
        <f>I1827+J1827</f>
        <v/>
      </c>
    </row>
    <row r="1828">
      <c r="A1828">
        <f>A1827+1</f>
        <v/>
      </c>
      <c r="K1828">
        <f>I1828+J1828</f>
        <v/>
      </c>
    </row>
    <row r="1829">
      <c r="A1829">
        <f>A1828+1</f>
        <v/>
      </c>
      <c r="K1829">
        <f>I1829+J1829</f>
        <v/>
      </c>
    </row>
    <row r="1830">
      <c r="A1830">
        <f>A1829+1</f>
        <v/>
      </c>
      <c r="K1830">
        <f>I1830+J1830</f>
        <v/>
      </c>
    </row>
    <row r="1831">
      <c r="A1831">
        <f>A1830+1</f>
        <v/>
      </c>
      <c r="K1831">
        <f>I1831+J1831</f>
        <v/>
      </c>
    </row>
    <row r="1832">
      <c r="A1832">
        <f>A1831+1</f>
        <v/>
      </c>
      <c r="K1832">
        <f>I1832+J1832</f>
        <v/>
      </c>
    </row>
    <row r="1833">
      <c r="A1833">
        <f>A1832+1</f>
        <v/>
      </c>
      <c r="K1833">
        <f>I1833+J1833</f>
        <v/>
      </c>
    </row>
    <row r="1834">
      <c r="A1834">
        <f>A1833+1</f>
        <v/>
      </c>
      <c r="K1834">
        <f>I1834+J1834</f>
        <v/>
      </c>
    </row>
    <row r="1835">
      <c r="A1835">
        <f>A1834+1</f>
        <v/>
      </c>
      <c r="K1835">
        <f>I1835+J1835</f>
        <v/>
      </c>
    </row>
    <row r="1836">
      <c r="A1836">
        <f>A1835+1</f>
        <v/>
      </c>
      <c r="K1836">
        <f>I1836+J1836</f>
        <v/>
      </c>
    </row>
    <row r="1837">
      <c r="A1837">
        <f>A1836+1</f>
        <v/>
      </c>
      <c r="K1837">
        <f>I1837+J1837</f>
        <v/>
      </c>
    </row>
    <row r="1838">
      <c r="A1838">
        <f>A1837+1</f>
        <v/>
      </c>
      <c r="K1838">
        <f>I1838+J1838</f>
        <v/>
      </c>
    </row>
    <row r="1839">
      <c r="A1839">
        <f>A1838+1</f>
        <v/>
      </c>
      <c r="K1839">
        <f>I1839+J1839</f>
        <v/>
      </c>
    </row>
    <row r="1840">
      <c r="A1840">
        <f>A1839+1</f>
        <v/>
      </c>
      <c r="K1840">
        <f>I1840+J1840</f>
        <v/>
      </c>
    </row>
    <row r="1841">
      <c r="A1841">
        <f>A1840+1</f>
        <v/>
      </c>
      <c r="K1841">
        <f>I1841+J1841</f>
        <v/>
      </c>
    </row>
    <row r="1842">
      <c r="A1842">
        <f>A1841+1</f>
        <v/>
      </c>
      <c r="K1842">
        <f>I1842+J1842</f>
        <v/>
      </c>
    </row>
    <row r="1843">
      <c r="A1843">
        <f>A1842+1</f>
        <v/>
      </c>
      <c r="K1843">
        <f>I1843+J1843</f>
        <v/>
      </c>
    </row>
    <row r="1844">
      <c r="A1844">
        <f>A1843+1</f>
        <v/>
      </c>
      <c r="K1844">
        <f>I1844+J1844</f>
        <v/>
      </c>
    </row>
    <row r="1845">
      <c r="A1845">
        <f>A1844+1</f>
        <v/>
      </c>
      <c r="K1845">
        <f>I1845+J1845</f>
        <v/>
      </c>
    </row>
    <row r="1846">
      <c r="A1846">
        <f>A1845+1</f>
        <v/>
      </c>
      <c r="K1846">
        <f>I1846+J1846</f>
        <v/>
      </c>
    </row>
    <row r="1847">
      <c r="A1847">
        <f>A1846+1</f>
        <v/>
      </c>
      <c r="K1847">
        <f>I1847+J1847</f>
        <v/>
      </c>
    </row>
    <row r="1848">
      <c r="A1848">
        <f>A1847+1</f>
        <v/>
      </c>
      <c r="K1848">
        <f>I1848+J1848</f>
        <v/>
      </c>
    </row>
    <row r="1849">
      <c r="A1849">
        <f>A1848+1</f>
        <v/>
      </c>
      <c r="K1849">
        <f>I1849+J1849</f>
        <v/>
      </c>
    </row>
    <row r="1850">
      <c r="A1850">
        <f>A1849+1</f>
        <v/>
      </c>
      <c r="K1850">
        <f>I1850+J1850</f>
        <v/>
      </c>
    </row>
    <row r="1851">
      <c r="A1851">
        <f>A1850+1</f>
        <v/>
      </c>
      <c r="K1851">
        <f>I1851+J1851</f>
        <v/>
      </c>
    </row>
    <row r="1852">
      <c r="A1852">
        <f>A1851+1</f>
        <v/>
      </c>
      <c r="K1852">
        <f>I1852+J1852</f>
        <v/>
      </c>
    </row>
    <row r="1853">
      <c r="A1853">
        <f>A1852+1</f>
        <v/>
      </c>
      <c r="K1853">
        <f>I1853+J1853</f>
        <v/>
      </c>
    </row>
    <row r="1854">
      <c r="A1854">
        <f>A1853+1</f>
        <v/>
      </c>
      <c r="K1854">
        <f>I1854+J1854</f>
        <v/>
      </c>
    </row>
    <row r="1855">
      <c r="A1855">
        <f>A1854+1</f>
        <v/>
      </c>
      <c r="K1855">
        <f>I1855+J1855</f>
        <v/>
      </c>
    </row>
    <row r="1856">
      <c r="A1856">
        <f>A1855+1</f>
        <v/>
      </c>
      <c r="K1856">
        <f>I1856+J1856</f>
        <v/>
      </c>
    </row>
    <row r="1857">
      <c r="A1857">
        <f>A1856+1</f>
        <v/>
      </c>
      <c r="K1857">
        <f>I1857+J1857</f>
        <v/>
      </c>
    </row>
    <row r="1858">
      <c r="A1858">
        <f>A1857+1</f>
        <v/>
      </c>
      <c r="K1858">
        <f>I1858+J1858</f>
        <v/>
      </c>
    </row>
    <row r="1859">
      <c r="A1859">
        <f>A1858+1</f>
        <v/>
      </c>
      <c r="K1859">
        <f>I1859+J1859</f>
        <v/>
      </c>
    </row>
    <row r="1860">
      <c r="A1860">
        <f>A1859+1</f>
        <v/>
      </c>
      <c r="K1860">
        <f>I1860+J1860</f>
        <v/>
      </c>
    </row>
    <row r="1861">
      <c r="A1861">
        <f>A1860+1</f>
        <v/>
      </c>
      <c r="K1861">
        <f>I1861+J1861</f>
        <v/>
      </c>
    </row>
    <row r="1862">
      <c r="A1862">
        <f>A1861+1</f>
        <v/>
      </c>
      <c r="K1862">
        <f>I1862+J1862</f>
        <v/>
      </c>
    </row>
    <row r="1863">
      <c r="A1863">
        <f>A1862+1</f>
        <v/>
      </c>
      <c r="K1863">
        <f>I1863+J1863</f>
        <v/>
      </c>
    </row>
    <row r="1864">
      <c r="A1864">
        <f>A1863+1</f>
        <v/>
      </c>
      <c r="K1864">
        <f>I1864+J1864</f>
        <v/>
      </c>
    </row>
    <row r="1865">
      <c r="A1865">
        <f>A1864+1</f>
        <v/>
      </c>
      <c r="K1865">
        <f>I1865+J1865</f>
        <v/>
      </c>
    </row>
    <row r="1866">
      <c r="A1866">
        <f>A1865+1</f>
        <v/>
      </c>
      <c r="K1866">
        <f>I1866+J1866</f>
        <v/>
      </c>
    </row>
    <row r="1867">
      <c r="A1867">
        <f>A1866+1</f>
        <v/>
      </c>
      <c r="K1867">
        <f>I1867+J1867</f>
        <v/>
      </c>
    </row>
    <row r="1868">
      <c r="A1868">
        <f>A1867+1</f>
        <v/>
      </c>
      <c r="K1868">
        <f>I1868+J1868</f>
        <v/>
      </c>
    </row>
    <row r="1869">
      <c r="A1869">
        <f>A1868+1</f>
        <v/>
      </c>
      <c r="K1869">
        <f>I1869+J1869</f>
        <v/>
      </c>
    </row>
    <row r="1870">
      <c r="A1870">
        <f>A1869+1</f>
        <v/>
      </c>
      <c r="K1870">
        <f>I1870+J1870</f>
        <v/>
      </c>
    </row>
    <row r="1871">
      <c r="A1871">
        <f>A1870+1</f>
        <v/>
      </c>
      <c r="K1871">
        <f>I1871+J1871</f>
        <v/>
      </c>
    </row>
    <row r="1872">
      <c r="A1872">
        <f>A1871+1</f>
        <v/>
      </c>
      <c r="K1872">
        <f>I1872+J1872</f>
        <v/>
      </c>
    </row>
    <row r="1873">
      <c r="A1873">
        <f>A1872+1</f>
        <v/>
      </c>
      <c r="K1873">
        <f>I1873+J1873</f>
        <v/>
      </c>
    </row>
    <row r="1874">
      <c r="A1874">
        <f>A1873+1</f>
        <v/>
      </c>
      <c r="K1874">
        <f>I1874+J1874</f>
        <v/>
      </c>
    </row>
    <row r="1875">
      <c r="A1875">
        <f>A1874+1</f>
        <v/>
      </c>
      <c r="K1875">
        <f>I1875+J1875</f>
        <v/>
      </c>
    </row>
    <row r="1876">
      <c r="A1876">
        <f>A1875+1</f>
        <v/>
      </c>
      <c r="K1876">
        <f>I1876+J1876</f>
        <v/>
      </c>
    </row>
    <row r="1877">
      <c r="A1877">
        <f>A1876+1</f>
        <v/>
      </c>
      <c r="K1877">
        <f>I1877+J1877</f>
        <v/>
      </c>
    </row>
    <row r="1878">
      <c r="A1878">
        <f>A1877+1</f>
        <v/>
      </c>
      <c r="K1878">
        <f>I1878+J1878</f>
        <v/>
      </c>
    </row>
    <row r="1879">
      <c r="A1879">
        <f>A1878+1</f>
        <v/>
      </c>
      <c r="K1879">
        <f>I1879+J1879</f>
        <v/>
      </c>
    </row>
    <row r="1880">
      <c r="A1880">
        <f>A1879+1</f>
        <v/>
      </c>
      <c r="K1880">
        <f>I1880+J1880</f>
        <v/>
      </c>
    </row>
    <row r="1881">
      <c r="A1881">
        <f>A1880+1</f>
        <v/>
      </c>
      <c r="K1881">
        <f>I1881+J1881</f>
        <v/>
      </c>
    </row>
    <row r="1882">
      <c r="A1882">
        <f>A1881+1</f>
        <v/>
      </c>
      <c r="K1882">
        <f>I1882+J1882</f>
        <v/>
      </c>
    </row>
    <row r="1883">
      <c r="A1883">
        <f>A1882+1</f>
        <v/>
      </c>
      <c r="K1883">
        <f>I1883+J1883</f>
        <v/>
      </c>
    </row>
    <row r="1884">
      <c r="A1884">
        <f>A1883+1</f>
        <v/>
      </c>
      <c r="K1884">
        <f>I1884+J1884</f>
        <v/>
      </c>
    </row>
    <row r="1885">
      <c r="A1885">
        <f>A1884+1</f>
        <v/>
      </c>
      <c r="K1885">
        <f>I1885+J1885</f>
        <v/>
      </c>
    </row>
    <row r="1886">
      <c r="A1886">
        <f>A1885+1</f>
        <v/>
      </c>
      <c r="K1886">
        <f>I1886+J1886</f>
        <v/>
      </c>
    </row>
    <row r="1887">
      <c r="A1887">
        <f>A1886+1</f>
        <v/>
      </c>
      <c r="K1887">
        <f>I1887+J1887</f>
        <v/>
      </c>
    </row>
    <row r="1888">
      <c r="A1888">
        <f>A1887+1</f>
        <v/>
      </c>
      <c r="K1888">
        <f>I1888+J1888</f>
        <v/>
      </c>
    </row>
    <row r="1889">
      <c r="A1889">
        <f>A1888+1</f>
        <v/>
      </c>
      <c r="K1889">
        <f>I1889+J1889</f>
        <v/>
      </c>
    </row>
    <row r="1890">
      <c r="A1890">
        <f>A1889+1</f>
        <v/>
      </c>
      <c r="K1890">
        <f>I1890+J1890</f>
        <v/>
      </c>
    </row>
    <row r="1891">
      <c r="A1891">
        <f>A1890+1</f>
        <v/>
      </c>
      <c r="K1891">
        <f>I1891+J1891</f>
        <v/>
      </c>
    </row>
    <row r="1892">
      <c r="A1892">
        <f>A1891+1</f>
        <v/>
      </c>
      <c r="K1892">
        <f>I1892+J1892</f>
        <v/>
      </c>
    </row>
    <row r="1893">
      <c r="A1893">
        <f>A1892+1</f>
        <v/>
      </c>
      <c r="K1893">
        <f>I1893+J1893</f>
        <v/>
      </c>
    </row>
    <row r="1894">
      <c r="A1894">
        <f>A1893+1</f>
        <v/>
      </c>
      <c r="K1894">
        <f>I1894+J1894</f>
        <v/>
      </c>
    </row>
    <row r="1895">
      <c r="A1895">
        <f>A1894+1</f>
        <v/>
      </c>
      <c r="K1895">
        <f>I1895+J1895</f>
        <v/>
      </c>
    </row>
    <row r="1896">
      <c r="A1896">
        <f>A1895+1</f>
        <v/>
      </c>
      <c r="K1896">
        <f>I1896+J1896</f>
        <v/>
      </c>
    </row>
    <row r="1897">
      <c r="A1897">
        <f>A1896+1</f>
        <v/>
      </c>
      <c r="K1897">
        <f>I1897+J1897</f>
        <v/>
      </c>
    </row>
    <row r="1898">
      <c r="A1898">
        <f>A1897+1</f>
        <v/>
      </c>
      <c r="K1898">
        <f>I1898+J1898</f>
        <v/>
      </c>
    </row>
    <row r="1899">
      <c r="A1899">
        <f>A1898+1</f>
        <v/>
      </c>
      <c r="K1899">
        <f>I1899+J1899</f>
        <v/>
      </c>
    </row>
    <row r="1900">
      <c r="A1900">
        <f>A1899+1</f>
        <v/>
      </c>
      <c r="K1900">
        <f>I1900+J1900</f>
        <v/>
      </c>
    </row>
    <row r="1901">
      <c r="A1901">
        <f>A1900+1</f>
        <v/>
      </c>
      <c r="K1901">
        <f>I1901+J1901</f>
        <v/>
      </c>
    </row>
    <row r="1902">
      <c r="A1902">
        <f>A1901+1</f>
        <v/>
      </c>
      <c r="K1902">
        <f>I1902+J1902</f>
        <v/>
      </c>
    </row>
    <row r="1903">
      <c r="A1903">
        <f>A1902+1</f>
        <v/>
      </c>
      <c r="K1903">
        <f>I1903+J1903</f>
        <v/>
      </c>
    </row>
    <row r="1904">
      <c r="A1904">
        <f>A1903+1</f>
        <v/>
      </c>
      <c r="K1904">
        <f>I1904+J1904</f>
        <v/>
      </c>
    </row>
    <row r="1905">
      <c r="A1905">
        <f>A1904+1</f>
        <v/>
      </c>
      <c r="K1905">
        <f>I1905+J1905</f>
        <v/>
      </c>
    </row>
    <row r="1906">
      <c r="A1906">
        <f>A1905+1</f>
        <v/>
      </c>
      <c r="K1906">
        <f>I1906+J1906</f>
        <v/>
      </c>
    </row>
    <row r="1907">
      <c r="A1907">
        <f>A1906+1</f>
        <v/>
      </c>
      <c r="K1907">
        <f>I1907+J1907</f>
        <v/>
      </c>
    </row>
    <row r="1908">
      <c r="A1908">
        <f>A1907+1</f>
        <v/>
      </c>
      <c r="K1908">
        <f>I1908+J1908</f>
        <v/>
      </c>
    </row>
    <row r="1909">
      <c r="A1909">
        <f>A1908+1</f>
        <v/>
      </c>
      <c r="K1909">
        <f>I1909+J1909</f>
        <v/>
      </c>
    </row>
    <row r="1910">
      <c r="A1910">
        <f>A1909+1</f>
        <v/>
      </c>
      <c r="K1910">
        <f>I1910+J1910</f>
        <v/>
      </c>
    </row>
    <row r="1911">
      <c r="A1911">
        <f>A1910+1</f>
        <v/>
      </c>
      <c r="K1911">
        <f>I1911+J1911</f>
        <v/>
      </c>
    </row>
    <row r="1912">
      <c r="A1912">
        <f>A1911+1</f>
        <v/>
      </c>
      <c r="K1912">
        <f>I1912+J1912</f>
        <v/>
      </c>
    </row>
    <row r="1913">
      <c r="A1913">
        <f>A1912+1</f>
        <v/>
      </c>
      <c r="K1913">
        <f>I1913+J1913</f>
        <v/>
      </c>
    </row>
    <row r="1914">
      <c r="A1914">
        <f>A1913+1</f>
        <v/>
      </c>
      <c r="K1914">
        <f>I1914+J1914</f>
        <v/>
      </c>
    </row>
    <row r="1915">
      <c r="A1915">
        <f>A1914+1</f>
        <v/>
      </c>
      <c r="K1915">
        <f>I1915+J1915</f>
        <v/>
      </c>
    </row>
    <row r="1916">
      <c r="A1916">
        <f>A1915+1</f>
        <v/>
      </c>
      <c r="K1916">
        <f>I1916+J1916</f>
        <v/>
      </c>
    </row>
    <row r="1917">
      <c r="A1917">
        <f>A1916+1</f>
        <v/>
      </c>
      <c r="K1917">
        <f>I1917+J1917</f>
        <v/>
      </c>
    </row>
    <row r="1918">
      <c r="A1918">
        <f>A1917+1</f>
        <v/>
      </c>
      <c r="K1918">
        <f>I1918+J1918</f>
        <v/>
      </c>
    </row>
    <row r="1919">
      <c r="A1919">
        <f>A1918+1</f>
        <v/>
      </c>
      <c r="K1919">
        <f>I1919+J1919</f>
        <v/>
      </c>
    </row>
    <row r="1920">
      <c r="A1920">
        <f>A1919+1</f>
        <v/>
      </c>
      <c r="K1920">
        <f>I1920+J1920</f>
        <v/>
      </c>
    </row>
    <row r="1921">
      <c r="A1921">
        <f>A1920+1</f>
        <v/>
      </c>
      <c r="K1921">
        <f>I1921+J1921</f>
        <v/>
      </c>
    </row>
    <row r="1922">
      <c r="A1922">
        <f>A1921+1</f>
        <v/>
      </c>
      <c r="K1922">
        <f>I1922+J1922</f>
        <v/>
      </c>
    </row>
    <row r="1923">
      <c r="A1923">
        <f>A1922+1</f>
        <v/>
      </c>
      <c r="K1923">
        <f>I1923+J1923</f>
        <v/>
      </c>
    </row>
    <row r="1924">
      <c r="A1924">
        <f>A1923+1</f>
        <v/>
      </c>
      <c r="K1924">
        <f>I1924+J1924</f>
        <v/>
      </c>
    </row>
    <row r="1925">
      <c r="A1925">
        <f>A1924+1</f>
        <v/>
      </c>
      <c r="K1925">
        <f>I1925+J1925</f>
        <v/>
      </c>
    </row>
    <row r="1926">
      <c r="A1926">
        <f>A1925+1</f>
        <v/>
      </c>
      <c r="K1926">
        <f>I1926+J1926</f>
        <v/>
      </c>
    </row>
    <row r="1927">
      <c r="A1927">
        <f>A1926+1</f>
        <v/>
      </c>
      <c r="K1927">
        <f>I1927+J1927</f>
        <v/>
      </c>
    </row>
    <row r="1928">
      <c r="A1928">
        <f>A1927+1</f>
        <v/>
      </c>
      <c r="K1928">
        <f>I1928+J1928</f>
        <v/>
      </c>
    </row>
    <row r="1929">
      <c r="A1929">
        <f>A1928+1</f>
        <v/>
      </c>
      <c r="K1929">
        <f>I1929+J1929</f>
        <v/>
      </c>
    </row>
    <row r="1930">
      <c r="A1930">
        <f>A1929+1</f>
        <v/>
      </c>
      <c r="K1930">
        <f>I1930+J1930</f>
        <v/>
      </c>
    </row>
    <row r="1931">
      <c r="A1931">
        <f>A1930+1</f>
        <v/>
      </c>
      <c r="K1931">
        <f>I1931+J1931</f>
        <v/>
      </c>
    </row>
    <row r="1932">
      <c r="A1932">
        <f>A1931+1</f>
        <v/>
      </c>
      <c r="K1932">
        <f>I1932+J1932</f>
        <v/>
      </c>
    </row>
    <row r="1933">
      <c r="A1933">
        <f>A1932+1</f>
        <v/>
      </c>
      <c r="K1933">
        <f>I1933+J1933</f>
        <v/>
      </c>
    </row>
    <row r="1934">
      <c r="A1934">
        <f>A1933+1</f>
        <v/>
      </c>
      <c r="K1934">
        <f>I1934+J1934</f>
        <v/>
      </c>
    </row>
    <row r="1935">
      <c r="A1935">
        <f>A1934+1</f>
        <v/>
      </c>
      <c r="K1935">
        <f>I1935+J1935</f>
        <v/>
      </c>
    </row>
    <row r="1936">
      <c r="A1936">
        <f>A1935+1</f>
        <v/>
      </c>
      <c r="K1936">
        <f>I1936+J1936</f>
        <v/>
      </c>
    </row>
    <row r="1937">
      <c r="A1937">
        <f>A1936+1</f>
        <v/>
      </c>
      <c r="K1937">
        <f>I1937+J1937</f>
        <v/>
      </c>
    </row>
    <row r="1938">
      <c r="A1938">
        <f>A1937+1</f>
        <v/>
      </c>
      <c r="K1938">
        <f>I1938+J1938</f>
        <v/>
      </c>
    </row>
    <row r="1939">
      <c r="A1939">
        <f>A1938+1</f>
        <v/>
      </c>
      <c r="K1939">
        <f>I1939+J1939</f>
        <v/>
      </c>
    </row>
    <row r="1940">
      <c r="A1940">
        <f>A1939+1</f>
        <v/>
      </c>
      <c r="K1940">
        <f>I1940+J1940</f>
        <v/>
      </c>
    </row>
    <row r="1941">
      <c r="A1941">
        <f>A1940+1</f>
        <v/>
      </c>
      <c r="K1941">
        <f>I1941+J1941</f>
        <v/>
      </c>
    </row>
    <row r="1942">
      <c r="A1942">
        <f>A1941+1</f>
        <v/>
      </c>
      <c r="K1942">
        <f>I1942+J1942</f>
        <v/>
      </c>
    </row>
    <row r="1943">
      <c r="A1943">
        <f>A1942+1</f>
        <v/>
      </c>
      <c r="K1943">
        <f>I1943+J1943</f>
        <v/>
      </c>
    </row>
    <row r="1944">
      <c r="A1944">
        <f>A1943+1</f>
        <v/>
      </c>
      <c r="K1944">
        <f>I1944+J1944</f>
        <v/>
      </c>
    </row>
    <row r="1945">
      <c r="A1945">
        <f>A1944+1</f>
        <v/>
      </c>
      <c r="K1945">
        <f>I1945+J1945</f>
        <v/>
      </c>
    </row>
    <row r="1946">
      <c r="A1946">
        <f>A1945+1</f>
        <v/>
      </c>
      <c r="K1946">
        <f>I1946+J1946</f>
        <v/>
      </c>
    </row>
    <row r="1947">
      <c r="A1947">
        <f>A1946+1</f>
        <v/>
      </c>
      <c r="K1947">
        <f>I1947+J1947</f>
        <v/>
      </c>
    </row>
    <row r="1948">
      <c r="A1948">
        <f>A1947+1</f>
        <v/>
      </c>
      <c r="K1948">
        <f>I1948+J1948</f>
        <v/>
      </c>
    </row>
    <row r="1949">
      <c r="A1949">
        <f>A1948+1</f>
        <v/>
      </c>
      <c r="K1949">
        <f>I1949+J1949</f>
        <v/>
      </c>
    </row>
    <row r="1950">
      <c r="A1950">
        <f>A1949+1</f>
        <v/>
      </c>
      <c r="K1950">
        <f>I1950+J1950</f>
        <v/>
      </c>
    </row>
    <row r="1951">
      <c r="A1951">
        <f>A1950+1</f>
        <v/>
      </c>
      <c r="K1951">
        <f>I1951+J1951</f>
        <v/>
      </c>
    </row>
    <row r="1952">
      <c r="A1952">
        <f>A1951+1</f>
        <v/>
      </c>
      <c r="K1952">
        <f>I1952+J1952</f>
        <v/>
      </c>
    </row>
    <row r="1953">
      <c r="A1953">
        <f>A1952+1</f>
        <v/>
      </c>
      <c r="K1953">
        <f>I1953+J1953</f>
        <v/>
      </c>
    </row>
    <row r="1954">
      <c r="A1954">
        <f>A1953+1</f>
        <v/>
      </c>
      <c r="K1954">
        <f>I1954+J1954</f>
        <v/>
      </c>
    </row>
    <row r="1955">
      <c r="A1955">
        <f>A1954+1</f>
        <v/>
      </c>
      <c r="K1955">
        <f>I1955+J1955</f>
        <v/>
      </c>
    </row>
    <row r="1956">
      <c r="A1956">
        <f>A1955+1</f>
        <v/>
      </c>
      <c r="K1956">
        <f>I1956+J1956</f>
        <v/>
      </c>
    </row>
    <row r="1957">
      <c r="A1957">
        <f>A1956+1</f>
        <v/>
      </c>
      <c r="K1957">
        <f>I1957+J1957</f>
        <v/>
      </c>
    </row>
    <row r="1958">
      <c r="A1958">
        <f>A1957+1</f>
        <v/>
      </c>
      <c r="K1958">
        <f>I1958+J1958</f>
        <v/>
      </c>
    </row>
    <row r="1959">
      <c r="A1959">
        <f>A1958+1</f>
        <v/>
      </c>
      <c r="K1959">
        <f>I1959+J1959</f>
        <v/>
      </c>
    </row>
    <row r="1960">
      <c r="A1960">
        <f>A1959+1</f>
        <v/>
      </c>
      <c r="K1960">
        <f>I1960+J1960</f>
        <v/>
      </c>
    </row>
    <row r="1961">
      <c r="A1961">
        <f>A1960+1</f>
        <v/>
      </c>
      <c r="K1961">
        <f>I1961+J1961</f>
        <v/>
      </c>
    </row>
    <row r="1962">
      <c r="A1962">
        <f>A1961+1</f>
        <v/>
      </c>
      <c r="K1962">
        <f>I1962+J1962</f>
        <v/>
      </c>
    </row>
    <row r="1963">
      <c r="A1963">
        <f>A1962+1</f>
        <v/>
      </c>
      <c r="K1963">
        <f>I1963+J1963</f>
        <v/>
      </c>
    </row>
    <row r="1964">
      <c r="A1964">
        <f>A1963+1</f>
        <v/>
      </c>
      <c r="K1964">
        <f>I1964+J1964</f>
        <v/>
      </c>
    </row>
    <row r="1965">
      <c r="A1965">
        <f>A1964+1</f>
        <v/>
      </c>
      <c r="K1965">
        <f>I1965+J1965</f>
        <v/>
      </c>
    </row>
    <row r="1966">
      <c r="A1966">
        <f>A1965+1</f>
        <v/>
      </c>
      <c r="K1966">
        <f>I1966+J1966</f>
        <v/>
      </c>
    </row>
    <row r="1967">
      <c r="A1967">
        <f>A1966+1</f>
        <v/>
      </c>
      <c r="K1967">
        <f>I1967+J1967</f>
        <v/>
      </c>
    </row>
    <row r="1968">
      <c r="A1968">
        <f>A1967+1</f>
        <v/>
      </c>
      <c r="K1968">
        <f>I1968+J1968</f>
        <v/>
      </c>
    </row>
    <row r="1969">
      <c r="A1969">
        <f>A1968+1</f>
        <v/>
      </c>
      <c r="K1969">
        <f>I1969+J1969</f>
        <v/>
      </c>
    </row>
    <row r="1970">
      <c r="A1970">
        <f>A1969+1</f>
        <v/>
      </c>
      <c r="K1970">
        <f>I1970+J1970</f>
        <v/>
      </c>
    </row>
    <row r="1971">
      <c r="A1971">
        <f>A1970+1</f>
        <v/>
      </c>
      <c r="K1971">
        <f>I1971+J1971</f>
        <v/>
      </c>
    </row>
    <row r="1972">
      <c r="A1972">
        <f>A1971+1</f>
        <v/>
      </c>
      <c r="K1972">
        <f>I1972+J1972</f>
        <v/>
      </c>
    </row>
    <row r="1973">
      <c r="A1973">
        <f>A1972+1</f>
        <v/>
      </c>
      <c r="K1973">
        <f>I1973+J1973</f>
        <v/>
      </c>
    </row>
    <row r="1974">
      <c r="A1974">
        <f>A1973+1</f>
        <v/>
      </c>
      <c r="K1974">
        <f>I1974+J1974</f>
        <v/>
      </c>
    </row>
    <row r="1975">
      <c r="A1975">
        <f>A1974+1</f>
        <v/>
      </c>
      <c r="K1975">
        <f>I1975+J1975</f>
        <v/>
      </c>
    </row>
    <row r="1976">
      <c r="A1976">
        <f>A1975+1</f>
        <v/>
      </c>
      <c r="K1976">
        <f>I1976+J1976</f>
        <v/>
      </c>
    </row>
    <row r="1977">
      <c r="A1977">
        <f>A1976+1</f>
        <v/>
      </c>
      <c r="K1977">
        <f>I1977+J1977</f>
        <v/>
      </c>
    </row>
    <row r="1978">
      <c r="A1978">
        <f>A1977+1</f>
        <v/>
      </c>
      <c r="K1978">
        <f>I1978+J1978</f>
        <v/>
      </c>
    </row>
    <row r="1979">
      <c r="A1979">
        <f>A1978+1</f>
        <v/>
      </c>
      <c r="K1979">
        <f>I1979+J1979</f>
        <v/>
      </c>
    </row>
    <row r="1980">
      <c r="A1980">
        <f>A1979+1</f>
        <v/>
      </c>
      <c r="K1980">
        <f>I1980+J1980</f>
        <v/>
      </c>
    </row>
    <row r="1981">
      <c r="A1981">
        <f>A1980+1</f>
        <v/>
      </c>
      <c r="K1981">
        <f>I1981+J1981</f>
        <v/>
      </c>
    </row>
    <row r="1982">
      <c r="A1982">
        <f>A1981+1</f>
        <v/>
      </c>
      <c r="K1982">
        <f>I1982+J1982</f>
        <v/>
      </c>
    </row>
    <row r="1983">
      <c r="A1983">
        <f>A1982+1</f>
        <v/>
      </c>
      <c r="K1983">
        <f>I1983+J1983</f>
        <v/>
      </c>
    </row>
    <row r="1984">
      <c r="A1984">
        <f>A1983+1</f>
        <v/>
      </c>
      <c r="K1984">
        <f>I1984+J1984</f>
        <v/>
      </c>
    </row>
    <row r="1985">
      <c r="A1985">
        <f>A1984+1</f>
        <v/>
      </c>
      <c r="K1985">
        <f>I1985+J1985</f>
        <v/>
      </c>
    </row>
    <row r="1986">
      <c r="A1986">
        <f>A1985+1</f>
        <v/>
      </c>
      <c r="K1986">
        <f>I1986+J1986</f>
        <v/>
      </c>
    </row>
    <row r="1987">
      <c r="A1987">
        <f>A1986+1</f>
        <v/>
      </c>
      <c r="K1987">
        <f>I1987+J1987</f>
        <v/>
      </c>
    </row>
    <row r="1988">
      <c r="A1988">
        <f>A1987+1</f>
        <v/>
      </c>
      <c r="K1988">
        <f>I1988+J1988</f>
        <v/>
      </c>
    </row>
    <row r="1989">
      <c r="A1989">
        <f>A1988+1</f>
        <v/>
      </c>
      <c r="K1989">
        <f>I1989+J1989</f>
        <v/>
      </c>
    </row>
    <row r="1990">
      <c r="A1990">
        <f>A1989+1</f>
        <v/>
      </c>
      <c r="K1990">
        <f>I1990+J1990</f>
        <v/>
      </c>
    </row>
    <row r="1991">
      <c r="A1991">
        <f>A1990+1</f>
        <v/>
      </c>
      <c r="K1991">
        <f>I1991+J1991</f>
        <v/>
      </c>
    </row>
    <row r="1992">
      <c r="A1992">
        <f>A1991+1</f>
        <v/>
      </c>
      <c r="K1992">
        <f>I1992+J1992</f>
        <v/>
      </c>
    </row>
    <row r="1993">
      <c r="A1993">
        <f>A1992+1</f>
        <v/>
      </c>
      <c r="K1993">
        <f>I1993+J1993</f>
        <v/>
      </c>
    </row>
    <row r="1994">
      <c r="A1994">
        <f>A1993+1</f>
        <v/>
      </c>
      <c r="K1994">
        <f>I1994+J1994</f>
        <v/>
      </c>
    </row>
    <row r="1995">
      <c r="A1995">
        <f>A1994+1</f>
        <v/>
      </c>
      <c r="K1995">
        <f>I1995+J1995</f>
        <v/>
      </c>
    </row>
    <row r="1996">
      <c r="A1996">
        <f>A1995+1</f>
        <v/>
      </c>
      <c r="K1996">
        <f>I1996+J1996</f>
        <v/>
      </c>
    </row>
    <row r="1997">
      <c r="A1997">
        <f>A1996+1</f>
        <v/>
      </c>
      <c r="K1997">
        <f>I1997+J1997</f>
        <v/>
      </c>
    </row>
    <row r="1998">
      <c r="A1998">
        <f>A1997+1</f>
        <v/>
      </c>
      <c r="K1998">
        <f>I1998+J1998</f>
        <v/>
      </c>
    </row>
    <row r="1999">
      <c r="A1999">
        <f>A1998+1</f>
        <v/>
      </c>
      <c r="K1999">
        <f>I1999+J1999</f>
        <v/>
      </c>
    </row>
    <row r="2000">
      <c r="A2000">
        <f>A1999+1</f>
        <v/>
      </c>
      <c r="K2000">
        <f>I2000+J2000</f>
        <v/>
      </c>
    </row>
    <row r="2001">
      <c r="A2001">
        <f>A2000+1</f>
        <v/>
      </c>
      <c r="K2001">
        <f>I2001+J2001</f>
        <v/>
      </c>
    </row>
    <row r="2002">
      <c r="A2002">
        <f>A2001+1</f>
        <v/>
      </c>
      <c r="K2002">
        <f>I2002+J2002</f>
        <v/>
      </c>
    </row>
  </sheetData>
  <mergeCells count="4">
    <mergeCell ref="Q1:S1"/>
    <mergeCell ref="I1:K1"/>
    <mergeCell ref="L1:P1"/>
    <mergeCell ref="T1:W1"/>
  </mergeCells>
  <conditionalFormatting sqref="C1:C1048576">
    <cfRule type="containsText" priority="2" operator="containsText" dxfId="18" text="Type 1">
      <formula>NOT(ISERROR(SEARCH("Type 1",C1)))</formula>
    </cfRule>
  </conditionalFormatting>
  <conditionalFormatting sqref="C3:C150">
    <cfRule type="containsText" priority="3" operator="containsText" dxfId="17" text="Type 3">
      <formula>NOT(ISERROR(SEARCH("Type 3",C3)))</formula>
    </cfRule>
    <cfRule type="containsText" priority="5" operator="containsText" dxfId="16" text="Type 2">
      <formula>NOT(ISERROR(SEARCH("Type 2",C3)))</formula>
    </cfRule>
    <cfRule type="containsText" priority="6" operator="containsText" dxfId="15" text="Type 3">
      <formula>NOT(ISERROR(SEARCH("Type 3",C3)))</formula>
    </cfRule>
  </conditionalFormatting>
  <conditionalFormatting sqref="D3:D150">
    <cfRule type="containsText" priority="1" operator="containsText" dxfId="14" text="vacant">
      <formula>NOT(ISERROR(SEARCH("vacant",D3)))</formula>
    </cfRule>
  </conditionalFormatting>
  <dataValidations count="4">
    <dataValidation sqref="C3:C126 C128:C150" showDropDown="0" showInputMessage="1" showErrorMessage="1" allowBlank="0" type="list">
      <formula1>"Type 1, Type 2, Type 3"</formula1>
    </dataValidation>
    <dataValidation sqref="C127" showDropDown="0" showInputMessage="1" showErrorMessage="1" allowBlank="0" type="list">
      <formula1>"Type 1, Type 2, Type 3, Type 4"</formula1>
    </dataValidation>
    <dataValidation sqref="V3:V150" showDropDown="0" showInputMessage="1" showErrorMessage="1" allowBlank="0" type="list">
      <formula1>"NNN, Gross"</formula1>
    </dataValidation>
    <dataValidation sqref="D3:E150" showDropDown="0" showInputMessage="1" showErrorMessage="1" allowBlank="0" type="list">
      <formula1>"Occupied, Vacant"</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97" t="inlineStr">
        <is>
          <t xml:space="preserve">GARY GROUP CAPITAL </t>
        </is>
      </c>
      <c r="B1" s="298" t="n"/>
      <c r="C1" s="299" t="n"/>
      <c r="D1" s="299" t="n"/>
      <c r="E1" s="299" t="n"/>
      <c r="F1" s="299" t="n"/>
      <c r="G1" s="299" t="n"/>
      <c r="H1" s="299" t="n"/>
      <c r="I1" s="299" t="n"/>
      <c r="J1" s="299" t="n"/>
      <c r="K1" s="299" t="n"/>
      <c r="L1" s="299" t="n"/>
      <c r="M1" s="299" t="n"/>
      <c r="N1" s="299" t="n"/>
      <c r="O1" s="299" t="n"/>
      <c r="P1" s="299" t="n"/>
      <c r="Q1" s="298" t="n"/>
      <c r="R1" s="298" t="n"/>
      <c r="S1" s="298" t="n"/>
      <c r="T1" s="298" t="n"/>
      <c r="U1" s="298" t="n"/>
      <c r="V1" s="298" t="n"/>
      <c r="W1" s="298" t="n"/>
      <c r="X1" s="298" t="n"/>
      <c r="Y1" s="298" t="n"/>
      <c r="Z1" s="298" t="n"/>
      <c r="AA1" s="298" t="n"/>
      <c r="AB1" s="298" t="n"/>
      <c r="AC1" s="298" t="n"/>
      <c r="AD1" s="298" t="n"/>
      <c r="AE1" s="298" t="n"/>
      <c r="AF1" s="298"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row r="3" ht="15.75" customHeight="1"/>
    <row r="4">
      <c r="B4" s="150" t="inlineStr">
        <is>
          <t>Month</t>
        </is>
      </c>
      <c r="C4" s="254" t="inlineStr">
        <is>
          <t>GPR</t>
        </is>
      </c>
      <c r="D4" s="254" t="inlineStr">
        <is>
          <t>Vacant</t>
        </is>
      </c>
      <c r="E4" s="254" t="inlineStr">
        <is>
          <t>Concessions</t>
        </is>
      </c>
      <c r="F4" s="254" t="inlineStr">
        <is>
          <t>Bad Debt</t>
        </is>
      </c>
      <c r="G4" s="255" t="inlineStr">
        <is>
          <t>Net Rental Income</t>
        </is>
      </c>
      <c r="H4" s="254" t="inlineStr">
        <is>
          <t>RUBS</t>
        </is>
      </c>
      <c r="I4" s="254" t="inlineStr">
        <is>
          <t>HR Income</t>
        </is>
      </c>
      <c r="J4" s="254" t="inlineStr">
        <is>
          <t>RV Income</t>
        </is>
      </c>
      <c r="K4" s="254" t="inlineStr">
        <is>
          <t>Parking</t>
        </is>
      </c>
      <c r="L4" s="254" t="inlineStr">
        <is>
          <t>Laundry</t>
        </is>
      </c>
      <c r="M4" s="254" t="inlineStr">
        <is>
          <t>Other Income</t>
        </is>
      </c>
      <c r="N4" s="256" t="inlineStr">
        <is>
          <t>EGI</t>
        </is>
      </c>
    </row>
    <row r="5">
      <c r="B5" s="243">
        <f>'Data Consolidation'!J2</f>
        <v/>
      </c>
      <c r="C5" s="244">
        <f>SUMIFS('Data Consolidation'!J3:J36,'Data Consolidation'!$A$3:$A$36,"Gross Potential Rent")</f>
        <v/>
      </c>
      <c r="D5" s="248">
        <f>SUMIFS('Data Consolidation'!$J$3:$J$36,'Data Consolidation'!$A$3:$A$36,"Vacancy")</f>
        <v/>
      </c>
      <c r="E5" s="248">
        <f>SUMIFS('Data Consolidation'!$J$3:$J$36,'Data Consolidation'!$A$3:$A$36,"Concessions")</f>
        <v/>
      </c>
      <c r="F5" s="248">
        <f>SUMIFS('Data Consolidation'!$J$3:$J$36,'Data Consolidation'!$A$3:$A$36,"bad debt")</f>
        <v/>
      </c>
      <c r="G5" s="252">
        <f>SUM(C5:F5)</f>
        <v/>
      </c>
      <c r="H5" s="248">
        <f>SUMIFS('Data Consolidation'!$J$3:$J$36,'Data Consolidation'!$A$3:$A$36,"Utility Reimbursement")</f>
        <v/>
      </c>
      <c r="I5" s="248">
        <f>SUMIFS('Data Consolidation'!$J$3:$J$36,'Data Consolidation'!$A$3:$A$36,"Home Rent Income")</f>
        <v/>
      </c>
      <c r="J5" s="248">
        <f>SUMIFS('Data Consolidation'!$J$3:$J$36,'Data Consolidation'!$A$3:$A$36,"RV site rental income")</f>
        <v/>
      </c>
      <c r="K5" s="248">
        <f>SUMIFS('Data Consolidation'!$J$3:$J$36,'Data Consolidation'!$A$3:$A$36,"Parking Income")</f>
        <v/>
      </c>
      <c r="L5" s="248">
        <f>SUMIFS('Data Consolidation'!$J$3:$J$36,'Data Consolidation'!$A$3:$A$36,"Laundry Income")</f>
        <v/>
      </c>
      <c r="M5" s="248">
        <f>SUMIFS('Data Consolidation'!$J$3:$J$36,'Data Consolidation'!$A$3:$A$36,"Other Income")</f>
        <v/>
      </c>
      <c r="N5" s="253">
        <f>G5+H5+I5+J5+K5+L5+M5</f>
        <v/>
      </c>
    </row>
    <row r="6">
      <c r="B6" s="243">
        <f>'Data Consolidation'!K2</f>
        <v/>
      </c>
      <c r="C6" s="244">
        <f>SUMIFS('Data Consolidation'!K$3:K$36,'Data Consolidation'!$A$3:$A$36,"Gross Potential Rent")</f>
        <v/>
      </c>
      <c r="D6" s="248">
        <f>SUMIFS('Data Consolidation'!$K$3:$K$36,'Data Consolidation'!$A$3:$A$36,"Vacant")</f>
        <v/>
      </c>
      <c r="E6" s="248">
        <f>SUMIFS('Data Consolidation'!$K$3:$K$36,'Data Consolidation'!$A$3:$A$36,"Concessions")</f>
        <v/>
      </c>
      <c r="F6" s="248">
        <f>SUMIFS('Data Consolidation'!$K$3:$K$36,'Data Consolidation'!$A$3:$A$36,"bad debt")</f>
        <v/>
      </c>
      <c r="G6" s="252">
        <f>SUM(C6:F6)</f>
        <v/>
      </c>
      <c r="H6" s="248">
        <f>SUMIFS('Data Consolidation'!$K$3:$K$36,'Data Consolidation'!$A$3:$A$36,"Utility Reimbursement")</f>
        <v/>
      </c>
      <c r="I6" s="248">
        <f>SUMIFS('Data Consolidation'!$K$3:$K$36,'Data Consolidation'!$A$3:$A$36,"Home Rent Income")</f>
        <v/>
      </c>
      <c r="J6" s="248">
        <f>SUMIFS('Data Consolidation'!$K$3:$K$36,'Data Consolidation'!$A$3:$A$36,"RV site rental income")</f>
        <v/>
      </c>
      <c r="K6" s="248">
        <f>SUMIFS('Data Consolidation'!$K$3:$K$36,'Data Consolidation'!$A$3:$A$36,"Parking Income")</f>
        <v/>
      </c>
      <c r="L6" s="248">
        <f>SUMIFS('Data Consolidation'!$K$3:$K$36,'Data Consolidation'!$A$3:$A$36,"Laundry Income")</f>
        <v/>
      </c>
      <c r="M6" s="248">
        <f>SUMIFS('Data Consolidation'!$K$3:$K$36,'Data Consolidation'!$A$3:$A$36,"Other Income")</f>
        <v/>
      </c>
      <c r="N6" s="253">
        <f>G6+H6+I6+J6+K6+L6+M6</f>
        <v/>
      </c>
    </row>
    <row r="7">
      <c r="B7" s="243">
        <f>'Data Consolidation'!L2</f>
        <v/>
      </c>
      <c r="C7" s="244">
        <f>SUMIFS('Data Consolidation'!L$3:L$36,'Data Consolidation'!$A$3:$A$36,"Gross Potential Rent")</f>
        <v/>
      </c>
      <c r="D7" s="244">
        <f>SUMIFS('Data Consolidation'!$L$3:$L$36,'Data Consolidation'!$A$3:$A$36,"Vacancy")</f>
        <v/>
      </c>
      <c r="E7" s="244">
        <f>SUMIFS('Data Consolidation'!$L$3:$L$36,'Data Consolidation'!$A$3:$A$36,"Concessions")</f>
        <v/>
      </c>
      <c r="F7" s="244">
        <f>SUMIFS('Data Consolidation'!$L$3:$L$36,'Data Consolidation'!$A$3:$A$36,"bad debt")</f>
        <v/>
      </c>
      <c r="G7" s="252">
        <f>SUM(C7:F7)</f>
        <v/>
      </c>
      <c r="H7" s="244">
        <f>SUMIFS('Data Consolidation'!$L$3:$L$36,'Data Consolidation'!$A$3:$A$36,"Utility Reimbursement")</f>
        <v/>
      </c>
      <c r="I7" s="244">
        <f>SUMIFS('Data Consolidation'!$L$3:$L$36,'Data Consolidation'!$A$3:$A$36,"Home Rent Income")</f>
        <v/>
      </c>
      <c r="J7" s="244">
        <f>SUMIFS('Data Consolidation'!$L$3:$L$36,'Data Consolidation'!$A$3:$A$36,"RV site rental income")</f>
        <v/>
      </c>
      <c r="K7" s="244">
        <f>SUMIFS('Data Consolidation'!$L$3:$L$36,'Data Consolidation'!$A$3:$A$36,"Parking Income")</f>
        <v/>
      </c>
      <c r="L7" s="244">
        <f>SUMIFS('Data Consolidation'!$L$3:$L$36,'Data Consolidation'!$A$3:$A$36,"Laundry Income")</f>
        <v/>
      </c>
      <c r="M7" s="244">
        <f>SUMIFS('Data Consolidation'!$L$3:$L$36,'Data Consolidation'!$A$3:$A$36,"Other Income")</f>
        <v/>
      </c>
      <c r="N7" s="253">
        <f>G7+H7+I7+J7+K7+L7+M7</f>
        <v/>
      </c>
    </row>
    <row r="8">
      <c r="B8" s="243">
        <f>'Data Consolidation'!M2</f>
        <v/>
      </c>
      <c r="C8" s="244">
        <f>SUMIFS('Data Consolidation'!M$3:M$36,'Data Consolidation'!$A$3:$A$36,"Gross Potential Rent")</f>
        <v/>
      </c>
      <c r="D8" s="244">
        <f>SUMIFS('Data Consolidation'!$M$3:$M$36,'Data Consolidation'!$A$3:$A$36,"Vacancy")</f>
        <v/>
      </c>
      <c r="E8" s="244">
        <f>SUMIFS('Data Consolidation'!$M$3:$M$36,'Data Consolidation'!$A$3:$A$36,"Concessions")</f>
        <v/>
      </c>
      <c r="F8" s="244">
        <f>SUMIFS('Data Consolidation'!$M$3:$M$36,'Data Consolidation'!$A$3:$A$36,"bad debt")</f>
        <v/>
      </c>
      <c r="G8" s="252">
        <f>SUM(C8:F8)</f>
        <v/>
      </c>
      <c r="H8" s="244">
        <f>SUMIFS('Data Consolidation'!$M$3:$M$36,'Data Consolidation'!$A$3:$A$36,"Utility Reimbursement")</f>
        <v/>
      </c>
      <c r="I8" s="244">
        <f>SUMIFS('Data Consolidation'!$M$3:$M$36,'Data Consolidation'!$A$3:$A$36,"Home Rent Income")</f>
        <v/>
      </c>
      <c r="J8" s="244">
        <f>SUMIFS('Data Consolidation'!$M$3:$M$36,'Data Consolidation'!$A$3:$A$36,"RV site rental income")</f>
        <v/>
      </c>
      <c r="K8" s="244">
        <f>SUMIFS('Data Consolidation'!$M$3:$M$36,'Data Consolidation'!$A$3:$A$36,"Parking Income")</f>
        <v/>
      </c>
      <c r="L8" s="244">
        <f>SUMIFS('Data Consolidation'!$M$3:$M$36,'Data Consolidation'!$A$3:$A$36,"Laundry Income")</f>
        <v/>
      </c>
      <c r="M8" s="244">
        <f>SUMIFS('Data Consolidation'!$M$3:$M$36,'Data Consolidation'!$A$3:$A$36,"Other Income")</f>
        <v/>
      </c>
      <c r="N8" s="253">
        <f>G8+H8+I8+J8+K8+L8+M8</f>
        <v/>
      </c>
    </row>
    <row r="9">
      <c r="B9" s="243">
        <f>'Data Consolidation'!N2</f>
        <v/>
      </c>
      <c r="C9" s="244">
        <f>SUMIFS('Data Consolidation'!N$3:N$36,'Data Consolidation'!$A$3:$A$36,"Gross Potential Rent")</f>
        <v/>
      </c>
      <c r="D9" s="244">
        <f>SUMIFS('Data Consolidation'!$N$3:$N$36,'Data Consolidation'!$A$3:$A$36,"Vacancy")</f>
        <v/>
      </c>
      <c r="E9" s="244">
        <f>SUMIFS('Data Consolidation'!$N$3:$N$36,'Data Consolidation'!$A$3:$A$36,"Concessions")</f>
        <v/>
      </c>
      <c r="F9" s="244">
        <f>SUMIFS('Data Consolidation'!$N$3:$N$36,'Data Consolidation'!$A$3:$A$36,"bad debt")</f>
        <v/>
      </c>
      <c r="G9" s="252">
        <f>SUM(C9:F9)</f>
        <v/>
      </c>
      <c r="H9" s="244">
        <f>SUMIFS('Data Consolidation'!$N$3:$N$36,'Data Consolidation'!$A$3:$A$36,"Utility Reimbursement")</f>
        <v/>
      </c>
      <c r="I9" s="244">
        <f>SUMIFS('Data Consolidation'!$N$3:$N$36,'Data Consolidation'!$A$3:$A$36,"Home Rent Income")</f>
        <v/>
      </c>
      <c r="J9" s="244">
        <f>SUMIFS('Data Consolidation'!$N$3:$N$36,'Data Consolidation'!$A$3:$A$36,"RV site rental income")</f>
        <v/>
      </c>
      <c r="K9" s="244">
        <f>SUMIFS('Data Consolidation'!$N$3:$N$36,'Data Consolidation'!$A$3:$A$36,"Parking Income")</f>
        <v/>
      </c>
      <c r="L9" s="244">
        <f>SUMIFS('Data Consolidation'!$N$3:$N$36,'Data Consolidation'!$A$3:$A$36,"Laundry Income")</f>
        <v/>
      </c>
      <c r="M9" s="244">
        <f>SUMIFS('Data Consolidation'!$N$3:$N$36,'Data Consolidation'!$A$3:$A$36,"Other Income")</f>
        <v/>
      </c>
      <c r="N9" s="253">
        <f>G9+H9+I9+J9+K9+L9+M9</f>
        <v/>
      </c>
    </row>
    <row r="10">
      <c r="B10" s="243">
        <f>'Data Consolidation'!O2</f>
        <v/>
      </c>
      <c r="C10" s="244">
        <f>SUMIFS('Data Consolidation'!O$3:O$36,'Data Consolidation'!$A$3:$A$36,"Gross Potential Rent")</f>
        <v/>
      </c>
      <c r="D10" s="244">
        <f>SUMIFS('Data Consolidation'!$O$3:$O$36,'Data Consolidation'!$A$3:$A$36,"Vacancy")</f>
        <v/>
      </c>
      <c r="E10" s="244">
        <f>SUMIFS('Data Consolidation'!$O$3:$O$36,'Data Consolidation'!$A$3:$A$36,"Concessions")</f>
        <v/>
      </c>
      <c r="F10" s="244">
        <f>SUMIFS('Data Consolidation'!$O$3:$O$36,'Data Consolidation'!$A$3:$A$36,"bad debt")</f>
        <v/>
      </c>
      <c r="G10" s="252">
        <f>SUM(C10:F10)</f>
        <v/>
      </c>
      <c r="H10" s="244">
        <f>SUMIFS('Data Consolidation'!$O$3:$O$36,'Data Consolidation'!$A$3:$A$36,"Utility Reimbursement")</f>
        <v/>
      </c>
      <c r="I10" s="244">
        <f>SUMIFS('Data Consolidation'!$O$3:$O$36,'Data Consolidation'!$A$3:$A$36,"Home Rent Income")</f>
        <v/>
      </c>
      <c r="J10" s="244">
        <f>SUMIFS('Data Consolidation'!$O$3:$O$36,'Data Consolidation'!$A$3:$A$36,"RV site rental income")</f>
        <v/>
      </c>
      <c r="K10" s="244">
        <f>SUMIFS('Data Consolidation'!$O$3:$O$36,'Data Consolidation'!$A$3:$A$36,"Parking Income")</f>
        <v/>
      </c>
      <c r="L10" s="244">
        <f>SUMIFS('Data Consolidation'!$O$3:$O$36,'Data Consolidation'!$A$3:$A$36,"Laundry Income")</f>
        <v/>
      </c>
      <c r="M10" s="244">
        <f>SUMIFS('Data Consolidation'!$O$3:$O$36,'Data Consolidation'!$A$3:$A$36,"Other Income")</f>
        <v/>
      </c>
      <c r="N10" s="253">
        <f>G10+H10+I10+J10+K10+L10+M10</f>
        <v/>
      </c>
    </row>
    <row r="11">
      <c r="B11" s="243">
        <f>'Data Consolidation'!P2</f>
        <v/>
      </c>
      <c r="C11" s="244">
        <f>SUMIFS('Data Consolidation'!P$3:P$36,'Data Consolidation'!$A$3:$A$36,"Gross Potential Rent")</f>
        <v/>
      </c>
      <c r="D11" s="244">
        <f>SUMIFS('Data Consolidation'!$P$3:$P$36,'Data Consolidation'!$A$3:$A$36,"Vacancy")</f>
        <v/>
      </c>
      <c r="E11" s="244">
        <f>SUMIFS('Data Consolidation'!$P$3:$P$36,'Data Consolidation'!$A$3:$A$36,"Concessions")</f>
        <v/>
      </c>
      <c r="F11" s="244">
        <f>SUMIFS('Data Consolidation'!$P$3:$P$36,'Data Consolidation'!$A$3:$A$36,"bad debt")</f>
        <v/>
      </c>
      <c r="G11" s="252">
        <f>SUM(C11:F11)</f>
        <v/>
      </c>
      <c r="H11" s="244">
        <f>SUMIFS('Data Consolidation'!$P$3:$P$36,'Data Consolidation'!$A$3:$A$36,"Utility Reimbursement")</f>
        <v/>
      </c>
      <c r="I11" s="244">
        <f>SUMIFS('Data Consolidation'!$P$3:$P$36,'Data Consolidation'!$A$3:$A$36,"Home Rent Income")</f>
        <v/>
      </c>
      <c r="J11" s="244">
        <f>SUMIFS('Data Consolidation'!$P$3:$P$36,'Data Consolidation'!$A$3:$A$36,"RV site rental income")</f>
        <v/>
      </c>
      <c r="K11" s="244">
        <f>SUMIFS('Data Consolidation'!$P$3:$P$36,'Data Consolidation'!$A$3:$A$36,"Parking Income")</f>
        <v/>
      </c>
      <c r="L11" s="244">
        <f>SUMIFS('Data Consolidation'!$P$3:$P$36,'Data Consolidation'!$A$3:$A$36,"Laundry Income")</f>
        <v/>
      </c>
      <c r="M11" s="244">
        <f>SUMIFS('Data Consolidation'!$P$3:$P$36,'Data Consolidation'!$A$3:$A$36,"Other Income")</f>
        <v/>
      </c>
      <c r="N11" s="253">
        <f>G11+H11+I11+J11+K11+L11+M11</f>
        <v/>
      </c>
    </row>
    <row r="12">
      <c r="B12" s="243">
        <f>'Data Consolidation'!Q2</f>
        <v/>
      </c>
      <c r="C12" s="244">
        <f>SUMIFS('Data Consolidation'!Q$3:Q$36,'Data Consolidation'!$A$3:$A$36,"Gross Potential Rent")</f>
        <v/>
      </c>
      <c r="D12" s="244">
        <f>SUMIFS('Data Consolidation'!$Q$3:$Q$36,'Data Consolidation'!$A$3:$A$36,"Vacancy")</f>
        <v/>
      </c>
      <c r="E12" s="244">
        <f>SUMIFS('Data Consolidation'!$Q$3:$Q$36,'Data Consolidation'!$A$3:$A$36,"Concessions")</f>
        <v/>
      </c>
      <c r="F12" s="244">
        <f>SUMIFS('Data Consolidation'!$Q$3:$Q$36,'Data Consolidation'!$A$3:$A$36,"bad debt")</f>
        <v/>
      </c>
      <c r="G12" s="252">
        <f>SUM(C12:F12)</f>
        <v/>
      </c>
      <c r="H12" s="244">
        <f>SUMIFS('Data Consolidation'!$Q$3:$Q$36,'Data Consolidation'!$A$3:$A$36,"Utility Reimbursement")</f>
        <v/>
      </c>
      <c r="I12" s="244">
        <f>SUMIFS('Data Consolidation'!$Q$3:$Q$36,'Data Consolidation'!$A$3:$A$36,"Home Rent Income")</f>
        <v/>
      </c>
      <c r="J12" s="244">
        <f>SUMIFS('Data Consolidation'!$Q$3:$Q$36,'Data Consolidation'!$A$3:$A$36,"RV site rental income")</f>
        <v/>
      </c>
      <c r="K12" s="244">
        <f>SUMIFS('Data Consolidation'!$Q$3:$Q$36,'Data Consolidation'!$A$3:$A$36,"Parking Income")</f>
        <v/>
      </c>
      <c r="L12" s="244">
        <f>SUMIFS('Data Consolidation'!$Q$3:$Q$36,'Data Consolidation'!$A$3:$A$36,"Laundry Income")</f>
        <v/>
      </c>
      <c r="M12" s="244">
        <f>SUMIFS('Data Consolidation'!$Q$3:$Q$36,'Data Consolidation'!$A$3:$A$36,"Other Income")</f>
        <v/>
      </c>
      <c r="N12" s="253">
        <f>G12+H12+I12+J12+K12+L12+M12</f>
        <v/>
      </c>
    </row>
    <row r="13">
      <c r="B13" s="243">
        <f>'Data Consolidation'!R2</f>
        <v/>
      </c>
      <c r="C13" s="244">
        <f>SUMIFS('Data Consolidation'!R$3:R$36,'Data Consolidation'!$A$3:$A$36,"Gross Potential Rent")</f>
        <v/>
      </c>
      <c r="D13" s="244">
        <f>SUMIFS('Data Consolidation'!$R$3:$R$36,'Data Consolidation'!$A$3:$A$36,"Vacancy")</f>
        <v/>
      </c>
      <c r="E13" s="244">
        <f>SUMIFS('Data Consolidation'!$R$3:$R$36,'Data Consolidation'!$A$3:$A$36,"Concessions")</f>
        <v/>
      </c>
      <c r="F13" s="244">
        <f>SUMIFS('Data Consolidation'!$R$3:$R$36,'Data Consolidation'!$A$3:$A$36,"bad debt")</f>
        <v/>
      </c>
      <c r="G13" s="252">
        <f>SUM(C13:F13)</f>
        <v/>
      </c>
      <c r="H13" s="244">
        <f>SUMIFS('Data Consolidation'!$R$3:$R$36,'Data Consolidation'!$A$3:$A$36,"Utility Reimbursement")</f>
        <v/>
      </c>
      <c r="I13" s="244">
        <f>SUMIFS('Data Consolidation'!$R$3:$R$36,'Data Consolidation'!$A$3:$A$36,"Home Rent Income")</f>
        <v/>
      </c>
      <c r="J13" s="244">
        <f>SUMIFS('Data Consolidation'!$R$3:$R$36,'Data Consolidation'!$A$3:$A$36,"RV site rental income")</f>
        <v/>
      </c>
      <c r="K13" s="244">
        <f>SUMIFS('Data Consolidation'!$R$3:$R$36,'Data Consolidation'!$A$3:$A$36,"Parking Income")</f>
        <v/>
      </c>
      <c r="L13" s="244">
        <f>SUMIFS('Data Consolidation'!$R$3:$R$36,'Data Consolidation'!$A$3:$A$36,"Laundry Income")</f>
        <v/>
      </c>
      <c r="M13" s="244">
        <f>SUMIFS('Data Consolidation'!$R$3:$R$36,'Data Consolidation'!$A$3:$A$36,"Other Income")</f>
        <v/>
      </c>
      <c r="N13" s="253">
        <f>G13+H13+I13+J13+K13+L13+M13</f>
        <v/>
      </c>
    </row>
    <row r="14">
      <c r="B14" s="243">
        <f>'Data Consolidation'!S2</f>
        <v/>
      </c>
      <c r="C14" s="244">
        <f>SUMIFS('Data Consolidation'!S$3:S$36,'Data Consolidation'!$A$3:$A$36,"Gross Potential Rent")</f>
        <v/>
      </c>
      <c r="D14" s="244">
        <f>SUMIFS('Data Consolidation'!$S$3:$S$36,'Data Consolidation'!$A$3:$A$36,"Vacancy")</f>
        <v/>
      </c>
      <c r="E14" s="244">
        <f>SUMIFS('Data Consolidation'!$S$3:$S$36,'Data Consolidation'!$A$3:$A$36,"Concessions")</f>
        <v/>
      </c>
      <c r="F14" s="244">
        <f>SUMIFS('Data Consolidation'!$S$3:$S$36,'Data Consolidation'!$A$3:$A$36,"bad debt")</f>
        <v/>
      </c>
      <c r="G14" s="252">
        <f>SUM(C14:F14)</f>
        <v/>
      </c>
      <c r="H14" s="244">
        <f>SUMIFS('Data Consolidation'!$S$3:$S$36,'Data Consolidation'!$A$3:$A$36,"Utility Reimbursement")</f>
        <v/>
      </c>
      <c r="I14" s="244">
        <f>SUMIFS('Data Consolidation'!$S$3:$S$36,'Data Consolidation'!$A$3:$A$36,"Home Rent Income")</f>
        <v/>
      </c>
      <c r="J14" s="244">
        <f>SUMIFS('Data Consolidation'!$S$3:$S$36,'Data Consolidation'!$A$3:$A$36,"RV site rental income")</f>
        <v/>
      </c>
      <c r="K14" s="244">
        <f>SUMIFS('Data Consolidation'!$S$3:$S$36,'Data Consolidation'!$A$3:$A$36,"Parking Income")</f>
        <v/>
      </c>
      <c r="L14" s="244">
        <f>SUMIFS('Data Consolidation'!$S$3:$S$36,'Data Consolidation'!$A$3:$A$36,"Laundry Income")</f>
        <v/>
      </c>
      <c r="M14" s="244">
        <f>SUMIFS('Data Consolidation'!$S$3:$S$36,'Data Consolidation'!$A$3:$A$36,"Other Income")</f>
        <v/>
      </c>
      <c r="N14" s="253">
        <f>G14+H14+I14+J14+K14+L14+M14</f>
        <v/>
      </c>
    </row>
    <row r="15">
      <c r="B15" s="243">
        <f>'Data Consolidation'!T2</f>
        <v/>
      </c>
      <c r="C15" s="244">
        <f>SUMIFS('Data Consolidation'!T$3:T$36,'Data Consolidation'!$A$3:$A$36,"Gross Potential Rent")</f>
        <v/>
      </c>
      <c r="D15" s="244">
        <f>SUMIFS('Data Consolidation'!$T$3:$T$36,'Data Consolidation'!$A$3:$A$36,"Vacancy")</f>
        <v/>
      </c>
      <c r="E15" s="244">
        <f>SUMIFS('Data Consolidation'!$T$3:$T$36,'Data Consolidation'!$A$3:$A$36,"Concessions")</f>
        <v/>
      </c>
      <c r="F15" s="244">
        <f>SUMIFS('Data Consolidation'!$T$3:$T$36,'Data Consolidation'!$A$3:$A$36,"bad debt")</f>
        <v/>
      </c>
      <c r="G15" s="252">
        <f>SUM(C15:F15)</f>
        <v/>
      </c>
      <c r="H15" s="244">
        <f>SUMIFS('Data Consolidation'!$T$3:$T$36,'Data Consolidation'!$A$3:$A$36,"Utility Reimbursement")</f>
        <v/>
      </c>
      <c r="I15" s="244">
        <f>SUMIFS('Data Consolidation'!$T$3:$T$36,'Data Consolidation'!$A$3:$A$36,"Home Rent Income")</f>
        <v/>
      </c>
      <c r="J15" s="244">
        <f>SUMIFS('Data Consolidation'!$T$3:$T$36,'Data Consolidation'!$A$3:$A$36,"RV site rental income")</f>
        <v/>
      </c>
      <c r="K15" s="244">
        <f>SUMIFS('Data Consolidation'!$T$3:$T$36,'Data Consolidation'!$A$3:$A$36,"Parking Income")</f>
        <v/>
      </c>
      <c r="L15" s="244">
        <f>SUMIFS('Data Consolidation'!$T$3:$T$36,'Data Consolidation'!$A$3:$A$36,"Laundry Income")</f>
        <v/>
      </c>
      <c r="M15" s="244">
        <f>SUMIFS('Data Consolidation'!$T$3:$T$36,'Data Consolidation'!$A$3:$A$36,"Other Income")</f>
        <v/>
      </c>
      <c r="N15" s="253">
        <f>G15+H15+I15+J15+K15+L15+M15</f>
        <v/>
      </c>
    </row>
    <row r="16">
      <c r="B16" s="243">
        <f>'Data Consolidation'!U2</f>
        <v/>
      </c>
      <c r="C16" s="244">
        <f>SUMIFS('Data Consolidation'!U$3:U$36,'Data Consolidation'!$A$3:$A$36,"Gross Potential Rent")</f>
        <v/>
      </c>
      <c r="D16" s="244">
        <f>SUMIFS('Data Consolidation'!$U$3:$U$36,'Data Consolidation'!$A$3:$A$36,"Vacancy")</f>
        <v/>
      </c>
      <c r="E16" s="244">
        <f>SUMIFS('Data Consolidation'!$U$3:$U$36,'Data Consolidation'!$A$3:$A$36,"Concessions")</f>
        <v/>
      </c>
      <c r="F16" s="244">
        <f>SUMIFS('Data Consolidation'!$U$3:$U$36,'Data Consolidation'!$A$3:$A$36,"bad debt")</f>
        <v/>
      </c>
      <c r="G16" s="252">
        <f>SUM(C16:F16)</f>
        <v/>
      </c>
      <c r="H16" s="244">
        <f>SUMIFS('Data Consolidation'!$U$3:$U$36,'Data Consolidation'!$A$3:$A$36,"Utility Reimbursement")</f>
        <v/>
      </c>
      <c r="I16" s="244">
        <f>SUMIFS('Data Consolidation'!$U$3:$U$36,'Data Consolidation'!$A$3:$A$36,"Home Rent Income")</f>
        <v/>
      </c>
      <c r="J16" s="244">
        <f>SUMIFS('Data Consolidation'!$U$3:$U$36,'Data Consolidation'!$A$3:$A$36,"RV site rental income")</f>
        <v/>
      </c>
      <c r="K16" s="244">
        <f>SUMIFS('Data Consolidation'!$U$3:$U$36,'Data Consolidation'!$A$3:$A$36,"Parking Income")</f>
        <v/>
      </c>
      <c r="L16" s="244">
        <f>SUMIFS('Data Consolidation'!$U$3:$U$36,'Data Consolidation'!$A$3:$A$36,"Laundry Income")</f>
        <v/>
      </c>
      <c r="M16" s="244">
        <f>SUMIFS('Data Consolidation'!$U$3:$U$36,'Data Consolidation'!$A$3:$A$36,"Other Income")</f>
        <v/>
      </c>
      <c r="N16" s="253">
        <f>G16+H16+I16+J16+K16+L16+M16</f>
        <v/>
      </c>
    </row>
    <row r="17"/>
    <row r="18"/>
    <row r="19"/>
    <row r="20" ht="18.75" customHeight="1">
      <c r="B20" s="249" t="inlineStr">
        <is>
          <t>Avg NRI Analysis</t>
        </is>
      </c>
      <c r="D20" s="247" t="inlineStr">
        <is>
          <t>% Difference</t>
        </is>
      </c>
      <c r="F20" s="250" t="inlineStr">
        <is>
          <t>Net Rental Income</t>
        </is>
      </c>
    </row>
    <row r="21">
      <c r="B21" s="242" t="inlineStr">
        <is>
          <t>T1</t>
        </is>
      </c>
      <c r="C21" s="245">
        <f>G16</f>
        <v/>
      </c>
      <c r="D21" s="246">
        <f>(C21-C22)/C22</f>
        <v/>
      </c>
      <c r="E21" t="inlineStr">
        <is>
          <t>T1vsT3</t>
        </is>
      </c>
    </row>
    <row r="22">
      <c r="B22" s="242" t="inlineStr">
        <is>
          <t>T3</t>
        </is>
      </c>
      <c r="C22" s="245">
        <f>AVERAGE(G14:G16)</f>
        <v/>
      </c>
      <c r="D22" s="246">
        <f>(C22-C23)/C23</f>
        <v/>
      </c>
      <c r="E22" t="inlineStr">
        <is>
          <t>T3vsT6</t>
        </is>
      </c>
    </row>
    <row r="23">
      <c r="B23" s="242" t="inlineStr">
        <is>
          <t>T6</t>
        </is>
      </c>
      <c r="C23" s="245">
        <f>AVERAGE(G11:G16)</f>
        <v/>
      </c>
      <c r="D23" s="246">
        <f>(C23-C24)/C24</f>
        <v/>
      </c>
      <c r="E23" t="inlineStr">
        <is>
          <t>T6vsT12</t>
        </is>
      </c>
    </row>
    <row r="24">
      <c r="B24" s="242" t="inlineStr">
        <is>
          <t>T12</t>
        </is>
      </c>
      <c r="C24" s="245">
        <f>AVERAGE(G5:G16)</f>
        <v/>
      </c>
      <c r="D24" s="241" t="n"/>
    </row>
    <row r="25"/>
    <row r="26"/>
    <row r="27"/>
    <row r="28"/>
    <row r="29"/>
    <row r="30"/>
    <row r="31"/>
    <row r="32"/>
    <row r="33"/>
    <row r="34"/>
    <row r="35"/>
    <row r="36"/>
    <row r="37"/>
    <row r="38"/>
    <row r="39"/>
    <row r="40" ht="21" customHeight="1">
      <c r="F40" s="251"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49"/>
  <sheetViews>
    <sheetView workbookViewId="0">
      <selection activeCell="E15" sqref="E15"/>
    </sheetView>
  </sheetViews>
  <sheetFormatPr baseColWidth="8" defaultColWidth="9.140625" defaultRowHeight="15"/>
  <cols>
    <col width="48.42578125" customWidth="1" style="59" min="1" max="1"/>
    <col width="39.42578125" customWidth="1" style="59" min="2" max="2"/>
    <col width="26.42578125" customWidth="1" style="59" min="3" max="3"/>
    <col width="20"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97" t="inlineStr">
        <is>
          <t>GARY GROUP CAPITAL - UNIT MIX GROWTH</t>
        </is>
      </c>
      <c r="B1" s="298" t="n"/>
      <c r="C1" s="299" t="n"/>
      <c r="D1" s="299" t="n"/>
      <c r="E1" s="299" t="n"/>
      <c r="F1" s="299" t="n"/>
      <c r="G1" s="299" t="n"/>
      <c r="H1" s="299" t="n"/>
      <c r="I1" s="299" t="n"/>
      <c r="J1" s="299" t="n"/>
      <c r="K1" s="299" t="n"/>
      <c r="L1" s="299" t="n"/>
      <c r="M1" s="299" t="n"/>
      <c r="N1" s="298" t="n"/>
      <c r="O1" s="298" t="n"/>
      <c r="P1" s="298" t="n"/>
      <c r="Q1" s="298" t="n"/>
      <c r="R1" s="298" t="n"/>
      <c r="S1" s="298" t="n"/>
      <c r="T1" s="298" t="n"/>
      <c r="U1" s="298" t="n"/>
      <c r="V1" s="298" t="n"/>
      <c r="W1" s="298" t="n"/>
      <c r="X1" s="298" t="n"/>
      <c r="Y1" s="298" t="n"/>
      <c r="Z1" s="298" t="n"/>
      <c r="AA1" s="298" t="n"/>
      <c r="AB1" s="298" t="n"/>
      <c r="AC1" s="298"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row r="3" ht="15.75" customHeight="1" thickBot="1">
      <c r="A3" s="383" t="inlineStr">
        <is>
          <t>Lots only</t>
        </is>
      </c>
    </row>
    <row r="4" ht="15.75" customHeight="1" thickBot="1">
      <c r="A4" s="510" t="inlineStr">
        <is>
          <t>Key Assumptions</t>
        </is>
      </c>
      <c r="B4" s="275" t="inlineStr">
        <is>
          <t>Year 1</t>
        </is>
      </c>
      <c r="C4" s="275" t="inlineStr">
        <is>
          <t>Year 2</t>
        </is>
      </c>
      <c r="D4" s="275" t="inlineStr">
        <is>
          <t>Year 3</t>
        </is>
      </c>
      <c r="E4" s="275" t="inlineStr">
        <is>
          <t>Year 4</t>
        </is>
      </c>
      <c r="F4" s="275" t="inlineStr">
        <is>
          <t>Year 5</t>
        </is>
      </c>
      <c r="G4" s="275" t="inlineStr">
        <is>
          <t>Year 6</t>
        </is>
      </c>
      <c r="H4" s="275" t="inlineStr">
        <is>
          <t>Year 7</t>
        </is>
      </c>
      <c r="I4" s="275" t="inlineStr">
        <is>
          <t>Year 8</t>
        </is>
      </c>
      <c r="J4" s="275" t="inlineStr">
        <is>
          <t>Year 9</t>
        </is>
      </c>
      <c r="K4" s="276" t="inlineStr">
        <is>
          <t>Year 10</t>
        </is>
      </c>
    </row>
    <row r="5" ht="15.75" customHeight="1" thickBot="1">
      <c r="A5" s="511">
        <f>C10</f>
        <v/>
      </c>
      <c r="B5" s="750" t="n">
        <v>0.05</v>
      </c>
      <c r="C5" s="750" t="n">
        <v>0.05</v>
      </c>
      <c r="D5" s="750" t="n">
        <v>0.05</v>
      </c>
      <c r="E5" s="750" t="n">
        <v>0.05</v>
      </c>
      <c r="F5" s="750" t="n">
        <v>0.05</v>
      </c>
      <c r="G5" s="750" t="n">
        <v>0.05</v>
      </c>
      <c r="H5" s="750" t="n">
        <v>0.05</v>
      </c>
      <c r="I5" s="750" t="n">
        <v>0.05</v>
      </c>
      <c r="J5" s="750" t="n">
        <v>0.05</v>
      </c>
      <c r="K5" s="750" t="n">
        <v>0.05</v>
      </c>
    </row>
    <row r="6">
      <c r="A6" s="511">
        <f>C11</f>
        <v/>
      </c>
      <c r="B6" s="750" t="n">
        <v>0.05</v>
      </c>
      <c r="C6" s="750" t="n">
        <v>0.05</v>
      </c>
      <c r="D6" s="750" t="n">
        <v>0.05</v>
      </c>
      <c r="E6" s="750" t="n">
        <v>0.05</v>
      </c>
      <c r="F6" s="750" t="n">
        <v>0.05</v>
      </c>
      <c r="G6" s="750" t="n">
        <v>0.05</v>
      </c>
      <c r="H6" s="750" t="n">
        <v>0.05</v>
      </c>
      <c r="I6" s="750" t="n">
        <v>0.05</v>
      </c>
      <c r="J6" s="750" t="n">
        <v>0.05</v>
      </c>
      <c r="K6" s="750" t="n">
        <v>0.05</v>
      </c>
    </row>
    <row r="7">
      <c r="A7" s="59" t="n"/>
      <c r="B7" s="59" t="n"/>
      <c r="C7" s="59" t="n"/>
      <c r="D7" s="59" t="n"/>
      <c r="E7" s="59" t="n"/>
      <c r="F7" s="59" t="n"/>
      <c r="G7" s="59" t="n"/>
      <c r="H7" s="59" t="n"/>
      <c r="I7" s="59" t="n"/>
      <c r="J7" s="59" t="n"/>
      <c r="K7" s="59"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249" t="n"/>
      <c r="B8" s="59" t="n"/>
      <c r="C8" s="59" t="n"/>
      <c r="D8" s="59" t="n"/>
      <c r="E8" s="751" t="inlineStr">
        <is>
          <t>Lot Rent</t>
        </is>
      </c>
      <c r="F8" s="59" t="n"/>
      <c r="G8" s="208" t="n"/>
      <c r="H8" s="59" t="inlineStr">
        <is>
          <t>market by Y3 for property #3</t>
        </is>
      </c>
      <c r="I8" s="59" t="n"/>
      <c r="J8" s="59" t="n"/>
      <c r="K8" s="59"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ht="33" customHeight="1">
      <c r="C9" s="59" t="inlineStr">
        <is>
          <t>Unit Mix</t>
        </is>
      </c>
      <c r="D9" s="341" t="inlineStr">
        <is>
          <t># of Units</t>
        </is>
      </c>
      <c r="E9" s="171" t="inlineStr">
        <is>
          <t>Avg Monthly Rent</t>
        </is>
      </c>
      <c r="F9" s="143" t="inlineStr">
        <is>
          <t>Year 1</t>
        </is>
      </c>
      <c r="G9" s="143" t="inlineStr">
        <is>
          <t>Year 2</t>
        </is>
      </c>
      <c r="H9" s="143" t="inlineStr">
        <is>
          <t>Year 3</t>
        </is>
      </c>
      <c r="I9" s="143" t="inlineStr">
        <is>
          <t>Year 4</t>
        </is>
      </c>
      <c r="J9" s="143" t="inlineStr">
        <is>
          <t>Year 5</t>
        </is>
      </c>
      <c r="K9" s="143" t="inlineStr">
        <is>
          <t>Year 6</t>
        </is>
      </c>
      <c r="L9" s="143" t="inlineStr">
        <is>
          <t>Year 7</t>
        </is>
      </c>
      <c r="M9" s="143" t="inlineStr">
        <is>
          <t>Year 8</t>
        </is>
      </c>
      <c r="N9" s="143" t="inlineStr">
        <is>
          <t>Year 9</t>
        </is>
      </c>
      <c r="O9" s="143" t="inlineStr">
        <is>
          <t>Year 10</t>
        </is>
      </c>
    </row>
    <row r="10" ht="36" customHeight="1">
      <c r="B10" s="514">
        <f>D10/$D$12</f>
        <v/>
      </c>
      <c r="C10" s="515">
        <f>'Unit Mix Summary'!B4</f>
        <v/>
      </c>
      <c r="D10" s="516">
        <f>'Unit Mix Summary'!E4</f>
        <v/>
      </c>
      <c r="E10" s="217">
        <f>'Unit Mix Summary'!H4/'Unit Mix Summary'!E4</f>
        <v/>
      </c>
      <c r="F10" s="217">
        <f>E10*(100%+B$5)</f>
        <v/>
      </c>
      <c r="G10" s="217">
        <f>F10*(100%+C$5)</f>
        <v/>
      </c>
      <c r="H10" s="217">
        <f>G10*(100%+D$5)</f>
        <v/>
      </c>
      <c r="I10" s="217">
        <f>H10*(100%+E$5)</f>
        <v/>
      </c>
      <c r="J10" s="217">
        <f>I10*(100%+F$5)</f>
        <v/>
      </c>
      <c r="K10" s="217">
        <f>J10*(100%+G$5)</f>
        <v/>
      </c>
      <c r="L10" s="217">
        <f>K10*(100%+H$5)</f>
        <v/>
      </c>
      <c r="M10" s="217">
        <f>L10*(100%+I$5)</f>
        <v/>
      </c>
      <c r="N10" s="217">
        <f>M10*(100%+J$5)</f>
        <v/>
      </c>
      <c r="O10" s="217">
        <f>N10*(100%+K$5)</f>
        <v/>
      </c>
    </row>
    <row r="11" ht="42.95" customHeight="1">
      <c r="B11" s="514">
        <f>D11/$D$12</f>
        <v/>
      </c>
      <c r="C11" s="515">
        <f>'Unit Mix Summary'!B5</f>
        <v/>
      </c>
      <c r="D11" s="516">
        <f>'Unit Mix Summary'!E5</f>
        <v/>
      </c>
      <c r="E11" s="217">
        <f>'Unit Mix Summary'!H5/'Unit Mix Summary'!E5</f>
        <v/>
      </c>
      <c r="F11" s="217">
        <f>E11*(100%+B$6)</f>
        <v/>
      </c>
      <c r="G11" s="217">
        <f>F11*(100%+C$6)</f>
        <v/>
      </c>
      <c r="H11" s="217">
        <f>G11*(100%+D$6)</f>
        <v/>
      </c>
      <c r="I11" s="217">
        <f>H11*(100%+E$6)</f>
        <v/>
      </c>
      <c r="J11" s="217">
        <f>I11*(100%+F$6)</f>
        <v/>
      </c>
      <c r="K11" s="217">
        <f>J11*(100%+G$6)</f>
        <v/>
      </c>
      <c r="L11" s="217">
        <f>K11*(100%+H$6)</f>
        <v/>
      </c>
      <c r="M11" s="217">
        <f>L11*(100%+I$6)</f>
        <v/>
      </c>
      <c r="N11" s="217">
        <f>M11*(100%+J$6)</f>
        <v/>
      </c>
      <c r="O11" s="217">
        <f>N11*(100%+K$6)</f>
        <v/>
      </c>
    </row>
    <row r="12" ht="35.25" customHeight="1">
      <c r="B12" s="514">
        <f>SUM(B10:B11)</f>
        <v/>
      </c>
      <c r="C12" s="517" t="inlineStr">
        <is>
          <t>Total Weighted Average</t>
        </is>
      </c>
      <c r="D12" s="518">
        <f>SUM(D10:D11)</f>
        <v/>
      </c>
      <c r="E12" s="519">
        <f>SUMPRODUCT($B$10:$B$11,E10:E11)</f>
        <v/>
      </c>
      <c r="F12" s="519">
        <f>SUMPRODUCT($B$10:$B$11,F10:F11)</f>
        <v/>
      </c>
      <c r="G12" s="519">
        <f>SUMPRODUCT($B$10:$B$11,G10:G11)</f>
        <v/>
      </c>
      <c r="H12" s="519">
        <f>SUMPRODUCT($B$10:$B$11,H10:H11)</f>
        <v/>
      </c>
      <c r="I12" s="519">
        <f>SUMPRODUCT($B$10:$B$11,I10:I11)</f>
        <v/>
      </c>
      <c r="J12" s="519">
        <f>SUMPRODUCT($B$10:$B$11,J10:J11)</f>
        <v/>
      </c>
      <c r="K12" s="519">
        <f>SUMPRODUCT($B$10:$B$11,K10:K11)</f>
        <v/>
      </c>
      <c r="L12" s="519">
        <f>SUMPRODUCT($B$10:$B$11,L10:L11)</f>
        <v/>
      </c>
      <c r="M12" s="519">
        <f>SUMPRODUCT($B$10:$B$11,M10:M11)</f>
        <v/>
      </c>
      <c r="N12" s="519">
        <f>SUMPRODUCT($B$10:$B$11,N10:N11)</f>
        <v/>
      </c>
      <c r="O12" s="519">
        <f>SUMPRODUCT($B$10:$B$11,O10:O11)</f>
        <v/>
      </c>
    </row>
    <row r="13" ht="15.6" customHeight="1">
      <c r="B13" s="514" t="n"/>
      <c r="D13" s="520" t="inlineStr">
        <is>
          <t>$change</t>
        </is>
      </c>
      <c r="E13" s="454" t="n"/>
      <c r="F13" s="521">
        <f>F12-E12</f>
        <v/>
      </c>
      <c r="G13" s="521">
        <f>G12-F12</f>
        <v/>
      </c>
      <c r="H13" s="521">
        <f>H12-G12</f>
        <v/>
      </c>
      <c r="I13" s="521">
        <f>I12-H12</f>
        <v/>
      </c>
      <c r="J13" s="521">
        <f>J12-I12</f>
        <v/>
      </c>
      <c r="K13" s="521">
        <f>K12-J12</f>
        <v/>
      </c>
      <c r="L13" s="521">
        <f>L12-K12</f>
        <v/>
      </c>
      <c r="M13" s="521">
        <f>M12-L12</f>
        <v/>
      </c>
      <c r="N13" s="521">
        <f>N12-M12</f>
        <v/>
      </c>
      <c r="O13" s="521">
        <f>O12-N12</f>
        <v/>
      </c>
    </row>
    <row r="14" ht="24.6" customHeight="1">
      <c r="D14" s="522" t="inlineStr">
        <is>
          <t>GPR</t>
        </is>
      </c>
      <c r="E14" s="523">
        <f>E12*$D$12*12</f>
        <v/>
      </c>
      <c r="F14" s="523">
        <f>F12*$D$12*12</f>
        <v/>
      </c>
      <c r="G14" s="523">
        <f>G12*$D$12*12</f>
        <v/>
      </c>
      <c r="H14" s="523">
        <f>H12*$D$12*12</f>
        <v/>
      </c>
      <c r="I14" s="523">
        <f>I12*$D$12*12</f>
        <v/>
      </c>
      <c r="J14" s="523">
        <f>J12*$D$12*12</f>
        <v/>
      </c>
      <c r="K14" s="523">
        <f>K12*$D$12*12</f>
        <v/>
      </c>
      <c r="L14" s="523">
        <f>L12*$D$12*12</f>
        <v/>
      </c>
      <c r="M14" s="523">
        <f>M12*$D$12*12</f>
        <v/>
      </c>
      <c r="N14" s="523">
        <f>N12*$D$12*12</f>
        <v/>
      </c>
      <c r="O14" s="523">
        <f>O12*$D$12*12</f>
        <v/>
      </c>
    </row>
    <row r="15">
      <c r="B15" s="398" t="n"/>
      <c r="C15" s="59" t="n">
        <v>4</v>
      </c>
      <c r="D15" s="416" t="inlineStr">
        <is>
          <t>Vacant Lots</t>
        </is>
      </c>
      <c r="E15" s="524">
        <f>'Unit Mix Summary'!D4</f>
        <v/>
      </c>
      <c r="F15" s="524">
        <f>E15-C15</f>
        <v/>
      </c>
      <c r="G15" s="524" t="n">
        <v>6</v>
      </c>
      <c r="H15" s="524" t="n">
        <v>6</v>
      </c>
      <c r="I15" s="524" t="n">
        <v>6</v>
      </c>
      <c r="J15" s="524" t="n">
        <v>6</v>
      </c>
      <c r="K15" s="524" t="n">
        <v>6</v>
      </c>
      <c r="L15" s="524" t="n">
        <v>6</v>
      </c>
      <c r="M15" s="524" t="n">
        <v>6</v>
      </c>
      <c r="N15" s="524" t="n">
        <v>6</v>
      </c>
      <c r="O15" s="524" t="n">
        <v>6</v>
      </c>
    </row>
    <row r="16">
      <c r="B16" s="398" t="n"/>
      <c r="C16" s="59" t="n">
        <v>4</v>
      </c>
      <c r="D16" s="416" t="inlineStr">
        <is>
          <t>Vacant Homes</t>
        </is>
      </c>
      <c r="E16" s="524">
        <f>'Unit Mix Summary'!D5</f>
        <v/>
      </c>
      <c r="F16" s="524">
        <f>E16-$C$16</f>
        <v/>
      </c>
      <c r="G16" s="524" t="n">
        <v>4</v>
      </c>
      <c r="H16" s="524" t="n">
        <v>2</v>
      </c>
      <c r="I16" s="524" t="n">
        <v>2</v>
      </c>
      <c r="J16" s="524">
        <f>$H$16</f>
        <v/>
      </c>
      <c r="K16" s="524">
        <f>$H$16</f>
        <v/>
      </c>
      <c r="L16" s="524">
        <f>$H$16</f>
        <v/>
      </c>
      <c r="M16" s="524">
        <f>$H$16</f>
        <v/>
      </c>
      <c r="N16" s="524">
        <f>$H$16</f>
        <v/>
      </c>
      <c r="O16" s="524">
        <f>$H$16</f>
        <v/>
      </c>
    </row>
    <row r="17">
      <c r="D17" s="525" t="inlineStr">
        <is>
          <t>Vacancy</t>
        </is>
      </c>
      <c r="E17" s="526">
        <f>SUM(E15:E16)/$D$12</f>
        <v/>
      </c>
      <c r="F17" s="526">
        <f>SUM(F15:F16)/$D$12</f>
        <v/>
      </c>
      <c r="G17" s="526">
        <f>SUM(G15:G16)/$D$12</f>
        <v/>
      </c>
      <c r="H17" s="526">
        <f>SUM(H15:H16)/$D$12</f>
        <v/>
      </c>
      <c r="I17" s="526">
        <f>SUM(I15:I16)/$D$12</f>
        <v/>
      </c>
      <c r="J17" s="526">
        <f>SUM(J15:J16)/$D$12</f>
        <v/>
      </c>
      <c r="K17" s="526">
        <f>SUM(K15:K16)/$D$12</f>
        <v/>
      </c>
      <c r="L17" s="526">
        <f>SUM(L15:L16)/$D$12</f>
        <v/>
      </c>
      <c r="M17" s="526">
        <f>SUM(M15:M16)/$D$12</f>
        <v/>
      </c>
      <c r="N17" s="526">
        <f>SUM(N15:N16)/$D$12</f>
        <v/>
      </c>
      <c r="O17" s="526">
        <f>SUM(O15:O16)/$D$12</f>
        <v/>
      </c>
    </row>
    <row r="18">
      <c r="E18" s="156" t="n"/>
      <c r="F18" s="527" t="inlineStr">
        <is>
          <t>add 4 homes</t>
        </is>
      </c>
      <c r="G18" s="528" t="n"/>
      <c r="H18" s="528" t="n"/>
      <c r="I18" s="529" t="n"/>
      <c r="J18" s="230" t="n"/>
      <c r="K18" s="230" t="n"/>
      <c r="L18" s="230" t="n"/>
      <c r="M18" s="230" t="n"/>
      <c r="N18" s="230" t="n"/>
      <c r="O18" s="230" t="n"/>
    </row>
    <row r="19">
      <c r="F19" s="59" t="inlineStr">
        <is>
          <t>sell 4 homes</t>
        </is>
      </c>
      <c r="G19" s="59" t="inlineStr">
        <is>
          <t>sell 4 homes</t>
        </is>
      </c>
      <c r="H19" s="334" t="inlineStr">
        <is>
          <t>until vacancy comes down to 5%</t>
        </is>
      </c>
      <c r="I19" s="334" t="n"/>
    </row>
    <row r="20"/>
    <row r="21">
      <c r="G21" s="230" t="n"/>
      <c r="H21" s="230" t="n"/>
      <c r="I21" s="230" t="n"/>
      <c r="J21" s="230" t="n"/>
    </row>
    <row r="22">
      <c r="A22" s="59" t="inlineStr">
        <is>
          <t>Rent cap-6% for 2026 max allowable rent increase is 6%</t>
        </is>
      </c>
    </row>
    <row r="23"/>
    <row r="24"/>
    <row r="25"/>
    <row r="26"/>
    <row r="27">
      <c r="F27" s="230" t="n"/>
    </row>
    <row r="28">
      <c r="F28" s="230" t="n"/>
    </row>
    <row r="29">
      <c r="F29" s="230" t="n"/>
    </row>
    <row r="30">
      <c r="F30" s="230" t="n"/>
    </row>
    <row r="31"/>
    <row r="32"/>
    <row r="33"/>
    <row r="34"/>
    <row r="35"/>
    <row r="36"/>
    <row r="37"/>
    <row r="38"/>
    <row r="39"/>
    <row r="40"/>
    <row r="41"/>
    <row r="42"/>
    <row r="43"/>
    <row r="44" ht="15.75" customHeight="1" thickBot="1">
      <c r="A44" s="383" t="inlineStr">
        <is>
          <t>HoME Rents</t>
        </is>
      </c>
    </row>
    <row r="45" ht="15.75" customHeight="1" thickBot="1">
      <c r="A45" s="510" t="inlineStr">
        <is>
          <t>Key Assumptions</t>
        </is>
      </c>
      <c r="B45" s="275" t="inlineStr">
        <is>
          <t>Year 1</t>
        </is>
      </c>
      <c r="C45" s="275" t="inlineStr">
        <is>
          <t>Year 2</t>
        </is>
      </c>
      <c r="D45" s="275" t="inlineStr">
        <is>
          <t>Year 3</t>
        </is>
      </c>
      <c r="E45" s="275" t="inlineStr">
        <is>
          <t>Year 4</t>
        </is>
      </c>
      <c r="F45" s="275" t="inlineStr">
        <is>
          <t>Year 5</t>
        </is>
      </c>
      <c r="G45" s="275" t="inlineStr">
        <is>
          <t>Year 6</t>
        </is>
      </c>
      <c r="H45" s="275" t="inlineStr">
        <is>
          <t>Year 7</t>
        </is>
      </c>
      <c r="I45" s="275" t="inlineStr">
        <is>
          <t>Year 8</t>
        </is>
      </c>
      <c r="J45" s="275" t="inlineStr">
        <is>
          <t>Year 9</t>
        </is>
      </c>
      <c r="K45" s="276" t="inlineStr">
        <is>
          <t>Year 10</t>
        </is>
      </c>
    </row>
    <row r="46">
      <c r="A46" s="511">
        <f>'Unit Mix Summary'!B5</f>
        <v/>
      </c>
      <c r="B46" s="750" t="n">
        <v>0.06</v>
      </c>
      <c r="C46" s="750" t="n">
        <v>0.06</v>
      </c>
      <c r="D46" s="750" t="n">
        <v>0.06</v>
      </c>
      <c r="E46" s="750" t="n">
        <v>0.06</v>
      </c>
      <c r="F46" s="750" t="n">
        <v>0.06</v>
      </c>
      <c r="G46" s="750" t="n">
        <v>0.06</v>
      </c>
      <c r="H46" s="750" t="n">
        <v>0.06</v>
      </c>
      <c r="I46" s="750" t="n">
        <v>0.06</v>
      </c>
      <c r="J46" s="750" t="n">
        <v>0.06</v>
      </c>
      <c r="K46" s="750" t="n">
        <v>0.06</v>
      </c>
    </row>
    <row r="47">
      <c r="C47" s="59" t="inlineStr">
        <is>
          <t>Unit Mix</t>
        </is>
      </c>
      <c r="D47" s="341" t="inlineStr">
        <is>
          <t># of Units</t>
        </is>
      </c>
      <c r="E47" s="171" t="inlineStr">
        <is>
          <t>Avg Monthly Rent</t>
        </is>
      </c>
      <c r="F47" s="143" t="inlineStr">
        <is>
          <t>Year 1</t>
        </is>
      </c>
      <c r="G47" s="143" t="inlineStr">
        <is>
          <t>Year 2</t>
        </is>
      </c>
      <c r="H47" s="143" t="inlineStr">
        <is>
          <t>Year 3</t>
        </is>
      </c>
      <c r="I47" s="143" t="inlineStr">
        <is>
          <t>Year 4</t>
        </is>
      </c>
      <c r="J47" s="143" t="inlineStr">
        <is>
          <t>Year 5</t>
        </is>
      </c>
      <c r="K47" s="143" t="inlineStr">
        <is>
          <t>Year 6</t>
        </is>
      </c>
      <c r="L47" s="143" t="inlineStr">
        <is>
          <t>Year 7</t>
        </is>
      </c>
      <c r="M47" s="143" t="inlineStr">
        <is>
          <t>Year 8</t>
        </is>
      </c>
      <c r="N47" s="143" t="inlineStr">
        <is>
          <t>Year 9</t>
        </is>
      </c>
      <c r="O47" s="143" t="inlineStr">
        <is>
          <t>Year 10</t>
        </is>
      </c>
    </row>
    <row r="48" ht="30.95" customHeight="1">
      <c r="C48" s="515">
        <f>'Unit Mix Summary'!B5</f>
        <v/>
      </c>
      <c r="D48" s="516">
        <f>'Unit Mix Summary'!E5</f>
        <v/>
      </c>
      <c r="E48" s="217" t="n">
        <v>286</v>
      </c>
      <c r="F48" s="217">
        <f>E48*(100%+B$46)</f>
        <v/>
      </c>
      <c r="G48" s="217">
        <f>F48*(100%+C$46)</f>
        <v/>
      </c>
      <c r="H48" s="217">
        <f>G48*(100%+D$46)</f>
        <v/>
      </c>
      <c r="I48" s="217">
        <f>H48*(100%+E$46)</f>
        <v/>
      </c>
      <c r="J48" s="217">
        <f>I48*(100%+F$46)</f>
        <v/>
      </c>
      <c r="K48" s="217">
        <f>J48*(100%+G$46)</f>
        <v/>
      </c>
      <c r="L48" s="217">
        <f>K48*(100%+H$46)</f>
        <v/>
      </c>
      <c r="M48" s="217">
        <f>L48*(100%+I$46)</f>
        <v/>
      </c>
      <c r="N48" s="217">
        <f>M48*(100%+J$46)</f>
        <v/>
      </c>
      <c r="O48" s="217">
        <f>N48*(100%+K$46)</f>
        <v/>
      </c>
    </row>
    <row r="49" ht="22.5" customHeight="1">
      <c r="C49" s="695" t="inlineStr">
        <is>
          <t>Home Rent Income</t>
        </is>
      </c>
      <c r="D49" s="695" t="n"/>
      <c r="E49" s="696">
        <f>E48*$D$48*12</f>
        <v/>
      </c>
      <c r="F49" s="696">
        <f>F48*$D$48*12</f>
        <v/>
      </c>
      <c r="G49" s="696">
        <f>G48*$D$48*12</f>
        <v/>
      </c>
      <c r="H49" s="696">
        <f>H48*$D$48*12</f>
        <v/>
      </c>
      <c r="I49" s="696">
        <f>I48*$D$48*12</f>
        <v/>
      </c>
      <c r="J49" s="696">
        <f>J48*$D$48*12</f>
        <v/>
      </c>
      <c r="K49" s="696">
        <f>K48*$D$48*12</f>
        <v/>
      </c>
      <c r="L49" s="696">
        <f>L48*$D$48*12</f>
        <v/>
      </c>
      <c r="M49" s="696">
        <f>M48*$D$48*12</f>
        <v/>
      </c>
      <c r="N49" s="696">
        <f>N48*$D$48*12</f>
        <v/>
      </c>
      <c r="O49" s="696">
        <f>O48*$D$48*12</f>
        <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tabColor theme="4" tint="0.7999816888943144"/>
    <outlinePr summaryBelow="1" summaryRight="1"/>
    <pageSetUpPr/>
  </sheetPr>
  <dimension ref="A1:CG39"/>
  <sheetViews>
    <sheetView workbookViewId="0">
      <selection activeCell="F12" sqref="F12"/>
    </sheetView>
  </sheetViews>
  <sheetFormatPr baseColWidth="8" defaultColWidth="9.42578125" defaultRowHeight="15"/>
  <cols>
    <col width="6" customWidth="1" style="74" min="1" max="1"/>
    <col width="23.28515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74" min="11" max="85"/>
    <col width="9.42578125" customWidth="1" style="4" min="86" max="16384"/>
  </cols>
  <sheetData>
    <row r="1" customFormat="1" s="74"/>
    <row r="2" ht="24.75" customFormat="1" customHeight="1" s="128" thickBot="1">
      <c r="B2" s="167" t="inlineStr">
        <is>
          <t xml:space="preserve">MH/RV Rent Roll </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2"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row>
    <row r="4" ht="20.25" customHeight="1">
      <c r="B4" s="215" t="inlineStr">
        <is>
          <t>TOH MH Site</t>
        </is>
      </c>
      <c r="C4" s="216">
        <f>COUNTIFS('Rent Roll Input'!$D$3:$D$2002,"Occupied",'Rent Roll Input'!$C$3:$C$2002,"Type 1")</f>
        <v/>
      </c>
      <c r="D4" s="216">
        <f>COUNTIFS('Rent Roll Input'!$D$3:$D$2002,"Vacant",'Rent Roll Input'!$C$3:$C$2002,"Type 1")</f>
        <v/>
      </c>
      <c r="E4" s="216">
        <f>SUM(C4:D4)</f>
        <v/>
      </c>
      <c r="F4" s="217">
        <f>SUMIFS('Rent Roll Input'!$I$3:$I$2002,'Rent Roll Input'!$D$3:$D$2002,"Occupied",'Rent Roll Input'!$C$3:$C$2002,"Type 1")</f>
        <v/>
      </c>
      <c r="G4" s="217">
        <f>SUMIFS('Rent Roll Input'!$I$3:$I$2002,'Rent Roll Input'!$D$3:$D$2002,"Vacant",'Rent Roll Input'!$C$3:$C$2002,"Type 1")</f>
        <v/>
      </c>
      <c r="H4" s="218">
        <f>F4+G4</f>
        <v/>
      </c>
      <c r="I4" s="74" t="n"/>
      <c r="J4" s="74" t="n"/>
    </row>
    <row r="5" ht="20.25" customHeight="1">
      <c r="B5" s="215" t="inlineStr">
        <is>
          <t>POH-Infilled units</t>
        </is>
      </c>
      <c r="C5" s="216">
        <f>COUNTIFS('Rent Roll Input'!$D$3:$D$2002,"Occupied",'Rent Roll Input'!$C$3:$C$2002,"Type 2")</f>
        <v/>
      </c>
      <c r="D5" s="216">
        <f>COUNTIFS('Rent Roll Input'!$D$3:$D$2002,"Vacant",'Rent Roll Input'!$C$3:$C$2002,"Type 2")</f>
        <v/>
      </c>
      <c r="E5" s="216">
        <f>SUM(C5:D5)</f>
        <v/>
      </c>
      <c r="F5" s="217">
        <f>SUMIFS('Rent Roll Input'!$I$3:$I$2002,'Rent Roll Input'!$D$3:$D$2002,"Occupied",'Rent Roll Input'!$C$3:$C$2002,"Type 2")</f>
        <v/>
      </c>
      <c r="G5" s="217">
        <f>SUMIFS('Rent Roll Input'!$I$3:$I$2002,'Rent Roll Input'!$D$3:$D$2002,"Vacant",'Rent Roll Input'!$C$3:$C$2002,"Type 2")</f>
        <v/>
      </c>
      <c r="H5" s="218">
        <f>F5+G5</f>
        <v/>
      </c>
      <c r="I5" s="74" t="n"/>
      <c r="J5" s="74" t="n"/>
    </row>
    <row r="6" ht="20.25" customHeight="1">
      <c r="B6" s="215" t="inlineStr">
        <is>
          <t>Long term RV Site</t>
        </is>
      </c>
      <c r="C6" s="216">
        <f>COUNTIFS('Rent Roll Input'!$D$3:$D$2002,"Occupied",'Rent Roll Input'!$C$3:$C$2002,"Type 3")</f>
        <v/>
      </c>
      <c r="D6" s="216">
        <f>COUNTIFS('Rent Roll Input'!$D$3:$D$2002,"Vacant",'Rent Roll Input'!$C$3:$C$2002,"Type 3")</f>
        <v/>
      </c>
      <c r="E6" s="216">
        <f>SUM(C6:D6)</f>
        <v/>
      </c>
      <c r="F6" s="217">
        <f>SUMIFS('Rent Roll Input'!$I$3:$I$2002,'Rent Roll Input'!$D$3:$D$2002,"Occupied",'Rent Roll Input'!$C$3:$C$2002,"Type 3")</f>
        <v/>
      </c>
      <c r="G6" s="217">
        <f>SUMIFS('Rent Roll Input'!$I$3:$I$2002,'Rent Roll Input'!$D$3:$D$2002,"Vacant",'Rent Roll Input'!$C$3:$C$2002,"Type 3")</f>
        <v/>
      </c>
      <c r="H6" s="218">
        <f>F6+G6</f>
        <v/>
      </c>
      <c r="I6" s="74" t="n"/>
      <c r="J6" s="74" t="n"/>
    </row>
    <row r="7" ht="20.25" customHeight="1">
      <c r="B7" s="215" t="inlineStr">
        <is>
          <t>Retail/Comemrcial</t>
        </is>
      </c>
      <c r="C7" s="216">
        <f>COUNTIFS('Rent Roll Input'!$D$3:$D$2002,"Occupied",'Rent Roll Input'!$C$3:$C$2002,"Type 4")</f>
        <v/>
      </c>
      <c r="D7" s="216">
        <f>COUNTIFS('Rent Roll Input'!$D$3:$D$2002,"Vacant",'Rent Roll Input'!$C$3:$C$2002,"Type 4")</f>
        <v/>
      </c>
      <c r="E7" s="216">
        <f>SUM(C7:D7)</f>
        <v/>
      </c>
      <c r="F7" s="217">
        <f>SUMIFS('Rent Roll Input'!$I$3:$I$2002,'Rent Roll Input'!$D$3:$D$2002,"Occupied",'Rent Roll Input'!$C$3:$C$2002,"Type 4")</f>
        <v/>
      </c>
      <c r="G7" s="217">
        <f>SUMIFS('Rent Roll Input'!$I$3:$I$2002,'Rent Roll Input'!$D$3:$D$2002,"Vacant",'Rent Roll Input'!$C$3:$C$2002,"Type 4")</f>
        <v/>
      </c>
      <c r="H7" s="218">
        <f>F7+G7</f>
        <v/>
      </c>
      <c r="I7" s="74" t="n"/>
      <c r="J7" s="74" t="n"/>
    </row>
    <row r="8" ht="20.25" customHeight="1">
      <c r="B8" s="673" t="inlineStr">
        <is>
          <t>Total Units</t>
        </is>
      </c>
      <c r="C8" s="674">
        <f>SUM(C4:C7)</f>
        <v/>
      </c>
      <c r="D8" s="674">
        <f>SUM(D4:D7)</f>
        <v/>
      </c>
      <c r="E8" s="674">
        <f>SUM(E4:E7)</f>
        <v/>
      </c>
      <c r="F8" s="675" t="n"/>
      <c r="G8" s="675" t="n"/>
      <c r="H8" s="676" t="n"/>
      <c r="I8" s="74" t="n"/>
      <c r="J8" s="74" t="n"/>
    </row>
    <row r="9" ht="19.5" customHeight="1">
      <c r="B9" s="90" t="inlineStr">
        <is>
          <t>Total MH Sites</t>
        </is>
      </c>
      <c r="C9" s="91">
        <f>SUM(C4:C5)</f>
        <v/>
      </c>
      <c r="D9" s="91">
        <f>SUM(D4:D5)</f>
        <v/>
      </c>
      <c r="E9" s="91">
        <f>SUM(E4:E5)</f>
        <v/>
      </c>
      <c r="F9" s="92">
        <f>SUM(F4:F5)</f>
        <v/>
      </c>
      <c r="G9" s="92">
        <f>SUM(G4:G5)</f>
        <v/>
      </c>
      <c r="H9" s="93">
        <f>SUM(H4:H5)</f>
        <v/>
      </c>
      <c r="I9" s="74" t="n"/>
      <c r="J9" s="74" t="n"/>
    </row>
    <row r="10" ht="18" customHeight="1" thickBot="1">
      <c r="B10" s="86" t="inlineStr">
        <is>
          <t>Total POH</t>
        </is>
      </c>
      <c r="C10" s="87">
        <f>C5</f>
        <v/>
      </c>
      <c r="D10" s="87">
        <f>D5</f>
        <v/>
      </c>
      <c r="E10" s="87">
        <f>E5</f>
        <v/>
      </c>
      <c r="F10" s="88" t="n"/>
      <c r="G10" s="88" t="n"/>
      <c r="H10" s="89" t="n"/>
      <c r="I10" s="74" t="n"/>
      <c r="J10" s="74" t="n"/>
    </row>
    <row r="11" ht="42.95" customHeight="1" thickBot="1">
      <c r="B11" s="173" t="inlineStr">
        <is>
          <t>Annual GPR(MH Lot Rent)</t>
        </is>
      </c>
      <c r="C11" s="509">
        <f>H9*12</f>
        <v/>
      </c>
      <c r="D11" s="74" t="n"/>
      <c r="E11" s="74" t="n"/>
      <c r="F11" s="74" t="n"/>
      <c r="G11" s="74" t="n"/>
      <c r="H11" s="74" t="n"/>
      <c r="I11" s="74" t="n"/>
      <c r="J11" s="74" t="n"/>
    </row>
    <row r="12" ht="21.75" customHeight="1">
      <c r="B12" s="90" t="inlineStr">
        <is>
          <t>Avg Rent</t>
        </is>
      </c>
      <c r="C12" s="509">
        <f>H4/E4</f>
        <v/>
      </c>
      <c r="D12" s="74" t="n"/>
      <c r="E12" s="74" t="n"/>
      <c r="F12" s="74" t="n"/>
      <c r="G12" s="74" t="n"/>
      <c r="H12" s="74" t="n"/>
      <c r="I12" s="74" t="n"/>
      <c r="J12" s="74" t="n"/>
    </row>
    <row r="13" ht="21" customHeight="1" thickBot="1">
      <c r="B13" s="86" t="inlineStr">
        <is>
          <t>Occupancy%</t>
        </is>
      </c>
      <c r="C13" s="174">
        <f>C8/E8</f>
        <v/>
      </c>
      <c r="D13" s="74" t="n"/>
      <c r="E13" s="74" t="n"/>
      <c r="F13" s="74" t="n"/>
      <c r="G13" s="74" t="n"/>
      <c r="H13" s="74" t="n"/>
      <c r="I13" s="74" t="n"/>
      <c r="J13" s="74" t="n"/>
    </row>
    <row r="14" ht="15.75" customFormat="1" customHeight="1" s="130" thickBot="1">
      <c r="B14" s="86" t="inlineStr">
        <is>
          <t>POH%</t>
        </is>
      </c>
      <c r="C14" s="174">
        <f>E10/E9</f>
        <v/>
      </c>
      <c r="F14" s="323" t="n"/>
      <c r="I14" s="337" t="n"/>
      <c r="J14" s="337" t="n"/>
      <c r="K14" s="337" t="n"/>
      <c r="L14" s="337" t="n"/>
      <c r="M14" s="337" t="n"/>
      <c r="N14" s="337" t="n"/>
    </row>
    <row r="15" ht="15.75" customHeight="1" thickBot="1">
      <c r="B15" s="173" t="inlineStr">
        <is>
          <t>Annual Long term RV</t>
        </is>
      </c>
      <c r="C15" s="509">
        <f>H6*12</f>
        <v/>
      </c>
      <c r="D15" s="74" t="n"/>
      <c r="E15" s="74" t="n"/>
      <c r="F15" s="74" t="n"/>
      <c r="G15" s="74" t="n"/>
      <c r="H15" s="74" t="n"/>
      <c r="I15" s="337" t="n"/>
      <c r="J15" s="337" t="n"/>
      <c r="K15" s="337" t="n"/>
      <c r="L15" s="337" t="n"/>
      <c r="M15" s="337" t="n"/>
      <c r="N15" s="337" t="n"/>
    </row>
    <row r="16" ht="24" customHeight="1">
      <c r="B16" s="173" t="inlineStr">
        <is>
          <t>Long term RV avg rent</t>
        </is>
      </c>
      <c r="C16" s="509">
        <f>H6/E6</f>
        <v/>
      </c>
      <c r="D16" s="74" t="n"/>
      <c r="E16" s="74" t="n"/>
      <c r="F16" s="74" t="n"/>
      <c r="G16" s="74" t="n"/>
      <c r="H16" s="74" t="n"/>
      <c r="I16" s="337" t="n"/>
      <c r="J16" s="337" t="n"/>
      <c r="K16" s="337" t="n"/>
      <c r="L16" s="337" t="n"/>
      <c r="M16" s="337" t="n"/>
      <c r="N16" s="337" t="n"/>
    </row>
    <row r="17">
      <c r="B17" s="74" t="n"/>
      <c r="C17" s="74" t="n"/>
      <c r="D17" s="74" t="n"/>
      <c r="E17" s="74" t="n"/>
      <c r="F17" s="74" t="n"/>
      <c r="G17" s="74" t="n"/>
      <c r="H17" s="74" t="n"/>
      <c r="I17" s="337" t="n"/>
      <c r="J17" s="337" t="n"/>
      <c r="K17" s="337" t="n"/>
      <c r="L17" s="337" t="n"/>
      <c r="M17" s="337" t="n"/>
      <c r="N17" s="337" t="n"/>
    </row>
    <row r="18">
      <c r="B18" s="74" t="n"/>
      <c r="C18" s="74" t="n"/>
      <c r="D18" s="74" t="n"/>
      <c r="E18" s="74" t="n"/>
      <c r="F18" s="74" t="n"/>
      <c r="G18" s="74" t="n"/>
      <c r="H18" s="74" t="n"/>
      <c r="I18" s="337" t="n"/>
      <c r="J18" s="337" t="n"/>
      <c r="K18" s="337" t="n"/>
      <c r="L18" s="337" t="n"/>
      <c r="M18" s="337" t="n"/>
      <c r="N18" s="337" t="n"/>
    </row>
    <row r="19">
      <c r="B19" s="74" t="n"/>
      <c r="C19" s="74" t="n"/>
      <c r="D19" s="74" t="n"/>
      <c r="E19" s="74" t="n"/>
      <c r="F19" s="74" t="n"/>
      <c r="G19" s="74" t="n"/>
      <c r="H19" s="74" t="n"/>
      <c r="I19" s="337" t="n"/>
      <c r="J19" s="337" t="n"/>
      <c r="K19" s="337" t="n"/>
      <c r="L19" s="337" t="n"/>
      <c r="M19" s="337" t="n"/>
      <c r="N19" s="337" t="n"/>
    </row>
    <row r="20" customFormat="1" s="74">
      <c r="I20" s="337" t="n"/>
      <c r="J20" s="337" t="n"/>
      <c r="K20" s="337" t="n"/>
      <c r="L20" s="337" t="n"/>
      <c r="M20" s="337" t="n"/>
      <c r="N20" s="337" t="n"/>
    </row>
    <row r="21" customFormat="1" s="74">
      <c r="I21" s="337" t="n"/>
      <c r="J21" s="337" t="n"/>
      <c r="K21" s="337" t="n"/>
      <c r="L21" s="337" t="n"/>
      <c r="M21" s="337" t="n"/>
      <c r="N21" s="337" t="n"/>
    </row>
    <row r="22" customFormat="1" s="74">
      <c r="I22" s="337" t="n"/>
      <c r="J22" s="337" t="n"/>
      <c r="K22" s="337" t="n"/>
      <c r="L22" s="337" t="n"/>
      <c r="M22" s="337" t="n"/>
      <c r="N22" s="337" t="n"/>
    </row>
    <row r="23" customFormat="1" s="74">
      <c r="I23" s="337" t="n"/>
      <c r="J23" s="337" t="n"/>
      <c r="K23" s="337" t="n"/>
      <c r="L23" s="337" t="n"/>
      <c r="M23" s="337" t="n"/>
      <c r="N23" s="337" t="n"/>
    </row>
    <row r="24" customFormat="1" s="74">
      <c r="I24" s="337" t="n"/>
      <c r="J24" s="337" t="n"/>
      <c r="K24" s="337" t="n"/>
      <c r="L24" s="337" t="n"/>
      <c r="M24" s="337" t="n"/>
      <c r="N24" s="337" t="n"/>
    </row>
    <row r="25" customFormat="1" s="74">
      <c r="I25" s="337" t="n"/>
      <c r="J25" s="337" t="n"/>
      <c r="K25" s="337" t="n"/>
      <c r="L25" s="337" t="n"/>
      <c r="M25" s="337" t="n"/>
      <c r="N25" s="337" t="n"/>
    </row>
    <row r="26" customFormat="1" s="74">
      <c r="I26" s="337" t="n"/>
      <c r="J26" s="337" t="n"/>
      <c r="K26" s="337" t="n"/>
      <c r="L26" s="337" t="n"/>
      <c r="M26" s="337" t="n"/>
      <c r="N26" s="337" t="n"/>
    </row>
    <row r="27" customFormat="1" s="74">
      <c r="I27" s="337" t="n"/>
      <c r="J27" s="337" t="n"/>
      <c r="K27" s="337" t="n"/>
      <c r="L27" s="337" t="n"/>
      <c r="M27" s="337" t="n"/>
      <c r="N27" s="337" t="n"/>
    </row>
    <row r="28" customFormat="1" s="74">
      <c r="I28" s="337" t="n"/>
      <c r="J28" s="337" t="n"/>
      <c r="K28" s="337" t="n"/>
      <c r="L28" s="337" t="n"/>
      <c r="M28" s="337" t="n"/>
      <c r="N28" s="337" t="n"/>
    </row>
    <row r="29" customFormat="1" s="74">
      <c r="I29" s="337" t="n"/>
      <c r="J29" s="337" t="n"/>
      <c r="K29" s="337" t="n"/>
      <c r="L29" s="337" t="n"/>
      <c r="M29" s="337" t="n"/>
      <c r="N29" s="337" t="n"/>
    </row>
    <row r="30" customFormat="1" s="74">
      <c r="I30" s="337" t="n"/>
      <c r="J30" s="337" t="n"/>
      <c r="K30" s="337" t="n"/>
      <c r="L30" s="337" t="n"/>
      <c r="M30" s="337" t="n"/>
      <c r="N30" s="337" t="n"/>
    </row>
    <row r="31" customFormat="1" s="74">
      <c r="I31" s="337" t="n"/>
      <c r="J31" s="337" t="n"/>
      <c r="K31" s="337" t="n"/>
      <c r="L31" s="337" t="n"/>
      <c r="M31" s="337" t="n"/>
      <c r="N31" s="337" t="n"/>
    </row>
    <row r="32" customFormat="1" s="74">
      <c r="I32" s="337" t="n"/>
      <c r="J32" s="337" t="n"/>
      <c r="K32" s="337" t="n"/>
      <c r="L32" s="337" t="n"/>
      <c r="M32" s="337" t="n"/>
      <c r="N32" s="337" t="n"/>
    </row>
    <row r="33" customFormat="1" s="74">
      <c r="I33" s="337" t="n"/>
      <c r="J33" s="337" t="n"/>
      <c r="K33" s="337" t="n"/>
      <c r="L33" s="337" t="n"/>
      <c r="M33" s="337" t="n"/>
      <c r="N33" s="337" t="n"/>
    </row>
    <row r="34" customFormat="1" s="74">
      <c r="I34" s="337" t="n"/>
      <c r="J34" s="337" t="n"/>
      <c r="K34" s="337" t="n"/>
      <c r="L34" s="337" t="n"/>
      <c r="M34" s="337" t="n"/>
      <c r="N34" s="337" t="n"/>
    </row>
    <row r="35" customFormat="1" s="74">
      <c r="I35" s="337" t="n"/>
      <c r="J35" s="337" t="n"/>
      <c r="K35" s="337" t="n"/>
      <c r="L35" s="337" t="n"/>
      <c r="M35" s="337" t="n"/>
      <c r="N35" s="337" t="n"/>
    </row>
    <row r="36" customFormat="1" s="74">
      <c r="I36" s="337" t="n"/>
      <c r="J36" s="337" t="n"/>
      <c r="K36" s="337" t="n"/>
      <c r="L36" s="337" t="n"/>
      <c r="M36" s="337" t="n"/>
      <c r="N36" s="337" t="n"/>
    </row>
    <row r="37" customFormat="1" s="74">
      <c r="I37" s="337" t="n"/>
      <c r="J37" s="337" t="n"/>
      <c r="K37" s="337" t="n"/>
      <c r="L37" s="337" t="n"/>
      <c r="M37" s="337" t="n"/>
      <c r="N37" s="337" t="n"/>
    </row>
    <row r="38" customFormat="1" s="74">
      <c r="I38" s="337" t="n"/>
      <c r="J38" s="337" t="n"/>
      <c r="K38" s="337" t="n"/>
      <c r="L38" s="337" t="n"/>
      <c r="M38" s="337" t="n"/>
      <c r="N38" s="337" t="n"/>
    </row>
    <row r="39" customFormat="1" s="74">
      <c r="I39" s="337" t="n"/>
      <c r="J39" s="337" t="n"/>
      <c r="K39" s="337" t="n"/>
      <c r="L39" s="337" t="n"/>
      <c r="M39" s="337" t="n"/>
      <c r="N39" s="337" t="n"/>
    </row>
    <row r="40" customFormat="1" s="74"/>
    <row r="41" customFormat="1" s="74"/>
    <row r="42" customFormat="1" s="74"/>
    <row r="43" customFormat="1" s="74"/>
    <row r="44" customFormat="1" s="74"/>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sheetData>
  <pageMargins left="0.7" right="0.7" top="0.75" bottom="0.75" header="0.3" footer="0.3"/>
</worksheet>
</file>

<file path=xl/worksheets/sheet7.xml><?xml version="1.0" encoding="utf-8"?>
<worksheet xmlns="http://schemas.openxmlformats.org/spreadsheetml/2006/main">
  <sheetPr>
    <tabColor theme="3" tint="0.7999816888943144"/>
    <outlinePr summaryBelow="1" summaryRight="1"/>
    <pageSetUpPr/>
  </sheetPr>
  <dimension ref="A1:DF278"/>
  <sheetViews>
    <sheetView tabSelected="1" workbookViewId="0">
      <selection activeCell="D13" sqref="D13"/>
    </sheetView>
  </sheetViews>
  <sheetFormatPr baseColWidth="8" defaultColWidth="8.42578125" defaultRowHeight="15"/>
  <cols>
    <col width="46.42578125" customWidth="1" min="1" max="1"/>
    <col width="0.42578125" customWidth="1" min="2" max="2"/>
    <col width="22.5703125" customWidth="1" min="3" max="3"/>
    <col width="22.42578125" customWidth="1" min="4" max="5"/>
    <col width="22.85546875" customWidth="1" min="6" max="6"/>
    <col width="23.42578125" customWidth="1" min="7" max="7"/>
    <col width="22.42578125" customWidth="1" min="8" max="9"/>
    <col width="11.42578125" customWidth="1" min="10" max="10"/>
    <col width="72.42578125" customWidth="1" min="11" max="11"/>
    <col width="9.85546875" bestFit="1" customWidth="1" style="59" min="12" max="12"/>
    <col width="34.42578125" customWidth="1" min="13" max="13"/>
    <col width="46.42578125" customWidth="1" min="14" max="14"/>
    <col width="25" customWidth="1" min="15" max="15"/>
    <col width="18.42578125" customWidth="1" min="16" max="16"/>
    <col width="18.7109375" customWidth="1" style="59" min="17" max="17"/>
    <col width="36.140625" customWidth="1" style="59" min="18" max="18"/>
    <col width="10.140625" customWidth="1" style="59" min="19" max="19"/>
    <col width="13.85546875" customWidth="1" style="59" min="20" max="20"/>
    <col width="8.42578125" customWidth="1" style="59" min="21" max="110"/>
  </cols>
  <sheetData>
    <row r="1" ht="21.75" customFormat="1" customHeight="1" s="3" thickBot="1">
      <c r="A1" s="297" t="inlineStr">
        <is>
          <t>GARY GROUP CAPITAL</t>
        </is>
      </c>
      <c r="B1" s="298" t="n"/>
      <c r="C1" s="298" t="n"/>
      <c r="D1" s="298" t="n"/>
      <c r="E1" s="298" t="n"/>
      <c r="F1" s="298" t="n"/>
      <c r="G1" s="298" t="n"/>
      <c r="H1" s="298" t="n"/>
      <c r="I1" s="298" t="n"/>
      <c r="J1" s="298" t="n"/>
      <c r="K1" s="298" t="n"/>
      <c r="L1" s="298" t="n"/>
      <c r="M1" s="298" t="n"/>
      <c r="N1" s="298" t="n"/>
      <c r="O1" s="298" t="n"/>
      <c r="P1" s="298"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row>
    <row r="2" ht="15" customFormat="1" customHeight="1" s="59" thickBot="1">
      <c r="D2" s="168" t="inlineStr">
        <is>
          <t>Months:</t>
        </is>
      </c>
      <c r="E2" s="66">
        <f>'Data Consolidation'!H1</f>
        <v/>
      </c>
      <c r="G2" s="267" t="inlineStr">
        <is>
          <t>ALT NOI</t>
        </is>
      </c>
      <c r="H2" s="334" t="inlineStr">
        <is>
          <t>Lot Rent only NOI</t>
        </is>
      </c>
      <c r="I2" s="334" t="n"/>
      <c r="M2" s="59" t="inlineStr">
        <is>
          <t>Underwritten Date</t>
        </is>
      </c>
      <c r="N2" s="752" t="n"/>
    </row>
    <row r="3" ht="16.5" customHeight="1" thickBot="1">
      <c r="A3" s="60" t="inlineStr">
        <is>
          <t>Income</t>
        </is>
      </c>
      <c r="B3" s="61">
        <f>'Data Consolidation'!D2</f>
        <v/>
      </c>
      <c r="C3" s="61">
        <f>'Data Consolidation'!E2</f>
        <v/>
      </c>
      <c r="D3" s="62">
        <f>'Data Consolidation'!G2</f>
        <v/>
      </c>
      <c r="E3" s="62">
        <f>'Data Consolidation'!H2</f>
        <v/>
      </c>
      <c r="F3" s="62">
        <f>'Data Consolidation'!F2</f>
        <v/>
      </c>
      <c r="G3" s="105" t="inlineStr">
        <is>
          <t>GGC ProForma</t>
        </is>
      </c>
      <c r="H3" s="105" t="inlineStr">
        <is>
          <t>GGC ProForma</t>
        </is>
      </c>
      <c r="I3" s="105" t="inlineStr">
        <is>
          <t>GGC ProForma</t>
        </is>
      </c>
      <c r="J3" s="113" t="inlineStr">
        <is>
          <t>% of GPR</t>
        </is>
      </c>
      <c r="K3" s="63" t="inlineStr">
        <is>
          <t>Notes</t>
        </is>
      </c>
      <c r="M3" s="501" t="inlineStr">
        <is>
          <t>Property Information</t>
        </is>
      </c>
      <c r="N3" s="59" t="n"/>
      <c r="O3" s="59" t="n"/>
      <c r="P3" s="59" t="n"/>
      <c r="Q3" s="59" t="inlineStr">
        <is>
          <t>WEBSITE</t>
        </is>
      </c>
      <c r="R3" s="687" t="n"/>
    </row>
    <row r="4" ht="19.5" customHeight="1" thickBot="1">
      <c r="A4" s="136" t="inlineStr">
        <is>
          <t>Gross Potential Rent</t>
        </is>
      </c>
      <c r="B4" s="131">
        <f>SUMIFS('Data Consolidation'!$D$3:$D$36,'Data Consolidation'!$A$3:$A$36,"Gross Potential Rent")</f>
        <v/>
      </c>
      <c r="C4" s="131">
        <f>SUMIFS('Data Consolidation'!$E$3:$E$36,'Data Consolidation'!$A$3:$A$36,"Gross Potential Rent")</f>
        <v/>
      </c>
      <c r="D4" s="131">
        <f>SUMIFS('Data Consolidation'!$G$3:$G$36,'Data Consolidation'!$A$3:$A$36,"Gross Potential Rent")</f>
        <v/>
      </c>
      <c r="E4" s="131">
        <f>SUMIFS('Data Consolidation'!$H$3:$H$36,'Data Consolidation'!$A$3:$A$36,"Gross Potential Rent")</f>
        <v/>
      </c>
      <c r="F4" s="131">
        <f>SUMIFS('Data Consolidation'!$F$3:$F$36,'Data Consolidation'!$A$3:$A$36,"Gross Potential Rent")</f>
        <v/>
      </c>
      <c r="G4" s="332">
        <f>'Unit Mix Rent Growth'!H14</f>
        <v/>
      </c>
      <c r="H4" s="332">
        <f>I4</f>
        <v/>
      </c>
      <c r="I4" s="332">
        <f>'Unit Mix Summary'!C11</f>
        <v/>
      </c>
      <c r="J4" s="114" t="n"/>
      <c r="K4" s="159" t="inlineStr">
        <is>
          <t>Mar 2026 Rent Roll (brokers include lot+home $1250/mo for 11 infilled homes )</t>
        </is>
      </c>
      <c r="M4" s="470" t="inlineStr">
        <is>
          <t>Property Name</t>
        </is>
      </c>
      <c r="N4" s="97" t="n"/>
      <c r="O4" s="95" t="inlineStr">
        <is>
          <t>Purchase/Offer Price</t>
        </is>
      </c>
      <c r="P4" s="753">
        <f>IFERROR(IF(ISNUMBER(P9),P9,0),0)</f>
        <v/>
      </c>
      <c r="Q4" s="470" t="inlineStr">
        <is>
          <t>Year Built</t>
        </is>
      </c>
      <c r="R4" s="700" t="n"/>
    </row>
    <row r="5" ht="19.5" customHeight="1" thickBot="1">
      <c r="A5" s="137" t="inlineStr">
        <is>
          <t>Less: Vacancy</t>
        </is>
      </c>
      <c r="B5" s="754">
        <f>SUMIFS('Data Consolidation'!$D$3:$D$36,'Data Consolidation'!$A$3:$A$36,"Vacancy")</f>
        <v/>
      </c>
      <c r="C5" s="754">
        <f>SUMIFS('Data Consolidation'!$E$3:$E$36,'Data Consolidation'!$A$3:$A$36,"Vacancy")</f>
        <v/>
      </c>
      <c r="D5" s="754">
        <f>SUMIFS('Data Consolidation'!$G$3:$G$36,'Data Consolidation'!$A$3:$A$36,"Vacancy")</f>
        <v/>
      </c>
      <c r="E5" s="754">
        <f>SUMIFS('Data Consolidation'!$H$3:$H$36,'Data Consolidation'!$A$3:$A$36,"Vacancy")</f>
        <v/>
      </c>
      <c r="F5" s="754">
        <f>SUMIFS('Data Consolidation'!$F$3:$F$36,'Data Consolidation'!$A$3:$A$36,"Vacancy")</f>
        <v/>
      </c>
      <c r="G5" s="754">
        <f>-5%*G4</f>
        <v/>
      </c>
      <c r="H5" s="754">
        <f>I5</f>
        <v/>
      </c>
      <c r="I5" s="754">
        <f>-J5*I4</f>
        <v/>
      </c>
      <c r="J5" s="666">
        <f>100%-N8</f>
        <v/>
      </c>
      <c r="K5" s="159" t="inlineStr">
        <is>
          <t>Rent Roll Vacancy. 5% for stabilized</t>
        </is>
      </c>
      <c r="M5" s="96" t="inlineStr">
        <is>
          <t>Property Address</t>
        </is>
      </c>
      <c r="N5" s="98" t="n"/>
      <c r="O5" s="96" t="inlineStr">
        <is>
          <t>Purchase Price Per Site</t>
        </is>
      </c>
      <c r="P5" s="229">
        <f>P4/N7</f>
        <v/>
      </c>
      <c r="Q5" s="470" t="inlineStr">
        <is>
          <t>Flood Zone</t>
        </is>
      </c>
      <c r="R5" s="97" t="n"/>
    </row>
    <row r="6" ht="19.5" customHeight="1" thickBot="1">
      <c r="A6" s="137" t="inlineStr">
        <is>
          <t>Less: Concessions</t>
        </is>
      </c>
      <c r="B6" s="754">
        <f>SUMIFS('Data Consolidation'!$D$3:$D$36,'Data Consolidation'!$A$3:$A$36,"Concessions")</f>
        <v/>
      </c>
      <c r="C6" s="754">
        <f>SUMIFS('Data Consolidation'!$E$3:$E$36,'Data Consolidation'!$A$3:$A$36,"Concessions")</f>
        <v/>
      </c>
      <c r="D6" s="754">
        <f>SUMIFS('Data Consolidation'!$G$3:$G$36,'Data Consolidation'!$A$3:$A$36,"Concessions")</f>
        <v/>
      </c>
      <c r="E6" s="754">
        <f>SUMIFS('Data Consolidation'!$H$3:$H$36,'Data Consolidation'!$A$3:$A$36,"Concessions")</f>
        <v/>
      </c>
      <c r="F6" s="754">
        <f>SUMIFS('Data Consolidation'!$F$3:$F$36,'Data Consolidation'!$A$3:$A$36,"Concessions")</f>
        <v/>
      </c>
      <c r="G6" s="754">
        <f>-J6*$G$4</f>
        <v/>
      </c>
      <c r="H6" s="754">
        <f>I6</f>
        <v/>
      </c>
      <c r="I6" s="754" t="n">
        <v>0</v>
      </c>
      <c r="J6" s="94">
        <f>-I6/I4</f>
        <v/>
      </c>
      <c r="K6" s="159" t="n"/>
      <c r="M6" s="96" t="inlineStr">
        <is>
          <t>Property Type</t>
        </is>
      </c>
      <c r="N6" s="98" t="n"/>
      <c r="O6" s="96" t="inlineStr">
        <is>
          <t>Underwritten CAP rate</t>
        </is>
      </c>
      <c r="P6" s="340">
        <f>I47/P4</f>
        <v/>
      </c>
      <c r="Q6" s="470" t="inlineStr">
        <is>
          <t>Utility Structure</t>
        </is>
      </c>
      <c r="R6" s="97" t="n"/>
    </row>
    <row r="7" ht="19.5" customHeight="1" thickBot="1">
      <c r="A7" s="137" t="inlineStr">
        <is>
          <t>Less: Bad Debt</t>
        </is>
      </c>
      <c r="B7" s="132">
        <f>SUMIFS('Data Consolidation'!$D$3:$D$36,'Data Consolidation'!$A$3:$A$36,"Bad Debt")</f>
        <v/>
      </c>
      <c r="C7" s="132">
        <f>SUMIFS('Data Consolidation'!$E$3:$E$36,'Data Consolidation'!$A$3:$A$36,"Bad Debt")</f>
        <v/>
      </c>
      <c r="D7" s="132">
        <f>SUMIFS('Data Consolidation'!$G$3:$G$36,'Data Consolidation'!$A$3:$A$36,"Bad Debt")</f>
        <v/>
      </c>
      <c r="E7" s="132">
        <f>SUMIFS('Data Consolidation'!$H$3:$H$36,'Data Consolidation'!$A$3:$A$36,"Bad Debt")</f>
        <v/>
      </c>
      <c r="F7" s="132">
        <f>SUMIFS('Data Consolidation'!$F$3:$F$36,'Data Consolidation'!$A$3:$A$36,"Bad Debt")</f>
        <v/>
      </c>
      <c r="G7" s="754">
        <f>-J7*$G$4</f>
        <v/>
      </c>
      <c r="H7" s="754">
        <f>I7</f>
        <v/>
      </c>
      <c r="I7" s="754">
        <f>D7</f>
        <v/>
      </c>
      <c r="J7" s="94" t="n">
        <v>0.03</v>
      </c>
      <c r="K7" s="159" t="inlineStr">
        <is>
          <t>T12</t>
        </is>
      </c>
      <c r="M7" s="96" t="inlineStr">
        <is>
          <t xml:space="preserve"># of Units </t>
        </is>
      </c>
      <c r="N7" s="471">
        <f>'Unit Mix Summary'!E8</f>
        <v/>
      </c>
      <c r="O7" s="96" t="inlineStr">
        <is>
          <t>Stabilized YOC</t>
        </is>
      </c>
      <c r="P7" s="270">
        <f>G47/'Sources and Uses'!C18</f>
        <v/>
      </c>
      <c r="Q7" s="59" t="inlineStr">
        <is>
          <t>Electricity</t>
        </is>
      </c>
      <c r="R7" s="59" t="n"/>
    </row>
    <row r="8" ht="19.5" customHeight="1" thickBot="1">
      <c r="A8" s="491" t="n"/>
      <c r="B8" s="132" t="n"/>
      <c r="C8" s="132" t="n"/>
      <c r="D8" s="132" t="n"/>
      <c r="E8" s="132" t="n"/>
      <c r="F8" s="132" t="n"/>
      <c r="G8" s="492" t="n"/>
      <c r="H8" s="492" t="n"/>
      <c r="I8" s="492" t="n"/>
      <c r="J8" s="493" t="n"/>
      <c r="K8" s="159" t="n"/>
      <c r="M8" s="116" t="inlineStr">
        <is>
          <t>Rent Roll Occupancy</t>
        </is>
      </c>
      <c r="N8" s="333">
        <f>'Unit Mix Summary'!C13</f>
        <v/>
      </c>
      <c r="O8" s="494" t="n"/>
      <c r="P8" s="495" t="n"/>
      <c r="Q8" s="59" t="inlineStr">
        <is>
          <t>Trash</t>
        </is>
      </c>
      <c r="R8" s="59" t="n"/>
    </row>
    <row r="9" ht="19.5" customHeight="1" thickBot="1">
      <c r="A9" s="120" t="inlineStr">
        <is>
          <t>Net Rental Income</t>
        </is>
      </c>
      <c r="B9" s="100">
        <f>B4-B5-B6-B7</f>
        <v/>
      </c>
      <c r="C9" s="101">
        <f>SUM(C4:C7)</f>
        <v/>
      </c>
      <c r="D9" s="101">
        <f>SUM(D4:D7)</f>
        <v/>
      </c>
      <c r="E9" s="101">
        <f>SUM(E4:E7)</f>
        <v/>
      </c>
      <c r="F9" s="101">
        <f>SUM(F4:F7)</f>
        <v/>
      </c>
      <c r="G9" s="101">
        <f>SUM(G4:G7)</f>
        <v/>
      </c>
      <c r="H9" s="101">
        <f>SUM(H4:H7)</f>
        <v/>
      </c>
      <c r="I9" s="101">
        <f>SUM(I4:I7)</f>
        <v/>
      </c>
      <c r="J9" s="257">
        <f>I9/12</f>
        <v/>
      </c>
      <c r="K9" s="661" t="inlineStr">
        <is>
          <t>per month</t>
        </is>
      </c>
      <c r="M9" s="96" t="inlineStr">
        <is>
          <t>Acreage</t>
        </is>
      </c>
      <c r="N9" s="98" t="n"/>
      <c r="O9" s="95" t="inlineStr">
        <is>
          <t>Asking Price by Seller</t>
        </is>
      </c>
      <c r="P9" s="228" t="n"/>
    </row>
    <row r="10" ht="15.6" customHeight="1" thickBot="1">
      <c r="A10" s="121" t="inlineStr">
        <is>
          <t>YoY % Growth</t>
        </is>
      </c>
      <c r="B10" s="72" t="n"/>
      <c r="C10" s="338">
        <f>(C9-B9)/B9</f>
        <v/>
      </c>
      <c r="D10" s="338">
        <f>(D9-C9)/C9</f>
        <v/>
      </c>
      <c r="E10" s="338">
        <f>(E9-D9)/D9</f>
        <v/>
      </c>
      <c r="F10" s="73" t="n"/>
      <c r="G10" s="329" t="n"/>
      <c r="H10" s="329" t="n"/>
      <c r="I10" s="329" t="n"/>
      <c r="J10" s="662">
        <f>I9/$N$7</f>
        <v/>
      </c>
      <c r="K10" s="661" t="inlineStr">
        <is>
          <t>per unit</t>
        </is>
      </c>
      <c r="M10" s="96" t="inlineStr">
        <is>
          <t>County</t>
        </is>
      </c>
      <c r="N10" s="98" t="n"/>
      <c r="O10" s="95" t="inlineStr">
        <is>
          <t xml:space="preserve">Asking Price Per Site </t>
        </is>
      </c>
      <c r="P10" s="229">
        <f>P9/N7</f>
        <v/>
      </c>
    </row>
    <row r="11" ht="3" customFormat="1" customHeight="1" s="59" thickBot="1">
      <c r="A11" s="306" t="n"/>
      <c r="B11" s="298" t="n"/>
      <c r="C11" s="298" t="n"/>
      <c r="D11" s="298" t="n"/>
      <c r="E11" s="298" t="n"/>
      <c r="F11" s="298" t="n"/>
      <c r="G11" s="330" t="n"/>
      <c r="H11" s="330" t="n"/>
      <c r="I11" s="330" t="n"/>
      <c r="J11" s="307" t="n"/>
      <c r="K11" s="308" t="n"/>
    </row>
    <row r="12" ht="23.25" customHeight="1">
      <c r="A12" s="138" t="inlineStr">
        <is>
          <t>Utility Reimbursement</t>
        </is>
      </c>
      <c r="B12" s="132">
        <f>SUMIFS('Data Consolidation'!$D$3:$D$36,'Data Consolidation'!$A$3:$A$36,"Utility Reimbursement")</f>
        <v/>
      </c>
      <c r="C12" s="132">
        <f>SUMIFS('Data Consolidation'!$E$3:$E$36,'Data Consolidation'!$A$3:$A$36,"Utility Reimbursement")</f>
        <v/>
      </c>
      <c r="D12" s="132">
        <f>SUMIFS('Data Consolidation'!$G$3:$G$36,'Data Consolidation'!$A$3:$A$36,"Utility Reimbursement")</f>
        <v/>
      </c>
      <c r="E12" s="132">
        <f>SUMIFS('Data Consolidation'!$H$3:$H$36,'Data Consolidation'!$A$3:$A$36,"Utility Reimbursement")</f>
        <v/>
      </c>
      <c r="F12" s="132">
        <f>SUMIFS('Data Consolidation'!$F$3:$F$36,'Data Consolidation'!$A$3:$A$36,"Utility Reimbursement")</f>
        <v/>
      </c>
      <c r="G12" s="111">
        <f>I12</f>
        <v/>
      </c>
      <c r="H12" s="111">
        <f>I12</f>
        <v/>
      </c>
      <c r="I12" s="111">
        <f>D12</f>
        <v/>
      </c>
      <c r="J12" s="111">
        <f>I12/$N$7</f>
        <v/>
      </c>
      <c r="K12" s="159" t="inlineStr">
        <is>
          <t>T12. Utility RUBs</t>
        </is>
      </c>
      <c r="M12" s="59" t="n"/>
      <c r="N12" s="59" t="n"/>
      <c r="O12" s="59" t="inlineStr">
        <is>
          <t>Brookings Multifamily cap rate at 6%-7.5%</t>
        </is>
      </c>
      <c r="P12" s="59" t="n"/>
    </row>
    <row r="13" ht="42.6" customHeight="1">
      <c r="A13" s="139" t="inlineStr">
        <is>
          <t>Home Rent Income</t>
        </is>
      </c>
      <c r="B13" s="132">
        <f>SUMIFS('Data Consolidation'!$D$3:$D$36,'Data Consolidation'!$A$3:$A$36,"Home Rent Income")</f>
        <v/>
      </c>
      <c r="C13" s="132">
        <f>SUMIFS('Data Consolidation'!$E$3:$E$36,'Data Consolidation'!$A$3:$A$36,"Home Rent Income")</f>
        <v/>
      </c>
      <c r="D13" s="132">
        <f>SUMIFS('Data Consolidation'!$G$3:$G$36,'Data Consolidation'!$A$3:$A$36,"Home Rent Income")</f>
        <v/>
      </c>
      <c r="E13" s="132">
        <f>SUMIFS('Data Consolidation'!$H$3:$H$36,'Data Consolidation'!$A$3:$A$36,"Home Rent Income")</f>
        <v/>
      </c>
      <c r="F13" s="132">
        <f>SUMIFS('Data Consolidation'!$F$3:$F$36,'Data Consolidation'!$A$3:$A$36,"Home Rent Income")</f>
        <v/>
      </c>
      <c r="G13" s="111">
        <f>'Rent Roll Input'!J151*12*95%</f>
        <v/>
      </c>
      <c r="H13" s="111" t="n">
        <v>0</v>
      </c>
      <c r="I13" s="111" t="n">
        <v>0</v>
      </c>
      <c r="J13" s="111">
        <f>I13/$N$7</f>
        <v/>
      </c>
      <c r="K13" s="339" t="inlineStr">
        <is>
          <t>poh (11 infilled homes -$1250/month total rent-separated home rents)-assumed 80% occupied</t>
        </is>
      </c>
      <c r="M13" s="341" t="inlineStr">
        <is>
          <t>Asset</t>
        </is>
      </c>
      <c r="N13" s="341" t="inlineStr">
        <is>
          <t>NOI</t>
        </is>
      </c>
      <c r="O13" s="341" t="inlineStr">
        <is>
          <t>CAP RATE</t>
        </is>
      </c>
      <c r="P13" s="341" t="inlineStr">
        <is>
          <t>VALUE</t>
        </is>
      </c>
      <c r="Q13" s="341" t="inlineStr">
        <is>
          <t>VALUE/UNIT</t>
        </is>
      </c>
      <c r="R13" s="341" t="inlineStr">
        <is>
          <t>UNIT</t>
        </is>
      </c>
    </row>
    <row r="14" ht="21" customHeight="1">
      <c r="A14" s="139" t="inlineStr">
        <is>
          <t>RV Site Rental Income</t>
        </is>
      </c>
      <c r="B14" s="132">
        <f>SUMIFS('Data Consolidation'!$D$3:$D$36,'Data Consolidation'!$A$3:$A$36,"RV Site Rental Income")</f>
        <v/>
      </c>
      <c r="C14" s="132">
        <f>SUMIFS('Data Consolidation'!$E$3:$E$36,'Data Consolidation'!$A$3:$A$36,"RV Site Rental Income")</f>
        <v/>
      </c>
      <c r="D14" s="132">
        <f>SUMIFS('Data Consolidation'!$G$3:$G$36,'Data Consolidation'!$A$3:$A$36,"RV Site Rental Income")</f>
        <v/>
      </c>
      <c r="E14" s="132">
        <f>SUMIFS('Data Consolidation'!$H$3:$H$36,'Data Consolidation'!$A$3:$A$36,"RV Site Rental Income")</f>
        <v/>
      </c>
      <c r="F14" s="132">
        <f>SUMIFS('Data Consolidation'!$F$3:$F$36,'Data Consolidation'!$A$3:$A$36,"RV Site Rental Income")</f>
        <v/>
      </c>
      <c r="G14" s="111">
        <f>I14</f>
        <v/>
      </c>
      <c r="H14" s="111">
        <f>I14</f>
        <v/>
      </c>
      <c r="I14" s="111">
        <f>'Unit Mix Summary'!C15*90%</f>
        <v/>
      </c>
      <c r="J14" s="111">
        <f>I14/$N$7</f>
        <v/>
      </c>
      <c r="K14" s="159" t="inlineStr">
        <is>
          <t>RR Long term RV Site less 10%</t>
        </is>
      </c>
      <c r="M14" s="284" t="inlineStr">
        <is>
          <t>Lot Rent only NOI</t>
        </is>
      </c>
      <c r="N14" s="755">
        <f>I47</f>
        <v/>
      </c>
      <c r="O14" s="691" t="n">
        <v>0.055</v>
      </c>
      <c r="P14" s="756">
        <f>N14/O14</f>
        <v/>
      </c>
      <c r="Q14" s="756">
        <f>P14/R14</f>
        <v/>
      </c>
      <c r="R14" s="677">
        <f>'Unit Mix Summary'!E9</f>
        <v/>
      </c>
    </row>
    <row r="15" ht="21.75" customHeight="1">
      <c r="A15" s="139" t="inlineStr">
        <is>
          <t>Storage Income</t>
        </is>
      </c>
      <c r="B15" s="132">
        <f>SUMIFS('Data Consolidation'!$D$3:$D$36,'Data Consolidation'!$A$3:$A$36,"Parking Income")</f>
        <v/>
      </c>
      <c r="C15" s="132">
        <f>SUMIFS('Data Consolidation'!$E$3:$E$36,'Data Consolidation'!$A$3:$A$36,"Parking Income")</f>
        <v/>
      </c>
      <c r="D15" s="132">
        <f>SUMIFS('Data Consolidation'!$G$3:$G$36,'Data Consolidation'!$A$3:$A$36,"Parking Income")</f>
        <v/>
      </c>
      <c r="E15" s="132">
        <f>SUMIFS('Data Consolidation'!$H$3:$H$36,'Data Consolidation'!$A$3:$A$36,"Parking Income")</f>
        <v/>
      </c>
      <c r="F15" s="132">
        <f>SUMIFS('Data Consolidation'!$F$3:$F$36,'Data Consolidation'!$A$3:$A$36,"Parking Income")</f>
        <v/>
      </c>
      <c r="G15" s="111">
        <f>I15</f>
        <v/>
      </c>
      <c r="H15" s="111">
        <f>I15</f>
        <v/>
      </c>
      <c r="I15" s="111">
        <f>D15</f>
        <v/>
      </c>
      <c r="J15" s="111">
        <f>I15/$N$7</f>
        <v/>
      </c>
      <c r="K15" s="159" t="inlineStr">
        <is>
          <t>T12. RV Boat Storage Unit</t>
        </is>
      </c>
      <c r="M15" s="284" t="inlineStr">
        <is>
          <t>Home Rent only NOI</t>
        </is>
      </c>
      <c r="N15" s="685">
        <f>I47-H47</f>
        <v/>
      </c>
      <c r="O15" s="692" t="n">
        <v>0.12</v>
      </c>
      <c r="P15" s="756">
        <f>N15/O15</f>
        <v/>
      </c>
      <c r="Q15" s="756">
        <f>P15/R15</f>
        <v/>
      </c>
      <c r="R15" s="677">
        <f>'Unit Mix Summary'!E5+'Unit Mix Summary'!E7</f>
        <v/>
      </c>
    </row>
    <row r="16" ht="21.75" customHeight="1">
      <c r="A16" s="139" t="inlineStr">
        <is>
          <t>Retail Income</t>
        </is>
      </c>
      <c r="B16" s="132">
        <f>SUMIFS('Data Consolidation'!$D$3:$D$36,'Data Consolidation'!$A$3:$A$36,"Laundry Income")</f>
        <v/>
      </c>
      <c r="C16" s="132">
        <f>SUMIFS('Data Consolidation'!$E$3:$E$36,'Data Consolidation'!$A$3:$A$36,"Retail")</f>
        <v/>
      </c>
      <c r="D16" s="132">
        <f>SUMIFS('Data Consolidation'!$G$3:$G$36,'Data Consolidation'!$A$3:$A$36,"Retail")</f>
        <v/>
      </c>
      <c r="E16" s="132">
        <f>SUMIFS('Data Consolidation'!$H$3:$H$36,'Data Consolidation'!$A$3:$A$36,"Retail")</f>
        <v/>
      </c>
      <c r="F16" s="132">
        <f>SUMIFS('Data Consolidation'!$F$3:$F$36,'Data Consolidation'!$A$3:$A$36,"Retail")</f>
        <v/>
      </c>
      <c r="G16" s="111">
        <f>I16</f>
        <v/>
      </c>
      <c r="H16" s="111" t="n"/>
      <c r="I16" s="111">
        <f>'Unit Mix Summary'!H7*12*98%</f>
        <v/>
      </c>
      <c r="J16" s="111">
        <f>I16/$N$7</f>
        <v/>
      </c>
      <c r="K16" s="159" t="inlineStr">
        <is>
          <t>RR less 2%. Commercial Unit.</t>
        </is>
      </c>
      <c r="M16" s="325" t="inlineStr">
        <is>
          <t>Total</t>
        </is>
      </c>
      <c r="N16" s="326">
        <f>SUM(N14:N15)</f>
        <v/>
      </c>
      <c r="O16" s="692">
        <f>N16/P16</f>
        <v/>
      </c>
      <c r="P16" s="756">
        <f>SUM(P14:P15)</f>
        <v/>
      </c>
      <c r="Q16" s="133" t="n"/>
      <c r="R16" s="133" t="n"/>
    </row>
    <row r="17" ht="17.25" customHeight="1">
      <c r="A17" s="139" t="inlineStr">
        <is>
          <t>Other Income</t>
        </is>
      </c>
      <c r="B17" s="132">
        <f>SUMIFS('Data Consolidation'!$D$3:$D$36,'Data Consolidation'!$A$3:$A$36,"Other Income")</f>
        <v/>
      </c>
      <c r="C17" s="132">
        <f>SUMIFS('Data Consolidation'!$E$3:$E$36,'Data Consolidation'!$A$3:$A$36,"Other Income")</f>
        <v/>
      </c>
      <c r="D17" s="132">
        <f>SUMIFS('Data Consolidation'!$G$3:$G$36,'Data Consolidation'!$A$3:$A$36,"Other Income")</f>
        <v/>
      </c>
      <c r="E17" s="132">
        <f>SUMIFS('Data Consolidation'!$H$3:$H$36,'Data Consolidation'!$A$3:$A$36,"Other Income")</f>
        <v/>
      </c>
      <c r="F17" s="132">
        <f>SUMIFS('Data Consolidation'!$F$3:$F$36,'Data Consolidation'!$A$3:$A$36,"Other Income")</f>
        <v/>
      </c>
      <c r="G17" s="111">
        <f>I17</f>
        <v/>
      </c>
      <c r="H17" s="111">
        <f>I17</f>
        <v/>
      </c>
      <c r="I17" s="111">
        <f>AVERAGE(C17,D17)</f>
        <v/>
      </c>
      <c r="J17" s="111">
        <f>I17/$N$7</f>
        <v/>
      </c>
      <c r="K17" s="159" t="inlineStr">
        <is>
          <t>Average 24 &amp; T12</t>
        </is>
      </c>
      <c r="M17" s="59" t="n"/>
      <c r="N17" s="59" t="n"/>
      <c r="O17" s="59" t="n"/>
      <c r="P17" s="59" t="n"/>
    </row>
    <row r="18" ht="3" customHeight="1">
      <c r="A18" s="64" t="n"/>
      <c r="B18" s="3" t="n"/>
      <c r="C18" s="3" t="n"/>
      <c r="D18" s="3" t="n"/>
      <c r="E18" s="3" t="n"/>
      <c r="F18" s="3" t="n"/>
      <c r="G18" s="328" t="n"/>
      <c r="H18" s="328" t="n"/>
      <c r="I18" s="328" t="n"/>
      <c r="J18" s="107" t="n"/>
      <c r="K18" s="65" t="n"/>
      <c r="M18" s="59" t="n"/>
      <c r="N18" s="59" t="n"/>
      <c r="O18" s="59" t="n"/>
      <c r="P18" s="59" t="n"/>
    </row>
    <row r="19" ht="24" customHeight="1">
      <c r="A19" s="122"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3">
        <f>I19/$N$7</f>
        <v/>
      </c>
      <c r="K19" s="661" t="inlineStr">
        <is>
          <t>per unit</t>
        </is>
      </c>
      <c r="M19" s="149" t="inlineStr">
        <is>
          <t>Tax Analysis Section</t>
        </is>
      </c>
      <c r="N19" s="687" t="n"/>
      <c r="O19" s="59" t="n"/>
      <c r="P19" s="59" t="n"/>
    </row>
    <row r="20" ht="14.25" customHeight="1" thickBot="1">
      <c r="A20" s="123" t="inlineStr">
        <is>
          <t>YoY % Growth</t>
        </is>
      </c>
      <c r="B20" s="234" t="n"/>
      <c r="C20" s="235">
        <f>(C19-B19)/B19</f>
        <v/>
      </c>
      <c r="D20" s="235">
        <f>(D19-C19)/C19</f>
        <v/>
      </c>
      <c r="E20" s="235">
        <f>(E19-D19)/D19</f>
        <v/>
      </c>
      <c r="F20" s="70" t="n"/>
      <c r="G20" s="108" t="n"/>
      <c r="H20" s="108" t="n"/>
      <c r="I20" s="108" t="n"/>
      <c r="J20" s="108" t="n"/>
      <c r="K20" s="103" t="n"/>
      <c r="M20" s="284" t="inlineStr">
        <is>
          <t xml:space="preserve">Assessed Value </t>
        </is>
      </c>
      <c r="N20" s="755">
        <f>P4*75%*O34</f>
        <v/>
      </c>
      <c r="O20" s="59" t="n"/>
      <c r="P20" s="59" t="n"/>
    </row>
    <row r="21" ht="17.25" customHeight="1">
      <c r="A21" s="67" t="inlineStr">
        <is>
          <t>Expenses</t>
        </is>
      </c>
      <c r="B21" s="68">
        <f>B3</f>
        <v/>
      </c>
      <c r="C21" s="68">
        <f>C3</f>
        <v/>
      </c>
      <c r="D21" s="169">
        <f>D3</f>
        <v/>
      </c>
      <c r="E21" s="169" t="inlineStr">
        <is>
          <t>Annualization</t>
        </is>
      </c>
      <c r="F21" s="169" t="inlineStr">
        <is>
          <t>Broker's Proforma</t>
        </is>
      </c>
      <c r="G21" s="109" t="inlineStr">
        <is>
          <t>GGC ProForma</t>
        </is>
      </c>
      <c r="H21" s="109" t="inlineStr">
        <is>
          <t>GGC ProForma</t>
        </is>
      </c>
      <c r="I21" s="109" t="inlineStr">
        <is>
          <t>GGC ProForma</t>
        </is>
      </c>
      <c r="J21" s="115" t="inlineStr">
        <is>
          <t>Per Unit</t>
        </is>
      </c>
      <c r="K21" s="69" t="inlineStr">
        <is>
          <t>Notes</t>
        </is>
      </c>
      <c r="M21" s="284" t="inlineStr">
        <is>
          <t>Levy Rate</t>
        </is>
      </c>
      <c r="N21" s="327">
        <f>Q33</f>
        <v/>
      </c>
      <c r="O21" s="59" t="n"/>
      <c r="P21" s="59" t="n"/>
    </row>
    <row r="22" ht="19.5" customHeight="1">
      <c r="A22" s="139" t="inlineStr">
        <is>
          <t>RE Taxes</t>
        </is>
      </c>
      <c r="B22" s="132">
        <f>SUMIFS('Data Consolidation'!$D$43:$D$102,'Data Consolidation'!$A$43:$A$102,"RE Taxes")</f>
        <v/>
      </c>
      <c r="C22" s="132">
        <f>SUMIFS('Data Consolidation'!$E$43:$E$102,'Data Consolidation'!$A$43:$A$102,"RE Taxes")</f>
        <v/>
      </c>
      <c r="D22" s="132">
        <f>SUMIFS('Data Consolidation'!$G$43:$G$102,'Data Consolidation'!$A$43:$A$102,"RE Taxes")</f>
        <v/>
      </c>
      <c r="E22" s="132">
        <f>SUMIFS('Data Consolidation'!$H$43:$H$102,'Data Consolidation'!$A$43:$A$102,"RE Taxes")</f>
        <v/>
      </c>
      <c r="F22" s="132">
        <f>SUMIFS('Data Consolidation'!$F$43:$F$102,'Data Consolidation'!$A$43:$A$102,"RE Taxes")</f>
        <v/>
      </c>
      <c r="G22" s="336">
        <f>I22</f>
        <v/>
      </c>
      <c r="H22" s="336">
        <f>I22</f>
        <v/>
      </c>
      <c r="I22" s="336">
        <f>J22*N7</f>
        <v/>
      </c>
      <c r="J22" s="111" t="n">
        <v>400</v>
      </c>
      <c r="K22" s="283" t="inlineStr">
        <is>
          <t xml:space="preserve">GGC Pro Forma. </t>
        </is>
      </c>
      <c r="M22" s="674" t="inlineStr">
        <is>
          <t>Estimated Tax</t>
        </is>
      </c>
      <c r="N22" s="675">
        <f>N20*N21</f>
        <v/>
      </c>
      <c r="O22" s="59" t="n"/>
      <c r="P22" s="59" t="n"/>
    </row>
    <row r="23" ht="15" customHeight="1">
      <c r="A23" s="139" t="inlineStr">
        <is>
          <t>Insurance</t>
        </is>
      </c>
      <c r="B23" s="132">
        <f>SUMIFS('Data Consolidation'!$D$43:$D$102,'Data Consolidation'!$A$43:$A$102,"Insurance")</f>
        <v/>
      </c>
      <c r="C23" s="132">
        <f>SUMIFS('Data Consolidation'!$E$43:$E$102,'Data Consolidation'!$A$43:$A$102,"Insurance")</f>
        <v/>
      </c>
      <c r="D23" s="132">
        <f>SUMIFS('Data Consolidation'!$G$43:$G$102,'Data Consolidation'!$A$43:$A$102,"Insurance")</f>
        <v/>
      </c>
      <c r="E23" s="132">
        <f>SUMIFS('Data Consolidation'!$H$43:$H$102,'Data Consolidation'!$A$43:$A$102,"Insurance")</f>
        <v/>
      </c>
      <c r="F23" s="132">
        <f>SUMIFS('Data Consolidation'!$F$43:$F$102,'Data Consolidation'!$A$43:$A$102,"Insurance")</f>
        <v/>
      </c>
      <c r="G23" s="336">
        <f>I23</f>
        <v/>
      </c>
      <c r="H23" s="111">
        <f>I23</f>
        <v/>
      </c>
      <c r="I23" s="111">
        <f>D23*1.05</f>
        <v/>
      </c>
      <c r="J23" s="111">
        <f>I23/$N$7</f>
        <v/>
      </c>
      <c r="K23" s="283" t="inlineStr">
        <is>
          <t>T12 +5%</t>
        </is>
      </c>
      <c r="M23" s="59" t="n"/>
      <c r="N23" s="59" t="n"/>
      <c r="O23" s="59" t="n"/>
      <c r="P23" s="59" t="n"/>
    </row>
    <row r="24" ht="16.5" customHeight="1">
      <c r="A24" s="300" t="n"/>
      <c r="B24" s="301" t="n"/>
      <c r="C24" s="301" t="n"/>
      <c r="D24" s="301" t="n"/>
      <c r="E24" s="301" t="n"/>
      <c r="F24" s="302" t="n"/>
      <c r="G24" s="303" t="n"/>
      <c r="H24" s="303" t="n"/>
      <c r="I24" s="303" t="n"/>
      <c r="J24" s="304" t="n"/>
      <c r="K24" s="305" t="n"/>
      <c r="M24" s="59" t="inlineStr">
        <is>
          <t>2024-2025</t>
        </is>
      </c>
      <c r="N24" s="59" t="n"/>
      <c r="O24" s="59" t="n"/>
      <c r="P24" s="59" t="n"/>
    </row>
    <row r="25" ht="19.5" customHeight="1">
      <c r="A25" s="139" t="inlineStr">
        <is>
          <t>Gas/Fuel</t>
        </is>
      </c>
      <c r="B25" s="132">
        <f>SUMIFS('Data Consolidation'!$D$43:$D$102,'Data Consolidation'!$A$43:$A$102,"Gas/Fuel")</f>
        <v/>
      </c>
      <c r="C25" s="132">
        <f>SUMIFS('Data Consolidation'!$E$43:$E$102,'Data Consolidation'!$A$43:$A$102,"Gas/Fuel")</f>
        <v/>
      </c>
      <c r="D25" s="132">
        <f>SUMIFS('Data Consolidation'!$G$43:$G$102,'Data Consolidation'!$A$43:$A$102,"Gas/Fuel")</f>
        <v/>
      </c>
      <c r="E25" s="132">
        <f>SUMIFS('Data Consolidation'!$H$43:$H$102,'Data Consolidation'!$A$43:$A$102,"Gas/Fuel")</f>
        <v/>
      </c>
      <c r="F25" s="132">
        <f>SUMIFS('Data Consolidation'!$F$43:$F$102,'Data Consolidation'!$A$43:$A$102,"Gas/Fuel")</f>
        <v/>
      </c>
      <c r="G25" s="336">
        <f>I25</f>
        <v/>
      </c>
      <c r="H25" s="111">
        <f>I25</f>
        <v/>
      </c>
      <c r="I25" s="111">
        <f>D25*1.03</f>
        <v/>
      </c>
      <c r="J25" s="111">
        <f>I25/$N$7</f>
        <v/>
      </c>
      <c r="K25" s="159" t="inlineStr">
        <is>
          <t>T12 + 3%.</t>
        </is>
      </c>
      <c r="M25" s="677" t="inlineStr">
        <is>
          <t>Parcel</t>
        </is>
      </c>
      <c r="N25" s="677" t="inlineStr">
        <is>
          <t>MV</t>
        </is>
      </c>
      <c r="O25" s="677" t="inlineStr">
        <is>
          <t>Taxable Value</t>
        </is>
      </c>
      <c r="P25" s="677" t="inlineStr">
        <is>
          <t>Taxes</t>
        </is>
      </c>
      <c r="Q25" s="677" t="inlineStr">
        <is>
          <t>Levy%</t>
        </is>
      </c>
      <c r="R25" s="677" t="inlineStr">
        <is>
          <t>Acres</t>
        </is>
      </c>
    </row>
    <row r="26" ht="19.5" customHeight="1">
      <c r="A26" s="139" t="inlineStr">
        <is>
          <t>Electrcitiy</t>
        </is>
      </c>
      <c r="B26" s="132">
        <f>SUMIFS('Data Consolidation'!$D$43:$D$102,'Data Consolidation'!$A$43:$A$102,"Electricity")</f>
        <v/>
      </c>
      <c r="C26" s="132">
        <f>SUMIFS('Data Consolidation'!$E$43:$E$102,'Data Consolidation'!$A$43:$A$102,"Electricity")</f>
        <v/>
      </c>
      <c r="D26" s="132">
        <f>SUMIFS('Data Consolidation'!$G$43:$G$102,'Data Consolidation'!$A$43:$A$102,"Electricity")</f>
        <v/>
      </c>
      <c r="E26" s="132">
        <f>SUMIFS('Data Consolidation'!$H$43:$H$102,'Data Consolidation'!$A$43:$A$102,"Electricity")</f>
        <v/>
      </c>
      <c r="F26" s="132">
        <f>SUMIFS('Data Consolidation'!$F$43:$F$102,'Data Consolidation'!$A$43:$A$102,"Electricity")</f>
        <v/>
      </c>
      <c r="G26" s="336">
        <f>I26</f>
        <v/>
      </c>
      <c r="H26" s="111">
        <f>I26</f>
        <v/>
      </c>
      <c r="I26" s="111">
        <f>D26*1.03</f>
        <v/>
      </c>
      <c r="J26" s="111">
        <f>I26/$N$7</f>
        <v/>
      </c>
      <c r="K26" s="159" t="inlineStr">
        <is>
          <t>T12 + 3%.</t>
        </is>
      </c>
      <c r="M26" s="677" t="n"/>
      <c r="N26" s="31" t="n"/>
      <c r="O26" s="31" t="n"/>
      <c r="P26" s="31" t="n"/>
      <c r="Q26" s="677" t="n"/>
      <c r="R26" s="677" t="n"/>
    </row>
    <row r="27" ht="17.45" customHeight="1">
      <c r="A27" s="139" t="inlineStr">
        <is>
          <t>Water and Sewer</t>
        </is>
      </c>
      <c r="B27" s="132">
        <f>SUMIFS('Data Consolidation'!$D$43:$D$102,'Data Consolidation'!$A$43:$A$102,"Water and Sewer")</f>
        <v/>
      </c>
      <c r="C27" s="132">
        <f>SUMIFS('Data Consolidation'!$E$43:$E$102,'Data Consolidation'!$A$43:$A$102,"Water and Sewer")</f>
        <v/>
      </c>
      <c r="D27" s="132">
        <f>SUMIFS('Data Consolidation'!$G$43:$G$102,'Data Consolidation'!$A$43:$A$102,"Water and Sewer")</f>
        <v/>
      </c>
      <c r="E27" s="132">
        <f>SUMIFS('Data Consolidation'!$H$43:$H$102,'Data Consolidation'!$A$43:$A$102,"Water and Sewer")</f>
        <v/>
      </c>
      <c r="F27" s="132">
        <f>SUMIFS('Data Consolidation'!$F$43:$F$102,'Data Consolidation'!$A$43:$A$102,"Water and Sewer")</f>
        <v/>
      </c>
      <c r="G27" s="336">
        <f>I27</f>
        <v/>
      </c>
      <c r="H27" s="111">
        <f>I27</f>
        <v/>
      </c>
      <c r="I27" s="111">
        <f>D27*1.03</f>
        <v/>
      </c>
      <c r="J27" s="111">
        <f>I27/$N$7</f>
        <v/>
      </c>
      <c r="K27" s="159" t="inlineStr">
        <is>
          <t>T12 + 3%.</t>
        </is>
      </c>
      <c r="M27" s="677" t="n"/>
      <c r="N27" s="31" t="n"/>
      <c r="O27" s="31" t="n"/>
      <c r="P27" s="31" t="n"/>
      <c r="Q27" s="677" t="n"/>
      <c r="R27" s="677" t="n"/>
    </row>
    <row r="28" ht="19.5" customHeight="1">
      <c r="A28" s="139" t="inlineStr">
        <is>
          <t>Trash Removal</t>
        </is>
      </c>
      <c r="B28" s="132">
        <f>SUMIFS('Data Consolidation'!$D$43:$D$102,'Data Consolidation'!$A$43:$A$102,"Trash Removal")</f>
        <v/>
      </c>
      <c r="C28" s="132">
        <f>SUMIFS('Data Consolidation'!$E$43:$E$102,'Data Consolidation'!$A$43:$A$102,"Trash Removal")</f>
        <v/>
      </c>
      <c r="D28" s="132">
        <f>SUMIFS('Data Consolidation'!$G$43:$G$102,'Data Consolidation'!$A$43:$A$102,"Trash Removal")</f>
        <v/>
      </c>
      <c r="E28" s="132">
        <f>SUMIFS('Data Consolidation'!$H$43:$H$102,'Data Consolidation'!$A$43:$A$102,"Trash Removal")</f>
        <v/>
      </c>
      <c r="F28" s="132">
        <f>SUMIFS('Data Consolidation'!$F$43:$F$102,'Data Consolidation'!$A$43:$A$102,"Trash Removal")</f>
        <v/>
      </c>
      <c r="G28" s="336">
        <f>I28</f>
        <v/>
      </c>
      <c r="H28" s="111">
        <f>I28</f>
        <v/>
      </c>
      <c r="I28" s="111">
        <f>D28*1.03</f>
        <v/>
      </c>
      <c r="J28" s="111">
        <f>I28/$N$7</f>
        <v/>
      </c>
      <c r="K28" s="159" t="inlineStr">
        <is>
          <t>T12 + 3%.</t>
        </is>
      </c>
      <c r="M28" s="677" t="n"/>
      <c r="N28" s="31" t="n"/>
      <c r="O28" s="31" t="n"/>
      <c r="P28" s="31" t="n"/>
      <c r="Q28" s="677" t="n"/>
      <c r="R28" s="677" t="n"/>
    </row>
    <row r="29" ht="22.5" customHeight="1">
      <c r="A29" s="170" t="inlineStr">
        <is>
          <t>Total Utilities</t>
        </is>
      </c>
      <c r="B29" s="21">
        <f>SUM(B25:B28)</f>
        <v/>
      </c>
      <c r="C29" s="21">
        <f>SUM(C25:C28)</f>
        <v/>
      </c>
      <c r="D29" s="21">
        <f>SUM(D25:D28)</f>
        <v/>
      </c>
      <c r="E29" s="21">
        <f>SUM(E25:E28)</f>
        <v/>
      </c>
      <c r="F29" s="102">
        <f>SUM(F25:F28)</f>
        <v/>
      </c>
      <c r="G29" s="110">
        <f>SUM(G25:G28)</f>
        <v/>
      </c>
      <c r="H29" s="110">
        <f>SUM(H25:H28)</f>
        <v/>
      </c>
      <c r="I29" s="110">
        <f>SUM(I25:I28)</f>
        <v/>
      </c>
      <c r="J29" s="663">
        <f>I29/$N$7</f>
        <v/>
      </c>
      <c r="K29" s="661" t="inlineStr">
        <is>
          <t>per unit</t>
        </is>
      </c>
      <c r="M29" s="677" t="n"/>
      <c r="N29" s="31" t="n"/>
      <c r="O29" s="31" t="n"/>
      <c r="P29" s="31" t="n"/>
      <c r="Q29" s="677" t="n"/>
      <c r="R29" s="677" t="n"/>
    </row>
    <row r="30" ht="29.25" customHeight="1">
      <c r="A30" s="142" t="inlineStr">
        <is>
          <t xml:space="preserve">Repair and Maintenance </t>
        </is>
      </c>
      <c r="B30" s="141">
        <f>SUMIFS('Data Consolidation'!$D$43:$D$102,'Data Consolidation'!$A$43:$A$102,"Repair and Maintenance")</f>
        <v/>
      </c>
      <c r="C30" s="708">
        <f>SUMIFS('Data Consolidation'!$E$43:$E$102,'Data Consolidation'!$A$43:$A$102,"Repair and Maintenance")</f>
        <v/>
      </c>
      <c r="D30" s="132">
        <f>SUMIFS('Data Consolidation'!$G$43:$G$102,'Data Consolidation'!$A$43:$A$102,"Repair and Maintenance")</f>
        <v/>
      </c>
      <c r="E30" s="132">
        <f>SUMIFS('Data Consolidation'!$H$43:$H$102,'Data Consolidation'!$A$43:$A$102,"Repair and Maintenance")</f>
        <v/>
      </c>
      <c r="F30" s="132">
        <f>SUMIFS('Data Consolidation'!$F$43:$F$102,'Data Consolidation'!$A$43:$A$102,"Repair and Maintenance")</f>
        <v/>
      </c>
      <c r="G30" s="336">
        <f>I30</f>
        <v/>
      </c>
      <c r="H30" s="111">
        <f>I30</f>
        <v/>
      </c>
      <c r="I30" s="111">
        <f>J30*$N$7</f>
        <v/>
      </c>
      <c r="J30" s="690" t="n">
        <v>150</v>
      </c>
      <c r="K30" s="159" t="inlineStr">
        <is>
          <t>GGC Pro forma</t>
        </is>
      </c>
      <c r="L30" s="248" t="n"/>
      <c r="M30" s="677" t="n"/>
      <c r="N30" s="31" t="n"/>
      <c r="O30" s="31" t="n"/>
      <c r="P30" s="31" t="n"/>
      <c r="Q30" s="677" t="n"/>
      <c r="R30" s="677" t="n"/>
    </row>
    <row r="31" ht="24" customHeight="1">
      <c r="A31" s="139" t="inlineStr">
        <is>
          <t>Ground Maintenance</t>
        </is>
      </c>
      <c r="B31" s="132">
        <f>SUMIFS('Data Consolidation'!$D$43:$D$102,'Data Consolidation'!$A$43:$A$102,"Ground Maintenance")</f>
        <v/>
      </c>
      <c r="C31" s="132">
        <f>SUMIFS('Data Consolidation'!$E$43:$E$102,'Data Consolidation'!$A$43:$A$102,"Ground Maintenance")</f>
        <v/>
      </c>
      <c r="D31" s="132">
        <f>SUMIFS('Data Consolidation'!$G$43:$G$102,'Data Consolidation'!$A$43:$A$102,"Ground Maintenance")</f>
        <v/>
      </c>
      <c r="E31" s="132">
        <f>SUMIFS('Data Consolidation'!$H$43:$H$102,'Data Consolidation'!$A$43:$A$102,"Ground Maintenance")</f>
        <v/>
      </c>
      <c r="F31" s="132">
        <f>SUMIFS('Data Consolidation'!$F$43:$F$102,'Data Consolidation'!$A$43:$A$102,"Ground Maintenance")</f>
        <v/>
      </c>
      <c r="G31" s="336">
        <f>I31</f>
        <v/>
      </c>
      <c r="H31" s="111">
        <f>I31</f>
        <v/>
      </c>
      <c r="I31" s="111">
        <f>D31*(100%+3%)</f>
        <v/>
      </c>
      <c r="J31" s="111">
        <f>I31/N7</f>
        <v/>
      </c>
      <c r="K31" s="159" t="inlineStr">
        <is>
          <t>T12 + 3%.</t>
        </is>
      </c>
      <c r="M31" s="677" t="n"/>
      <c r="N31" s="31" t="n"/>
      <c r="O31" s="31" t="n"/>
      <c r="P31" s="31" t="n"/>
      <c r="Q31" s="677" t="n"/>
      <c r="R31" s="677" t="n"/>
    </row>
    <row r="32" ht="18" customHeight="1" thickBot="1">
      <c r="A32" s="139" t="inlineStr">
        <is>
          <t>Recreational Amenities</t>
        </is>
      </c>
      <c r="B32" s="132">
        <f>SUMIFS('Data Consolidation'!$D$43:$D$102,'Data Consolidation'!$A$43:$A$102,"Recreational Amenities")</f>
        <v/>
      </c>
      <c r="C32" s="132">
        <f>SUMIFS('Data Consolidation'!$E$43:$E$102,'Data Consolidation'!$A$43:$A$102,"Recreational Amenities")</f>
        <v/>
      </c>
      <c r="D32" s="132">
        <f>SUMIFS('Data Consolidation'!$G$43:$G$102,'Data Consolidation'!$A$43:$A$102,"Recreational Amenities")</f>
        <v/>
      </c>
      <c r="E32" s="132">
        <f>SUMIFS('Data Consolidation'!$H$43:$H$102,'Data Consolidation'!$A$43:$A$102,"Recreational Amenities")</f>
        <v/>
      </c>
      <c r="F32" s="132">
        <f>SUMIFS('Data Consolidation'!$F$43:$F$102,'Data Consolidation'!$A$43:$A$102,"Recreational Amenities")</f>
        <v/>
      </c>
      <c r="G32" s="336">
        <f>I32</f>
        <v/>
      </c>
      <c r="H32" s="111">
        <f>I32</f>
        <v/>
      </c>
      <c r="I32" s="111" t="n">
        <v>0</v>
      </c>
      <c r="J32" s="111">
        <f>I32/N7</f>
        <v/>
      </c>
      <c r="K32" s="269" t="n"/>
      <c r="M32" s="677" t="n"/>
      <c r="N32" s="31" t="n"/>
      <c r="O32" s="31" t="n"/>
      <c r="P32" s="31" t="n"/>
      <c r="Q32" s="677" t="n"/>
      <c r="R32" s="677" t="n"/>
    </row>
    <row r="33" ht="24" customHeight="1" thickBot="1">
      <c r="A33" s="139" t="inlineStr">
        <is>
          <t>Management Fee</t>
        </is>
      </c>
      <c r="B33" s="132">
        <f>SUMIFS('Data Consolidation'!$D$43:$D$102,'Data Consolidation'!$A$43:$A$102,"Management Fee")</f>
        <v/>
      </c>
      <c r="C33" s="132">
        <f>SUMIFS('Data Consolidation'!$E$43:$E$102,'Data Consolidation'!$A$43:$A$102,"Management Fee")</f>
        <v/>
      </c>
      <c r="D33" s="132">
        <f>SUMIFS('Data Consolidation'!$G$43:$G$102,'Data Consolidation'!$A$43:$A$102,"Management Fee")</f>
        <v/>
      </c>
      <c r="E33" s="132">
        <f>SUMIFS('Data Consolidation'!$H$43:$H$102,'Data Consolidation'!$A$43:$A$102,"Management Fee")</f>
        <v/>
      </c>
      <c r="F33" s="132">
        <f>SUMIFS('Data Consolidation'!$F$43:$F$102,'Data Consolidation'!$A$43:$A$102,"Management Fee")</f>
        <v/>
      </c>
      <c r="G33" s="260">
        <f>J33*G19</f>
        <v/>
      </c>
      <c r="H33" s="684">
        <f>J33*H19</f>
        <v/>
      </c>
      <c r="I33" s="260">
        <f>J33*I19</f>
        <v/>
      </c>
      <c r="J33" s="757" t="n">
        <v>0.05</v>
      </c>
      <c r="K33" s="283" t="inlineStr">
        <is>
          <t>GGC Pro forma</t>
        </is>
      </c>
      <c r="M33" s="677" t="n"/>
      <c r="N33" s="31">
        <f>SUM(N26:N32)</f>
        <v/>
      </c>
      <c r="O33" s="31">
        <f>SUM(O26:O32)</f>
        <v/>
      </c>
      <c r="P33" s="678">
        <f>SUM(P26:P32)</f>
        <v/>
      </c>
      <c r="Q33" s="688">
        <f>P33/O33</f>
        <v/>
      </c>
      <c r="R33" s="677" t="n"/>
    </row>
    <row r="34" ht="14.25" customHeight="1">
      <c r="A34" s="140" t="inlineStr">
        <is>
          <t>Management Fee %</t>
        </is>
      </c>
      <c r="B34" s="134">
        <f>B33/B19</f>
        <v/>
      </c>
      <c r="C34" s="134">
        <f>C33/C19</f>
        <v/>
      </c>
      <c r="D34" s="236">
        <f>D33/D19</f>
        <v/>
      </c>
      <c r="E34" s="236">
        <f>E33/E19</f>
        <v/>
      </c>
      <c r="F34" s="258">
        <f>F33/F19</f>
        <v/>
      </c>
      <c r="G34" s="314" t="n"/>
      <c r="H34" s="314" t="n"/>
      <c r="I34" s="314" t="n"/>
      <c r="J34" s="315" t="n"/>
      <c r="K34" s="71" t="n"/>
      <c r="M34" s="59" t="n"/>
      <c r="N34" s="59" t="n"/>
      <c r="O34" s="390">
        <f>O33/N33</f>
        <v/>
      </c>
      <c r="P34" s="59" t="n"/>
    </row>
    <row r="35" ht="23.25" customHeight="1">
      <c r="A35" s="139" t="inlineStr">
        <is>
          <t>Payroll</t>
        </is>
      </c>
      <c r="B35" s="132">
        <f>SUMIFS('Data Consolidation'!$D$43:$D$102,'Data Consolidation'!$A$43:$A$102,"Payroll")</f>
        <v/>
      </c>
      <c r="C35" s="132">
        <f>SUMIFS('Data Consolidation'!$E$43:$E$102,'Data Consolidation'!$A$43:$A$102,"Payroll")</f>
        <v/>
      </c>
      <c r="D35" s="132">
        <f>SUMIFS('Data Consolidation'!$G$43:$G$102,'Data Consolidation'!$A$43:$A$102,"Payroll")</f>
        <v/>
      </c>
      <c r="E35" s="132">
        <f>SUMIFS('Data Consolidation'!$H$43:$H$102,'Data Consolidation'!$A$43:$A$102,"Payroll")</f>
        <v/>
      </c>
      <c r="F35" s="135">
        <f>SUMIFS('Data Consolidation'!$F$43:$F$102,'Data Consolidation'!$A$43:$A$102,"Payroll")</f>
        <v/>
      </c>
      <c r="G35" s="336">
        <f>I35</f>
        <v/>
      </c>
      <c r="H35" s="336">
        <f>I35</f>
        <v/>
      </c>
      <c r="I35" s="336">
        <f>J35*N7</f>
        <v/>
      </c>
      <c r="J35" s="690" t="n">
        <v>600</v>
      </c>
      <c r="K35" s="283" t="inlineStr">
        <is>
          <t>GGC Pro forma</t>
        </is>
      </c>
      <c r="M35" s="59" t="n"/>
      <c r="N35" s="59" t="n"/>
      <c r="O35" s="59" t="n"/>
      <c r="P35" s="59" t="n"/>
    </row>
    <row r="36" ht="23.25" customHeight="1">
      <c r="A36" s="139" t="inlineStr">
        <is>
          <t>Employee Allowance</t>
        </is>
      </c>
      <c r="B36" s="132">
        <f>-SUMIFS('Data Consolidation'!$D$3:$D$36,'Data Consolidation'!$A$3:$A$36,"Employee Allowance (expense)")</f>
        <v/>
      </c>
      <c r="C36" s="132">
        <f>-SUMIFS('Data Consolidation'!$E$3:$E$36,'Data Consolidation'!$A$3:$A$36,"Employee Allowance (expense)")</f>
        <v/>
      </c>
      <c r="D36" s="132">
        <f>-SUMIFS('Data Consolidation'!$G$3:$G$36,'Data Consolidation'!$A$3:$A$36,"Employee Allowance (expense)")</f>
        <v/>
      </c>
      <c r="E36" s="132">
        <f>-SUMIFS('Data Consolidation'!$H$3:$H$36,'Data Consolidation'!$A$3:$A$36,"Employee Allowance (expense)")</f>
        <v/>
      </c>
      <c r="F36" s="135">
        <f>-SUMIFS('Data Consolidation'!$F$3:$F$36,'Data Consolidation'!$A$3:$A$36,"Employee Allowance (expense)")</f>
        <v/>
      </c>
      <c r="G36" s="336">
        <f>I36</f>
        <v/>
      </c>
      <c r="H36" s="111">
        <f>I36</f>
        <v/>
      </c>
      <c r="I36" s="111" t="n">
        <v>0</v>
      </c>
      <c r="J36" s="111">
        <f>I36/$N$7</f>
        <v/>
      </c>
      <c r="K36" s="159" t="n"/>
      <c r="M36" s="59" t="n"/>
      <c r="N36" s="59" t="n"/>
      <c r="O36" s="59" t="n"/>
      <c r="P36" s="59" t="n"/>
    </row>
    <row r="37" ht="26.45" customHeight="1">
      <c r="A37" s="139" t="inlineStr">
        <is>
          <t>General and Administrative</t>
        </is>
      </c>
      <c r="B37" s="132">
        <f>SUMIFS('Data Consolidation'!$D$43:$D$102,'Data Consolidation'!$A$43:$A$102,"G&amp;A")</f>
        <v/>
      </c>
      <c r="C37" s="132">
        <f>SUMIFS('Data Consolidation'!$E$43:$E$102,'Data Consolidation'!$A$43:$A$102,"G&amp;A")</f>
        <v/>
      </c>
      <c r="D37" s="132">
        <f>SUMIFS('Data Consolidation'!$G$43:$G$102,'Data Consolidation'!$A$43:$A$102,"G&amp;A")</f>
        <v/>
      </c>
      <c r="E37" s="132">
        <f>SUMIFS('Data Consolidation'!$H$43:$H$102,'Data Consolidation'!$A$43:$A$102,"G&amp;A")</f>
        <v/>
      </c>
      <c r="F37" s="135">
        <f>SUMIFS('Data Consolidation'!$F$43:$F$102,'Data Consolidation'!$A$43:$A$102,"G&amp;A")</f>
        <v/>
      </c>
      <c r="G37" s="336">
        <f>I37</f>
        <v/>
      </c>
      <c r="H37" s="336">
        <f>I37</f>
        <v/>
      </c>
      <c r="I37" s="111">
        <f>D37*(100%+3%)</f>
        <v/>
      </c>
      <c r="J37" s="111">
        <f>I37/$N$7</f>
        <v/>
      </c>
      <c r="K37" s="159" t="inlineStr">
        <is>
          <t>T12 + 3% (Tenant Cable tV $69K)</t>
        </is>
      </c>
      <c r="M37" s="59" t="n"/>
      <c r="N37" s="59" t="n"/>
      <c r="O37" s="59" t="n"/>
      <c r="P37" s="59" t="n"/>
    </row>
    <row r="38" hidden="1" ht="20.1" customHeight="1">
      <c r="A38" s="139" t="inlineStr">
        <is>
          <t>Model Units</t>
        </is>
      </c>
      <c r="B38" s="132">
        <f>-SUMIFS('Data Consolidation'!$D$3:$D$36,'Data Consolidation'!$A$3:$A$36,"Model Unit (expense)")</f>
        <v/>
      </c>
      <c r="C38" s="132">
        <f>-SUMIFS('Data Consolidation'!$E$3:$E$36,'Data Consolidation'!$A$3:$A$36,"Model Unit (expense)")</f>
        <v/>
      </c>
      <c r="D38" s="132">
        <f>-SUMIFS('Data Consolidation'!$G$3:$G$36,'Data Consolidation'!$A$3:$A$36,"Model Unit (expense)")</f>
        <v/>
      </c>
      <c r="E38" s="132">
        <f>-SUMIFS('Data Consolidation'!$H$3:$H$36,'Data Consolidation'!$A$3:$A$36,"Model Unit (expense)")</f>
        <v/>
      </c>
      <c r="F38" s="135">
        <f>-SUMIFS('Data Consolidation'!$F$3:$F$36,'Data Consolidation'!$A$3:$A$36,"Model Unit (expense)")</f>
        <v/>
      </c>
      <c r="G38" s="336">
        <f>I38</f>
        <v/>
      </c>
      <c r="H38" s="111">
        <f>I38</f>
        <v/>
      </c>
      <c r="I38" s="111" t="n">
        <v>0</v>
      </c>
      <c r="J38" s="111">
        <f>I38/$N$7</f>
        <v/>
      </c>
      <c r="K38" s="159" t="n"/>
      <c r="M38" s="59" t="n"/>
      <c r="N38" s="59" t="n"/>
      <c r="O38" s="59" t="n"/>
      <c r="P38" s="59" t="n"/>
    </row>
    <row r="39" ht="20.25" customHeight="1">
      <c r="A39" s="139" t="inlineStr">
        <is>
          <t>Professional Fees</t>
        </is>
      </c>
      <c r="B39" s="132">
        <f>SUMIFS('Data Consolidation'!$D$43:$D$102,'Data Consolidation'!$A$43:$A$102,"Professional Fees")</f>
        <v/>
      </c>
      <c r="C39" s="132">
        <f>SUMIFS('Data Consolidation'!$E$43:$E$102,'Data Consolidation'!$A$43:$A$102,"Professional Fees")</f>
        <v/>
      </c>
      <c r="D39" s="132">
        <f>SUMIFS('Data Consolidation'!$G$43:$G$102,'Data Consolidation'!$A$43:$A$102,"Professional Fees")</f>
        <v/>
      </c>
      <c r="E39" s="132">
        <f>SUMIFS('Data Consolidation'!$H$43:$H$102,'Data Consolidation'!$A$43:$A$102,"Professional Fees")</f>
        <v/>
      </c>
      <c r="F39" s="135">
        <f>SUMIFS('Data Consolidation'!$F$43:$F$102,'Data Consolidation'!$A$43:$A$102,"Professional Fees")</f>
        <v/>
      </c>
      <c r="G39" s="336">
        <f>I39</f>
        <v/>
      </c>
      <c r="H39" s="111">
        <f>I39</f>
        <v/>
      </c>
      <c r="I39" s="111">
        <f>D39*1.03</f>
        <v/>
      </c>
      <c r="J39" s="111">
        <f>I39/$N$7</f>
        <v/>
      </c>
      <c r="K39" s="159" t="inlineStr">
        <is>
          <t>T12 + 3%</t>
        </is>
      </c>
      <c r="M39" s="59" t="n"/>
      <c r="N39" s="59" t="n"/>
      <c r="O39" s="59" t="n"/>
      <c r="P39" s="59" t="n"/>
    </row>
    <row r="40" ht="20.25" customHeight="1">
      <c r="A40" s="139" t="inlineStr">
        <is>
          <t>Advertising</t>
        </is>
      </c>
      <c r="B40" s="132">
        <f>SUMIFS('Data Consolidation'!$D$43:$D$102,'Data Consolidation'!$A$43:$A$102,"Advertising")</f>
        <v/>
      </c>
      <c r="C40" s="132">
        <f>SUMIFS('Data Consolidation'!$E$43:$E$102,'Data Consolidation'!$A$43:$A$102,"Advertising")</f>
        <v/>
      </c>
      <c r="D40" s="132">
        <f>SUMIFS('Data Consolidation'!$G$43:$G$102,'Data Consolidation'!$A$43:$A$102,"Advertising")</f>
        <v/>
      </c>
      <c r="E40" s="132">
        <f>SUMIFS('Data Consolidation'!$H$43:$H$102,'Data Consolidation'!$A$43:$A$102,"Advertising")</f>
        <v/>
      </c>
      <c r="F40" s="135">
        <f>SUMIFS('Data Consolidation'!$F$43:$F$102,'Data Consolidation'!$A$43:$A$102,"Advertising")</f>
        <v/>
      </c>
      <c r="G40" s="336">
        <f>I40</f>
        <v/>
      </c>
      <c r="H40" s="111">
        <f>I40</f>
        <v/>
      </c>
      <c r="I40" s="111">
        <f>D40*1.03</f>
        <v/>
      </c>
      <c r="J40" s="111">
        <f>I40/$N$7</f>
        <v/>
      </c>
      <c r="K40" s="159" t="inlineStr">
        <is>
          <t>T12 + 3%</t>
        </is>
      </c>
      <c r="M40" s="59" t="n"/>
      <c r="N40" s="59" t="n"/>
      <c r="O40" s="59" t="n"/>
      <c r="P40" s="59" t="n"/>
    </row>
    <row r="41" ht="19.5" customHeight="1" thickBot="1">
      <c r="A41" s="139" t="inlineStr">
        <is>
          <t>Home Rent Expense (MH)</t>
        </is>
      </c>
      <c r="B41" s="132">
        <f>SUMIFS('Data Consolidation'!$D$43:$D$102,'Data Consolidation'!$A$43:$A$102,"Home Rent Expense")</f>
        <v/>
      </c>
      <c r="C41" s="132">
        <f>SUMIFS('Data Consolidation'!$E$43:$E$102,'Data Consolidation'!$A$43:$A$102,"Home Rent Expense")</f>
        <v/>
      </c>
      <c r="D41" s="132">
        <f>SUMIFS('Data Consolidation'!$G$43:$G$102,'Data Consolidation'!$A$43:$A$102,"Home Rent Expense")</f>
        <v/>
      </c>
      <c r="E41" s="132">
        <f>SUMIFS('Data Consolidation'!$H$43:$H$102,'Data Consolidation'!$A$43:$A$102,"Home Rent Expense")</f>
        <v/>
      </c>
      <c r="F41" s="135">
        <f>SUMIFS('Data Consolidation'!$F$43:$F$102,'Data Consolidation'!$A$43:$A$102,"Home Rent Expense")</f>
        <v/>
      </c>
      <c r="G41" s="336">
        <f>I41</f>
        <v/>
      </c>
      <c r="H41" s="111" t="n"/>
      <c r="I41" s="111">
        <f>15%*I13</f>
        <v/>
      </c>
      <c r="J41" s="111">
        <f>I41/$N$7</f>
        <v/>
      </c>
      <c r="K41" s="159" t="n"/>
      <c r="M41" s="59" t="n"/>
      <c r="N41" s="59" t="n"/>
      <c r="O41" s="59" t="n"/>
      <c r="P41" s="59" t="n"/>
    </row>
    <row r="42" hidden="1" ht="20.1" customHeight="1" thickBot="1">
      <c r="A42" s="139" t="inlineStr">
        <is>
          <t>Other</t>
        </is>
      </c>
      <c r="B42" s="132">
        <f>SUMIFS('Data Consolidation'!$D$43:$D$102,'Data Consolidation'!$A$43:$A$102,"Other")</f>
        <v/>
      </c>
      <c r="C42" s="132">
        <f>SUMIFS('Data Consolidation'!$E$43:$E$102,'Data Consolidation'!$A$43:$A$102,"Other")</f>
        <v/>
      </c>
      <c r="D42" s="132">
        <f>SUMIFS('Data Consolidation'!$G$43:$G$102,'Data Consolidation'!$A$43:$A$102,"Other")</f>
        <v/>
      </c>
      <c r="E42" s="132">
        <f>SUMIFS('Data Consolidation'!$H$43:$H$102,'Data Consolidation'!$A$43:$A$102,"Other")</f>
        <v/>
      </c>
      <c r="F42" s="135">
        <f>SUMIFS('Data Consolidation'!$F$43:$F$102,'Data Consolidation'!$A$43:$A$102,"Other")</f>
        <v/>
      </c>
      <c r="G42" s="336">
        <f>I42</f>
        <v/>
      </c>
      <c r="H42" s="111">
        <f>I42</f>
        <v/>
      </c>
      <c r="I42" s="111" t="n">
        <v>0</v>
      </c>
      <c r="J42" s="111">
        <f>I42/$N$7</f>
        <v/>
      </c>
      <c r="K42" s="159" t="n"/>
      <c r="M42" s="59" t="n"/>
      <c r="N42" s="59" t="n"/>
      <c r="O42" s="59" t="n"/>
      <c r="P42" s="59" t="n"/>
    </row>
    <row r="43" ht="20.25" customHeight="1" thickBot="1">
      <c r="A43" s="139" t="inlineStr">
        <is>
          <t>Cap-Ex Reserve</t>
        </is>
      </c>
      <c r="B43" s="132">
        <f>SUMIFS('Data Consolidation'!$D$43:$D$102,'Data Consolidation'!$A$43:$A$102,"Cap Ex")</f>
        <v/>
      </c>
      <c r="C43" s="132">
        <f>SUMIFS('Data Consolidation'!$E$43:$E$102,'Data Consolidation'!$A$43:$A$102,"Cap Ex")</f>
        <v/>
      </c>
      <c r="D43" s="132">
        <f>SUMIFS('Data Consolidation'!$G$43:$G$102,'Data Consolidation'!$A$43:$A$102,"Cap Ex")</f>
        <v/>
      </c>
      <c r="E43" s="132">
        <f>SUMIFS('Data Consolidation'!$H$43:$H$102,'Data Consolidation'!$A$43:$A$102,"Cap Ex")</f>
        <v/>
      </c>
      <c r="F43" s="135">
        <f>SUMIFS('Data Consolidation'!$F$43:$F$102,'Data Consolidation'!$A$43:$A$102,"Cap Ex")</f>
        <v/>
      </c>
      <c r="G43" s="336">
        <f>I43</f>
        <v/>
      </c>
      <c r="H43" s="111">
        <f>I43</f>
        <v/>
      </c>
      <c r="I43" s="111">
        <f>J43*$N$7</f>
        <v/>
      </c>
      <c r="J43" s="261" t="n">
        <v>75</v>
      </c>
      <c r="K43" s="159" t="inlineStr">
        <is>
          <t>GGC Pro forma</t>
        </is>
      </c>
      <c r="M43" s="59" t="n"/>
      <c r="N43" s="59" t="n"/>
      <c r="O43" s="59" t="n"/>
      <c r="P43" s="59" t="n"/>
    </row>
    <row r="44" ht="21.75" customHeight="1">
      <c r="A44" s="124" t="inlineStr">
        <is>
          <t>Total Expenses</t>
        </is>
      </c>
      <c r="B44" s="118">
        <f>B22+B23+B29+B30+B31+B32+B33+B35+B36+B37+B38+B39+B40+B42+B43+B41</f>
        <v/>
      </c>
      <c r="C44" s="118">
        <f>C22+C23+C29+C30+C31+C32+C33+C35+C36+C37+C38+C39+C40+C42+C43+C41</f>
        <v/>
      </c>
      <c r="D44" s="118">
        <f>D22+D23+D29+D30+D31+D32+D33+D35+D36+D37+D38+D39+D40+D42+D43+D41</f>
        <v/>
      </c>
      <c r="E44" s="118">
        <f>E22+E23+E29+E30+E31+E32+E33+E35+E36+E37+E38+E39+E40+E42+E43+E41</f>
        <v/>
      </c>
      <c r="F44" s="118">
        <f>F22+F23+F29+F30+F31+F32+F33+F35+F36+F37+F38+F39+F40+F42+F43+F41</f>
        <v/>
      </c>
      <c r="G44" s="118">
        <f>G22+G23+G29+G30+G31+G32+G33+G35+G36+G37+G38+G39+G40+G42+G43+G41</f>
        <v/>
      </c>
      <c r="H44" s="118">
        <f>H22+H23+H29+H30+H31+H32+H33+H35+H36+H37+H38+H39+H40+H42+H43+H41</f>
        <v/>
      </c>
      <c r="I44" s="118">
        <f>I22+I23+I29+I30+I31+I32+I33+I35+I36+I37+I38+I39+I40+I42+I43+I41</f>
        <v/>
      </c>
      <c r="J44" s="663">
        <f>I44/$N$7</f>
        <v/>
      </c>
      <c r="K44" s="661" t="inlineStr">
        <is>
          <t>per unit</t>
        </is>
      </c>
      <c r="M44" s="59" t="n"/>
      <c r="N44" s="59" t="n"/>
      <c r="O44" s="59" t="n"/>
      <c r="P44" s="59" t="n"/>
    </row>
    <row r="45" ht="16.5" customHeight="1" thickBot="1">
      <c r="A45" s="125" t="inlineStr">
        <is>
          <t>Expense Ratio %</t>
        </is>
      </c>
      <c r="B45" s="259">
        <f>B44/B19</f>
        <v/>
      </c>
      <c r="C45" s="259">
        <f>C44/C19</f>
        <v/>
      </c>
      <c r="D45" s="259">
        <f>D44/D19</f>
        <v/>
      </c>
      <c r="E45" s="259">
        <f>E44/E19</f>
        <v/>
      </c>
      <c r="F45" s="259">
        <f>F44/F19</f>
        <v/>
      </c>
      <c r="G45" s="259">
        <f>G44/G19</f>
        <v/>
      </c>
      <c r="H45" s="259">
        <f>H44/H19</f>
        <v/>
      </c>
      <c r="I45" s="259">
        <f>I44/I19</f>
        <v/>
      </c>
      <c r="J45" s="262" t="n"/>
      <c r="K45" s="104" t="n"/>
      <c r="M45" s="59" t="n"/>
      <c r="N45" s="59" t="n"/>
      <c r="O45" s="59" t="n"/>
      <c r="P45" s="59" t="n"/>
    </row>
    <row r="46" ht="7.5" customHeight="1">
      <c r="A46" s="309" t="n"/>
      <c r="B46" s="298" t="n"/>
      <c r="C46" s="298" t="n"/>
      <c r="D46" s="298" t="n"/>
      <c r="E46" s="298" t="n"/>
      <c r="F46" s="298" t="n"/>
      <c r="G46" s="310" t="n"/>
      <c r="H46" s="310" t="n"/>
      <c r="I46" s="310" t="n"/>
      <c r="J46" s="307" t="n"/>
      <c r="K46" s="308" t="n"/>
      <c r="M46" s="59" t="n"/>
      <c r="N46" s="59" t="n"/>
      <c r="O46" s="59" t="n"/>
      <c r="P46" s="59" t="n"/>
    </row>
    <row r="47" ht="24.75" customHeight="1">
      <c r="A47" s="126" t="inlineStr">
        <is>
          <t>Total Net Operating Income</t>
        </is>
      </c>
      <c r="B47" s="25">
        <f>B19-B44</f>
        <v/>
      </c>
      <c r="C47" s="25">
        <f>C19-C44</f>
        <v/>
      </c>
      <c r="D47" s="25">
        <f>D19-D44</f>
        <v/>
      </c>
      <c r="E47" s="25">
        <f>E19-E44</f>
        <v/>
      </c>
      <c r="F47" s="25">
        <f>F19-F44</f>
        <v/>
      </c>
      <c r="G47" s="106">
        <f>G19-G44</f>
        <v/>
      </c>
      <c r="H47" s="106">
        <f>H19-H44</f>
        <v/>
      </c>
      <c r="I47" s="106">
        <f>I19-I44</f>
        <v/>
      </c>
      <c r="J47" s="119" t="n"/>
      <c r="K47" s="71" t="n"/>
      <c r="M47" s="59" t="n"/>
      <c r="N47" s="59" t="n"/>
      <c r="O47" s="59" t="n"/>
      <c r="P47" s="59" t="n"/>
    </row>
    <row r="48" ht="17.25" customHeight="1">
      <c r="A48" s="127" t="inlineStr">
        <is>
          <t>YoY % Growth</t>
        </is>
      </c>
      <c r="B48" s="5" t="n"/>
      <c r="C48" s="117">
        <f>(C47-B47)/B47</f>
        <v/>
      </c>
      <c r="D48" s="235">
        <f>(D47-C47)/C47</f>
        <v/>
      </c>
      <c r="E48" s="235">
        <f>(E47-D47)/D47</f>
        <v/>
      </c>
      <c r="F48" s="117" t="n"/>
      <c r="G48" s="117" t="n"/>
      <c r="H48" s="117" t="n"/>
      <c r="I48" s="117" t="n"/>
      <c r="J48" s="112" t="n"/>
      <c r="K48" s="71" t="n"/>
      <c r="M48" s="59" t="n"/>
      <c r="N48" s="59" t="n"/>
      <c r="O48" s="59" t="n"/>
      <c r="P48" s="59" t="n"/>
    </row>
    <row r="49" ht="9" customHeight="1" thickBot="1">
      <c r="A49" s="311" t="n"/>
      <c r="B49" s="312" t="n"/>
      <c r="C49" s="312" t="n"/>
      <c r="D49" s="312" t="n"/>
      <c r="E49" s="312" t="n"/>
      <c r="F49" s="312" t="n"/>
      <c r="G49" s="306" t="n"/>
      <c r="H49" s="306" t="n"/>
      <c r="I49" s="306" t="n"/>
      <c r="J49" s="306" t="n"/>
      <c r="K49" s="313" t="n"/>
      <c r="M49" s="59" t="n"/>
      <c r="N49" s="59" t="n"/>
      <c r="O49" s="59" t="n"/>
      <c r="P49" s="59" t="n"/>
    </row>
    <row r="50" customFormat="1" s="59"/>
    <row r="51" customFormat="1" s="59">
      <c r="G51" s="334" t="n"/>
      <c r="H51" s="758" t="n"/>
      <c r="I51" s="758" t="n"/>
    </row>
    <row r="52" customFormat="1" s="59"/>
    <row r="53" customFormat="1" s="59"/>
    <row r="54" customFormat="1" s="59"/>
    <row r="55" customFormat="1" s="59"/>
    <row r="56" customFormat="1" s="59"/>
    <row r="57" customFormat="1" s="59"/>
    <row r="58" customFormat="1" s="59"/>
    <row r="59" customFormat="1" s="59"/>
    <row r="60" customFormat="1" s="59"/>
    <row r="61" customFormat="1" s="59"/>
    <row r="62" customFormat="1" s="59"/>
    <row r="63" customFormat="1" s="59"/>
    <row r="64" customFormat="1" s="59"/>
    <row r="65" customFormat="1" s="59"/>
    <row r="66" customFormat="1" s="59"/>
    <row r="67" customFormat="1" s="59"/>
    <row r="68" customFormat="1" s="59"/>
    <row r="69" customFormat="1" s="59"/>
    <row r="70" customFormat="1" s="59"/>
    <row r="71" customFormat="1" s="59"/>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 r="M173" s="59" t="n"/>
      <c r="N173" s="59" t="n"/>
      <c r="O173" s="59" t="n"/>
      <c r="P173" s="59" t="n"/>
    </row>
    <row r="174">
      <c r="M174" s="59" t="n"/>
      <c r="N174" s="59" t="n"/>
      <c r="O174" s="59" t="n"/>
      <c r="P174" s="59" t="n"/>
    </row>
    <row r="175">
      <c r="M175" s="59" t="n"/>
      <c r="N175" s="59" t="n"/>
      <c r="O175" s="59" t="n"/>
      <c r="P175" s="59" t="n"/>
    </row>
    <row r="176">
      <c r="M176" s="59" t="n"/>
      <c r="N176" s="59" t="n"/>
      <c r="O176" s="59" t="n"/>
      <c r="P176" s="59" t="n"/>
    </row>
    <row r="177">
      <c r="M177" s="59" t="n"/>
      <c r="N177" s="59" t="n"/>
      <c r="O177" s="59" t="n"/>
      <c r="P177" s="59" t="n"/>
    </row>
    <row r="178">
      <c r="M178" s="59" t="n"/>
      <c r="N178" s="59" t="n"/>
      <c r="O178" s="59" t="n"/>
      <c r="P178" s="59" t="n"/>
    </row>
    <row r="179">
      <c r="M179" s="59" t="n"/>
      <c r="N179" s="59" t="n"/>
      <c r="O179" s="59" t="n"/>
      <c r="P179" s="59" t="n"/>
    </row>
    <row r="180">
      <c r="M180" s="59" t="n"/>
      <c r="N180" s="59" t="n"/>
      <c r="O180" s="59" t="n"/>
      <c r="P180" s="59" t="n"/>
    </row>
    <row r="181">
      <c r="M181" s="59" t="n"/>
      <c r="N181" s="59" t="n"/>
      <c r="O181" s="59" t="n"/>
      <c r="P181" s="59" t="n"/>
    </row>
    <row r="182">
      <c r="M182" s="59" t="n"/>
      <c r="N182" s="59" t="n"/>
      <c r="O182" s="59" t="n"/>
      <c r="P182" s="59" t="n"/>
    </row>
    <row r="183">
      <c r="M183" s="59" t="n"/>
      <c r="N183" s="59" t="n"/>
      <c r="O183" s="59" t="n"/>
      <c r="P183" s="59" t="n"/>
    </row>
    <row r="184">
      <c r="M184" s="59" t="n"/>
      <c r="N184" s="59" t="n"/>
      <c r="O184" s="59" t="n"/>
      <c r="P184" s="59" t="n"/>
    </row>
    <row r="185">
      <c r="M185" s="59" t="n"/>
      <c r="N185" s="59" t="n"/>
      <c r="O185" s="59" t="n"/>
      <c r="P185" s="59" t="n"/>
    </row>
    <row r="186">
      <c r="M186" s="59" t="n"/>
      <c r="N186" s="59" t="n"/>
      <c r="O186" s="59" t="n"/>
      <c r="P186" s="59" t="n"/>
    </row>
    <row r="187">
      <c r="M187" s="59" t="n"/>
      <c r="N187" s="59" t="n"/>
      <c r="O187" s="59" t="n"/>
      <c r="P187" s="59" t="n"/>
    </row>
    <row r="188">
      <c r="M188" s="59" t="n"/>
      <c r="N188" s="59" t="n"/>
      <c r="O188" s="59" t="n"/>
      <c r="P188" s="59" t="n"/>
    </row>
    <row r="189">
      <c r="M189" s="59" t="n"/>
      <c r="N189" s="59" t="n"/>
      <c r="O189" s="59" t="n"/>
      <c r="P189" s="59" t="n"/>
    </row>
    <row r="190">
      <c r="M190" s="59" t="n"/>
      <c r="N190" s="59" t="n"/>
      <c r="O190" s="59" t="n"/>
      <c r="P190" s="59" t="n"/>
    </row>
    <row r="191">
      <c r="M191" s="59" t="n"/>
      <c r="N191" s="59" t="n"/>
      <c r="O191" s="59" t="n"/>
      <c r="P191" s="59" t="n"/>
    </row>
    <row r="192">
      <c r="M192" s="59" t="n"/>
      <c r="N192" s="59" t="n"/>
      <c r="O192" s="59" t="n"/>
      <c r="P192" s="59" t="n"/>
    </row>
    <row r="193">
      <c r="M193" s="59" t="n"/>
      <c r="N193" s="59" t="n"/>
      <c r="O193" s="59" t="n"/>
      <c r="P193" s="59" t="n"/>
    </row>
    <row r="194">
      <c r="M194" s="59" t="n"/>
      <c r="N194" s="59" t="n"/>
      <c r="O194" s="59" t="n"/>
      <c r="P194" s="59" t="n"/>
    </row>
    <row r="195">
      <c r="M195" s="59" t="n"/>
      <c r="N195" s="59" t="n"/>
      <c r="O195" s="59" t="n"/>
      <c r="P195" s="59" t="n"/>
    </row>
    <row r="196">
      <c r="M196" s="59" t="n"/>
      <c r="N196" s="59" t="n"/>
      <c r="O196" s="59" t="n"/>
      <c r="P196" s="59" t="n"/>
    </row>
    <row r="197">
      <c r="M197" s="59" t="n"/>
      <c r="N197" s="59" t="n"/>
      <c r="O197" s="59" t="n"/>
      <c r="P197" s="59" t="n"/>
    </row>
    <row r="198">
      <c r="M198" s="59" t="n"/>
      <c r="N198" s="59" t="n"/>
      <c r="O198" s="59" t="n"/>
      <c r="P198" s="59" t="n"/>
    </row>
    <row r="199">
      <c r="M199" s="59" t="n"/>
      <c r="N199" s="59" t="n"/>
      <c r="O199" s="59" t="n"/>
      <c r="P199" s="59" t="n"/>
    </row>
    <row r="200">
      <c r="M200" s="59" t="n"/>
      <c r="N200" s="59" t="n"/>
      <c r="O200" s="59" t="n"/>
      <c r="P200" s="59" t="n"/>
    </row>
    <row r="201">
      <c r="M201" s="59" t="n"/>
      <c r="N201" s="59" t="n"/>
      <c r="O201" s="59" t="n"/>
      <c r="P201" s="59" t="n"/>
    </row>
    <row r="202">
      <c r="M202" s="59" t="n"/>
      <c r="N202" s="59" t="n"/>
      <c r="O202" s="59" t="n"/>
      <c r="P202" s="59" t="n"/>
    </row>
    <row r="203">
      <c r="M203" s="59" t="n"/>
      <c r="N203" s="59" t="n"/>
      <c r="O203" s="59" t="n"/>
      <c r="P203" s="59" t="n"/>
    </row>
    <row r="204">
      <c r="M204" s="59" t="n"/>
      <c r="N204" s="59" t="n"/>
      <c r="O204" s="59" t="n"/>
      <c r="P204" s="59" t="n"/>
    </row>
    <row r="205">
      <c r="M205" s="59" t="n"/>
      <c r="N205" s="59" t="n"/>
      <c r="O205" s="59" t="n"/>
      <c r="P205" s="59" t="n"/>
    </row>
    <row r="206">
      <c r="M206" s="59" t="n"/>
      <c r="N206" s="59" t="n"/>
      <c r="O206" s="59" t="n"/>
      <c r="P206" s="59" t="n"/>
    </row>
    <row r="207">
      <c r="M207" s="59" t="n"/>
      <c r="N207" s="59" t="n"/>
      <c r="O207" s="59" t="n"/>
      <c r="P207" s="59" t="n"/>
    </row>
    <row r="208">
      <c r="M208" s="59" t="n"/>
      <c r="N208" s="59" t="n"/>
      <c r="O208" s="59" t="n"/>
      <c r="P208" s="59" t="n"/>
    </row>
    <row r="209">
      <c r="M209" s="59" t="n"/>
      <c r="N209" s="59" t="n"/>
      <c r="O209" s="59" t="n"/>
      <c r="P209" s="59" t="n"/>
    </row>
    <row r="210">
      <c r="M210" s="59" t="n"/>
      <c r="N210" s="59" t="n"/>
      <c r="O210" s="59" t="n"/>
      <c r="P210" s="59" t="n"/>
    </row>
    <row r="211">
      <c r="M211" s="59" t="n"/>
      <c r="N211" s="59" t="n"/>
      <c r="O211" s="59" t="n"/>
      <c r="P211" s="59" t="n"/>
    </row>
    <row r="212">
      <c r="M212" s="59" t="n"/>
      <c r="N212" s="59" t="n"/>
      <c r="O212" s="59" t="n"/>
      <c r="P212" s="59" t="n"/>
    </row>
    <row r="213">
      <c r="M213" s="59" t="n"/>
      <c r="N213" s="59" t="n"/>
      <c r="O213" s="59" t="n"/>
      <c r="P213" s="59" t="n"/>
    </row>
    <row r="214">
      <c r="M214" s="59" t="n"/>
      <c r="N214" s="59" t="n"/>
      <c r="O214" s="59" t="n"/>
      <c r="P214" s="59" t="n"/>
    </row>
    <row r="215">
      <c r="M215" s="59" t="n"/>
      <c r="N215" s="59" t="n"/>
      <c r="O215" s="59" t="n"/>
      <c r="P215" s="59" t="n"/>
    </row>
    <row r="216">
      <c r="M216" s="59" t="n"/>
      <c r="N216" s="59" t="n"/>
      <c r="O216" s="59" t="n"/>
      <c r="P216" s="59" t="n"/>
    </row>
    <row r="217">
      <c r="M217" s="59" t="n"/>
      <c r="N217" s="59" t="n"/>
      <c r="O217" s="59" t="n"/>
      <c r="P217" s="59" t="n"/>
    </row>
    <row r="218">
      <c r="M218" s="59" t="n"/>
      <c r="N218" s="59" t="n"/>
      <c r="O218" s="59" t="n"/>
      <c r="P218" s="59" t="n"/>
    </row>
    <row r="219">
      <c r="M219" s="59" t="n"/>
      <c r="N219" s="59" t="n"/>
      <c r="O219" s="59" t="n"/>
      <c r="P219" s="59" t="n"/>
    </row>
    <row r="220">
      <c r="M220" s="59" t="n"/>
      <c r="N220" s="59" t="n"/>
      <c r="O220" s="59" t="n"/>
      <c r="P220" s="59" t="n"/>
    </row>
    <row r="221">
      <c r="M221" s="59" t="n"/>
      <c r="N221" s="59" t="n"/>
      <c r="O221" s="59" t="n"/>
      <c r="P221" s="59" t="n"/>
    </row>
    <row r="222">
      <c r="M222" s="59" t="n"/>
      <c r="N222" s="59" t="n"/>
      <c r="O222" s="59" t="n"/>
      <c r="P222" s="59" t="n"/>
    </row>
    <row r="223">
      <c r="M223" s="59" t="n"/>
      <c r="N223" s="59" t="n"/>
      <c r="O223" s="59" t="n"/>
      <c r="P223" s="59" t="n"/>
    </row>
    <row r="224">
      <c r="M224" s="59" t="n"/>
      <c r="N224" s="59" t="n"/>
      <c r="O224" s="59" t="n"/>
      <c r="P224" s="59" t="n"/>
    </row>
    <row r="225">
      <c r="M225" s="59" t="n"/>
      <c r="N225" s="59" t="n"/>
      <c r="O225" s="59" t="n"/>
      <c r="P225" s="59" t="n"/>
    </row>
    <row r="226">
      <c r="M226" s="59" t="n"/>
      <c r="N226" s="59" t="n"/>
      <c r="O226" s="59" t="n"/>
      <c r="P226" s="59" t="n"/>
    </row>
    <row r="227">
      <c r="M227" s="59" t="n"/>
      <c r="N227" s="59" t="n"/>
      <c r="O227" s="59" t="n"/>
      <c r="P227" s="59" t="n"/>
    </row>
    <row r="228">
      <c r="M228" s="59" t="n"/>
      <c r="N228" s="59" t="n"/>
      <c r="O228" s="59" t="n"/>
      <c r="P228" s="59" t="n"/>
    </row>
    <row r="229">
      <c r="M229" s="59" t="n"/>
      <c r="N229" s="59" t="n"/>
      <c r="O229" s="59" t="n"/>
      <c r="P229" s="59" t="n"/>
    </row>
    <row r="230">
      <c r="M230" s="59" t="n"/>
      <c r="N230" s="59" t="n"/>
      <c r="O230" s="59" t="n"/>
      <c r="P230" s="59" t="n"/>
    </row>
    <row r="231">
      <c r="M231" s="59" t="n"/>
      <c r="N231" s="59" t="n"/>
      <c r="O231" s="59" t="n"/>
      <c r="P231" s="59" t="n"/>
    </row>
    <row r="232">
      <c r="M232" s="59" t="n"/>
      <c r="N232" s="59" t="n"/>
      <c r="O232" s="59" t="n"/>
      <c r="P232" s="59" t="n"/>
    </row>
    <row r="233">
      <c r="M233" s="59" t="n"/>
      <c r="N233" s="59" t="n"/>
      <c r="O233" s="59" t="n"/>
      <c r="P233" s="59" t="n"/>
    </row>
    <row r="234">
      <c r="M234" s="59" t="n"/>
      <c r="N234" s="59" t="n"/>
      <c r="O234" s="59" t="n"/>
      <c r="P234" s="59" t="n"/>
    </row>
    <row r="235">
      <c r="M235" s="59" t="n"/>
      <c r="N235" s="59" t="n"/>
      <c r="O235" s="59" t="n"/>
      <c r="P235" s="59" t="n"/>
    </row>
    <row r="236">
      <c r="M236" s="59" t="n"/>
      <c r="N236" s="59" t="n"/>
      <c r="O236" s="59" t="n"/>
      <c r="P236" s="59" t="n"/>
    </row>
    <row r="237">
      <c r="M237" s="59" t="n"/>
      <c r="N237" s="59" t="n"/>
      <c r="O237" s="59" t="n"/>
      <c r="P237" s="59" t="n"/>
    </row>
    <row r="238">
      <c r="M238" s="59" t="n"/>
      <c r="N238" s="59" t="n"/>
      <c r="O238" s="59" t="n"/>
      <c r="P238" s="59" t="n"/>
    </row>
    <row r="239">
      <c r="M239" s="59" t="n"/>
      <c r="N239" s="59" t="n"/>
      <c r="O239" s="59" t="n"/>
      <c r="P239" s="59" t="n"/>
    </row>
    <row r="240">
      <c r="M240" s="59" t="n"/>
      <c r="N240" s="59" t="n"/>
      <c r="O240" s="59" t="n"/>
      <c r="P240" s="59" t="n"/>
    </row>
    <row r="241">
      <c r="M241" s="59" t="n"/>
      <c r="N241" s="59" t="n"/>
      <c r="O241" s="59" t="n"/>
      <c r="P241" s="59" t="n"/>
    </row>
    <row r="242">
      <c r="M242" s="59" t="n"/>
      <c r="N242" s="59" t="n"/>
      <c r="O242" s="59" t="n"/>
      <c r="P242" s="59" t="n"/>
    </row>
    <row r="243">
      <c r="M243" s="59" t="n"/>
      <c r="N243" s="59" t="n"/>
      <c r="O243" s="59" t="n"/>
      <c r="P243" s="59" t="n"/>
    </row>
    <row r="244">
      <c r="M244" s="59" t="n"/>
      <c r="N244" s="59" t="n"/>
      <c r="O244" s="59" t="n"/>
      <c r="P244" s="59" t="n"/>
    </row>
    <row r="245">
      <c r="M245" s="59" t="n"/>
      <c r="N245" s="59" t="n"/>
      <c r="O245" s="59" t="n"/>
      <c r="P245" s="59" t="n"/>
    </row>
    <row r="246">
      <c r="M246" s="59" t="n"/>
      <c r="N246" s="59" t="n"/>
      <c r="O246" s="59" t="n"/>
      <c r="P246" s="59" t="n"/>
    </row>
    <row r="247">
      <c r="M247" s="59" t="n"/>
      <c r="N247" s="59" t="n"/>
      <c r="O247" s="59" t="n"/>
      <c r="P247" s="59" t="n"/>
    </row>
    <row r="248">
      <c r="M248" s="59" t="n"/>
      <c r="N248" s="59" t="n"/>
      <c r="O248" s="59" t="n"/>
      <c r="P248" s="59" t="n"/>
    </row>
    <row r="249">
      <c r="M249" s="59" t="n"/>
      <c r="N249" s="59" t="n"/>
      <c r="O249" s="59" t="n"/>
      <c r="P249" s="59" t="n"/>
    </row>
    <row r="250">
      <c r="M250" s="59" t="n"/>
      <c r="N250" s="59" t="n"/>
      <c r="O250" s="59" t="n"/>
      <c r="P250" s="59" t="n"/>
    </row>
    <row r="251">
      <c r="M251" s="59" t="n"/>
      <c r="N251" s="59" t="n"/>
      <c r="O251" s="59" t="n"/>
      <c r="P251" s="59" t="n"/>
    </row>
    <row r="252">
      <c r="M252" s="59" t="n"/>
      <c r="N252" s="59" t="n"/>
      <c r="O252" s="59" t="n"/>
      <c r="P252" s="59" t="n"/>
    </row>
    <row r="253">
      <c r="M253" s="59" t="n"/>
      <c r="N253" s="59" t="n"/>
      <c r="O253" s="59" t="n"/>
      <c r="P253" s="59" t="n"/>
    </row>
    <row r="254">
      <c r="M254" s="59" t="n"/>
      <c r="N254" s="59" t="n"/>
      <c r="O254" s="59" t="n"/>
      <c r="P254" s="59" t="n"/>
    </row>
    <row r="255">
      <c r="M255" s="59" t="n"/>
      <c r="N255" s="59" t="n"/>
      <c r="O255" s="59" t="n"/>
      <c r="P255" s="59" t="n"/>
    </row>
    <row r="256">
      <c r="M256" s="59" t="n"/>
      <c r="N256" s="59" t="n"/>
      <c r="O256" s="59" t="n"/>
      <c r="P256" s="59" t="n"/>
    </row>
    <row r="257">
      <c r="M257" s="59" t="n"/>
      <c r="N257" s="59" t="n"/>
      <c r="O257" s="59" t="n"/>
      <c r="P257" s="59" t="n"/>
    </row>
    <row r="258">
      <c r="M258" s="59" t="n"/>
      <c r="N258" s="59" t="n"/>
      <c r="O258" s="59" t="n"/>
      <c r="P258" s="59" t="n"/>
    </row>
    <row r="259">
      <c r="M259" s="59" t="n"/>
      <c r="N259" s="59" t="n"/>
      <c r="O259" s="59" t="n"/>
      <c r="P259" s="59" t="n"/>
    </row>
    <row r="260">
      <c r="M260" s="59" t="n"/>
      <c r="N260" s="59" t="n"/>
      <c r="O260" s="59" t="n"/>
      <c r="P260" s="59" t="n"/>
    </row>
    <row r="261">
      <c r="M261" s="59" t="n"/>
      <c r="N261" s="59" t="n"/>
      <c r="O261" s="59" t="n"/>
      <c r="P261" s="59" t="n"/>
    </row>
    <row r="262">
      <c r="M262" s="59" t="n"/>
      <c r="N262" s="59" t="n"/>
      <c r="O262" s="59" t="n"/>
      <c r="P262" s="59" t="n"/>
    </row>
    <row r="263">
      <c r="M263" s="59" t="n"/>
      <c r="N263" s="59" t="n"/>
      <c r="O263" s="59" t="n"/>
      <c r="P263" s="59" t="n"/>
    </row>
    <row r="264">
      <c r="M264" s="59" t="n"/>
      <c r="N264" s="59" t="n"/>
      <c r="O264" s="59" t="n"/>
      <c r="P264" s="59" t="n"/>
    </row>
    <row r="265">
      <c r="M265" s="59" t="n"/>
      <c r="N265" s="59" t="n"/>
      <c r="O265" s="59" t="n"/>
      <c r="P265" s="59" t="n"/>
    </row>
    <row r="266">
      <c r="M266" s="59" t="n"/>
      <c r="N266" s="59" t="n"/>
      <c r="O266" s="59" t="n"/>
      <c r="P266" s="59" t="n"/>
    </row>
    <row r="267">
      <c r="M267" s="59" t="n"/>
      <c r="N267" s="59" t="n"/>
      <c r="O267" s="59" t="n"/>
      <c r="P267" s="59" t="n"/>
    </row>
    <row r="268">
      <c r="M268" s="59" t="n"/>
      <c r="N268" s="59" t="n"/>
      <c r="O268" s="59" t="n"/>
      <c r="P268" s="59" t="n"/>
    </row>
    <row r="269">
      <c r="M269" s="59" t="n"/>
      <c r="N269" s="59" t="n"/>
      <c r="O269" s="59" t="n"/>
      <c r="P269" s="59" t="n"/>
    </row>
    <row r="270">
      <c r="M270" s="59" t="n"/>
      <c r="N270" s="59" t="n"/>
      <c r="O270" s="59" t="n"/>
      <c r="P270" s="59" t="n"/>
    </row>
    <row r="271">
      <c r="M271" s="59" t="n"/>
      <c r="N271" s="59" t="n"/>
      <c r="O271" s="59" t="n"/>
      <c r="P271" s="59" t="n"/>
    </row>
    <row r="272">
      <c r="M272" s="59" t="n"/>
      <c r="N272" s="59" t="n"/>
      <c r="O272" s="59" t="n"/>
      <c r="P272" s="59" t="n"/>
    </row>
    <row r="273">
      <c r="M273" s="59" t="n"/>
      <c r="N273" s="59" t="n"/>
      <c r="O273" s="59" t="n"/>
      <c r="P273" s="59" t="n"/>
    </row>
    <row r="274">
      <c r="M274" s="59" t="n"/>
      <c r="N274" s="59" t="n"/>
      <c r="O274" s="59" t="n"/>
      <c r="P274" s="59" t="n"/>
    </row>
    <row r="275">
      <c r="M275" s="59" t="n"/>
      <c r="N275" s="59" t="n"/>
      <c r="O275" s="59" t="n"/>
      <c r="P275" s="59" t="n"/>
    </row>
    <row r="276">
      <c r="M276" s="59" t="n"/>
      <c r="N276" s="59" t="n"/>
      <c r="O276" s="59" t="n"/>
      <c r="P276" s="59" t="n"/>
    </row>
    <row r="277">
      <c r="M277" s="59" t="n"/>
      <c r="N277" s="59" t="n"/>
      <c r="O277" s="59" t="n"/>
      <c r="P277" s="59" t="n"/>
    </row>
    <row r="278">
      <c r="M278" s="59" t="n"/>
      <c r="N278" s="59" t="n"/>
      <c r="O278" s="59" t="n"/>
      <c r="P278" s="59" t="n"/>
    </row>
  </sheetData>
  <conditionalFormatting sqref="N45">
    <cfRule type="cellIs" priority="1" operator="greaterThan" dxfId="11">
      <formula>0</formula>
    </cfRule>
    <cfRule type="cellIs" priority="2" operator="greaterThan" dxfId="11">
      <formula>0.02</formula>
    </cfRule>
    <cfRule type="cellIs" priority="3" operator="greaterThan" dxfId="11">
      <formula>"&gt;0.05"</formula>
    </cfRule>
  </conditionalFormatting>
  <pageMargins left="0.7" right="0.7" top="0.75" bottom="0.75" header="0.3" footer="0.3"/>
  <pageSetup orientation="landscape" scale="45"/>
  <drawing xmlns:r="http://schemas.openxmlformats.org/officeDocument/2006/relationships" r:id="rId1"/>
</worksheet>
</file>

<file path=xl/worksheets/sheet8.xml><?xml version="1.0" encoding="utf-8"?>
<worksheet xmlns="http://schemas.openxmlformats.org/spreadsheetml/2006/main">
  <sheetPr>
    <tabColor rgb="FF002060"/>
    <outlinePr summaryBelow="1" summaryRight="1"/>
    <pageSetUpPr fitToPage="1"/>
  </sheetPr>
  <dimension ref="A1:CV180"/>
  <sheetViews>
    <sheetView workbookViewId="0">
      <selection activeCell="A1" sqref="A1"/>
    </sheetView>
  </sheetViews>
  <sheetFormatPr baseColWidth="8" defaultColWidth="8.42578125" defaultRowHeight="15"/>
  <cols>
    <col width="1.42578125" customWidth="1" min="1" max="1"/>
    <col width="6.28515625" customWidth="1" min="2" max="2"/>
    <col width="26" bestFit="1" customWidth="1" min="3" max="3"/>
    <col width="12.140625" customWidth="1" min="4" max="4"/>
    <col width="13.42578125" customWidth="1" min="5" max="5"/>
    <col width="17.42578125" customWidth="1" min="6" max="6"/>
    <col width="15.140625" customWidth="1" style="208" min="7" max="7"/>
    <col width="13.42578125" customWidth="1" min="8" max="8"/>
    <col width="15.28515625" customWidth="1" min="9" max="9"/>
    <col width="13.42578125" customWidth="1" min="10" max="11"/>
    <col width="14.5703125" customWidth="1" min="12" max="12"/>
    <col width="13.42578125" customWidth="1" min="13" max="17"/>
    <col width="23.7109375" customWidth="1" style="59" min="18" max="18"/>
    <col width="23.42578125" customWidth="1" min="19" max="19"/>
    <col width="7.42578125" customWidth="1" style="151" min="20" max="20"/>
    <col width="8" customWidth="1" style="151" min="21" max="21"/>
    <col width="8.42578125" customWidth="1" style="151" min="22" max="22"/>
    <col width="7.42578125" customWidth="1" style="151" min="23" max="29"/>
    <col width="22.7109375" bestFit="1" customWidth="1" style="59" min="30" max="30"/>
    <col width="8.42578125" customWidth="1" style="59" min="31" max="100"/>
  </cols>
  <sheetData>
    <row r="1" ht="45.75" customFormat="1" customHeight="1" s="3">
      <c r="A1" s="297" t="inlineStr">
        <is>
          <t>GARY GROUP CAPITAL</t>
        </is>
      </c>
      <c r="B1" s="298" t="n"/>
      <c r="C1" s="298" t="n"/>
      <c r="D1" s="298" t="n"/>
      <c r="E1" s="298" t="n"/>
      <c r="F1" s="298" t="n"/>
      <c r="G1" s="530" t="n"/>
      <c r="H1" s="298" t="inlineStr">
        <is>
          <t xml:space="preserve"> </t>
        </is>
      </c>
      <c r="I1" s="531" t="inlineStr">
        <is>
          <t>First FY Year Post Capex Improvements</t>
        </is>
      </c>
      <c r="J1" s="298" t="n"/>
      <c r="K1" s="298" t="n"/>
      <c r="L1" s="298" t="n"/>
      <c r="M1" s="298" t="n"/>
      <c r="N1" s="298" t="n"/>
      <c r="O1" s="298" t="n"/>
      <c r="P1" s="298" t="n"/>
      <c r="Q1" s="298" t="n"/>
      <c r="R1" s="298" t="n"/>
      <c r="S1" s="298" t="n"/>
      <c r="T1" s="299" t="n"/>
      <c r="U1" s="299" t="n"/>
      <c r="V1" s="299" t="n"/>
      <c r="W1" s="299" t="n"/>
      <c r="X1" s="299" t="n"/>
      <c r="Y1" s="299" t="n"/>
      <c r="Z1" s="299" t="n"/>
      <c r="AA1" s="299" t="n"/>
      <c r="AB1" s="299" t="n"/>
      <c r="AC1" s="29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32">
      <c r="D2" s="725" t="inlineStr">
        <is>
          <t>Avg Monthly Lot Rent</t>
        </is>
      </c>
      <c r="E2" s="759" t="n"/>
      <c r="F2" s="533">
        <f>'Unit Mix Summary'!C12</f>
        <v/>
      </c>
      <c r="G2" s="534" t="n"/>
      <c r="H2" s="650">
        <f>H8/'Unit Mix Summary'!$E$9/12</f>
        <v/>
      </c>
      <c r="I2" s="650">
        <f>I8/'Unit Mix Summary'!$E$9/12</f>
        <v/>
      </c>
      <c r="J2" s="650">
        <f>J8/'Unit Mix Summary'!$E$9/12</f>
        <v/>
      </c>
      <c r="K2" s="650">
        <f>K8/'Unit Mix Summary'!$E$9/12</f>
        <v/>
      </c>
      <c r="L2" s="650">
        <f>L8/'Unit Mix Summary'!$E$9/12</f>
        <v/>
      </c>
      <c r="M2" s="650">
        <f>M8/'Unit Mix Summary'!$E$9/12</f>
        <v/>
      </c>
      <c r="N2" s="650">
        <f>N8/'Unit Mix Summary'!$E$9/12</f>
        <v/>
      </c>
      <c r="O2" s="650">
        <f>O8/'Unit Mix Summary'!$E$9/12</f>
        <v/>
      </c>
      <c r="P2" s="650">
        <f>P8/'Unit Mix Summary'!$E$9/12</f>
        <v/>
      </c>
      <c r="Q2" s="651">
        <f>Q8/'Unit Mix Summary'!$E$9/12</f>
        <v/>
      </c>
      <c r="T2" s="535" t="n"/>
      <c r="U2" s="535" t="n"/>
      <c r="V2" s="535" t="n"/>
      <c r="W2" s="535" t="n"/>
      <c r="X2" s="535" t="n"/>
      <c r="Y2" s="535" t="n"/>
      <c r="Z2" s="535" t="n"/>
      <c r="AA2" s="535" t="n"/>
      <c r="AB2" s="535" t="n"/>
      <c r="AC2" s="535" t="n"/>
    </row>
    <row r="3" customFormat="1" s="532">
      <c r="D3" s="727" t="inlineStr">
        <is>
          <t>Monthly Lot $ Rent Change</t>
        </is>
      </c>
      <c r="E3" s="759" t="n"/>
      <c r="F3" s="536" t="n"/>
      <c r="G3" s="537" t="n"/>
      <c r="H3" s="536">
        <f>+H2-F2</f>
        <v/>
      </c>
      <c r="I3" s="536">
        <f>+I2-H2</f>
        <v/>
      </c>
      <c r="J3" s="536">
        <f>+J2-I2</f>
        <v/>
      </c>
      <c r="K3" s="536">
        <f>+K2-J2</f>
        <v/>
      </c>
      <c r="L3" s="536">
        <f>+L2-K2</f>
        <v/>
      </c>
      <c r="M3" s="536">
        <f>+M2-L2</f>
        <v/>
      </c>
      <c r="N3" s="536">
        <f>+N2-M2</f>
        <v/>
      </c>
      <c r="O3" s="536">
        <f>+O2-N2</f>
        <v/>
      </c>
      <c r="P3" s="536">
        <f>+P2-O2</f>
        <v/>
      </c>
      <c r="Q3" s="538">
        <f>+Q2-P2</f>
        <v/>
      </c>
      <c r="T3" s="535" t="n"/>
      <c r="U3" s="535" t="n"/>
      <c r="V3" s="535" t="n"/>
      <c r="W3" s="535" t="n"/>
      <c r="X3" s="535" t="n"/>
      <c r="Y3" s="535" t="n"/>
      <c r="Z3" s="535" t="n"/>
      <c r="AA3" s="535" t="n"/>
      <c r="AB3" s="535" t="n"/>
      <c r="AC3" s="535" t="n"/>
    </row>
    <row r="4" customFormat="1" s="532">
      <c r="D4" s="727" t="inlineStr">
        <is>
          <t>Monthly Lot % Rent Change</t>
        </is>
      </c>
      <c r="E4" s="759" t="n"/>
      <c r="F4" s="536" t="n"/>
      <c r="G4" s="537" t="n"/>
      <c r="H4" s="760">
        <f>+H$2/F$2-1</f>
        <v/>
      </c>
      <c r="I4" s="760">
        <f>+I$2/H$2-1</f>
        <v/>
      </c>
      <c r="J4" s="760">
        <f>+J$2/I$2-1</f>
        <v/>
      </c>
      <c r="K4" s="760">
        <f>+K$2/J$2-1</f>
        <v/>
      </c>
      <c r="L4" s="760">
        <f>+L$2/K$2-1</f>
        <v/>
      </c>
      <c r="M4" s="760">
        <f>+M$2/L$2-1</f>
        <v/>
      </c>
      <c r="N4" s="760">
        <f>+N$2/M$2-1</f>
        <v/>
      </c>
      <c r="O4" s="760">
        <f>+O$2/N$2-1</f>
        <v/>
      </c>
      <c r="P4" s="760">
        <f>+P$2/O$2-1</f>
        <v/>
      </c>
      <c r="Q4" s="761">
        <f>+Q$2/P$2-1</f>
        <v/>
      </c>
      <c r="T4" s="535" t="n"/>
      <c r="U4" s="535" t="n"/>
      <c r="V4" s="535" t="n"/>
      <c r="W4" s="535" t="n"/>
      <c r="X4" s="535" t="n"/>
      <c r="Y4" s="535" t="n"/>
      <c r="Z4" s="535" t="n"/>
      <c r="AA4" s="535" t="n"/>
      <c r="AB4" s="535" t="n"/>
      <c r="AC4" s="535" t="n"/>
    </row>
    <row r="5" ht="30" customFormat="1" customHeight="1" s="532">
      <c r="D5" s="539" t="n"/>
      <c r="E5" s="539" t="n"/>
      <c r="F5" s="540" t="n"/>
      <c r="G5" s="541" t="n"/>
      <c r="H5" s="542" t="n"/>
      <c r="I5" s="542" t="n"/>
      <c r="J5" s="542" t="n"/>
      <c r="K5" s="542" t="n"/>
      <c r="L5" s="542" t="n"/>
      <c r="M5" s="542" t="n"/>
      <c r="N5" s="542" t="n"/>
      <c r="O5" s="540" t="n"/>
      <c r="P5" s="540" t="n"/>
      <c r="Q5" s="540" t="n"/>
      <c r="T5" s="535" t="n"/>
      <c r="U5" s="535" t="n"/>
      <c r="V5" s="535" t="n"/>
      <c r="W5" s="535" t="n"/>
      <c r="X5" s="535" t="n"/>
      <c r="Y5" s="535" t="n"/>
      <c r="Z5" s="535" t="n"/>
      <c r="AA5" s="535" t="n"/>
      <c r="AB5" s="535" t="n"/>
      <c r="AC5" s="535" t="n"/>
    </row>
    <row r="6" ht="16.5" customFormat="1" customHeight="1" s="59" thickBot="1">
      <c r="C6" s="543" t="n"/>
      <c r="D6" s="544" t="inlineStr">
        <is>
          <t>T12</t>
        </is>
      </c>
      <c r="E6" s="544" t="inlineStr">
        <is>
          <t>T3 Ann</t>
        </is>
      </c>
      <c r="F6" s="545" t="inlineStr">
        <is>
          <t xml:space="preserve">GGC UW </t>
        </is>
      </c>
      <c r="G6" s="546" t="inlineStr">
        <is>
          <t>UW Per Pad</t>
        </is>
      </c>
      <c r="H6" s="547" t="inlineStr">
        <is>
          <t>Year 1</t>
        </is>
      </c>
      <c r="I6" s="548" t="inlineStr">
        <is>
          <t>Year 2</t>
        </is>
      </c>
      <c r="J6" s="548" t="inlineStr">
        <is>
          <t>Year 3</t>
        </is>
      </c>
      <c r="K6" s="549" t="inlineStr">
        <is>
          <t>Year 4</t>
        </is>
      </c>
      <c r="L6" s="548" t="inlineStr">
        <is>
          <t>Year 5</t>
        </is>
      </c>
      <c r="M6" s="548" t="inlineStr">
        <is>
          <t>Year 6</t>
        </is>
      </c>
      <c r="N6" s="549" t="inlineStr">
        <is>
          <t>Year 7</t>
        </is>
      </c>
      <c r="O6" s="548" t="inlineStr">
        <is>
          <t>Year 8</t>
        </is>
      </c>
      <c r="P6" s="548" t="inlineStr">
        <is>
          <t>Year 9</t>
        </is>
      </c>
      <c r="Q6" s="549" t="inlineStr">
        <is>
          <t>Year 10</t>
        </is>
      </c>
      <c r="T6" s="129" t="n"/>
      <c r="U6" s="129" t="n"/>
      <c r="V6" s="129" t="n"/>
      <c r="W6" s="129" t="n"/>
      <c r="X6" s="129" t="n"/>
      <c r="Y6" s="129" t="n"/>
      <c r="Z6" s="129" t="n"/>
      <c r="AA6" s="129" t="n"/>
      <c r="AB6" s="129" t="n"/>
      <c r="AC6" s="129" t="n"/>
    </row>
    <row r="7" ht="12" customHeight="1" thickBot="1">
      <c r="A7" s="59" t="n"/>
      <c r="B7" s="150" t="n"/>
      <c r="C7" s="550" t="inlineStr">
        <is>
          <t>Income</t>
        </is>
      </c>
      <c r="D7" s="59" t="n"/>
      <c r="E7" s="59" t="n"/>
      <c r="F7" s="551" t="n"/>
      <c r="G7" s="551" t="n"/>
      <c r="H7" s="552" t="n"/>
      <c r="I7" s="59" t="n"/>
      <c r="J7" s="59" t="n"/>
      <c r="K7" s="551" t="n"/>
      <c r="L7" s="59" t="n"/>
      <c r="M7" s="59" t="n"/>
      <c r="N7" s="551" t="n"/>
      <c r="O7" s="551" t="n"/>
      <c r="P7" s="551" t="n"/>
      <c r="Q7" s="551" t="n"/>
      <c r="S7" s="632" t="inlineStr">
        <is>
          <t>Key Assumptions</t>
        </is>
      </c>
      <c r="T7" s="633" t="inlineStr">
        <is>
          <t>Year 1</t>
        </is>
      </c>
      <c r="U7" s="634" t="inlineStr">
        <is>
          <t>Year 2</t>
        </is>
      </c>
      <c r="V7" s="634" t="inlineStr">
        <is>
          <t>Year 3</t>
        </is>
      </c>
      <c r="W7" s="634" t="inlineStr">
        <is>
          <t>Year 4</t>
        </is>
      </c>
      <c r="X7" s="634" t="inlineStr">
        <is>
          <t>Year 5</t>
        </is>
      </c>
      <c r="Y7" s="634" t="inlineStr">
        <is>
          <t>Year 6</t>
        </is>
      </c>
      <c r="Z7" s="635" t="inlineStr">
        <is>
          <t>Year 7</t>
        </is>
      </c>
      <c r="AA7" s="634" t="inlineStr">
        <is>
          <t>Year 8</t>
        </is>
      </c>
      <c r="AB7" s="634" t="inlineStr">
        <is>
          <t>Year 9</t>
        </is>
      </c>
      <c r="AC7" s="635" t="inlineStr">
        <is>
          <t>Year 10</t>
        </is>
      </c>
    </row>
    <row r="8" ht="17.25" customHeight="1">
      <c r="A8" s="59" t="n"/>
      <c r="B8" s="59" t="n"/>
      <c r="C8" s="553" t="inlineStr">
        <is>
          <t>Gross Potential Rent</t>
        </is>
      </c>
      <c r="D8" s="608">
        <f>'GGC Underwriting'!D4</f>
        <v/>
      </c>
      <c r="E8" s="608">
        <f>'GGC Underwriting'!E4</f>
        <v/>
      </c>
      <c r="F8" s="554">
        <f>'GGC Underwriting'!I4</f>
        <v/>
      </c>
      <c r="G8" s="629">
        <f>F8/'GGC Underwriting'!$N$7</f>
        <v/>
      </c>
      <c r="H8" s="555">
        <f>'Unit Mix Rent Growth'!F14</f>
        <v/>
      </c>
      <c r="I8" s="156">
        <f>'Unit Mix Rent Growth'!G14</f>
        <v/>
      </c>
      <c r="J8" s="156">
        <f>'Unit Mix Rent Growth'!H14</f>
        <v/>
      </c>
      <c r="K8" s="556">
        <f>'Unit Mix Rent Growth'!I14</f>
        <v/>
      </c>
      <c r="L8" s="156">
        <f>'Unit Mix Rent Growth'!J14</f>
        <v/>
      </c>
      <c r="M8" s="280">
        <f>'Unit Mix Rent Growth'!K14</f>
        <v/>
      </c>
      <c r="N8" s="557">
        <f>'Unit Mix Rent Growth'!L14</f>
        <v/>
      </c>
      <c r="O8" s="557">
        <f>'Unit Mix Rent Growth'!M14</f>
        <v/>
      </c>
      <c r="P8" s="557">
        <f>'Unit Mix Rent Growth'!N14</f>
        <v/>
      </c>
      <c r="Q8" s="557">
        <f>'Unit Mix Rent Growth'!O14</f>
        <v/>
      </c>
      <c r="S8" s="154" t="inlineStr">
        <is>
          <t xml:space="preserve">Net Rental Growth </t>
        </is>
      </c>
      <c r="T8" s="762" t="inlineStr">
        <is>
          <t>see unit mix rent growth tab</t>
        </is>
      </c>
      <c r="AC8" s="763" t="n"/>
    </row>
    <row r="9" ht="18.75" customHeight="1">
      <c r="A9" s="59" t="n"/>
      <c r="B9" s="59" t="n"/>
      <c r="C9" s="553" t="inlineStr">
        <is>
          <t>Less: Vacancy</t>
        </is>
      </c>
      <c r="D9" s="764">
        <f>'GGC Underwriting'!D5</f>
        <v/>
      </c>
      <c r="E9" s="764">
        <f>'GGC Underwriting'!E5</f>
        <v/>
      </c>
      <c r="F9" s="765">
        <f>'GGC Underwriting'!I5</f>
        <v/>
      </c>
      <c r="G9" s="765">
        <f>F9/'GGC Underwriting'!$N$7</f>
        <v/>
      </c>
      <c r="H9" s="766">
        <f>-H8*T9</f>
        <v/>
      </c>
      <c r="I9" s="767">
        <f>-I8*U9</f>
        <v/>
      </c>
      <c r="J9" s="767">
        <f>-J8*V9</f>
        <v/>
      </c>
      <c r="K9" s="768">
        <f>-K8*W9</f>
        <v/>
      </c>
      <c r="L9" s="767">
        <f>-L8*X9</f>
        <v/>
      </c>
      <c r="M9" s="767">
        <f>-M8*Y9</f>
        <v/>
      </c>
      <c r="N9" s="768">
        <f>-N8*Z9</f>
        <v/>
      </c>
      <c r="O9" s="768">
        <f>-O8*AA9</f>
        <v/>
      </c>
      <c r="P9" s="768">
        <f>-P8*AB9</f>
        <v/>
      </c>
      <c r="Q9" s="768">
        <f>-Q8*AC9</f>
        <v/>
      </c>
      <c r="S9" s="153" t="inlineStr">
        <is>
          <t>Min. Residential Vacancy</t>
        </is>
      </c>
      <c r="T9" s="769">
        <f>'Unit Mix Rent Growth'!F17</f>
        <v/>
      </c>
      <c r="U9" s="769">
        <f>'Unit Mix Rent Growth'!G17</f>
        <v/>
      </c>
      <c r="V9" s="769">
        <f>'Unit Mix Rent Growth'!H17</f>
        <v/>
      </c>
      <c r="W9" s="769">
        <f>'Unit Mix Rent Growth'!I17</f>
        <v/>
      </c>
      <c r="X9" s="769">
        <f>'Unit Mix Rent Growth'!J17</f>
        <v/>
      </c>
      <c r="Y9" s="769">
        <f>'Unit Mix Rent Growth'!K17</f>
        <v/>
      </c>
      <c r="Z9" s="769">
        <f>'Unit Mix Rent Growth'!L17</f>
        <v/>
      </c>
      <c r="AA9" s="769">
        <f>'Unit Mix Rent Growth'!M17</f>
        <v/>
      </c>
      <c r="AB9" s="769">
        <f>'Unit Mix Rent Growth'!N17</f>
        <v/>
      </c>
      <c r="AC9" s="770">
        <f>'Unit Mix Rent Growth'!O17</f>
        <v/>
      </c>
    </row>
    <row r="10" ht="18" customHeight="1">
      <c r="A10" s="59" t="n"/>
      <c r="B10" s="59" t="n"/>
      <c r="C10" s="553" t="inlineStr">
        <is>
          <t>Less: Concessions</t>
        </is>
      </c>
      <c r="D10" s="764">
        <f>'GGC Underwriting'!D6</f>
        <v/>
      </c>
      <c r="E10" s="764">
        <f>'GGC Underwriting'!E6</f>
        <v/>
      </c>
      <c r="F10" s="765">
        <f>'GGC Underwriting'!I6</f>
        <v/>
      </c>
      <c r="G10" s="765">
        <f>F10/'GGC Underwriting'!$N$7</f>
        <v/>
      </c>
      <c r="H10" s="766">
        <f>F10+(F10*$T$14)</f>
        <v/>
      </c>
      <c r="I10" s="767">
        <f>H10+(H10*$U$14)</f>
        <v/>
      </c>
      <c r="J10" s="767">
        <f>I10+(I10*$V$14)</f>
        <v/>
      </c>
      <c r="K10" s="768">
        <f>J10+(J10*$W$14)</f>
        <v/>
      </c>
      <c r="L10" s="767">
        <f>K10+(K10*$X$14)</f>
        <v/>
      </c>
      <c r="M10" s="767">
        <f>L10+(L10*$Y$14)</f>
        <v/>
      </c>
      <c r="N10" s="768">
        <f>M10+(M10*$Z$14)</f>
        <v/>
      </c>
      <c r="O10" s="768">
        <f>N10+(N10*$Z$14)</f>
        <v/>
      </c>
      <c r="P10" s="768">
        <f>O10+(O10*$Z$14)</f>
        <v/>
      </c>
      <c r="Q10" s="768">
        <f>P10+(P10*$Z$14)</f>
        <v/>
      </c>
      <c r="S10" s="153" t="inlineStr">
        <is>
          <t xml:space="preserve">Other Income Growth </t>
        </is>
      </c>
      <c r="T10" s="771" t="n">
        <v>0.03</v>
      </c>
      <c r="U10" s="772" t="n">
        <v>0.03</v>
      </c>
      <c r="V10" s="772" t="n">
        <v>0.03</v>
      </c>
      <c r="W10" s="772" t="n">
        <v>0.03</v>
      </c>
      <c r="X10" s="772" t="n">
        <v>0.03</v>
      </c>
      <c r="Y10" s="772" t="n">
        <v>0.03</v>
      </c>
      <c r="Z10" s="772" t="n">
        <v>0.03</v>
      </c>
      <c r="AA10" s="772" t="n">
        <v>0.03</v>
      </c>
      <c r="AB10" s="772" t="n">
        <v>0.03</v>
      </c>
      <c r="AC10" s="773" t="n">
        <v>0.03</v>
      </c>
    </row>
    <row r="11" ht="17.25" customHeight="1">
      <c r="A11" s="59" t="n"/>
      <c r="B11" s="59" t="n"/>
      <c r="C11" s="553" t="inlineStr">
        <is>
          <t>Less: Bad Debt</t>
        </is>
      </c>
      <c r="D11" s="764">
        <f>'GGC Underwriting'!D7</f>
        <v/>
      </c>
      <c r="E11" s="764">
        <f>'GGC Underwriting'!E7</f>
        <v/>
      </c>
      <c r="F11" s="765">
        <f>'GGC Underwriting'!I7</f>
        <v/>
      </c>
      <c r="G11" s="765">
        <f>F11/'GGC Underwriting'!$N$7</f>
        <v/>
      </c>
      <c r="H11" s="766">
        <f>F11+(F11*$T$15)</f>
        <v/>
      </c>
      <c r="I11" s="767">
        <f>H11+(H11*$U$15)</f>
        <v/>
      </c>
      <c r="J11" s="767">
        <f>I11+(I11*$V$15)</f>
        <v/>
      </c>
      <c r="K11" s="768">
        <f>J11+(J11*$W$15)</f>
        <v/>
      </c>
      <c r="L11" s="767">
        <f>K11+(K11*$X$15)</f>
        <v/>
      </c>
      <c r="M11" s="767">
        <f>L11+(L11*$Y$15)</f>
        <v/>
      </c>
      <c r="N11" s="768">
        <f>M11+(M11*$Z$15)</f>
        <v/>
      </c>
      <c r="O11" s="768">
        <f>N11+(N11*$Z$15)</f>
        <v/>
      </c>
      <c r="P11" s="768">
        <f>O11+(O11*$Z$15)</f>
        <v/>
      </c>
      <c r="Q11" s="768">
        <f>P11+(P11*$Z$15)</f>
        <v/>
      </c>
      <c r="S11" s="153" t="inlineStr">
        <is>
          <t>Home Rent Growth</t>
        </is>
      </c>
      <c r="T11" s="771" t="n">
        <v>0.075</v>
      </c>
      <c r="U11" s="772" t="n">
        <v>0.075</v>
      </c>
      <c r="V11" s="772" t="n">
        <v>0.075</v>
      </c>
      <c r="W11" s="772" t="n">
        <v>0.075</v>
      </c>
      <c r="X11" s="772" t="n">
        <v>0.075</v>
      </c>
      <c r="Y11" s="772" t="n">
        <v>0.075</v>
      </c>
      <c r="Z11" s="772" t="n">
        <v>0.075</v>
      </c>
      <c r="AA11" s="772" t="n">
        <v>0.075</v>
      </c>
      <c r="AB11" s="772" t="n">
        <v>0.075</v>
      </c>
      <c r="AC11" s="773" t="n">
        <v>0.075</v>
      </c>
      <c r="AD11" s="383" t="n"/>
    </row>
    <row r="12" ht="17.25" customHeight="1" thickBot="1">
      <c r="A12" s="59" t="n"/>
      <c r="B12" s="59" t="n"/>
      <c r="C12" s="565" t="inlineStr">
        <is>
          <t>Net Rental Income</t>
        </is>
      </c>
      <c r="D12" s="566">
        <f>SUM(D8:D11)</f>
        <v/>
      </c>
      <c r="E12" s="566">
        <f>SUM(E8:E11)</f>
        <v/>
      </c>
      <c r="F12" s="567">
        <f>SUM(F8:F11)</f>
        <v/>
      </c>
      <c r="G12" s="567">
        <f>F12/'GGC Underwriting'!$N$7</f>
        <v/>
      </c>
      <c r="H12" s="568">
        <f>SUM(H8:H11)</f>
        <v/>
      </c>
      <c r="I12" s="566">
        <f>SUM(I8:I11)</f>
        <v/>
      </c>
      <c r="J12" s="566">
        <f>SUM(J8:J11)</f>
        <v/>
      </c>
      <c r="K12" s="567">
        <f>SUM(K8:K11)</f>
        <v/>
      </c>
      <c r="L12" s="566">
        <f>SUM(L8:L11)</f>
        <v/>
      </c>
      <c r="M12" s="148">
        <f>SUM(M8:M11)</f>
        <v/>
      </c>
      <c r="N12" s="569">
        <f>SUM(N8:N11)</f>
        <v/>
      </c>
      <c r="O12" s="569">
        <f>SUM(O8:O11)</f>
        <v/>
      </c>
      <c r="P12" s="569">
        <f>SUM(P8:P11)</f>
        <v/>
      </c>
      <c r="Q12" s="569">
        <f>SUM(Q8:Q11)</f>
        <v/>
      </c>
      <c r="S12" s="152" t="inlineStr">
        <is>
          <t>Lease to Own</t>
        </is>
      </c>
      <c r="T12" s="774" t="n">
        <v>0</v>
      </c>
      <c r="U12" s="774" t="n">
        <v>0</v>
      </c>
      <c r="V12" s="774" t="n">
        <v>0</v>
      </c>
      <c r="W12" s="774" t="n">
        <v>0</v>
      </c>
      <c r="X12" s="774" t="n">
        <v>0</v>
      </c>
      <c r="Y12" s="774" t="n">
        <v>0</v>
      </c>
      <c r="Z12" s="774" t="n">
        <v>0</v>
      </c>
      <c r="AA12" s="774" t="n">
        <v>0</v>
      </c>
      <c r="AB12" s="774" t="n">
        <v>0</v>
      </c>
      <c r="AC12" s="775" t="n">
        <v>0</v>
      </c>
    </row>
    <row r="13" ht="17.25" customHeight="1" thickTop="1">
      <c r="A13" s="59" t="n"/>
      <c r="B13" s="59" t="n"/>
      <c r="C13" s="571" t="inlineStr">
        <is>
          <t>YoY % Growth</t>
        </is>
      </c>
      <c r="D13" s="59" t="n"/>
      <c r="E13" s="59" t="n"/>
      <c r="F13" s="551" t="n"/>
      <c r="G13" s="551" t="n"/>
      <c r="H13" s="552" t="n"/>
      <c r="I13" s="59" t="n"/>
      <c r="J13" s="59" t="n"/>
      <c r="K13" s="551" t="n"/>
      <c r="L13" s="59" t="n"/>
      <c r="M13" s="59" t="n"/>
      <c r="N13" s="551" t="n"/>
      <c r="O13" s="551" t="n"/>
      <c r="P13" s="551" t="n"/>
      <c r="Q13" s="551" t="n"/>
      <c r="S13" s="153" t="inlineStr">
        <is>
          <t>Parking Vacancy</t>
        </is>
      </c>
      <c r="T13" s="771" t="n">
        <v>0.05</v>
      </c>
      <c r="U13" s="772" t="n">
        <v>0.05</v>
      </c>
      <c r="V13" s="772" t="n">
        <v>0.05</v>
      </c>
      <c r="W13" s="772" t="n">
        <v>0.05</v>
      </c>
      <c r="X13" s="772" t="n">
        <v>0.05</v>
      </c>
      <c r="Y13" s="772" t="n">
        <v>0.05</v>
      </c>
      <c r="Z13" s="772" t="n">
        <v>0.05</v>
      </c>
      <c r="AA13" s="772" t="n">
        <v>0.05</v>
      </c>
      <c r="AB13" s="772" t="n">
        <v>0.05</v>
      </c>
      <c r="AC13" s="773" t="n">
        <v>0.05</v>
      </c>
    </row>
    <row r="14" ht="18.75" customHeight="1">
      <c r="A14" s="59" t="n"/>
      <c r="B14" s="59" t="n"/>
      <c r="C14" s="553" t="n"/>
      <c r="D14" s="59" t="n"/>
      <c r="E14" s="59" t="n"/>
      <c r="F14" s="551" t="n"/>
      <c r="G14" s="551" t="n"/>
      <c r="H14" s="552" t="n"/>
      <c r="I14" s="59" t="n"/>
      <c r="J14" s="59" t="n"/>
      <c r="K14" s="551" t="n"/>
      <c r="L14" s="59" t="n"/>
      <c r="M14" s="59" t="n"/>
      <c r="N14" s="551" t="n"/>
      <c r="O14" s="551" t="n"/>
      <c r="P14" s="551" t="n"/>
      <c r="Q14" s="551" t="n"/>
      <c r="S14" s="153" t="inlineStr">
        <is>
          <t>Concessions</t>
        </is>
      </c>
      <c r="T14" s="771" t="n">
        <v>0</v>
      </c>
      <c r="U14" s="772" t="n">
        <v>0</v>
      </c>
      <c r="V14" s="772" t="n">
        <v>0</v>
      </c>
      <c r="W14" s="772" t="n">
        <v>0</v>
      </c>
      <c r="X14" s="772" t="n">
        <v>0</v>
      </c>
      <c r="Y14" s="772" t="n">
        <v>0</v>
      </c>
      <c r="Z14" s="772" t="n">
        <v>0</v>
      </c>
      <c r="AA14" s="772" t="n">
        <v>0</v>
      </c>
      <c r="AB14" s="772" t="n">
        <v>0</v>
      </c>
      <c r="AC14" s="773" t="n">
        <v>0</v>
      </c>
    </row>
    <row r="15" ht="17.25" customHeight="1">
      <c r="A15" s="59" t="n"/>
      <c r="B15" s="59" t="n"/>
      <c r="C15" s="572" t="inlineStr">
        <is>
          <t>Physical Vacancy %</t>
        </is>
      </c>
      <c r="D15" s="157">
        <f>-D9/D8</f>
        <v/>
      </c>
      <c r="E15" s="157">
        <f>-E9/E8</f>
        <v/>
      </c>
      <c r="F15" s="573">
        <f>F9/F8</f>
        <v/>
      </c>
      <c r="G15" s="573" t="n"/>
      <c r="H15" s="574">
        <f>H9/H8</f>
        <v/>
      </c>
      <c r="I15" s="157">
        <f>I9/I8</f>
        <v/>
      </c>
      <c r="J15" s="157">
        <f>J9/J8</f>
        <v/>
      </c>
      <c r="K15" s="573">
        <f>K9/K8</f>
        <v/>
      </c>
      <c r="L15" s="157">
        <f>L9/L8</f>
        <v/>
      </c>
      <c r="M15" s="157">
        <f>M9/M8</f>
        <v/>
      </c>
      <c r="N15" s="573">
        <f>N9/N8</f>
        <v/>
      </c>
      <c r="O15" s="573">
        <f>O9/O8</f>
        <v/>
      </c>
      <c r="P15" s="573">
        <f>P9/P8</f>
        <v/>
      </c>
      <c r="Q15" s="573">
        <f>Q9/Q8</f>
        <v/>
      </c>
      <c r="R15" s="157" t="n"/>
      <c r="S15" s="153" t="inlineStr">
        <is>
          <t>Bad Debt</t>
        </is>
      </c>
      <c r="T15" s="771" t="n">
        <v>0</v>
      </c>
      <c r="U15" s="772" t="n">
        <v>0</v>
      </c>
      <c r="V15" s="772" t="n">
        <v>0</v>
      </c>
      <c r="W15" s="772" t="n">
        <v>0</v>
      </c>
      <c r="X15" s="772" t="n">
        <v>0</v>
      </c>
      <c r="Y15" s="772" t="n">
        <v>0</v>
      </c>
      <c r="Z15" s="772" t="n">
        <v>0</v>
      </c>
      <c r="AA15" s="772" t="n">
        <v>0</v>
      </c>
      <c r="AB15" s="772" t="n">
        <v>0</v>
      </c>
      <c r="AC15" s="773" t="n">
        <v>0</v>
      </c>
      <c r="AD15" s="230" t="n"/>
    </row>
    <row r="16" ht="17.25" customHeight="1">
      <c r="A16" s="59" t="n"/>
      <c r="B16" s="59" t="n"/>
      <c r="C16" s="572" t="inlineStr">
        <is>
          <t>Ecomomic Vacancy %</t>
        </is>
      </c>
      <c r="D16" s="157">
        <f>-(D9+D10+D11)/D8</f>
        <v/>
      </c>
      <c r="E16" s="157">
        <f>-(E9+E10+E11)/E8</f>
        <v/>
      </c>
      <c r="F16" s="573">
        <f>(F9+F10+F11)/F8</f>
        <v/>
      </c>
      <c r="G16" s="573" t="n"/>
      <c r="H16" s="574">
        <f>(H9+H10+H11)/H8</f>
        <v/>
      </c>
      <c r="I16" s="157">
        <f>(I9+I10+I11)/I8</f>
        <v/>
      </c>
      <c r="J16" s="157">
        <f>(J9+J10+J11)/J8</f>
        <v/>
      </c>
      <c r="K16" s="573">
        <f>(K9+K10+K11)/K8</f>
        <v/>
      </c>
      <c r="L16" s="157">
        <f>(L9+L10+L11)/L8</f>
        <v/>
      </c>
      <c r="M16" s="157">
        <f>(M9+M10+M11)/M8</f>
        <v/>
      </c>
      <c r="N16" s="573">
        <f>(N9+N10+N11)/N8</f>
        <v/>
      </c>
      <c r="O16" s="573">
        <f>(O9+O10+O11)/O8</f>
        <v/>
      </c>
      <c r="P16" s="573">
        <f>(P9+P10+P11)/P8</f>
        <v/>
      </c>
      <c r="Q16" s="573">
        <f>(Q9+Q10+Q11)/Q8</f>
        <v/>
      </c>
      <c r="R16" s="157" t="n"/>
      <c r="S16" s="153" t="inlineStr">
        <is>
          <t>Expense Growth</t>
        </is>
      </c>
      <c r="T16" s="771" t="n">
        <v>0.03</v>
      </c>
      <c r="U16" s="772" t="n">
        <v>0.03</v>
      </c>
      <c r="V16" s="772" t="n">
        <v>0.03</v>
      </c>
      <c r="W16" s="772" t="n">
        <v>0.03</v>
      </c>
      <c r="X16" s="772" t="n">
        <v>0.03</v>
      </c>
      <c r="Y16" s="772" t="n">
        <v>0.03</v>
      </c>
      <c r="Z16" s="772" t="n">
        <v>0.03</v>
      </c>
      <c r="AA16" s="772" t="n">
        <v>0.03</v>
      </c>
      <c r="AB16" s="772" t="n">
        <v>0.03</v>
      </c>
      <c r="AC16" s="773" t="n">
        <v>0.03</v>
      </c>
      <c r="AD16" s="334" t="n"/>
    </row>
    <row r="17" ht="10.5" customHeight="1">
      <c r="A17" s="59" t="n"/>
      <c r="B17" s="59" t="n"/>
      <c r="C17" s="575" t="n"/>
      <c r="D17" s="576" t="n"/>
      <c r="E17" s="576" t="n"/>
      <c r="F17" s="577" t="n"/>
      <c r="G17" s="577" t="n"/>
      <c r="H17" s="578" t="n"/>
      <c r="I17" s="579" t="n"/>
      <c r="J17" s="579" t="n"/>
      <c r="K17" s="580" t="n"/>
      <c r="L17" s="579" t="n"/>
      <c r="M17" s="579" t="n"/>
      <c r="N17" s="580" t="n"/>
      <c r="O17" s="580" t="n"/>
      <c r="P17" s="580" t="n"/>
      <c r="Q17" s="580" t="n"/>
      <c r="S17" s="153" t="inlineStr">
        <is>
          <t>RE Tax Growth</t>
        </is>
      </c>
      <c r="T17" s="771" t="n">
        <v>0.03</v>
      </c>
      <c r="U17" s="772" t="n">
        <v>0.03</v>
      </c>
      <c r="V17" s="772" t="n">
        <v>0.03</v>
      </c>
      <c r="W17" s="772" t="n">
        <v>0.03</v>
      </c>
      <c r="X17" s="772" t="n">
        <v>0.03</v>
      </c>
      <c r="Y17" s="772" t="n">
        <v>0.03</v>
      </c>
      <c r="Z17" s="772" t="n">
        <v>0.03</v>
      </c>
      <c r="AA17" s="772" t="n">
        <v>0.03</v>
      </c>
      <c r="AB17" s="772" t="n">
        <v>0.03</v>
      </c>
      <c r="AC17" s="773" t="n">
        <v>0.03</v>
      </c>
      <c r="AD17" s="334" t="n"/>
    </row>
    <row r="18" ht="10.5" customHeight="1" thickBot="1">
      <c r="A18" s="59" t="n"/>
      <c r="B18" s="59" t="n"/>
      <c r="C18" s="553" t="n"/>
      <c r="D18" s="59" t="n"/>
      <c r="E18" s="59" t="n"/>
      <c r="F18" s="551" t="n"/>
      <c r="G18" s="551" t="n"/>
      <c r="H18" s="552" t="n"/>
      <c r="I18" s="59" t="n"/>
      <c r="J18" s="59" t="n"/>
      <c r="K18" s="551" t="n"/>
      <c r="L18" s="59" t="n"/>
      <c r="M18" s="59" t="n"/>
      <c r="N18" s="551" t="n"/>
      <c r="O18" s="551" t="n"/>
      <c r="P18" s="551" t="n"/>
      <c r="Q18" s="551" t="n"/>
      <c r="S18" s="581" t="inlineStr">
        <is>
          <t>Management Fee</t>
        </is>
      </c>
      <c r="T18" s="776" t="n">
        <v>0.03</v>
      </c>
      <c r="U18" s="777" t="n">
        <v>0.03</v>
      </c>
      <c r="V18" s="777" t="n">
        <v>0.03</v>
      </c>
      <c r="W18" s="777" t="n">
        <v>0.03</v>
      </c>
      <c r="X18" s="777" t="n">
        <v>0.03</v>
      </c>
      <c r="Y18" s="777" t="n">
        <v>0.03</v>
      </c>
      <c r="Z18" s="777" t="n">
        <v>0.03</v>
      </c>
      <c r="AA18" s="777" t="n">
        <v>0.03</v>
      </c>
      <c r="AB18" s="777" t="n">
        <v>0.03</v>
      </c>
      <c r="AC18" s="778" t="n">
        <v>0.03</v>
      </c>
    </row>
    <row r="19" ht="21" customHeight="1" thickBot="1">
      <c r="A19" s="59" t="n"/>
      <c r="B19" s="59" t="n"/>
      <c r="C19" s="553" t="inlineStr">
        <is>
          <t>Utility Reimbursement</t>
        </is>
      </c>
      <c r="D19" s="158">
        <f>'GGC Underwriting'!D12</f>
        <v/>
      </c>
      <c r="E19" s="158">
        <f>'GGC Underwriting'!E12</f>
        <v/>
      </c>
      <c r="F19" s="585">
        <f>'GGC Underwriting'!I12</f>
        <v/>
      </c>
      <c r="G19" s="585">
        <f>F19/'GGC Underwriting'!$N$7</f>
        <v/>
      </c>
      <c r="H19" s="555">
        <f>F19+(F19*$T$10)</f>
        <v/>
      </c>
      <c r="I19" s="156">
        <f>H19+(H19*$U$10)</f>
        <v/>
      </c>
      <c r="J19" s="156">
        <f>I19+(I19*$V$10)</f>
        <v/>
      </c>
      <c r="K19" s="556">
        <f>J19+(J19*$W$10)</f>
        <v/>
      </c>
      <c r="L19" s="156">
        <f>K19+(K19*$X$10)</f>
        <v/>
      </c>
      <c r="M19" s="156">
        <f>L19+(L19*$Y$10)</f>
        <v/>
      </c>
      <c r="N19" s="556">
        <f>M19+(M19*$Z$10)</f>
        <v/>
      </c>
      <c r="O19" s="556">
        <f>N19+(N19*$Z$10)</f>
        <v/>
      </c>
      <c r="P19" s="556">
        <f>O19+(O19*$Z$10)</f>
        <v/>
      </c>
      <c r="Q19" s="556">
        <f>P19+(P19*$Z$10)</f>
        <v/>
      </c>
      <c r="S19" s="59" t="n"/>
      <c r="T19" s="129" t="n"/>
      <c r="U19" s="129" t="n"/>
      <c r="V19" s="129" t="n"/>
      <c r="W19" s="129" t="n"/>
      <c r="X19" s="129" t="n"/>
      <c r="Y19" s="129" t="n"/>
      <c r="Z19" s="129" t="n"/>
      <c r="AA19" s="129" t="n"/>
      <c r="AB19" s="129" t="n"/>
      <c r="AC19" s="129" t="n"/>
    </row>
    <row r="20" ht="16.5" customHeight="1" thickBot="1">
      <c r="A20" s="59" t="n"/>
      <c r="B20" s="59" t="n"/>
      <c r="C20" s="553" t="inlineStr">
        <is>
          <t>Home Rent Income</t>
        </is>
      </c>
      <c r="D20" s="158">
        <f>'GGC Underwriting'!D13</f>
        <v/>
      </c>
      <c r="E20" s="158">
        <f>'GGC Underwriting'!E13</f>
        <v/>
      </c>
      <c r="F20" s="585">
        <f>'GGC Underwriting'!I13</f>
        <v/>
      </c>
      <c r="G20" s="585">
        <f>F20/'GGC Underwriting'!$N$7</f>
        <v/>
      </c>
      <c r="H20" s="555">
        <f>'Unit Mix Rent Growth'!F49</f>
        <v/>
      </c>
      <c r="I20" s="156">
        <f>'Unit Mix Rent Growth'!G49</f>
        <v/>
      </c>
      <c r="J20" s="156">
        <f>'Unit Mix Rent Growth'!H49</f>
        <v/>
      </c>
      <c r="K20" s="556">
        <f>'Unit Mix Rent Growth'!I49</f>
        <v/>
      </c>
      <c r="L20" s="156">
        <f>'Unit Mix Rent Growth'!J49</f>
        <v/>
      </c>
      <c r="M20" s="156">
        <f>'Unit Mix Rent Growth'!K49</f>
        <v/>
      </c>
      <c r="N20" s="556">
        <f>'Unit Mix Rent Growth'!L49</f>
        <v/>
      </c>
      <c r="O20" s="556">
        <f>'Unit Mix Rent Growth'!M49</f>
        <v/>
      </c>
      <c r="P20" s="556">
        <f>'Unit Mix Rent Growth'!N49</f>
        <v/>
      </c>
      <c r="Q20" s="556">
        <f>'Unit Mix Rent Growth'!O49</f>
        <v/>
      </c>
      <c r="S20" s="586" t="inlineStr">
        <is>
          <t xml:space="preserve"> Exit Cap Rate Assumption</t>
        </is>
      </c>
      <c r="T20" s="587" t="n"/>
      <c r="U20" s="587" t="n"/>
      <c r="V20" s="587" t="n"/>
      <c r="W20" s="587" t="n"/>
      <c r="X20" s="779">
        <f>'GGC Underwriting'!P6+1%</f>
        <v/>
      </c>
      <c r="Y20" s="745" t="n"/>
      <c r="Z20" s="746" t="n"/>
      <c r="AA20" s="631" t="n"/>
      <c r="AB20" s="631" t="n"/>
      <c r="AC20" s="631" t="n"/>
    </row>
    <row r="21" ht="16.5" customHeight="1">
      <c r="A21" s="59" t="n"/>
      <c r="B21" s="59" t="n"/>
      <c r="C21" s="553" t="inlineStr">
        <is>
          <t>Long term RV Site</t>
        </is>
      </c>
      <c r="D21" s="158">
        <f>'GGC Underwriting'!D14</f>
        <v/>
      </c>
      <c r="E21" s="158">
        <f>'GGC Underwriting'!E14</f>
        <v/>
      </c>
      <c r="F21" s="585">
        <f>'GGC Underwriting'!I14</f>
        <v/>
      </c>
      <c r="G21" s="585">
        <f>F21/'GGC Underwriting'!$N$7</f>
        <v/>
      </c>
      <c r="H21" s="555">
        <f>(F21+(F21*T12))</f>
        <v/>
      </c>
      <c r="I21" s="156">
        <f>(H21+(H21*U12))</f>
        <v/>
      </c>
      <c r="J21" s="156">
        <f>(I21+(I21*V12))</f>
        <v/>
      </c>
      <c r="K21" s="556">
        <f>(J21+(J21*W12))</f>
        <v/>
      </c>
      <c r="L21" s="156">
        <f>(K21+(K21*X12))</f>
        <v/>
      </c>
      <c r="M21" s="156">
        <f>(L21+(L21*Y12))</f>
        <v/>
      </c>
      <c r="N21" s="556">
        <f>(M21+(M21*Z12))</f>
        <v/>
      </c>
      <c r="O21" s="556">
        <f>(N21+(N21*AD12))</f>
        <v/>
      </c>
      <c r="P21" s="556">
        <f>(O21+(O21*AE12))</f>
        <v/>
      </c>
      <c r="Q21" s="556">
        <f>(P21+(P21*AF12))</f>
        <v/>
      </c>
      <c r="S21" s="59" t="n"/>
      <c r="T21" s="129" t="n"/>
      <c r="U21" s="129" t="n"/>
      <c r="V21" s="129" t="n"/>
      <c r="W21" s="129" t="n"/>
      <c r="X21" s="129" t="n"/>
      <c r="Y21" s="129" t="n"/>
      <c r="Z21" s="129" t="n"/>
      <c r="AA21" s="129" t="n"/>
      <c r="AB21" s="129" t="n"/>
      <c r="AC21" s="129" t="n"/>
    </row>
    <row r="22" ht="16.5" customHeight="1">
      <c r="A22" s="59" t="n"/>
      <c r="B22" s="59" t="n"/>
      <c r="C22" s="553" t="inlineStr">
        <is>
          <t>Storage Income</t>
        </is>
      </c>
      <c r="D22" s="158">
        <f>'GGC Underwriting'!D15</f>
        <v/>
      </c>
      <c r="E22" s="158">
        <f>'GGC Underwriting'!E15</f>
        <v/>
      </c>
      <c r="F22" s="585">
        <f>'GGC Underwriting'!I15</f>
        <v/>
      </c>
      <c r="G22" s="585">
        <f>F22/'GGC Underwriting'!$N$7</f>
        <v/>
      </c>
      <c r="H22" s="555">
        <f>F22+(F22*$T$10)</f>
        <v/>
      </c>
      <c r="I22" s="156">
        <f>H22+(H22*$U$10)</f>
        <v/>
      </c>
      <c r="J22" s="156">
        <f>I22+(I22*$V$10)</f>
        <v/>
      </c>
      <c r="K22" s="556">
        <f>J22+(J22*$W$10)</f>
        <v/>
      </c>
      <c r="L22" s="156">
        <f>K22+(K22*$X$10)</f>
        <v/>
      </c>
      <c r="M22" s="156">
        <f>L22+(L22*$Y$10)</f>
        <v/>
      </c>
      <c r="N22" s="556">
        <f>M22+(M22*$Z$10)</f>
        <v/>
      </c>
      <c r="O22" s="556">
        <f>N22+(N22*$Z$10)</f>
        <v/>
      </c>
      <c r="P22" s="556">
        <f>O22+(O22*$Z$10)</f>
        <v/>
      </c>
      <c r="Q22" s="556">
        <f>P22+(P22*$Z$10)</f>
        <v/>
      </c>
      <c r="S22" s="59" t="n"/>
      <c r="T22" s="129" t="n"/>
      <c r="U22" s="129" t="n"/>
      <c r="V22" s="129" t="n"/>
      <c r="W22" s="129" t="n"/>
      <c r="X22" s="129" t="n"/>
      <c r="Y22" s="129" t="n"/>
      <c r="Z22" s="129" t="n"/>
      <c r="AA22" s="129" t="n"/>
      <c r="AB22" s="129" t="n"/>
      <c r="AC22" s="129" t="n"/>
    </row>
    <row r="23" ht="16.5" customHeight="1">
      <c r="A23" s="59" t="n"/>
      <c r="B23" s="59" t="n"/>
      <c r="C23" s="553" t="inlineStr">
        <is>
          <t>Laundry Income</t>
        </is>
      </c>
      <c r="D23" s="158">
        <f>'GGC Underwriting'!D16</f>
        <v/>
      </c>
      <c r="E23" s="158">
        <f>'GGC Underwriting'!E16</f>
        <v/>
      </c>
      <c r="F23" s="585">
        <f>'GGC Underwriting'!I16</f>
        <v/>
      </c>
      <c r="G23" s="585">
        <f>F23/'GGC Underwriting'!$N$7</f>
        <v/>
      </c>
      <c r="H23" s="555">
        <f>F23+(F23*$T$10)</f>
        <v/>
      </c>
      <c r="I23" s="156">
        <f>H23+(H23*$U$10)</f>
        <v/>
      </c>
      <c r="J23" s="156">
        <f>I23+(I23*$V$10)</f>
        <v/>
      </c>
      <c r="K23" s="556">
        <f>J23+(J23*$W$10)</f>
        <v/>
      </c>
      <c r="L23" s="156">
        <f>K23+(K23*$X$10)</f>
        <v/>
      </c>
      <c r="M23" s="156">
        <f>L23+(L23*$Y$10)</f>
        <v/>
      </c>
      <c r="N23" s="556">
        <f>M23+(M23*$Z$10)</f>
        <v/>
      </c>
      <c r="O23" s="556">
        <f>N23+(N23*$Z$10)</f>
        <v/>
      </c>
      <c r="P23" s="556">
        <f>O23+(O23*$Z$10)</f>
        <v/>
      </c>
      <c r="Q23" s="556">
        <f>P23+(P23*$Z$10)</f>
        <v/>
      </c>
      <c r="S23" s="59" t="n"/>
      <c r="T23" s="129" t="n"/>
      <c r="U23" s="129" t="n"/>
      <c r="V23" s="129" t="n"/>
      <c r="W23" s="129" t="n"/>
      <c r="X23" s="129" t="n"/>
      <c r="Y23" s="129" t="n"/>
      <c r="Z23" s="129" t="n"/>
      <c r="AA23" s="129" t="n"/>
      <c r="AB23" s="129" t="n"/>
      <c r="AC23" s="129" t="n"/>
    </row>
    <row r="24" ht="16.5" customHeight="1">
      <c r="A24" s="59" t="n"/>
      <c r="B24" s="59" t="n"/>
      <c r="C24" s="588" t="inlineStr">
        <is>
          <t>Other Income</t>
        </is>
      </c>
      <c r="D24" s="158">
        <f>'GGC Underwriting'!D17</f>
        <v/>
      </c>
      <c r="E24" s="158">
        <f>'GGC Underwriting'!E17</f>
        <v/>
      </c>
      <c r="F24" s="585">
        <f>'GGC Underwriting'!I17</f>
        <v/>
      </c>
      <c r="G24" s="589">
        <f>F24/'GGC Underwriting'!$N$7</f>
        <v/>
      </c>
      <c r="H24" s="555">
        <f>F24+(F24*$T$10)</f>
        <v/>
      </c>
      <c r="I24" s="156">
        <f>H24+(H24*$U$10)</f>
        <v/>
      </c>
      <c r="J24" s="156">
        <f>I24+(I24*$V$10)</f>
        <v/>
      </c>
      <c r="K24" s="556">
        <f>J24+(J24*$W$10)</f>
        <v/>
      </c>
      <c r="L24" s="156">
        <f>K24+(K24*$X$10)</f>
        <v/>
      </c>
      <c r="M24" s="156">
        <f>L24+(L24*$Y$10)</f>
        <v/>
      </c>
      <c r="N24" s="556">
        <f>M24+(M24*$Z$10)</f>
        <v/>
      </c>
      <c r="O24" s="556">
        <f>N24+(N24*$Z$10)</f>
        <v/>
      </c>
      <c r="P24" s="556">
        <f>O24+(O24*$Z$10)</f>
        <v/>
      </c>
      <c r="Q24" s="556">
        <f>P24+(P24*$Z$10)</f>
        <v/>
      </c>
      <c r="S24" s="59" t="n"/>
      <c r="T24" s="129" t="n"/>
      <c r="U24" s="129" t="n"/>
      <c r="V24" s="129" t="n"/>
      <c r="W24" s="129" t="n"/>
      <c r="X24" s="129" t="n"/>
      <c r="Y24" s="129" t="n"/>
      <c r="Z24" s="129" t="n"/>
      <c r="AA24" s="129" t="n"/>
      <c r="AB24" s="129" t="n"/>
      <c r="AC24" s="129" t="n"/>
    </row>
    <row r="25" ht="16.5" customHeight="1" thickBot="1">
      <c r="A25" s="59" t="n"/>
      <c r="B25" s="59" t="n"/>
      <c r="C25" s="590" t="inlineStr">
        <is>
          <t>Total Effective Gross Income</t>
        </is>
      </c>
      <c r="D25" s="163">
        <f>D12+D19+D20+D21+D22+D23+D24</f>
        <v/>
      </c>
      <c r="E25" s="163">
        <f>E12+E19+E20+E21+E22+E23+E24</f>
        <v/>
      </c>
      <c r="F25" s="591">
        <f>F12+F19+F20+F21+F22+F23+F24</f>
        <v/>
      </c>
      <c r="G25" s="591">
        <f>F25/'GGC Underwriting'!$N$7</f>
        <v/>
      </c>
      <c r="H25" s="592">
        <f>H12+H19+H20+H21+H22+H23+H24</f>
        <v/>
      </c>
      <c r="I25" s="163">
        <f>I12+I19+I20+I21+I22+I23+I24</f>
        <v/>
      </c>
      <c r="J25" s="163">
        <f>J12+J19+J20+J21+J22+J23+J24</f>
        <v/>
      </c>
      <c r="K25" s="591">
        <f>K12+K19+K20+K21+K22+K23+K24</f>
        <v/>
      </c>
      <c r="L25" s="163">
        <f>L12+L19+L20+L21+L22+L23+L24</f>
        <v/>
      </c>
      <c r="M25" s="163">
        <f>M12+M19+M20+M21+M22+M23+M24</f>
        <v/>
      </c>
      <c r="N25" s="591">
        <f>N12+N19+N20+N21+N22+N23+N24</f>
        <v/>
      </c>
      <c r="O25" s="591">
        <f>O12+O19+O20+O21+O22+O23+O24</f>
        <v/>
      </c>
      <c r="P25" s="591">
        <f>P12+P19+P20+P21+P22+P23+P24</f>
        <v/>
      </c>
      <c r="Q25" s="591">
        <f>Q12+Q19+Q20+Q21+Q22+Q23+Q24</f>
        <v/>
      </c>
      <c r="S25" s="59" t="n"/>
      <c r="T25" s="129" t="n"/>
      <c r="U25" s="129" t="n"/>
      <c r="V25" s="129" t="n"/>
      <c r="W25" s="129" t="n"/>
      <c r="X25" s="129" t="n"/>
      <c r="Y25" s="129" t="n"/>
      <c r="Z25" s="129" t="n"/>
      <c r="AA25" s="129" t="n"/>
      <c r="AB25" s="129" t="n"/>
      <c r="AC25" s="129" t="n"/>
    </row>
    <row r="26" ht="15.75" customHeight="1" thickTop="1">
      <c r="A26" s="59" t="n"/>
      <c r="B26" s="59" t="n"/>
      <c r="C26" s="571" t="inlineStr">
        <is>
          <t>YoY % Growth</t>
        </is>
      </c>
      <c r="D26" s="59" t="n"/>
      <c r="E26" s="59" t="n"/>
      <c r="F26" s="59" t="n"/>
      <c r="G26" s="593" t="n"/>
      <c r="H26" s="59" t="n"/>
      <c r="I26" s="59" t="n"/>
      <c r="J26" s="59" t="n"/>
      <c r="K26" s="551" t="n"/>
      <c r="L26" s="59" t="n"/>
      <c r="M26" s="59" t="n"/>
      <c r="N26" s="551" t="n"/>
      <c r="O26" s="551" t="n"/>
      <c r="P26" s="551" t="n"/>
      <c r="Q26" s="551" t="n"/>
      <c r="S26" s="59" t="n"/>
      <c r="T26" s="129" t="n"/>
      <c r="U26" s="129" t="n"/>
      <c r="V26" s="129" t="n"/>
      <c r="W26" s="129" t="n"/>
      <c r="X26" s="129" t="n"/>
      <c r="Y26" s="129" t="n"/>
      <c r="Z26" s="129" t="n"/>
      <c r="AA26" s="129" t="n"/>
      <c r="AB26" s="129" t="n"/>
      <c r="AC26" s="129" t="n"/>
    </row>
    <row r="27" ht="19.5" customHeight="1">
      <c r="A27" s="59" t="n"/>
      <c r="B27" s="59" t="n"/>
      <c r="C27" s="550" t="inlineStr">
        <is>
          <t>Expenses</t>
        </is>
      </c>
      <c r="D27" s="59" t="n"/>
      <c r="E27" s="59" t="n"/>
      <c r="F27" s="551" t="n"/>
      <c r="G27" s="594" t="inlineStr">
        <is>
          <t>UW Per Pad</t>
        </is>
      </c>
      <c r="H27" s="552" t="n"/>
      <c r="I27" s="267" t="inlineStr">
        <is>
          <t>RE Tax Reassessment</t>
        </is>
      </c>
      <c r="J27" s="59" t="n"/>
      <c r="K27" s="551" t="n"/>
      <c r="L27" s="59" t="n"/>
      <c r="M27" s="59" t="n"/>
      <c r="N27" s="551" t="n"/>
      <c r="O27" s="551" t="n"/>
      <c r="P27" s="551" t="n"/>
      <c r="Q27" s="551" t="n"/>
      <c r="S27" s="59" t="n"/>
      <c r="T27" s="129" t="n"/>
      <c r="U27" s="129" t="n"/>
      <c r="V27" s="129" t="n"/>
      <c r="W27" s="129" t="n"/>
      <c r="X27" s="129" t="n"/>
      <c r="Y27" s="129" t="n"/>
      <c r="Z27" s="129" t="n"/>
      <c r="AA27" s="129" t="n"/>
      <c r="AB27" s="129" t="n"/>
      <c r="AC27" s="129" t="n"/>
    </row>
    <row r="28" ht="17.25" customHeight="1">
      <c r="A28" s="59" t="n"/>
      <c r="B28" s="59" t="n"/>
      <c r="C28" s="553" t="inlineStr">
        <is>
          <t>RE Taxes</t>
        </is>
      </c>
      <c r="D28" s="156">
        <f>'GGC Underwriting'!D22</f>
        <v/>
      </c>
      <c r="E28" s="156">
        <f>'GGC Underwriting'!E22</f>
        <v/>
      </c>
      <c r="F28" s="556">
        <f>'GGC Underwriting'!I22</f>
        <v/>
      </c>
      <c r="G28" s="556">
        <f>F28/'GGC Underwriting'!$N$7</f>
        <v/>
      </c>
      <c r="H28" s="555">
        <f>D28</f>
        <v/>
      </c>
      <c r="I28" s="156">
        <f>F28</f>
        <v/>
      </c>
      <c r="J28" s="156">
        <f>I28+(I28*$V$17)</f>
        <v/>
      </c>
      <c r="K28" s="556">
        <f>J28+(J28*$W$17)</f>
        <v/>
      </c>
      <c r="L28" s="156">
        <f>K28+(K28*$X$17)</f>
        <v/>
      </c>
      <c r="M28" s="156">
        <f>L28+(L28*$Y$17)</f>
        <v/>
      </c>
      <c r="N28" s="556">
        <f>M28+(M28*$Z$17)</f>
        <v/>
      </c>
      <c r="O28" s="556">
        <f>N28+(N28*$Z$17)</f>
        <v/>
      </c>
      <c r="P28" s="556">
        <f>O28+(O28*$Z$17)</f>
        <v/>
      </c>
      <c r="Q28" s="556">
        <f>P28+(P28*$Z$17)</f>
        <v/>
      </c>
      <c r="S28" s="59" t="n"/>
      <c r="T28" s="129" t="n"/>
      <c r="U28" s="129" t="n"/>
      <c r="V28" s="129" t="n"/>
      <c r="W28" s="129" t="n"/>
      <c r="X28" s="129" t="n"/>
      <c r="Y28" s="129" t="n"/>
      <c r="Z28" s="129" t="n"/>
      <c r="AA28" s="129" t="n"/>
      <c r="AB28" s="129" t="n"/>
      <c r="AC28" s="129" t="n"/>
    </row>
    <row r="29" ht="17.25" customHeight="1">
      <c r="A29" s="59" t="n"/>
      <c r="B29" s="59" t="n"/>
      <c r="C29" s="588" t="inlineStr">
        <is>
          <t>Insurance</t>
        </is>
      </c>
      <c r="D29" s="156">
        <f>'GGC Underwriting'!D23</f>
        <v/>
      </c>
      <c r="E29" s="156">
        <f>'GGC Underwriting'!E23</f>
        <v/>
      </c>
      <c r="F29" s="556">
        <f>'GGC Underwriting'!I23</f>
        <v/>
      </c>
      <c r="G29" s="141">
        <f>F29/'GGC Underwriting'!$N$7</f>
        <v/>
      </c>
      <c r="H29" s="595">
        <f>F29+(F29*$T$16)</f>
        <v/>
      </c>
      <c r="I29" s="161">
        <f>H29+(H29*$U$16)</f>
        <v/>
      </c>
      <c r="J29" s="161">
        <f>I29+(I29*$V$16)</f>
        <v/>
      </c>
      <c r="K29" s="141">
        <f>J29+(J29*$W$16)</f>
        <v/>
      </c>
      <c r="L29" s="161">
        <f>K29+(K29*$X$16)</f>
        <v/>
      </c>
      <c r="M29" s="161">
        <f>L29+(L29*$Y$16)</f>
        <v/>
      </c>
      <c r="N29" s="141">
        <f>M29+(M29*$Z$16)</f>
        <v/>
      </c>
      <c r="O29" s="141">
        <f>N29+(N29*$Z$16)</f>
        <v/>
      </c>
      <c r="P29" s="141">
        <f>O29+(O29*$Z$16)</f>
        <v/>
      </c>
      <c r="Q29" s="141">
        <f>P29+(P29*$Z$16)</f>
        <v/>
      </c>
      <c r="S29" s="59" t="n"/>
      <c r="T29" s="129" t="n"/>
      <c r="U29" s="129" t="n"/>
      <c r="V29" s="129" t="n"/>
      <c r="W29" s="129" t="n"/>
      <c r="X29" s="129" t="n"/>
      <c r="Y29" s="129" t="n"/>
      <c r="Z29" s="129" t="n"/>
      <c r="AA29" s="129" t="n"/>
      <c r="AB29" s="129" t="n"/>
      <c r="AC29" s="129" t="n"/>
    </row>
    <row r="30" ht="14.25" customHeight="1">
      <c r="A30" s="59" t="n"/>
      <c r="B30" s="59" t="n"/>
      <c r="C30" s="553" t="n"/>
      <c r="D30" s="59" t="n"/>
      <c r="E30" s="59" t="n"/>
      <c r="F30" s="551" t="n"/>
      <c r="G30" s="551">
        <f>F30/'GGC Underwriting'!$N$7</f>
        <v/>
      </c>
      <c r="H30" s="552" t="n"/>
      <c r="I30" s="59" t="n"/>
      <c r="J30" s="59" t="n"/>
      <c r="K30" s="551" t="n"/>
      <c r="L30" s="59" t="n"/>
      <c r="M30" s="59" t="n"/>
      <c r="N30" s="551" t="n"/>
      <c r="O30" s="551" t="n"/>
      <c r="P30" s="551" t="n"/>
      <c r="Q30" s="551" t="n"/>
      <c r="S30" s="59" t="n"/>
      <c r="T30" s="129" t="n"/>
      <c r="U30" s="129" t="n"/>
      <c r="V30" s="129" t="n"/>
      <c r="W30" s="129" t="n"/>
      <c r="X30" s="129" t="n"/>
      <c r="Y30" s="129" t="n"/>
      <c r="Z30" s="129" t="n"/>
      <c r="AA30" s="129" t="n"/>
      <c r="AB30" s="129" t="n"/>
      <c r="AC30" s="129" t="n"/>
    </row>
    <row r="31" ht="14.25" customHeight="1">
      <c r="A31" s="59" t="n"/>
      <c r="B31" s="59" t="n"/>
      <c r="C31" s="553" t="inlineStr">
        <is>
          <t>Gas/Fuel</t>
        </is>
      </c>
      <c r="D31" s="156">
        <f>'GGC Underwriting'!D25</f>
        <v/>
      </c>
      <c r="E31" s="156">
        <f>'GGC Underwriting'!E25</f>
        <v/>
      </c>
      <c r="F31" s="556">
        <f>'GGC Underwriting'!I25</f>
        <v/>
      </c>
      <c r="G31" s="556">
        <f>F31/'GGC Underwriting'!$N$7</f>
        <v/>
      </c>
      <c r="H31" s="555">
        <f>F31+(F31*$T$16)</f>
        <v/>
      </c>
      <c r="I31" s="156">
        <f>H31+(H31*$U$16)</f>
        <v/>
      </c>
      <c r="J31" s="156">
        <f>I31+(I31*$V$16)</f>
        <v/>
      </c>
      <c r="K31" s="556">
        <f>J31+(J31*$W$16)</f>
        <v/>
      </c>
      <c r="L31" s="156">
        <f>K31+(K31*$X$16)</f>
        <v/>
      </c>
      <c r="M31" s="156">
        <f>L31+(L31*$Y$16)</f>
        <v/>
      </c>
      <c r="N31" s="556">
        <f>M31+(M31*$Z$16)</f>
        <v/>
      </c>
      <c r="O31" s="556">
        <f>N31+(N31*$Z$16)</f>
        <v/>
      </c>
      <c r="P31" s="556">
        <f>O31+(O31*$Z$16)</f>
        <v/>
      </c>
      <c r="Q31" s="556">
        <f>P31+(P31*$Z$16)</f>
        <v/>
      </c>
      <c r="S31" s="59" t="n"/>
      <c r="T31" s="129" t="n"/>
      <c r="U31" s="129" t="n"/>
      <c r="V31" s="129" t="n"/>
      <c r="W31" s="129" t="n"/>
      <c r="X31" s="129" t="n"/>
      <c r="Y31" s="129" t="n"/>
      <c r="Z31" s="129" t="n"/>
      <c r="AA31" s="129" t="n"/>
      <c r="AB31" s="129" t="n"/>
      <c r="AC31" s="129" t="n"/>
    </row>
    <row r="32" ht="17.25" customHeight="1">
      <c r="A32" s="59" t="n"/>
      <c r="B32" s="59" t="n"/>
      <c r="C32" s="553" t="inlineStr">
        <is>
          <t>Electrcitiy</t>
        </is>
      </c>
      <c r="D32" s="156">
        <f>'GGC Underwriting'!D26</f>
        <v/>
      </c>
      <c r="E32" s="156">
        <f>'GGC Underwriting'!E26</f>
        <v/>
      </c>
      <c r="F32" s="556">
        <f>'GGC Underwriting'!I26</f>
        <v/>
      </c>
      <c r="G32" s="556">
        <f>F32/'GGC Underwriting'!$N$7</f>
        <v/>
      </c>
      <c r="H32" s="555">
        <f>F32+(F32*$T$16)</f>
        <v/>
      </c>
      <c r="I32" s="156">
        <f>H32+(H32*$U$16)</f>
        <v/>
      </c>
      <c r="J32" s="156">
        <f>I32+(I32*$V$16)</f>
        <v/>
      </c>
      <c r="K32" s="556">
        <f>J32+(J32*$W$16)</f>
        <v/>
      </c>
      <c r="L32" s="156">
        <f>K32+(K32*$X$16)</f>
        <v/>
      </c>
      <c r="M32" s="156">
        <f>L32+(L32*$Y$16)</f>
        <v/>
      </c>
      <c r="N32" s="556">
        <f>M32+(M32*$Z$16)</f>
        <v/>
      </c>
      <c r="O32" s="556">
        <f>N32+(N32*$Z$16)</f>
        <v/>
      </c>
      <c r="P32" s="556">
        <f>O32+(O32*$Z$16)</f>
        <v/>
      </c>
      <c r="Q32" s="556">
        <f>P32+(P32*$Z$16)</f>
        <v/>
      </c>
      <c r="S32" s="59" t="n"/>
      <c r="T32" s="129" t="n"/>
      <c r="U32" s="129" t="n"/>
      <c r="V32" s="129" t="n"/>
      <c r="W32" s="129" t="n"/>
      <c r="X32" s="129" t="n"/>
      <c r="Y32" s="129" t="n"/>
      <c r="Z32" s="129" t="n"/>
      <c r="AA32" s="129" t="n"/>
      <c r="AB32" s="129" t="n"/>
      <c r="AC32" s="129" t="n"/>
    </row>
    <row r="33" ht="17.25" customHeight="1">
      <c r="A33" s="59" t="n"/>
      <c r="B33" s="59" t="n"/>
      <c r="C33" s="553" t="inlineStr">
        <is>
          <t>Water and Sewer</t>
        </is>
      </c>
      <c r="D33" s="156">
        <f>'GGC Underwriting'!D27</f>
        <v/>
      </c>
      <c r="E33" s="156">
        <f>'GGC Underwriting'!E27</f>
        <v/>
      </c>
      <c r="F33" s="556">
        <f>'GGC Underwriting'!I27</f>
        <v/>
      </c>
      <c r="G33" s="556">
        <f>F33/'GGC Underwriting'!$N$7</f>
        <v/>
      </c>
      <c r="H33" s="555">
        <f>F33+(F33*$T$16)</f>
        <v/>
      </c>
      <c r="I33" s="156">
        <f>H33+(H33*$U$16)</f>
        <v/>
      </c>
      <c r="J33" s="156">
        <f>I33+(I33*$V$16)</f>
        <v/>
      </c>
      <c r="K33" s="556">
        <f>J33+(J33*$W$16)</f>
        <v/>
      </c>
      <c r="L33" s="156">
        <f>K33+(K33*$X$16)</f>
        <v/>
      </c>
      <c r="M33" s="156">
        <f>L33+(L33*$Y$16)</f>
        <v/>
      </c>
      <c r="N33" s="556">
        <f>M33+(M33*$Z$16)</f>
        <v/>
      </c>
      <c r="O33" s="556">
        <f>N33+(N33*$Z$16)</f>
        <v/>
      </c>
      <c r="P33" s="556">
        <f>O33+(O33*$Z$16)</f>
        <v/>
      </c>
      <c r="Q33" s="556">
        <f>P33+(P33*$Z$16)</f>
        <v/>
      </c>
      <c r="S33" s="59" t="n"/>
      <c r="T33" s="129" t="n"/>
      <c r="U33" s="129" t="n"/>
      <c r="V33" s="129" t="n"/>
      <c r="W33" s="129" t="n"/>
      <c r="X33" s="129" t="n"/>
      <c r="Y33" s="129" t="n"/>
      <c r="Z33" s="129" t="n"/>
      <c r="AA33" s="129" t="n"/>
      <c r="AB33" s="129" t="n"/>
      <c r="AC33" s="129" t="n"/>
    </row>
    <row r="34" ht="17.25" customHeight="1">
      <c r="A34" s="59" t="n"/>
      <c r="B34" s="230" t="n"/>
      <c r="C34" s="553" t="inlineStr">
        <is>
          <t>Trash Removal</t>
        </is>
      </c>
      <c r="D34" s="156">
        <f>'GGC Underwriting'!D28</f>
        <v/>
      </c>
      <c r="E34" s="156">
        <f>'GGC Underwriting'!E28</f>
        <v/>
      </c>
      <c r="F34" s="556">
        <f>'GGC Underwriting'!I28</f>
        <v/>
      </c>
      <c r="G34" s="556">
        <f>F34/'GGC Underwriting'!$N$7</f>
        <v/>
      </c>
      <c r="H34" s="555">
        <f>F34+(F34*$T$16)</f>
        <v/>
      </c>
      <c r="I34" s="156">
        <f>H34+(H34*$U$16)</f>
        <v/>
      </c>
      <c r="J34" s="156">
        <f>I34+(I34*$V$16)</f>
        <v/>
      </c>
      <c r="K34" s="556">
        <f>J34+(J34*$W$16)</f>
        <v/>
      </c>
      <c r="L34" s="156">
        <f>K34+(K34*$X$16)</f>
        <v/>
      </c>
      <c r="M34" s="156">
        <f>L34+(L34*$Y$16)</f>
        <v/>
      </c>
      <c r="N34" s="556">
        <f>M34+(M34*$Z$16)</f>
        <v/>
      </c>
      <c r="O34" s="556">
        <f>N34+(N34*$Z$16)</f>
        <v/>
      </c>
      <c r="P34" s="556">
        <f>O34+(O34*$Z$16)</f>
        <v/>
      </c>
      <c r="Q34" s="556">
        <f>P34+(P34*$Z$16)</f>
        <v/>
      </c>
      <c r="S34" s="59" t="n"/>
      <c r="T34" s="129" t="n"/>
      <c r="U34" s="129" t="n"/>
      <c r="V34" s="129" t="n"/>
      <c r="W34" s="129" t="n"/>
      <c r="X34" s="129" t="n"/>
      <c r="Y34" s="129" t="n"/>
      <c r="Z34" s="129" t="n"/>
      <c r="AA34" s="129" t="n"/>
      <c r="AB34" s="129" t="n"/>
      <c r="AC34" s="129" t="n"/>
    </row>
    <row r="35" ht="18" customHeight="1" thickBot="1">
      <c r="A35" s="59" t="n"/>
      <c r="B35" s="59" t="n"/>
      <c r="C35" s="590" t="inlineStr">
        <is>
          <t>Total Utilities</t>
        </is>
      </c>
      <c r="D35" s="164">
        <f>D31+D32+D33+D34</f>
        <v/>
      </c>
      <c r="E35" s="164">
        <f>E31+E32+E33+E34</f>
        <v/>
      </c>
      <c r="F35" s="596">
        <f>F31+F32+F33+F34</f>
        <v/>
      </c>
      <c r="G35" s="596">
        <f>F35/'GGC Underwriting'!$N$7</f>
        <v/>
      </c>
      <c r="H35" s="597">
        <f>H31+H32+H33+H34</f>
        <v/>
      </c>
      <c r="I35" s="164">
        <f>I31+I32+I33+I34</f>
        <v/>
      </c>
      <c r="J35" s="164">
        <f>J31+J32+J33+J34</f>
        <v/>
      </c>
      <c r="K35" s="596">
        <f>K31+K32+K33+K34</f>
        <v/>
      </c>
      <c r="L35" s="164">
        <f>L31+L32+L33+L34</f>
        <v/>
      </c>
      <c r="M35" s="164">
        <f>M31+M32+M33+M34</f>
        <v/>
      </c>
      <c r="N35" s="596">
        <f>N31+N32+N33+N34</f>
        <v/>
      </c>
      <c r="O35" s="596">
        <f>O31+O32+O33+O34</f>
        <v/>
      </c>
      <c r="P35" s="596">
        <f>P31+P32+P33+P34</f>
        <v/>
      </c>
      <c r="Q35" s="596">
        <f>Q31+Q32+Q33+Q34</f>
        <v/>
      </c>
      <c r="S35" s="59" t="n"/>
      <c r="T35" s="129" t="n"/>
      <c r="U35" s="129" t="n"/>
      <c r="V35" s="129" t="n"/>
      <c r="W35" s="129" t="n"/>
      <c r="X35" s="129" t="n"/>
      <c r="Y35" s="129" t="n"/>
      <c r="Z35" s="129" t="n"/>
      <c r="AA35" s="129" t="n"/>
      <c r="AB35" s="129" t="n"/>
      <c r="AC35" s="129" t="n"/>
    </row>
    <row r="36" ht="18.75" customHeight="1" thickTop="1">
      <c r="A36" s="59" t="n"/>
      <c r="B36" s="59" t="n"/>
      <c r="C36" s="553" t="inlineStr">
        <is>
          <t xml:space="preserve">Repair and Maintenance </t>
        </is>
      </c>
      <c r="D36" s="156">
        <f>'GGC Underwriting'!D30</f>
        <v/>
      </c>
      <c r="E36" s="156">
        <f>'GGC Underwriting'!E30</f>
        <v/>
      </c>
      <c r="F36" s="556">
        <f>'GGC Underwriting'!I30</f>
        <v/>
      </c>
      <c r="G36" s="556">
        <f>F36/'GGC Underwriting'!$N$7</f>
        <v/>
      </c>
      <c r="H36" s="555">
        <f>F36+(F36*$T$16)</f>
        <v/>
      </c>
      <c r="I36" s="156">
        <f>H36+(H36*$U$16)</f>
        <v/>
      </c>
      <c r="J36" s="156">
        <f>I36+(I36*$V$16)</f>
        <v/>
      </c>
      <c r="K36" s="556">
        <f>J36+(J36*$W$16)</f>
        <v/>
      </c>
      <c r="L36" s="156">
        <f>K36+(K36*$X$16)</f>
        <v/>
      </c>
      <c r="M36" s="156">
        <f>L36+(L36*$Y$16)</f>
        <v/>
      </c>
      <c r="N36" s="556">
        <f>M36+(M36*$Z$16)</f>
        <v/>
      </c>
      <c r="O36" s="556">
        <f>N36+(N36*$Z$16)</f>
        <v/>
      </c>
      <c r="P36" s="556">
        <f>O36+(O36*$Z$16)</f>
        <v/>
      </c>
      <c r="Q36" s="556">
        <f>P36+(P36*$Z$16)</f>
        <v/>
      </c>
      <c r="S36" s="59" t="n"/>
      <c r="T36" s="129" t="n"/>
      <c r="U36" s="129" t="n"/>
      <c r="V36" s="129" t="n"/>
      <c r="W36" s="129" t="n"/>
      <c r="X36" s="129" t="n"/>
      <c r="Y36" s="129" t="n"/>
      <c r="Z36" s="129" t="n"/>
      <c r="AA36" s="129" t="n"/>
      <c r="AB36" s="129" t="n"/>
      <c r="AC36" s="129" t="n"/>
    </row>
    <row r="37" ht="18.75" customHeight="1">
      <c r="A37" s="59" t="n"/>
      <c r="B37" s="59" t="n"/>
      <c r="C37" s="553" t="inlineStr">
        <is>
          <t>Ground Maintenance</t>
        </is>
      </c>
      <c r="D37" s="156">
        <f>'GGC Underwriting'!D31</f>
        <v/>
      </c>
      <c r="E37" s="156">
        <f>'GGC Underwriting'!E31</f>
        <v/>
      </c>
      <c r="F37" s="556">
        <f>'GGC Underwriting'!I31</f>
        <v/>
      </c>
      <c r="G37" s="556">
        <f>F37/'GGC Underwriting'!$N$7</f>
        <v/>
      </c>
      <c r="H37" s="555">
        <f>F37+(F37*$T$16)</f>
        <v/>
      </c>
      <c r="I37" s="156">
        <f>H37+(H37*$U$16)</f>
        <v/>
      </c>
      <c r="J37" s="156">
        <f>I37+(I37*$V$16)</f>
        <v/>
      </c>
      <c r="K37" s="556">
        <f>J37+(J37*$W$16)</f>
        <v/>
      </c>
      <c r="L37" s="156">
        <f>K37+(K37*$X$16)</f>
        <v/>
      </c>
      <c r="M37" s="156">
        <f>L37+(L37*$Y$16)</f>
        <v/>
      </c>
      <c r="N37" s="556">
        <f>M37+(M37*$Z$16)</f>
        <v/>
      </c>
      <c r="O37" s="556">
        <f>N37+(N37*$Z$16)</f>
        <v/>
      </c>
      <c r="P37" s="556">
        <f>O37+(O37*$Z$16)</f>
        <v/>
      </c>
      <c r="Q37" s="556">
        <f>P37+(P37*$Z$16)</f>
        <v/>
      </c>
      <c r="S37" s="59" t="n"/>
      <c r="T37" s="129" t="n"/>
      <c r="U37" s="129" t="n"/>
      <c r="V37" s="129" t="n"/>
      <c r="W37" s="129" t="n"/>
      <c r="X37" s="129" t="n"/>
      <c r="Y37" s="129" t="n"/>
      <c r="Z37" s="129" t="n"/>
      <c r="AA37" s="129" t="n"/>
      <c r="AB37" s="129" t="n"/>
      <c r="AC37" s="129" t="n"/>
    </row>
    <row r="38" ht="14.25" customHeight="1">
      <c r="A38" s="59" t="n"/>
      <c r="B38" s="59" t="n"/>
      <c r="C38" s="553" t="inlineStr">
        <is>
          <t>Recreational Amenities</t>
        </is>
      </c>
      <c r="D38" s="156">
        <f>'GGC Underwriting'!D32</f>
        <v/>
      </c>
      <c r="E38" s="156">
        <f>'GGC Underwriting'!E32</f>
        <v/>
      </c>
      <c r="F38" s="556">
        <f>'GGC Underwriting'!I32</f>
        <v/>
      </c>
      <c r="G38" s="556">
        <f>F38/'GGC Underwriting'!$N$7</f>
        <v/>
      </c>
      <c r="H38" s="555">
        <f>F38+(F38*$T$16)</f>
        <v/>
      </c>
      <c r="I38" s="156">
        <f>H38+(H38*$U$16)</f>
        <v/>
      </c>
      <c r="J38" s="156">
        <f>I38+(I38*$V$16)</f>
        <v/>
      </c>
      <c r="K38" s="556">
        <f>J38+(J38*$W$16)</f>
        <v/>
      </c>
      <c r="L38" s="156">
        <f>K38+(K38*$X$16)</f>
        <v/>
      </c>
      <c r="M38" s="156">
        <f>L38+(L38*$Y$16)</f>
        <v/>
      </c>
      <c r="N38" s="556">
        <f>M38+(M38*$Z$16)</f>
        <v/>
      </c>
      <c r="O38" s="556">
        <f>N38+(N38*$Z$16)</f>
        <v/>
      </c>
      <c r="P38" s="556">
        <f>O38+(O38*$Z$16)</f>
        <v/>
      </c>
      <c r="Q38" s="556">
        <f>P38+(P38*$Z$16)</f>
        <v/>
      </c>
      <c r="S38" s="59" t="n"/>
      <c r="T38" s="129" t="n"/>
      <c r="U38" s="129" t="n"/>
      <c r="V38" s="129" t="n"/>
      <c r="W38" s="129" t="n"/>
      <c r="X38" s="129" t="n"/>
      <c r="Y38" s="129" t="n"/>
      <c r="Z38" s="129" t="n"/>
      <c r="AA38" s="129" t="n"/>
      <c r="AB38" s="129" t="n"/>
      <c r="AC38" s="129" t="n"/>
    </row>
    <row r="39" ht="18.75" customHeight="1">
      <c r="A39" s="59" t="n"/>
      <c r="B39" s="59" t="n"/>
      <c r="C39" s="553" t="inlineStr">
        <is>
          <t>Management Fee</t>
        </is>
      </c>
      <c r="D39" s="156">
        <f>'GGC Underwriting'!D33</f>
        <v/>
      </c>
      <c r="E39" s="156">
        <f>'GGC Underwriting'!E33</f>
        <v/>
      </c>
      <c r="F39" s="556">
        <f>'GGC Underwriting'!I33</f>
        <v/>
      </c>
      <c r="G39" s="556">
        <f>F39/'GGC Underwriting'!$N$7</f>
        <v/>
      </c>
      <c r="H39" s="555">
        <f>H40*H25</f>
        <v/>
      </c>
      <c r="I39" s="156">
        <f>I40*I25</f>
        <v/>
      </c>
      <c r="J39" s="156">
        <f>J40*J25</f>
        <v/>
      </c>
      <c r="K39" s="556">
        <f>K40*K25</f>
        <v/>
      </c>
      <c r="L39" s="156">
        <f>L40*L25</f>
        <v/>
      </c>
      <c r="M39" s="156">
        <f>M40*M25</f>
        <v/>
      </c>
      <c r="N39" s="556">
        <f>N40*N25</f>
        <v/>
      </c>
      <c r="O39" s="556">
        <f>O40*O25</f>
        <v/>
      </c>
      <c r="P39" s="556">
        <f>P40*P25</f>
        <v/>
      </c>
      <c r="Q39" s="556">
        <f>Q40*Q25</f>
        <v/>
      </c>
      <c r="S39" s="59" t="n"/>
      <c r="T39" s="129" t="n"/>
      <c r="U39" s="129" t="n"/>
      <c r="V39" s="129" t="n"/>
      <c r="W39" s="129" t="n"/>
      <c r="X39" s="129" t="n"/>
      <c r="Y39" s="129" t="n"/>
      <c r="Z39" s="129" t="n"/>
      <c r="AA39" s="129" t="n"/>
      <c r="AB39" s="129" t="n"/>
      <c r="AC39" s="129" t="n"/>
    </row>
    <row r="40" ht="15.75" customFormat="1" customHeight="1" s="506">
      <c r="A40" s="383" t="n"/>
      <c r="B40" s="383" t="n"/>
      <c r="C40" s="598" t="inlineStr">
        <is>
          <t>Management Fee %</t>
        </is>
      </c>
      <c r="D40" s="780">
        <f>D39/D25</f>
        <v/>
      </c>
      <c r="E40" s="780">
        <f>E39/E25</f>
        <v/>
      </c>
      <c r="F40" s="781">
        <f>F39/F25</f>
        <v/>
      </c>
      <c r="G40" s="781">
        <f>G39/G25</f>
        <v/>
      </c>
      <c r="H40" s="782">
        <f>F40</f>
        <v/>
      </c>
      <c r="I40" s="780">
        <f>H40</f>
        <v/>
      </c>
      <c r="J40" s="780">
        <f>I40</f>
        <v/>
      </c>
      <c r="K40" s="781">
        <f>J40</f>
        <v/>
      </c>
      <c r="L40" s="780">
        <f>K40</f>
        <v/>
      </c>
      <c r="M40" s="780">
        <f>L40</f>
        <v/>
      </c>
      <c r="N40" s="781">
        <f>M40</f>
        <v/>
      </c>
      <c r="O40" s="781">
        <f>N40</f>
        <v/>
      </c>
      <c r="P40" s="781">
        <f>O40</f>
        <v/>
      </c>
      <c r="Q40" s="781">
        <f>P40</f>
        <v/>
      </c>
      <c r="R40" s="383" t="n"/>
      <c r="S40" s="383" t="n"/>
      <c r="T40" s="602" t="n"/>
      <c r="U40" s="602" t="n"/>
      <c r="V40" s="602" t="n"/>
      <c r="W40" s="602" t="n"/>
      <c r="X40" s="602" t="n"/>
      <c r="Y40" s="602" t="n"/>
      <c r="Z40" s="602" t="n"/>
      <c r="AA40" s="602" t="n"/>
      <c r="AB40" s="602" t="n"/>
      <c r="AC40" s="602" t="n"/>
      <c r="AD40" s="383" t="n"/>
      <c r="AE40" s="383" t="n"/>
      <c r="AF40" s="383" t="n"/>
      <c r="AG40" s="383" t="n"/>
      <c r="AH40" s="383" t="n"/>
      <c r="AI40" s="383" t="n"/>
      <c r="AJ40" s="383" t="n"/>
      <c r="AK40" s="383" t="n"/>
      <c r="AL40" s="383" t="n"/>
      <c r="AM40" s="383" t="n"/>
      <c r="AN40" s="383" t="n"/>
      <c r="AO40" s="383" t="n"/>
      <c r="AP40" s="383" t="n"/>
      <c r="AQ40" s="383" t="n"/>
      <c r="AR40" s="383" t="n"/>
      <c r="AS40" s="383" t="n"/>
      <c r="AT40" s="383" t="n"/>
      <c r="AU40" s="383" t="n"/>
      <c r="AV40" s="383" t="n"/>
      <c r="AW40" s="383" t="n"/>
      <c r="AX40" s="383" t="n"/>
      <c r="AY40" s="383" t="n"/>
      <c r="AZ40" s="383" t="n"/>
      <c r="BA40" s="383" t="n"/>
      <c r="BB40" s="383" t="n"/>
      <c r="BC40" s="383" t="n"/>
      <c r="BD40" s="383" t="n"/>
      <c r="BE40" s="383" t="n"/>
      <c r="BF40" s="383" t="n"/>
      <c r="BG40" s="383" t="n"/>
      <c r="BH40" s="383" t="n"/>
      <c r="BI40" s="383" t="n"/>
      <c r="BJ40" s="383" t="n"/>
      <c r="BK40" s="383" t="n"/>
      <c r="BL40" s="383" t="n"/>
      <c r="BM40" s="383" t="n"/>
      <c r="BN40" s="383" t="n"/>
      <c r="BO40" s="383" t="n"/>
      <c r="BP40" s="383" t="n"/>
      <c r="BQ40" s="383" t="n"/>
      <c r="BR40" s="383" t="n"/>
      <c r="BS40" s="383" t="n"/>
      <c r="BT40" s="383" t="n"/>
      <c r="BU40" s="383" t="n"/>
      <c r="BV40" s="383" t="n"/>
      <c r="BW40" s="383" t="n"/>
      <c r="BX40" s="383" t="n"/>
      <c r="BY40" s="383" t="n"/>
      <c r="BZ40" s="383" t="n"/>
      <c r="CA40" s="383" t="n"/>
      <c r="CB40" s="383" t="n"/>
      <c r="CC40" s="383" t="n"/>
      <c r="CD40" s="383" t="n"/>
      <c r="CE40" s="383" t="n"/>
      <c r="CF40" s="383" t="n"/>
      <c r="CG40" s="383" t="n"/>
      <c r="CH40" s="383" t="n"/>
      <c r="CI40" s="383" t="n"/>
      <c r="CJ40" s="383" t="n"/>
      <c r="CK40" s="383" t="n"/>
      <c r="CL40" s="383" t="n"/>
      <c r="CM40" s="383" t="n"/>
      <c r="CN40" s="383" t="n"/>
      <c r="CO40" s="383" t="n"/>
      <c r="CP40" s="383" t="n"/>
      <c r="CQ40" s="383" t="n"/>
      <c r="CR40" s="383" t="n"/>
      <c r="CS40" s="383" t="n"/>
      <c r="CT40" s="383" t="n"/>
      <c r="CU40" s="383" t="n"/>
      <c r="CV40" s="383" t="n"/>
    </row>
    <row r="41" ht="18.75" customHeight="1">
      <c r="A41" s="59" t="n"/>
      <c r="B41" s="59" t="n"/>
      <c r="C41" s="553" t="inlineStr">
        <is>
          <t>Payroll</t>
        </is>
      </c>
      <c r="D41" s="156">
        <f>'GGC Underwriting'!D35</f>
        <v/>
      </c>
      <c r="E41" s="156">
        <f>'GGC Underwriting'!E35</f>
        <v/>
      </c>
      <c r="F41" s="556">
        <f>'GGC Underwriting'!I35</f>
        <v/>
      </c>
      <c r="G41" s="556">
        <f>F41/'GGC Underwriting'!$N$7</f>
        <v/>
      </c>
      <c r="H41" s="555">
        <f>F41+(F41*$T$16)</f>
        <v/>
      </c>
      <c r="I41" s="156">
        <f>H41+(H41*$U$16)</f>
        <v/>
      </c>
      <c r="J41" s="156">
        <f>I41+(I41*$V$16)</f>
        <v/>
      </c>
      <c r="K41" s="556">
        <f>J41+(J41*$W$16)</f>
        <v/>
      </c>
      <c r="L41" s="156">
        <f>K41+(K41*$X$16)</f>
        <v/>
      </c>
      <c r="M41" s="156">
        <f>L41+(L41*$Y$16)</f>
        <v/>
      </c>
      <c r="N41" s="556">
        <f>M41+(M41*$Z$16)</f>
        <v/>
      </c>
      <c r="O41" s="556">
        <f>N41+(N41*$Z$16)</f>
        <v/>
      </c>
      <c r="P41" s="556">
        <f>O41+(O41*$Z$16)</f>
        <v/>
      </c>
      <c r="Q41" s="556">
        <f>P41+(P41*$Z$16)</f>
        <v/>
      </c>
      <c r="S41" s="59" t="n"/>
      <c r="T41" s="129" t="n"/>
      <c r="U41" s="129" t="n"/>
      <c r="V41" s="129" t="n"/>
      <c r="W41" s="129" t="n"/>
      <c r="X41" s="129" t="n"/>
      <c r="Y41" s="129" t="n"/>
      <c r="Z41" s="129" t="n"/>
      <c r="AA41" s="129" t="n"/>
      <c r="AB41" s="129" t="n"/>
      <c r="AC41" s="129" t="n"/>
    </row>
    <row r="42" ht="14.25" customHeight="1">
      <c r="A42" s="59" t="n"/>
      <c r="B42" s="59" t="n"/>
      <c r="C42" s="553" t="inlineStr">
        <is>
          <t>Employee Allowance</t>
        </is>
      </c>
      <c r="D42" s="156">
        <f>'GGC Underwriting'!D36</f>
        <v/>
      </c>
      <c r="E42" s="156">
        <f>'GGC Underwriting'!E36</f>
        <v/>
      </c>
      <c r="F42" s="556">
        <f>'GGC Underwriting'!I36</f>
        <v/>
      </c>
      <c r="G42" s="556">
        <f>F42/'GGC Underwriting'!$N$7</f>
        <v/>
      </c>
      <c r="H42" s="555">
        <f>F42+(F42*$T$16)</f>
        <v/>
      </c>
      <c r="I42" s="156">
        <f>H42+(H42*$U$16)</f>
        <v/>
      </c>
      <c r="J42" s="156">
        <f>I42+(I42*$V$16)</f>
        <v/>
      </c>
      <c r="K42" s="556">
        <f>J42+(J42*$W$16)</f>
        <v/>
      </c>
      <c r="L42" s="156">
        <f>K42+(K42*$X$16)</f>
        <v/>
      </c>
      <c r="M42" s="156">
        <f>L42+(L42*$Y$16)</f>
        <v/>
      </c>
      <c r="N42" s="556">
        <f>M42+(M42*$Z$16)</f>
        <v/>
      </c>
      <c r="O42" s="556">
        <f>N42+(N42*$Z$16)</f>
        <v/>
      </c>
      <c r="P42" s="556">
        <f>O42+(O42*$Z$16)</f>
        <v/>
      </c>
      <c r="Q42" s="556">
        <f>P42+(P42*$Z$16)</f>
        <v/>
      </c>
      <c r="S42" s="59" t="n"/>
      <c r="T42" s="129" t="n"/>
      <c r="U42" s="129" t="n"/>
      <c r="V42" s="129" t="n"/>
      <c r="W42" s="129" t="n"/>
      <c r="X42" s="129" t="n"/>
      <c r="Y42" s="129" t="n"/>
      <c r="Z42" s="129" t="n"/>
      <c r="AA42" s="129" t="n"/>
      <c r="AB42" s="129" t="n"/>
      <c r="AC42" s="129" t="n"/>
    </row>
    <row r="43" ht="18.75" customHeight="1">
      <c r="A43" s="59" t="n"/>
      <c r="B43" s="59" t="n"/>
      <c r="C43" s="553" t="inlineStr">
        <is>
          <t>General and Administrative</t>
        </is>
      </c>
      <c r="D43" s="156">
        <f>'GGC Underwriting'!D37</f>
        <v/>
      </c>
      <c r="E43" s="156">
        <f>'GGC Underwriting'!E37</f>
        <v/>
      </c>
      <c r="F43" s="556">
        <f>'GGC Underwriting'!I37</f>
        <v/>
      </c>
      <c r="G43" s="556">
        <f>F43/'GGC Underwriting'!$N$7</f>
        <v/>
      </c>
      <c r="H43" s="555">
        <f>F43+(F43*$T$16)</f>
        <v/>
      </c>
      <c r="I43" s="156">
        <f>H43+(H43*$U$16)</f>
        <v/>
      </c>
      <c r="J43" s="156">
        <f>I43+(I43*$V$16)</f>
        <v/>
      </c>
      <c r="K43" s="556">
        <f>J43+(J43*$W$16)</f>
        <v/>
      </c>
      <c r="L43" s="156">
        <f>K43+(K43*$X$16)</f>
        <v/>
      </c>
      <c r="M43" s="156">
        <f>L43+(L43*$Y$16)</f>
        <v/>
      </c>
      <c r="N43" s="556">
        <f>M43+(M43*$Z$16)</f>
        <v/>
      </c>
      <c r="O43" s="556">
        <f>N43+(N43*$Z$16)</f>
        <v/>
      </c>
      <c r="P43" s="556">
        <f>O43+(O43*$Z$16)</f>
        <v/>
      </c>
      <c r="Q43" s="556">
        <f>P43+(P43*$Z$16)</f>
        <v/>
      </c>
      <c r="S43" s="59" t="n"/>
      <c r="T43" s="129" t="n"/>
      <c r="U43" s="129" t="n"/>
      <c r="V43" s="129" t="n"/>
      <c r="W43" s="129" t="n"/>
      <c r="X43" s="129" t="n"/>
      <c r="Y43" s="129" t="n"/>
      <c r="Z43" s="129" t="n"/>
      <c r="AA43" s="129" t="n"/>
      <c r="AB43" s="129" t="n"/>
      <c r="AC43" s="129" t="n"/>
    </row>
    <row r="44" ht="14.25" customHeight="1">
      <c r="A44" s="59" t="n"/>
      <c r="B44" s="59" t="n"/>
      <c r="C44" s="553" t="inlineStr">
        <is>
          <t>Model Units</t>
        </is>
      </c>
      <c r="D44" s="156">
        <f>'GGC Underwriting'!D38</f>
        <v/>
      </c>
      <c r="E44" s="156">
        <f>'GGC Underwriting'!E38</f>
        <v/>
      </c>
      <c r="F44" s="556">
        <f>'GGC Underwriting'!I38</f>
        <v/>
      </c>
      <c r="G44" s="556">
        <f>F44/'GGC Underwriting'!$N$7</f>
        <v/>
      </c>
      <c r="H44" s="555">
        <f>F44+(F44*$T$16)</f>
        <v/>
      </c>
      <c r="I44" s="156">
        <f>H44+(H44*$U$16)</f>
        <v/>
      </c>
      <c r="J44" s="156">
        <f>I44+(I44*$V$16)</f>
        <v/>
      </c>
      <c r="K44" s="556">
        <f>J44+(J44*$W$16)</f>
        <v/>
      </c>
      <c r="L44" s="156">
        <f>K44+(K44*$X$16)</f>
        <v/>
      </c>
      <c r="M44" s="156">
        <f>L44+(L44*$Y$16)</f>
        <v/>
      </c>
      <c r="N44" s="556">
        <f>M44+(M44*$Z$16)</f>
        <v/>
      </c>
      <c r="O44" s="556">
        <f>N44+(N44*$Z$16)</f>
        <v/>
      </c>
      <c r="P44" s="556">
        <f>O44+(O44*$Z$16)</f>
        <v/>
      </c>
      <c r="Q44" s="556">
        <f>P44+(P44*$Z$16)</f>
        <v/>
      </c>
      <c r="S44" s="59" t="n"/>
      <c r="T44" s="129" t="n"/>
      <c r="U44" s="129" t="n"/>
      <c r="V44" s="129" t="n"/>
      <c r="W44" s="129" t="n"/>
      <c r="X44" s="129" t="n"/>
      <c r="Y44" s="129" t="n"/>
      <c r="Z44" s="129" t="n"/>
      <c r="AA44" s="129" t="n"/>
      <c r="AB44" s="129" t="n"/>
      <c r="AC44" s="129" t="n"/>
    </row>
    <row r="45" ht="18.75" customHeight="1">
      <c r="A45" s="59" t="n"/>
      <c r="B45" s="59" t="n"/>
      <c r="C45" s="553" t="inlineStr">
        <is>
          <t>Professional Fees</t>
        </is>
      </c>
      <c r="D45" s="156">
        <f>'GGC Underwriting'!D39</f>
        <v/>
      </c>
      <c r="E45" s="156">
        <f>'GGC Underwriting'!E39</f>
        <v/>
      </c>
      <c r="F45" s="556">
        <f>'GGC Underwriting'!I39</f>
        <v/>
      </c>
      <c r="G45" s="556">
        <f>F45/'GGC Underwriting'!$N$7</f>
        <v/>
      </c>
      <c r="H45" s="555">
        <f>F45+(F45*$T$16)</f>
        <v/>
      </c>
      <c r="I45" s="156">
        <f>H45+(H45*$U$16)</f>
        <v/>
      </c>
      <c r="J45" s="156">
        <f>I45+(I45*$V$16)</f>
        <v/>
      </c>
      <c r="K45" s="556">
        <f>J45+(J45*$W$16)</f>
        <v/>
      </c>
      <c r="L45" s="156">
        <f>K45+(K45*$X$16)</f>
        <v/>
      </c>
      <c r="M45" s="156">
        <f>L45+(L45*$Y$16)</f>
        <v/>
      </c>
      <c r="N45" s="556">
        <f>M45+(M45*$Z$16)</f>
        <v/>
      </c>
      <c r="O45" s="556">
        <f>N45+(N45*$Z$16)</f>
        <v/>
      </c>
      <c r="P45" s="556">
        <f>O45+(O45*$Z$16)</f>
        <v/>
      </c>
      <c r="Q45" s="556">
        <f>P45+(P45*$Z$16)</f>
        <v/>
      </c>
      <c r="S45" s="59" t="n"/>
      <c r="T45" s="129" t="n"/>
      <c r="U45" s="129" t="n"/>
      <c r="V45" s="129" t="n"/>
      <c r="W45" s="129" t="n"/>
      <c r="X45" s="129" t="n"/>
      <c r="Y45" s="129" t="n"/>
      <c r="Z45" s="129" t="n"/>
      <c r="AA45" s="129" t="n"/>
      <c r="AB45" s="129" t="n"/>
      <c r="AC45" s="129" t="n"/>
    </row>
    <row r="46" ht="14.25" customHeight="1">
      <c r="A46" s="59" t="n"/>
      <c r="B46" s="59" t="n"/>
      <c r="C46" s="553" t="inlineStr">
        <is>
          <t>Advertising</t>
        </is>
      </c>
      <c r="D46" s="156">
        <f>'GGC Underwriting'!D40</f>
        <v/>
      </c>
      <c r="E46" s="156">
        <f>'GGC Underwriting'!E40</f>
        <v/>
      </c>
      <c r="F46" s="556">
        <f>'GGC Underwriting'!I40</f>
        <v/>
      </c>
      <c r="G46" s="556">
        <f>F46/'GGC Underwriting'!$N$7</f>
        <v/>
      </c>
      <c r="H46" s="555">
        <f>F46+(F46*$T$16)</f>
        <v/>
      </c>
      <c r="I46" s="156">
        <f>H46+(H46*$U$16)</f>
        <v/>
      </c>
      <c r="J46" s="156">
        <f>I46+(I46*$V$16)</f>
        <v/>
      </c>
      <c r="K46" s="556">
        <f>J46+(J46*$W$16)</f>
        <v/>
      </c>
      <c r="L46" s="156">
        <f>K46+(K46*$X$16)</f>
        <v/>
      </c>
      <c r="M46" s="156">
        <f>L46+(L46*$Y$16)</f>
        <v/>
      </c>
      <c r="N46" s="556">
        <f>M46+(M46*$Z$16)</f>
        <v/>
      </c>
      <c r="O46" s="556">
        <f>N46+(N46*$Z$16)</f>
        <v/>
      </c>
      <c r="P46" s="556">
        <f>O46+(O46*$Z$16)</f>
        <v/>
      </c>
      <c r="Q46" s="556">
        <f>P46+(P46*$Z$16)</f>
        <v/>
      </c>
      <c r="S46" s="59" t="n"/>
      <c r="T46" s="129" t="n"/>
      <c r="U46" s="129" t="n"/>
      <c r="V46" s="129" t="n"/>
      <c r="W46" s="129" t="n"/>
      <c r="X46" s="129" t="n"/>
      <c r="Y46" s="129" t="n"/>
      <c r="Z46" s="129" t="n"/>
      <c r="AA46" s="129" t="n"/>
      <c r="AB46" s="129" t="n"/>
      <c r="AC46" s="129" t="n"/>
    </row>
    <row r="47" ht="18.75" customHeight="1">
      <c r="A47" s="59" t="n"/>
      <c r="B47" s="686" t="n">
        <v>0.15</v>
      </c>
      <c r="C47" s="553" t="inlineStr">
        <is>
          <t>Home Rent Expense</t>
        </is>
      </c>
      <c r="D47" s="156">
        <f>'GGC Underwriting'!D41</f>
        <v/>
      </c>
      <c r="E47" s="156">
        <f>'GGC Underwriting'!E41</f>
        <v/>
      </c>
      <c r="F47" s="556">
        <f>'GGC Underwriting'!I41</f>
        <v/>
      </c>
      <c r="G47" s="556">
        <f>F47/'GGC Underwriting'!$N$7</f>
        <v/>
      </c>
      <c r="H47" s="555">
        <f>$B$47*H20</f>
        <v/>
      </c>
      <c r="I47" s="156">
        <f>$B$47*I20</f>
        <v/>
      </c>
      <c r="J47" s="156">
        <f>$B$47*J20</f>
        <v/>
      </c>
      <c r="K47" s="556">
        <f>$B$47*K20</f>
        <v/>
      </c>
      <c r="L47" s="156">
        <f>$B$47*L20</f>
        <v/>
      </c>
      <c r="M47" s="156">
        <f>$B$47*M20</f>
        <v/>
      </c>
      <c r="N47" s="556">
        <f>$B$47*N20</f>
        <v/>
      </c>
      <c r="O47" s="556">
        <f>$B$47*O20</f>
        <v/>
      </c>
      <c r="P47" s="556">
        <f>$B$47*P20</f>
        <v/>
      </c>
      <c r="Q47" s="556">
        <f>$B$47*Q20</f>
        <v/>
      </c>
      <c r="S47" s="59" t="n"/>
      <c r="T47" s="129" t="n"/>
      <c r="U47" s="129" t="n"/>
      <c r="V47" s="129" t="n"/>
      <c r="W47" s="129" t="n"/>
      <c r="X47" s="129" t="n"/>
      <c r="Y47" s="129" t="n"/>
      <c r="Z47" s="129" t="n"/>
      <c r="AA47" s="129" t="n"/>
      <c r="AB47" s="129" t="n"/>
      <c r="AC47" s="129" t="n"/>
    </row>
    <row r="48" ht="14.25" customHeight="1">
      <c r="A48" s="59" t="n"/>
      <c r="B48" s="59" t="n"/>
      <c r="C48" s="553" t="inlineStr">
        <is>
          <t>Other Expenses</t>
        </is>
      </c>
      <c r="D48" s="156">
        <f>'GGC Underwriting'!D42</f>
        <v/>
      </c>
      <c r="E48" s="156">
        <f>'GGC Underwriting'!E42</f>
        <v/>
      </c>
      <c r="F48" s="556">
        <f>'GGC Underwriting'!I42</f>
        <v/>
      </c>
      <c r="G48" s="556">
        <f>F48/'GGC Underwriting'!$N$7</f>
        <v/>
      </c>
      <c r="H48" s="555">
        <f>F48+(F48*$T$16)</f>
        <v/>
      </c>
      <c r="I48" s="156">
        <f>H48+(H48*$U$16)</f>
        <v/>
      </c>
      <c r="J48" s="156">
        <f>I48+(I48*$V$16)</f>
        <v/>
      </c>
      <c r="K48" s="556">
        <f>J48+(J48*$W$16)</f>
        <v/>
      </c>
      <c r="L48" s="156">
        <f>K48+(K48*$X$16)</f>
        <v/>
      </c>
      <c r="M48" s="156">
        <f>L48+(L48*$Y$16)</f>
        <v/>
      </c>
      <c r="N48" s="556">
        <f>M48+(M48*$Z$16)</f>
        <v/>
      </c>
      <c r="O48" s="556">
        <f>N48+(N48*$Z$16)</f>
        <v/>
      </c>
      <c r="P48" s="556">
        <f>O48+(O48*$Z$16)</f>
        <v/>
      </c>
      <c r="Q48" s="556">
        <f>P48+(P48*$Z$16)</f>
        <v/>
      </c>
      <c r="S48" s="59" t="n"/>
      <c r="T48" s="129" t="n"/>
      <c r="U48" s="129" t="n"/>
      <c r="V48" s="129" t="n"/>
      <c r="W48" s="129" t="n"/>
      <c r="X48" s="129" t="n"/>
      <c r="Y48" s="129" t="n"/>
      <c r="Z48" s="129" t="n"/>
      <c r="AA48" s="129" t="n"/>
      <c r="AB48" s="129" t="n"/>
      <c r="AC48" s="129" t="n"/>
    </row>
    <row r="49" ht="18.75" customHeight="1">
      <c r="A49" s="59" t="n"/>
      <c r="B49" s="59" t="n"/>
      <c r="C49" s="553" t="inlineStr">
        <is>
          <t>Cap-Ex Reserve</t>
        </is>
      </c>
      <c r="D49" s="156">
        <f>'GGC Underwriting'!D43</f>
        <v/>
      </c>
      <c r="E49" s="156">
        <f>'GGC Underwriting'!E43</f>
        <v/>
      </c>
      <c r="F49" s="556">
        <f>'GGC Underwriting'!I43</f>
        <v/>
      </c>
      <c r="G49" s="556">
        <f>F49/'GGC Underwriting'!$N$7</f>
        <v/>
      </c>
      <c r="H49" s="555">
        <f>F49+(F49*$T$16)</f>
        <v/>
      </c>
      <c r="I49" s="156">
        <f>H49+(H49*$U$16)</f>
        <v/>
      </c>
      <c r="J49" s="156">
        <f>I49+(I49*$V$16)</f>
        <v/>
      </c>
      <c r="K49" s="556">
        <f>J49+(J49*$W$16)</f>
        <v/>
      </c>
      <c r="L49" s="156">
        <f>K49+(K49*$X$16)</f>
        <v/>
      </c>
      <c r="M49" s="156">
        <f>L49+(L49*$Y$16)</f>
        <v/>
      </c>
      <c r="N49" s="556">
        <f>M49+(M49*$Z$16)</f>
        <v/>
      </c>
      <c r="O49" s="556">
        <f>N49+(N49*$Z$16)</f>
        <v/>
      </c>
      <c r="P49" s="556">
        <f>O49+(O49*$Z$16)</f>
        <v/>
      </c>
      <c r="Q49" s="556">
        <f>P49+(P49*$Z$16)</f>
        <v/>
      </c>
      <c r="S49" s="59" t="n"/>
      <c r="T49" s="129" t="n"/>
      <c r="U49" s="129" t="n"/>
      <c r="V49" s="129" t="n"/>
      <c r="W49" s="129" t="n"/>
      <c r="X49" s="129" t="n"/>
      <c r="Y49" s="129" t="n"/>
      <c r="Z49" s="129" t="n"/>
      <c r="AA49" s="129" t="n"/>
      <c r="AB49" s="129" t="n"/>
      <c r="AC49" s="129" t="n"/>
    </row>
    <row r="50" ht="22.5" customHeight="1" thickBot="1">
      <c r="A50" s="59" t="n"/>
      <c r="B50" s="59" t="n"/>
      <c r="C50" s="603" t="inlineStr">
        <is>
          <t>Total Expenses</t>
        </is>
      </c>
      <c r="D50" s="162">
        <f>D28+D29+D35+D36+D37+D38+D39+D41+D42+D43+D44+D45+D46+D47+D48+D49</f>
        <v/>
      </c>
      <c r="E50" s="162">
        <f>E28+E29+E35+E36+E37+E38+E39+E41+E42+E43+E44+E45+E46+E47+E48+E49</f>
        <v/>
      </c>
      <c r="F50" s="604">
        <f>F28+F29+F35+F36+F37+F38+F39+F41+F42+F43+F44+F45+F46+F47+F48+F49</f>
        <v/>
      </c>
      <c r="G50" s="604">
        <f>F50/'GGC Underwriting'!$N$7</f>
        <v/>
      </c>
      <c r="H50" s="605">
        <f>H28+H29+H35+H36+H37+H38+H39+H41+H42+H43+H44+H45+H46+H47+H48+H49</f>
        <v/>
      </c>
      <c r="I50" s="162">
        <f>I28+I29+I35+I36+I37+I38+I39+I41+I42+I43+I44+I45+I46+I47+I48+I49</f>
        <v/>
      </c>
      <c r="J50" s="162">
        <f>J28+J29+J35+J36+J37+J38+J39+J41+J42+J43+J44+J45+J46+J47+J48+J49</f>
        <v/>
      </c>
      <c r="K50" s="604">
        <f>K28+K29+K35+K36+K37+K38+K39+K41+K42+K43+K44+K45+K46+K47+K48+K49</f>
        <v/>
      </c>
      <c r="L50" s="162">
        <f>L28+L29+L35+L36+L37+L38+L39+L41+L42+L43+L44+L45+L46+L47+L48+L49</f>
        <v/>
      </c>
      <c r="M50" s="162">
        <f>M28+M29+M35+M36+M37+M38+M39+M41+M42+M43+M44+M45+M46+M47+M48+M49</f>
        <v/>
      </c>
      <c r="N50" s="604">
        <f>N28+N29+N35+N36+N37+N38+N39+N41+N42+N43+N44+N45+N46+N47+N48+N49</f>
        <v/>
      </c>
      <c r="O50" s="604">
        <f>O28+O29+O35+O36+O37+O38+O39+O41+O42+O43+O44+O45+O46+O47+O48+O49</f>
        <v/>
      </c>
      <c r="P50" s="604">
        <f>P28+P29+P35+P36+P37+P38+P39+P41+P42+P43+P44+P45+P46+P47+P48+P49</f>
        <v/>
      </c>
      <c r="Q50" s="604">
        <f>Q28+Q29+Q35+Q36+Q37+Q38+Q39+Q41+Q42+Q43+Q44+Q45+Q46+Q47+Q48+Q49</f>
        <v/>
      </c>
      <c r="S50" s="59" t="n"/>
      <c r="T50" s="129" t="n"/>
      <c r="U50" s="129" t="n"/>
      <c r="V50" s="129" t="n"/>
      <c r="W50" s="129" t="n"/>
      <c r="X50" s="129" t="n"/>
      <c r="Y50" s="129" t="n"/>
      <c r="Z50" s="129" t="n"/>
      <c r="AA50" s="129" t="n"/>
      <c r="AB50" s="129" t="n"/>
      <c r="AC50" s="129" t="n"/>
    </row>
    <row r="51" ht="15" customFormat="1" customHeight="1" s="506">
      <c r="A51" s="383" t="n"/>
      <c r="B51" s="383" t="n"/>
      <c r="C51" s="638" t="inlineStr">
        <is>
          <t>Expense Ratio %</t>
        </is>
      </c>
      <c r="D51" s="783">
        <f>D50/D$25</f>
        <v/>
      </c>
      <c r="E51" s="783">
        <f>E50/E25</f>
        <v/>
      </c>
      <c r="F51" s="783">
        <f>F50/F25</f>
        <v/>
      </c>
      <c r="G51" s="784">
        <f>G50/G25</f>
        <v/>
      </c>
      <c r="H51" s="783">
        <f>H50/H25</f>
        <v/>
      </c>
      <c r="I51" s="783">
        <f>I50/I25</f>
        <v/>
      </c>
      <c r="J51" s="783">
        <f>J50/J25</f>
        <v/>
      </c>
      <c r="K51" s="785">
        <f>K50/K25</f>
        <v/>
      </c>
      <c r="L51" s="783">
        <f>L50/L25</f>
        <v/>
      </c>
      <c r="M51" s="783">
        <f>M50/M25</f>
        <v/>
      </c>
      <c r="N51" s="785">
        <f>N50/N25</f>
        <v/>
      </c>
      <c r="O51" s="785">
        <f>O50/O25</f>
        <v/>
      </c>
      <c r="P51" s="785">
        <f>P50/P25</f>
        <v/>
      </c>
      <c r="Q51" s="785">
        <f>Q50/Q25</f>
        <v/>
      </c>
      <c r="R51" s="383" t="n"/>
      <c r="S51" s="383" t="n"/>
      <c r="T51" s="602" t="n"/>
      <c r="U51" s="602" t="n"/>
      <c r="V51" s="602" t="n"/>
      <c r="W51" s="602" t="n"/>
      <c r="X51" s="602" t="n"/>
      <c r="Y51" s="602" t="n"/>
      <c r="Z51" s="602" t="n"/>
      <c r="AA51" s="602" t="n"/>
      <c r="AB51" s="602" t="n"/>
      <c r="AC51" s="602" t="n"/>
      <c r="AD51" s="383" t="n"/>
      <c r="AE51" s="383" t="n"/>
      <c r="AF51" s="383" t="n"/>
      <c r="AG51" s="383" t="n"/>
      <c r="AH51" s="383" t="n"/>
      <c r="AI51" s="383" t="n"/>
      <c r="AJ51" s="383" t="n"/>
      <c r="AK51" s="383" t="n"/>
      <c r="AL51" s="383" t="n"/>
      <c r="AM51" s="383" t="n"/>
      <c r="AN51" s="383" t="n"/>
      <c r="AO51" s="383" t="n"/>
      <c r="AP51" s="383" t="n"/>
      <c r="AQ51" s="383" t="n"/>
      <c r="AR51" s="383" t="n"/>
      <c r="AS51" s="383" t="n"/>
      <c r="AT51" s="383" t="n"/>
      <c r="AU51" s="383" t="n"/>
      <c r="AV51" s="383" t="n"/>
      <c r="AW51" s="383" t="n"/>
      <c r="AX51" s="383" t="n"/>
      <c r="AY51" s="383" t="n"/>
      <c r="AZ51" s="383" t="n"/>
      <c r="BA51" s="383" t="n"/>
      <c r="BB51" s="383" t="n"/>
      <c r="BC51" s="383" t="n"/>
      <c r="BD51" s="383" t="n"/>
      <c r="BE51" s="383" t="n"/>
      <c r="BF51" s="383" t="n"/>
      <c r="BG51" s="383" t="n"/>
      <c r="BH51" s="383" t="n"/>
      <c r="BI51" s="383" t="n"/>
      <c r="BJ51" s="383" t="n"/>
      <c r="BK51" s="383" t="n"/>
      <c r="BL51" s="383" t="n"/>
      <c r="BM51" s="383" t="n"/>
      <c r="BN51" s="383" t="n"/>
      <c r="BO51" s="383" t="n"/>
      <c r="BP51" s="383" t="n"/>
      <c r="BQ51" s="383" t="n"/>
      <c r="BR51" s="383" t="n"/>
      <c r="BS51" s="383" t="n"/>
      <c r="BT51" s="383" t="n"/>
      <c r="BU51" s="383" t="n"/>
      <c r="BV51" s="383" t="n"/>
      <c r="BW51" s="383" t="n"/>
      <c r="BX51" s="383" t="n"/>
      <c r="BY51" s="383" t="n"/>
      <c r="BZ51" s="383" t="n"/>
      <c r="CA51" s="383" t="n"/>
      <c r="CB51" s="383" t="n"/>
      <c r="CC51" s="383" t="n"/>
      <c r="CD51" s="383" t="n"/>
      <c r="CE51" s="383" t="n"/>
      <c r="CF51" s="383" t="n"/>
      <c r="CG51" s="383" t="n"/>
      <c r="CH51" s="383" t="n"/>
      <c r="CI51" s="383" t="n"/>
      <c r="CJ51" s="383" t="n"/>
      <c r="CK51" s="383" t="n"/>
      <c r="CL51" s="383" t="n"/>
      <c r="CM51" s="383" t="n"/>
      <c r="CN51" s="383" t="n"/>
      <c r="CO51" s="383" t="n"/>
      <c r="CP51" s="383" t="n"/>
      <c r="CQ51" s="383" t="n"/>
      <c r="CR51" s="383" t="n"/>
      <c r="CS51" s="383" t="n"/>
      <c r="CT51" s="383" t="n"/>
      <c r="CU51" s="383" t="n"/>
      <c r="CV51" s="383" t="n"/>
    </row>
    <row r="52" ht="6.75" customHeight="1">
      <c r="A52" s="59" t="n"/>
      <c r="B52" s="59" t="n"/>
      <c r="C52" s="553" t="n"/>
      <c r="D52" s="208" t="n"/>
      <c r="E52" s="208" t="n"/>
      <c r="F52" s="208" t="n"/>
      <c r="G52" s="606" t="n"/>
      <c r="H52" s="208" t="n"/>
      <c r="I52" s="208" t="n"/>
      <c r="J52" s="208" t="n"/>
      <c r="K52" s="607" t="n"/>
      <c r="L52" s="59" t="n"/>
      <c r="M52" s="59" t="n"/>
      <c r="N52" s="551" t="n"/>
      <c r="O52" s="551" t="n"/>
      <c r="P52" s="551" t="n"/>
      <c r="Q52" s="551" t="n"/>
      <c r="S52" s="59" t="n"/>
      <c r="T52" s="129" t="n"/>
      <c r="U52" s="129" t="n"/>
      <c r="V52" s="129" t="n"/>
      <c r="W52" s="129" t="n"/>
      <c r="X52" s="129" t="n"/>
      <c r="Y52" s="129" t="n"/>
      <c r="Z52" s="129" t="n"/>
      <c r="AA52" s="129" t="n"/>
      <c r="AB52" s="129" t="n"/>
      <c r="AC52" s="129" t="n"/>
    </row>
    <row r="53" ht="14.25" customHeight="1">
      <c r="A53" s="59" t="n"/>
      <c r="B53" s="59" t="n"/>
      <c r="C53" s="646" t="inlineStr">
        <is>
          <t>Total Net Operating Income</t>
        </is>
      </c>
      <c r="D53" s="647">
        <f>D25-D50</f>
        <v/>
      </c>
      <c r="E53" s="647">
        <f>E25-E50</f>
        <v/>
      </c>
      <c r="F53" s="647">
        <f>F25-F50</f>
        <v/>
      </c>
      <c r="G53" s="648">
        <f>F53/'GGC Underwriting'!$N$7</f>
        <v/>
      </c>
      <c r="H53" s="647">
        <f>H25-H50</f>
        <v/>
      </c>
      <c r="I53" s="647">
        <f>I25-I50</f>
        <v/>
      </c>
      <c r="J53" s="647">
        <f>J25-J50</f>
        <v/>
      </c>
      <c r="K53" s="649">
        <f>K25-K50</f>
        <v/>
      </c>
      <c r="L53" s="647">
        <f>L25-L50</f>
        <v/>
      </c>
      <c r="M53" s="647">
        <f>M25-M50</f>
        <v/>
      </c>
      <c r="N53" s="649">
        <f>N25-N50</f>
        <v/>
      </c>
      <c r="O53" s="649">
        <f>O25-O50</f>
        <v/>
      </c>
      <c r="P53" s="649">
        <f>P25-P50</f>
        <v/>
      </c>
      <c r="Q53" s="649">
        <f>Q25-Q50</f>
        <v/>
      </c>
      <c r="S53" s="59" t="n"/>
      <c r="T53" s="129" t="n"/>
      <c r="U53" s="129" t="n"/>
      <c r="V53" s="129" t="n"/>
      <c r="W53" s="129" t="n"/>
      <c r="X53" s="129" t="n"/>
      <c r="Y53" s="129" t="n"/>
      <c r="Z53" s="129" t="n"/>
      <c r="AA53" s="129" t="n"/>
      <c r="AB53" s="129" t="n"/>
      <c r="AC53" s="129" t="n"/>
    </row>
    <row r="54" ht="15" customFormat="1" customHeight="1" s="506">
      <c r="A54" s="383" t="n"/>
      <c r="B54" s="383" t="n"/>
      <c r="C54" s="642" t="inlineStr">
        <is>
          <t>NOI Margin</t>
        </is>
      </c>
      <c r="D54" s="786">
        <f>D53/D$25</f>
        <v/>
      </c>
      <c r="E54" s="786">
        <f>E53/E$25</f>
        <v/>
      </c>
      <c r="F54" s="786">
        <f>F53/F$25</f>
        <v/>
      </c>
      <c r="G54" s="787">
        <f>G53/G$25</f>
        <v/>
      </c>
      <c r="H54" s="786">
        <f>H53/H$25</f>
        <v/>
      </c>
      <c r="I54" s="786">
        <f>I53/I$25</f>
        <v/>
      </c>
      <c r="J54" s="786">
        <f>J53/J$25</f>
        <v/>
      </c>
      <c r="K54" s="788">
        <f>K53/K$25</f>
        <v/>
      </c>
      <c r="L54" s="786">
        <f>L53/L$25</f>
        <v/>
      </c>
      <c r="M54" s="786">
        <f>M53/M$25</f>
        <v/>
      </c>
      <c r="N54" s="788">
        <f>N53/N$25</f>
        <v/>
      </c>
      <c r="O54" s="788">
        <f>O53/O$25</f>
        <v/>
      </c>
      <c r="P54" s="788">
        <f>P53/P$25</f>
        <v/>
      </c>
      <c r="Q54" s="788">
        <f>Q53/Q$25</f>
        <v/>
      </c>
      <c r="R54" s="383" t="n"/>
      <c r="S54" s="383" t="n"/>
      <c r="T54" s="602" t="n"/>
      <c r="U54" s="602" t="n"/>
      <c r="V54" s="602" t="n"/>
      <c r="W54" s="602" t="n"/>
      <c r="X54" s="602" t="n"/>
      <c r="Y54" s="602" t="n"/>
      <c r="Z54" s="602" t="n"/>
      <c r="AA54" s="602" t="n"/>
      <c r="AB54" s="602" t="n"/>
      <c r="AC54" s="602" t="n"/>
      <c r="AD54" s="383" t="n"/>
      <c r="AE54" s="383" t="n"/>
      <c r="AF54" s="383" t="n"/>
      <c r="AG54" s="383" t="n"/>
      <c r="AH54" s="383" t="n"/>
      <c r="AI54" s="383" t="n"/>
      <c r="AJ54" s="383" t="n"/>
      <c r="AK54" s="383" t="n"/>
      <c r="AL54" s="383" t="n"/>
      <c r="AM54" s="383" t="n"/>
      <c r="AN54" s="383" t="n"/>
      <c r="AO54" s="383" t="n"/>
      <c r="AP54" s="383" t="n"/>
      <c r="AQ54" s="383" t="n"/>
      <c r="AR54" s="383" t="n"/>
      <c r="AS54" s="383" t="n"/>
      <c r="AT54" s="383" t="n"/>
      <c r="AU54" s="383" t="n"/>
      <c r="AV54" s="383" t="n"/>
      <c r="AW54" s="383" t="n"/>
      <c r="AX54" s="383" t="n"/>
      <c r="AY54" s="383" t="n"/>
      <c r="AZ54" s="383" t="n"/>
      <c r="BA54" s="383" t="n"/>
      <c r="BB54" s="383" t="n"/>
      <c r="BC54" s="383" t="n"/>
      <c r="BD54" s="383" t="n"/>
      <c r="BE54" s="383" t="n"/>
      <c r="BF54" s="383" t="n"/>
      <c r="BG54" s="383" t="n"/>
      <c r="BH54" s="383" t="n"/>
      <c r="BI54" s="383" t="n"/>
      <c r="BJ54" s="383" t="n"/>
      <c r="BK54" s="383" t="n"/>
      <c r="BL54" s="383" t="n"/>
      <c r="BM54" s="383" t="n"/>
      <c r="BN54" s="383" t="n"/>
      <c r="BO54" s="383" t="n"/>
      <c r="BP54" s="383" t="n"/>
      <c r="BQ54" s="383" t="n"/>
      <c r="BR54" s="383" t="n"/>
      <c r="BS54" s="383" t="n"/>
      <c r="BT54" s="383" t="n"/>
      <c r="BU54" s="383" t="n"/>
      <c r="BV54" s="383" t="n"/>
      <c r="BW54" s="383" t="n"/>
      <c r="BX54" s="383" t="n"/>
      <c r="BY54" s="383" t="n"/>
      <c r="BZ54" s="383" t="n"/>
      <c r="CA54" s="383" t="n"/>
      <c r="CB54" s="383" t="n"/>
      <c r="CC54" s="383" t="n"/>
      <c r="CD54" s="383" t="n"/>
      <c r="CE54" s="383" t="n"/>
      <c r="CF54" s="383" t="n"/>
      <c r="CG54" s="383" t="n"/>
      <c r="CH54" s="383" t="n"/>
      <c r="CI54" s="383" t="n"/>
      <c r="CJ54" s="383" t="n"/>
      <c r="CK54" s="383" t="n"/>
      <c r="CL54" s="383" t="n"/>
      <c r="CM54" s="383" t="n"/>
      <c r="CN54" s="383" t="n"/>
      <c r="CO54" s="383" t="n"/>
      <c r="CP54" s="383" t="n"/>
      <c r="CQ54" s="383" t="n"/>
      <c r="CR54" s="383" t="n"/>
      <c r="CS54" s="383" t="n"/>
      <c r="CT54" s="383" t="n"/>
      <c r="CU54" s="383" t="n"/>
      <c r="CV54" s="383" t="n"/>
    </row>
    <row r="55" ht="9.75" customFormat="1" customHeight="1" s="59">
      <c r="G55" s="208" t="n"/>
      <c r="T55" s="129" t="n"/>
      <c r="U55" s="129" t="n"/>
      <c r="V55" s="129" t="n"/>
      <c r="W55" s="129" t="n"/>
      <c r="X55" s="129" t="n"/>
      <c r="Y55" s="129" t="n"/>
      <c r="Z55" s="129" t="n"/>
      <c r="AA55" s="129" t="n"/>
      <c r="AB55" s="129" t="n"/>
      <c r="AC55" s="129" t="n"/>
    </row>
    <row r="56" customFormat="1" s="59">
      <c r="C56" s="654" t="inlineStr">
        <is>
          <t>Lot Rent NOI Only</t>
        </is>
      </c>
      <c r="D56" s="655" t="n"/>
      <c r="E56" s="655" t="n"/>
      <c r="F56" s="655" t="n"/>
      <c r="G56" s="656" t="n"/>
      <c r="H56" s="657">
        <f>H53-((H20+H21)-(((H47+(H35*20%)+(H39*12%)))))</f>
        <v/>
      </c>
      <c r="I56" s="657">
        <f>I53-((I20+I21)-(((I47+(I35*20%)+(I39*12%)))))</f>
        <v/>
      </c>
      <c r="J56" s="657">
        <f>J53-((J20+J21)-(((J47+(J35*20%)+(J39*12%)))))</f>
        <v/>
      </c>
      <c r="K56" s="657">
        <f>K53-((K20+K21)-(((K47+(K35*20%)+(K39*12%)))))</f>
        <v/>
      </c>
      <c r="L56" s="657">
        <f>L53-((L20+L21)-(((L47+(L35*20%)+(L39*12%)))))</f>
        <v/>
      </c>
      <c r="M56" s="657">
        <f>M53-((M20+M21)-(((M47+(M35*20%)+(M39*12%)))))</f>
        <v/>
      </c>
      <c r="N56" s="657">
        <f>N53-((N20+N21)-(((N47+(N35*20%)+(N39*12%)))))</f>
        <v/>
      </c>
      <c r="O56" s="657">
        <f>O53-((O20+O21)-(((O47+(O35*20%)+(O39*12%)))))</f>
        <v/>
      </c>
      <c r="P56" s="657">
        <f>P53-((P20+P21)-(((P47+(P35*20%)+(P39*12%)))))</f>
        <v/>
      </c>
      <c r="Q56" s="658">
        <f>Q53-((Q20+Q21)-(((Q47+(Q35*20%)+(Q39*12%)))))</f>
        <v/>
      </c>
      <c r="T56" s="129" t="n"/>
      <c r="U56" s="129" t="n"/>
      <c r="V56" s="129" t="n"/>
      <c r="W56" s="129" t="n"/>
      <c r="X56" s="129" t="n"/>
      <c r="Y56" s="129" t="n"/>
      <c r="Z56" s="129" t="n"/>
      <c r="AA56" s="129" t="n"/>
      <c r="AB56" s="129" t="n"/>
      <c r="AC56" s="129" t="n"/>
    </row>
    <row r="57" ht="21.75" customFormat="1" customHeight="1" s="59">
      <c r="C57" s="59" t="inlineStr">
        <is>
          <t>Home Inventory Value</t>
        </is>
      </c>
      <c r="F57" s="608" t="n"/>
      <c r="G57" s="208" t="n"/>
      <c r="H57" s="609">
        <f>H53-H56</f>
        <v/>
      </c>
      <c r="I57" s="609">
        <f>I53-I56</f>
        <v/>
      </c>
      <c r="J57" s="609">
        <f>J53-J56</f>
        <v/>
      </c>
      <c r="K57" s="609">
        <f>K53-K56</f>
        <v/>
      </c>
      <c r="L57" s="609">
        <f>L53-L56</f>
        <v/>
      </c>
      <c r="M57" s="609">
        <f>M53-M56</f>
        <v/>
      </c>
      <c r="N57" s="609">
        <f>N53-N56</f>
        <v/>
      </c>
      <c r="O57" s="609">
        <f>O53-O56</f>
        <v/>
      </c>
      <c r="P57" s="609">
        <f>P53-P56</f>
        <v/>
      </c>
      <c r="Q57" s="609">
        <f>Q53-Q56</f>
        <v/>
      </c>
      <c r="T57" s="129" t="n"/>
      <c r="U57" s="129" t="n"/>
      <c r="V57" s="129" t="n"/>
      <c r="W57" s="129" t="n"/>
      <c r="X57" s="129" t="n"/>
      <c r="Y57" s="129" t="n"/>
      <c r="Z57" s="129" t="n"/>
      <c r="AA57" s="129" t="n"/>
      <c r="AB57" s="129" t="n"/>
      <c r="AC57" s="129" t="n"/>
    </row>
    <row r="58" ht="21.75" customFormat="1" customHeight="1" s="59">
      <c r="E58" s="610" t="inlineStr">
        <is>
          <t>Exit Summaries</t>
        </is>
      </c>
      <c r="G58" s="208" t="n"/>
      <c r="H58" s="611" t="n"/>
      <c r="I58" s="611" t="n"/>
      <c r="J58" s="611" t="n"/>
      <c r="K58" s="611" t="n"/>
      <c r="L58" s="611" t="n"/>
      <c r="M58" s="611" t="n"/>
      <c r="N58" s="612" t="n"/>
      <c r="O58" s="612" t="n"/>
      <c r="P58" s="612" t="n"/>
      <c r="Q58" s="612" t="n"/>
      <c r="T58" s="129" t="n"/>
      <c r="U58" s="129" t="n"/>
      <c r="V58" s="129" t="n"/>
      <c r="W58" s="129" t="n"/>
      <c r="X58" s="129" t="n"/>
      <c r="Y58" s="129" t="n"/>
      <c r="Z58" s="129" t="n"/>
      <c r="AA58" s="129" t="n"/>
      <c r="AB58" s="129" t="n"/>
      <c r="AC58" s="129" t="n"/>
    </row>
    <row r="59" customFormat="1" s="59">
      <c r="G59" s="208" t="n"/>
      <c r="N59" s="789" t="n"/>
      <c r="O59" s="789" t="n"/>
      <c r="P59" s="789" t="n"/>
      <c r="Q59" s="789" t="n"/>
      <c r="T59" s="129" t="n"/>
      <c r="U59" s="129" t="n"/>
      <c r="V59" s="129" t="n"/>
      <c r="W59" s="129" t="n"/>
      <c r="X59" s="129" t="n"/>
      <c r="Y59" s="129" t="n"/>
      <c r="Z59" s="129" t="n"/>
      <c r="AA59" s="129" t="n"/>
      <c r="AB59" s="129" t="n"/>
      <c r="AC59" s="129" t="n"/>
    </row>
    <row r="60" customFormat="1" s="59">
      <c r="E60" s="149" t="inlineStr">
        <is>
          <t>10 YEAR</t>
        </is>
      </c>
      <c r="F60" s="614" t="inlineStr">
        <is>
          <t>Debt Service</t>
        </is>
      </c>
      <c r="G60" s="615" t="n"/>
      <c r="H60" s="790">
        <f>-'Loan Scenario (acquisition)'!M10</f>
        <v/>
      </c>
      <c r="I60" s="790">
        <f>-'Loan Scenario (acquisition)'!N10</f>
        <v/>
      </c>
      <c r="J60" s="790">
        <f>-'Loan Scenario (acquisition)'!O10</f>
        <v/>
      </c>
      <c r="K60" s="790">
        <f>-'Loan Scenario (acquisition)'!P10</f>
        <v/>
      </c>
      <c r="L60" s="790">
        <f>-'Loan Scenario (acquisition)'!Q10</f>
        <v/>
      </c>
      <c r="M60" s="790">
        <f>-'Loan Scenario (acquisition)'!R10</f>
        <v/>
      </c>
      <c r="N60" s="790">
        <f>-'Loan Scenario (acquisition)'!S10</f>
        <v/>
      </c>
      <c r="O60" s="790">
        <f>-'Loan Scenario (acquisition)'!T10</f>
        <v/>
      </c>
      <c r="P60" s="790">
        <f>-'Loan Scenario (acquisition)'!U10</f>
        <v/>
      </c>
      <c r="Q60" s="791">
        <f>-'Loan Scenario (acquisition)'!V10</f>
        <v/>
      </c>
      <c r="T60" s="129" t="n"/>
      <c r="U60" s="129" t="n"/>
      <c r="V60" s="129" t="n"/>
      <c r="W60" s="129" t="n"/>
      <c r="X60" s="129" t="n"/>
      <c r="Y60" s="129" t="n"/>
      <c r="Z60" s="129" t="n"/>
      <c r="AA60" s="129" t="n"/>
      <c r="AB60" s="129" t="n"/>
      <c r="AC60" s="129" t="n"/>
    </row>
    <row r="61" customFormat="1" s="59">
      <c r="F61" s="618" t="inlineStr">
        <is>
          <t>Debt Payoff</t>
        </is>
      </c>
      <c r="G61" s="208" t="n"/>
      <c r="H61" s="792" t="n"/>
      <c r="I61" s="792" t="n"/>
      <c r="J61" s="398" t="n"/>
      <c r="K61" s="792" t="n"/>
      <c r="L61" s="792" t="n"/>
      <c r="M61" s="792" t="n"/>
      <c r="N61" s="792" t="n"/>
      <c r="O61" s="792" t="n"/>
      <c r="P61" s="792" t="n"/>
      <c r="Q61" s="793">
        <f>-'Loan Scenario (acquisition)'!J126</f>
        <v/>
      </c>
      <c r="T61" s="129" t="n"/>
      <c r="U61" s="129" t="n"/>
      <c r="V61" s="129" t="n"/>
      <c r="W61" s="129" t="n"/>
      <c r="X61" s="129" t="n"/>
      <c r="Y61" s="129" t="n"/>
      <c r="Z61" s="129" t="n"/>
      <c r="AA61" s="129" t="n"/>
      <c r="AB61" s="129" t="n"/>
      <c r="AC61" s="129" t="n"/>
    </row>
    <row r="62" customFormat="1" s="59">
      <c r="F62" s="618" t="inlineStr">
        <is>
          <t>Refi Cashout</t>
        </is>
      </c>
      <c r="G62" s="208" t="n"/>
      <c r="H62" s="792" t="n"/>
      <c r="I62" s="792" t="n"/>
      <c r="J62" s="398" t="n"/>
      <c r="K62" s="792" t="n"/>
      <c r="L62" s="792" t="n"/>
      <c r="M62" s="792" t="n"/>
      <c r="N62" s="792" t="n"/>
      <c r="O62" s="792" t="n"/>
      <c r="P62" s="792" t="n"/>
      <c r="Q62" s="793" t="n"/>
      <c r="T62" s="129" t="n"/>
      <c r="U62" s="129" t="n"/>
      <c r="V62" s="129" t="n"/>
      <c r="W62" s="129" t="n"/>
      <c r="X62" s="129" t="n"/>
      <c r="Y62" s="129" t="n"/>
      <c r="Z62" s="129" t="n"/>
      <c r="AA62" s="129" t="n"/>
      <c r="AB62" s="129" t="n"/>
      <c r="AC62" s="129" t="n"/>
    </row>
    <row r="63" customFormat="1" s="59">
      <c r="F63" s="618" t="inlineStr">
        <is>
          <t>New Loan</t>
        </is>
      </c>
      <c r="G63" s="208" t="n"/>
      <c r="H63" s="792" t="n"/>
      <c r="I63" s="792" t="n"/>
      <c r="J63" s="792" t="n"/>
      <c r="K63" s="792" t="n"/>
      <c r="L63" s="792" t="n"/>
      <c r="M63" s="792" t="n"/>
      <c r="N63" s="792" t="n"/>
      <c r="O63" s="792" t="n"/>
      <c r="P63" s="792" t="n"/>
      <c r="Q63" s="793" t="n"/>
      <c r="R63" s="59" t="inlineStr">
        <is>
          <t>Home Exit Cap Rate</t>
        </is>
      </c>
      <c r="S63" s="686" t="n">
        <v>0.12</v>
      </c>
      <c r="T63" s="129" t="n"/>
      <c r="U63" s="129" t="n"/>
      <c r="V63" s="129" t="n"/>
      <c r="W63" s="129" t="n"/>
      <c r="X63" s="129" t="n"/>
      <c r="Y63" s="129" t="n"/>
      <c r="Z63" s="129" t="n"/>
      <c r="AA63" s="129" t="n"/>
      <c r="AB63" s="129" t="n"/>
      <c r="AC63" s="129" t="n"/>
    </row>
    <row r="64" customFormat="1" s="59">
      <c r="F64" s="618" t="inlineStr">
        <is>
          <t>Total Sale - Community</t>
        </is>
      </c>
      <c r="G64" s="208" t="n"/>
      <c r="H64" s="792" t="n"/>
      <c r="I64" s="792" t="n"/>
      <c r="J64" s="398" t="n"/>
      <c r="K64" s="792" t="n"/>
      <c r="L64" s="792" t="n"/>
      <c r="M64" s="792" t="n"/>
      <c r="N64" s="792" t="n"/>
      <c r="O64" s="792" t="n"/>
      <c r="P64" s="792" t="n"/>
      <c r="Q64" s="694">
        <f>(Q56/S64)+(Q57/S63)</f>
        <v/>
      </c>
      <c r="R64" s="59" t="inlineStr">
        <is>
          <t>Lot Exit cap rate:</t>
        </is>
      </c>
      <c r="S64" s="621">
        <f>+$X$20</f>
        <v/>
      </c>
      <c r="T64" s="129" t="n"/>
      <c r="U64" s="129" t="n"/>
      <c r="V64" s="129" t="n"/>
      <c r="W64" s="129" t="n"/>
      <c r="X64" s="129" t="n"/>
      <c r="Y64" s="129" t="n"/>
      <c r="Z64" s="129" t="n"/>
      <c r="AA64" s="129" t="n"/>
      <c r="AB64" s="129" t="n"/>
      <c r="AC64" s="129" t="n"/>
    </row>
    <row r="65" customFormat="1" s="59">
      <c r="F65" s="622" t="inlineStr">
        <is>
          <t xml:space="preserve">Free Cash Flow </t>
        </is>
      </c>
      <c r="G65" s="623" t="n"/>
      <c r="H65" s="624">
        <f>H53+SUM(H60:H64)</f>
        <v/>
      </c>
      <c r="I65" s="624">
        <f>I53+SUM(I60:I64)</f>
        <v/>
      </c>
      <c r="J65" s="624">
        <f>J53+SUM(J60:J64)</f>
        <v/>
      </c>
      <c r="K65" s="624">
        <f>K53+SUM(K60:K64)</f>
        <v/>
      </c>
      <c r="L65" s="624">
        <f>L53+SUM(L60:L64)</f>
        <v/>
      </c>
      <c r="M65" s="624">
        <f>M53+SUM(M60:M64)</f>
        <v/>
      </c>
      <c r="N65" s="624">
        <f>N53+SUM(N60:N64)</f>
        <v/>
      </c>
      <c r="O65" s="624">
        <f>O53+SUM(O60:O64)</f>
        <v/>
      </c>
      <c r="P65" s="624">
        <f>P53+SUM(P60:P64)</f>
        <v/>
      </c>
      <c r="Q65" s="625">
        <f>Q53+SUM(Q60:Q64)</f>
        <v/>
      </c>
      <c r="T65" s="129" t="n"/>
      <c r="U65" s="129" t="n"/>
      <c r="V65" s="129" t="n"/>
      <c r="W65" s="129" t="n"/>
      <c r="X65" s="129" t="n"/>
      <c r="Y65" s="129" t="n"/>
      <c r="Z65" s="129" t="n"/>
      <c r="AA65" s="129" t="n"/>
      <c r="AB65" s="129" t="n"/>
      <c r="AC65" s="129" t="n"/>
    </row>
    <row r="66" customFormat="1" s="59">
      <c r="F66" s="626" t="inlineStr">
        <is>
          <t>DSCR</t>
        </is>
      </c>
      <c r="G66" s="627" t="n"/>
      <c r="H66" s="794">
        <f>-H$53/H$60</f>
        <v/>
      </c>
      <c r="I66" s="794">
        <f>-I53/I60</f>
        <v/>
      </c>
      <c r="J66" s="794">
        <f>-J53/I60</f>
        <v/>
      </c>
      <c r="K66" s="794">
        <f>-K53/K60</f>
        <v/>
      </c>
      <c r="L66" s="794">
        <f>-L53/L60</f>
        <v/>
      </c>
      <c r="M66" s="794">
        <f>-M53/M60</f>
        <v/>
      </c>
      <c r="N66" s="794">
        <f>-N53/N60</f>
        <v/>
      </c>
      <c r="O66" s="794">
        <f>-O53/O60</f>
        <v/>
      </c>
      <c r="P66" s="794">
        <f>-P53/P60</f>
        <v/>
      </c>
      <c r="Q66" s="794">
        <f>-Q53/Q60</f>
        <v/>
      </c>
      <c r="T66" s="129" t="n"/>
      <c r="U66" s="129" t="n"/>
      <c r="V66" s="129" t="n"/>
      <c r="W66" s="129" t="n"/>
      <c r="X66" s="129" t="n"/>
      <c r="Y66" s="129" t="n"/>
      <c r="Z66" s="129" t="n"/>
      <c r="AA66" s="129" t="n"/>
      <c r="AB66" s="129" t="n"/>
      <c r="AC66" s="129" t="n"/>
    </row>
    <row r="67" customFormat="1" s="59">
      <c r="G67" s="208" t="n"/>
      <c r="H67" s="398" t="n"/>
      <c r="I67" s="398" t="n"/>
      <c r="J67" s="398" t="n"/>
      <c r="K67" s="398" t="n"/>
      <c r="L67" s="398" t="n"/>
      <c r="M67" s="398" t="n"/>
      <c r="N67" s="398" t="n"/>
      <c r="O67" s="398" t="n"/>
      <c r="P67" s="398" t="n"/>
      <c r="Q67" s="398" t="n"/>
      <c r="T67" s="129" t="n"/>
      <c r="U67" s="129" t="n"/>
      <c r="V67" s="129" t="n"/>
      <c r="W67" s="129" t="n"/>
      <c r="X67" s="129" t="n"/>
      <c r="Y67" s="129" t="n"/>
      <c r="Z67" s="129" t="n"/>
      <c r="AA67" s="129" t="n"/>
      <c r="AB67" s="129" t="n"/>
      <c r="AC67" s="129" t="n"/>
    </row>
    <row r="68" hidden="1" customFormat="1" s="59">
      <c r="E68" s="149" t="inlineStr">
        <is>
          <t>7 Year</t>
        </is>
      </c>
      <c r="F68" s="614" t="inlineStr">
        <is>
          <t>Debt Service</t>
        </is>
      </c>
      <c r="G68" s="615" t="n"/>
      <c r="H68" s="790">
        <f>-'[1]Loan Scenario (acquisition)'!M10</f>
        <v/>
      </c>
      <c r="I68" s="790">
        <f>-'[1]Loan Scenario (acquisition)'!N10</f>
        <v/>
      </c>
      <c r="J68" s="790">
        <f>-'[1]Loan Scenario (acquisition)'!O10</f>
        <v/>
      </c>
      <c r="K68" s="790">
        <f>-'[1]Loan Scenario (acquisition)'!P10</f>
        <v/>
      </c>
      <c r="L68" s="790">
        <f>-'[1]Loan Scenario (acquisition)'!Q10</f>
        <v/>
      </c>
      <c r="M68" s="790">
        <f>-'[1]Loan Scenario (acquisition)'!R10</f>
        <v/>
      </c>
      <c r="N68" s="791">
        <f>-'[1]Loan Scenario (acquisition)'!S10</f>
        <v/>
      </c>
      <c r="O68" s="792" t="n"/>
      <c r="P68" s="792" t="n"/>
      <c r="Q68" s="792" t="n"/>
      <c r="T68" s="129" t="n"/>
      <c r="U68" s="129" t="n"/>
      <c r="V68" s="129" t="n"/>
      <c r="W68" s="129" t="n"/>
      <c r="X68" s="129" t="n"/>
      <c r="Y68" s="129" t="n"/>
      <c r="Z68" s="129" t="n"/>
      <c r="AA68" s="129" t="n"/>
      <c r="AB68" s="129" t="n"/>
      <c r="AC68" s="129" t="n"/>
    </row>
    <row r="69" hidden="1" ht="15.75" customFormat="1" customHeight="1" s="59">
      <c r="F69" s="618" t="inlineStr">
        <is>
          <t>Debt Payoff</t>
        </is>
      </c>
      <c r="G69" s="208" t="n"/>
      <c r="H69" s="792" t="n"/>
      <c r="I69" s="792" t="n"/>
      <c r="J69" s="792" t="n"/>
      <c r="K69" s="792" t="n"/>
      <c r="L69" s="792" t="n"/>
      <c r="M69" s="792" t="n"/>
      <c r="N69" s="793">
        <f>-'[1]Loan Scenario (acquisition)'!J90</f>
        <v/>
      </c>
      <c r="O69" s="792" t="n"/>
      <c r="P69" s="792" t="n"/>
      <c r="Q69" s="792" t="n"/>
      <c r="T69" s="129" t="n"/>
      <c r="U69" s="129" t="n"/>
      <c r="V69" s="129" t="n"/>
      <c r="W69" s="129" t="n"/>
      <c r="X69" s="129" t="n"/>
      <c r="Y69" s="129" t="n"/>
      <c r="Z69" s="129" t="n"/>
      <c r="AA69" s="129" t="n"/>
      <c r="AB69" s="129" t="n"/>
      <c r="AC69" s="129" t="n"/>
    </row>
    <row r="70" hidden="1" customFormat="1" s="59">
      <c r="F70" s="618" t="inlineStr">
        <is>
          <t>Refi Cashout</t>
        </is>
      </c>
      <c r="G70" s="208" t="n"/>
      <c r="H70" s="792" t="n"/>
      <c r="I70" s="792" t="n"/>
      <c r="J70" s="792" t="n"/>
      <c r="K70" s="792" t="n"/>
      <c r="L70" s="792" t="n"/>
      <c r="M70" s="792" t="n"/>
      <c r="N70" s="793" t="n"/>
      <c r="O70" s="792" t="n"/>
      <c r="P70" s="792" t="n"/>
      <c r="Q70" s="792" t="n"/>
      <c r="T70" s="129" t="n"/>
      <c r="U70" s="129" t="n"/>
      <c r="V70" s="129" t="n"/>
      <c r="W70" s="129" t="n"/>
      <c r="X70" s="129" t="n"/>
      <c r="Y70" s="129" t="n"/>
      <c r="Z70" s="129" t="n"/>
      <c r="AA70" s="129" t="n"/>
      <c r="AB70" s="129" t="n"/>
      <c r="AC70" s="129" t="n"/>
    </row>
    <row r="71" hidden="1" customFormat="1" s="59">
      <c r="F71" s="618" t="inlineStr">
        <is>
          <t>New Loan</t>
        </is>
      </c>
      <c r="G71" s="208" t="n"/>
      <c r="H71" s="792" t="n"/>
      <c r="I71" s="792" t="n"/>
      <c r="J71" s="792" t="n"/>
      <c r="K71" s="792" t="n"/>
      <c r="L71" s="792" t="n"/>
      <c r="M71" s="792" t="n"/>
      <c r="N71" s="793" t="n"/>
      <c r="O71" s="792" t="n"/>
      <c r="P71" s="792" t="n"/>
      <c r="Q71" s="792" t="n"/>
      <c r="T71" s="129" t="n"/>
      <c r="U71" s="129" t="n"/>
      <c r="V71" s="129" t="n"/>
      <c r="W71" s="129" t="n"/>
      <c r="X71" s="129" t="n"/>
      <c r="Y71" s="129" t="n"/>
      <c r="Z71" s="129" t="n"/>
      <c r="AA71" s="129" t="n"/>
      <c r="AB71" s="129" t="n"/>
      <c r="AC71" s="129" t="n"/>
    </row>
    <row r="72" hidden="1" customFormat="1" s="59">
      <c r="F72" s="618" t="inlineStr">
        <is>
          <t>total Sale - Community</t>
        </is>
      </c>
      <c r="G72" s="208" t="n"/>
      <c r="H72" s="792" t="n"/>
      <c r="I72" s="792" t="n"/>
      <c r="J72" s="792" t="n"/>
      <c r="K72" s="792" t="n"/>
      <c r="L72" s="792" t="n"/>
      <c r="M72" s="792" t="n"/>
      <c r="N72" s="793">
        <f>N53/X20</f>
        <v/>
      </c>
      <c r="O72" s="792" t="n"/>
      <c r="P72" s="792" t="n"/>
      <c r="Q72" s="792" t="n"/>
      <c r="R72" s="59" t="inlineStr">
        <is>
          <t>Lot Rent Exit cap rate:</t>
        </is>
      </c>
      <c r="S72" s="621">
        <f>+$X$20</f>
        <v/>
      </c>
      <c r="T72" s="129" t="n"/>
      <c r="U72" s="129" t="n"/>
      <c r="V72" s="129" t="n"/>
      <c r="W72" s="129" t="n"/>
      <c r="X72" s="129" t="n"/>
      <c r="Y72" s="129" t="n"/>
      <c r="Z72" s="129" t="n"/>
      <c r="AA72" s="129" t="n"/>
      <c r="AB72" s="129" t="n"/>
      <c r="AC72" s="129" t="n"/>
    </row>
    <row r="73" hidden="1" ht="21" customFormat="1" customHeight="1" s="59">
      <c r="F73" s="622" t="inlineStr">
        <is>
          <t xml:space="preserve">Free Cash Flow </t>
        </is>
      </c>
      <c r="G73" s="623" t="n"/>
      <c r="H73" s="624">
        <f>H53+SUM(H68:H72)</f>
        <v/>
      </c>
      <c r="I73" s="624">
        <f>I53+SUM(I68:I72)</f>
        <v/>
      </c>
      <c r="J73" s="624">
        <f>J53+SUM(J68:J72)</f>
        <v/>
      </c>
      <c r="K73" s="624">
        <f>K53+SUM(K68:K72)</f>
        <v/>
      </c>
      <c r="L73" s="624">
        <f>L53+SUM(L68:L72)</f>
        <v/>
      </c>
      <c r="M73" s="624">
        <f>M53+SUM(M68:M72)</f>
        <v/>
      </c>
      <c r="N73" s="625">
        <f>N53+SUM(N68:N72)</f>
        <v/>
      </c>
      <c r="O73" s="630" t="n"/>
      <c r="P73" s="630" t="n"/>
      <c r="Q73" s="630" t="n"/>
      <c r="T73" s="129" t="n"/>
      <c r="U73" s="129" t="n"/>
      <c r="V73" s="129" t="n"/>
      <c r="W73" s="129" t="n"/>
      <c r="X73" s="129" t="n"/>
      <c r="Y73" s="129" t="n"/>
      <c r="Z73" s="129" t="n"/>
      <c r="AA73" s="129" t="n"/>
      <c r="AB73" s="129" t="n"/>
      <c r="AC73" s="129" t="n"/>
    </row>
    <row r="74" hidden="1" customFormat="1" s="59">
      <c r="F74" s="626" t="inlineStr">
        <is>
          <t>DSCR</t>
        </is>
      </c>
      <c r="G74" s="208" t="n"/>
      <c r="H74" s="794">
        <f>-H$53/H$68</f>
        <v/>
      </c>
      <c r="I74" s="794">
        <f>-I$53/I$68</f>
        <v/>
      </c>
      <c r="J74" s="794">
        <f>-J$53/J$68</f>
        <v/>
      </c>
      <c r="K74" s="794">
        <f>-K$53/K$68</f>
        <v/>
      </c>
      <c r="L74" s="794">
        <f>-L$53/L$68</f>
        <v/>
      </c>
      <c r="M74" s="794">
        <f>-M$53/M$68</f>
        <v/>
      </c>
      <c r="N74" s="794">
        <f>-N$53/N$68</f>
        <v/>
      </c>
      <c r="O74" s="794" t="n"/>
      <c r="P74" s="794" t="n"/>
      <c r="Q74" s="794" t="n"/>
      <c r="T74" s="129" t="n"/>
      <c r="U74" s="129" t="n"/>
      <c r="V74" s="129" t="n"/>
      <c r="W74" s="129" t="n"/>
      <c r="X74" s="129" t="n"/>
      <c r="Y74" s="129" t="n"/>
      <c r="Z74" s="129" t="n"/>
      <c r="AA74" s="129" t="n"/>
      <c r="AB74" s="129" t="n"/>
      <c r="AC74" s="129" t="n"/>
    </row>
    <row r="75" hidden="1" customFormat="1" s="59">
      <c r="G75" s="208" t="n"/>
      <c r="T75" s="129" t="n"/>
      <c r="U75" s="129" t="n"/>
      <c r="V75" s="129" t="n"/>
      <c r="W75" s="129" t="n"/>
      <c r="X75" s="129" t="n"/>
      <c r="Y75" s="129" t="n"/>
      <c r="Z75" s="129" t="n"/>
      <c r="AA75" s="129" t="n"/>
      <c r="AB75" s="129" t="n"/>
      <c r="AC75" s="129" t="n"/>
    </row>
    <row r="76" hidden="1" customFormat="1" s="59">
      <c r="G76" s="208" t="n"/>
      <c r="T76" s="129" t="n"/>
      <c r="U76" s="129" t="n"/>
      <c r="V76" s="129" t="n"/>
      <c r="W76" s="129" t="n"/>
      <c r="X76" s="129" t="n"/>
      <c r="Y76" s="129" t="n"/>
      <c r="Z76" s="129" t="n"/>
      <c r="AA76" s="129" t="n"/>
      <c r="AB76" s="129" t="n"/>
      <c r="AC76" s="129" t="n"/>
    </row>
    <row r="77" customFormat="1" s="59">
      <c r="G77" s="208" t="n"/>
      <c r="T77" s="129" t="n"/>
      <c r="U77" s="129" t="n"/>
      <c r="V77" s="129" t="n"/>
      <c r="W77" s="129" t="n"/>
      <c r="X77" s="129" t="n"/>
      <c r="Y77" s="129" t="n"/>
      <c r="Z77" s="129" t="n"/>
      <c r="AA77" s="129" t="n"/>
      <c r="AB77" s="129" t="n"/>
      <c r="AC77" s="129" t="n"/>
    </row>
    <row r="78" customFormat="1" s="59">
      <c r="G78" s="208" t="n"/>
      <c r="T78" s="129" t="n"/>
      <c r="U78" s="129" t="n"/>
      <c r="V78" s="129" t="n"/>
      <c r="W78" s="129" t="n"/>
      <c r="X78" s="129" t="n"/>
      <c r="Y78" s="129" t="n"/>
      <c r="Z78" s="129" t="n"/>
      <c r="AA78" s="129" t="n"/>
      <c r="AB78" s="129" t="n"/>
      <c r="AC78" s="129" t="n"/>
    </row>
    <row r="79" customFormat="1" s="59">
      <c r="E79" s="149" t="inlineStr">
        <is>
          <t>5 YEAR</t>
        </is>
      </c>
      <c r="F79" s="614" t="inlineStr">
        <is>
          <t>Debt Service</t>
        </is>
      </c>
      <c r="G79" s="615" t="n"/>
      <c r="H79" s="790">
        <f>-'Loan Scenario (acquisition)'!M10</f>
        <v/>
      </c>
      <c r="I79" s="790">
        <f>-'Loan Scenario (acquisition)'!N10</f>
        <v/>
      </c>
      <c r="J79" s="790">
        <f>-'Loan Scenario (acquisition)'!O10</f>
        <v/>
      </c>
      <c r="K79" s="790">
        <f>-'Loan Scenario (acquisition)'!P10</f>
        <v/>
      </c>
      <c r="L79" s="791">
        <f>-'Loan Scenario (acquisition)'!Q10</f>
        <v/>
      </c>
      <c r="T79" s="129" t="n"/>
      <c r="U79" s="129" t="n"/>
      <c r="V79" s="129" t="n"/>
      <c r="W79" s="129" t="n"/>
      <c r="X79" s="129" t="n"/>
      <c r="Y79" s="129" t="n"/>
      <c r="Z79" s="129" t="n"/>
      <c r="AA79" s="129" t="n"/>
      <c r="AB79" s="129" t="n"/>
      <c r="AC79" s="129" t="n"/>
    </row>
    <row r="80" customFormat="1" s="59">
      <c r="F80" s="618" t="inlineStr">
        <is>
          <t>Debt Payoff</t>
        </is>
      </c>
      <c r="G80" s="208" t="n"/>
      <c r="H80" s="792" t="n"/>
      <c r="I80" s="792" t="n"/>
      <c r="J80" s="398" t="n"/>
      <c r="K80" s="792" t="n"/>
      <c r="L80" s="793">
        <f>-'Loan Scenario (acquisition)'!J66</f>
        <v/>
      </c>
      <c r="T80" s="129" t="n"/>
      <c r="U80" s="129" t="n"/>
      <c r="V80" s="129" t="n"/>
      <c r="W80" s="129" t="n"/>
      <c r="X80" s="129" t="n"/>
      <c r="Y80" s="129" t="n"/>
      <c r="Z80" s="129" t="n"/>
      <c r="AA80" s="129" t="n"/>
      <c r="AB80" s="129" t="n"/>
      <c r="AC80" s="129" t="n"/>
    </row>
    <row r="81" customFormat="1" s="59">
      <c r="F81" s="618" t="inlineStr">
        <is>
          <t>Refi Cashout</t>
        </is>
      </c>
      <c r="G81" s="208" t="n"/>
      <c r="H81" s="792" t="n"/>
      <c r="I81" s="792" t="n"/>
      <c r="J81" s="398" t="n"/>
      <c r="K81" s="792" t="n"/>
      <c r="L81" s="793" t="n"/>
      <c r="T81" s="129" t="n"/>
      <c r="U81" s="129" t="n"/>
      <c r="V81" s="129" t="n"/>
      <c r="W81" s="129" t="n"/>
      <c r="X81" s="129" t="n"/>
      <c r="Y81" s="129" t="n"/>
      <c r="Z81" s="129" t="n"/>
      <c r="AA81" s="129" t="n"/>
      <c r="AB81" s="129" t="n"/>
      <c r="AC81" s="129" t="n"/>
    </row>
    <row r="82" customFormat="1" s="59">
      <c r="F82" s="618" t="inlineStr">
        <is>
          <t>New Loan</t>
        </is>
      </c>
      <c r="G82" s="208" t="n"/>
      <c r="H82" s="792" t="n"/>
      <c r="I82" s="792" t="n"/>
      <c r="J82" s="792" t="n"/>
      <c r="K82" s="792" t="n"/>
      <c r="L82" s="793" t="n"/>
      <c r="M82" s="59" t="inlineStr">
        <is>
          <t>Home Exit</t>
        </is>
      </c>
      <c r="N82" s="686" t="n">
        <v>0.12</v>
      </c>
      <c r="T82" s="129" t="n"/>
      <c r="U82" s="129" t="n"/>
      <c r="V82" s="129" t="n"/>
      <c r="W82" s="129" t="n"/>
      <c r="X82" s="129" t="n"/>
      <c r="Y82" s="129" t="n"/>
      <c r="Z82" s="129" t="n"/>
      <c r="AA82" s="129" t="n"/>
      <c r="AB82" s="129" t="n"/>
      <c r="AC82" s="129" t="n"/>
    </row>
    <row r="83" customFormat="1" s="59">
      <c r="F83" s="618" t="inlineStr">
        <is>
          <t>Total Sale - Community</t>
        </is>
      </c>
      <c r="G83" s="208" t="n"/>
      <c r="H83" s="792" t="n"/>
      <c r="I83" s="792" t="n"/>
      <c r="J83" s="398" t="n"/>
      <c r="K83" s="792" t="n"/>
      <c r="L83" s="693">
        <f>(L56/N83)+(L57/N82)</f>
        <v/>
      </c>
      <c r="M83" s="59" t="inlineStr">
        <is>
          <t>Lot Rent Exit cap rate:</t>
        </is>
      </c>
      <c r="N83" s="621">
        <f>S64</f>
        <v/>
      </c>
      <c r="T83" s="129" t="n"/>
      <c r="U83" s="129" t="n"/>
      <c r="V83" s="129" t="n"/>
      <c r="W83" s="129" t="n"/>
      <c r="X83" s="129" t="n"/>
      <c r="Y83" s="129" t="n"/>
      <c r="Z83" s="129" t="n"/>
      <c r="AA83" s="129" t="n"/>
      <c r="AB83" s="129" t="n"/>
      <c r="AC83" s="129" t="n"/>
    </row>
    <row r="84" customFormat="1" s="59">
      <c r="F84" s="622" t="inlineStr">
        <is>
          <t xml:space="preserve">Free Cash Flow </t>
        </is>
      </c>
      <c r="G84" s="623" t="n"/>
      <c r="H84" s="624">
        <f>H53+SUM(H79:H83)</f>
        <v/>
      </c>
      <c r="I84" s="624">
        <f>I53+SUM(I79:I83)</f>
        <v/>
      </c>
      <c r="J84" s="624">
        <f>J53+SUM(J79:J83)</f>
        <v/>
      </c>
      <c r="K84" s="624">
        <f>K53+SUM(K79:K83)</f>
        <v/>
      </c>
      <c r="L84" s="625">
        <f>L53+SUM(L79:L83)</f>
        <v/>
      </c>
      <c r="T84" s="129" t="n"/>
      <c r="U84" s="129" t="n"/>
      <c r="V84" s="129" t="n"/>
      <c r="W84" s="129" t="n"/>
      <c r="X84" s="129" t="n"/>
      <c r="Y84" s="129" t="n"/>
      <c r="Z84" s="129" t="n"/>
      <c r="AA84" s="129" t="n"/>
      <c r="AB84" s="129" t="n"/>
      <c r="AC84" s="129" t="n"/>
    </row>
    <row r="85" customFormat="1" s="59">
      <c r="F85" s="626" t="inlineStr">
        <is>
          <t>DSCR</t>
        </is>
      </c>
      <c r="G85" s="208" t="n"/>
      <c r="H85" s="794">
        <f>-H$53/H$60</f>
        <v/>
      </c>
      <c r="I85" s="794">
        <f>-I$53/I$60</f>
        <v/>
      </c>
      <c r="J85" s="794">
        <f>-J$53/J$60</f>
        <v/>
      </c>
      <c r="K85" s="794">
        <f>-K$53/K$60</f>
        <v/>
      </c>
      <c r="L85" s="794">
        <f>-L$53/L$60</f>
        <v/>
      </c>
      <c r="T85" s="129" t="n"/>
      <c r="U85" s="129" t="n"/>
      <c r="V85" s="129" t="n"/>
      <c r="W85" s="129" t="n"/>
      <c r="X85" s="129" t="n"/>
      <c r="Y85" s="129" t="n"/>
      <c r="Z85" s="129" t="n"/>
      <c r="AA85" s="129" t="n"/>
      <c r="AB85" s="129" t="n"/>
      <c r="AC85" s="129" t="n"/>
    </row>
    <row r="86" customFormat="1" s="59">
      <c r="G86" s="208" t="n"/>
      <c r="T86" s="129" t="n"/>
      <c r="U86" s="129" t="n"/>
      <c r="V86" s="129" t="n"/>
      <c r="W86" s="129" t="n"/>
      <c r="X86" s="129" t="n"/>
      <c r="Y86" s="129" t="n"/>
      <c r="Z86" s="129" t="n"/>
      <c r="AA86" s="129" t="n"/>
      <c r="AB86" s="129" t="n"/>
      <c r="AC86" s="129" t="n"/>
    </row>
    <row r="87" customFormat="1" s="59">
      <c r="G87" s="208" t="n"/>
      <c r="T87" s="129" t="n"/>
      <c r="U87" s="129" t="n"/>
      <c r="V87" s="129" t="n"/>
      <c r="W87" s="129" t="n"/>
      <c r="X87" s="129" t="n"/>
      <c r="Y87" s="129" t="n"/>
      <c r="Z87" s="129" t="n"/>
      <c r="AA87" s="129" t="n"/>
      <c r="AB87" s="129" t="n"/>
      <c r="AC87" s="129" t="n"/>
    </row>
    <row r="88" customFormat="1" s="59">
      <c r="G88" s="208" t="n"/>
      <c r="T88" s="129" t="n"/>
      <c r="U88" s="129" t="n"/>
      <c r="V88" s="129" t="n"/>
      <c r="W88" s="129" t="n"/>
      <c r="X88" s="129" t="n"/>
      <c r="Y88" s="129" t="n"/>
      <c r="Z88" s="129" t="n"/>
      <c r="AA88" s="129" t="n"/>
      <c r="AB88" s="129" t="n"/>
      <c r="AC88" s="129" t="n"/>
    </row>
    <row r="89" customFormat="1" s="59">
      <c r="G89" s="208" t="n"/>
      <c r="T89" s="129" t="n"/>
      <c r="U89" s="129" t="n"/>
      <c r="V89" s="129" t="n"/>
      <c r="W89" s="129" t="n"/>
      <c r="X89" s="129" t="n"/>
      <c r="Y89" s="129" t="n"/>
      <c r="Z89" s="129" t="n"/>
      <c r="AA89" s="129" t="n"/>
      <c r="AB89" s="129" t="n"/>
      <c r="AC89" s="129" t="n"/>
    </row>
    <row r="90" customFormat="1" s="59">
      <c r="G90" s="208" t="n"/>
      <c r="T90" s="129" t="n"/>
      <c r="U90" s="129" t="n"/>
      <c r="V90" s="129" t="n"/>
      <c r="W90" s="129" t="n"/>
      <c r="X90" s="129" t="n"/>
      <c r="Y90" s="129" t="n"/>
      <c r="Z90" s="129" t="n"/>
      <c r="AA90" s="129" t="n"/>
      <c r="AB90" s="129" t="n"/>
      <c r="AC90" s="129" t="n"/>
    </row>
    <row r="91" customFormat="1" s="59">
      <c r="G91" s="208" t="n"/>
      <c r="T91" s="129" t="n"/>
      <c r="U91" s="129" t="n"/>
      <c r="V91" s="129" t="n"/>
      <c r="W91" s="129" t="n"/>
      <c r="X91" s="129" t="n"/>
      <c r="Y91" s="129" t="n"/>
      <c r="Z91" s="129" t="n"/>
      <c r="AA91" s="129" t="n"/>
      <c r="AB91" s="129" t="n"/>
      <c r="AC91" s="129" t="n"/>
    </row>
    <row r="92" customFormat="1" s="59">
      <c r="G92" s="208" t="n"/>
      <c r="T92" s="129" t="n"/>
      <c r="U92" s="129" t="n"/>
      <c r="V92" s="129" t="n"/>
      <c r="W92" s="129" t="n"/>
      <c r="X92" s="129" t="n"/>
      <c r="Y92" s="129" t="n"/>
      <c r="Z92" s="129" t="n"/>
      <c r="AA92" s="129" t="n"/>
      <c r="AB92" s="129" t="n"/>
      <c r="AC92" s="129" t="n"/>
    </row>
    <row r="93" customFormat="1" s="59">
      <c r="G93" s="208" t="n"/>
      <c r="T93" s="129" t="n"/>
      <c r="U93" s="129" t="n"/>
      <c r="V93" s="129" t="n"/>
      <c r="W93" s="129" t="n"/>
      <c r="X93" s="129" t="n"/>
      <c r="Y93" s="129" t="n"/>
      <c r="Z93" s="129" t="n"/>
      <c r="AA93" s="129" t="n"/>
      <c r="AB93" s="129" t="n"/>
      <c r="AC93" s="129" t="n"/>
    </row>
    <row r="94" customFormat="1" s="59">
      <c r="G94" s="208" t="n"/>
      <c r="T94" s="129" t="n"/>
      <c r="U94" s="129" t="n"/>
      <c r="V94" s="129" t="n"/>
      <c r="W94" s="129" t="n"/>
      <c r="X94" s="129" t="n"/>
      <c r="Y94" s="129" t="n"/>
      <c r="Z94" s="129" t="n"/>
      <c r="AA94" s="129" t="n"/>
      <c r="AB94" s="129" t="n"/>
      <c r="AC94" s="129" t="n"/>
    </row>
    <row r="95" customFormat="1" s="59">
      <c r="G95" s="208" t="n"/>
      <c r="T95" s="129" t="n"/>
      <c r="U95" s="129" t="n"/>
      <c r="V95" s="129" t="n"/>
      <c r="W95" s="129" t="n"/>
      <c r="X95" s="129" t="n"/>
      <c r="Y95" s="129" t="n"/>
      <c r="Z95" s="129" t="n"/>
      <c r="AA95" s="129" t="n"/>
      <c r="AB95" s="129" t="n"/>
      <c r="AC95" s="129" t="n"/>
    </row>
    <row r="96" customFormat="1" s="59">
      <c r="G96" s="208" t="n"/>
      <c r="T96" s="129" t="n"/>
      <c r="U96" s="129" t="n"/>
      <c r="V96" s="129" t="n"/>
      <c r="W96" s="129" t="n"/>
      <c r="X96" s="129" t="n"/>
      <c r="Y96" s="129" t="n"/>
      <c r="Z96" s="129" t="n"/>
      <c r="AA96" s="129" t="n"/>
      <c r="AB96" s="129" t="n"/>
      <c r="AC96" s="129" t="n"/>
    </row>
    <row r="97" customFormat="1" s="59">
      <c r="G97" s="208" t="n"/>
      <c r="T97" s="129" t="n"/>
      <c r="U97" s="129" t="n"/>
      <c r="V97" s="129" t="n"/>
      <c r="W97" s="129" t="n"/>
      <c r="X97" s="129" t="n"/>
      <c r="Y97" s="129" t="n"/>
      <c r="Z97" s="129" t="n"/>
      <c r="AA97" s="129" t="n"/>
      <c r="AB97" s="129" t="n"/>
      <c r="AC97" s="129" t="n"/>
    </row>
    <row r="98" customFormat="1" s="59">
      <c r="G98" s="208" t="n"/>
      <c r="T98" s="129" t="n"/>
      <c r="U98" s="129" t="n"/>
      <c r="V98" s="129" t="n"/>
      <c r="W98" s="129" t="n"/>
      <c r="X98" s="129" t="n"/>
      <c r="Y98" s="129" t="n"/>
      <c r="Z98" s="129" t="n"/>
      <c r="AA98" s="129" t="n"/>
      <c r="AB98" s="129" t="n"/>
      <c r="AC98" s="129" t="n"/>
    </row>
    <row r="99" customFormat="1" s="59">
      <c r="G99" s="208" t="n"/>
      <c r="T99" s="129" t="n"/>
      <c r="U99" s="129" t="n"/>
      <c r="V99" s="129" t="n"/>
      <c r="W99" s="129" t="n"/>
      <c r="X99" s="129" t="n"/>
      <c r="Y99" s="129" t="n"/>
      <c r="Z99" s="129" t="n"/>
      <c r="AA99" s="129" t="n"/>
      <c r="AB99" s="129" t="n"/>
      <c r="AC99" s="129" t="n"/>
    </row>
    <row r="100" customFormat="1" s="59">
      <c r="G100" s="208" t="n"/>
      <c r="T100" s="129" t="n"/>
      <c r="U100" s="129" t="n"/>
      <c r="V100" s="129" t="n"/>
      <c r="W100" s="129" t="n"/>
      <c r="X100" s="129" t="n"/>
      <c r="Y100" s="129" t="n"/>
      <c r="Z100" s="129" t="n"/>
      <c r="AA100" s="129" t="n"/>
      <c r="AB100" s="129" t="n"/>
      <c r="AC100" s="129" t="n"/>
    </row>
    <row r="101" customFormat="1" s="59">
      <c r="G101" s="208" t="n"/>
      <c r="T101" s="129" t="n"/>
      <c r="U101" s="129" t="n"/>
      <c r="V101" s="129" t="n"/>
      <c r="W101" s="129" t="n"/>
      <c r="X101" s="129" t="n"/>
      <c r="Y101" s="129" t="n"/>
      <c r="Z101" s="129" t="n"/>
      <c r="AA101" s="129" t="n"/>
      <c r="AB101" s="129" t="n"/>
      <c r="AC101" s="129" t="n"/>
    </row>
    <row r="102" customFormat="1" s="59">
      <c r="G102" s="208" t="n"/>
      <c r="T102" s="129" t="n"/>
      <c r="U102" s="129" t="n"/>
      <c r="V102" s="129" t="n"/>
      <c r="W102" s="129" t="n"/>
      <c r="X102" s="129" t="n"/>
      <c r="Y102" s="129" t="n"/>
      <c r="Z102" s="129" t="n"/>
      <c r="AA102" s="129" t="n"/>
      <c r="AB102" s="129" t="n"/>
      <c r="AC102" s="129" t="n"/>
    </row>
    <row r="103" customFormat="1" s="59">
      <c r="G103" s="208" t="n"/>
      <c r="T103" s="129" t="n"/>
      <c r="U103" s="129" t="n"/>
      <c r="V103" s="129" t="n"/>
      <c r="W103" s="129" t="n"/>
      <c r="X103" s="129" t="n"/>
      <c r="Y103" s="129" t="n"/>
      <c r="Z103" s="129" t="n"/>
      <c r="AA103" s="129" t="n"/>
      <c r="AB103" s="129" t="n"/>
      <c r="AC103" s="129" t="n"/>
    </row>
    <row r="104" customFormat="1" s="59">
      <c r="G104" s="208" t="n"/>
      <c r="T104" s="129" t="n"/>
      <c r="U104" s="129" t="n"/>
      <c r="V104" s="129" t="n"/>
      <c r="W104" s="129" t="n"/>
      <c r="X104" s="129" t="n"/>
      <c r="Y104" s="129" t="n"/>
      <c r="Z104" s="129" t="n"/>
      <c r="AA104" s="129" t="n"/>
      <c r="AB104" s="129" t="n"/>
      <c r="AC104" s="129" t="n"/>
    </row>
    <row r="105" customFormat="1" s="59">
      <c r="G105" s="208" t="n"/>
      <c r="T105" s="129" t="n"/>
      <c r="U105" s="129" t="n"/>
      <c r="V105" s="129" t="n"/>
      <c r="W105" s="129" t="n"/>
      <c r="X105" s="129" t="n"/>
      <c r="Y105" s="129" t="n"/>
      <c r="Z105" s="129" t="n"/>
      <c r="AA105" s="129" t="n"/>
      <c r="AB105" s="129" t="n"/>
      <c r="AC105" s="129" t="n"/>
    </row>
    <row r="106" customFormat="1" s="59">
      <c r="G106" s="208" t="n"/>
      <c r="T106" s="129" t="n"/>
      <c r="U106" s="129" t="n"/>
      <c r="V106" s="129" t="n"/>
      <c r="W106" s="129" t="n"/>
      <c r="X106" s="129" t="n"/>
      <c r="Y106" s="129" t="n"/>
      <c r="Z106" s="129" t="n"/>
      <c r="AA106" s="129" t="n"/>
      <c r="AB106" s="129" t="n"/>
      <c r="AC106" s="129" t="n"/>
    </row>
    <row r="107" customFormat="1" s="59">
      <c r="G107" s="208" t="n"/>
      <c r="T107" s="129" t="n"/>
      <c r="U107" s="129" t="n"/>
      <c r="V107" s="129" t="n"/>
      <c r="W107" s="129" t="n"/>
      <c r="X107" s="129" t="n"/>
      <c r="Y107" s="129" t="n"/>
      <c r="Z107" s="129" t="n"/>
      <c r="AA107" s="129" t="n"/>
      <c r="AB107" s="129" t="n"/>
      <c r="AC107" s="129" t="n"/>
    </row>
    <row r="108" customFormat="1" s="59">
      <c r="G108" s="208" t="n"/>
      <c r="T108" s="129" t="n"/>
      <c r="U108" s="129" t="n"/>
      <c r="V108" s="129" t="n"/>
      <c r="W108" s="129" t="n"/>
      <c r="X108" s="129" t="n"/>
      <c r="Y108" s="129" t="n"/>
      <c r="Z108" s="129" t="n"/>
      <c r="AA108" s="129" t="n"/>
      <c r="AB108" s="129" t="n"/>
      <c r="AC108" s="129" t="n"/>
    </row>
    <row r="109" customFormat="1" s="59">
      <c r="G109" s="208" t="n"/>
      <c r="T109" s="129" t="n"/>
      <c r="U109" s="129" t="n"/>
      <c r="V109" s="129" t="n"/>
      <c r="W109" s="129" t="n"/>
      <c r="X109" s="129" t="n"/>
      <c r="Y109" s="129" t="n"/>
      <c r="Z109" s="129" t="n"/>
      <c r="AA109" s="129" t="n"/>
      <c r="AB109" s="129" t="n"/>
      <c r="AC109" s="129" t="n"/>
    </row>
    <row r="110" customFormat="1" s="59">
      <c r="G110" s="208" t="n"/>
      <c r="T110" s="129" t="n"/>
      <c r="U110" s="129" t="n"/>
      <c r="V110" s="129" t="n"/>
      <c r="W110" s="129" t="n"/>
      <c r="X110" s="129" t="n"/>
      <c r="Y110" s="129" t="n"/>
      <c r="Z110" s="129" t="n"/>
      <c r="AA110" s="129" t="n"/>
      <c r="AB110" s="129" t="n"/>
      <c r="AC110" s="129" t="n"/>
    </row>
    <row r="111" customFormat="1" s="59">
      <c r="G111" s="208" t="n"/>
      <c r="T111" s="129" t="n"/>
      <c r="U111" s="129" t="n"/>
      <c r="V111" s="129" t="n"/>
      <c r="W111" s="129" t="n"/>
      <c r="X111" s="129" t="n"/>
      <c r="Y111" s="129" t="n"/>
      <c r="Z111" s="129" t="n"/>
      <c r="AA111" s="129" t="n"/>
      <c r="AB111" s="129" t="n"/>
      <c r="AC111" s="129" t="n"/>
    </row>
    <row r="112" customFormat="1" s="59">
      <c r="G112" s="208" t="n"/>
      <c r="T112" s="129" t="n"/>
      <c r="U112" s="129" t="n"/>
      <c r="V112" s="129" t="n"/>
      <c r="W112" s="129" t="n"/>
      <c r="X112" s="129" t="n"/>
      <c r="Y112" s="129" t="n"/>
      <c r="Z112" s="129" t="n"/>
      <c r="AA112" s="129" t="n"/>
      <c r="AB112" s="129" t="n"/>
      <c r="AC112" s="129" t="n"/>
    </row>
    <row r="113" customFormat="1" s="59">
      <c r="G113" s="208" t="n"/>
      <c r="T113" s="129" t="n"/>
      <c r="U113" s="129" t="n"/>
      <c r="V113" s="129" t="n"/>
      <c r="W113" s="129" t="n"/>
      <c r="X113" s="129" t="n"/>
      <c r="Y113" s="129" t="n"/>
      <c r="Z113" s="129" t="n"/>
      <c r="AA113" s="129" t="n"/>
      <c r="AB113" s="129" t="n"/>
      <c r="AC113" s="129" t="n"/>
    </row>
    <row r="114" customFormat="1" s="59">
      <c r="G114" s="208" t="n"/>
      <c r="T114" s="129" t="n"/>
      <c r="U114" s="129" t="n"/>
      <c r="V114" s="129" t="n"/>
      <c r="W114" s="129" t="n"/>
      <c r="X114" s="129" t="n"/>
      <c r="Y114" s="129" t="n"/>
      <c r="Z114" s="129" t="n"/>
      <c r="AA114" s="129" t="n"/>
      <c r="AB114" s="129" t="n"/>
      <c r="AC114" s="129" t="n"/>
    </row>
    <row r="115" customFormat="1" s="59">
      <c r="G115" s="208" t="n"/>
      <c r="T115" s="129" t="n"/>
      <c r="U115" s="129" t="n"/>
      <c r="V115" s="129" t="n"/>
      <c r="W115" s="129" t="n"/>
      <c r="X115" s="129" t="n"/>
      <c r="Y115" s="129" t="n"/>
      <c r="Z115" s="129" t="n"/>
      <c r="AA115" s="129" t="n"/>
      <c r="AB115" s="129" t="n"/>
      <c r="AC115" s="129" t="n"/>
    </row>
    <row r="116" customFormat="1" s="59">
      <c r="G116" s="208" t="n"/>
      <c r="T116" s="129" t="n"/>
      <c r="U116" s="129" t="n"/>
      <c r="V116" s="129" t="n"/>
      <c r="W116" s="129" t="n"/>
      <c r="X116" s="129" t="n"/>
      <c r="Y116" s="129" t="n"/>
      <c r="Z116" s="129" t="n"/>
      <c r="AA116" s="129" t="n"/>
      <c r="AB116" s="129" t="n"/>
      <c r="AC116" s="129" t="n"/>
    </row>
    <row r="117" customFormat="1" s="59">
      <c r="G117" s="208" t="n"/>
      <c r="T117" s="129" t="n"/>
      <c r="U117" s="129" t="n"/>
      <c r="V117" s="129" t="n"/>
      <c r="W117" s="129" t="n"/>
      <c r="X117" s="129" t="n"/>
      <c r="Y117" s="129" t="n"/>
      <c r="Z117" s="129" t="n"/>
      <c r="AA117" s="129" t="n"/>
      <c r="AB117" s="129" t="n"/>
      <c r="AC117" s="129" t="n"/>
    </row>
    <row r="118" customFormat="1" s="59">
      <c r="G118" s="208" t="n"/>
      <c r="T118" s="129" t="n"/>
      <c r="U118" s="129" t="n"/>
      <c r="V118" s="129" t="n"/>
      <c r="W118" s="129" t="n"/>
      <c r="X118" s="129" t="n"/>
      <c r="Y118" s="129" t="n"/>
      <c r="Z118" s="129" t="n"/>
      <c r="AA118" s="129" t="n"/>
      <c r="AB118" s="129" t="n"/>
      <c r="AC118" s="129" t="n"/>
    </row>
    <row r="119" customFormat="1" s="59">
      <c r="G119" s="208" t="n"/>
      <c r="T119" s="129" t="n"/>
      <c r="U119" s="129" t="n"/>
      <c r="V119" s="129" t="n"/>
      <c r="W119" s="129" t="n"/>
      <c r="X119" s="129" t="n"/>
      <c r="Y119" s="129" t="n"/>
      <c r="Z119" s="129" t="n"/>
      <c r="AA119" s="129" t="n"/>
      <c r="AB119" s="129" t="n"/>
      <c r="AC119" s="129" t="n"/>
    </row>
    <row r="120" customFormat="1" s="59">
      <c r="G120" s="208" t="n"/>
      <c r="T120" s="129" t="n"/>
      <c r="U120" s="129" t="n"/>
      <c r="V120" s="129" t="n"/>
      <c r="W120" s="129" t="n"/>
      <c r="X120" s="129" t="n"/>
      <c r="Y120" s="129" t="n"/>
      <c r="Z120" s="129" t="n"/>
      <c r="AA120" s="129" t="n"/>
      <c r="AB120" s="129" t="n"/>
      <c r="AC120" s="129" t="n"/>
    </row>
    <row r="121" customFormat="1" s="59">
      <c r="G121" s="208" t="n"/>
      <c r="T121" s="129" t="n"/>
      <c r="U121" s="129" t="n"/>
      <c r="V121" s="129" t="n"/>
      <c r="W121" s="129" t="n"/>
      <c r="X121" s="129" t="n"/>
      <c r="Y121" s="129" t="n"/>
      <c r="Z121" s="129" t="n"/>
      <c r="AA121" s="129" t="n"/>
      <c r="AB121" s="129" t="n"/>
      <c r="AC121" s="129" t="n"/>
    </row>
    <row r="122" customFormat="1" s="59">
      <c r="G122" s="208" t="n"/>
      <c r="T122" s="129" t="n"/>
      <c r="U122" s="129" t="n"/>
      <c r="V122" s="129" t="n"/>
      <c r="W122" s="129" t="n"/>
      <c r="X122" s="129" t="n"/>
      <c r="Y122" s="129" t="n"/>
      <c r="Z122" s="129" t="n"/>
      <c r="AA122" s="129" t="n"/>
      <c r="AB122" s="129" t="n"/>
      <c r="AC122" s="129" t="n"/>
    </row>
    <row r="123" customFormat="1" s="59">
      <c r="G123" s="208" t="n"/>
      <c r="T123" s="129" t="n"/>
      <c r="U123" s="129" t="n"/>
      <c r="V123" s="129" t="n"/>
      <c r="W123" s="129" t="n"/>
      <c r="X123" s="129" t="n"/>
      <c r="Y123" s="129" t="n"/>
      <c r="Z123" s="129" t="n"/>
      <c r="AA123" s="129" t="n"/>
      <c r="AB123" s="129" t="n"/>
      <c r="AC123" s="129" t="n"/>
    </row>
    <row r="124" customFormat="1" s="59">
      <c r="G124" s="208" t="n"/>
      <c r="T124" s="129" t="n"/>
      <c r="U124" s="129" t="n"/>
      <c r="V124" s="129" t="n"/>
      <c r="W124" s="129" t="n"/>
      <c r="X124" s="129" t="n"/>
      <c r="Y124" s="129" t="n"/>
      <c r="Z124" s="129" t="n"/>
      <c r="AA124" s="129" t="n"/>
      <c r="AB124" s="129" t="n"/>
      <c r="AC124" s="129" t="n"/>
    </row>
    <row r="125" customFormat="1" s="59">
      <c r="G125" s="208" t="n"/>
      <c r="T125" s="129" t="n"/>
      <c r="U125" s="129" t="n"/>
      <c r="V125" s="129" t="n"/>
      <c r="W125" s="129" t="n"/>
      <c r="X125" s="129" t="n"/>
      <c r="Y125" s="129" t="n"/>
      <c r="Z125" s="129" t="n"/>
      <c r="AA125" s="129" t="n"/>
      <c r="AB125" s="129" t="n"/>
      <c r="AC125" s="129" t="n"/>
    </row>
    <row r="126" customFormat="1" s="59">
      <c r="G126" s="208" t="n"/>
      <c r="T126" s="129" t="n"/>
      <c r="U126" s="129" t="n"/>
      <c r="V126" s="129" t="n"/>
      <c r="W126" s="129" t="n"/>
      <c r="X126" s="129" t="n"/>
      <c r="Y126" s="129" t="n"/>
      <c r="Z126" s="129" t="n"/>
      <c r="AA126" s="129" t="n"/>
      <c r="AB126" s="129" t="n"/>
      <c r="AC126" s="129" t="n"/>
    </row>
    <row r="127" customFormat="1" s="59">
      <c r="G127" s="208" t="n"/>
      <c r="T127" s="129" t="n"/>
      <c r="U127" s="129" t="n"/>
      <c r="V127" s="129" t="n"/>
      <c r="W127" s="129" t="n"/>
      <c r="X127" s="129" t="n"/>
      <c r="Y127" s="129" t="n"/>
      <c r="Z127" s="129" t="n"/>
      <c r="AA127" s="129" t="n"/>
      <c r="AB127" s="129" t="n"/>
      <c r="AC127" s="129" t="n"/>
    </row>
    <row r="128" customFormat="1" s="59">
      <c r="G128" s="208" t="n"/>
      <c r="T128" s="129" t="n"/>
      <c r="U128" s="129" t="n"/>
      <c r="V128" s="129" t="n"/>
      <c r="W128" s="129" t="n"/>
      <c r="X128" s="129" t="n"/>
      <c r="Y128" s="129" t="n"/>
      <c r="Z128" s="129" t="n"/>
      <c r="AA128" s="129" t="n"/>
      <c r="AB128" s="129" t="n"/>
      <c r="AC128" s="129" t="n"/>
    </row>
    <row r="129" customFormat="1" s="59">
      <c r="G129" s="208" t="n"/>
      <c r="T129" s="129" t="n"/>
      <c r="U129" s="129" t="n"/>
      <c r="V129" s="129" t="n"/>
      <c r="W129" s="129" t="n"/>
      <c r="X129" s="129" t="n"/>
      <c r="Y129" s="129" t="n"/>
      <c r="Z129" s="129" t="n"/>
      <c r="AA129" s="129" t="n"/>
      <c r="AB129" s="129" t="n"/>
      <c r="AC129" s="129" t="n"/>
    </row>
    <row r="130" customFormat="1" s="59">
      <c r="G130" s="208" t="n"/>
      <c r="T130" s="129" t="n"/>
      <c r="U130" s="129" t="n"/>
      <c r="V130" s="129" t="n"/>
      <c r="W130" s="129" t="n"/>
      <c r="X130" s="129" t="n"/>
      <c r="Y130" s="129" t="n"/>
      <c r="Z130" s="129" t="n"/>
      <c r="AA130" s="129" t="n"/>
      <c r="AB130" s="129" t="n"/>
      <c r="AC130" s="129" t="n"/>
    </row>
    <row r="131" customFormat="1" s="59">
      <c r="G131" s="208" t="n"/>
      <c r="T131" s="129" t="n"/>
      <c r="U131" s="129" t="n"/>
      <c r="V131" s="129" t="n"/>
      <c r="W131" s="129" t="n"/>
      <c r="X131" s="129" t="n"/>
      <c r="Y131" s="129" t="n"/>
      <c r="Z131" s="129" t="n"/>
      <c r="AA131" s="129" t="n"/>
      <c r="AB131" s="129" t="n"/>
      <c r="AC131" s="129" t="n"/>
    </row>
    <row r="132" customFormat="1" s="59">
      <c r="G132" s="208" t="n"/>
      <c r="T132" s="129" t="n"/>
      <c r="U132" s="129" t="n"/>
      <c r="V132" s="129" t="n"/>
      <c r="W132" s="129" t="n"/>
      <c r="X132" s="129" t="n"/>
      <c r="Y132" s="129" t="n"/>
      <c r="Z132" s="129" t="n"/>
      <c r="AA132" s="129" t="n"/>
      <c r="AB132" s="129" t="n"/>
      <c r="AC132" s="129" t="n"/>
    </row>
    <row r="133" customFormat="1" s="59">
      <c r="G133" s="208" t="n"/>
      <c r="T133" s="129" t="n"/>
      <c r="U133" s="129" t="n"/>
      <c r="V133" s="129" t="n"/>
      <c r="W133" s="129" t="n"/>
      <c r="X133" s="129" t="n"/>
      <c r="Y133" s="129" t="n"/>
      <c r="Z133" s="129" t="n"/>
      <c r="AA133" s="129" t="n"/>
      <c r="AB133" s="129" t="n"/>
      <c r="AC133" s="129" t="n"/>
    </row>
    <row r="134" customFormat="1" s="59">
      <c r="G134" s="208" t="n"/>
      <c r="T134" s="129" t="n"/>
      <c r="U134" s="129" t="n"/>
      <c r="V134" s="129" t="n"/>
      <c r="W134" s="129" t="n"/>
      <c r="X134" s="129" t="n"/>
      <c r="Y134" s="129" t="n"/>
      <c r="Z134" s="129" t="n"/>
      <c r="AA134" s="129" t="n"/>
      <c r="AB134" s="129" t="n"/>
      <c r="AC134" s="129" t="n"/>
    </row>
    <row r="135" customFormat="1" s="59">
      <c r="G135" s="208" t="n"/>
      <c r="T135" s="129" t="n"/>
      <c r="U135" s="129" t="n"/>
      <c r="V135" s="129" t="n"/>
      <c r="W135" s="129" t="n"/>
      <c r="X135" s="129" t="n"/>
      <c r="Y135" s="129" t="n"/>
      <c r="Z135" s="129" t="n"/>
      <c r="AA135" s="129" t="n"/>
      <c r="AB135" s="129" t="n"/>
      <c r="AC135" s="129" t="n"/>
    </row>
    <row r="136" customFormat="1" s="59">
      <c r="G136" s="208" t="n"/>
      <c r="T136" s="129" t="n"/>
      <c r="U136" s="129" t="n"/>
      <c r="V136" s="129" t="n"/>
      <c r="W136" s="129" t="n"/>
      <c r="X136" s="129" t="n"/>
      <c r="Y136" s="129" t="n"/>
      <c r="Z136" s="129" t="n"/>
      <c r="AA136" s="129" t="n"/>
      <c r="AB136" s="129" t="n"/>
      <c r="AC136" s="129" t="n"/>
    </row>
    <row r="137" customFormat="1" s="59">
      <c r="G137" s="208" t="n"/>
      <c r="T137" s="129" t="n"/>
      <c r="U137" s="129" t="n"/>
      <c r="V137" s="129" t="n"/>
      <c r="W137" s="129" t="n"/>
      <c r="X137" s="129" t="n"/>
      <c r="Y137" s="129" t="n"/>
      <c r="Z137" s="129" t="n"/>
      <c r="AA137" s="129" t="n"/>
      <c r="AB137" s="129" t="n"/>
      <c r="AC137" s="129" t="n"/>
    </row>
    <row r="138" customFormat="1" s="59">
      <c r="G138" s="208" t="n"/>
      <c r="T138" s="129" t="n"/>
      <c r="U138" s="129" t="n"/>
      <c r="V138" s="129" t="n"/>
      <c r="W138" s="129" t="n"/>
      <c r="X138" s="129" t="n"/>
      <c r="Y138" s="129" t="n"/>
      <c r="Z138" s="129" t="n"/>
      <c r="AA138" s="129" t="n"/>
      <c r="AB138" s="129" t="n"/>
      <c r="AC138" s="129" t="n"/>
    </row>
    <row r="139" customFormat="1" s="59">
      <c r="G139" s="208" t="n"/>
      <c r="T139" s="129" t="n"/>
      <c r="U139" s="129" t="n"/>
      <c r="V139" s="129" t="n"/>
      <c r="W139" s="129" t="n"/>
      <c r="X139" s="129" t="n"/>
      <c r="Y139" s="129" t="n"/>
      <c r="Z139" s="129" t="n"/>
      <c r="AA139" s="129" t="n"/>
      <c r="AB139" s="129" t="n"/>
      <c r="AC139" s="129" t="n"/>
    </row>
    <row r="140" customFormat="1" s="59">
      <c r="G140" s="208" t="n"/>
      <c r="T140" s="129" t="n"/>
      <c r="U140" s="129" t="n"/>
      <c r="V140" s="129" t="n"/>
      <c r="W140" s="129" t="n"/>
      <c r="X140" s="129" t="n"/>
      <c r="Y140" s="129" t="n"/>
      <c r="Z140" s="129" t="n"/>
      <c r="AA140" s="129" t="n"/>
      <c r="AB140" s="129" t="n"/>
      <c r="AC140" s="129" t="n"/>
    </row>
    <row r="141" customFormat="1" s="59">
      <c r="G141" s="208" t="n"/>
      <c r="T141" s="129" t="n"/>
      <c r="U141" s="129" t="n"/>
      <c r="V141" s="129" t="n"/>
      <c r="W141" s="129" t="n"/>
      <c r="X141" s="129" t="n"/>
      <c r="Y141" s="129" t="n"/>
      <c r="Z141" s="129" t="n"/>
      <c r="AA141" s="129" t="n"/>
      <c r="AB141" s="129" t="n"/>
      <c r="AC141" s="129" t="n"/>
    </row>
    <row r="142" customFormat="1" s="59">
      <c r="G142" s="208" t="n"/>
      <c r="T142" s="129" t="n"/>
      <c r="U142" s="129" t="n"/>
      <c r="V142" s="129" t="n"/>
      <c r="W142" s="129" t="n"/>
      <c r="X142" s="129" t="n"/>
      <c r="Y142" s="129" t="n"/>
      <c r="Z142" s="129" t="n"/>
      <c r="AA142" s="129" t="n"/>
      <c r="AB142" s="129" t="n"/>
      <c r="AC142" s="129" t="n"/>
    </row>
    <row r="143" customFormat="1" s="59">
      <c r="G143" s="208" t="n"/>
      <c r="T143" s="129" t="n"/>
      <c r="U143" s="129" t="n"/>
      <c r="V143" s="129" t="n"/>
      <c r="W143" s="129" t="n"/>
      <c r="X143" s="129" t="n"/>
      <c r="Y143" s="129" t="n"/>
      <c r="Z143" s="129" t="n"/>
      <c r="AA143" s="129" t="n"/>
      <c r="AB143" s="129" t="n"/>
      <c r="AC143" s="129" t="n"/>
    </row>
    <row r="144" customFormat="1" s="59">
      <c r="G144" s="208" t="n"/>
      <c r="T144" s="129" t="n"/>
      <c r="U144" s="129" t="n"/>
      <c r="V144" s="129" t="n"/>
      <c r="W144" s="129" t="n"/>
      <c r="X144" s="129" t="n"/>
      <c r="Y144" s="129" t="n"/>
      <c r="Z144" s="129" t="n"/>
      <c r="AA144" s="129" t="n"/>
      <c r="AB144" s="129" t="n"/>
      <c r="AC144" s="129" t="n"/>
    </row>
    <row r="145" customFormat="1" s="59">
      <c r="G145" s="208" t="n"/>
      <c r="T145" s="129" t="n"/>
      <c r="U145" s="129" t="n"/>
      <c r="V145" s="129" t="n"/>
      <c r="W145" s="129" t="n"/>
      <c r="X145" s="129" t="n"/>
      <c r="Y145" s="129" t="n"/>
      <c r="Z145" s="129" t="n"/>
      <c r="AA145" s="129" t="n"/>
      <c r="AB145" s="129" t="n"/>
      <c r="AC145" s="129" t="n"/>
    </row>
    <row r="146" customFormat="1" s="59">
      <c r="G146" s="208" t="n"/>
      <c r="T146" s="129" t="n"/>
      <c r="U146" s="129" t="n"/>
      <c r="V146" s="129" t="n"/>
      <c r="W146" s="129" t="n"/>
      <c r="X146" s="129" t="n"/>
      <c r="Y146" s="129" t="n"/>
      <c r="Z146" s="129" t="n"/>
      <c r="AA146" s="129" t="n"/>
      <c r="AB146" s="129" t="n"/>
      <c r="AC146" s="129" t="n"/>
    </row>
    <row r="147" customFormat="1" s="59">
      <c r="G147" s="208" t="n"/>
      <c r="T147" s="129" t="n"/>
      <c r="U147" s="129" t="n"/>
      <c r="V147" s="129" t="n"/>
      <c r="W147" s="129" t="n"/>
      <c r="X147" s="129" t="n"/>
      <c r="Y147" s="129" t="n"/>
      <c r="Z147" s="129" t="n"/>
      <c r="AA147" s="129" t="n"/>
      <c r="AB147" s="129" t="n"/>
      <c r="AC147" s="129" t="n"/>
    </row>
    <row r="148" customFormat="1" s="59">
      <c r="G148" s="208" t="n"/>
      <c r="T148" s="129" t="n"/>
      <c r="U148" s="129" t="n"/>
      <c r="V148" s="129" t="n"/>
      <c r="W148" s="129" t="n"/>
      <c r="X148" s="129" t="n"/>
      <c r="Y148" s="129" t="n"/>
      <c r="Z148" s="129" t="n"/>
      <c r="AA148" s="129" t="n"/>
      <c r="AB148" s="129" t="n"/>
      <c r="AC148" s="129" t="n"/>
    </row>
    <row r="149" customFormat="1" s="59">
      <c r="G149" s="208" t="n"/>
      <c r="T149" s="129" t="n"/>
      <c r="U149" s="129" t="n"/>
      <c r="V149" s="129" t="n"/>
      <c r="W149" s="129" t="n"/>
      <c r="X149" s="129" t="n"/>
      <c r="Y149" s="129" t="n"/>
      <c r="Z149" s="129" t="n"/>
      <c r="AA149" s="129" t="n"/>
      <c r="AB149" s="129" t="n"/>
      <c r="AC149" s="129" t="n"/>
    </row>
    <row r="150" customFormat="1" s="59">
      <c r="G150" s="208" t="n"/>
      <c r="T150" s="129" t="n"/>
      <c r="U150" s="129" t="n"/>
      <c r="V150" s="129" t="n"/>
      <c r="W150" s="129" t="n"/>
      <c r="X150" s="129" t="n"/>
      <c r="Y150" s="129" t="n"/>
      <c r="Z150" s="129" t="n"/>
      <c r="AA150" s="129" t="n"/>
      <c r="AB150" s="129" t="n"/>
      <c r="AC150" s="129" t="n"/>
    </row>
    <row r="151" customFormat="1" s="59">
      <c r="G151" s="208" t="n"/>
      <c r="T151" s="129" t="n"/>
      <c r="U151" s="129" t="n"/>
      <c r="V151" s="129" t="n"/>
      <c r="W151" s="129" t="n"/>
      <c r="X151" s="129" t="n"/>
      <c r="Y151" s="129" t="n"/>
      <c r="Z151" s="129" t="n"/>
      <c r="AA151" s="129" t="n"/>
      <c r="AB151" s="129" t="n"/>
      <c r="AC151" s="129" t="n"/>
    </row>
    <row r="152" customFormat="1" s="59">
      <c r="G152" s="208" t="n"/>
      <c r="T152" s="129" t="n"/>
      <c r="U152" s="129" t="n"/>
      <c r="V152" s="129" t="n"/>
      <c r="W152" s="129" t="n"/>
      <c r="X152" s="129" t="n"/>
      <c r="Y152" s="129" t="n"/>
      <c r="Z152" s="129" t="n"/>
      <c r="AA152" s="129" t="n"/>
      <c r="AB152" s="129" t="n"/>
      <c r="AC152" s="129" t="n"/>
    </row>
    <row r="153" customFormat="1" s="59">
      <c r="G153" s="208" t="n"/>
      <c r="T153" s="129" t="n"/>
      <c r="U153" s="129" t="n"/>
      <c r="V153" s="129" t="n"/>
      <c r="W153" s="129" t="n"/>
      <c r="X153" s="129" t="n"/>
      <c r="Y153" s="129" t="n"/>
      <c r="Z153" s="129" t="n"/>
      <c r="AA153" s="129" t="n"/>
      <c r="AB153" s="129" t="n"/>
      <c r="AC153" s="129" t="n"/>
    </row>
    <row r="154" customFormat="1" s="59">
      <c r="G154" s="208" t="n"/>
      <c r="T154" s="129" t="n"/>
      <c r="U154" s="129" t="n"/>
      <c r="V154" s="129" t="n"/>
      <c r="W154" s="129" t="n"/>
      <c r="X154" s="129" t="n"/>
      <c r="Y154" s="129" t="n"/>
      <c r="Z154" s="129" t="n"/>
      <c r="AA154" s="129" t="n"/>
      <c r="AB154" s="129" t="n"/>
      <c r="AC154" s="129" t="n"/>
    </row>
    <row r="155" customFormat="1" s="59">
      <c r="G155" s="208" t="n"/>
      <c r="T155" s="129" t="n"/>
      <c r="U155" s="129" t="n"/>
      <c r="V155" s="129" t="n"/>
      <c r="W155" s="129" t="n"/>
      <c r="X155" s="129" t="n"/>
      <c r="Y155" s="129" t="n"/>
      <c r="Z155" s="129" t="n"/>
      <c r="AA155" s="129" t="n"/>
      <c r="AB155" s="129" t="n"/>
      <c r="AC155" s="129" t="n"/>
    </row>
    <row r="156" customFormat="1" s="59">
      <c r="G156" s="208" t="n"/>
      <c r="T156" s="129" t="n"/>
      <c r="U156" s="129" t="n"/>
      <c r="V156" s="129" t="n"/>
      <c r="W156" s="129" t="n"/>
      <c r="X156" s="129" t="n"/>
      <c r="Y156" s="129" t="n"/>
      <c r="Z156" s="129" t="n"/>
      <c r="AA156" s="129" t="n"/>
      <c r="AB156" s="129" t="n"/>
      <c r="AC156" s="129" t="n"/>
    </row>
    <row r="157" customFormat="1" s="59">
      <c r="G157" s="208" t="n"/>
      <c r="T157" s="129" t="n"/>
      <c r="U157" s="129" t="n"/>
      <c r="V157" s="129" t="n"/>
      <c r="W157" s="129" t="n"/>
      <c r="X157" s="129" t="n"/>
      <c r="Y157" s="129" t="n"/>
      <c r="Z157" s="129" t="n"/>
      <c r="AA157" s="129" t="n"/>
      <c r="AB157" s="129" t="n"/>
      <c r="AC157" s="129" t="n"/>
    </row>
    <row r="158" customFormat="1" s="59">
      <c r="G158" s="208" t="n"/>
      <c r="T158" s="129" t="n"/>
      <c r="U158" s="129" t="n"/>
      <c r="V158" s="129" t="n"/>
      <c r="W158" s="129" t="n"/>
      <c r="X158" s="129" t="n"/>
      <c r="Y158" s="129" t="n"/>
      <c r="Z158" s="129" t="n"/>
      <c r="AA158" s="129" t="n"/>
      <c r="AB158" s="129" t="n"/>
      <c r="AC158" s="129" t="n"/>
    </row>
    <row r="159" customFormat="1" s="59">
      <c r="G159" s="208" t="n"/>
      <c r="T159" s="129" t="n"/>
      <c r="U159" s="129" t="n"/>
      <c r="V159" s="129" t="n"/>
      <c r="W159" s="129" t="n"/>
      <c r="X159" s="129" t="n"/>
      <c r="Y159" s="129" t="n"/>
      <c r="Z159" s="129" t="n"/>
      <c r="AA159" s="129" t="n"/>
      <c r="AB159" s="129" t="n"/>
      <c r="AC159" s="129" t="n"/>
    </row>
    <row r="160" customFormat="1" s="59">
      <c r="G160" s="208" t="n"/>
      <c r="T160" s="129" t="n"/>
      <c r="U160" s="129" t="n"/>
      <c r="V160" s="129" t="n"/>
      <c r="W160" s="129" t="n"/>
      <c r="X160" s="129" t="n"/>
      <c r="Y160" s="129" t="n"/>
      <c r="Z160" s="129" t="n"/>
      <c r="AA160" s="129" t="n"/>
      <c r="AB160" s="129" t="n"/>
      <c r="AC160" s="129" t="n"/>
    </row>
    <row r="161" customFormat="1" s="59">
      <c r="G161" s="208" t="n"/>
      <c r="T161" s="129" t="n"/>
      <c r="U161" s="129" t="n"/>
      <c r="V161" s="129" t="n"/>
      <c r="W161" s="129" t="n"/>
      <c r="X161" s="129" t="n"/>
      <c r="Y161" s="129" t="n"/>
      <c r="Z161" s="129" t="n"/>
      <c r="AA161" s="129" t="n"/>
      <c r="AB161" s="129" t="n"/>
      <c r="AC161" s="129" t="n"/>
    </row>
    <row r="162" customFormat="1" s="59">
      <c r="G162" s="208" t="n"/>
      <c r="T162" s="129" t="n"/>
      <c r="U162" s="129" t="n"/>
      <c r="V162" s="129" t="n"/>
      <c r="W162" s="129" t="n"/>
      <c r="X162" s="129" t="n"/>
      <c r="Y162" s="129" t="n"/>
      <c r="Z162" s="129" t="n"/>
      <c r="AA162" s="129" t="n"/>
      <c r="AB162" s="129" t="n"/>
      <c r="AC162" s="129" t="n"/>
    </row>
    <row r="163" customFormat="1" s="59">
      <c r="G163" s="208" t="n"/>
      <c r="T163" s="129" t="n"/>
      <c r="U163" s="129" t="n"/>
      <c r="V163" s="129" t="n"/>
      <c r="W163" s="129" t="n"/>
      <c r="X163" s="129" t="n"/>
      <c r="Y163" s="129" t="n"/>
      <c r="Z163" s="129" t="n"/>
      <c r="AA163" s="129" t="n"/>
      <c r="AB163" s="129" t="n"/>
      <c r="AC163" s="129" t="n"/>
    </row>
    <row r="164" customFormat="1" s="59">
      <c r="G164" s="208" t="n"/>
      <c r="T164" s="129" t="n"/>
      <c r="U164" s="129" t="n"/>
      <c r="V164" s="129" t="n"/>
      <c r="W164" s="129" t="n"/>
      <c r="X164" s="129" t="n"/>
      <c r="Y164" s="129" t="n"/>
      <c r="Z164" s="129" t="n"/>
      <c r="AA164" s="129" t="n"/>
      <c r="AB164" s="129" t="n"/>
      <c r="AC164" s="129" t="n"/>
    </row>
    <row r="165" customFormat="1" s="59">
      <c r="G165" s="208" t="n"/>
      <c r="T165" s="129" t="n"/>
      <c r="U165" s="129" t="n"/>
      <c r="V165" s="129" t="n"/>
      <c r="W165" s="129" t="n"/>
      <c r="X165" s="129" t="n"/>
      <c r="Y165" s="129" t="n"/>
      <c r="Z165" s="129" t="n"/>
      <c r="AA165" s="129" t="n"/>
      <c r="AB165" s="129" t="n"/>
      <c r="AC165" s="129" t="n"/>
    </row>
    <row r="166" customFormat="1" s="59">
      <c r="G166" s="208" t="n"/>
      <c r="T166" s="129" t="n"/>
      <c r="U166" s="129" t="n"/>
      <c r="V166" s="129" t="n"/>
      <c r="W166" s="129" t="n"/>
      <c r="X166" s="129" t="n"/>
      <c r="Y166" s="129" t="n"/>
      <c r="Z166" s="129" t="n"/>
      <c r="AA166" s="129" t="n"/>
      <c r="AB166" s="129" t="n"/>
      <c r="AC166" s="129" t="n"/>
    </row>
    <row r="167" customFormat="1" s="59">
      <c r="G167" s="208" t="n"/>
      <c r="T167" s="129" t="n"/>
      <c r="U167" s="129" t="n"/>
      <c r="V167" s="129" t="n"/>
      <c r="W167" s="129" t="n"/>
      <c r="X167" s="129" t="n"/>
      <c r="Y167" s="129" t="n"/>
      <c r="Z167" s="129" t="n"/>
      <c r="AA167" s="129" t="n"/>
      <c r="AB167" s="129" t="n"/>
      <c r="AC167" s="129" t="n"/>
    </row>
    <row r="168" customFormat="1" s="59">
      <c r="G168" s="208" t="n"/>
      <c r="T168" s="129" t="n"/>
      <c r="U168" s="129" t="n"/>
      <c r="V168" s="129" t="n"/>
      <c r="W168" s="129" t="n"/>
      <c r="X168" s="129" t="n"/>
      <c r="Y168" s="129" t="n"/>
      <c r="Z168" s="129" t="n"/>
      <c r="AA168" s="129" t="n"/>
      <c r="AB168" s="129" t="n"/>
      <c r="AC168" s="129" t="n"/>
    </row>
    <row r="169" customFormat="1" s="59">
      <c r="G169" s="208" t="n"/>
      <c r="T169" s="129" t="n"/>
      <c r="U169" s="129" t="n"/>
      <c r="V169" s="129" t="n"/>
      <c r="W169" s="129" t="n"/>
      <c r="X169" s="129" t="n"/>
      <c r="Y169" s="129" t="n"/>
      <c r="Z169" s="129" t="n"/>
      <c r="AA169" s="129" t="n"/>
      <c r="AB169" s="129" t="n"/>
      <c r="AC169" s="129" t="n"/>
    </row>
    <row r="170" customFormat="1" s="59">
      <c r="G170" s="208" t="n"/>
      <c r="T170" s="129" t="n"/>
      <c r="U170" s="129" t="n"/>
      <c r="V170" s="129" t="n"/>
      <c r="W170" s="129" t="n"/>
      <c r="X170" s="129" t="n"/>
      <c r="Y170" s="129" t="n"/>
      <c r="Z170" s="129" t="n"/>
      <c r="AA170" s="129" t="n"/>
      <c r="AB170" s="129" t="n"/>
      <c r="AC170" s="129" t="n"/>
    </row>
    <row r="171" customFormat="1" s="59">
      <c r="G171" s="208" t="n"/>
      <c r="T171" s="129" t="n"/>
      <c r="U171" s="129" t="n"/>
      <c r="V171" s="129" t="n"/>
      <c r="W171" s="129" t="n"/>
      <c r="X171" s="129" t="n"/>
      <c r="Y171" s="129" t="n"/>
      <c r="Z171" s="129" t="n"/>
      <c r="AA171" s="129" t="n"/>
      <c r="AB171" s="129" t="n"/>
      <c r="AC171" s="129" t="n"/>
    </row>
    <row r="172" customFormat="1" s="59">
      <c r="G172" s="208" t="n"/>
      <c r="T172" s="129" t="n"/>
      <c r="U172" s="129" t="n"/>
      <c r="V172" s="129" t="n"/>
      <c r="W172" s="129" t="n"/>
      <c r="X172" s="129" t="n"/>
      <c r="Y172" s="129" t="n"/>
      <c r="Z172" s="129" t="n"/>
      <c r="AA172" s="129" t="n"/>
      <c r="AB172" s="129" t="n"/>
      <c r="AC172" s="129" t="n"/>
    </row>
    <row r="173" customFormat="1" s="59">
      <c r="G173" s="208" t="n"/>
      <c r="T173" s="129" t="n"/>
      <c r="U173" s="129" t="n"/>
      <c r="V173" s="129" t="n"/>
      <c r="W173" s="129" t="n"/>
      <c r="X173" s="129" t="n"/>
      <c r="Y173" s="129" t="n"/>
      <c r="Z173" s="129" t="n"/>
      <c r="AA173" s="129" t="n"/>
      <c r="AB173" s="129" t="n"/>
      <c r="AC173" s="129" t="n"/>
    </row>
    <row r="174" customFormat="1" s="59">
      <c r="G174" s="208" t="n"/>
      <c r="T174" s="129" t="n"/>
      <c r="U174" s="129" t="n"/>
      <c r="V174" s="129" t="n"/>
      <c r="W174" s="129" t="n"/>
      <c r="X174" s="129" t="n"/>
      <c r="Y174" s="129" t="n"/>
      <c r="Z174" s="129" t="n"/>
      <c r="AA174" s="129" t="n"/>
      <c r="AB174" s="129" t="n"/>
      <c r="AC174" s="129" t="n"/>
    </row>
    <row r="175" customFormat="1" s="59">
      <c r="G175" s="208" t="n"/>
      <c r="T175" s="129" t="n"/>
      <c r="U175" s="129" t="n"/>
      <c r="V175" s="129" t="n"/>
      <c r="W175" s="129" t="n"/>
      <c r="X175" s="129" t="n"/>
      <c r="Y175" s="129" t="n"/>
      <c r="Z175" s="129" t="n"/>
      <c r="AA175" s="129" t="n"/>
      <c r="AB175" s="129" t="n"/>
      <c r="AC175" s="129" t="n"/>
    </row>
    <row r="176" customFormat="1" s="59">
      <c r="G176" s="208" t="n"/>
      <c r="T176" s="129" t="n"/>
      <c r="U176" s="129" t="n"/>
      <c r="V176" s="129" t="n"/>
      <c r="W176" s="129" t="n"/>
      <c r="X176" s="129" t="n"/>
      <c r="Y176" s="129" t="n"/>
      <c r="Z176" s="129" t="n"/>
      <c r="AA176" s="129" t="n"/>
      <c r="AB176" s="129" t="n"/>
      <c r="AC176" s="129" t="n"/>
    </row>
    <row r="177" customFormat="1" s="59">
      <c r="G177" s="208" t="n"/>
      <c r="T177" s="129" t="n"/>
      <c r="U177" s="129" t="n"/>
      <c r="V177" s="129" t="n"/>
      <c r="W177" s="129" t="n"/>
      <c r="X177" s="129" t="n"/>
      <c r="Y177" s="129" t="n"/>
      <c r="Z177" s="129" t="n"/>
      <c r="AA177" s="129" t="n"/>
      <c r="AB177" s="129" t="n"/>
      <c r="AC177" s="129" t="n"/>
    </row>
    <row r="178" customFormat="1" s="59">
      <c r="G178" s="208" t="n"/>
      <c r="T178" s="129" t="n"/>
      <c r="U178" s="129" t="n"/>
      <c r="V178" s="129" t="n"/>
      <c r="W178" s="129" t="n"/>
      <c r="X178" s="129" t="n"/>
      <c r="Y178" s="129" t="n"/>
      <c r="Z178" s="129" t="n"/>
      <c r="AA178" s="129" t="n"/>
      <c r="AB178" s="129" t="n"/>
      <c r="AC178" s="129" t="n"/>
    </row>
    <row r="179" customFormat="1" s="59">
      <c r="G179" s="208" t="n"/>
      <c r="T179" s="129" t="n"/>
      <c r="U179" s="129" t="n"/>
      <c r="V179" s="129" t="n"/>
      <c r="W179" s="129" t="n"/>
      <c r="X179" s="129" t="n"/>
      <c r="Y179" s="129" t="n"/>
      <c r="Z179" s="129" t="n"/>
      <c r="AA179" s="129" t="n"/>
      <c r="AB179" s="129" t="n"/>
      <c r="AC179" s="129" t="n"/>
    </row>
    <row r="180" customFormat="1" s="59">
      <c r="G180" s="208" t="n"/>
      <c r="T180" s="129" t="n"/>
      <c r="U180" s="129" t="n"/>
      <c r="V180" s="129" t="n"/>
      <c r="W180" s="129" t="n"/>
      <c r="X180" s="129" t="n"/>
      <c r="Y180" s="129" t="n"/>
      <c r="Z180" s="129" t="n"/>
      <c r="AA180" s="129" t="n"/>
      <c r="AB180" s="129" t="n"/>
      <c r="AC180" s="129" t="n"/>
    </row>
  </sheetData>
  <mergeCells count="5">
    <mergeCell ref="X20:Z20"/>
    <mergeCell ref="D2:E2"/>
    <mergeCell ref="T8:AC8"/>
    <mergeCell ref="D4:E4"/>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A1:N22"/>
  <sheetViews>
    <sheetView workbookViewId="0">
      <selection activeCell="A1" sqref="A1"/>
    </sheetView>
  </sheetViews>
  <sheetFormatPr baseColWidth="8" defaultRowHeight="15"/>
  <cols>
    <col width="4.140625" customWidth="1" min="1" max="1"/>
    <col width="13" customWidth="1" min="2" max="2"/>
    <col width="23.28515625" customWidth="1" min="3" max="3"/>
    <col width="14.140625" customWidth="1" min="6" max="6"/>
    <col width="3.42578125" customWidth="1" min="7" max="7"/>
    <col width="1" customWidth="1" style="3" min="11" max="11"/>
    <col width="37.140625" customWidth="1" min="13" max="13"/>
    <col width="8.7109375" customWidth="1" min="14" max="14"/>
  </cols>
  <sheetData>
    <row r="1">
      <c r="M1" s="150" t="inlineStr">
        <is>
          <t>Summary/Output</t>
        </is>
      </c>
    </row>
    <row r="2"/>
    <row r="3" ht="21" customHeight="1">
      <c r="C3" s="735" t="inlineStr">
        <is>
          <t>Investor Return Summary</t>
        </is>
      </c>
    </row>
    <row r="4" ht="20.45" customHeight="1">
      <c r="C4" s="250" t="inlineStr">
        <is>
          <t>10  Year Return Summary</t>
        </is>
      </c>
      <c r="M4" s="507" t="inlineStr">
        <is>
          <t>Send LOI?</t>
        </is>
      </c>
      <c r="N4" t="inlineStr">
        <is>
          <t>No</t>
        </is>
      </c>
    </row>
    <row r="5" ht="18.6" customHeight="1">
      <c r="C5" s="474" t="inlineStr">
        <is>
          <t>Deal Level</t>
        </is>
      </c>
      <c r="D5" s="475" t="inlineStr">
        <is>
          <t>Exit Cap Rate 100 bps over in-going</t>
        </is>
      </c>
      <c r="E5" s="476" t="n"/>
      <c r="F5" s="476" t="n"/>
      <c r="G5" s="476" t="n"/>
      <c r="M5" s="508" t="inlineStr">
        <is>
          <t>Reason if No</t>
        </is>
      </c>
    </row>
    <row r="6" ht="18.6" customHeight="1">
      <c r="C6" s="477" t="inlineStr">
        <is>
          <t>IRR</t>
        </is>
      </c>
      <c r="D6" s="478" t="n"/>
      <c r="E6" s="478" t="n"/>
      <c r="F6" s="795">
        <f>'Waterfall (10-yr)'!D30</f>
        <v/>
      </c>
      <c r="G6" s="478" t="n"/>
    </row>
    <row r="7" ht="17.45" customHeight="1">
      <c r="C7" s="477" t="inlineStr">
        <is>
          <t>Equity Multiple</t>
        </is>
      </c>
      <c r="D7" s="478" t="n"/>
      <c r="E7" s="478" t="n"/>
      <c r="F7" s="480">
        <f>'Waterfall (10-yr)'!D31</f>
        <v/>
      </c>
      <c r="G7" s="478" t="inlineStr">
        <is>
          <t>x</t>
        </is>
      </c>
    </row>
    <row r="8" ht="15.95" customHeight="1">
      <c r="C8" s="477" t="inlineStr">
        <is>
          <t>Cash on Cash Avg Y1-Y9</t>
        </is>
      </c>
      <c r="D8" s="478" t="n"/>
      <c r="E8" s="478" t="n"/>
      <c r="F8" s="795">
        <f>AVERAGE('Waterfall (10-yr)'!G31:O31)</f>
        <v/>
      </c>
      <c r="G8" s="478" t="n"/>
      <c r="H8" s="481" t="n"/>
      <c r="I8" s="482" t="n"/>
    </row>
    <row r="9" hidden="1" ht="15" customHeight="1" thickTop="1">
      <c r="C9" s="485" t="n"/>
      <c r="D9" s="485" t="n"/>
      <c r="E9" s="485" t="n"/>
      <c r="F9" s="485" t="n"/>
      <c r="G9" s="485" t="n"/>
    </row>
    <row r="10" hidden="1" ht="18.6" customHeight="1">
      <c r="C10" s="250" t="n"/>
    </row>
    <row r="11" hidden="1" ht="21.6" customHeight="1">
      <c r="C11" s="474" t="n"/>
      <c r="D11" s="476" t="n"/>
      <c r="E11" s="476" t="n"/>
      <c r="F11" s="476" t="n"/>
      <c r="G11" s="486" t="n"/>
    </row>
    <row r="12" hidden="1" ht="17.1" customHeight="1">
      <c r="C12" s="483" t="n"/>
      <c r="F12" s="796" t="n"/>
    </row>
    <row r="13" hidden="1" ht="18" customHeight="1">
      <c r="C13" s="483" t="n"/>
      <c r="F13" s="488" t="n"/>
    </row>
    <row r="14" hidden="1" ht="17.45" customHeight="1">
      <c r="C14" s="483" t="n"/>
      <c r="F14" s="797" t="n"/>
    </row>
    <row r="15" ht="15.75" customHeight="1" thickBot="1"/>
    <row r="16" ht="16.5" customHeight="1" thickTop="1">
      <c r="C16" s="489" t="n"/>
      <c r="D16" s="485" t="n"/>
      <c r="E16" s="485" t="n"/>
      <c r="F16" s="485" t="n"/>
      <c r="G16" s="485" t="n"/>
    </row>
    <row r="17" ht="18.75" customHeight="1">
      <c r="C17" s="250" t="inlineStr">
        <is>
          <t>5 Year Return Summary</t>
        </is>
      </c>
      <c r="D17" s="476" t="n"/>
      <c r="E17" s="476" t="n"/>
      <c r="F17" s="476" t="n"/>
      <c r="G17" s="486" t="n"/>
    </row>
    <row r="18" ht="15.75" customHeight="1">
      <c r="C18" s="474" t="inlineStr">
        <is>
          <t>Deal Level</t>
        </is>
      </c>
      <c r="D18" s="475" t="inlineStr">
        <is>
          <t>Exit Cap Rate 100 bps over in-going</t>
        </is>
      </c>
      <c r="F18" s="490" t="n"/>
    </row>
    <row r="19" ht="15.75" customHeight="1">
      <c r="C19" s="477" t="inlineStr">
        <is>
          <t>IRR</t>
        </is>
      </c>
      <c r="D19" s="478" t="n"/>
      <c r="E19" s="478" t="n"/>
      <c r="F19" s="795">
        <f>'Waterfall (5-yr) '!D30</f>
        <v/>
      </c>
    </row>
    <row r="20" ht="15.75" customHeight="1">
      <c r="C20" s="477" t="inlineStr">
        <is>
          <t>Equity Multiple</t>
        </is>
      </c>
      <c r="D20" s="478" t="n"/>
      <c r="E20" s="478" t="n"/>
      <c r="F20" s="480">
        <f>'Waterfall (5-yr) '!D31</f>
        <v/>
      </c>
      <c r="G20" t="inlineStr">
        <is>
          <t>x</t>
        </is>
      </c>
    </row>
    <row r="21" ht="15.75" customHeight="1">
      <c r="C21" s="477" t="inlineStr">
        <is>
          <t>Cash on Cash Avg Y1-Y4</t>
        </is>
      </c>
      <c r="D21" s="478" t="n"/>
      <c r="E21" s="478" t="n"/>
      <c r="F21" s="795">
        <f>AVERAGE('Waterfall (5-yr) '!G31:J31)</f>
        <v/>
      </c>
    </row>
    <row r="22">
      <c r="C22" s="503" t="n"/>
    </row>
  </sheetData>
  <mergeCells count="1">
    <mergeCell ref="C3:G3"/>
  </mergeCells>
  <dataValidations disablePrompts="1"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S277"/>
  <sheetViews>
    <sheetView workbookViewId="0">
      <selection activeCell="A1" sqref="A1"/>
    </sheetView>
  </sheetViews>
  <sheetFormatPr baseColWidth="8" defaultColWidth="0" defaultRowHeight="15"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6"/>
    <col width="9.140625" customWidth="1" style="342" min="17" max="23"/>
    <col hidden="1" style="342" min="24"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c r="L2" s="346" t="n"/>
      <c r="M2" s="346" t="n"/>
      <c r="N2" s="346" t="n"/>
      <c r="O2" s="346" t="n"/>
      <c r="P2" s="346" t="n"/>
    </row>
    <row r="3" ht="5.1" customHeight="1">
      <c r="B3" s="146" t="n"/>
      <c r="C3" s="74" t="n"/>
      <c r="D3" s="74" t="n"/>
      <c r="E3" s="74" t="n"/>
      <c r="F3" s="347" t="n"/>
      <c r="G3" s="347" t="n"/>
      <c r="H3" s="347" t="n"/>
      <c r="I3" s="347" t="n"/>
      <c r="J3" s="347" t="n"/>
      <c r="K3" s="347" t="n"/>
      <c r="L3" s="347" t="n"/>
      <c r="M3" s="347" t="n"/>
      <c r="N3" s="347" t="n"/>
      <c r="O3" s="347" t="n"/>
      <c r="P3" s="347" t="n"/>
    </row>
    <row r="4" ht="15.75" customHeight="1">
      <c r="B4" s="146" t="inlineStr">
        <is>
          <t>Promote Hurdle Method</t>
        </is>
      </c>
      <c r="C4" s="74" t="n"/>
      <c r="D4" s="348" t="inlineStr">
        <is>
          <t>IRR</t>
        </is>
      </c>
      <c r="E4" s="349" t="inlineStr">
        <is>
          <t>GP Catch Up?</t>
        </is>
      </c>
      <c r="F4" s="350" t="n"/>
      <c r="G4" s="350" t="n"/>
      <c r="H4" s="350" t="n"/>
      <c r="I4" s="350" t="n"/>
      <c r="J4" s="347" t="n"/>
      <c r="K4" s="347" t="n"/>
      <c r="L4" s="347" t="n"/>
      <c r="M4" s="347" t="n"/>
      <c r="N4" s="347" t="n"/>
      <c r="O4" s="347" t="n"/>
      <c r="P4" s="347" t="n"/>
    </row>
    <row r="5" ht="15.75" customHeight="1">
      <c r="B5" s="146" t="inlineStr">
        <is>
          <t># of Tiers</t>
        </is>
      </c>
      <c r="C5" s="74" t="n"/>
      <c r="D5" s="348" t="inlineStr">
        <is>
          <t>3-Tier</t>
        </is>
      </c>
      <c r="E5" s="349" t="n"/>
      <c r="F5" s="350" t="n"/>
      <c r="G5" s="350" t="n"/>
      <c r="H5" s="350" t="n"/>
      <c r="I5" s="350" t="n"/>
      <c r="J5" s="347" t="n"/>
      <c r="K5" s="347" t="n"/>
      <c r="L5" s="347" t="n"/>
      <c r="M5" s="347" t="n"/>
      <c r="N5" s="347" t="n"/>
      <c r="O5" s="347" t="n"/>
      <c r="P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c r="L6" s="347" t="n"/>
      <c r="M6" s="347" t="n"/>
      <c r="N6" s="347" t="n"/>
      <c r="O6" s="347" t="n"/>
      <c r="P6" s="347" t="n"/>
    </row>
    <row r="7" ht="5.1" customHeight="1">
      <c r="B7" s="59" t="n"/>
      <c r="C7" s="59" t="n"/>
      <c r="D7" s="353" t="n"/>
      <c r="F7" s="150" t="n"/>
      <c r="G7" s="150" t="n"/>
      <c r="H7" s="150" t="n"/>
      <c r="I7" s="150" t="n"/>
      <c r="J7" s="208" t="n"/>
      <c r="K7" s="208" t="n"/>
      <c r="L7" s="208" t="n"/>
      <c r="M7" s="347" t="n"/>
      <c r="N7" s="347" t="n"/>
      <c r="O7" s="347" t="n"/>
      <c r="P7" s="347" t="n"/>
    </row>
    <row r="8" ht="16.5" customHeight="1" thickBot="1">
      <c r="B8" s="354" t="inlineStr">
        <is>
          <t>Equity Contributions</t>
        </is>
      </c>
      <c r="C8" s="355" t="inlineStr">
        <is>
          <t>%</t>
        </is>
      </c>
      <c r="D8" s="355" t="inlineStr">
        <is>
          <t>Amount</t>
        </is>
      </c>
      <c r="F8" s="356" t="n"/>
      <c r="G8" s="150" t="n"/>
      <c r="H8" s="150" t="n"/>
      <c r="I8" s="150" t="n"/>
      <c r="J8" s="208" t="n"/>
      <c r="K8" s="208" t="n"/>
      <c r="L8" s="208" t="n"/>
      <c r="M8" s="347" t="n"/>
      <c r="N8" s="347" t="n"/>
      <c r="O8" s="347" t="n"/>
      <c r="P8" s="347" t="n"/>
    </row>
    <row r="9">
      <c r="B9" s="59" t="inlineStr">
        <is>
          <t>General Partner (GP)</t>
        </is>
      </c>
      <c r="C9" s="798">
        <f>'Sources and Uses'!E8</f>
        <v/>
      </c>
      <c r="D9" s="358">
        <f>Equity_Share_GP*Total_Equity</f>
        <v/>
      </c>
      <c r="E9" s="59" t="n"/>
      <c r="F9" s="359" t="n"/>
      <c r="G9" s="360" t="n"/>
      <c r="H9" s="208" t="n"/>
      <c r="I9" s="208" t="n"/>
      <c r="J9" s="208" t="n"/>
      <c r="K9" s="361" t="inlineStr">
        <is>
          <t>Error Check:</t>
        </is>
      </c>
      <c r="L9" s="362">
        <f>IF(ROUND(L11,0)=ROUND(L10,0),"OK","Error")</f>
        <v/>
      </c>
      <c r="M9" s="208" t="n"/>
      <c r="N9" s="208" t="n"/>
      <c r="O9" s="208" t="n"/>
      <c r="P9" s="208" t="n"/>
    </row>
    <row r="10">
      <c r="B10" s="59" t="inlineStr">
        <is>
          <t>Limited Partner (LP)</t>
        </is>
      </c>
      <c r="C10" s="799">
        <f>1-C9</f>
        <v/>
      </c>
      <c r="D10" s="364">
        <f>Total_Equity*Equity_Share_LP</f>
        <v/>
      </c>
      <c r="E10" s="59" t="n"/>
      <c r="F10" s="359" t="n"/>
      <c r="G10" s="360" t="n"/>
      <c r="H10" s="208" t="n"/>
      <c r="I10" s="208" t="n"/>
      <c r="J10" s="208" t="n"/>
      <c r="K10" s="365" t="inlineStr">
        <is>
          <t>Profit Dist.:</t>
        </is>
      </c>
      <c r="L10" s="800">
        <f>(D29+D41)/1000000</f>
        <v/>
      </c>
      <c r="M10" s="208" t="n"/>
      <c r="N10" s="208" t="n"/>
      <c r="O10" s="208" t="n"/>
      <c r="P10" s="208" t="n"/>
    </row>
    <row r="11" ht="15.75" customHeight="1" thickBot="1">
      <c r="B11" s="59" t="inlineStr">
        <is>
          <t>Total Equity</t>
        </is>
      </c>
      <c r="C11" s="801" t="n"/>
      <c r="D11" s="358">
        <f>-SUMIF(F51:M51,"&lt;0")</f>
        <v/>
      </c>
      <c r="E11" s="59" t="n"/>
      <c r="F11" s="359" t="n"/>
      <c r="G11" s="360" t="n"/>
      <c r="H11" s="208" t="n"/>
      <c r="I11" s="208" t="n"/>
      <c r="J11" s="208" t="n"/>
      <c r="K11" s="368" t="inlineStr">
        <is>
          <t>Net BTCF:</t>
        </is>
      </c>
      <c r="L11" s="802">
        <f>SUM(F47:M47)/1000000</f>
        <v/>
      </c>
      <c r="M11" s="208" t="n"/>
      <c r="N11" s="208" t="n"/>
      <c r="O11" s="208" t="n"/>
      <c r="P11" s="208" t="n"/>
    </row>
    <row r="12" ht="5.1" customHeight="1">
      <c r="B12" s="59" t="n"/>
      <c r="C12" s="801" t="n"/>
      <c r="D12" s="803" t="n"/>
      <c r="E12" s="59" t="n"/>
      <c r="F12" s="359" t="n"/>
      <c r="G12" s="360" t="n"/>
      <c r="H12" s="208" t="n"/>
      <c r="I12" s="208" t="n"/>
      <c r="J12" s="208" t="n"/>
      <c r="K12" s="208" t="n"/>
      <c r="L12" s="208" t="n"/>
      <c r="M12" s="208" t="n"/>
      <c r="N12" s="208" t="n"/>
      <c r="O12" s="208" t="n"/>
      <c r="P12" s="208" t="n"/>
    </row>
    <row r="13">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c r="L13" s="375" t="n"/>
      <c r="M13" s="375" t="n"/>
      <c r="N13" s="375" t="n"/>
      <c r="O13" s="375" t="n"/>
      <c r="P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c r="L14" s="375" t="n"/>
      <c r="M14" s="375" t="n"/>
      <c r="N14" s="375" t="n"/>
      <c r="O14" s="375" t="n"/>
      <c r="P14" s="375" t="n"/>
    </row>
    <row r="15">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c r="L15" s="383" t="n"/>
      <c r="M15" s="383" t="n"/>
      <c r="N15" s="383" t="n"/>
      <c r="O15" s="383" t="n"/>
      <c r="P15" s="383" t="n"/>
    </row>
    <row r="16">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c r="L16" s="383" t="n"/>
      <c r="M16" s="383" t="n"/>
      <c r="N16" s="383" t="n"/>
      <c r="O16" s="383" t="n"/>
      <c r="P16" s="383" t="n"/>
    </row>
    <row r="17">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c r="L17" s="383" t="n"/>
      <c r="M17" s="383" t="n"/>
      <c r="N17" s="383" t="n"/>
      <c r="O17" s="383" t="n"/>
      <c r="P17" s="383" t="n"/>
    </row>
    <row r="18">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c r="L18" s="383" t="n"/>
      <c r="M18" s="383" t="n"/>
      <c r="N18" s="383" t="n"/>
      <c r="O18" s="383" t="n"/>
      <c r="P18" s="383" t="n"/>
    </row>
    <row r="19">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c r="L19" s="383" t="n"/>
      <c r="M19" s="383" t="n"/>
      <c r="N19" s="383" t="n"/>
      <c r="O19" s="383" t="n"/>
      <c r="P19" s="383" t="n"/>
    </row>
    <row r="20" ht="5.1" customHeight="1">
      <c r="B20" s="59" t="n"/>
      <c r="C20" s="59" t="n"/>
      <c r="D20" s="812" t="n"/>
      <c r="E20" s="810" t="n"/>
      <c r="F20" s="360" t="n"/>
      <c r="G20" s="389" t="n"/>
      <c r="H20" s="390" t="n"/>
      <c r="I20" s="390" t="n"/>
      <c r="J20" s="208" t="n"/>
      <c r="K20" s="208" t="n"/>
      <c r="L20" s="208" t="n"/>
      <c r="M20" s="208" t="n"/>
      <c r="N20" s="208" t="n"/>
      <c r="O20" s="208" t="n"/>
      <c r="P20" s="208" t="n"/>
    </row>
    <row r="21" ht="15.75" customHeight="1">
      <c r="B21" s="354" t="inlineStr">
        <is>
          <t>Summary of Partnership-Level Returns</t>
        </is>
      </c>
      <c r="C21" s="374" t="n"/>
      <c r="D21" s="813" t="inlineStr">
        <is>
          <t>Analysis Period</t>
        </is>
      </c>
      <c r="E21" s="814">
        <f>MAX(F21:M21)</f>
        <v/>
      </c>
      <c r="F21" s="815" t="n">
        <v>0</v>
      </c>
      <c r="G21" s="815">
        <f>IF(G47="","",F21+1)</f>
        <v/>
      </c>
      <c r="H21" s="815">
        <f>IF(H47="","",G21+1)</f>
        <v/>
      </c>
      <c r="I21" s="815">
        <f>IF(I47="","",H21+1)</f>
        <v/>
      </c>
      <c r="J21" s="815">
        <f>IF(J47="","",I21+1)</f>
        <v/>
      </c>
      <c r="K21" s="815">
        <f>IF(K47="","",J21+1)</f>
        <v/>
      </c>
      <c r="L21" s="815">
        <f>IF(L47="","",K21+1)</f>
        <v/>
      </c>
      <c r="M21" s="815">
        <f>IF(M47="","",L21+1)</f>
        <v/>
      </c>
      <c r="N21" s="815">
        <f>IF(N47="","",M21+1)</f>
        <v/>
      </c>
      <c r="O21" s="815">
        <f>IF(O47="","",N21+1)</f>
        <v/>
      </c>
      <c r="P21" s="815">
        <f>IF(P47="","",O21+1)</f>
        <v/>
      </c>
    </row>
    <row r="22">
      <c r="B22" s="394" t="inlineStr">
        <is>
          <t>Limited Partner (LP) Returns</t>
        </is>
      </c>
      <c r="C22" s="59" t="n"/>
      <c r="D22" s="812" t="n"/>
      <c r="E22" s="810" t="n"/>
      <c r="F22" s="395" t="n"/>
      <c r="G22" s="396" t="n"/>
      <c r="H22" s="397" t="n"/>
      <c r="I22" s="397" t="n"/>
      <c r="J22" s="398" t="n"/>
      <c r="K22" s="398" t="n"/>
      <c r="L22" s="398" t="n"/>
      <c r="M22" s="398" t="n"/>
      <c r="N22" s="398" t="n"/>
      <c r="O22" s="398" t="n"/>
      <c r="P22" s="398" t="n"/>
    </row>
    <row r="23">
      <c r="B23" s="399" t="n"/>
      <c r="C23" s="400" t="inlineStr">
        <is>
          <t>Check</t>
        </is>
      </c>
      <c r="D23" s="401" t="n"/>
      <c r="E23" s="810" t="n"/>
      <c r="F23" s="358" t="n"/>
      <c r="G23" s="358" t="n"/>
      <c r="H23" s="358" t="n"/>
      <c r="I23" s="358" t="n"/>
      <c r="J23" s="358" t="n"/>
      <c r="K23" s="358" t="n"/>
      <c r="L23" s="358" t="n"/>
      <c r="M23" s="358" t="n"/>
      <c r="N23" s="358" t="n"/>
      <c r="O23" s="358" t="n"/>
      <c r="P23" s="358" t="n"/>
    </row>
    <row r="24">
      <c r="B24" s="399" t="inlineStr">
        <is>
          <t>Preferred Return</t>
        </is>
      </c>
      <c r="C24" s="402">
        <f>IF(ROUND(D24,0)=ROUND(SUM(F24:P24),0),"OK","ERROR")</f>
        <v/>
      </c>
      <c r="D24" s="130">
        <f>(C13="IRR")*(SUM(F97:P97)-D25)+(C13="Equity Multiple")*(SUM(F205:P205)-D25)</f>
        <v/>
      </c>
      <c r="E24" s="810" t="n"/>
      <c r="F24" s="358">
        <f>IF(F21="","",MIN($D24-SUM($E24:E24),F27))</f>
        <v/>
      </c>
      <c r="G24" s="358">
        <f>IF(G21="","",MIN($D24-SUM($E24:F24),G27))</f>
        <v/>
      </c>
      <c r="H24" s="358">
        <f>IF(H21="","",MIN($D24-SUM($E24:G24),H27))</f>
        <v/>
      </c>
      <c r="I24" s="358">
        <f>IF(I21="","",MIN($D24-SUM($E24:H24),I27))</f>
        <v/>
      </c>
      <c r="J24" s="358">
        <f>IF(J21="","",MIN($D24-SUM($E24:I24),J27))</f>
        <v/>
      </c>
      <c r="K24" s="358">
        <f>IF(K21="","",MIN($D24-SUM($E24:J24),K27))</f>
        <v/>
      </c>
      <c r="L24" s="358">
        <f>IF(L21="","",MIN($D24-SUM($E24:K24),L27))</f>
        <v/>
      </c>
      <c r="M24" s="358">
        <f>IF(M21="","",MIN($D24-SUM($E24:L24),M27))</f>
        <v/>
      </c>
      <c r="N24" s="358">
        <f>IF(N21="","",MIN($D24-SUM($E24:M24),N27))</f>
        <v/>
      </c>
      <c r="O24" s="358">
        <f>IF(O21="","",MIN($D24-SUM($E24:N24),O27))</f>
        <v/>
      </c>
      <c r="P24" s="358">
        <f>IF(P21="","",MIN($D24-SUM($E24:O24),P27))</f>
        <v/>
      </c>
    </row>
    <row r="25">
      <c r="B25" s="399" t="inlineStr">
        <is>
          <t>Return of Capital</t>
        </is>
      </c>
      <c r="C25" s="402">
        <f>IF(ROUND(D25,0)=ROUND(SUM(F25:P25),0),"OK","ERROR")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c r="L25" s="358">
        <f>IF(L21="","",MIN($D25-SUM($E25:K25),L27-L24))</f>
        <v/>
      </c>
      <c r="M25" s="358">
        <f>IF(M21="","",MIN($D25-SUM($E25:L25),M27-M24))</f>
        <v/>
      </c>
      <c r="N25" s="358">
        <f>IF(N21="","",MIN($D25-SUM($E25:M25),N27-N24))</f>
        <v/>
      </c>
      <c r="O25" s="358">
        <f>IF(O21="","",MIN($D25-SUM($E25:N25),O27-O24))</f>
        <v/>
      </c>
      <c r="P25" s="358">
        <f>IF(P21="","",MIN($D25-SUM($E25:O25),P27-P24))</f>
        <v/>
      </c>
    </row>
    <row r="26" ht="17.25" customHeight="1">
      <c r="B26" s="399" t="inlineStr">
        <is>
          <t>Excess Cash Flow</t>
        </is>
      </c>
      <c r="C26" s="402">
        <f>IF(ROUND(D26,0)=ROUND(SUM(F26:P26),0),"OK","ERROR")</f>
        <v/>
      </c>
      <c r="D26" s="403">
        <f>D27-D25-D24</f>
        <v/>
      </c>
      <c r="E26" s="810" t="n"/>
      <c r="F26" s="404">
        <f>IF(F21="","",F27-F25-F24)</f>
        <v/>
      </c>
      <c r="G26" s="404">
        <f>IF(G21="","",G27-G25-G24)</f>
        <v/>
      </c>
      <c r="H26" s="404">
        <f>IF(H21="","",H27-H25-H24)</f>
        <v/>
      </c>
      <c r="I26" s="404">
        <f>IF(I21="","",I27-I25-I24)</f>
        <v/>
      </c>
      <c r="J26" s="404">
        <f>IF(J21="","",J27-J25-J24)</f>
        <v/>
      </c>
      <c r="K26" s="404">
        <f>IF(K21="","",K27-K25-K24)</f>
        <v/>
      </c>
      <c r="L26" s="404">
        <f>IF(L21="","",L27-L25-L24)</f>
        <v/>
      </c>
      <c r="M26" s="404">
        <f>IF(M21="","",M27-M25-M24)</f>
        <v/>
      </c>
      <c r="N26" s="404">
        <f>IF(N21="","",N27-N25-N24)</f>
        <v/>
      </c>
      <c r="O26" s="404">
        <f>IF(O21="","",O27-O25-O24)</f>
        <v/>
      </c>
      <c r="P26" s="404">
        <f>IF(P21="","",P27-P25-P24)</f>
        <v/>
      </c>
    </row>
    <row r="27">
      <c r="B27" s="399" t="inlineStr">
        <is>
          <t>Total LP Distributions</t>
        </is>
      </c>
      <c r="C27" s="405" t="n"/>
      <c r="D27" s="401">
        <f>SUM(F27:P27)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c r="L27" s="358">
        <f>IF(L$21="","",($C$13="IRR")*L68+($C$13="Equity Multiple")*L176)</f>
        <v/>
      </c>
      <c r="M27" s="358">
        <f>IF(M$21="","",($C$13="IRR")*M68+($C$13="Equity Multiple")*M176)</f>
        <v/>
      </c>
      <c r="N27" s="358">
        <f>IF(N$21="","",($C$13="IRR")*N68+($C$13="Equity Multiple")*N176)</f>
        <v/>
      </c>
      <c r="O27" s="358">
        <f>IF(O$21="","",($C$13="IRR")*O68+($C$13="Equity Multiple")*O176)</f>
        <v/>
      </c>
      <c r="P27" s="358">
        <f>IF(P$21="","",($C$13="IRR")*P68+($C$13="Equity Multiple")*P176)</f>
        <v/>
      </c>
    </row>
    <row r="28">
      <c r="B28" s="399" t="inlineStr">
        <is>
          <t>Total LP Contributions</t>
        </is>
      </c>
      <c r="C28" s="405" t="n"/>
      <c r="D28" s="401">
        <f>SUM(F28:P28)</f>
        <v/>
      </c>
      <c r="E28" s="810" t="n"/>
      <c r="F28" s="358">
        <f>F96</f>
        <v/>
      </c>
      <c r="G28" s="358">
        <f>G96</f>
        <v/>
      </c>
      <c r="H28" s="358">
        <f>H96</f>
        <v/>
      </c>
      <c r="I28" s="358">
        <f>I96</f>
        <v/>
      </c>
      <c r="J28" s="358">
        <f>J96</f>
        <v/>
      </c>
      <c r="K28" s="358">
        <f>K96</f>
        <v/>
      </c>
      <c r="L28" s="358">
        <f>L96</f>
        <v/>
      </c>
      <c r="M28" s="358">
        <f>M96</f>
        <v/>
      </c>
      <c r="N28" s="358">
        <f>N96</f>
        <v/>
      </c>
      <c r="O28" s="358">
        <f>O96</f>
        <v/>
      </c>
      <c r="P28" s="358">
        <f>P96</f>
        <v/>
      </c>
    </row>
    <row r="29">
      <c r="B29" s="399" t="inlineStr">
        <is>
          <t>Total LP Profit</t>
        </is>
      </c>
      <c r="C29" s="405" t="n"/>
      <c r="D29" s="401">
        <f>D27-D28</f>
        <v/>
      </c>
      <c r="E29" s="810" t="n"/>
      <c r="F29" s="406" t="n"/>
      <c r="G29" s="358" t="n"/>
      <c r="H29" s="407" t="n"/>
      <c r="I29" s="407" t="n"/>
      <c r="J29" s="407" t="n"/>
      <c r="K29" s="407" t="n"/>
      <c r="L29" s="407" t="n"/>
      <c r="M29" s="407" t="n"/>
      <c r="N29" s="407" t="n"/>
      <c r="O29" s="407" t="n"/>
      <c r="P29" s="407" t="n"/>
    </row>
    <row r="30">
      <c r="B30" s="408" t="inlineStr">
        <is>
          <t>LP IRR</t>
        </is>
      </c>
      <c r="C30" s="409" t="n"/>
      <c r="D30" s="410">
        <f>IRR(F30:P30)</f>
        <v/>
      </c>
      <c r="E30" s="810" t="n"/>
      <c r="F30" s="358">
        <f>IF(F21="","",(-F28)+F27)</f>
        <v/>
      </c>
      <c r="G30" s="358">
        <f>IF(G21="","",(-G28)+G27)</f>
        <v/>
      </c>
      <c r="H30" s="358">
        <f>IF(H21="","",(-H28)+H27)</f>
        <v/>
      </c>
      <c r="I30" s="358">
        <f>IF(I21="","",(-I28)+I27)</f>
        <v/>
      </c>
      <c r="J30" s="358">
        <f>IF(J21="","",(-J28)+J27)</f>
        <v/>
      </c>
      <c r="K30" s="358">
        <f>IF(K21="","",(-K28)+K27)</f>
        <v/>
      </c>
      <c r="L30" s="358">
        <f>IF(L21="","",(-L28)+L27)</f>
        <v/>
      </c>
      <c r="M30" s="358">
        <f>IF(M21="","",(-M28)+M27)</f>
        <v/>
      </c>
      <c r="N30" s="358">
        <f>IF(N21="","",(-N28)+N27)</f>
        <v/>
      </c>
      <c r="O30" s="358">
        <f>IF(O21="","",(-O28)+O27)</f>
        <v/>
      </c>
      <c r="P30" s="358">
        <f>IF(P21="","",(-P28)+P27)</f>
        <v/>
      </c>
    </row>
    <row r="3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c r="L31" s="817">
        <f>IF($D$4="IRR", L30/L93,L30/L201)</f>
        <v/>
      </c>
      <c r="M31" s="817">
        <f>IF($D$4="IRR", M30/M93,M30/M201)</f>
        <v/>
      </c>
      <c r="N31" s="817">
        <f>IF($D$4="IRR", N30/N93,N30/N201)</f>
        <v/>
      </c>
      <c r="O31" s="817">
        <f>IF($D$4="IRR", O30/O93,O30/O201)</f>
        <v/>
      </c>
      <c r="P31" s="817">
        <f>IF($D$4="IRR", P30/P93,P30/P201)</f>
        <v/>
      </c>
    </row>
    <row r="32" ht="5.1" customHeight="1">
      <c r="B32" s="399" t="n"/>
      <c r="C32" s="405" t="n"/>
      <c r="D32" s="812" t="n"/>
      <c r="E32" s="810" t="n"/>
      <c r="F32" s="406" t="n"/>
      <c r="G32" s="358" t="n"/>
      <c r="H32" s="407" t="n"/>
      <c r="I32" s="407" t="n"/>
      <c r="J32" s="407" t="n"/>
      <c r="K32" s="407" t="n"/>
      <c r="L32" s="407" t="n"/>
      <c r="M32" s="407" t="n"/>
      <c r="N32" s="407" t="n"/>
      <c r="O32" s="407" t="n"/>
      <c r="P32" s="407" t="n"/>
    </row>
    <row r="33">
      <c r="B33" s="394" t="inlineStr">
        <is>
          <t>GP Returns</t>
        </is>
      </c>
      <c r="C33" s="405" t="n"/>
      <c r="D33" s="812" t="n"/>
      <c r="E33" s="810" t="n"/>
      <c r="F33" s="406" t="n"/>
      <c r="G33" s="358" t="n"/>
      <c r="H33" s="407" t="n"/>
      <c r="I33" s="407" t="n"/>
      <c r="J33" s="407" t="n"/>
      <c r="K33" s="407" t="n"/>
      <c r="L33" s="407" t="n"/>
      <c r="M33" s="407" t="n"/>
      <c r="N33" s="407" t="n"/>
      <c r="O33" s="407" t="n"/>
      <c r="P33" s="407" t="n"/>
    </row>
    <row r="34">
      <c r="B34" s="399" t="inlineStr">
        <is>
          <t>Preferred Return</t>
        </is>
      </c>
      <c r="C34" s="402">
        <f>IF(ROUND(D34,0)=ROUND(SUM(F34:P34),0),"OK","ERROR")</f>
        <v/>
      </c>
      <c r="D34" s="472">
        <f>(C13="IRR")*(SUM(F105:P105)-D35)+(C13="Equity Multiple")*(SUM(F213:P213)-D35)</f>
        <v/>
      </c>
      <c r="E34" s="810" t="n"/>
      <c r="F34" s="358">
        <f>IF(F21="","",MIN($D34-SUM($E34:E34),F38))</f>
        <v/>
      </c>
      <c r="G34" s="358">
        <f>IF(G21="","",MIN($D34-SUM($E34:F34),G38))</f>
        <v/>
      </c>
      <c r="H34" s="358">
        <f>IF(H21="","",MIN($D34-SUM($E34:G34),H38))</f>
        <v/>
      </c>
      <c r="I34" s="358">
        <f>IF(I21="","",MIN($D34-SUM($E34:H34),I38))</f>
        <v/>
      </c>
      <c r="J34" s="358">
        <f>IF(J21="","",MIN($D34-SUM($E34:I34),J38))</f>
        <v/>
      </c>
      <c r="K34" s="358">
        <f>IF(K21="","",MIN($D34-SUM($E34:J34),K38))</f>
        <v/>
      </c>
      <c r="L34" s="358">
        <f>IF(L21="","",MIN($D34-SUM($E34:K34),L38))</f>
        <v/>
      </c>
      <c r="M34" s="358">
        <f>IF(M21="","",MIN($D34-SUM($E34:L34),M38))</f>
        <v/>
      </c>
      <c r="N34" s="358">
        <f>IF(N21="","",MIN($D34-SUM($E34:M34),N38))</f>
        <v/>
      </c>
      <c r="O34" s="358">
        <f>IF(O21="","",MIN($D34-SUM($E34:N34),O38))</f>
        <v/>
      </c>
      <c r="P34" s="358">
        <f>IF(P21="","",MIN($D34-SUM($E34:O34),P38))</f>
        <v/>
      </c>
    </row>
    <row r="35">
      <c r="B35" s="399" t="inlineStr">
        <is>
          <t>Return of Capital</t>
        </is>
      </c>
      <c r="C35" s="402">
        <f>IF(ROUND(D35,0)=ROUND(SUM(F35:P35),0),"OK","ERROR")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c r="L35" s="358">
        <f>IF(L21="","",MIN($D35-SUM($E35:K35),L38-L34))</f>
        <v/>
      </c>
      <c r="M35" s="358">
        <f>IF(M21="","",MIN($D35-SUM($E35:L35),M38-M34))</f>
        <v/>
      </c>
      <c r="N35" s="358">
        <f>IF(N21="","",MIN($D35-SUM($E35:M35),N38-N34))</f>
        <v/>
      </c>
      <c r="O35" s="358">
        <f>IF(O21="","",MIN($D35-SUM($E35:N35),O38-O34))</f>
        <v/>
      </c>
      <c r="P35" s="358">
        <f>IF(P21="","",MIN($D35-SUM($E35:O35),P38-P34))</f>
        <v/>
      </c>
    </row>
    <row r="36">
      <c r="B36" s="399" t="inlineStr">
        <is>
          <t>Promote</t>
        </is>
      </c>
      <c r="C36" s="402">
        <f>IF(ROUND(D36,0)=ROUND(SUM(F36:P36),0),"OK","ERROR")</f>
        <v/>
      </c>
      <c r="D36" s="358">
        <f>D38-D35-D37-D34</f>
        <v/>
      </c>
      <c r="E36" s="810" t="n"/>
      <c r="F36" s="358">
        <f>IF(F21="","",F38-F37-F35-F34)</f>
        <v/>
      </c>
      <c r="G36" s="358">
        <f>IF(G21="","",G38-G37-G35-G34)</f>
        <v/>
      </c>
      <c r="H36" s="358">
        <f>IF(H21="","",H38-H37-H35-H34)</f>
        <v/>
      </c>
      <c r="I36" s="358">
        <f>IF(I21="","",I38-I37-I35-I34)</f>
        <v/>
      </c>
      <c r="J36" s="358">
        <f>IF(J21="","",J38-J37-J35-J34)</f>
        <v/>
      </c>
      <c r="K36" s="358">
        <f>IF(K21="","",K38-K37-K35-K34)</f>
        <v/>
      </c>
      <c r="L36" s="358">
        <f>IF(L21="","",L38-L37-L35-L34)</f>
        <v/>
      </c>
      <c r="M36" s="358">
        <f>IF(M21="","",M38-M37-M35-M34)</f>
        <v/>
      </c>
      <c r="N36" s="358">
        <f>IF(N21="","",N38-N37-N35-N34)</f>
        <v/>
      </c>
      <c r="O36" s="358">
        <f>IF(O21="","",O38-O37-O35-O34)</f>
        <v/>
      </c>
      <c r="P36" s="358">
        <f>IF(P21="","",P38-P37-P35-P34)</f>
        <v/>
      </c>
    </row>
    <row r="37" ht="17.25" customHeight="1">
      <c r="B37" s="399" t="inlineStr">
        <is>
          <t>Excess Cash Flow</t>
        </is>
      </c>
      <c r="C37" s="402">
        <f>IF(ROUND(D37,0)=ROUND(SUM(F37:P37),0),"OK","ERROR")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c r="L37" s="404">
        <f>IF(L21="","",L26/Equity_Share_LP*Equity_Share_GP)</f>
        <v/>
      </c>
      <c r="M37" s="404">
        <f>IF(M21="","",M26/Equity_Share_LP*Equity_Share_GP)</f>
        <v/>
      </c>
      <c r="N37" s="404">
        <f>IF(N21="","",N26/Equity_Share_LP*Equity_Share_GP)</f>
        <v/>
      </c>
      <c r="O37" s="404">
        <f>IF(O21="","",O26/Equity_Share_LP*Equity_Share_GP)</f>
        <v/>
      </c>
      <c r="P37" s="404">
        <f>IF(P21="","",P26/Equity_Share_LP*Equity_Share_GP)</f>
        <v/>
      </c>
    </row>
    <row r="38">
      <c r="B38" s="399" t="inlineStr">
        <is>
          <t>Total GP Distributions</t>
        </is>
      </c>
      <c r="C38" s="405" t="n"/>
      <c r="D38" s="358">
        <f>SUM(F38:P38)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c r="L38" s="358">
        <f>IF(L$21="","",($C$13="IRR")*L75+($C$13="Equity Multiple")*L183)</f>
        <v/>
      </c>
      <c r="M38" s="358">
        <f>IF(M$21="","",($C$13="IRR")*M75+($C$13="Equity Multiple")*M183)</f>
        <v/>
      </c>
      <c r="N38" s="358">
        <f>IF(N$21="","",($C$13="IRR")*N75+($C$13="Equity Multiple")*N183)</f>
        <v/>
      </c>
      <c r="O38" s="358">
        <f>IF(O$21="","",($C$13="IRR")*O75+($C$13="Equity Multiple")*O183)</f>
        <v/>
      </c>
      <c r="P38" s="358">
        <f>IF(P$21="","",($C$13="IRR")*P75+($C$13="Equity Multiple")*P183)</f>
        <v/>
      </c>
    </row>
    <row r="39">
      <c r="B39" s="399" t="inlineStr">
        <is>
          <t>Total GP Fees</t>
        </is>
      </c>
      <c r="C39" s="405" t="n"/>
      <c r="D39" s="358">
        <f>SUM(F39:P39)</f>
        <v/>
      </c>
      <c r="E39" s="810" t="n"/>
      <c r="F39" s="358">
        <f>IF(F21="","",SUM(F48:F49))</f>
        <v/>
      </c>
      <c r="G39" s="358">
        <f>IF(G21="","",SUM(G48:G49))</f>
        <v/>
      </c>
      <c r="H39" s="358">
        <f>IF(H21="","",SUM(H48:H49))</f>
        <v/>
      </c>
      <c r="I39" s="358">
        <f>IF(I21="","",SUM(I48:I49))</f>
        <v/>
      </c>
      <c r="J39" s="358">
        <f>IF(J21="","",SUM(J48:J49))</f>
        <v/>
      </c>
      <c r="K39" s="358">
        <f>IF(K21="","",SUM(K48:K49))</f>
        <v/>
      </c>
      <c r="L39" s="358">
        <f>IF(L21="","",SUM(L48:L49))</f>
        <v/>
      </c>
      <c r="M39" s="358">
        <f>IF(M21="","",SUM(M48:M49))</f>
        <v/>
      </c>
      <c r="N39" s="358">
        <f>IF(N21="","",SUM(N48:N49))</f>
        <v/>
      </c>
      <c r="O39" s="358">
        <f>IF(O21="","",SUM(O48:O49))</f>
        <v/>
      </c>
      <c r="P39" s="358">
        <f>IF(P21="","",SUM(P48:P49))</f>
        <v/>
      </c>
    </row>
    <row r="40">
      <c r="B40" s="399" t="inlineStr">
        <is>
          <t>Total GP Contributions</t>
        </is>
      </c>
      <c r="C40" s="405" t="n"/>
      <c r="D40" s="358">
        <f>SUM(F40:P40)</f>
        <v/>
      </c>
      <c r="E40" s="810" t="n"/>
      <c r="F40" s="358">
        <f>F104</f>
        <v/>
      </c>
      <c r="G40" s="358">
        <f>G104</f>
        <v/>
      </c>
      <c r="H40" s="358">
        <f>H104</f>
        <v/>
      </c>
      <c r="I40" s="358">
        <f>I104</f>
        <v/>
      </c>
      <c r="J40" s="358">
        <f>J104</f>
        <v/>
      </c>
      <c r="K40" s="358">
        <f>K104</f>
        <v/>
      </c>
      <c r="L40" s="358">
        <f>L104</f>
        <v/>
      </c>
      <c r="M40" s="358">
        <f>M104</f>
        <v/>
      </c>
      <c r="N40" s="358">
        <f>N104</f>
        <v/>
      </c>
      <c r="O40" s="358">
        <f>O104</f>
        <v/>
      </c>
      <c r="P40" s="358">
        <f>P104</f>
        <v/>
      </c>
    </row>
    <row r="41">
      <c r="B41" s="399" t="inlineStr">
        <is>
          <t>Total GP Profit (Including Fees)</t>
        </is>
      </c>
      <c r="C41" s="405" t="n"/>
      <c r="D41" s="358">
        <f>+D38+D39-D40</f>
        <v/>
      </c>
      <c r="E41" s="810" t="n"/>
      <c r="F41" s="406" t="n"/>
      <c r="G41" s="358" t="n"/>
      <c r="H41" s="407" t="n"/>
      <c r="I41" s="407" t="n"/>
      <c r="J41" s="407" t="n"/>
      <c r="K41" s="407" t="n"/>
      <c r="L41" s="407" t="n"/>
      <c r="M41" s="407" t="n"/>
      <c r="N41" s="407" t="n"/>
      <c r="O41" s="407" t="n"/>
      <c r="P41" s="407" t="n"/>
    </row>
    <row r="42">
      <c r="B42" s="399" t="inlineStr">
        <is>
          <t>GP IRR</t>
        </is>
      </c>
      <c r="C42" s="405" t="n"/>
      <c r="D42" s="413">
        <f>IFERROR(IRR(F42:P42),"NA")</f>
        <v/>
      </c>
      <c r="E42" s="810" t="n"/>
      <c r="F42" s="358">
        <f>IF(F21="","",(-F40)+F38+F39)</f>
        <v/>
      </c>
      <c r="G42" s="358">
        <f>IF(G21="","",(-G40)+G38+G39)</f>
        <v/>
      </c>
      <c r="H42" s="358">
        <f>IF(H21="","",(-H40)+H38+H39)</f>
        <v/>
      </c>
      <c r="I42" s="358">
        <f>IF(I21="","",(-I40)+I38+I39)</f>
        <v/>
      </c>
      <c r="J42" s="358">
        <f>IF(J21="","",(-J40)+J38+J39)</f>
        <v/>
      </c>
      <c r="K42" s="358">
        <f>IF(K21="","",(-K40)+K38+K39)</f>
        <v/>
      </c>
      <c r="L42" s="358">
        <f>IF(L21="","",(-L40)+L38+L39)</f>
        <v/>
      </c>
      <c r="M42" s="358">
        <f>IF(M21="","",(-M40)+M38+M39)</f>
        <v/>
      </c>
      <c r="N42" s="358">
        <f>IF(N21="","",(-N40)+N38+N39)</f>
        <v/>
      </c>
      <c r="O42" s="358">
        <f>IF(O21="","",(-O40)+O38+O39)</f>
        <v/>
      </c>
      <c r="P42" s="358">
        <f>IF(P21="","",(-P40)+P38+P39)</f>
        <v/>
      </c>
    </row>
    <row r="43">
      <c r="B43" s="399" t="inlineStr">
        <is>
          <t>GP Equity Multiple</t>
        </is>
      </c>
      <c r="C43" s="405" t="n"/>
      <c r="D43" s="818">
        <f>IFERROR(D38/D40,"NA")</f>
        <v/>
      </c>
      <c r="E43" s="810" t="n"/>
      <c r="F43" s="395" t="n"/>
      <c r="G43" s="396" t="n"/>
      <c r="H43" s="397" t="n"/>
      <c r="I43" s="397" t="n"/>
      <c r="J43" s="398" t="n"/>
      <c r="K43" s="398" t="n"/>
      <c r="L43" s="398" t="n"/>
      <c r="M43" s="398" t="n"/>
      <c r="N43" s="398" t="n"/>
      <c r="O43" s="398" t="n"/>
      <c r="P43" s="398" t="n"/>
    </row>
    <row r="44" ht="5.1" customHeight="1">
      <c r="B44" s="415" t="n"/>
      <c r="C44" s="416" t="n"/>
      <c r="D44" s="819" t="n"/>
      <c r="E44" s="59" t="n"/>
      <c r="F44" s="398" t="n"/>
      <c r="G44" s="398" t="n"/>
      <c r="H44" s="398" t="n"/>
      <c r="I44" s="398" t="n"/>
      <c r="J44" s="398" t="n"/>
      <c r="K44" s="398" t="n"/>
      <c r="L44" s="398" t="n"/>
      <c r="M44" s="398" t="n"/>
      <c r="N44" s="398" t="n"/>
      <c r="O44" s="398" t="n"/>
      <c r="P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815">
        <f>L$21</f>
        <v/>
      </c>
      <c r="M45" s="815">
        <f>M$21</f>
        <v/>
      </c>
      <c r="N45" s="815">
        <f>N$21</f>
        <v/>
      </c>
      <c r="O45" s="815">
        <f>O$21</f>
        <v/>
      </c>
      <c r="P45" s="815">
        <f>P$21</f>
        <v/>
      </c>
      <c r="Q45" s="418" t="n"/>
      <c r="R45" s="418" t="n"/>
      <c r="S45" s="418" t="n"/>
    </row>
    <row r="46">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821">
        <f>IF(L45="","",EOMONTH(K46,12))</f>
        <v/>
      </c>
      <c r="M46" s="821">
        <f>IF(M45="","",EOMONTH(L46,12))</f>
        <v/>
      </c>
      <c r="N46" s="821">
        <f>IF(N45="","",EOMONTH(M46,12))</f>
        <v/>
      </c>
      <c r="O46" s="821">
        <f>IF(O45="","",EOMONTH(N46,12))</f>
        <v/>
      </c>
      <c r="P46" s="821">
        <f>IF(P45="","",EOMONTH(O46,12))</f>
        <v/>
      </c>
      <c r="Q46" s="418" t="n"/>
      <c r="R46" s="418" t="n"/>
      <c r="S46" s="418" t="n"/>
    </row>
    <row r="47">
      <c r="B47" s="130" t="inlineStr">
        <is>
          <t>Net Property-Level Cash Flow</t>
        </is>
      </c>
      <c r="C47" s="59" t="n"/>
      <c r="D47" s="59" t="n"/>
      <c r="E47" s="421" t="n"/>
      <c r="F47" s="422">
        <f>-'Sources and Uses'!C7-'Sources and Uses'!C8+'Sources and Uses'!C15</f>
        <v/>
      </c>
      <c r="G47" s="422">
        <f>'GGC Pro Forma'!H65</f>
        <v/>
      </c>
      <c r="H47" s="422">
        <f>'GGC Pro Forma'!I65</f>
        <v/>
      </c>
      <c r="I47" s="422">
        <f>'GGC Pro Forma'!J65</f>
        <v/>
      </c>
      <c r="J47" s="422">
        <f>'GGC Pro Forma'!K65</f>
        <v/>
      </c>
      <c r="K47" s="422">
        <f>'GGC Pro Forma'!L65</f>
        <v/>
      </c>
      <c r="L47" s="422">
        <f>'GGC Pro Forma'!M65</f>
        <v/>
      </c>
      <c r="M47" s="422">
        <f>'GGC Pro Forma'!N65</f>
        <v/>
      </c>
      <c r="N47" s="422">
        <f>'GGC Pro Forma'!O65</f>
        <v/>
      </c>
      <c r="O47" s="422">
        <f>'GGC Pro Forma'!P65</f>
        <v/>
      </c>
      <c r="P47" s="422">
        <f>'GGC Pro Forma'!Q65</f>
        <v/>
      </c>
    </row>
    <row r="48">
      <c r="B48" s="423" t="inlineStr">
        <is>
          <t>Asset Management Fees</t>
        </is>
      </c>
      <c r="C48" s="59" t="n"/>
      <c r="D48" s="59" t="n"/>
      <c r="E48" s="421" t="n"/>
      <c r="F48" s="422" t="n">
        <v>0</v>
      </c>
      <c r="G48" s="422" t="n">
        <v>0</v>
      </c>
      <c r="H48" s="422" t="n">
        <v>0</v>
      </c>
      <c r="I48" s="422" t="n">
        <v>0</v>
      </c>
      <c r="J48" s="422" t="n">
        <v>0</v>
      </c>
      <c r="K48" s="422" t="n">
        <v>0</v>
      </c>
      <c r="L48" s="422" t="n">
        <v>0</v>
      </c>
      <c r="M48" s="422" t="n">
        <v>0</v>
      </c>
      <c r="N48" s="422" t="n">
        <v>0</v>
      </c>
      <c r="O48" s="422" t="n">
        <v>0</v>
      </c>
      <c r="P48" s="422" t="n">
        <v>0</v>
      </c>
    </row>
    <row r="49">
      <c r="B49" s="423" t="inlineStr">
        <is>
          <t>Acquisition/Disposition Fees</t>
        </is>
      </c>
      <c r="C49" s="59" t="n"/>
      <c r="D49" s="59" t="n"/>
      <c r="E49" s="421" t="n"/>
      <c r="F49" s="422">
        <f>'Sources and Uses'!C15</f>
        <v/>
      </c>
      <c r="G49" s="422" t="n">
        <v>0</v>
      </c>
      <c r="H49" s="422" t="n">
        <v>0</v>
      </c>
      <c r="I49" s="422" t="n">
        <v>0</v>
      </c>
      <c r="J49" s="422" t="n">
        <v>0</v>
      </c>
      <c r="K49" s="422" t="n">
        <v>0</v>
      </c>
      <c r="L49" s="422" t="n">
        <v>0</v>
      </c>
      <c r="M49" s="422">
        <f>'[2]GGC Pro Forma'!Y57*1%</f>
        <v/>
      </c>
      <c r="N49" s="422">
        <f>'[2]GGC Pro Forma'!Z57*1%</f>
        <v/>
      </c>
      <c r="O49" s="422">
        <f>'[2]GGC Pro Forma'!AA57*1%</f>
        <v/>
      </c>
      <c r="P49" s="422" t="n">
        <v>0</v>
      </c>
    </row>
    <row r="50">
      <c r="B50" s="423" t="n"/>
      <c r="C50" s="59" t="n"/>
      <c r="D50" s="59" t="n"/>
      <c r="E50" s="421" t="n"/>
      <c r="F50" s="422" t="n"/>
      <c r="G50" s="422" t="n"/>
      <c r="H50" s="422" t="n"/>
      <c r="I50" s="422" t="n"/>
      <c r="J50" s="422" t="n"/>
      <c r="K50" s="422" t="n"/>
      <c r="L50" s="422" t="n"/>
      <c r="M50" s="422" t="n"/>
      <c r="N50" s="422" t="n"/>
      <c r="O50" s="422" t="n"/>
      <c r="P50" s="422" t="n"/>
    </row>
    <row r="5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c r="L51" s="424">
        <f>IF(L45="","",L47-L48-L49)</f>
        <v/>
      </c>
      <c r="M51" s="424">
        <f>IF(M45="","",M47-M48-M49)</f>
        <v/>
      </c>
      <c r="N51" s="424">
        <f>IF(N45="","",N47-N48-N49)</f>
        <v/>
      </c>
      <c r="O51" s="424">
        <f>IF(O45="","",O47-O48-O49)</f>
        <v/>
      </c>
      <c r="P51" s="424">
        <f>IF(P45="","",P47-P48-P49)</f>
        <v/>
      </c>
    </row>
    <row r="52">
      <c r="B52" s="59" t="inlineStr">
        <is>
          <t>Levered IRR</t>
        </is>
      </c>
      <c r="C52" s="59" t="n"/>
      <c r="D52" s="59" t="n"/>
      <c r="E52" s="59" t="n"/>
      <c r="F52" s="397">
        <f>IRR(F51:P51)</f>
        <v/>
      </c>
      <c r="G52" s="398" t="n"/>
      <c r="H52" s="398" t="n"/>
      <c r="I52" s="398" t="n"/>
      <c r="J52" s="398" t="n"/>
      <c r="K52" s="398" t="n"/>
      <c r="L52" s="398" t="n"/>
      <c r="M52" s="398" t="n"/>
      <c r="N52" s="398" t="n"/>
      <c r="O52" s="398" t="n"/>
      <c r="P52" s="398" t="n"/>
    </row>
    <row r="53">
      <c r="B53" s="59" t="inlineStr">
        <is>
          <t>Equity Multiple</t>
        </is>
      </c>
      <c r="C53" s="59" t="n"/>
      <c r="D53" s="59" t="n"/>
      <c r="E53" s="59" t="n"/>
      <c r="F53" s="822">
        <f>SUMIF(F51:P51,"&gt;0")/-SUMIF(F51:P51,"&lt;0")</f>
        <v/>
      </c>
      <c r="G53" s="398" t="n"/>
      <c r="H53" s="398" t="n"/>
      <c r="I53" s="398" t="n"/>
      <c r="J53" s="398" t="n"/>
      <c r="K53" s="398" t="n"/>
      <c r="L53" s="398" t="n"/>
      <c r="M53" s="398" t="n"/>
      <c r="N53" s="398" t="n"/>
      <c r="O53" s="398" t="n"/>
      <c r="P53" s="398" t="n"/>
    </row>
    <row r="54" ht="5.1" customHeight="1">
      <c r="B54" s="59" t="n"/>
      <c r="C54" s="59" t="n"/>
      <c r="D54" s="59" t="n"/>
      <c r="E54" s="398" t="n"/>
      <c r="F54" s="426" t="n"/>
      <c r="G54" s="398" t="n"/>
      <c r="H54" s="398" t="n"/>
      <c r="I54" s="398" t="n"/>
      <c r="J54" s="398" t="n"/>
      <c r="K54" s="398" t="n"/>
      <c r="L54" s="398" t="n"/>
      <c r="M54" s="398" t="n"/>
      <c r="N54" s="398" t="n"/>
      <c r="O54" s="398" t="n"/>
      <c r="P54" s="398" t="n"/>
    </row>
    <row r="55"/>
    <row r="56" outlineLevel="1" ht="18.75" customHeight="1">
      <c r="B56" s="427" t="inlineStr">
        <is>
          <t>PARTNERSHIP LEVEL RETURNS - IRR EQUITY WATERFALL</t>
        </is>
      </c>
      <c r="C56" s="428" t="n"/>
      <c r="D56" s="428" t="n"/>
      <c r="E56" s="428" t="n"/>
      <c r="F56" s="429" t="n"/>
      <c r="G56" s="429" t="n"/>
      <c r="H56" s="429" t="n"/>
      <c r="I56" s="429" t="n"/>
      <c r="J56" s="429" t="n"/>
      <c r="K56" s="429" t="n"/>
      <c r="L56" s="429" t="n"/>
      <c r="M56" s="429" t="n"/>
      <c r="N56" s="429" t="n"/>
      <c r="O56" s="429" t="n"/>
      <c r="P56" s="429" t="n"/>
    </row>
    <row r="57" outlineLevel="1" ht="15" customHeight="1">
      <c r="B57" s="208" t="n"/>
      <c r="C57" s="208" t="n"/>
      <c r="D57" s="664">
        <f>$D$4</f>
        <v/>
      </c>
      <c r="E57" s="208" t="n"/>
      <c r="F57" s="208" t="n"/>
      <c r="G57" s="208" t="n"/>
      <c r="H57" s="208" t="n"/>
      <c r="I57" s="208" t="n"/>
      <c r="J57" s="208" t="n"/>
      <c r="K57" s="208" t="n"/>
      <c r="L57" s="208" t="n"/>
      <c r="M57" s="208" t="n"/>
      <c r="N57" s="208" t="n"/>
      <c r="O57" s="208" t="n"/>
      <c r="P57" s="208" t="n"/>
    </row>
    <row r="58" outlineLevel="1">
      <c r="B58" s="430" t="n"/>
      <c r="C58" s="430" t="n"/>
      <c r="D58" s="431" t="n"/>
      <c r="E58" s="430" t="n"/>
      <c r="F58" s="738" t="inlineStr">
        <is>
          <t>Promote Structure Incentive Breakdown</t>
        </is>
      </c>
      <c r="H58" s="739" t="inlineStr">
        <is>
          <t>Distribution as %</t>
        </is>
      </c>
      <c r="J58" s="432" t="n"/>
      <c r="K58" s="432" t="n"/>
      <c r="L58" s="432" t="n"/>
      <c r="M58" s="432" t="n"/>
      <c r="N58" s="432" t="n"/>
      <c r="O58" s="432" t="n"/>
      <c r="P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c r="L59" s="432" t="n"/>
      <c r="M59" s="432" t="n"/>
      <c r="N59" s="432" t="n"/>
      <c r="O59" s="432" t="n"/>
      <c r="P59" s="432" t="n"/>
    </row>
    <row r="60" outlineLevel="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c r="L60" s="383" t="n"/>
      <c r="M60" s="383" t="n"/>
      <c r="N60" s="383" t="n"/>
      <c r="O60" s="383" t="n"/>
      <c r="P60" s="383" t="n"/>
    </row>
    <row r="61" outlineLevel="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c r="L61" s="383" t="n"/>
      <c r="M61" s="383" t="n"/>
      <c r="N61" s="383" t="n"/>
      <c r="O61" s="383" t="n"/>
      <c r="P61" s="383" t="n"/>
    </row>
    <row r="62" outlineLevel="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c r="L62" s="383" t="n"/>
      <c r="M62" s="383" t="n"/>
      <c r="N62" s="383" t="n"/>
      <c r="O62" s="383" t="n"/>
      <c r="P62" s="383" t="n"/>
    </row>
    <row r="63" outlineLevel="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c r="L63" s="438" t="n"/>
      <c r="M63" s="438" t="n"/>
      <c r="N63" s="438" t="n"/>
      <c r="O63" s="438" t="n"/>
      <c r="P63" s="438" t="n"/>
    </row>
    <row r="64" outlineLevel="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c r="L64" s="383" t="n"/>
      <c r="M64" s="383" t="n"/>
      <c r="N64" s="383" t="n"/>
      <c r="O64" s="383" t="n"/>
      <c r="P64" s="383" t="n"/>
    </row>
    <row r="65" outlineLevel="1">
      <c r="B65" s="59" t="n"/>
      <c r="C65" s="59" t="n"/>
      <c r="D65" s="812" t="n"/>
      <c r="E65" s="810" t="n"/>
      <c r="F65" s="360" t="n"/>
      <c r="G65" s="389" t="n"/>
      <c r="H65" s="390" t="n"/>
      <c r="I65" s="390" t="n"/>
      <c r="J65" s="208" t="n"/>
      <c r="K65" s="208" t="n"/>
      <c r="L65" s="208" t="n"/>
      <c r="M65" s="208" t="n"/>
      <c r="N65" s="208" t="n"/>
      <c r="O65" s="208" t="n"/>
      <c r="P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c r="L66" s="827">
        <f>IF(L84="","",K66+1)</f>
        <v/>
      </c>
      <c r="M66" s="827">
        <f>IF(M84="","",L66+1)</f>
        <v/>
      </c>
      <c r="N66" s="827">
        <f>IF(N84="","",M66+1)</f>
        <v/>
      </c>
      <c r="O66" s="827">
        <f>IF(O84="","",N66+1)</f>
        <v/>
      </c>
      <c r="P66" s="827">
        <f>IF(P84="","",O66+1)</f>
        <v/>
      </c>
    </row>
    <row r="67" outlineLevel="1">
      <c r="B67" s="394" t="inlineStr">
        <is>
          <t>Limited Partner (LP) Returns</t>
        </is>
      </c>
      <c r="C67" s="59" t="n"/>
      <c r="D67" s="812" t="n"/>
      <c r="E67" s="810" t="n"/>
      <c r="F67" s="395" t="n"/>
      <c r="G67" s="396" t="n"/>
      <c r="H67" s="397" t="n"/>
      <c r="I67" s="397" t="n"/>
      <c r="J67" s="398" t="n"/>
      <c r="K67" s="398" t="n"/>
      <c r="L67" s="398" t="n"/>
      <c r="M67" s="398" t="n"/>
      <c r="N67" s="398" t="n"/>
      <c r="O67" s="398" t="n"/>
      <c r="P67" s="398" t="n"/>
    </row>
    <row r="68" outlineLevel="1">
      <c r="B68" s="399" t="inlineStr">
        <is>
          <t>Total LP Distributions</t>
        </is>
      </c>
      <c r="C68" s="59" t="n"/>
      <c r="D68" s="401">
        <f>SUM(F68:P68)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c r="L68" s="358">
        <f>IF(L66="","",L100+L122+L137+L152+L159)</f>
        <v/>
      </c>
      <c r="M68" s="358">
        <f>IF(M66="","",M100+M122+M137+M152+M159)</f>
        <v/>
      </c>
      <c r="N68" s="358">
        <f>IF(N66="","",N100+N122+N137+N152+N159)</f>
        <v/>
      </c>
      <c r="O68" s="358">
        <f>IF(O66="","",O100+O122+O137+O152+O159)</f>
        <v/>
      </c>
      <c r="P68" s="358">
        <f>IF(P66="","",P100+P122+P137+P152+P159)</f>
        <v/>
      </c>
    </row>
    <row r="69" outlineLevel="1">
      <c r="B69" s="399" t="inlineStr">
        <is>
          <t>Total LP Contributions</t>
        </is>
      </c>
      <c r="C69" s="59" t="n"/>
      <c r="D69" s="401">
        <f>SUM(F69:P69)</f>
        <v/>
      </c>
      <c r="E69" s="810" t="n"/>
      <c r="F69" s="358">
        <f>F96</f>
        <v/>
      </c>
      <c r="G69" s="358">
        <f>G96</f>
        <v/>
      </c>
      <c r="H69" s="358">
        <f>H96</f>
        <v/>
      </c>
      <c r="I69" s="358">
        <f>I96</f>
        <v/>
      </c>
      <c r="J69" s="358">
        <f>J96</f>
        <v/>
      </c>
      <c r="K69" s="358">
        <f>K96</f>
        <v/>
      </c>
      <c r="L69" s="358">
        <f>L96</f>
        <v/>
      </c>
      <c r="M69" s="358">
        <f>M96</f>
        <v/>
      </c>
      <c r="N69" s="358">
        <f>N96</f>
        <v/>
      </c>
      <c r="O69" s="358">
        <f>O96</f>
        <v/>
      </c>
      <c r="P69" s="358">
        <f>P96</f>
        <v/>
      </c>
    </row>
    <row r="70" outlineLevel="1">
      <c r="B70" s="399" t="inlineStr">
        <is>
          <t>Total LP Profit</t>
        </is>
      </c>
      <c r="C70" s="59" t="n"/>
      <c r="D70" s="401">
        <f>D68-D69</f>
        <v/>
      </c>
      <c r="E70" s="810" t="n"/>
      <c r="F70" s="406" t="n"/>
      <c r="G70" s="358" t="n"/>
      <c r="H70" s="407" t="n"/>
      <c r="I70" s="407" t="n"/>
      <c r="J70" s="407" t="n"/>
      <c r="K70" s="407" t="n"/>
      <c r="L70" s="407" t="n"/>
      <c r="M70" s="407" t="n"/>
      <c r="N70" s="407" t="n"/>
      <c r="O70" s="407" t="n"/>
      <c r="P70" s="407" t="n"/>
    </row>
    <row r="71" outlineLevel="1">
      <c r="B71" s="399" t="inlineStr">
        <is>
          <t>LP IRR</t>
        </is>
      </c>
      <c r="C71" s="59" t="n"/>
      <c r="D71" s="442">
        <f>IRR(F71:P71)</f>
        <v/>
      </c>
      <c r="E71" s="810" t="n"/>
      <c r="F71" s="358">
        <f>IF(F66="","",(-F69)+F68)</f>
        <v/>
      </c>
      <c r="G71" s="358">
        <f>IF(G66="","",(-G69)+G68)</f>
        <v/>
      </c>
      <c r="H71" s="358">
        <f>IF(H66="","",(-H69)+H68)</f>
        <v/>
      </c>
      <c r="I71" s="358">
        <f>IF(I66="","",(-I69)+I68)</f>
        <v/>
      </c>
      <c r="J71" s="358">
        <f>IF(J66="","",(-J69)+J68)</f>
        <v/>
      </c>
      <c r="K71" s="358">
        <f>IF(K66="","",(-K69)+K68)</f>
        <v/>
      </c>
      <c r="L71" s="358">
        <f>IF(L66="","",(-L69)+L68)</f>
        <v/>
      </c>
      <c r="M71" s="358">
        <f>IF(M66="","",(-M69)+M68)</f>
        <v/>
      </c>
      <c r="N71" s="358">
        <f>IF(N66="","",(-N69)+N68)</f>
        <v/>
      </c>
      <c r="O71" s="358">
        <f>IF(O66="","",(-O69)+O68)</f>
        <v/>
      </c>
      <c r="P71" s="358">
        <f>IF(P66="","",(-P69)+P68)</f>
        <v/>
      </c>
    </row>
    <row r="72" outlineLevel="1">
      <c r="B72" s="399" t="inlineStr">
        <is>
          <t>LP Equity Multiple</t>
        </is>
      </c>
      <c r="C72" s="59" t="n"/>
      <c r="D72" s="828">
        <f>D68/D69</f>
        <v/>
      </c>
      <c r="E72" s="810" t="n"/>
      <c r="F72" s="406" t="n"/>
      <c r="G72" s="358" t="n"/>
      <c r="H72" s="407" t="n"/>
      <c r="I72" s="407" t="n"/>
      <c r="J72" s="407" t="n"/>
      <c r="K72" s="407" t="n"/>
      <c r="L72" s="407" t="n"/>
      <c r="M72" s="407" t="n"/>
      <c r="N72" s="407" t="n"/>
      <c r="O72" s="407" t="n"/>
      <c r="P72" s="407" t="n"/>
    </row>
    <row r="73" outlineLevel="1">
      <c r="B73" s="399" t="n"/>
      <c r="C73" s="59" t="n"/>
      <c r="D73" s="812" t="n"/>
      <c r="E73" s="810" t="n"/>
      <c r="F73" s="406" t="n"/>
      <c r="G73" s="358" t="n"/>
      <c r="H73" s="407" t="n"/>
      <c r="I73" s="407" t="n"/>
      <c r="J73" s="407" t="n"/>
      <c r="K73" s="407" t="n"/>
      <c r="L73" s="407" t="n"/>
      <c r="M73" s="407" t="n"/>
      <c r="N73" s="407" t="n"/>
      <c r="O73" s="407" t="n"/>
      <c r="P73" s="407" t="n"/>
    </row>
    <row r="74" outlineLevel="1">
      <c r="B74" s="394" t="inlineStr">
        <is>
          <t>GP Returns</t>
        </is>
      </c>
      <c r="C74" s="59" t="n"/>
      <c r="D74" s="812" t="n"/>
      <c r="E74" s="810" t="n"/>
      <c r="F74" s="406" t="n"/>
      <c r="G74" s="358" t="n"/>
      <c r="H74" s="407" t="n"/>
      <c r="I74" s="407" t="n"/>
      <c r="J74" s="407" t="n"/>
      <c r="K74" s="407" t="n"/>
      <c r="L74" s="407" t="n"/>
      <c r="M74" s="407" t="n"/>
      <c r="N74" s="407" t="n"/>
      <c r="O74" s="407" t="n"/>
      <c r="P74" s="407" t="n"/>
    </row>
    <row r="75" outlineLevel="1">
      <c r="B75" s="399" t="inlineStr">
        <is>
          <t>Total GP Distributions</t>
        </is>
      </c>
      <c r="C75" s="59" t="n"/>
      <c r="D75" s="358">
        <f>SUM(F75:P75)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c r="L75" s="358">
        <f>IF(L66="","",L105+L123+L138+L153+L160)</f>
        <v/>
      </c>
      <c r="M75" s="358">
        <f>IF(M66="","",M105+M123+M138+M153+M160)</f>
        <v/>
      </c>
      <c r="N75" s="358">
        <f>IF(N66="","",N105+N123+N138+N153+N160)</f>
        <v/>
      </c>
      <c r="O75" s="358">
        <f>IF(O66="","",O105+O123+O138+O153+O160)</f>
        <v/>
      </c>
      <c r="P75" s="358">
        <f>IF(P66="","",P105+P123+P138+P153+P160)</f>
        <v/>
      </c>
    </row>
    <row r="76" outlineLevel="1">
      <c r="B76" s="399" t="inlineStr">
        <is>
          <t>Total GP Fees</t>
        </is>
      </c>
      <c r="C76" s="59" t="n"/>
      <c r="D76" s="358">
        <f>SUM(F76:P76)</f>
        <v/>
      </c>
      <c r="E76" s="810" t="n"/>
      <c r="F76" s="358">
        <f>IF(F66="","",SUM(F85:F86))</f>
        <v/>
      </c>
      <c r="G76" s="358">
        <f>IF(G66="","",SUM(G85:G86))</f>
        <v/>
      </c>
      <c r="H76" s="358">
        <f>IF(H66="","",SUM(H85:H86))</f>
        <v/>
      </c>
      <c r="I76" s="358">
        <f>IF(I66="","",SUM(I85:I86))</f>
        <v/>
      </c>
      <c r="J76" s="358">
        <f>IF(J66="","",SUM(J85:J86))</f>
        <v/>
      </c>
      <c r="K76" s="358">
        <f>IF(K66="","",SUM(K85:K86))</f>
        <v/>
      </c>
      <c r="L76" s="358">
        <f>IF(L66="","",SUM(L85:L86))</f>
        <v/>
      </c>
      <c r="M76" s="358">
        <f>IF(M66="","",SUM(M85:M86))</f>
        <v/>
      </c>
      <c r="N76" s="358">
        <f>IF(N66="","",SUM(N85:N86))</f>
        <v/>
      </c>
      <c r="O76" s="358">
        <f>IF(O66="","",SUM(O85:O86))</f>
        <v/>
      </c>
      <c r="P76" s="358">
        <f>IF(P66="","",SUM(P85:P86))</f>
        <v/>
      </c>
    </row>
    <row r="77" outlineLevel="1">
      <c r="B77" s="399" t="inlineStr">
        <is>
          <t>Total GP Contributions</t>
        </is>
      </c>
      <c r="C77" s="59" t="n"/>
      <c r="D77" s="358">
        <f>SUM(F77:P77)</f>
        <v/>
      </c>
      <c r="E77" s="810" t="n"/>
      <c r="F77" s="358">
        <f>IF(F66="","",-(MIN(F87,0)+F96))</f>
        <v/>
      </c>
      <c r="G77" s="358">
        <f>IF(G66="","",-(MIN(G87,0)+G96))</f>
        <v/>
      </c>
      <c r="H77" s="358">
        <f>IF(H66="","",-(MIN(H87,0)+H96))</f>
        <v/>
      </c>
      <c r="I77" s="358">
        <f>IF(I66="","",-(MIN(I87,0)+I96))</f>
        <v/>
      </c>
      <c r="J77" s="358">
        <f>IF(J66="","",-(MIN(J87,0)+J96))</f>
        <v/>
      </c>
      <c r="K77" s="358">
        <f>IF(K66="","",-(MIN(K87,0)+K96))</f>
        <v/>
      </c>
      <c r="L77" s="358">
        <f>IF(L66="","",-(MIN(L87,0)+L96))</f>
        <v/>
      </c>
      <c r="M77" s="358">
        <f>IF(M66="","",-(MIN(M87,0)+M96))</f>
        <v/>
      </c>
      <c r="N77" s="358">
        <f>IF(N66="","",-(MIN(N87,0)+N96))</f>
        <v/>
      </c>
      <c r="O77" s="358">
        <f>IF(O66="","",-(MIN(O87,0)+O96))</f>
        <v/>
      </c>
      <c r="P77" s="358">
        <f>IF(P66="","",-(MIN(P87,0)+P96))</f>
        <v/>
      </c>
    </row>
    <row r="78" outlineLevel="1">
      <c r="B78" s="399" t="inlineStr">
        <is>
          <t>Total GP Profit</t>
        </is>
      </c>
      <c r="C78" s="59" t="n"/>
      <c r="D78" s="358">
        <f>+D75+D76-D77</f>
        <v/>
      </c>
      <c r="E78" s="810" t="n"/>
      <c r="F78" s="406" t="n"/>
      <c r="G78" s="358" t="n"/>
      <c r="H78" s="407" t="n"/>
      <c r="I78" s="407" t="n"/>
      <c r="J78" s="407" t="n"/>
      <c r="K78" s="407" t="n"/>
      <c r="L78" s="407" t="n"/>
      <c r="M78" s="407" t="n"/>
      <c r="N78" s="407" t="n"/>
      <c r="O78" s="407" t="n"/>
      <c r="P78" s="407" t="n"/>
    </row>
    <row r="79" outlineLevel="1">
      <c r="B79" s="399" t="inlineStr">
        <is>
          <t>GP IRR</t>
        </is>
      </c>
      <c r="C79" s="59" t="n"/>
      <c r="D79" s="413">
        <f>IFERROR(IRR(F79:P79),"NA")</f>
        <v/>
      </c>
      <c r="E79" s="810" t="n"/>
      <c r="F79" s="358">
        <f>IF(F66="","",(-F77)+F75+F76)</f>
        <v/>
      </c>
      <c r="G79" s="358">
        <f>IF(G66="","",(-G77)+G75+G76)</f>
        <v/>
      </c>
      <c r="H79" s="358">
        <f>IF(H66="","",(-H77)+H75+H76)</f>
        <v/>
      </c>
      <c r="I79" s="358">
        <f>IF(I66="","",(-I77)+I75+I76)</f>
        <v/>
      </c>
      <c r="J79" s="358">
        <f>IF(J66="","",(-J77)+J75+J76)</f>
        <v/>
      </c>
      <c r="K79" s="358">
        <f>IF(K66="","",(-K77)+K75+K76)</f>
        <v/>
      </c>
      <c r="L79" s="358">
        <f>IF(L66="","",(-L77)+L75+L76)</f>
        <v/>
      </c>
      <c r="M79" s="358">
        <f>IF(M66="","",(-M77)+M75+M76)</f>
        <v/>
      </c>
      <c r="N79" s="358">
        <f>IF(N66="","",(-N77)+N75+N76)</f>
        <v/>
      </c>
      <c r="O79" s="358">
        <f>IF(O66="","",(-O77)+O75+O76)</f>
        <v/>
      </c>
      <c r="P79" s="358">
        <f>IF(P66="","",(-P77)+P75+P76)</f>
        <v/>
      </c>
    </row>
    <row r="80" outlineLevel="1">
      <c r="B80" s="399" t="inlineStr">
        <is>
          <t>GP Equity Multiple</t>
        </is>
      </c>
      <c r="C80" s="59" t="n"/>
      <c r="D80" s="818">
        <f>IFERROR(D75/D77,"NA")</f>
        <v/>
      </c>
      <c r="E80" s="810" t="n"/>
      <c r="F80" s="395" t="n"/>
      <c r="G80" s="396" t="n"/>
      <c r="H80" s="397" t="n"/>
      <c r="I80" s="397" t="n"/>
      <c r="J80" s="398" t="n"/>
      <c r="K80" s="398" t="n"/>
      <c r="L80" s="398" t="n"/>
      <c r="M80" s="398" t="n"/>
      <c r="N80" s="398" t="n"/>
      <c r="O80" s="398" t="n"/>
      <c r="P80" s="398" t="n"/>
    </row>
    <row r="81" outlineLevel="1">
      <c r="B81" s="415" t="n"/>
      <c r="C81" s="416" t="n"/>
      <c r="D81" s="819" t="n"/>
      <c r="E81" s="59" t="n"/>
      <c r="F81" s="398" t="n"/>
      <c r="G81" s="398" t="n"/>
      <c r="H81" s="398" t="n"/>
      <c r="I81" s="398" t="n"/>
      <c r="J81" s="398" t="n"/>
      <c r="K81" s="398" t="n"/>
      <c r="L81" s="398" t="n"/>
      <c r="M81" s="398" t="n"/>
      <c r="N81" s="398" t="n"/>
      <c r="O81" s="398" t="n"/>
      <c r="P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c r="L82" s="827">
        <f>L$21</f>
        <v/>
      </c>
      <c r="M82" s="827">
        <f>M$21</f>
        <v/>
      </c>
      <c r="N82" s="827">
        <f>N$21</f>
        <v/>
      </c>
      <c r="O82" s="827">
        <f>O$21</f>
        <v/>
      </c>
      <c r="P82" s="827">
        <f>P$21</f>
        <v/>
      </c>
    </row>
    <row r="83" outlineLevel="1">
      <c r="B83" s="59" t="n"/>
      <c r="C83" s="59" t="n"/>
      <c r="D83" s="59" t="n"/>
      <c r="E83" s="398" t="inlineStr">
        <is>
          <t>Year Ending</t>
        </is>
      </c>
      <c r="F83" s="829">
        <f>IF(F46="","",F46)</f>
        <v/>
      </c>
      <c r="G83" s="830">
        <f>IF(G46="","",G46)</f>
        <v/>
      </c>
      <c r="H83" s="830">
        <f>IF(H46="","",H46)</f>
        <v/>
      </c>
      <c r="I83" s="830">
        <f>IF(I46="","",I46)</f>
        <v/>
      </c>
      <c r="J83" s="830">
        <f>IF(J46="","",J46)</f>
        <v/>
      </c>
      <c r="K83" s="830">
        <f>IF(K46="","",K46)</f>
        <v/>
      </c>
      <c r="L83" s="830">
        <f>IF(L46="","",L46)</f>
        <v/>
      </c>
      <c r="M83" s="830">
        <f>IF(M46="","",M46)</f>
        <v/>
      </c>
      <c r="N83" s="830">
        <f>IF(N46="","",N46)</f>
        <v/>
      </c>
      <c r="O83" s="830">
        <f>IF(O46="","",O46)</f>
        <v/>
      </c>
      <c r="P83" s="830">
        <f>IF(P46="","",P46)</f>
        <v/>
      </c>
    </row>
    <row r="84" outlineLevel="1">
      <c r="B84" s="130" t="inlineStr">
        <is>
          <t>Net Property-Level Cash Flow</t>
        </is>
      </c>
      <c r="C84" s="59" t="n"/>
      <c r="D84" s="59" t="n"/>
      <c r="E84" s="421" t="n"/>
      <c r="F84" s="446">
        <f>IF(F47="","",F47)</f>
        <v/>
      </c>
      <c r="G84" s="446">
        <f>IF(G47="","",G47)</f>
        <v/>
      </c>
      <c r="H84" s="446">
        <f>IF(H47="","",H47)</f>
        <v/>
      </c>
      <c r="I84" s="446">
        <f>IF(I47="","",I47)</f>
        <v/>
      </c>
      <c r="J84" s="446">
        <f>IF(J47="","",J47)</f>
        <v/>
      </c>
      <c r="K84" s="446">
        <f>IF(K47="","",K47)</f>
        <v/>
      </c>
      <c r="L84" s="446">
        <f>IF(L47="","",L47)</f>
        <v/>
      </c>
      <c r="M84" s="446">
        <f>IF(M47="","",M47)</f>
        <v/>
      </c>
      <c r="N84" s="446">
        <f>IF(N47="","",N47)</f>
        <v/>
      </c>
      <c r="O84" s="446">
        <f>IF(O47="","",O47)</f>
        <v/>
      </c>
      <c r="P84" s="446">
        <f>IF(P47="","",P47)</f>
        <v/>
      </c>
    </row>
    <row r="85" outlineLevel="1">
      <c r="B85" s="447">
        <f>IF(B48="","",B48)</f>
        <v/>
      </c>
      <c r="C85" s="59" t="n"/>
      <c r="D85" s="59" t="n"/>
      <c r="E85" s="421" t="n"/>
      <c r="F85" s="446">
        <f>IF(F48="","",F48)</f>
        <v/>
      </c>
      <c r="G85" s="446">
        <f>IF(G48="","",G48)</f>
        <v/>
      </c>
      <c r="H85" s="446">
        <f>IF(H48="","",H48)</f>
        <v/>
      </c>
      <c r="I85" s="446">
        <f>IF(I48="","",I48)</f>
        <v/>
      </c>
      <c r="J85" s="446">
        <f>IF(J48="","",J48)</f>
        <v/>
      </c>
      <c r="K85" s="446">
        <f>IF(K48="","",K48)</f>
        <v/>
      </c>
      <c r="L85" s="446">
        <f>IF(L48="","",L48)</f>
        <v/>
      </c>
      <c r="M85" s="446">
        <f>IF(M48="","",M48)</f>
        <v/>
      </c>
      <c r="N85" s="446">
        <f>IF(N48="","",N48)</f>
        <v/>
      </c>
      <c r="O85" s="446">
        <f>IF(O48="","",O48)</f>
        <v/>
      </c>
      <c r="P85" s="446">
        <f>IF(P48="","",P48)</f>
        <v/>
      </c>
    </row>
    <row r="86" outlineLevel="1">
      <c r="B86" s="447">
        <f>IF(B49="","",B49)</f>
        <v/>
      </c>
      <c r="C86" s="59" t="n"/>
      <c r="D86" s="59" t="n"/>
      <c r="E86" s="421" t="n"/>
      <c r="F86" s="446">
        <f>IF(F49="","",F49)</f>
        <v/>
      </c>
      <c r="G86" s="446">
        <f>IF(G49="","",G49)</f>
        <v/>
      </c>
      <c r="H86" s="446">
        <f>IF(H49="","",H49)</f>
        <v/>
      </c>
      <c r="I86" s="446">
        <f>IF(I49="","",I49)</f>
        <v/>
      </c>
      <c r="J86" s="446">
        <f>IF(J49="","",J49)</f>
        <v/>
      </c>
      <c r="K86" s="446">
        <f>IF(K49="","",K49)</f>
        <v/>
      </c>
      <c r="L86" s="446">
        <f>IF(L49="","",L49)</f>
        <v/>
      </c>
      <c r="M86" s="446">
        <f>IF(M49="","",M49)</f>
        <v/>
      </c>
      <c r="N86" s="446">
        <f>IF(N49="","",N49)</f>
        <v/>
      </c>
      <c r="O86" s="446">
        <f>IF(O49="","",O49)</f>
        <v/>
      </c>
      <c r="P86" s="446">
        <f>IF(P49="","",P49)</f>
        <v/>
      </c>
    </row>
    <row r="87" outlineLevel="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c r="L87" s="424">
        <f>IF(L82="","",L84-L85-L86)</f>
        <v/>
      </c>
      <c r="M87" s="424">
        <f>IF(M82="","",M84-M85-M86)</f>
        <v/>
      </c>
      <c r="N87" s="424">
        <f>IF(N82="","",N84-N85-N86)</f>
        <v/>
      </c>
      <c r="O87" s="424">
        <f>IF(O82="","",O84-O85-O86)</f>
        <v/>
      </c>
      <c r="P87" s="424">
        <f>IF(P82="","",P84-P85-P86)</f>
        <v/>
      </c>
    </row>
    <row r="88" outlineLevel="1">
      <c r="B88" s="59" t="inlineStr">
        <is>
          <t>Levered IRR</t>
        </is>
      </c>
      <c r="C88" s="59" t="n"/>
      <c r="D88" s="59" t="n"/>
      <c r="E88" s="59" t="n"/>
      <c r="F88" s="397">
        <f>IRR(F87:M87)</f>
        <v/>
      </c>
      <c r="G88" s="398" t="n"/>
      <c r="H88" s="398" t="n"/>
      <c r="I88" s="398" t="n"/>
      <c r="J88" s="398" t="n"/>
      <c r="K88" s="398" t="n"/>
      <c r="L88" s="398" t="n"/>
      <c r="M88" s="398" t="n"/>
      <c r="N88" s="398" t="n"/>
      <c r="O88" s="398" t="n"/>
      <c r="P88" s="398" t="n"/>
    </row>
    <row r="89" outlineLevel="1">
      <c r="B89" s="59" t="inlineStr">
        <is>
          <t>Equity Multiple</t>
        </is>
      </c>
      <c r="C89" s="59" t="n"/>
      <c r="D89" s="59" t="n"/>
      <c r="E89" s="59" t="n"/>
      <c r="F89" s="822">
        <f>SUMIF(F87:M87,"&gt;0")/-SUMIF(F87:M87,"&lt;0")</f>
        <v/>
      </c>
      <c r="G89" s="398" t="n"/>
      <c r="H89" s="398" t="n"/>
      <c r="I89" s="398" t="n"/>
      <c r="J89" s="398" t="n"/>
      <c r="K89" s="398" t="n"/>
      <c r="L89" s="398" t="n"/>
      <c r="M89" s="398" t="n"/>
      <c r="N89" s="398" t="n"/>
      <c r="O89" s="398" t="n"/>
      <c r="P89" s="398" t="n"/>
    </row>
    <row r="90" outlineLevel="1">
      <c r="B90" s="59" t="n"/>
      <c r="C90" s="59" t="n"/>
      <c r="D90" s="59" t="n"/>
      <c r="E90" s="398" t="n"/>
      <c r="F90" s="426" t="n"/>
      <c r="G90" s="398" t="n"/>
      <c r="H90" s="398" t="n"/>
      <c r="I90" s="398" t="n"/>
      <c r="J90" s="398" t="n"/>
      <c r="K90" s="398" t="n"/>
      <c r="L90" s="398" t="n"/>
      <c r="M90" s="398" t="n"/>
      <c r="N90" s="398" t="n"/>
      <c r="O90" s="398" t="n"/>
      <c r="P90" s="398" t="n"/>
    </row>
    <row r="91" outlineLevel="1" ht="15.75" customHeight="1">
      <c r="B91" s="433" t="inlineStr">
        <is>
          <t>Tier 1 - Preferred Return + Return of Capital</t>
        </is>
      </c>
      <c r="C91" s="430" t="n"/>
      <c r="D91" s="430" t="n"/>
      <c r="E91" s="430" t="n"/>
      <c r="F91" s="431" t="n"/>
      <c r="G91" s="448" t="n"/>
      <c r="H91" s="431" t="n"/>
      <c r="I91" s="431" t="n"/>
      <c r="J91" s="431" t="n"/>
      <c r="K91" s="431" t="n"/>
      <c r="L91" s="431" t="n"/>
      <c r="M91" s="431" t="n"/>
      <c r="N91" s="431" t="n"/>
      <c r="O91" s="431" t="n"/>
      <c r="P91" s="431" t="n"/>
    </row>
    <row r="92" outlineLevel="1">
      <c r="B92" s="449" t="inlineStr">
        <is>
          <t>Return Threshold - Up to:</t>
        </is>
      </c>
      <c r="C92" s="831">
        <f>E60</f>
        <v/>
      </c>
      <c r="D92" s="430" t="n"/>
      <c r="E92" s="430" t="n"/>
      <c r="F92" s="431" t="inlineStr">
        <is>
          <t>Year 0</t>
        </is>
      </c>
      <c r="G92" s="827">
        <f>G$21</f>
        <v/>
      </c>
      <c r="H92" s="827">
        <f>H$21</f>
        <v/>
      </c>
      <c r="I92" s="827">
        <f>I$21</f>
        <v/>
      </c>
      <c r="J92" s="827">
        <f>J$21</f>
        <v/>
      </c>
      <c r="K92" s="827">
        <f>K$21</f>
        <v/>
      </c>
      <c r="L92" s="827">
        <f>L$21</f>
        <v/>
      </c>
      <c r="M92" s="827">
        <f>M$21</f>
        <v/>
      </c>
      <c r="N92" s="827">
        <f>N$21</f>
        <v/>
      </c>
      <c r="O92" s="827">
        <f>O$21</f>
        <v/>
      </c>
      <c r="P92" s="827">
        <f>P$21</f>
        <v/>
      </c>
    </row>
    <row r="93" outlineLevel="1">
      <c r="B93" s="59" t="inlineStr">
        <is>
          <t>Beginning Balance (LP Capital Account)</t>
        </is>
      </c>
      <c r="C93" s="59" t="n"/>
      <c r="D93" s="59" t="n"/>
      <c r="E93" s="59" t="n"/>
      <c r="F93" s="407">
        <f>IF(F92="","",E98)</f>
        <v/>
      </c>
      <c r="G93" s="407">
        <f>IF(G92="","",F98)</f>
        <v/>
      </c>
      <c r="H93" s="407">
        <f>IF(H92="","",G98)</f>
        <v/>
      </c>
      <c r="I93" s="407">
        <f>IF(I92="","",H98)</f>
        <v/>
      </c>
      <c r="J93" s="407">
        <f>IF(J92="","",I98)</f>
        <v/>
      </c>
      <c r="K93" s="407">
        <f>IF(K92="","",J98)</f>
        <v/>
      </c>
      <c r="L93" s="407">
        <f>IF(L92="","",K98)</f>
        <v/>
      </c>
      <c r="M93" s="407">
        <f>IF(M92="","",L98)</f>
        <v/>
      </c>
      <c r="N93" s="407">
        <f>IF(N92="","",M98)</f>
        <v/>
      </c>
      <c r="O93" s="407">
        <f>IF(O92="","",N98)</f>
        <v/>
      </c>
      <c r="P93" s="407">
        <f>IF(P92="","",O98)</f>
        <v/>
      </c>
    </row>
    <row r="94" outlineLevel="1">
      <c r="B94" s="59" t="inlineStr">
        <is>
          <t>LP Return of Capital</t>
        </is>
      </c>
      <c r="C94" s="59" t="n"/>
      <c r="D94" s="59" t="n"/>
      <c r="E94" s="59" t="n"/>
      <c r="F94" s="451">
        <f>IF(ROUND(SUM(G94:M94),0)=ROUND(SUM(F96:M96),0),"All Capital Returned","Capital Not Returned")</f>
        <v/>
      </c>
      <c r="G94" s="407">
        <f>IF(G92="","",G100-G95)</f>
        <v/>
      </c>
      <c r="H94" s="407">
        <f>IF(H92="","",H100-H95)</f>
        <v/>
      </c>
      <c r="I94" s="407">
        <f>IF(I92="","",I100-I95)</f>
        <v/>
      </c>
      <c r="J94" s="407">
        <f>IF(J92="","",J100-J95)</f>
        <v/>
      </c>
      <c r="K94" s="407">
        <f>IF(K92="","",K100-K95)</f>
        <v/>
      </c>
      <c r="L94" s="407">
        <f>IF(L92="","",L100-L95)</f>
        <v/>
      </c>
      <c r="M94" s="407">
        <f>IF(M92="","",M100-M95)</f>
        <v/>
      </c>
      <c r="N94" s="407">
        <f>IF(N92="","",N100-N95)</f>
        <v/>
      </c>
      <c r="O94" s="407">
        <f>IF(O92="","",O100-O95)</f>
        <v/>
      </c>
      <c r="P94" s="407">
        <f>IF(P92="","",P100-P95)</f>
        <v/>
      </c>
    </row>
    <row r="95" outlineLevel="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c r="L95" s="407">
        <f>IF(L92="","",IF($D$57="Equity Multiple",K96*$C92-K96,L93*Preferred_Return))</f>
        <v/>
      </c>
      <c r="M95" s="407">
        <f>IF(M92="","",IF($D$57="Equity Multiple",L96*$C92-L96,M93*Preferred_Return))</f>
        <v/>
      </c>
      <c r="N95" s="407">
        <f>IF(N92="","",IF($D$57="Equity Multiple",M96*$C92-M96,N93*Preferred_Return))</f>
        <v/>
      </c>
      <c r="O95" s="407">
        <f>IF(O92="","",IF($D$57="Equity Multiple",N96*$C92-N96,O93*Preferred_Return))</f>
        <v/>
      </c>
      <c r="P95" s="407">
        <f>IF(P92="","",IF($D$57="Equity Multiple",O96*$C92-O96,P93*Preferred_Return))</f>
        <v/>
      </c>
    </row>
    <row r="96" outlineLevel="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c r="L96" s="407">
        <f>IF(L92="","",-MIN(0,L87*Equity_Share_LP))</f>
        <v/>
      </c>
      <c r="M96" s="407">
        <f>IF(M92="","",-MIN(0,M87*Equity_Share_LP))</f>
        <v/>
      </c>
      <c r="N96" s="407">
        <f>IF(N92="","",-MIN(0,N87*Equity_Share_LP))</f>
        <v/>
      </c>
      <c r="O96" s="407">
        <f>IF(O92="","",-MIN(0,O87*Equity_Share_LP))</f>
        <v/>
      </c>
      <c r="P96" s="407">
        <f>IF(P92="","",-MIN(0,P87*Equity_Share_LP))</f>
        <v/>
      </c>
    </row>
    <row r="97" outlineLevel="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c r="L97" s="358">
        <f>IF(L92="","",MIN(L93+L95,MAX(L87,0)*$I$15))</f>
        <v/>
      </c>
      <c r="M97" s="358">
        <f>IF(M92="","",MIN(M93+M95,MAX(M87,0)*$I$15))</f>
        <v/>
      </c>
      <c r="N97" s="358">
        <f>IF(N92="","",MIN(N93+N95,MAX(N87,0)*$I$15))</f>
        <v/>
      </c>
      <c r="O97" s="358">
        <f>IF(O92="","",MIN(O93+O95,MAX(O87,0)*$I$15))</f>
        <v/>
      </c>
      <c r="P97" s="358">
        <f>IF(P92="","",MIN(P93+P95,MAX(P87,0)*$I$15))</f>
        <v/>
      </c>
    </row>
    <row r="98" outlineLevel="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c r="L98" s="407">
        <f>IF(L92="","",L93+L95+L96-L97)</f>
        <v/>
      </c>
      <c r="M98" s="407">
        <f>IF(M92="","",M93+M95+M96-M97)</f>
        <v/>
      </c>
      <c r="N98" s="407">
        <f>IF(N92="","",N93+N95+N96-N97)</f>
        <v/>
      </c>
      <c r="O98" s="407">
        <f>IF(O92="","",O93+O95+O96-O97)</f>
        <v/>
      </c>
      <c r="P98" s="407">
        <f>IF(P92="","",P93+P95+P96-P97)</f>
        <v/>
      </c>
    </row>
    <row r="99" outlineLevel="1">
      <c r="B99" s="452">
        <f>IF(D57="Equity Multiple", "LP EMx Check","LP IRR Check")</f>
        <v/>
      </c>
      <c r="C99" s="59" t="n"/>
      <c r="D99" s="59" t="n"/>
      <c r="E99" s="453">
        <f>IF($D$57="IRR",IRR(F99:P99),SUMIF(F99:P99,"&gt;0")/-SUMIF(F99:P99,"&lt;0"))</f>
        <v/>
      </c>
      <c r="F99" s="407">
        <f>IF(F92="","",-F96+F97)</f>
        <v/>
      </c>
      <c r="G99" s="407">
        <f>IF(G92="","",-G96+G97)</f>
        <v/>
      </c>
      <c r="H99" s="407">
        <f>IF(H92="","",-H96+H97)</f>
        <v/>
      </c>
      <c r="I99" s="407">
        <f>IF(I92="","",-I96+I97)</f>
        <v/>
      </c>
      <c r="J99" s="407">
        <f>IF(J92="","",-J96+J97)</f>
        <v/>
      </c>
      <c r="K99" s="407">
        <f>IF(K92="","",-K96+K97)</f>
        <v/>
      </c>
      <c r="L99" s="407">
        <f>IF(L92="","",-L96+L97)</f>
        <v/>
      </c>
      <c r="M99" s="407">
        <f>IF(M92="","",-M96+M97)</f>
        <v/>
      </c>
      <c r="N99" s="407">
        <f>IF(N92="","",-N96+N97)</f>
        <v/>
      </c>
      <c r="O99" s="407">
        <f>IF(O92="","",-O96+O97)</f>
        <v/>
      </c>
      <c r="P99" s="407">
        <f>IF(P92="","",-P96+P97)</f>
        <v/>
      </c>
    </row>
    <row r="100" outlineLevel="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c r="L100" s="407">
        <f>IF(L92="","",MIN(L93+L95,MAX(L87,0)*$I$15))</f>
        <v/>
      </c>
      <c r="M100" s="407">
        <f>IF(M92="","",MIN(M93+M95,MAX(M87,0)*$I$15))</f>
        <v/>
      </c>
      <c r="N100" s="407">
        <f>IF(N92="","",MIN(N93+N95,MAX(N87,0)*$I$15))</f>
        <v/>
      </c>
      <c r="O100" s="407">
        <f>IF(O92="","",MIN(O93+O95,MAX(O87,0)*$I$15))</f>
        <v/>
      </c>
      <c r="P100" s="407">
        <f>IF(P92="","",MIN(P93+P95,MAX(P87,0)*$I$15))</f>
        <v/>
      </c>
    </row>
    <row r="101" outlineLevel="1">
      <c r="B101" s="59" t="n"/>
      <c r="C101" s="59" t="n"/>
      <c r="D101" s="59" t="n"/>
      <c r="E101" s="59" t="n"/>
      <c r="F101" s="407" t="n"/>
      <c r="G101" s="407" t="n"/>
      <c r="H101" s="407" t="n"/>
      <c r="I101" s="407" t="n"/>
      <c r="J101" s="407" t="n"/>
      <c r="K101" s="407" t="n"/>
      <c r="L101" s="407" t="n"/>
      <c r="M101" s="407" t="n"/>
      <c r="N101" s="407" t="n"/>
      <c r="O101" s="407" t="n"/>
      <c r="P101" s="407" t="n"/>
    </row>
    <row r="102" outlineLevel="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c r="L102" s="407">
        <f>IF(L92="","",K106)</f>
        <v/>
      </c>
      <c r="M102" s="407">
        <f>IF(M92="","",L106)</f>
        <v/>
      </c>
      <c r="N102" s="407">
        <f>IF(N92="","",M106)</f>
        <v/>
      </c>
      <c r="O102" s="407">
        <f>IF(O92="","",N106)</f>
        <v/>
      </c>
      <c r="P102" s="407">
        <f>IF(P92="","",O106)</f>
        <v/>
      </c>
    </row>
    <row r="103" outlineLevel="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c r="L103" s="407">
        <f>IF(L102="","",IF($D$57="Equity Multiple",K104*$C92-K104,L102*Preferred_Return))</f>
        <v/>
      </c>
      <c r="M103" s="407">
        <f>IF(M102="","",IF($D$57="Equity Multiple",L104*$C92-L104,M102*Preferred_Return))</f>
        <v/>
      </c>
      <c r="N103" s="407">
        <f>IF(N102="","",IF($D$57="Equity Multiple",M104*$C92-M104,N102*Preferred_Return))</f>
        <v/>
      </c>
      <c r="O103" s="407">
        <f>IF(O102="","",IF($D$57="Equity Multiple",N104*$C92-N104,O102*Preferred_Return))</f>
        <v/>
      </c>
      <c r="P103" s="407">
        <f>IF(P102="","",IF($D$57="Equity Multiple",O104*$C92-O104,P102*Preferred_Return))</f>
        <v/>
      </c>
    </row>
    <row r="104" outlineLevel="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c r="L104" s="407">
        <f>IF(L92="","",-MIN(0,L87*Equity_Share_GP))</f>
        <v/>
      </c>
      <c r="M104" s="407">
        <f>IF(M92="","",-MIN(0,M87*Equity_Share_GP))</f>
        <v/>
      </c>
      <c r="N104" s="407">
        <f>IF(N92="","",-MIN(0,N87*Equity_Share_GP))</f>
        <v/>
      </c>
      <c r="O104" s="407">
        <f>IF(O92="","",-MIN(0,O87*Equity_Share_GP))</f>
        <v/>
      </c>
      <c r="P104" s="407">
        <f>IF(P92="","",-MIN(0,P87*Equity_Share_GP))</f>
        <v/>
      </c>
    </row>
    <row r="105" outlineLevel="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c r="L105" s="358">
        <f>IF(L92="","",IF(CU?,MAX(MIN(L87-L100,L102+L103+L104),0),L97/$I$15*$H$15))</f>
        <v/>
      </c>
      <c r="M105" s="358">
        <f>IF(M92="","",IF(CU?,MAX(MIN(M87-M100,M102+M103+M104),0),M97/$I$15*$H$15))</f>
        <v/>
      </c>
      <c r="N105" s="358">
        <f>IF(N92="","",IF(CU?,MAX(MIN(N87-N100,N102+N103+N104),0),N97/$I$15*$H$15))</f>
        <v/>
      </c>
      <c r="O105" s="358">
        <f>IF(O92="","",IF(CU?,MAX(MIN(O87-O100,O102+O103+O104),0),O97/$I$15*$H$15))</f>
        <v/>
      </c>
      <c r="P105" s="358">
        <f>IF(P92="","",IF(CU?,MAX(MIN(P87-P100,P102+P103+P104),0),P97/$I$15*$H$15))</f>
        <v/>
      </c>
    </row>
    <row r="106" outlineLevel="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c r="L106" s="358">
        <f>IF(L92="","",L102+L103+L104-L105)</f>
        <v/>
      </c>
      <c r="M106" s="358">
        <f>IF(M92="","",M102+M103+M104-M105)</f>
        <v/>
      </c>
      <c r="N106" s="358">
        <f>IF(N92="","",N102+N103+N104-N105)</f>
        <v/>
      </c>
      <c r="O106" s="358">
        <f>IF(O92="","",O102+O103+O104-O105)</f>
        <v/>
      </c>
      <c r="P106" s="358">
        <f>IF(P92="","",P102+P103+P104-P105)</f>
        <v/>
      </c>
    </row>
    <row r="107" outlineLevel="1">
      <c r="B107" s="452">
        <f>IF(D57="Equity Multiple", "GP EMx Check","GP IRR Check")</f>
        <v/>
      </c>
      <c r="C107" s="59" t="n"/>
      <c r="D107" s="59" t="n"/>
      <c r="E107" s="453">
        <f>IF($D$57="IRR",IFERROR(IRR(F107:P107),"NA"),SUMIF(F107:P107,"&gt;0")/-SUMIF(F107:P107,"&lt;0"))</f>
        <v/>
      </c>
      <c r="F107" s="407">
        <f>IF(F92="","",-F104+F105)</f>
        <v/>
      </c>
      <c r="G107" s="358">
        <f>IF(G92="","",-G104+G105)</f>
        <v/>
      </c>
      <c r="H107" s="358">
        <f>IF(H92="","",-H104+H105)</f>
        <v/>
      </c>
      <c r="I107" s="358">
        <f>IF(I92="","",-I104+I105)</f>
        <v/>
      </c>
      <c r="J107" s="358">
        <f>IF(J92="","",-J104+J105)</f>
        <v/>
      </c>
      <c r="K107" s="358">
        <f>IF(K92="","",-K104+K105)</f>
        <v/>
      </c>
      <c r="L107" s="358">
        <f>IF(L92="","",-L104+L105)</f>
        <v/>
      </c>
      <c r="M107" s="358">
        <f>IF(M92="","",-M104+M105)</f>
        <v/>
      </c>
      <c r="N107" s="358">
        <f>IF(N92="","",-N104+N105)</f>
        <v/>
      </c>
      <c r="O107" s="358">
        <f>IF(O92="","",-O104+O105)</f>
        <v/>
      </c>
      <c r="P107" s="358">
        <f>IF(P92="","",-P104+P105)</f>
        <v/>
      </c>
    </row>
    <row r="108" outlineLevel="1">
      <c r="B108" s="59" t="n"/>
      <c r="C108" s="59" t="n"/>
      <c r="D108" s="59" t="n"/>
      <c r="E108" s="59" t="n"/>
      <c r="F108" s="407" t="n"/>
      <c r="G108" s="358" t="n"/>
      <c r="H108" s="358" t="n"/>
      <c r="I108" s="358" t="n"/>
      <c r="J108" s="358" t="n"/>
      <c r="K108" s="358" t="n"/>
      <c r="L108" s="358" t="n"/>
      <c r="M108" s="358" t="n"/>
      <c r="N108" s="358" t="n"/>
      <c r="O108" s="358" t="n"/>
      <c r="P108" s="358" t="n"/>
    </row>
    <row r="109" outlineLevel="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c r="L109" s="407">
        <f>IF(L92="","",L105+L100)</f>
        <v/>
      </c>
      <c r="M109" s="407">
        <f>IF(M92="","",M105+M100)</f>
        <v/>
      </c>
      <c r="N109" s="407">
        <f>IF(N92="","",N105+N100)</f>
        <v/>
      </c>
      <c r="O109" s="407">
        <f>IF(O92="","",O105+O100)</f>
        <v/>
      </c>
      <c r="P109" s="407">
        <f>IF(P92="","",P105+P100)</f>
        <v/>
      </c>
    </row>
    <row r="110" outlineLevel="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c r="L110" s="407">
        <f>IF(L92="","",MAX(L87-L109,0))</f>
        <v/>
      </c>
      <c r="M110" s="407">
        <f>IF(M92="","",MAX(M87-M109,0))</f>
        <v/>
      </c>
      <c r="N110" s="407">
        <f>IF(N92="","",MAX(N87-N109,0))</f>
        <v/>
      </c>
      <c r="O110" s="407">
        <f>IF(O92="","",MAX(O87-O109,0))</f>
        <v/>
      </c>
      <c r="P110" s="407">
        <f>IF(P92="","",MAX(P87-P109,0))</f>
        <v/>
      </c>
    </row>
    <row r="111" outlineLevel="1">
      <c r="B111" s="59" t="n"/>
      <c r="C111" s="59" t="n"/>
      <c r="D111" s="59" t="n"/>
      <c r="E111" s="59" t="n"/>
      <c r="F111" s="398" t="n"/>
      <c r="G111" s="398" t="n"/>
      <c r="H111" s="398" t="n"/>
      <c r="I111" s="398" t="n"/>
      <c r="J111" s="398" t="n"/>
      <c r="K111" s="398" t="n"/>
      <c r="L111" s="398" t="n"/>
      <c r="M111" s="398" t="n"/>
      <c r="N111" s="398" t="n"/>
      <c r="O111" s="398" t="n"/>
      <c r="P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c r="L112" s="827">
        <f>L$21</f>
        <v/>
      </c>
      <c r="M112" s="827">
        <f>M$21</f>
        <v/>
      </c>
      <c r="N112" s="827">
        <f>N$21</f>
        <v/>
      </c>
      <c r="O112" s="827">
        <f>O$21</f>
        <v/>
      </c>
      <c r="P112" s="827">
        <f>P$21</f>
        <v/>
      </c>
    </row>
    <row r="113" outlineLevel="1">
      <c r="B113" s="454" t="inlineStr">
        <is>
          <t>Return Threshold - Up to:</t>
        </is>
      </c>
      <c r="C113" s="832">
        <f>E61</f>
        <v/>
      </c>
      <c r="D113" s="59" t="n"/>
      <c r="E113" s="59" t="n"/>
      <c r="F113" s="398" t="n"/>
      <c r="G113" s="833" t="n"/>
      <c r="H113" s="833" t="n"/>
      <c r="I113" s="833" t="n"/>
      <c r="J113" s="833" t="n"/>
      <c r="K113" s="833" t="n"/>
      <c r="L113" s="833" t="n"/>
      <c r="M113" s="833" t="n"/>
      <c r="N113" s="833" t="n"/>
      <c r="O113" s="833" t="n"/>
      <c r="P113" s="833" t="n"/>
    </row>
    <row r="114" outlineLevel="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c r="L114" s="407">
        <f>IF(L112="","",K119)</f>
        <v/>
      </c>
      <c r="M114" s="407">
        <f>IF(M112="","",L119)</f>
        <v/>
      </c>
      <c r="N114" s="407">
        <f>IF(N112="","",M119)</f>
        <v/>
      </c>
      <c r="O114" s="407">
        <f>IF(O112="","",N119)</f>
        <v/>
      </c>
      <c r="P114" s="407">
        <f>IF(P112="","",O119)</f>
        <v/>
      </c>
    </row>
    <row r="115" outlineLevel="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c r="L115" s="407">
        <f>IF(L112="","",IF($D$57="Equity Multiple",K116*$C113-K116,L114*$C113))</f>
        <v/>
      </c>
      <c r="M115" s="407">
        <f>IF(M112="","",IF($D$57="Equity Multiple",L116*$C113-L116,M114*$C113))</f>
        <v/>
      </c>
      <c r="N115" s="407">
        <f>IF(N112="","",IF($D$57="Equity Multiple",M116*$C113-M116,N114*$C113))</f>
        <v/>
      </c>
      <c r="O115" s="407">
        <f>IF(O112="","",IF($D$57="Equity Multiple",N116*$C113-N116,O114*$C113))</f>
        <v/>
      </c>
      <c r="P115" s="407">
        <f>IF(P112="","",IF($D$57="Equity Multiple",O116*$C113-O116,P114*$C113))</f>
        <v/>
      </c>
    </row>
    <row r="116" outlineLevel="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c r="L116" s="407">
        <f>IF(L112="","",-MIN(0,L$51*Equity_Share_LP))</f>
        <v/>
      </c>
      <c r="M116" s="407">
        <f>IF(M112="","",-MIN(0,M$51*Equity_Share_LP))</f>
        <v/>
      </c>
      <c r="N116" s="407">
        <f>IF(N112="","",-MIN(0,N$51*Equity_Share_LP))</f>
        <v/>
      </c>
      <c r="O116" s="407">
        <f>IF(O112="","",-MIN(0,O$51*Equity_Share_LP))</f>
        <v/>
      </c>
      <c r="P116" s="407">
        <f>IF(P112="","",-MIN(0,P$51*Equity_Share_LP))</f>
        <v/>
      </c>
    </row>
    <row r="117" outlineLevel="1">
      <c r="B117" s="59" t="inlineStr">
        <is>
          <t>Prior Distributions</t>
        </is>
      </c>
      <c r="C117" s="59" t="n"/>
      <c r="D117" s="59" t="n"/>
      <c r="E117" s="59" t="n"/>
      <c r="F117" s="407">
        <f>F100</f>
        <v/>
      </c>
      <c r="G117" s="407">
        <f>G100</f>
        <v/>
      </c>
      <c r="H117" s="407">
        <f>H100</f>
        <v/>
      </c>
      <c r="I117" s="407">
        <f>I100</f>
        <v/>
      </c>
      <c r="J117" s="407">
        <f>J100</f>
        <v/>
      </c>
      <c r="K117" s="407">
        <f>K100</f>
        <v/>
      </c>
      <c r="L117" s="407">
        <f>L100</f>
        <v/>
      </c>
      <c r="M117" s="407">
        <f>M100</f>
        <v/>
      </c>
      <c r="N117" s="407">
        <f>N100</f>
        <v/>
      </c>
      <c r="O117" s="407">
        <f>O100</f>
        <v/>
      </c>
      <c r="P117" s="407">
        <f>P100</f>
        <v/>
      </c>
    </row>
    <row r="118" outlineLevel="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c r="L118" s="407">
        <f>IF(L112="","",MIN(L114+L115-L117,L110*$I$16))</f>
        <v/>
      </c>
      <c r="M118" s="407">
        <f>IF(M112="","",MIN(M114+M115-M117,M110*$I$16))</f>
        <v/>
      </c>
      <c r="N118" s="407">
        <f>IF(N112="","",MIN(N114+N115-N117,N110*$I$16))</f>
        <v/>
      </c>
      <c r="O118" s="407">
        <f>IF(O112="","",MIN(O114+O115-O117,O110*$I$16))</f>
        <v/>
      </c>
      <c r="P118" s="407">
        <f>IF(P112="","",MIN(P114+P115-P117,P110*$I$16))</f>
        <v/>
      </c>
    </row>
    <row r="119" outlineLevel="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c r="L119" s="407">
        <f>IF(L112="","",L114+L115+L116-L117-L118)</f>
        <v/>
      </c>
      <c r="M119" s="407">
        <f>IF(M112="","",M114+M115+M116-M117-M118)</f>
        <v/>
      </c>
      <c r="N119" s="407">
        <f>IF(N112="","",N114+N115+N116-N117-N118)</f>
        <v/>
      </c>
      <c r="O119" s="407">
        <f>IF(O112="","",O114+O115+O116-O117-O118)</f>
        <v/>
      </c>
      <c r="P119" s="407">
        <f>IF(P112="","",P114+P115+P116-P117-P118)</f>
        <v/>
      </c>
    </row>
    <row r="120" outlineLevel="1">
      <c r="B120" s="834">
        <f>C113</f>
        <v/>
      </c>
      <c r="C120" s="59" t="n"/>
      <c r="D120" s="59" t="n"/>
      <c r="E120" s="453">
        <f>IF($D$57="IRR",IRR(F120:P120),SUMIF(F120:P120,"&gt;0")/-SUMIF(F120:P120,"&lt;0"))</f>
        <v/>
      </c>
      <c r="F120" s="407">
        <f>IF(F112="","",-F116+F117+F118)</f>
        <v/>
      </c>
      <c r="G120" s="407">
        <f>IF(G112="","",-G116+G117+G118)</f>
        <v/>
      </c>
      <c r="H120" s="407">
        <f>IF(H112="","",-H116+H117+H118)</f>
        <v/>
      </c>
      <c r="I120" s="407">
        <f>IF(I112="","",-I116+I117+I118)</f>
        <v/>
      </c>
      <c r="J120" s="407">
        <f>IF(J112="","",-J116+J117+J118)</f>
        <v/>
      </c>
      <c r="K120" s="407">
        <f>IF(K112="","",-K116+K117+K118)</f>
        <v/>
      </c>
      <c r="L120" s="407">
        <f>IF(L112="","",-L116+L117+L118)</f>
        <v/>
      </c>
      <c r="M120" s="407">
        <f>IF(M112="","",-M116+M117+M118)</f>
        <v/>
      </c>
      <c r="N120" s="407">
        <f>IF(N112="","",-N116+N117+N118)</f>
        <v/>
      </c>
      <c r="O120" s="407">
        <f>IF(O112="","",-O116+O117+O118)</f>
        <v/>
      </c>
      <c r="P120" s="407">
        <f>IF(P112="","",-P116+P117+P118)</f>
        <v/>
      </c>
    </row>
    <row r="121" outlineLevel="1">
      <c r="B121" s="74" t="n"/>
      <c r="C121" s="74" t="n"/>
      <c r="D121" s="74" t="n"/>
      <c r="E121" s="74" t="n"/>
      <c r="F121" s="458" t="n"/>
      <c r="G121" s="458" t="n"/>
      <c r="H121" s="458" t="n"/>
      <c r="I121" s="458" t="n"/>
      <c r="J121" s="458" t="n"/>
      <c r="K121" s="458" t="n"/>
      <c r="L121" s="458" t="n"/>
      <c r="M121" s="458" t="n"/>
      <c r="N121" s="458" t="n"/>
      <c r="O121" s="458" t="n"/>
      <c r="P121" s="458" t="n"/>
    </row>
    <row r="122" outlineLevel="1">
      <c r="B122" s="59" t="inlineStr">
        <is>
          <t>Distribution to LP</t>
        </is>
      </c>
      <c r="C122" s="59" t="n"/>
      <c r="D122" s="59" t="n"/>
      <c r="E122" s="59" t="n"/>
      <c r="F122" s="407">
        <f>IF(F112="","",F118)</f>
        <v/>
      </c>
      <c r="G122" s="407">
        <f>IF(G112="","",G118)</f>
        <v/>
      </c>
      <c r="H122" s="407">
        <f>IF(H112="","",H118)</f>
        <v/>
      </c>
      <c r="I122" s="407">
        <f>IF(I112="","",I118)</f>
        <v/>
      </c>
      <c r="J122" s="407">
        <f>IF(J112="","",J118)</f>
        <v/>
      </c>
      <c r="K122" s="407">
        <f>IF(K112="","",K118)</f>
        <v/>
      </c>
      <c r="L122" s="407">
        <f>IF(L112="","",L118)</f>
        <v/>
      </c>
      <c r="M122" s="407">
        <f>IF(M112="","",M118)</f>
        <v/>
      </c>
      <c r="N122" s="407">
        <f>IF(N112="","",N118)</f>
        <v/>
      </c>
      <c r="O122" s="407">
        <f>IF(O112="","",O118)</f>
        <v/>
      </c>
      <c r="P122" s="407">
        <f>IF(P112="","",P118)</f>
        <v/>
      </c>
    </row>
    <row r="123" outlineLevel="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c r="L123" s="407">
        <f>IF(L112="","",L122/$I$16*$H$16)</f>
        <v/>
      </c>
      <c r="M123" s="407">
        <f>IF(M112="","",M122/$I$16*$H$16)</f>
        <v/>
      </c>
      <c r="N123" s="407">
        <f>IF(N112="","",N122/$I$16*$H$16)</f>
        <v/>
      </c>
      <c r="O123" s="407">
        <f>IF(O112="","",O122/$I$16*$H$16)</f>
        <v/>
      </c>
      <c r="P123" s="407">
        <f>IF(P112="","",P122/$I$16*$H$16)</f>
        <v/>
      </c>
    </row>
    <row r="124" outlineLevel="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c r="L124" s="407">
        <f>IF(L112="","",L122+L123)</f>
        <v/>
      </c>
      <c r="M124" s="407">
        <f>IF(M112="","",M122+M123)</f>
        <v/>
      </c>
      <c r="N124" s="407">
        <f>IF(N112="","",N122+N123)</f>
        <v/>
      </c>
      <c r="O124" s="407">
        <f>IF(O112="","",O122+O123)</f>
        <v/>
      </c>
      <c r="P124" s="407">
        <f>IF(P112="","",P122+P123)</f>
        <v/>
      </c>
    </row>
    <row r="125" outlineLevel="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c r="L125" s="407">
        <f>IF(L112="","",MAX(L$51-L109-L124,0))</f>
        <v/>
      </c>
      <c r="M125" s="407">
        <f>IF(M112="","",MAX(M$51-M109-M124,0))</f>
        <v/>
      </c>
      <c r="N125" s="407">
        <f>IF(N112="","",MAX(N$51-N109-N124,0))</f>
        <v/>
      </c>
      <c r="O125" s="407">
        <f>IF(O112="","",MAX(O$51-O109-O124,0))</f>
        <v/>
      </c>
      <c r="P125" s="407">
        <f>IF(P112="","",MAX(P$51-P109-P124,0))</f>
        <v/>
      </c>
    </row>
    <row r="126" outlineLevel="1">
      <c r="B126" s="59" t="n"/>
      <c r="C126" s="59" t="n"/>
      <c r="D126" s="59" t="n"/>
      <c r="E126" s="59" t="n"/>
      <c r="F126" s="398" t="n"/>
      <c r="G126" s="398" t="n"/>
      <c r="H126" s="398" t="n"/>
      <c r="I126" s="398" t="n"/>
      <c r="J126" s="398" t="n"/>
      <c r="K126" s="398" t="n"/>
      <c r="L126" s="398" t="n"/>
      <c r="M126" s="398" t="n"/>
      <c r="N126" s="398" t="n"/>
      <c r="O126" s="398" t="n"/>
      <c r="P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c r="L127" s="827">
        <f>L$21</f>
        <v/>
      </c>
      <c r="M127" s="827">
        <f>M$21</f>
        <v/>
      </c>
      <c r="N127" s="827">
        <f>N$21</f>
        <v/>
      </c>
      <c r="O127" s="827">
        <f>O$21</f>
        <v/>
      </c>
      <c r="P127" s="827">
        <f>P$21</f>
        <v/>
      </c>
    </row>
    <row r="128" outlineLevel="1">
      <c r="B128" s="454" t="inlineStr">
        <is>
          <t>Return Threshold - Up to:</t>
        </is>
      </c>
      <c r="C128" s="832">
        <f>E62</f>
        <v/>
      </c>
      <c r="D128" s="59" t="n"/>
      <c r="E128" s="59" t="n"/>
      <c r="F128" s="398" t="n"/>
      <c r="G128" s="833" t="n"/>
      <c r="H128" s="833" t="n"/>
      <c r="I128" s="833" t="n"/>
      <c r="J128" s="833" t="n"/>
      <c r="K128" s="833" t="n"/>
      <c r="L128" s="833" t="n"/>
      <c r="M128" s="833" t="n"/>
      <c r="N128" s="833" t="n"/>
      <c r="O128" s="833" t="n"/>
      <c r="P128" s="833" t="n"/>
    </row>
    <row r="129" outlineLevel="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c r="L129" s="407">
        <f>IF(L127="","",K134)</f>
        <v/>
      </c>
      <c r="M129" s="407">
        <f>IF(M127="","",L134)</f>
        <v/>
      </c>
      <c r="N129" s="407">
        <f>IF(N127="","",M134)</f>
        <v/>
      </c>
      <c r="O129" s="407">
        <f>IF(O127="","",N134)</f>
        <v/>
      </c>
      <c r="P129" s="407">
        <f>IF(P127="","",O134)</f>
        <v/>
      </c>
    </row>
    <row r="130" outlineLevel="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c r="L130" s="407">
        <f>IF(L127="","",IF($D$57="Equity Multiple",K131*$C128-K131,L129*$C128))</f>
        <v/>
      </c>
      <c r="M130" s="407">
        <f>IF(M127="","",IF($D$57="Equity Multiple",L131*$C128-L131,M129*$C128))</f>
        <v/>
      </c>
      <c r="N130" s="407">
        <f>IF(N127="","",IF($D$57="Equity Multiple",M131*$C128-M131,N129*$C128))</f>
        <v/>
      </c>
      <c r="O130" s="407">
        <f>IF(O127="","",IF($D$57="Equity Multiple",N131*$C128-N131,O129*$C128))</f>
        <v/>
      </c>
      <c r="P130" s="407">
        <f>IF(P127="","",IF($D$57="Equity Multiple",O131*$C128-O131,P129*$C128))</f>
        <v/>
      </c>
    </row>
    <row r="131" outlineLevel="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c r="L131" s="407">
        <f>IF(L127="","",-MIN(0,L$51*Equity_Share_LP))</f>
        <v/>
      </c>
      <c r="M131" s="407">
        <f>IF(M127="","",-MIN(0,M$51*Equity_Share_LP))</f>
        <v/>
      </c>
      <c r="N131" s="407">
        <f>IF(N127="","",-MIN(0,N$51*Equity_Share_LP))</f>
        <v/>
      </c>
      <c r="O131" s="407">
        <f>IF(O127="","",-MIN(0,O$51*Equity_Share_LP))</f>
        <v/>
      </c>
      <c r="P131" s="407">
        <f>IF(P127="","",-MIN(0,P$51*Equity_Share_LP))</f>
        <v/>
      </c>
    </row>
    <row r="132" outlineLevel="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c r="L132" s="407">
        <f>IF(L127="","",L122+L100)</f>
        <v/>
      </c>
      <c r="M132" s="407">
        <f>IF(M127="","",M122+M100)</f>
        <v/>
      </c>
      <c r="N132" s="407">
        <f>IF(N127="","",N122+N100)</f>
        <v/>
      </c>
      <c r="O132" s="407">
        <f>IF(O127="","",O122+O100)</f>
        <v/>
      </c>
      <c r="P132" s="407">
        <f>IF(P127="","",P122+P100)</f>
        <v/>
      </c>
    </row>
    <row r="133" outlineLevel="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c r="L133" s="407">
        <f>IF(L127="","",MIN(L129+L130-L132,L125*$I$17))</f>
        <v/>
      </c>
      <c r="M133" s="407">
        <f>IF(M127="","",MIN(M129+M130-M132,M125*$I$17))</f>
        <v/>
      </c>
      <c r="N133" s="407">
        <f>IF(N127="","",MIN(N129+N130-N132,N125*$I$17))</f>
        <v/>
      </c>
      <c r="O133" s="407">
        <f>IF(O127="","",MIN(O129+O130-O132,O125*$I$17))</f>
        <v/>
      </c>
      <c r="P133" s="407">
        <f>IF(P127="","",MIN(P129+P130-P132,P125*$I$17))</f>
        <v/>
      </c>
    </row>
    <row r="134" outlineLevel="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c r="L134" s="407">
        <f>IF(L127="","",L129+L130+L131-L132-L133)</f>
        <v/>
      </c>
      <c r="M134" s="407">
        <f>IF(M127="","",M129+M130+M131-M132-M133)</f>
        <v/>
      </c>
      <c r="N134" s="407">
        <f>IF(N127="","",N129+N130+N131-N132-N133)</f>
        <v/>
      </c>
      <c r="O134" s="407">
        <f>IF(O127="","",O129+O130+O131-O132-O133)</f>
        <v/>
      </c>
      <c r="P134" s="407">
        <f>IF(P127="","",P129+P130+P131-P132-P133)</f>
        <v/>
      </c>
    </row>
    <row r="135" outlineLevel="1">
      <c r="B135" s="834">
        <f>C128</f>
        <v/>
      </c>
      <c r="C135" s="59" t="n"/>
      <c r="D135" s="59" t="n"/>
      <c r="E135" s="453">
        <f>IF($D$57="IRR",IRR(F135:P135),SUMIF(F135:P135,"&gt;0")/-SUMIF(F135:P135,"&lt;0"))</f>
        <v/>
      </c>
      <c r="F135" s="407">
        <f>IF(F127="","",-F131+F132+F133)</f>
        <v/>
      </c>
      <c r="G135" s="407">
        <f>IF(G127="","",-G131+G132+G133)</f>
        <v/>
      </c>
      <c r="H135" s="407">
        <f>IF(H127="","",-H131+H132+H133)</f>
        <v/>
      </c>
      <c r="I135" s="407">
        <f>IF(I127="","",-I131+I132+I133)</f>
        <v/>
      </c>
      <c r="J135" s="407">
        <f>IF(J127="","",-J131+J132+J133)</f>
        <v/>
      </c>
      <c r="K135" s="407">
        <f>IF(K127="","",-K131+K132+K133)</f>
        <v/>
      </c>
      <c r="L135" s="407">
        <f>IF(L127="","",-L131+L132+L133)</f>
        <v/>
      </c>
      <c r="M135" s="407">
        <f>IF(M127="","",-M131+M132+M133)</f>
        <v/>
      </c>
      <c r="N135" s="407">
        <f>IF(N127="","",-N131+N132+N133)</f>
        <v/>
      </c>
      <c r="O135" s="407">
        <f>IF(O127="","",-O131+O132+O133)</f>
        <v/>
      </c>
      <c r="P135" s="407">
        <f>IF(P127="","",-P131+P132+P133)</f>
        <v/>
      </c>
    </row>
    <row r="136" outlineLevel="1">
      <c r="B136" s="74" t="n"/>
      <c r="C136" s="74" t="n"/>
      <c r="D136" s="74" t="n"/>
      <c r="E136" s="74" t="n"/>
      <c r="F136" s="458" t="n"/>
      <c r="G136" s="458" t="n"/>
      <c r="H136" s="458" t="n"/>
      <c r="I136" s="458" t="n"/>
      <c r="J136" s="458" t="n"/>
      <c r="K136" s="458" t="n"/>
      <c r="L136" s="458" t="n"/>
      <c r="M136" s="458" t="n"/>
      <c r="N136" s="458" t="n"/>
      <c r="O136" s="458" t="n"/>
      <c r="P136" s="458" t="n"/>
    </row>
    <row r="137" outlineLevel="1">
      <c r="B137" s="59" t="inlineStr">
        <is>
          <t>Distribution to LP</t>
        </is>
      </c>
      <c r="C137" s="59" t="n"/>
      <c r="D137" s="59" t="n"/>
      <c r="E137" s="59" t="n"/>
      <c r="F137" s="407">
        <f>IF(F127="","",F133)</f>
        <v/>
      </c>
      <c r="G137" s="407">
        <f>IF(G127="","",G133)</f>
        <v/>
      </c>
      <c r="H137" s="407">
        <f>IF(H127="","",H133)</f>
        <v/>
      </c>
      <c r="I137" s="407">
        <f>IF(I127="","",I133)</f>
        <v/>
      </c>
      <c r="J137" s="407">
        <f>IF(J127="","",J133)</f>
        <v/>
      </c>
      <c r="K137" s="407">
        <f>IF(K127="","",K133)</f>
        <v/>
      </c>
      <c r="L137" s="407">
        <f>IF(L127="","",L133)</f>
        <v/>
      </c>
      <c r="M137" s="407">
        <f>IF(M127="","",M133)</f>
        <v/>
      </c>
      <c r="N137" s="407">
        <f>IF(N127="","",N133)</f>
        <v/>
      </c>
      <c r="O137" s="407">
        <f>IF(O127="","",O133)</f>
        <v/>
      </c>
      <c r="P137" s="407">
        <f>IF(P127="","",P133)</f>
        <v/>
      </c>
    </row>
    <row r="138" outlineLevel="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c r="L138" s="407">
        <f>IF(L127="","",L137/$I$17*$H$17)</f>
        <v/>
      </c>
      <c r="M138" s="407">
        <f>IF(M127="","",M137/$I$17*$H$17)</f>
        <v/>
      </c>
      <c r="N138" s="407">
        <f>IF(N127="","",N137/$I$17*$H$17)</f>
        <v/>
      </c>
      <c r="O138" s="407">
        <f>IF(O127="","",O137/$I$17*$H$17)</f>
        <v/>
      </c>
      <c r="P138" s="407">
        <f>IF(P127="","",P137/$I$17*$H$17)</f>
        <v/>
      </c>
    </row>
    <row r="139" outlineLevel="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c r="L139" s="407">
        <f>IF(L127="","",L137+L138)</f>
        <v/>
      </c>
      <c r="M139" s="407">
        <f>IF(M127="","",M137+M138)</f>
        <v/>
      </c>
      <c r="N139" s="407">
        <f>IF(N127="","",N137+N138)</f>
        <v/>
      </c>
      <c r="O139" s="407">
        <f>IF(O127="","",O137+O138)</f>
        <v/>
      </c>
      <c r="P139" s="407">
        <f>IF(P127="","",P137+P138)</f>
        <v/>
      </c>
    </row>
    <row r="140" outlineLevel="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c r="L140" s="407">
        <f>IF(L127="","",MAX(L$51-L109-L124-L139,0))</f>
        <v/>
      </c>
      <c r="M140" s="407">
        <f>IF(M127="","",MAX(M$51-M109-M124-M139,0))</f>
        <v/>
      </c>
      <c r="N140" s="407">
        <f>IF(N127="","",MAX(N$51-N109-N124-N139,0))</f>
        <v/>
      </c>
      <c r="O140" s="407">
        <f>IF(O127="","",MAX(O$51-O109-O124-O139,0))</f>
        <v/>
      </c>
      <c r="P140" s="407">
        <f>IF(P127="","",MAX(P$51-P109-P124-P139,0))</f>
        <v/>
      </c>
    </row>
    <row r="141" outlineLevel="1">
      <c r="B141" s="59" t="n"/>
      <c r="C141" s="59" t="n"/>
      <c r="D141" s="59" t="n"/>
      <c r="E141" s="59" t="n"/>
      <c r="F141" s="398" t="n"/>
      <c r="G141" s="398" t="n"/>
      <c r="H141" s="398" t="n"/>
      <c r="I141" s="398" t="n"/>
      <c r="J141" s="398" t="n"/>
      <c r="K141" s="398" t="n"/>
      <c r="L141" s="398" t="n"/>
      <c r="M141" s="398" t="n"/>
      <c r="N141" s="398" t="n"/>
      <c r="O141" s="398" t="n"/>
      <c r="P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c r="L142" s="827">
        <f>L$21</f>
        <v/>
      </c>
      <c r="M142" s="827">
        <f>M$21</f>
        <v/>
      </c>
      <c r="N142" s="827">
        <f>N$21</f>
        <v/>
      </c>
      <c r="O142" s="827">
        <f>O$21</f>
        <v/>
      </c>
      <c r="P142" s="827">
        <f>P$21</f>
        <v/>
      </c>
    </row>
    <row r="143" outlineLevel="1">
      <c r="B143" s="454" t="inlineStr">
        <is>
          <t>Return Threshold - Up to:</t>
        </is>
      </c>
      <c r="C143" s="832">
        <f>E63</f>
        <v/>
      </c>
      <c r="D143" s="59" t="n"/>
      <c r="E143" s="59" t="n"/>
      <c r="F143" s="398" t="n"/>
      <c r="G143" s="833" t="n"/>
      <c r="H143" s="833" t="n"/>
      <c r="I143" s="833" t="n"/>
      <c r="J143" s="833" t="n"/>
      <c r="K143" s="833" t="n"/>
      <c r="L143" s="833" t="n"/>
      <c r="M143" s="833" t="n"/>
      <c r="N143" s="833" t="n"/>
      <c r="O143" s="833" t="n"/>
      <c r="P143" s="833" t="n"/>
    </row>
    <row r="144" outlineLevel="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c r="L144" s="407">
        <f>IF(L142="","",K149)</f>
        <v/>
      </c>
      <c r="M144" s="407">
        <f>IF(M142="","",L149)</f>
        <v/>
      </c>
      <c r="N144" s="407">
        <f>IF(N142="","",M149)</f>
        <v/>
      </c>
      <c r="O144" s="407">
        <f>IF(O142="","",N149)</f>
        <v/>
      </c>
      <c r="P144" s="407">
        <f>IF(P142="","",O149)</f>
        <v/>
      </c>
    </row>
    <row r="145" outlineLevel="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c r="L145" s="407">
        <f>IF(L142="","",IF($D$57="Equity Multiple",K146*$C143-K146,L144*$C143))</f>
        <v/>
      </c>
      <c r="M145" s="407">
        <f>IF(M142="","",IF($D$57="Equity Multiple",L146*$C143-L146,M144*$C143))</f>
        <v/>
      </c>
      <c r="N145" s="407">
        <f>IF(N142="","",IF($D$57="Equity Multiple",M146*$C143-M146,N144*$C143))</f>
        <v/>
      </c>
      <c r="O145" s="407">
        <f>IF(O142="","",IF($D$57="Equity Multiple",N146*$C143-N146,O144*$C143))</f>
        <v/>
      </c>
      <c r="P145" s="407">
        <f>IF(P142="","",IF($D$57="Equity Multiple",O146*$C143-O146,P144*$C143))</f>
        <v/>
      </c>
    </row>
    <row r="146" outlineLevel="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c r="L146" s="407">
        <f>IF(L142="","",-MIN(0,L$51*Equity_Share_LP))</f>
        <v/>
      </c>
      <c r="M146" s="407">
        <f>IF(M142="","",-MIN(0,M$51*Equity_Share_LP))</f>
        <v/>
      </c>
      <c r="N146" s="407">
        <f>IF(N142="","",-MIN(0,N$51*Equity_Share_LP))</f>
        <v/>
      </c>
      <c r="O146" s="407">
        <f>IF(O142="","",-MIN(0,O$51*Equity_Share_LP))</f>
        <v/>
      </c>
      <c r="P146" s="407">
        <f>IF(P142="","",-MIN(0,P$51*Equity_Share_LP))</f>
        <v/>
      </c>
    </row>
    <row r="147" outlineLevel="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c r="L147" s="407">
        <f>IF(L142="","",L122+L100+L137)</f>
        <v/>
      </c>
      <c r="M147" s="407">
        <f>IF(M142="","",M122+M100+M137)</f>
        <v/>
      </c>
      <c r="N147" s="407">
        <f>IF(N142="","",N122+N100+N137)</f>
        <v/>
      </c>
      <c r="O147" s="407">
        <f>IF(O142="","",O122+O100+O137)</f>
        <v/>
      </c>
      <c r="P147" s="407">
        <f>IF(P142="","",P122+P100+P137)</f>
        <v/>
      </c>
    </row>
    <row r="148" outlineLevel="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c r="L148" s="407">
        <f>IF(L142="","",MIN(L144+L145-L147,L140*$I$18))</f>
        <v/>
      </c>
      <c r="M148" s="407">
        <f>IF(M142="","",MIN(M144+M145-M147,M140*$I$18))</f>
        <v/>
      </c>
      <c r="N148" s="407">
        <f>IF(N142="","",MIN(N144+N145-N147,N140*$I$18))</f>
        <v/>
      </c>
      <c r="O148" s="407">
        <f>IF(O142="","",MIN(O144+O145-O147,O140*$I$18))</f>
        <v/>
      </c>
      <c r="P148" s="407">
        <f>IF(P142="","",MIN(P144+P145-P147,P140*$I$18))</f>
        <v/>
      </c>
    </row>
    <row r="149" outlineLevel="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c r="L149" s="407">
        <f>IF(L142="","",L144+L145+L146-L147-L148)</f>
        <v/>
      </c>
      <c r="M149" s="407">
        <f>IF(M142="","",M144+M145+M146-M147-M148)</f>
        <v/>
      </c>
      <c r="N149" s="407">
        <f>IF(N142="","",N144+N145+N146-N147-N148)</f>
        <v/>
      </c>
      <c r="O149" s="407">
        <f>IF(O142="","",O144+O145+O146-O147-O148)</f>
        <v/>
      </c>
      <c r="P149" s="407">
        <f>IF(P142="","",P144+P145+P146-P147-P148)</f>
        <v/>
      </c>
    </row>
    <row r="150" outlineLevel="1">
      <c r="B150" s="834">
        <f>C143</f>
        <v/>
      </c>
      <c r="C150" s="59" t="n"/>
      <c r="D150" s="59" t="n"/>
      <c r="E150" s="453">
        <f>IF($D$57="IRR",IRR(F150:P150),SUMIF(F150:P150,"&gt;0")/-SUMIF(F150:P150,"&lt;0"))</f>
        <v/>
      </c>
      <c r="F150" s="407">
        <f>IF(F142="","",-F146+F147+F148)</f>
        <v/>
      </c>
      <c r="G150" s="407">
        <f>IF(G142="","",-G146+G147+G148)</f>
        <v/>
      </c>
      <c r="H150" s="407">
        <f>IF(H142="","",-H146+H147+H148)</f>
        <v/>
      </c>
      <c r="I150" s="407">
        <f>IF(I142="","",-I146+I147+I148)</f>
        <v/>
      </c>
      <c r="J150" s="407">
        <f>IF(J142="","",-J146+J147+J148)</f>
        <v/>
      </c>
      <c r="K150" s="407">
        <f>IF(K142="","",-K146+K147+K148)</f>
        <v/>
      </c>
      <c r="L150" s="407">
        <f>IF(L142="","",-L146+L147+L148)</f>
        <v/>
      </c>
      <c r="M150" s="407">
        <f>IF(M142="","",-M146+M147+M148)</f>
        <v/>
      </c>
      <c r="N150" s="407">
        <f>IF(N142="","",-N146+N147+N148)</f>
        <v/>
      </c>
      <c r="O150" s="407">
        <f>IF(O142="","",-O146+O147+O148)</f>
        <v/>
      </c>
      <c r="P150" s="407">
        <f>IF(P142="","",-P146+P147+P148)</f>
        <v/>
      </c>
    </row>
    <row r="151" outlineLevel="1">
      <c r="B151" s="74" t="n"/>
      <c r="C151" s="74" t="n"/>
      <c r="D151" s="74" t="n"/>
      <c r="E151" s="74" t="n"/>
      <c r="F151" s="458" t="n"/>
      <c r="G151" s="458" t="n"/>
      <c r="H151" s="458" t="n"/>
      <c r="I151" s="458" t="n"/>
      <c r="J151" s="458" t="n"/>
      <c r="K151" s="458" t="n"/>
      <c r="L151" s="458" t="n"/>
      <c r="M151" s="458" t="n"/>
      <c r="N151" s="458" t="n"/>
      <c r="O151" s="458" t="n"/>
      <c r="P151" s="458" t="n"/>
    </row>
    <row r="152" outlineLevel="1">
      <c r="B152" s="59" t="inlineStr">
        <is>
          <t>Distribution to LP</t>
        </is>
      </c>
      <c r="C152" s="59" t="n"/>
      <c r="D152" s="59" t="n"/>
      <c r="E152" s="59" t="n"/>
      <c r="F152" s="407">
        <f>IF(F142="","",F148)</f>
        <v/>
      </c>
      <c r="G152" s="407">
        <f>IF(G142="","",G148)</f>
        <v/>
      </c>
      <c r="H152" s="407">
        <f>IF(H142="","",H148)</f>
        <v/>
      </c>
      <c r="I152" s="407">
        <f>IF(I142="","",I148)</f>
        <v/>
      </c>
      <c r="J152" s="407">
        <f>IF(J142="","",J148)</f>
        <v/>
      </c>
      <c r="K152" s="407">
        <f>IF(K142="","",K148)</f>
        <v/>
      </c>
      <c r="L152" s="407">
        <f>IF(L142="","",L148)</f>
        <v/>
      </c>
      <c r="M152" s="407">
        <f>IF(M142="","",M148)</f>
        <v/>
      </c>
      <c r="N152" s="407">
        <f>IF(N142="","",N148)</f>
        <v/>
      </c>
      <c r="O152" s="407">
        <f>IF(O142="","",O148)</f>
        <v/>
      </c>
      <c r="P152" s="407">
        <f>IF(P142="","",P148)</f>
        <v/>
      </c>
    </row>
    <row r="153" outlineLevel="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c r="L153" s="407">
        <f>IF(L142="","",L152/$I$18*$H$18)</f>
        <v/>
      </c>
      <c r="M153" s="407">
        <f>IF(M142="","",M152/$I$18*$H$18)</f>
        <v/>
      </c>
      <c r="N153" s="407">
        <f>IF(N142="","",N152/$I$18*$H$18)</f>
        <v/>
      </c>
      <c r="O153" s="407">
        <f>IF(O142="","",O152/$I$18*$H$18)</f>
        <v/>
      </c>
      <c r="P153" s="407">
        <f>IF(P142="","",P152/$I$18*$H$18)</f>
        <v/>
      </c>
    </row>
    <row r="154" outlineLevel="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c r="L154" s="407">
        <f>IF(L142="","",L152+L153)</f>
        <v/>
      </c>
      <c r="M154" s="407">
        <f>IF(M142="","",M152+M153)</f>
        <v/>
      </c>
      <c r="N154" s="407">
        <f>IF(N142="","",N152+N153)</f>
        <v/>
      </c>
      <c r="O154" s="407">
        <f>IF(O142="","",O152+O153)</f>
        <v/>
      </c>
      <c r="P154" s="407">
        <f>IF(P142="","",P152+P153)</f>
        <v/>
      </c>
    </row>
    <row r="155" outlineLevel="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c r="L155" s="407">
        <f>IF(L142="","",MAX(L$51-L109-L124-L139-L154,0))</f>
        <v/>
      </c>
      <c r="M155" s="407">
        <f>IF(M142="","",MAX(M$51-M109-M124-M139-M154,0))</f>
        <v/>
      </c>
      <c r="N155" s="407">
        <f>IF(N142="","",MAX(N$51-N109-N124-N139-N154,0))</f>
        <v/>
      </c>
      <c r="O155" s="407">
        <f>IF(O142="","",MAX(O$51-O109-O124-O139-O154,0))</f>
        <v/>
      </c>
      <c r="P155" s="407">
        <f>IF(P142="","",MAX(P$51-P109-P124-P139-P154,0))</f>
        <v/>
      </c>
    </row>
    <row r="156" outlineLevel="1">
      <c r="B156" s="59" t="n"/>
      <c r="C156" s="59" t="n"/>
      <c r="D156" s="59" t="n"/>
      <c r="E156" s="59" t="n"/>
      <c r="F156" s="398" t="n"/>
      <c r="G156" s="398" t="n"/>
      <c r="H156" s="398" t="n"/>
      <c r="I156" s="398" t="n"/>
      <c r="J156" s="398" t="n"/>
      <c r="K156" s="398" t="n"/>
      <c r="L156" s="398" t="n"/>
      <c r="M156" s="398" t="n"/>
      <c r="N156" s="398" t="n"/>
      <c r="O156" s="398" t="n"/>
      <c r="P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c r="L157" s="827">
        <f>L$21</f>
        <v/>
      </c>
      <c r="M157" s="827">
        <f>M$21</f>
        <v/>
      </c>
      <c r="N157" s="827">
        <f>N$21</f>
        <v/>
      </c>
      <c r="O157" s="827">
        <f>O$21</f>
        <v/>
      </c>
      <c r="P157" s="827">
        <f>P$21</f>
        <v/>
      </c>
    </row>
    <row r="158" outlineLevel="1">
      <c r="B158" s="454" t="inlineStr">
        <is>
          <t>Return Threshold - Greater than:</t>
        </is>
      </c>
      <c r="C158" s="832">
        <f>C143</f>
        <v/>
      </c>
      <c r="D158" s="59" t="n"/>
      <c r="E158" s="59" t="n"/>
      <c r="F158" s="398" t="n"/>
      <c r="G158" s="833" t="n"/>
      <c r="H158" s="833" t="n"/>
      <c r="I158" s="833" t="n"/>
      <c r="J158" s="833" t="n"/>
      <c r="K158" s="833" t="n"/>
      <c r="L158" s="833" t="n"/>
      <c r="M158" s="833" t="n"/>
      <c r="N158" s="833" t="n"/>
      <c r="O158" s="833" t="n"/>
      <c r="P158" s="833" t="n"/>
    </row>
    <row r="159" outlineLevel="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c r="L159" s="407">
        <f>IF(L157="","",L155*$I$19)</f>
        <v/>
      </c>
      <c r="M159" s="407">
        <f>IF(M157="","",M155*$I$19)</f>
        <v/>
      </c>
      <c r="N159" s="407">
        <f>IF(N157="","",N155*$I$19)</f>
        <v/>
      </c>
      <c r="O159" s="407">
        <f>IF(O157="","",O155*$I$19)</f>
        <v/>
      </c>
      <c r="P159" s="407">
        <f>IF(P157="","",P155*$I$19)</f>
        <v/>
      </c>
    </row>
    <row r="160" outlineLevel="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c r="L160" s="407">
        <f>IF(L157="","",L155-L159)</f>
        <v/>
      </c>
      <c r="M160" s="407">
        <f>IF(M157="","",M155-M159)</f>
        <v/>
      </c>
      <c r="N160" s="407">
        <f>IF(N157="","",N155-N159)</f>
        <v/>
      </c>
      <c r="O160" s="407">
        <f>IF(O157="","",O155-O159)</f>
        <v/>
      </c>
      <c r="P160" s="407">
        <f>IF(P157="","",P155-P159)</f>
        <v/>
      </c>
    </row>
    <row r="161" outlineLevel="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c r="L161" s="407">
        <f>IF(L157="","",L159+L160)</f>
        <v/>
      </c>
      <c r="M161" s="407">
        <f>IF(M157="","",M159+M160)</f>
        <v/>
      </c>
      <c r="N161" s="407">
        <f>IF(N157="","",N159+N160)</f>
        <v/>
      </c>
      <c r="O161" s="407">
        <f>IF(O157="","",O159+O160)</f>
        <v/>
      </c>
      <c r="P161" s="407">
        <f>IF(P157="","",P159+P160)</f>
        <v/>
      </c>
    </row>
    <row r="162" outlineLevel="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c r="L162" s="407">
        <f>IF(L157="","",L155-L161)</f>
        <v/>
      </c>
      <c r="M162" s="407">
        <f>IF(M157="","",M155-M161)</f>
        <v/>
      </c>
      <c r="N162" s="407">
        <f>IF(N157="","",N155-N161)</f>
        <v/>
      </c>
      <c r="O162" s="407">
        <f>IF(O157="","",O155-O161)</f>
        <v/>
      </c>
      <c r="P162" s="407">
        <f>IF(P157="","",P155-P161)</f>
        <v/>
      </c>
    </row>
    <row r="163" outlineLevel="1">
      <c r="F163" s="150" t="n"/>
      <c r="G163" s="150" t="n"/>
      <c r="H163" s="150" t="n"/>
      <c r="I163" s="150" t="n"/>
      <c r="J163" s="150" t="n"/>
      <c r="K163" s="150" t="n"/>
      <c r="L163" s="150" t="n"/>
      <c r="M163" s="150" t="n"/>
      <c r="N163" s="150" t="n"/>
      <c r="O163" s="150" t="n"/>
      <c r="P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c r="L164" s="429" t="n"/>
      <c r="M164" s="429" t="n"/>
      <c r="N164" s="429" t="n"/>
      <c r="O164" s="429" t="n"/>
      <c r="P164" s="429" t="n"/>
    </row>
    <row r="165" outlineLevel="1" ht="5.1" customHeight="1">
      <c r="B165" s="208" t="n"/>
      <c r="C165" s="208" t="n"/>
      <c r="D165" s="347" t="inlineStr">
        <is>
          <t>Equity Multiple</t>
        </is>
      </c>
      <c r="E165" s="208" t="n"/>
      <c r="F165" s="208" t="n"/>
      <c r="G165" s="208" t="n"/>
      <c r="H165" s="208" t="n"/>
      <c r="I165" s="208" t="n"/>
      <c r="J165" s="208" t="n"/>
      <c r="K165" s="208" t="n"/>
      <c r="L165" s="208" t="n"/>
      <c r="M165" s="208" t="n"/>
      <c r="N165" s="208" t="n"/>
      <c r="O165" s="208" t="n"/>
      <c r="P165" s="208" t="n"/>
    </row>
    <row r="166" outlineLevel="1">
      <c r="B166" s="430" t="n"/>
      <c r="C166" s="430" t="n"/>
      <c r="D166" s="431" t="n"/>
      <c r="E166" s="430" t="n"/>
      <c r="F166" s="738" t="inlineStr">
        <is>
          <t>Promote Structure Incentive Breakdown</t>
        </is>
      </c>
      <c r="H166" s="739" t="inlineStr">
        <is>
          <t>Distribution as %</t>
        </is>
      </c>
      <c r="J166" s="432" t="n"/>
      <c r="K166" s="432" t="n"/>
      <c r="L166" s="432" t="n"/>
      <c r="M166" s="432" t="n"/>
      <c r="N166" s="432" t="n"/>
      <c r="O166" s="432" t="n"/>
      <c r="P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c r="L167" s="432" t="n"/>
      <c r="M167" s="432" t="n"/>
      <c r="N167" s="432" t="n"/>
      <c r="O167" s="432" t="n"/>
      <c r="P167" s="432" t="n"/>
    </row>
    <row r="168" outlineLevel="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c r="L168" s="383" t="n"/>
      <c r="M168" s="383" t="n"/>
      <c r="N168" s="383" t="n"/>
      <c r="O168" s="383" t="n"/>
      <c r="P168" s="383" t="n"/>
    </row>
    <row r="169" outlineLevel="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c r="L169" s="383" t="n"/>
      <c r="M169" s="383" t="n"/>
      <c r="N169" s="383" t="n"/>
      <c r="O169" s="383" t="n"/>
      <c r="P169" s="383" t="n"/>
    </row>
    <row r="170" outlineLevel="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c r="L170" s="383" t="n"/>
      <c r="M170" s="383" t="n"/>
      <c r="N170" s="383" t="n"/>
      <c r="O170" s="383" t="n"/>
      <c r="P170" s="383" t="n"/>
    </row>
    <row r="171" outlineLevel="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c r="L171" s="438" t="n"/>
      <c r="M171" s="438" t="n"/>
      <c r="N171" s="438" t="n"/>
      <c r="O171" s="438" t="n"/>
      <c r="P171" s="438" t="n"/>
    </row>
    <row r="172" outlineLevel="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c r="L172" s="383" t="n"/>
      <c r="M172" s="383" t="n"/>
      <c r="N172" s="383" t="n"/>
      <c r="O172" s="383" t="n"/>
      <c r="P172" s="383" t="n"/>
    </row>
    <row r="173" outlineLevel="1">
      <c r="B173" s="59" t="n"/>
      <c r="C173" s="59" t="n"/>
      <c r="D173" s="812" t="n"/>
      <c r="E173" s="810" t="n"/>
      <c r="F173" s="360" t="n"/>
      <c r="G173" s="389" t="n"/>
      <c r="H173" s="390" t="n"/>
      <c r="I173" s="390" t="n"/>
      <c r="J173" s="208" t="n"/>
      <c r="K173" s="208" t="n"/>
      <c r="L173" s="208" t="n"/>
      <c r="M173" s="208" t="n"/>
      <c r="N173" s="208" t="n"/>
      <c r="O173" s="208" t="n"/>
      <c r="P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c r="L174" s="827">
        <f>IF(L192="","",K174+1)</f>
        <v/>
      </c>
      <c r="M174" s="827">
        <f>IF(M192="","",L174+1)</f>
        <v/>
      </c>
      <c r="N174" s="827">
        <f>IF(N192="","",M174+1)</f>
        <v/>
      </c>
      <c r="O174" s="827">
        <f>IF(O192="","",N174+1)</f>
        <v/>
      </c>
      <c r="P174" s="827">
        <f>IF(P192="","",O174+1)</f>
        <v/>
      </c>
    </row>
    <row r="175" outlineLevel="1">
      <c r="B175" s="394" t="inlineStr">
        <is>
          <t>Limited Partner (LP) Returns</t>
        </is>
      </c>
      <c r="C175" s="59" t="n"/>
      <c r="D175" s="812" t="n"/>
      <c r="E175" s="810" t="n"/>
      <c r="F175" s="395" t="n"/>
      <c r="G175" s="396" t="n"/>
      <c r="H175" s="397" t="n"/>
      <c r="I175" s="397" t="n"/>
      <c r="J175" s="398" t="n"/>
      <c r="K175" s="398" t="n"/>
      <c r="L175" s="398" t="n"/>
      <c r="M175" s="398" t="n"/>
      <c r="N175" s="398" t="n"/>
      <c r="O175" s="398" t="n"/>
      <c r="P175" s="398" t="n"/>
    </row>
    <row r="176" outlineLevel="1">
      <c r="B176" s="399" t="inlineStr">
        <is>
          <t>Total LP Distributions</t>
        </is>
      </c>
      <c r="C176" s="59" t="n"/>
      <c r="D176" s="401">
        <f>SUM(F176:P176)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c r="L176" s="358">
        <f>IF(L174="","",L208+L230+L245+L260+L267)</f>
        <v/>
      </c>
      <c r="M176" s="358">
        <f>IF(M174="","",M208+M230+M245+M260+M267)</f>
        <v/>
      </c>
      <c r="N176" s="358">
        <f>IF(N174="","",N208+N230+N245+N260+N267)</f>
        <v/>
      </c>
      <c r="O176" s="358">
        <f>IF(O174="","",O208+O230+O245+O260+O267)</f>
        <v/>
      </c>
      <c r="P176" s="358">
        <f>IF(P174="","",P208+P230+P245+P260+P267)</f>
        <v/>
      </c>
    </row>
    <row r="177" outlineLevel="1">
      <c r="B177" s="399" t="inlineStr">
        <is>
          <t>Total LP Contributions</t>
        </is>
      </c>
      <c r="C177" s="59" t="n"/>
      <c r="D177" s="401">
        <f>SUM(F177:P177)</f>
        <v/>
      </c>
      <c r="E177" s="810" t="n"/>
      <c r="F177" s="358">
        <f>F204</f>
        <v/>
      </c>
      <c r="G177" s="358">
        <f>G204</f>
        <v/>
      </c>
      <c r="H177" s="358">
        <f>H204</f>
        <v/>
      </c>
      <c r="I177" s="358">
        <f>I204</f>
        <v/>
      </c>
      <c r="J177" s="358">
        <f>J204</f>
        <v/>
      </c>
      <c r="K177" s="358">
        <f>K204</f>
        <v/>
      </c>
      <c r="L177" s="358">
        <f>L204</f>
        <v/>
      </c>
      <c r="M177" s="358">
        <f>M204</f>
        <v/>
      </c>
      <c r="N177" s="358">
        <f>N204</f>
        <v/>
      </c>
      <c r="O177" s="358">
        <f>O204</f>
        <v/>
      </c>
      <c r="P177" s="358">
        <f>P204</f>
        <v/>
      </c>
    </row>
    <row r="178" outlineLevel="1">
      <c r="B178" s="399" t="inlineStr">
        <is>
          <t>Total LP Profit</t>
        </is>
      </c>
      <c r="C178" s="59" t="n"/>
      <c r="D178" s="401">
        <f>D176-D177</f>
        <v/>
      </c>
      <c r="E178" s="810" t="n"/>
      <c r="F178" s="406" t="n"/>
      <c r="G178" s="358" t="n"/>
      <c r="H178" s="407" t="n"/>
      <c r="I178" s="407" t="n"/>
      <c r="J178" s="407" t="n"/>
      <c r="K178" s="407" t="n"/>
      <c r="L178" s="407" t="n"/>
      <c r="M178" s="407" t="n"/>
      <c r="N178" s="407" t="n"/>
      <c r="O178" s="407" t="n"/>
      <c r="P178" s="407" t="n"/>
    </row>
    <row r="179" outlineLevel="1">
      <c r="B179" s="399" t="inlineStr">
        <is>
          <t>LP IRR</t>
        </is>
      </c>
      <c r="C179" s="59" t="n"/>
      <c r="D179" s="442">
        <f>IRR(F179:P179)</f>
        <v/>
      </c>
      <c r="E179" s="810" t="n"/>
      <c r="F179" s="358">
        <f>IF(F174="","",(-F177)+F176)</f>
        <v/>
      </c>
      <c r="G179" s="358">
        <f>IF(G174="","",(-G177)+G176)</f>
        <v/>
      </c>
      <c r="H179" s="358">
        <f>IF(H174="","",(-H177)+H176)</f>
        <v/>
      </c>
      <c r="I179" s="358">
        <f>IF(I174="","",(-I177)+I176)</f>
        <v/>
      </c>
      <c r="J179" s="358">
        <f>IF(J174="","",(-J177)+J176)</f>
        <v/>
      </c>
      <c r="K179" s="358">
        <f>IF(K174="","",(-K177)+K176)</f>
        <v/>
      </c>
      <c r="L179" s="358">
        <f>IF(L174="","",(-L177)+L176)</f>
        <v/>
      </c>
      <c r="M179" s="358">
        <f>IF(M174="","",(-M177)+M176)</f>
        <v/>
      </c>
      <c r="N179" s="358">
        <f>IF(N174="","",(-N177)+N176)</f>
        <v/>
      </c>
      <c r="O179" s="358">
        <f>IF(O174="","",(-O177)+O176)</f>
        <v/>
      </c>
      <c r="P179" s="358">
        <f>IF(P174="","",(-P177)+P176)</f>
        <v/>
      </c>
    </row>
    <row r="180" outlineLevel="1">
      <c r="B180" s="399" t="inlineStr">
        <is>
          <t>LP Equity Multiple</t>
        </is>
      </c>
      <c r="C180" s="59" t="n"/>
      <c r="D180" s="828">
        <f>D176/D177</f>
        <v/>
      </c>
      <c r="E180" s="810" t="n"/>
      <c r="F180" s="406" t="n"/>
      <c r="G180" s="358" t="n"/>
      <c r="H180" s="407" t="n"/>
      <c r="I180" s="407" t="n"/>
      <c r="J180" s="407" t="n"/>
      <c r="K180" s="407" t="n"/>
      <c r="L180" s="407" t="n"/>
      <c r="M180" s="407" t="n"/>
      <c r="N180" s="407" t="n"/>
      <c r="O180" s="407" t="n"/>
      <c r="P180" s="407" t="n"/>
    </row>
    <row r="181" outlineLevel="1">
      <c r="B181" s="399" t="n"/>
      <c r="C181" s="59" t="n"/>
      <c r="D181" s="812" t="n"/>
      <c r="E181" s="810" t="n"/>
      <c r="F181" s="406" t="n"/>
      <c r="G181" s="358" t="n"/>
      <c r="H181" s="407" t="n"/>
      <c r="I181" s="407" t="n"/>
      <c r="J181" s="407" t="n"/>
      <c r="K181" s="407" t="n"/>
      <c r="L181" s="407" t="n"/>
      <c r="M181" s="407" t="n"/>
      <c r="N181" s="407" t="n"/>
      <c r="O181" s="407" t="n"/>
      <c r="P181" s="407" t="n"/>
    </row>
    <row r="182" outlineLevel="1">
      <c r="B182" s="394" t="inlineStr">
        <is>
          <t>GP Returns</t>
        </is>
      </c>
      <c r="C182" s="59" t="n"/>
      <c r="D182" s="812" t="n"/>
      <c r="E182" s="810" t="n"/>
      <c r="F182" s="406" t="n"/>
      <c r="G182" s="358" t="n"/>
      <c r="H182" s="407" t="n"/>
      <c r="I182" s="407" t="n"/>
      <c r="J182" s="407" t="n"/>
      <c r="K182" s="407" t="n"/>
      <c r="L182" s="407" t="n"/>
      <c r="M182" s="407" t="n"/>
      <c r="N182" s="407" t="n"/>
      <c r="O182" s="407" t="n"/>
      <c r="P182" s="407" t="n"/>
    </row>
    <row r="183" outlineLevel="1">
      <c r="B183" s="399" t="inlineStr">
        <is>
          <t>Total GP Distributions</t>
        </is>
      </c>
      <c r="C183" s="59" t="n"/>
      <c r="D183" s="358">
        <f>SUM(F183:P183)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c r="L183" s="358">
        <f>IF(L174="","",L213+L231+L246+L261+L268)</f>
        <v/>
      </c>
      <c r="M183" s="358">
        <f>IF(M174="","",M213+M231+M246+M261+M268)</f>
        <v/>
      </c>
      <c r="N183" s="358">
        <f>IF(N174="","",N213+N231+N246+N261+N268)</f>
        <v/>
      </c>
      <c r="O183" s="358">
        <f>IF(O174="","",O213+O231+O246+O261+O268)</f>
        <v/>
      </c>
      <c r="P183" s="358">
        <f>IF(P174="","",P213+P231+P246+P261+P268)</f>
        <v/>
      </c>
    </row>
    <row r="184" outlineLevel="1">
      <c r="B184" s="399" t="inlineStr">
        <is>
          <t>Total GP Fees</t>
        </is>
      </c>
      <c r="C184" s="59" t="n"/>
      <c r="D184" s="358">
        <f>SUM(F184:P184)</f>
        <v/>
      </c>
      <c r="E184" s="810" t="n"/>
      <c r="F184" s="358">
        <f>IF(F174="","",SUM(F193:F194))</f>
        <v/>
      </c>
      <c r="G184" s="358">
        <f>IF(G174="","",SUM(G193:G194))</f>
        <v/>
      </c>
      <c r="H184" s="358">
        <f>IF(H174="","",SUM(H193:H194))</f>
        <v/>
      </c>
      <c r="I184" s="358">
        <f>IF(I174="","",SUM(I193:I194))</f>
        <v/>
      </c>
      <c r="J184" s="358">
        <f>IF(J174="","",SUM(J193:J194))</f>
        <v/>
      </c>
      <c r="K184" s="358">
        <f>IF(K174="","",SUM(K193:K194))</f>
        <v/>
      </c>
      <c r="L184" s="358">
        <f>IF(L174="","",SUM(L193:L194))</f>
        <v/>
      </c>
      <c r="M184" s="358">
        <f>IF(M174="","",SUM(M193:M194))</f>
        <v/>
      </c>
      <c r="N184" s="358">
        <f>IF(N174="","",SUM(N193:N194))</f>
        <v/>
      </c>
      <c r="O184" s="358">
        <f>IF(O174="","",SUM(O193:O194))</f>
        <v/>
      </c>
      <c r="P184" s="358">
        <f>IF(P174="","",SUM(P193:P194))</f>
        <v/>
      </c>
    </row>
    <row r="185" outlineLevel="1">
      <c r="B185" s="399" t="inlineStr">
        <is>
          <t>Total GP Contributions</t>
        </is>
      </c>
      <c r="C185" s="59" t="n"/>
      <c r="D185" s="358">
        <f>SUM(F185:P185)</f>
        <v/>
      </c>
      <c r="E185" s="810" t="n"/>
      <c r="F185" s="358">
        <f>IF(F174="","",-(MIN(F195,0)+F204))</f>
        <v/>
      </c>
      <c r="G185" s="358">
        <f>IF(G174="","",-(MIN(G195,0)+G204))</f>
        <v/>
      </c>
      <c r="H185" s="358">
        <f>IF(H174="","",-(MIN(H195,0)+H204))</f>
        <v/>
      </c>
      <c r="I185" s="358">
        <f>IF(I174="","",-(MIN(I195,0)+I204))</f>
        <v/>
      </c>
      <c r="J185" s="358">
        <f>IF(J174="","",-(MIN(J195,0)+J204))</f>
        <v/>
      </c>
      <c r="K185" s="358">
        <f>IF(K174="","",-(MIN(K195,0)+K204))</f>
        <v/>
      </c>
      <c r="L185" s="358">
        <f>IF(L174="","",-(MIN(L195,0)+L204))</f>
        <v/>
      </c>
      <c r="M185" s="358">
        <f>IF(M174="","",-(MIN(M195,0)+M204))</f>
        <v/>
      </c>
      <c r="N185" s="358">
        <f>IF(N174="","",-(MIN(N195,0)+N204))</f>
        <v/>
      </c>
      <c r="O185" s="358">
        <f>IF(O174="","",-(MIN(O195,0)+O204))</f>
        <v/>
      </c>
      <c r="P185" s="358">
        <f>IF(P174="","",-(MIN(P195,0)+P204))</f>
        <v/>
      </c>
    </row>
    <row r="186" outlineLevel="1">
      <c r="B186" s="399" t="inlineStr">
        <is>
          <t>Total GP Profit</t>
        </is>
      </c>
      <c r="C186" s="59" t="n"/>
      <c r="D186" s="358">
        <f>+D183+D184-D185</f>
        <v/>
      </c>
      <c r="E186" s="810" t="n"/>
      <c r="F186" s="406" t="n"/>
      <c r="G186" s="358" t="n"/>
      <c r="H186" s="407" t="n"/>
      <c r="I186" s="407" t="n"/>
      <c r="J186" s="407" t="n"/>
      <c r="K186" s="407" t="n"/>
      <c r="L186" s="407" t="n"/>
      <c r="M186" s="407" t="n"/>
      <c r="N186" s="407" t="n"/>
      <c r="O186" s="407" t="n"/>
      <c r="P186" s="407" t="n"/>
    </row>
    <row r="187" outlineLevel="1">
      <c r="B187" s="399" t="inlineStr">
        <is>
          <t>GP IRR</t>
        </is>
      </c>
      <c r="C187" s="59" t="n"/>
      <c r="D187" s="413">
        <f>IFERROR(IRR(F187:P187),"NA")</f>
        <v/>
      </c>
      <c r="E187" s="810" t="n"/>
      <c r="F187" s="358">
        <f>IF(F174="","",(-F185)+F183+F184)</f>
        <v/>
      </c>
      <c r="G187" s="358">
        <f>IF(G174="","",(-G185)+G183+G184)</f>
        <v/>
      </c>
      <c r="H187" s="358">
        <f>IF(H174="","",(-H185)+H183+H184)</f>
        <v/>
      </c>
      <c r="I187" s="358">
        <f>IF(I174="","",(-I185)+I183+I184)</f>
        <v/>
      </c>
      <c r="J187" s="358">
        <f>IF(J174="","",(-J185)+J183+J184)</f>
        <v/>
      </c>
      <c r="K187" s="358">
        <f>IF(K174="","",(-K185)+K183+K184)</f>
        <v/>
      </c>
      <c r="L187" s="358">
        <f>IF(L174="","",(-L185)+L183+L184)</f>
        <v/>
      </c>
      <c r="M187" s="358">
        <f>IF(M174="","",(-M185)+M183+M184)</f>
        <v/>
      </c>
      <c r="N187" s="358">
        <f>IF(N174="","",(-N185)+N183+N184)</f>
        <v/>
      </c>
      <c r="O187" s="358">
        <f>IF(O174="","",(-O185)+O183+O184)</f>
        <v/>
      </c>
      <c r="P187" s="358">
        <f>IF(P174="","",(-P185)+P183+P184)</f>
        <v/>
      </c>
    </row>
    <row r="188" outlineLevel="1">
      <c r="B188" s="399" t="inlineStr">
        <is>
          <t>GP Equity Multiple</t>
        </is>
      </c>
      <c r="C188" s="59" t="n"/>
      <c r="D188" s="818">
        <f>IFERROR(D183/D185,"NA")</f>
        <v/>
      </c>
      <c r="E188" s="810" t="n"/>
      <c r="F188" s="395" t="n"/>
      <c r="G188" s="396" t="n"/>
      <c r="H188" s="397" t="n"/>
      <c r="I188" s="397" t="n"/>
      <c r="J188" s="398" t="n"/>
      <c r="K188" s="398" t="n"/>
      <c r="L188" s="398" t="n"/>
      <c r="M188" s="398" t="n"/>
      <c r="N188" s="398" t="n"/>
      <c r="O188" s="398" t="n"/>
      <c r="P188" s="398" t="n"/>
    </row>
    <row r="189" outlineLevel="1">
      <c r="B189" s="415" t="n"/>
      <c r="C189" s="416" t="n"/>
      <c r="D189" s="819" t="n"/>
      <c r="E189" s="59" t="n"/>
      <c r="F189" s="398" t="n"/>
      <c r="G189" s="398" t="n"/>
      <c r="H189" s="398" t="n"/>
      <c r="I189" s="398" t="n"/>
      <c r="J189" s="398" t="n"/>
      <c r="K189" s="398" t="n"/>
      <c r="L189" s="398" t="n"/>
      <c r="M189" s="398" t="n"/>
      <c r="N189" s="398" t="n"/>
      <c r="O189" s="398" t="n"/>
      <c r="P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c r="L190" s="827">
        <f>L$21</f>
        <v/>
      </c>
      <c r="M190" s="827">
        <f>M$21</f>
        <v/>
      </c>
      <c r="N190" s="827">
        <f>N$21</f>
        <v/>
      </c>
      <c r="O190" s="827">
        <f>O$21</f>
        <v/>
      </c>
      <c r="P190" s="827">
        <f>P$21</f>
        <v/>
      </c>
    </row>
    <row r="191" outlineLevel="1">
      <c r="B191" s="461" t="n"/>
      <c r="C191" s="461" t="n"/>
      <c r="D191" s="461" t="n"/>
      <c r="E191" s="462" t="inlineStr">
        <is>
          <t>Year Ending</t>
        </is>
      </c>
      <c r="F191" s="829">
        <f>IF(F46="","",F46)</f>
        <v/>
      </c>
      <c r="G191" s="830">
        <f>IF(G46="","",G46)</f>
        <v/>
      </c>
      <c r="H191" s="830">
        <f>IF(H46="","",H46)</f>
        <v/>
      </c>
      <c r="I191" s="830">
        <f>IF(I46="","",I46)</f>
        <v/>
      </c>
      <c r="J191" s="830">
        <f>IF(J46="","",J46)</f>
        <v/>
      </c>
      <c r="K191" s="830">
        <f>IF(K46="","",K46)</f>
        <v/>
      </c>
      <c r="L191" s="830">
        <f>IF(L46="","",L46)</f>
        <v/>
      </c>
      <c r="M191" s="830">
        <f>IF(M46="","",M46)</f>
        <v/>
      </c>
      <c r="N191" s="830">
        <f>IF(N46="","",N46)</f>
        <v/>
      </c>
      <c r="O191" s="830">
        <f>IF(O46="","",O46)</f>
        <v/>
      </c>
      <c r="P191" s="830">
        <f>IF(P46="","",P46)</f>
        <v/>
      </c>
    </row>
    <row r="192" outlineLevel="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c r="L192" s="446">
        <f>IF(L47="","",L47)</f>
        <v/>
      </c>
      <c r="M192" s="446">
        <f>IF(M47="","",M47)</f>
        <v/>
      </c>
      <c r="N192" s="446">
        <f>IF(N47="","",N47)</f>
        <v/>
      </c>
      <c r="O192" s="446">
        <f>IF(O47="","",O47)</f>
        <v/>
      </c>
      <c r="P192" s="446">
        <f>IF(P47="","",P47)</f>
        <v/>
      </c>
    </row>
    <row r="193" outlineLevel="1">
      <c r="B193" s="447">
        <f>IF(B48="","",B48)</f>
        <v/>
      </c>
      <c r="C193" s="461" t="n"/>
      <c r="D193" s="461" t="n"/>
      <c r="E193" s="463" t="n"/>
      <c r="F193" s="446">
        <f>IF(F48="","",F48)</f>
        <v/>
      </c>
      <c r="G193" s="446">
        <f>IF(G48="","",G48)</f>
        <v/>
      </c>
      <c r="H193" s="446">
        <f>IF(H48="","",H48)</f>
        <v/>
      </c>
      <c r="I193" s="446">
        <f>IF(I48="","",I48)</f>
        <v/>
      </c>
      <c r="J193" s="446">
        <f>IF(J48="","",J48)</f>
        <v/>
      </c>
      <c r="K193" s="446">
        <f>IF(K48="","",K48)</f>
        <v/>
      </c>
      <c r="L193" s="446">
        <f>IF(L48="","",L48)</f>
        <v/>
      </c>
      <c r="M193" s="446">
        <f>IF(M48="","",M48)</f>
        <v/>
      </c>
      <c r="N193" s="446">
        <f>IF(N48="","",N48)</f>
        <v/>
      </c>
      <c r="O193" s="446">
        <f>IF(O48="","",O48)</f>
        <v/>
      </c>
      <c r="P193" s="446">
        <f>IF(P48="","",P48)</f>
        <v/>
      </c>
    </row>
    <row r="194" outlineLevel="1">
      <c r="B194" s="447">
        <f>IF(B49="","",B49)</f>
        <v/>
      </c>
      <c r="C194" s="461" t="n"/>
      <c r="D194" s="461" t="n"/>
      <c r="E194" s="463" t="n"/>
      <c r="F194" s="446">
        <f>IF(F49="","",F49)</f>
        <v/>
      </c>
      <c r="G194" s="446">
        <f>IF(G49="","",G49)</f>
        <v/>
      </c>
      <c r="H194" s="446">
        <f>IF(H49="","",H49)</f>
        <v/>
      </c>
      <c r="I194" s="446">
        <f>IF(I49="","",I49)</f>
        <v/>
      </c>
      <c r="J194" s="446">
        <f>IF(J49="","",J49)</f>
        <v/>
      </c>
      <c r="K194" s="446">
        <f>IF(K49="","",K49)</f>
        <v/>
      </c>
      <c r="L194" s="446">
        <f>IF(L49="","",L49)</f>
        <v/>
      </c>
      <c r="M194" s="446">
        <f>IF(M49="","",M49)</f>
        <v/>
      </c>
      <c r="N194" s="446">
        <f>IF(N49="","",N49)</f>
        <v/>
      </c>
      <c r="O194" s="446">
        <f>IF(O49="","",O49)</f>
        <v/>
      </c>
      <c r="P194" s="446">
        <f>IF(P49="","",P49)</f>
        <v/>
      </c>
    </row>
    <row r="195" outlineLevel="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c r="L195" s="424">
        <f>IF(L190="","",L192-L193-L194)</f>
        <v/>
      </c>
      <c r="M195" s="424">
        <f>IF(M190="","",M192-M193-M194)</f>
        <v/>
      </c>
      <c r="N195" s="424">
        <f>IF(N190="","",N192-N193-N194)</f>
        <v/>
      </c>
      <c r="O195" s="424">
        <f>IF(O190="","",O192-O193-O194)</f>
        <v/>
      </c>
      <c r="P195" s="424">
        <f>IF(P190="","",P192-P193-P194)</f>
        <v/>
      </c>
    </row>
    <row r="196" outlineLevel="1">
      <c r="B196" s="59" t="inlineStr">
        <is>
          <t>Levered IRR</t>
        </is>
      </c>
      <c r="C196" s="59" t="n"/>
      <c r="D196" s="59" t="n"/>
      <c r="E196" s="59" t="n"/>
      <c r="F196" s="397">
        <f>IRR(F195:M195)</f>
        <v/>
      </c>
      <c r="G196" s="398" t="n"/>
      <c r="H196" s="398" t="n"/>
      <c r="I196" s="398" t="n"/>
      <c r="J196" s="398" t="n"/>
      <c r="K196" s="398" t="n"/>
      <c r="L196" s="398" t="n"/>
      <c r="M196" s="398" t="n"/>
      <c r="N196" s="398" t="n"/>
      <c r="O196" s="398" t="n"/>
      <c r="P196" s="398" t="n"/>
    </row>
    <row r="197" outlineLevel="1">
      <c r="B197" s="59" t="inlineStr">
        <is>
          <t>Equity Multiple</t>
        </is>
      </c>
      <c r="C197" s="59" t="n"/>
      <c r="D197" s="59" t="n"/>
      <c r="E197" s="59" t="n"/>
      <c r="F197" s="822">
        <f>SUMIF(F195:M195,"&gt;0")/-SUMIF(F195:M195,"&lt;0")</f>
        <v/>
      </c>
      <c r="G197" s="398" t="n"/>
      <c r="H197" s="398" t="n"/>
      <c r="I197" s="398" t="n"/>
      <c r="J197" s="398" t="n"/>
      <c r="K197" s="398" t="n"/>
      <c r="L197" s="398" t="n"/>
      <c r="M197" s="398" t="n"/>
      <c r="N197" s="398" t="n"/>
      <c r="O197" s="398" t="n"/>
      <c r="P197" s="398" t="n"/>
    </row>
    <row r="198" outlineLevel="1">
      <c r="B198" s="59" t="n"/>
      <c r="C198" s="59" t="n"/>
      <c r="D198" s="59" t="n"/>
      <c r="E198" s="398" t="n"/>
      <c r="F198" s="426" t="n"/>
      <c r="G198" s="398" t="n"/>
      <c r="H198" s="398" t="n"/>
      <c r="I198" s="398" t="n"/>
      <c r="J198" s="398" t="n"/>
      <c r="K198" s="398" t="n"/>
      <c r="L198" s="398" t="n"/>
      <c r="M198" s="398" t="n"/>
      <c r="N198" s="398" t="n"/>
      <c r="O198" s="398" t="n"/>
      <c r="P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c r="L199" s="431" t="n"/>
      <c r="M199" s="431" t="n"/>
      <c r="N199" s="431" t="n"/>
      <c r="O199" s="431" t="n"/>
      <c r="P199" s="431" t="n"/>
    </row>
    <row r="200" outlineLevel="1">
      <c r="B200" s="449" t="inlineStr">
        <is>
          <t>Return Threshold - Up to:</t>
        </is>
      </c>
      <c r="C200" s="837">
        <f>E168</f>
        <v/>
      </c>
      <c r="D200" s="430" t="n"/>
      <c r="E200" s="430" t="n"/>
      <c r="F200" s="431" t="inlineStr">
        <is>
          <t>Year 0</t>
        </is>
      </c>
      <c r="G200" s="827">
        <f>G$21</f>
        <v/>
      </c>
      <c r="H200" s="827">
        <f>H$21</f>
        <v/>
      </c>
      <c r="I200" s="827">
        <f>I$21</f>
        <v/>
      </c>
      <c r="J200" s="827">
        <f>J$21</f>
        <v/>
      </c>
      <c r="K200" s="827">
        <f>K$21</f>
        <v/>
      </c>
      <c r="L200" s="827">
        <f>L$21</f>
        <v/>
      </c>
      <c r="M200" s="827">
        <f>M$21</f>
        <v/>
      </c>
      <c r="N200" s="827">
        <f>N$21</f>
        <v/>
      </c>
      <c r="O200" s="827">
        <f>O$21</f>
        <v/>
      </c>
      <c r="P200" s="827">
        <f>P$21</f>
        <v/>
      </c>
    </row>
    <row r="201" outlineLevel="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c r="L201" s="407">
        <f>IF(L200="","",K206)</f>
        <v/>
      </c>
      <c r="M201" s="407">
        <f>IF(M200="","",L206)</f>
        <v/>
      </c>
      <c r="N201" s="407">
        <f>IF(N200="","",M206)</f>
        <v/>
      </c>
      <c r="O201" s="407">
        <f>IF(O200="","",N206)</f>
        <v/>
      </c>
      <c r="P201" s="407">
        <f>IF(P200="","",O206)</f>
        <v/>
      </c>
    </row>
    <row r="202" outlineLevel="1">
      <c r="B202" s="59" t="inlineStr">
        <is>
          <t>LP Return of Capital</t>
        </is>
      </c>
      <c r="C202" s="59" t="n"/>
      <c r="D202" s="59" t="n"/>
      <c r="E202" s="59" t="n"/>
      <c r="F202" s="451">
        <f>IF(ROUND(SUM(G202:M202),0)=ROUND(SUM(F204:M204),0),"All Capital Returned","Capital Not Returned")</f>
        <v/>
      </c>
      <c r="G202" s="407">
        <f>IF(G200="","",G208-G203)</f>
        <v/>
      </c>
      <c r="H202" s="407">
        <f>IF(H200="","",H208-H203)</f>
        <v/>
      </c>
      <c r="I202" s="407">
        <f>IF(I200="","",I208-I203)</f>
        <v/>
      </c>
      <c r="J202" s="407">
        <f>IF(J200="","",J208-J203)</f>
        <v/>
      </c>
      <c r="K202" s="407">
        <f>IF(K200="","",K208-K203)</f>
        <v/>
      </c>
      <c r="L202" s="407">
        <f>IF(L200="","",L208-L203)</f>
        <v/>
      </c>
      <c r="M202" s="407">
        <f>IF(M200="","",M208-M203)</f>
        <v/>
      </c>
      <c r="N202" s="407">
        <f>IF(N200="","",N208-N203)</f>
        <v/>
      </c>
      <c r="O202" s="407">
        <f>IF(O200="","",O208-O203)</f>
        <v/>
      </c>
      <c r="P202" s="407">
        <f>IF(P200="","",P208-P203)</f>
        <v/>
      </c>
    </row>
    <row r="203" outlineLevel="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c r="L203" s="407">
        <f>IF(L200="","",IF($D$165="Equity Multiple",K204*$C200-K204,L201*Preferred_Return))</f>
        <v/>
      </c>
      <c r="M203" s="407">
        <f>IF(M200="","",IF($D$165="Equity Multiple",L204*$C200-L204,M201*Preferred_Return))</f>
        <v/>
      </c>
      <c r="N203" s="407">
        <f>IF(N200="","",IF($D$165="Equity Multiple",M204*$C200-M204,N201*Preferred_Return))</f>
        <v/>
      </c>
      <c r="O203" s="407">
        <f>IF(O200="","",IF($D$165="Equity Multiple",N204*$C200-N204,O201*Preferred_Return))</f>
        <v/>
      </c>
      <c r="P203" s="407">
        <f>IF(P200="","",IF($D$165="Equity Multiple",O204*$C200-O204,P201*Preferred_Return))</f>
        <v/>
      </c>
    </row>
    <row r="204" outlineLevel="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c r="L204" s="407">
        <f>IF(L200="","",-MIN(0,L195*Equity_Share_LP))</f>
        <v/>
      </c>
      <c r="M204" s="407">
        <f>IF(M200="","",-MIN(0,M195*Equity_Share_LP))</f>
        <v/>
      </c>
      <c r="N204" s="407">
        <f>IF(N200="","",-MIN(0,N195*Equity_Share_LP))</f>
        <v/>
      </c>
      <c r="O204" s="407">
        <f>IF(O200="","",-MIN(0,O195*Equity_Share_LP))</f>
        <v/>
      </c>
      <c r="P204" s="407">
        <f>IF(P200="","",-MIN(0,P195*Equity_Share_LP))</f>
        <v/>
      </c>
    </row>
    <row r="205" outlineLevel="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c r="L205" s="358">
        <f>IF(L200="","",MIN(L201+L203,MAX(L195,0)*$I$15))</f>
        <v/>
      </c>
      <c r="M205" s="358">
        <f>IF(M200="","",MIN(M201+M203,MAX(M195,0)*$I$15))</f>
        <v/>
      </c>
      <c r="N205" s="358">
        <f>IF(N200="","",MIN(N201+N203,MAX(N195,0)*$I$15))</f>
        <v/>
      </c>
      <c r="O205" s="358">
        <f>IF(O200="","",MIN(O201+O203,MAX(O195,0)*$I$15))</f>
        <v/>
      </c>
      <c r="P205" s="358">
        <f>IF(P200="","",MIN(P201+P203,MAX(P195,0)*$I$15))</f>
        <v/>
      </c>
    </row>
    <row r="206" outlineLevel="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c r="L206" s="407">
        <f>IF(L200="","",L201+L203+L204-L205)</f>
        <v/>
      </c>
      <c r="M206" s="407">
        <f>IF(M200="","",M201+M203+M204-M205)</f>
        <v/>
      </c>
      <c r="N206" s="407">
        <f>IF(N200="","",N201+N203+N204-N205)</f>
        <v/>
      </c>
      <c r="O206" s="407">
        <f>IF(O200="","",O201+O203+O204-O205)</f>
        <v/>
      </c>
      <c r="P206" s="407">
        <f>IF(P200="","",P201+P203+P204-P205)</f>
        <v/>
      </c>
    </row>
    <row r="207" outlineLevel="1">
      <c r="B207" s="452">
        <f>IF(D165="Equity Multiple", "LP EMx Check","LP IRR Check")</f>
        <v/>
      </c>
      <c r="C207" s="59" t="n"/>
      <c r="D207" s="59" t="n"/>
      <c r="E207" s="838">
        <f>IF($D$165="IRR",IRR(F207:P207),SUMIF(F207:P207,"&gt;0")/-SUMIF(F207:P207,"&lt;0"))</f>
        <v/>
      </c>
      <c r="F207" s="407">
        <f>IF(F200="","",-F204+F205)</f>
        <v/>
      </c>
      <c r="G207" s="407">
        <f>IF(G200="","",-G204+G205)</f>
        <v/>
      </c>
      <c r="H207" s="407">
        <f>IF(H200="","",-H204+H205)</f>
        <v/>
      </c>
      <c r="I207" s="407">
        <f>IF(I200="","",-I204+I205)</f>
        <v/>
      </c>
      <c r="J207" s="407">
        <f>IF(J200="","",-J204+J205)</f>
        <v/>
      </c>
      <c r="K207" s="407">
        <f>IF(K200="","",-K204+K205)</f>
        <v/>
      </c>
      <c r="L207" s="407">
        <f>IF(L200="","",-L204+L205)</f>
        <v/>
      </c>
      <c r="M207" s="407">
        <f>IF(M200="","",-M204+M205)</f>
        <v/>
      </c>
      <c r="N207" s="407">
        <f>IF(N200="","",-N204+N205)</f>
        <v/>
      </c>
      <c r="O207" s="407">
        <f>IF(O200="","",-O204+O205)</f>
        <v/>
      </c>
      <c r="P207" s="407">
        <f>IF(P200="","",-P204+P205)</f>
        <v/>
      </c>
    </row>
    <row r="208" outlineLevel="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c r="L208" s="407">
        <f>IF(L200="","",MIN(L201+L203,MAX(L195,0)*$I$15))</f>
        <v/>
      </c>
      <c r="M208" s="407">
        <f>IF(M200="","",MIN(M201+M203,MAX(M195,0)*$I$15))</f>
        <v/>
      </c>
      <c r="N208" s="407">
        <f>IF(N200="","",MIN(N201+N203,MAX(N195,0)*$I$15))</f>
        <v/>
      </c>
      <c r="O208" s="407">
        <f>IF(O200="","",MIN(O201+O203,MAX(O195,0)*$I$15))</f>
        <v/>
      </c>
      <c r="P208" s="407">
        <f>IF(P200="","",MIN(P201+P203,MAX(P195,0)*$I$15))</f>
        <v/>
      </c>
    </row>
    <row r="209" outlineLevel="1">
      <c r="B209" s="59" t="n"/>
      <c r="C209" s="59" t="n"/>
      <c r="D209" s="59" t="n"/>
      <c r="E209" s="59" t="n"/>
      <c r="F209" s="407" t="n"/>
      <c r="G209" s="407" t="n"/>
      <c r="H209" s="407" t="n"/>
      <c r="I209" s="407" t="n"/>
      <c r="J209" s="407" t="n"/>
      <c r="K209" s="407" t="n"/>
      <c r="L209" s="407" t="n"/>
      <c r="M209" s="407" t="n"/>
      <c r="N209" s="407" t="n"/>
      <c r="O209" s="407" t="n"/>
      <c r="P209" s="407" t="n"/>
    </row>
    <row r="210" outlineLevel="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c r="L210" s="407">
        <f>IF(L200="","",K214)</f>
        <v/>
      </c>
      <c r="M210" s="407">
        <f>IF(M200="","",L214)</f>
        <v/>
      </c>
      <c r="N210" s="407">
        <f>IF(N200="","",M214)</f>
        <v/>
      </c>
      <c r="O210" s="407">
        <f>IF(O200="","",N214)</f>
        <v/>
      </c>
      <c r="P210" s="407">
        <f>IF(P200="","",O214)</f>
        <v/>
      </c>
    </row>
    <row r="211" outlineLevel="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c r="L211" s="407">
        <f>IF(L200="","",IF($D$165="Equity Multiple",K212*$C200-K212,L210*Preferred_Return))</f>
        <v/>
      </c>
      <c r="M211" s="407">
        <f>IF(M200="","",IF($D$165="Equity Multiple",L212*$C200-L212,M210*Preferred_Return))</f>
        <v/>
      </c>
      <c r="N211" s="407">
        <f>IF(N200="","",IF($D$165="Equity Multiple",M212*$C200-M212,N210*Preferred_Return))</f>
        <v/>
      </c>
      <c r="O211" s="407">
        <f>IF(O200="","",IF($D$165="Equity Multiple",N212*$C200-N212,O210*Preferred_Return))</f>
        <v/>
      </c>
      <c r="P211" s="407">
        <f>IF(P200="","",IF($D$165="Equity Multiple",O212*$C200-O212,P210*Preferred_Return))</f>
        <v/>
      </c>
    </row>
    <row r="212" outlineLevel="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c r="L212" s="407">
        <f>IF(L200="","",-MIN(0,L195*Equity_Share_GP))</f>
        <v/>
      </c>
      <c r="M212" s="407">
        <f>IF(M200="","",-MIN(0,M195*Equity_Share_GP))</f>
        <v/>
      </c>
      <c r="N212" s="407">
        <f>IF(N200="","",-MIN(0,N195*Equity_Share_GP))</f>
        <v/>
      </c>
      <c r="O212" s="407">
        <f>IF(O200="","",-MIN(0,O195*Equity_Share_GP))</f>
        <v/>
      </c>
      <c r="P212" s="407">
        <f>IF(P200="","",-MIN(0,P195*Equity_Share_GP))</f>
        <v/>
      </c>
    </row>
    <row r="213" outlineLevel="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c r="L213" s="358">
        <f>IF(L200="","",IF(CU?,MAX(MIN(L195-L208,L210+L211+L212),0),L205/$I$15*$H$15))</f>
        <v/>
      </c>
      <c r="M213" s="358">
        <f>IF(M200="","",IF(CU?,MAX(MIN(M195-M208,M210+M211+M212),0),M205/$I$15*$H$15))</f>
        <v/>
      </c>
      <c r="N213" s="358">
        <f>IF(N200="","",IF(CU?,MAX(MIN(N195-N208,N210+N211+N212),0),N205/$I$15*$H$15))</f>
        <v/>
      </c>
      <c r="O213" s="358">
        <f>IF(O200="","",IF(CU?,MAX(MIN(O195-O208,O210+O211+O212),0),O205/$I$15*$H$15))</f>
        <v/>
      </c>
      <c r="P213" s="358">
        <f>IF(P200="","",IF(CU?,MAX(MIN(P195-P208,P210+P211+P212),0),P205/$I$15*$H$15))</f>
        <v/>
      </c>
    </row>
    <row r="214" outlineLevel="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c r="L214" s="358">
        <f>IF(L200="","",L210+L211+L212-L213)</f>
        <v/>
      </c>
      <c r="M214" s="358">
        <f>IF(M200="","",M210+M211+M212-M213)</f>
        <v/>
      </c>
      <c r="N214" s="358">
        <f>IF(N200="","",N210+N211+N212-N213)</f>
        <v/>
      </c>
      <c r="O214" s="358">
        <f>IF(O200="","",O210+O211+O212-O213)</f>
        <v/>
      </c>
      <c r="P214" s="358">
        <f>IF(P200="","",P210+P211+P212-P213)</f>
        <v/>
      </c>
    </row>
    <row r="215" outlineLevel="1">
      <c r="B215" s="452">
        <f>IF(D165="Equity Multiple", "GP EMx Check","GP IRR Check")</f>
        <v/>
      </c>
      <c r="C215" s="59" t="n"/>
      <c r="D215" s="59" t="n"/>
      <c r="E215" s="838">
        <f>IF($D$165="IRR",IFERROR(IRR(F215:P215),"NA"),SUMIF(F215:P215,"&gt;0")/-SUMIF(F215:P215,"&lt;0"))</f>
        <v/>
      </c>
      <c r="F215" s="407">
        <f>IF(F200="","",-F212+F213)</f>
        <v/>
      </c>
      <c r="G215" s="358">
        <f>IF(G200="","",-G212+G213)</f>
        <v/>
      </c>
      <c r="H215" s="358">
        <f>IF(H200="","",-H212+H213)</f>
        <v/>
      </c>
      <c r="I215" s="358">
        <f>IF(I200="","",-I212+I213)</f>
        <v/>
      </c>
      <c r="J215" s="358">
        <f>IF(J200="","",-J212+J213)</f>
        <v/>
      </c>
      <c r="K215" s="358">
        <f>IF(K200="","",-K212+K213)</f>
        <v/>
      </c>
      <c r="L215" s="358">
        <f>IF(L200="","",-L212+L213)</f>
        <v/>
      </c>
      <c r="M215" s="358">
        <f>IF(M200="","",-M212+M213)</f>
        <v/>
      </c>
      <c r="N215" s="358">
        <f>IF(N200="","",-N212+N213)</f>
        <v/>
      </c>
      <c r="O215" s="358">
        <f>IF(O200="","",-O212+O213)</f>
        <v/>
      </c>
      <c r="P215" s="358">
        <f>IF(P200="","",-P212+P213)</f>
        <v/>
      </c>
    </row>
    <row r="216" outlineLevel="1">
      <c r="B216" s="59" t="n"/>
      <c r="C216" s="59" t="n"/>
      <c r="D216" s="59" t="n"/>
      <c r="E216" s="59" t="n"/>
      <c r="F216" s="407" t="n"/>
      <c r="G216" s="358" t="n"/>
      <c r="H216" s="358" t="n"/>
      <c r="I216" s="358" t="n"/>
      <c r="J216" s="358" t="n"/>
      <c r="K216" s="358" t="n"/>
      <c r="L216" s="358" t="n"/>
      <c r="M216" s="358" t="n"/>
      <c r="N216" s="358" t="n"/>
      <c r="O216" s="358" t="n"/>
      <c r="P216" s="358" t="n"/>
    </row>
    <row r="217" outlineLevel="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c r="L217" s="407">
        <f>IF(L200="","",L213+L208)</f>
        <v/>
      </c>
      <c r="M217" s="407">
        <f>IF(M200="","",M213+M208)</f>
        <v/>
      </c>
      <c r="N217" s="407">
        <f>IF(N200="","",N213+N208)</f>
        <v/>
      </c>
      <c r="O217" s="407">
        <f>IF(O200="","",O213+O208)</f>
        <v/>
      </c>
      <c r="P217" s="407">
        <f>IF(P200="","",P213+P208)</f>
        <v/>
      </c>
    </row>
    <row r="218" outlineLevel="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c r="L218" s="407">
        <f>IF(L200="","",MAX(L195-L217,0))</f>
        <v/>
      </c>
      <c r="M218" s="407">
        <f>IF(M200="","",MAX(M195-M217,0))</f>
        <v/>
      </c>
      <c r="N218" s="407">
        <f>IF(N200="","",MAX(N195-N217,0))</f>
        <v/>
      </c>
      <c r="O218" s="407">
        <f>IF(O200="","",MAX(O195-O217,0))</f>
        <v/>
      </c>
      <c r="P218" s="407">
        <f>IF(P200="","",MAX(P195-P217,0))</f>
        <v/>
      </c>
    </row>
    <row r="219" outlineLevel="1">
      <c r="B219" s="59" t="n"/>
      <c r="C219" s="59" t="n"/>
      <c r="D219" s="59" t="n"/>
      <c r="E219" s="59" t="n"/>
      <c r="F219" s="398" t="n"/>
      <c r="G219" s="398" t="n"/>
      <c r="H219" s="398" t="n"/>
      <c r="I219" s="398" t="n"/>
      <c r="J219" s="398" t="n"/>
      <c r="K219" s="398" t="n"/>
      <c r="L219" s="398" t="n"/>
      <c r="M219" s="398" t="n"/>
      <c r="N219" s="398" t="n"/>
      <c r="O219" s="398" t="n"/>
      <c r="P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c r="L220" s="827">
        <f>L$21</f>
        <v/>
      </c>
      <c r="M220" s="827">
        <f>M$21</f>
        <v/>
      </c>
      <c r="N220" s="827">
        <f>N$21</f>
        <v/>
      </c>
      <c r="O220" s="827">
        <f>O$21</f>
        <v/>
      </c>
      <c r="P220" s="827">
        <f>P$21</f>
        <v/>
      </c>
    </row>
    <row r="221" outlineLevel="1">
      <c r="B221" s="454" t="inlineStr">
        <is>
          <t>Return Threshold - Up to:</t>
        </is>
      </c>
      <c r="C221" s="839">
        <f>E169</f>
        <v/>
      </c>
      <c r="D221" s="59" t="n"/>
      <c r="E221" s="59" t="n"/>
      <c r="F221" s="398" t="n"/>
      <c r="G221" s="833" t="n"/>
      <c r="H221" s="833" t="n"/>
      <c r="I221" s="833" t="n"/>
      <c r="J221" s="833" t="n"/>
      <c r="K221" s="833" t="n"/>
      <c r="L221" s="833" t="n"/>
      <c r="M221" s="833" t="n"/>
      <c r="N221" s="833" t="n"/>
      <c r="O221" s="833" t="n"/>
      <c r="P221" s="833" t="n"/>
    </row>
    <row r="222" outlineLevel="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c r="L222" s="407">
        <f>IF(L220="","",K227)</f>
        <v/>
      </c>
      <c r="M222" s="407">
        <f>IF(M220="","",L227)</f>
        <v/>
      </c>
      <c r="N222" s="407">
        <f>IF(N220="","",M227)</f>
        <v/>
      </c>
      <c r="O222" s="407">
        <f>IF(O220="","",N227)</f>
        <v/>
      </c>
      <c r="P222" s="407">
        <f>IF(P220="","",O227)</f>
        <v/>
      </c>
    </row>
    <row r="223" outlineLevel="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c r="L223" s="407">
        <f>IF(L220="","",IF($D$165="Equity Multiple",K224*$C221-K224,L222*$C221))</f>
        <v/>
      </c>
      <c r="M223" s="407">
        <f>IF(M220="","",IF($D$165="Equity Multiple",L224*$C221-L224,M222*$C221))</f>
        <v/>
      </c>
      <c r="N223" s="407">
        <f>IF(N220="","",IF($D$165="Equity Multiple",M224*$C221-M224,N222*$C221))</f>
        <v/>
      </c>
      <c r="O223" s="407">
        <f>IF(O220="","",IF($D$165="Equity Multiple",N224*$C221-N224,O222*$C221))</f>
        <v/>
      </c>
      <c r="P223" s="407">
        <f>IF(P220="","",IF($D$165="Equity Multiple",O224*$C221-O224,P222*$C221))</f>
        <v/>
      </c>
    </row>
    <row r="224" outlineLevel="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c r="L224" s="407">
        <f>IF(L220="","",-MIN(0,L$51*Equity_Share_LP))</f>
        <v/>
      </c>
      <c r="M224" s="407">
        <f>IF(M220="","",-MIN(0,M$51*Equity_Share_LP))</f>
        <v/>
      </c>
      <c r="N224" s="407">
        <f>IF(N220="","",-MIN(0,N$51*Equity_Share_LP))</f>
        <v/>
      </c>
      <c r="O224" s="407">
        <f>IF(O220="","",-MIN(0,O$51*Equity_Share_LP))</f>
        <v/>
      </c>
      <c r="P224" s="407">
        <f>IF(P220="","",-MIN(0,P$51*Equity_Share_LP))</f>
        <v/>
      </c>
    </row>
    <row r="225" outlineLevel="1">
      <c r="B225" s="59" t="inlineStr">
        <is>
          <t>Prior Distributions</t>
        </is>
      </c>
      <c r="C225" s="59" t="n"/>
      <c r="D225" s="59" t="n"/>
      <c r="E225" s="59" t="n"/>
      <c r="F225" s="407">
        <f>F208</f>
        <v/>
      </c>
      <c r="G225" s="407">
        <f>G208</f>
        <v/>
      </c>
      <c r="H225" s="407">
        <f>H208</f>
        <v/>
      </c>
      <c r="I225" s="407">
        <f>I208</f>
        <v/>
      </c>
      <c r="J225" s="407">
        <f>J208</f>
        <v/>
      </c>
      <c r="K225" s="407">
        <f>K208</f>
        <v/>
      </c>
      <c r="L225" s="407">
        <f>L208</f>
        <v/>
      </c>
      <c r="M225" s="407">
        <f>M208</f>
        <v/>
      </c>
      <c r="N225" s="407">
        <f>N208</f>
        <v/>
      </c>
      <c r="O225" s="407">
        <f>O208</f>
        <v/>
      </c>
      <c r="P225" s="407">
        <f>P208</f>
        <v/>
      </c>
    </row>
    <row r="226" outlineLevel="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c r="L226" s="407">
        <f>IF(L220="","",MIN(L222+L223-L225,L218*$I$16))</f>
        <v/>
      </c>
      <c r="M226" s="407">
        <f>IF(M220="","",MIN(M222+M223-M225,M218*$I$16))</f>
        <v/>
      </c>
      <c r="N226" s="407">
        <f>IF(N220="","",MIN(N222+N223-N225,N218*$I$16))</f>
        <v/>
      </c>
      <c r="O226" s="407">
        <f>IF(O220="","",MIN(O222+O223-O225,O218*$I$16))</f>
        <v/>
      </c>
      <c r="P226" s="407">
        <f>IF(P220="","",MIN(P222+P223-P225,P218*$I$16))</f>
        <v/>
      </c>
    </row>
    <row r="227" outlineLevel="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c r="L227" s="407">
        <f>IF(L220="","",L222+L223+L224-L225-L226)</f>
        <v/>
      </c>
      <c r="M227" s="407">
        <f>IF(M220="","",M222+M223+M224-M225-M226)</f>
        <v/>
      </c>
      <c r="N227" s="407">
        <f>IF(N220="","",N222+N223+N224-N225-N226)</f>
        <v/>
      </c>
      <c r="O227" s="407">
        <f>IF(O220="","",O222+O223+O224-O225-O226)</f>
        <v/>
      </c>
      <c r="P227" s="407">
        <f>IF(P220="","",P222+P223+P224-P225-P226)</f>
        <v/>
      </c>
    </row>
    <row r="228" outlineLevel="1">
      <c r="B228" s="834">
        <f>C221</f>
        <v/>
      </c>
      <c r="C228" s="59" t="n"/>
      <c r="D228" s="59" t="n"/>
      <c r="E228" s="838">
        <f>IF($D$165="IRR",IRR(F228:P228),SUMIF(F228:P228,"&gt;0")/-SUMIF(F228:P228,"&lt;0"))</f>
        <v/>
      </c>
      <c r="F228" s="407">
        <f>IF(F220="","",-F224+F225+F226)</f>
        <v/>
      </c>
      <c r="G228" s="407">
        <f>IF(G220="","",-G224+G225+G226)</f>
        <v/>
      </c>
      <c r="H228" s="407">
        <f>IF(H220="","",-H224+H225+H226)</f>
        <v/>
      </c>
      <c r="I228" s="407">
        <f>IF(I220="","",-I224+I225+I226)</f>
        <v/>
      </c>
      <c r="J228" s="407">
        <f>IF(J220="","",-J224+J225+J226)</f>
        <v/>
      </c>
      <c r="K228" s="407">
        <f>IF(K220="","",-K224+K225+K226)</f>
        <v/>
      </c>
      <c r="L228" s="407">
        <f>IF(L220="","",-L224+L225+L226)</f>
        <v/>
      </c>
      <c r="M228" s="407">
        <f>IF(M220="","",-M224+M225+M226)</f>
        <v/>
      </c>
      <c r="N228" s="407">
        <f>IF(N220="","",-N224+N225+N226)</f>
        <v/>
      </c>
      <c r="O228" s="407">
        <f>IF(O220="","",-O224+O225+O226)</f>
        <v/>
      </c>
      <c r="P228" s="407">
        <f>IF(P220="","",-P224+P225+P226)</f>
        <v/>
      </c>
    </row>
    <row r="229" outlineLevel="1">
      <c r="B229" s="74" t="n"/>
      <c r="C229" s="74" t="n"/>
      <c r="D229" s="74" t="n"/>
      <c r="E229" s="74" t="n"/>
      <c r="F229" s="458" t="n"/>
      <c r="G229" s="458" t="n"/>
      <c r="H229" s="458" t="n"/>
      <c r="I229" s="458" t="n"/>
      <c r="J229" s="458" t="n"/>
      <c r="K229" s="458" t="n"/>
      <c r="L229" s="458" t="n"/>
      <c r="M229" s="458" t="n"/>
      <c r="N229" s="458" t="n"/>
      <c r="O229" s="458" t="n"/>
      <c r="P229" s="458" t="n"/>
    </row>
    <row r="230" outlineLevel="1">
      <c r="B230" s="59" t="inlineStr">
        <is>
          <t>Distribution to LP</t>
        </is>
      </c>
      <c r="C230" s="59" t="n"/>
      <c r="D230" s="59" t="n"/>
      <c r="E230" s="59" t="n"/>
      <c r="F230" s="407">
        <f>IF(F220="","",F226)</f>
        <v/>
      </c>
      <c r="G230" s="407">
        <f>IF(G220="","",G226)</f>
        <v/>
      </c>
      <c r="H230" s="407">
        <f>IF(H220="","",H226)</f>
        <v/>
      </c>
      <c r="I230" s="407">
        <f>IF(I220="","",I226)</f>
        <v/>
      </c>
      <c r="J230" s="407">
        <f>IF(J220="","",J226)</f>
        <v/>
      </c>
      <c r="K230" s="407">
        <f>IF(K220="","",K226)</f>
        <v/>
      </c>
      <c r="L230" s="407">
        <f>IF(L220="","",L226)</f>
        <v/>
      </c>
      <c r="M230" s="407">
        <f>IF(M220="","",M226)</f>
        <v/>
      </c>
      <c r="N230" s="407">
        <f>IF(N220="","",N226)</f>
        <v/>
      </c>
      <c r="O230" s="407">
        <f>IF(O220="","",O226)</f>
        <v/>
      </c>
      <c r="P230" s="407">
        <f>IF(P220="","",P226)</f>
        <v/>
      </c>
    </row>
    <row r="231" outlineLevel="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c r="L231" s="407">
        <f>IF(L220="","",L230/$I$16*$H$16)</f>
        <v/>
      </c>
      <c r="M231" s="407">
        <f>IF(M220="","",M230/$I$16*$H$16)</f>
        <v/>
      </c>
      <c r="N231" s="407">
        <f>IF(N220="","",N230/$I$16*$H$16)</f>
        <v/>
      </c>
      <c r="O231" s="407">
        <f>IF(O220="","",O230/$I$16*$H$16)</f>
        <v/>
      </c>
      <c r="P231" s="407">
        <f>IF(P220="","",P230/$I$16*$H$16)</f>
        <v/>
      </c>
    </row>
    <row r="232" outlineLevel="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c r="L232" s="407">
        <f>IF(L220="","",L230+L231)</f>
        <v/>
      </c>
      <c r="M232" s="407">
        <f>IF(M220="","",M230+M231)</f>
        <v/>
      </c>
      <c r="N232" s="407">
        <f>IF(N220="","",N230+N231)</f>
        <v/>
      </c>
      <c r="O232" s="407">
        <f>IF(O220="","",O230+O231)</f>
        <v/>
      </c>
      <c r="P232" s="407">
        <f>IF(P220="","",P230+P231)</f>
        <v/>
      </c>
    </row>
    <row r="233" outlineLevel="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c r="L233" s="407">
        <f>IF(L220="","",MAX(L$51-L217-L232,0))</f>
        <v/>
      </c>
      <c r="M233" s="407">
        <f>IF(M220="","",MAX(M$51-M217-M232,0))</f>
        <v/>
      </c>
      <c r="N233" s="407">
        <f>IF(N220="","",MAX(N$51-N217-N232,0))</f>
        <v/>
      </c>
      <c r="O233" s="407">
        <f>IF(O220="","",MAX(O$51-O217-O232,0))</f>
        <v/>
      </c>
      <c r="P233" s="407">
        <f>IF(P220="","",MAX(P$51-P217-P232,0))</f>
        <v/>
      </c>
    </row>
    <row r="234" outlineLevel="1">
      <c r="B234" s="59" t="n"/>
      <c r="C234" s="59" t="n"/>
      <c r="D234" s="59" t="n"/>
      <c r="E234" s="59" t="n"/>
      <c r="F234" s="398" t="n"/>
      <c r="G234" s="398" t="n"/>
      <c r="H234" s="398" t="n"/>
      <c r="I234" s="398" t="n"/>
      <c r="J234" s="398" t="n"/>
      <c r="K234" s="398" t="n"/>
      <c r="L234" s="398" t="n"/>
      <c r="M234" s="398" t="n"/>
      <c r="N234" s="398" t="n"/>
      <c r="O234" s="398" t="n"/>
      <c r="P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c r="L235" s="827">
        <f>L$21</f>
        <v/>
      </c>
      <c r="M235" s="827">
        <f>M$21</f>
        <v/>
      </c>
      <c r="N235" s="827">
        <f>N$21</f>
        <v/>
      </c>
      <c r="O235" s="827">
        <f>O$21</f>
        <v/>
      </c>
      <c r="P235" s="827">
        <f>P$21</f>
        <v/>
      </c>
    </row>
    <row r="236" outlineLevel="1">
      <c r="B236" s="454" t="inlineStr">
        <is>
          <t>Return Threshold - Up to:</t>
        </is>
      </c>
      <c r="C236" s="839">
        <f>E170</f>
        <v/>
      </c>
      <c r="D236" s="59" t="n"/>
      <c r="E236" s="59" t="n"/>
      <c r="F236" s="398" t="n"/>
      <c r="G236" s="833" t="n"/>
      <c r="H236" s="833" t="n"/>
      <c r="I236" s="833" t="n"/>
      <c r="J236" s="833" t="n"/>
      <c r="K236" s="833" t="n"/>
      <c r="L236" s="833" t="n"/>
      <c r="M236" s="833" t="n"/>
      <c r="N236" s="833" t="n"/>
      <c r="O236" s="833" t="n"/>
      <c r="P236" s="833" t="n"/>
    </row>
    <row r="237" outlineLevel="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c r="L237" s="407">
        <f>IF(L235="","",K242)</f>
        <v/>
      </c>
      <c r="M237" s="407">
        <f>IF(M235="","",L242)</f>
        <v/>
      </c>
      <c r="N237" s="407">
        <f>IF(N235="","",M242)</f>
        <v/>
      </c>
      <c r="O237" s="407">
        <f>IF(O235="","",N242)</f>
        <v/>
      </c>
      <c r="P237" s="407">
        <f>IF(P235="","",O242)</f>
        <v/>
      </c>
    </row>
    <row r="238" outlineLevel="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c r="L238" s="407">
        <f>IF(L235="","",IF($D$165="Equity Multiple",K239*$C236-K239,L237*$C236))</f>
        <v/>
      </c>
      <c r="M238" s="407">
        <f>IF(M235="","",IF($D$165="Equity Multiple",L239*$C236-L239,M237*$C236))</f>
        <v/>
      </c>
      <c r="N238" s="407">
        <f>IF(N235="","",IF($D$165="Equity Multiple",M239*$C236-M239,N237*$C236))</f>
        <v/>
      </c>
      <c r="O238" s="407">
        <f>IF(O235="","",IF($D$165="Equity Multiple",N239*$C236-N239,O237*$C236))</f>
        <v/>
      </c>
      <c r="P238" s="407">
        <f>IF(P235="","",IF($D$165="Equity Multiple",O239*$C236-O239,P237*$C236))</f>
        <v/>
      </c>
    </row>
    <row r="239" outlineLevel="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c r="L239" s="407">
        <f>IF(L235="","",-MIN(0,L$51*Equity_Share_LP))</f>
        <v/>
      </c>
      <c r="M239" s="407">
        <f>IF(M235="","",-MIN(0,M$51*Equity_Share_LP))</f>
        <v/>
      </c>
      <c r="N239" s="407">
        <f>IF(N235="","",-MIN(0,N$51*Equity_Share_LP))</f>
        <v/>
      </c>
      <c r="O239" s="407">
        <f>IF(O235="","",-MIN(0,O$51*Equity_Share_LP))</f>
        <v/>
      </c>
      <c r="P239" s="407">
        <f>IF(P235="","",-MIN(0,P$51*Equity_Share_LP))</f>
        <v/>
      </c>
    </row>
    <row r="240" outlineLevel="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c r="L240" s="407">
        <f>IF(L235="","",L230+L208)</f>
        <v/>
      </c>
      <c r="M240" s="407">
        <f>IF(M235="","",M230+M208)</f>
        <v/>
      </c>
      <c r="N240" s="407">
        <f>IF(N235="","",N230+N208)</f>
        <v/>
      </c>
      <c r="O240" s="407">
        <f>IF(O235="","",O230+O208)</f>
        <v/>
      </c>
      <c r="P240" s="407">
        <f>IF(P235="","",P230+P208)</f>
        <v/>
      </c>
    </row>
    <row r="241" outlineLevel="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c r="L241" s="407">
        <f>IF(L235="","",MIN(L237+L238-L240,L233*$I$17))</f>
        <v/>
      </c>
      <c r="M241" s="407">
        <f>IF(M235="","",MIN(M237+M238-M240,M233*$I$17))</f>
        <v/>
      </c>
      <c r="N241" s="407">
        <f>IF(N235="","",MIN(N237+N238-N240,N233*$I$17))</f>
        <v/>
      </c>
      <c r="O241" s="407">
        <f>IF(O235="","",MIN(O237+O238-O240,O233*$I$17))</f>
        <v/>
      </c>
      <c r="P241" s="407">
        <f>IF(P235="","",MIN(P237+P238-P240,P233*$I$17))</f>
        <v/>
      </c>
    </row>
    <row r="242" outlineLevel="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c r="L242" s="407">
        <f>IF(L235="","",L237+L238+L239-L240-L241)</f>
        <v/>
      </c>
      <c r="M242" s="407">
        <f>IF(M235="","",M237+M238+M239-M240-M241)</f>
        <v/>
      </c>
      <c r="N242" s="407">
        <f>IF(N235="","",N237+N238+N239-N240-N241)</f>
        <v/>
      </c>
      <c r="O242" s="407">
        <f>IF(O235="","",O237+O238+O239-O240-O241)</f>
        <v/>
      </c>
      <c r="P242" s="407">
        <f>IF(P235="","",P237+P238+P239-P240-P241)</f>
        <v/>
      </c>
    </row>
    <row r="243" outlineLevel="1">
      <c r="B243" s="834">
        <f>C236</f>
        <v/>
      </c>
      <c r="C243" s="59" t="n"/>
      <c r="D243" s="59" t="n"/>
      <c r="E243" s="838">
        <f>IF($D$165="IRR",IRR(F243:P243),SUMIF(F243:P243,"&gt;0")/-SUMIF(F243:P243,"&lt;0"))</f>
        <v/>
      </c>
      <c r="F243" s="407">
        <f>IF(F235="","",-F239+F240+F241)</f>
        <v/>
      </c>
      <c r="G243" s="407">
        <f>IF(G235="","",-G239+G240+G241)</f>
        <v/>
      </c>
      <c r="H243" s="407">
        <f>IF(H235="","",-H239+H240+H241)</f>
        <v/>
      </c>
      <c r="I243" s="407">
        <f>IF(I235="","",-I239+I240+I241)</f>
        <v/>
      </c>
      <c r="J243" s="407">
        <f>IF(J235="","",-J239+J240+J241)</f>
        <v/>
      </c>
      <c r="K243" s="407">
        <f>IF(K235="","",-K239+K240+K241)</f>
        <v/>
      </c>
      <c r="L243" s="407">
        <f>IF(L235="","",-L239+L240+L241)</f>
        <v/>
      </c>
      <c r="M243" s="407">
        <f>IF(M235="","",-M239+M240+M241)</f>
        <v/>
      </c>
      <c r="N243" s="407">
        <f>IF(N235="","",-N239+N240+N241)</f>
        <v/>
      </c>
      <c r="O243" s="407">
        <f>IF(O235="","",-O239+O240+O241)</f>
        <v/>
      </c>
      <c r="P243" s="407">
        <f>IF(P235="","",-P239+P240+P241)</f>
        <v/>
      </c>
    </row>
    <row r="244" outlineLevel="1">
      <c r="B244" s="74" t="n"/>
      <c r="C244" s="74" t="n"/>
      <c r="D244" s="74" t="n"/>
      <c r="E244" s="74" t="n"/>
      <c r="F244" s="458" t="n"/>
      <c r="G244" s="458" t="n"/>
      <c r="H244" s="458" t="n"/>
      <c r="I244" s="458" t="n"/>
      <c r="J244" s="458" t="n"/>
      <c r="K244" s="458" t="n"/>
      <c r="L244" s="458" t="n"/>
      <c r="M244" s="458" t="n"/>
      <c r="N244" s="458" t="n"/>
      <c r="O244" s="458" t="n"/>
      <c r="P244" s="458" t="n"/>
    </row>
    <row r="245" outlineLevel="1">
      <c r="B245" s="59" t="inlineStr">
        <is>
          <t>Distribution to LP</t>
        </is>
      </c>
      <c r="C245" s="59" t="n"/>
      <c r="D245" s="59" t="n"/>
      <c r="E245" s="59" t="n"/>
      <c r="F245" s="407">
        <f>IF(F235="","",F241)</f>
        <v/>
      </c>
      <c r="G245" s="407">
        <f>IF(G235="","",G241)</f>
        <v/>
      </c>
      <c r="H245" s="407">
        <f>IF(H235="","",H241)</f>
        <v/>
      </c>
      <c r="I245" s="407">
        <f>IF(I235="","",I241)</f>
        <v/>
      </c>
      <c r="J245" s="407">
        <f>IF(J235="","",J241)</f>
        <v/>
      </c>
      <c r="K245" s="407">
        <f>IF(K235="","",K241)</f>
        <v/>
      </c>
      <c r="L245" s="407">
        <f>IF(L235="","",L241)</f>
        <v/>
      </c>
      <c r="M245" s="407">
        <f>IF(M235="","",M241)</f>
        <v/>
      </c>
      <c r="N245" s="407">
        <f>IF(N235="","",N241)</f>
        <v/>
      </c>
      <c r="O245" s="407">
        <f>IF(O235="","",O241)</f>
        <v/>
      </c>
      <c r="P245" s="407">
        <f>IF(P235="","",P241)</f>
        <v/>
      </c>
    </row>
    <row r="246" outlineLevel="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c r="L246" s="407">
        <f>IF(L235="","",L245/$I$17*$H$17)</f>
        <v/>
      </c>
      <c r="M246" s="407">
        <f>IF(M235="","",M245/$I$17*$H$17)</f>
        <v/>
      </c>
      <c r="N246" s="407">
        <f>IF(N235="","",N245/$I$17*$H$17)</f>
        <v/>
      </c>
      <c r="O246" s="407">
        <f>IF(O235="","",O245/$I$17*$H$17)</f>
        <v/>
      </c>
      <c r="P246" s="407">
        <f>IF(P235="","",P245/$I$17*$H$17)</f>
        <v/>
      </c>
    </row>
    <row r="247" outlineLevel="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c r="L247" s="407">
        <f>IF(L235="","",L245+L246)</f>
        <v/>
      </c>
      <c r="M247" s="407">
        <f>IF(M235="","",M245+M246)</f>
        <v/>
      </c>
      <c r="N247" s="407">
        <f>IF(N235="","",N245+N246)</f>
        <v/>
      </c>
      <c r="O247" s="407">
        <f>IF(O235="","",O245+O246)</f>
        <v/>
      </c>
      <c r="P247" s="407">
        <f>IF(P235="","",P245+P246)</f>
        <v/>
      </c>
    </row>
    <row r="248" outlineLevel="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c r="L248" s="407">
        <f>IF(L235="","",MAX(L$51-L217-L232-L247,0))</f>
        <v/>
      </c>
      <c r="M248" s="407">
        <f>IF(M235="","",MAX(M$51-M217-M232-M247,0))</f>
        <v/>
      </c>
      <c r="N248" s="407">
        <f>IF(N235="","",MAX(N$51-N217-N232-N247,0))</f>
        <v/>
      </c>
      <c r="O248" s="407">
        <f>IF(O235="","",MAX(O$51-O217-O232-O247,0))</f>
        <v/>
      </c>
      <c r="P248" s="407">
        <f>IF(P235="","",MAX(P$51-P217-P232-P247,0))</f>
        <v/>
      </c>
    </row>
    <row r="249" outlineLevel="1">
      <c r="B249" s="59" t="n"/>
      <c r="C249" s="59" t="n"/>
      <c r="D249" s="59" t="n"/>
      <c r="E249" s="59" t="n"/>
      <c r="F249" s="398" t="n"/>
      <c r="G249" s="398" t="n"/>
      <c r="H249" s="398" t="n"/>
      <c r="I249" s="398" t="n"/>
      <c r="J249" s="398" t="n"/>
      <c r="K249" s="398" t="n"/>
      <c r="L249" s="398" t="n"/>
      <c r="M249" s="398" t="n"/>
      <c r="N249" s="398" t="n"/>
      <c r="O249" s="398" t="n"/>
      <c r="P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c r="L250" s="827">
        <f>L$21</f>
        <v/>
      </c>
      <c r="M250" s="827">
        <f>M$21</f>
        <v/>
      </c>
      <c r="N250" s="827">
        <f>N$21</f>
        <v/>
      </c>
      <c r="O250" s="827">
        <f>O$21</f>
        <v/>
      </c>
      <c r="P250" s="827">
        <f>P$21</f>
        <v/>
      </c>
    </row>
    <row r="251" outlineLevel="1">
      <c r="B251" s="454" t="inlineStr">
        <is>
          <t>Return Threshold - Up to:</t>
        </is>
      </c>
      <c r="C251" s="839">
        <f>E171</f>
        <v/>
      </c>
      <c r="D251" s="59" t="n"/>
      <c r="E251" s="59" t="n"/>
      <c r="F251" s="398" t="n"/>
      <c r="G251" s="833" t="n"/>
      <c r="H251" s="833" t="n"/>
      <c r="I251" s="833" t="n"/>
      <c r="J251" s="833" t="n"/>
      <c r="K251" s="833" t="n"/>
      <c r="L251" s="833" t="n"/>
      <c r="M251" s="833" t="n"/>
      <c r="N251" s="833" t="n"/>
      <c r="O251" s="833" t="n"/>
      <c r="P251" s="833" t="n"/>
    </row>
    <row r="252" outlineLevel="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c r="L252" s="407">
        <f>IF(L250="","",K257)</f>
        <v/>
      </c>
      <c r="M252" s="407">
        <f>IF(M250="","",L257)</f>
        <v/>
      </c>
      <c r="N252" s="407">
        <f>IF(N250="","",M257)</f>
        <v/>
      </c>
      <c r="O252" s="407">
        <f>IF(O250="","",N257)</f>
        <v/>
      </c>
      <c r="P252" s="407">
        <f>IF(P250="","",O257)</f>
        <v/>
      </c>
    </row>
    <row r="253" outlineLevel="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c r="L253" s="407">
        <f>IF(L250="","",IF($D$165="Equity Multiple",K254*$C251-K254,L252*$C251))</f>
        <v/>
      </c>
      <c r="M253" s="407">
        <f>IF(M250="","",IF($D$165="Equity Multiple",L254*$C251-L254,M252*$C251))</f>
        <v/>
      </c>
      <c r="N253" s="407">
        <f>IF(N250="","",IF($D$165="Equity Multiple",M254*$C251-M254,N252*$C251))</f>
        <v/>
      </c>
      <c r="O253" s="407">
        <f>IF(O250="","",IF($D$165="Equity Multiple",N254*$C251-N254,O252*$C251))</f>
        <v/>
      </c>
      <c r="P253" s="407">
        <f>IF(P250="","",IF($D$165="Equity Multiple",O254*$C251-O254,P252*$C251))</f>
        <v/>
      </c>
    </row>
    <row r="254" outlineLevel="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c r="L254" s="407">
        <f>IF(L250="","",-MIN(0,L$51*Equity_Share_LP))</f>
        <v/>
      </c>
      <c r="M254" s="407">
        <f>IF(M250="","",-MIN(0,M$51*Equity_Share_LP))</f>
        <v/>
      </c>
      <c r="N254" s="407">
        <f>IF(N250="","",-MIN(0,N$51*Equity_Share_LP))</f>
        <v/>
      </c>
      <c r="O254" s="407">
        <f>IF(O250="","",-MIN(0,O$51*Equity_Share_LP))</f>
        <v/>
      </c>
      <c r="P254" s="407">
        <f>IF(P250="","",-MIN(0,P$51*Equity_Share_LP))</f>
        <v/>
      </c>
    </row>
    <row r="255" outlineLevel="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c r="L255" s="407">
        <f>IF(L250="","",L230+L208+L245)</f>
        <v/>
      </c>
      <c r="M255" s="407">
        <f>IF(M250="","",M230+M208+M245)</f>
        <v/>
      </c>
      <c r="N255" s="407">
        <f>IF(N250="","",N230+N208+N245)</f>
        <v/>
      </c>
      <c r="O255" s="407">
        <f>IF(O250="","",O230+O208+O245)</f>
        <v/>
      </c>
      <c r="P255" s="407">
        <f>IF(P250="","",P230+P208+P245)</f>
        <v/>
      </c>
    </row>
    <row r="256" outlineLevel="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c r="L256" s="407">
        <f>IF(L250="","",MIN(L252+L253-L255,L248*$I$18))</f>
        <v/>
      </c>
      <c r="M256" s="407">
        <f>IF(M250="","",MIN(M252+M253-M255,M248*$I$18))</f>
        <v/>
      </c>
      <c r="N256" s="407">
        <f>IF(N250="","",MIN(N252+N253-N255,N248*$I$18))</f>
        <v/>
      </c>
      <c r="O256" s="407">
        <f>IF(O250="","",MIN(O252+O253-O255,O248*$I$18))</f>
        <v/>
      </c>
      <c r="P256" s="407">
        <f>IF(P250="","",MIN(P252+P253-P255,P248*$I$18))</f>
        <v/>
      </c>
    </row>
    <row r="257" outlineLevel="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c r="L257" s="407">
        <f>IF(L250="","",L252+L253+L254-L255-L256)</f>
        <v/>
      </c>
      <c r="M257" s="407">
        <f>IF(M250="","",M252+M253+M254-M255-M256)</f>
        <v/>
      </c>
      <c r="N257" s="407">
        <f>IF(N250="","",N252+N253+N254-N255-N256)</f>
        <v/>
      </c>
      <c r="O257" s="407">
        <f>IF(O250="","",O252+O253+O254-O255-O256)</f>
        <v/>
      </c>
      <c r="P257" s="407">
        <f>IF(P250="","",P252+P253+P254-P255-P256)</f>
        <v/>
      </c>
    </row>
    <row r="258" outlineLevel="1">
      <c r="B258" s="834">
        <f>C251</f>
        <v/>
      </c>
      <c r="C258" s="59" t="n"/>
      <c r="D258" s="59" t="n"/>
      <c r="E258" s="838">
        <f>IF($D$165="IRR",IRR(F258:P258),SUMIF(F258:P258,"&gt;0")/-SUMIF(F258:P258,"&lt;0"))</f>
        <v/>
      </c>
      <c r="F258" s="407">
        <f>IF(F250="","",-F254+F255+F256)</f>
        <v/>
      </c>
      <c r="G258" s="407">
        <f>IF(G250="","",-G254+G255+G256)</f>
        <v/>
      </c>
      <c r="H258" s="407">
        <f>IF(H250="","",-H254+H255+H256)</f>
        <v/>
      </c>
      <c r="I258" s="407">
        <f>IF(I250="","",-I254+I255+I256)</f>
        <v/>
      </c>
      <c r="J258" s="407">
        <f>IF(J250="","",-J254+J255+J256)</f>
        <v/>
      </c>
      <c r="K258" s="407">
        <f>IF(K250="","",-K254+K255+K256)</f>
        <v/>
      </c>
      <c r="L258" s="407">
        <f>IF(L250="","",-L254+L255+L256)</f>
        <v/>
      </c>
      <c r="M258" s="407">
        <f>IF(M250="","",-M254+M255+M256)</f>
        <v/>
      </c>
      <c r="N258" s="407">
        <f>IF(N250="","",-N254+N255+N256)</f>
        <v/>
      </c>
      <c r="O258" s="407">
        <f>IF(O250="","",-O254+O255+O256)</f>
        <v/>
      </c>
      <c r="P258" s="407">
        <f>IF(P250="","",-P254+P255+P256)</f>
        <v/>
      </c>
    </row>
    <row r="259" outlineLevel="1">
      <c r="B259" s="74" t="n"/>
      <c r="C259" s="74" t="n"/>
      <c r="D259" s="74" t="n"/>
      <c r="E259" s="74" t="n"/>
      <c r="F259" s="458" t="n"/>
      <c r="G259" s="458" t="n"/>
      <c r="H259" s="458" t="n"/>
      <c r="I259" s="458" t="n"/>
      <c r="J259" s="458" t="n"/>
      <c r="K259" s="458" t="n"/>
      <c r="L259" s="458" t="n"/>
      <c r="M259" s="458" t="n"/>
      <c r="N259" s="458" t="n"/>
      <c r="O259" s="458" t="n"/>
      <c r="P259" s="458" t="n"/>
    </row>
    <row r="260" outlineLevel="1">
      <c r="B260" s="59" t="inlineStr">
        <is>
          <t>Distribution to LP</t>
        </is>
      </c>
      <c r="C260" s="59" t="n"/>
      <c r="D260" s="59" t="n"/>
      <c r="E260" s="59" t="n"/>
      <c r="F260" s="407">
        <f>IF(F250="","",F256)</f>
        <v/>
      </c>
      <c r="G260" s="407">
        <f>IF(G250="","",G256)</f>
        <v/>
      </c>
      <c r="H260" s="407">
        <f>IF(H250="","",H256)</f>
        <v/>
      </c>
      <c r="I260" s="407">
        <f>IF(I250="","",I256)</f>
        <v/>
      </c>
      <c r="J260" s="407">
        <f>IF(J250="","",J256)</f>
        <v/>
      </c>
      <c r="K260" s="407">
        <f>IF(K250="","",K256)</f>
        <v/>
      </c>
      <c r="L260" s="407">
        <f>IF(L250="","",L256)</f>
        <v/>
      </c>
      <c r="M260" s="407">
        <f>IF(M250="","",M256)</f>
        <v/>
      </c>
      <c r="N260" s="407">
        <f>IF(N250="","",N256)</f>
        <v/>
      </c>
      <c r="O260" s="407">
        <f>IF(O250="","",O256)</f>
        <v/>
      </c>
      <c r="P260" s="407">
        <f>IF(P250="","",P256)</f>
        <v/>
      </c>
    </row>
    <row r="261" outlineLevel="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c r="L261" s="407">
        <f>IF(L250="","",L260/$I$18*$H$18)</f>
        <v/>
      </c>
      <c r="M261" s="407">
        <f>IF(M250="","",M260/$I$18*$H$18)</f>
        <v/>
      </c>
      <c r="N261" s="407">
        <f>IF(N250="","",N260/$I$18*$H$18)</f>
        <v/>
      </c>
      <c r="O261" s="407">
        <f>IF(O250="","",O260/$I$18*$H$18)</f>
        <v/>
      </c>
      <c r="P261" s="407">
        <f>IF(P250="","",P260/$I$18*$H$18)</f>
        <v/>
      </c>
    </row>
    <row r="262" outlineLevel="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c r="L262" s="407">
        <f>IF(L250="","",L260+L261)</f>
        <v/>
      </c>
      <c r="M262" s="407">
        <f>IF(M250="","",M260+M261)</f>
        <v/>
      </c>
      <c r="N262" s="407">
        <f>IF(N250="","",N260+N261)</f>
        <v/>
      </c>
      <c r="O262" s="407">
        <f>IF(O250="","",O260+O261)</f>
        <v/>
      </c>
      <c r="P262" s="407">
        <f>IF(P250="","",P260+P261)</f>
        <v/>
      </c>
    </row>
    <row r="263" outlineLevel="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c r="L263" s="407">
        <f>IF(L250="","",MAX(L$51-L217-L232-L247-L262,0))</f>
        <v/>
      </c>
      <c r="M263" s="407">
        <f>IF(M250="","",MAX(M$51-M217-M232-M247-M262,0))</f>
        <v/>
      </c>
      <c r="N263" s="407">
        <f>IF(N250="","",MAX(N$51-N217-N232-N247-N262,0))</f>
        <v/>
      </c>
      <c r="O263" s="407">
        <f>IF(O250="","",MAX(O$51-O217-O232-O247-O262,0))</f>
        <v/>
      </c>
      <c r="P263" s="407">
        <f>IF(P250="","",MAX(P$51-P217-P232-P247-P262,0))</f>
        <v/>
      </c>
    </row>
    <row r="264" outlineLevel="1">
      <c r="B264" s="59" t="n"/>
      <c r="C264" s="59" t="n"/>
      <c r="D264" s="59" t="n"/>
      <c r="E264" s="59" t="n"/>
      <c r="F264" s="398" t="n"/>
      <c r="G264" s="398" t="n"/>
      <c r="H264" s="398" t="n"/>
      <c r="I264" s="398" t="n"/>
      <c r="J264" s="398" t="n"/>
      <c r="K264" s="398" t="n"/>
      <c r="L264" s="398" t="n"/>
      <c r="M264" s="398" t="n"/>
      <c r="N264" s="398" t="n"/>
      <c r="O264" s="398" t="n"/>
      <c r="P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c r="L265" s="827">
        <f>L$21</f>
        <v/>
      </c>
      <c r="M265" s="827">
        <f>M$21</f>
        <v/>
      </c>
      <c r="N265" s="827">
        <f>N$21</f>
        <v/>
      </c>
      <c r="O265" s="827">
        <f>O$21</f>
        <v/>
      </c>
      <c r="P265" s="827">
        <f>P$21</f>
        <v/>
      </c>
    </row>
    <row r="266" outlineLevel="1">
      <c r="B266" s="454" t="inlineStr">
        <is>
          <t>Return Threshold - Greater than:</t>
        </is>
      </c>
      <c r="C266" s="839">
        <f>C251</f>
        <v/>
      </c>
      <c r="D266" s="59" t="n"/>
      <c r="E266" s="59" t="n"/>
      <c r="F266" s="398" t="n"/>
      <c r="G266" s="833" t="n"/>
      <c r="H266" s="833" t="n"/>
      <c r="I266" s="833" t="n"/>
      <c r="J266" s="833" t="n"/>
      <c r="K266" s="833" t="n"/>
      <c r="L266" s="833" t="n"/>
      <c r="M266" s="833" t="n"/>
      <c r="N266" s="833" t="n"/>
      <c r="O266" s="833" t="n"/>
      <c r="P266" s="833" t="n"/>
    </row>
    <row r="267" outlineLevel="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c r="L267" s="407">
        <f>IF(L265="","",L263*$I$19)</f>
        <v/>
      </c>
      <c r="M267" s="407">
        <f>IF(M265="","",M263*$I$19)</f>
        <v/>
      </c>
      <c r="N267" s="407">
        <f>IF(N265="","",N263*$I$19)</f>
        <v/>
      </c>
      <c r="O267" s="407">
        <f>IF(O265="","",O263*$I$19)</f>
        <v/>
      </c>
      <c r="P267" s="407">
        <f>IF(P265="","",P263*$I$19)</f>
        <v/>
      </c>
    </row>
    <row r="268" outlineLevel="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c r="L268" s="407">
        <f>IF(L265="","",L263-L267)</f>
        <v/>
      </c>
      <c r="M268" s="407">
        <f>IF(M265="","",M263-M267)</f>
        <v/>
      </c>
      <c r="N268" s="407">
        <f>IF(N265="","",N263-N267)</f>
        <v/>
      </c>
      <c r="O268" s="407">
        <f>IF(O265="","",O263-O267)</f>
        <v/>
      </c>
      <c r="P268" s="407">
        <f>IF(P265="","",P263-P267)</f>
        <v/>
      </c>
    </row>
    <row r="269" outlineLevel="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c r="L269" s="407">
        <f>IF(L265="","",L267+L268)</f>
        <v/>
      </c>
      <c r="M269" s="407">
        <f>IF(M265="","",M267+M268)</f>
        <v/>
      </c>
      <c r="N269" s="407">
        <f>IF(N265="","",N267+N268)</f>
        <v/>
      </c>
      <c r="O269" s="407">
        <f>IF(O265="","",O267+O268)</f>
        <v/>
      </c>
      <c r="P269" s="407">
        <f>IF(P265="","",P267+P268)</f>
        <v/>
      </c>
    </row>
    <row r="270" outlineLevel="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c r="L270" s="407">
        <f>IF(L265="","",L263-L269)</f>
        <v/>
      </c>
      <c r="M270" s="407">
        <f>IF(M265="","",M263-M269)</f>
        <v/>
      </c>
      <c r="N270" s="407">
        <f>IF(N265="","",N263-N269)</f>
        <v/>
      </c>
      <c r="O270" s="407">
        <f>IF(O265="","",O263-O269)</f>
        <v/>
      </c>
      <c r="P270" s="407">
        <f>IF(P265="","",P263-P269)</f>
        <v/>
      </c>
    </row>
    <row r="271"/>
    <row r="272"/>
    <row r="273">
      <c r="B273" s="467" t="inlineStr">
        <is>
          <t>2-Tier</t>
        </is>
      </c>
      <c r="C273" s="468" t="n"/>
    </row>
    <row r="274">
      <c r="B274" s="467" t="inlineStr">
        <is>
          <t>3-Tier</t>
        </is>
      </c>
      <c r="C274" s="468" t="n"/>
    </row>
    <row r="275">
      <c r="B275" s="467" t="inlineStr">
        <is>
          <t>4-Tier</t>
        </is>
      </c>
      <c r="C275" s="468" t="n"/>
    </row>
    <row r="276">
      <c r="B276" s="467" t="inlineStr">
        <is>
          <t>5-Tier</t>
        </is>
      </c>
      <c r="C276" s="468" t="n"/>
    </row>
    <row r="277">
      <c r="B277" s="342">
        <f>MATCH(D5,B273:B276)+1</f>
        <v/>
      </c>
    </row>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P19">
    <cfRule type="expression" priority="2" dxfId="0">
      <formula>$D$4="IRR + Emx"</formula>
    </cfRule>
  </conditionalFormatting>
  <conditionalFormatting sqref="L9">
    <cfRule type="expression" priority="6" dxfId="5">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N277"/>
  <sheetViews>
    <sheetView workbookViewId="0">
      <selection activeCell="A1" sqref="A1"/>
    </sheetView>
  </sheetViews>
  <sheetFormatPr baseColWidth="8" defaultColWidth="0" defaultRowHeight="0"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1"/>
    <col width="9.140625" customWidth="1" style="342" min="12" max="18"/>
    <col hidden="1" style="342" min="19"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row>
    <row r="3" ht="5.1" customHeight="1">
      <c r="B3" s="146" t="n"/>
      <c r="C3" s="74" t="n"/>
      <c r="D3" s="74" t="n"/>
      <c r="E3" s="74" t="n"/>
      <c r="F3" s="347" t="n"/>
      <c r="G3" s="347" t="n"/>
      <c r="H3" s="347" t="n"/>
      <c r="I3" s="347" t="n"/>
      <c r="J3" s="347" t="n"/>
      <c r="K3" s="347" t="n"/>
    </row>
    <row r="4" ht="15.75" customHeight="1">
      <c r="B4" s="146" t="inlineStr">
        <is>
          <t>Promote Hurdle Method</t>
        </is>
      </c>
      <c r="C4" s="74" t="n"/>
      <c r="D4" s="348" t="inlineStr">
        <is>
          <t>IRR</t>
        </is>
      </c>
      <c r="E4" s="349" t="inlineStr">
        <is>
          <t>GP Catch Up?</t>
        </is>
      </c>
      <c r="F4" s="350" t="n"/>
      <c r="G4" s="350" t="n"/>
      <c r="H4" s="350" t="n"/>
      <c r="I4" s="350" t="n"/>
      <c r="J4" s="347" t="n"/>
      <c r="K4" s="347" t="n"/>
    </row>
    <row r="5" ht="15.75" customHeight="1">
      <c r="B5" s="146" t="inlineStr">
        <is>
          <t># of Tiers</t>
        </is>
      </c>
      <c r="C5" s="74" t="n"/>
      <c r="D5" s="348" t="inlineStr">
        <is>
          <t>3-Tier</t>
        </is>
      </c>
      <c r="E5" s="349" t="n"/>
      <c r="F5" s="350" t="n"/>
      <c r="G5" s="350" t="n"/>
      <c r="H5" s="350" t="n"/>
      <c r="I5" s="350" t="n"/>
      <c r="J5" s="347" t="n"/>
      <c r="K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row>
    <row r="7" ht="5.1" customHeight="1">
      <c r="B7" s="59" t="n"/>
      <c r="C7" s="59" t="n"/>
      <c r="D7" s="353" t="n"/>
      <c r="F7" s="150" t="n"/>
      <c r="G7" s="150" t="n"/>
      <c r="H7" s="150" t="n"/>
      <c r="I7" s="150" t="n"/>
      <c r="J7" s="208" t="n"/>
      <c r="K7" s="208" t="n"/>
    </row>
    <row r="8" ht="16.5" customHeight="1" thickBot="1">
      <c r="B8" s="354" t="inlineStr">
        <is>
          <t>Equity Contributions</t>
        </is>
      </c>
      <c r="C8" s="355" t="inlineStr">
        <is>
          <t>%</t>
        </is>
      </c>
      <c r="D8" s="355" t="inlineStr">
        <is>
          <t>Amount</t>
        </is>
      </c>
      <c r="F8" s="356" t="n"/>
      <c r="G8" s="150" t="n"/>
      <c r="H8" s="150" t="n"/>
      <c r="I8" s="150" t="n"/>
      <c r="J8" s="208" t="n"/>
      <c r="K8" s="208" t="n"/>
    </row>
    <row r="9" ht="15" customHeight="1">
      <c r="B9" s="59" t="inlineStr">
        <is>
          <t>General Partner (GP)</t>
        </is>
      </c>
      <c r="C9" s="798">
        <f>'Sources and Uses'!E8</f>
        <v/>
      </c>
      <c r="D9" s="358">
        <f>Equity_Share_GP*Total_Equity</f>
        <v/>
      </c>
      <c r="E9" s="59" t="n"/>
      <c r="F9" s="359" t="n"/>
      <c r="G9" s="360" t="n"/>
      <c r="H9" s="208" t="n"/>
      <c r="I9" s="208" t="n"/>
      <c r="J9" s="208" t="n"/>
      <c r="K9" s="361" t="inlineStr">
        <is>
          <t>Error Check:</t>
        </is>
      </c>
    </row>
    <row r="10" ht="15" customHeight="1">
      <c r="B10" s="59" t="inlineStr">
        <is>
          <t>Limited Partner (LP)</t>
        </is>
      </c>
      <c r="C10" s="799">
        <f>1-C9</f>
        <v/>
      </c>
      <c r="D10" s="364">
        <f>Total_Equity*Equity_Share_LP</f>
        <v/>
      </c>
      <c r="E10" s="59" t="n"/>
      <c r="F10" s="359" t="n"/>
      <c r="G10" s="360" t="n"/>
      <c r="H10" s="208" t="n"/>
      <c r="I10" s="208" t="n"/>
      <c r="J10" s="208" t="n"/>
      <c r="K10" s="365" t="inlineStr">
        <is>
          <t>Profit Dist.:</t>
        </is>
      </c>
    </row>
    <row r="11" ht="15.75" customHeight="1" thickBot="1">
      <c r="B11" s="59" t="inlineStr">
        <is>
          <t>Total Equity</t>
        </is>
      </c>
      <c r="C11" s="801" t="n"/>
      <c r="D11" s="358">
        <f>-SUMIF(F51:K51,"&lt;0")</f>
        <v/>
      </c>
      <c r="E11" s="59" t="n"/>
      <c r="F11" s="359" t="n"/>
      <c r="G11" s="360" t="n"/>
      <c r="H11" s="208" t="n"/>
      <c r="I11" s="208" t="n"/>
      <c r="J11" s="208" t="n"/>
      <c r="K11" s="368" t="inlineStr">
        <is>
          <t>Net BTCF:</t>
        </is>
      </c>
    </row>
    <row r="12" ht="5.1" customHeight="1">
      <c r="B12" s="59" t="n"/>
      <c r="C12" s="801" t="n"/>
      <c r="D12" s="803" t="n"/>
      <c r="E12" s="59" t="n"/>
      <c r="F12" s="359" t="n"/>
      <c r="G12" s="360" t="n"/>
      <c r="H12" s="208" t="n"/>
      <c r="I12" s="208" t="n"/>
      <c r="J12" s="208" t="n"/>
      <c r="K12" s="208" t="n"/>
    </row>
    <row r="13" ht="15" customHeight="1">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row>
    <row r="15" ht="15" customHeight="1">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row>
    <row r="16" ht="15" customHeight="1">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row>
    <row r="17" ht="15" customHeight="1">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row>
    <row r="18" ht="15" customHeight="1">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row>
    <row r="19" ht="15" customHeight="1">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row>
    <row r="20" ht="5.1" customHeight="1">
      <c r="B20" s="59" t="n"/>
      <c r="C20" s="59" t="n"/>
      <c r="D20" s="812" t="n"/>
      <c r="E20" s="810" t="n"/>
      <c r="F20" s="360" t="n"/>
      <c r="G20" s="389" t="n"/>
      <c r="H20" s="390" t="n"/>
      <c r="I20" s="390" t="n"/>
      <c r="J20" s="208" t="n"/>
      <c r="K20" s="208" t="n"/>
    </row>
    <row r="21" ht="15.75" customHeight="1">
      <c r="B21" s="354" t="inlineStr">
        <is>
          <t>Summary of Partnership-Level Returns</t>
        </is>
      </c>
      <c r="C21" s="374" t="n"/>
      <c r="D21" s="813" t="inlineStr">
        <is>
          <t>Analysis Period</t>
        </is>
      </c>
      <c r="E21" s="814">
        <f>MAX(F21:K21)</f>
        <v/>
      </c>
      <c r="F21" s="815" t="n">
        <v>0</v>
      </c>
      <c r="G21" s="815">
        <f>IF(G47="","",F21+1)</f>
        <v/>
      </c>
      <c r="H21" s="815">
        <f>IF(H47="","",G21+1)</f>
        <v/>
      </c>
      <c r="I21" s="815">
        <f>IF(I47="","",H21+1)</f>
        <v/>
      </c>
      <c r="J21" s="815">
        <f>IF(J47="","",I21+1)</f>
        <v/>
      </c>
      <c r="K21" s="815">
        <f>IF(K47="","",J21+1)</f>
        <v/>
      </c>
    </row>
    <row r="22" ht="15" customHeight="1">
      <c r="B22" s="394" t="inlineStr">
        <is>
          <t>Limited Partner (LP) Returns</t>
        </is>
      </c>
      <c r="C22" s="59" t="n"/>
      <c r="D22" s="812" t="n"/>
      <c r="E22" s="810" t="n"/>
      <c r="F22" s="395" t="n"/>
      <c r="G22" s="396" t="n"/>
      <c r="H22" s="397" t="n"/>
      <c r="I22" s="397" t="n"/>
      <c r="J22" s="398" t="n"/>
      <c r="K22" s="398" t="n"/>
    </row>
    <row r="23" ht="15" customHeight="1">
      <c r="B23" s="399" t="n"/>
      <c r="C23" s="400" t="inlineStr">
        <is>
          <t>Check</t>
        </is>
      </c>
      <c r="D23" s="401" t="n"/>
      <c r="E23" s="810" t="n"/>
      <c r="F23" s="358" t="n"/>
      <c r="G23" s="358" t="n"/>
      <c r="H23" s="358" t="n"/>
      <c r="I23" s="358" t="n"/>
      <c r="J23" s="358" t="n"/>
      <c r="K23" s="358" t="n"/>
    </row>
    <row r="24" ht="15" customHeight="1">
      <c r="B24" s="399" t="inlineStr">
        <is>
          <t>Preferred Return</t>
        </is>
      </c>
      <c r="C24" s="402">
        <f>IF(ROUND(D24,0)=ROUND(SUM(F24:K24),0),"OK","ERROR")</f>
        <v/>
      </c>
      <c r="D24" s="130">
        <f>(C13="IRR")*(SUM(F97:K97)-D25)+(C13="Equity Multiple")*(SUM(F205:K205)-D25)</f>
        <v/>
      </c>
      <c r="E24" s="810" t="n"/>
      <c r="F24" s="358">
        <f>IF(F21="","",MIN($D24-SUM($E24:E24),F27))</f>
        <v/>
      </c>
      <c r="G24" s="358">
        <f>IF(G21="","",MIN($D24-SUM($E24:F24),G27))</f>
        <v/>
      </c>
      <c r="H24" s="358">
        <f>IF(H21="","",MIN($D24-SUM($E24:G24),H27))</f>
        <v/>
      </c>
      <c r="I24" s="358">
        <f>IF(I21="","",MIN($D24-SUM($E24:H24),I27))</f>
        <v/>
      </c>
      <c r="J24" s="358">
        <f>IF(J21="","",MIN($D24-SUM($E24:I24),J27))</f>
        <v/>
      </c>
      <c r="K24" s="358">
        <f>IF(K21="","",MIN($D24-SUM($E24:J24),K27))</f>
        <v/>
      </c>
    </row>
    <row r="25" ht="15" customHeight="1">
      <c r="B25" s="399" t="inlineStr">
        <is>
          <t>Return of Capital</t>
        </is>
      </c>
      <c r="C25" s="402">
        <f>IF(ROUND(D25,0)=ROUND(SUM(F25:K25),0),"OK","ERROR")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row>
    <row r="26" ht="17.25" customHeight="1">
      <c r="B26" s="399" t="inlineStr">
        <is>
          <t>Excess Cash Flow</t>
        </is>
      </c>
      <c r="C26" s="402">
        <f>IF(ROUND(D26,0)=ROUND(SUM(F26:K26),0),"OK","ERROR")</f>
        <v/>
      </c>
      <c r="D26" s="403">
        <f>D27-D25-D24</f>
        <v/>
      </c>
      <c r="E26" s="810" t="n"/>
      <c r="F26" s="404">
        <f>IF(F21="","",F27-F25-F24)</f>
        <v/>
      </c>
      <c r="G26" s="404">
        <f>IF(G21="","",G27-G25-G24)</f>
        <v/>
      </c>
      <c r="H26" s="404">
        <f>IF(H21="","",H27-H25-H24)</f>
        <v/>
      </c>
      <c r="I26" s="404">
        <f>IF(I21="","",I27-I25-I24)</f>
        <v/>
      </c>
      <c r="J26" s="404">
        <f>IF(J21="","",J27-J25-J24)</f>
        <v/>
      </c>
      <c r="K26" s="404">
        <f>IF(K21="","",K27-K25-K24)</f>
        <v/>
      </c>
    </row>
    <row r="27" ht="15" customHeight="1">
      <c r="B27" s="399" t="inlineStr">
        <is>
          <t>Total LP Distributions</t>
        </is>
      </c>
      <c r="C27" s="405" t="n"/>
      <c r="D27" s="401">
        <f>SUM(F27:K27)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row>
    <row r="28" ht="15" customHeight="1">
      <c r="B28" s="399" t="inlineStr">
        <is>
          <t>Total LP Contributions</t>
        </is>
      </c>
      <c r="C28" s="405" t="n"/>
      <c r="D28" s="401">
        <f>SUM(F28:K28)</f>
        <v/>
      </c>
      <c r="E28" s="810" t="n"/>
      <c r="F28" s="358">
        <f>F96</f>
        <v/>
      </c>
      <c r="G28" s="358">
        <f>G96</f>
        <v/>
      </c>
      <c r="H28" s="358">
        <f>H96</f>
        <v/>
      </c>
      <c r="I28" s="358">
        <f>I96</f>
        <v/>
      </c>
      <c r="J28" s="358">
        <f>J96</f>
        <v/>
      </c>
      <c r="K28" s="358">
        <f>K96</f>
        <v/>
      </c>
    </row>
    <row r="29" ht="15" customHeight="1">
      <c r="B29" s="399" t="inlineStr">
        <is>
          <t>Total LP Profit</t>
        </is>
      </c>
      <c r="C29" s="405" t="n"/>
      <c r="D29" s="401">
        <f>D27-D28</f>
        <v/>
      </c>
      <c r="E29" s="810" t="n"/>
      <c r="F29" s="406" t="n"/>
      <c r="G29" s="358" t="n"/>
      <c r="H29" s="407" t="n"/>
      <c r="I29" s="407" t="n"/>
      <c r="J29" s="407" t="n"/>
      <c r="K29" s="407" t="n"/>
    </row>
    <row r="30" ht="15" customHeight="1">
      <c r="B30" s="408" t="inlineStr">
        <is>
          <t>LP IRR</t>
        </is>
      </c>
      <c r="C30" s="409" t="n"/>
      <c r="D30" s="410">
        <f>IRR(F30:K30)</f>
        <v/>
      </c>
      <c r="E30" s="810" t="n"/>
      <c r="F30" s="358">
        <f>IF(F21="","",(-F28)+F27)</f>
        <v/>
      </c>
      <c r="G30" s="358">
        <f>IF(G21="","",(-G28)+G27)</f>
        <v/>
      </c>
      <c r="H30" s="358">
        <f>IF(H21="","",(-H28)+H27)</f>
        <v/>
      </c>
      <c r="I30" s="358">
        <f>IF(I21="","",(-I28)+I27)</f>
        <v/>
      </c>
      <c r="J30" s="358">
        <f>IF(J21="","",(-J28)+J27)</f>
        <v/>
      </c>
      <c r="K30" s="358">
        <f>IF(K21="","",(-K28)+K27)</f>
        <v/>
      </c>
    </row>
    <row r="31" ht="15" customHeight="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row>
    <row r="32" ht="5.1" customHeight="1">
      <c r="B32" s="399" t="n"/>
      <c r="C32" s="405" t="n"/>
      <c r="D32" s="812" t="n"/>
      <c r="E32" s="810" t="n"/>
      <c r="F32" s="406" t="n"/>
      <c r="G32" s="358" t="n"/>
      <c r="H32" s="407" t="n"/>
      <c r="I32" s="407" t="n"/>
      <c r="J32" s="407" t="n"/>
      <c r="K32" s="407" t="n"/>
    </row>
    <row r="33" ht="15" customHeight="1">
      <c r="B33" s="394" t="inlineStr">
        <is>
          <t>GP Returns</t>
        </is>
      </c>
      <c r="C33" s="405" t="n"/>
      <c r="D33" s="812" t="n"/>
      <c r="E33" s="810" t="n"/>
      <c r="F33" s="406" t="n"/>
      <c r="G33" s="358" t="n"/>
      <c r="H33" s="407" t="n"/>
      <c r="I33" s="407" t="n"/>
      <c r="J33" s="407" t="n"/>
      <c r="K33" s="407" t="n"/>
    </row>
    <row r="34" ht="15" customHeight="1">
      <c r="B34" s="399" t="inlineStr">
        <is>
          <t>Preferred Return</t>
        </is>
      </c>
      <c r="C34" s="402">
        <f>IF(ROUND(D34,0)=ROUND(SUM(F34:K34),0),"OK","ERROR")</f>
        <v/>
      </c>
      <c r="D34" s="472">
        <f>(C13="IRR")*(SUM(F105:K105)-D35)+(C13="Equity Multiple")*(SUM(F213:K213)-D35)</f>
        <v/>
      </c>
      <c r="E34" s="810" t="n"/>
      <c r="F34" s="358">
        <f>IF(F21="","",MIN($D34-SUM($E34:E34),F38))</f>
        <v/>
      </c>
      <c r="G34" s="358">
        <f>IF(G21="","",MIN($D34-SUM($E34:F34),G38))</f>
        <v/>
      </c>
      <c r="H34" s="358">
        <f>IF(H21="","",MIN($D34-SUM($E34:G34),H38))</f>
        <v/>
      </c>
      <c r="I34" s="358">
        <f>IF(I21="","",MIN($D34-SUM($E34:H34),I38))</f>
        <v/>
      </c>
      <c r="J34" s="358">
        <f>IF(J21="","",MIN($D34-SUM($E34:I34),J38))</f>
        <v/>
      </c>
      <c r="K34" s="358">
        <f>IF(K21="","",MIN($D34-SUM($E34:J34),K38))</f>
        <v/>
      </c>
    </row>
    <row r="35" ht="15" customHeight="1">
      <c r="B35" s="399" t="inlineStr">
        <is>
          <t>Return of Capital</t>
        </is>
      </c>
      <c r="C35" s="402">
        <f>IF(ROUND(D35,0)=ROUND(SUM(F35:K35),0),"OK","ERROR")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row>
    <row r="36" ht="15" customHeight="1">
      <c r="B36" s="399" t="inlineStr">
        <is>
          <t>Promote</t>
        </is>
      </c>
      <c r="C36" s="402">
        <f>IF(ROUND(D36,0)=ROUND(SUM(F36:K36),0),"OK","ERROR")</f>
        <v/>
      </c>
      <c r="D36" s="358">
        <f>D38-D35-D37-D34</f>
        <v/>
      </c>
      <c r="E36" s="810" t="n"/>
      <c r="F36" s="358">
        <f>IF(F21="","",F38-F37-F35-F34)</f>
        <v/>
      </c>
      <c r="G36" s="358">
        <f>IF(G21="","",G38-G37-G35-G34)</f>
        <v/>
      </c>
      <c r="H36" s="358">
        <f>IF(H21="","",H38-H37-H35-H34)</f>
        <v/>
      </c>
      <c r="I36" s="358">
        <f>IF(I21="","",I38-I37-I35-I34)</f>
        <v/>
      </c>
      <c r="J36" s="358">
        <f>IF(J21="","",J38-J37-J35-J34)</f>
        <v/>
      </c>
      <c r="K36" s="358">
        <f>IF(K21="","",K38-K37-K35-K34)</f>
        <v/>
      </c>
    </row>
    <row r="37" ht="17.25" customHeight="1">
      <c r="B37" s="399" t="inlineStr">
        <is>
          <t>Excess Cash Flow</t>
        </is>
      </c>
      <c r="C37" s="402">
        <f>IF(ROUND(D37,0)=ROUND(SUM(F37:K37),0),"OK","ERROR")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row>
    <row r="38" ht="15" customHeight="1">
      <c r="B38" s="399" t="inlineStr">
        <is>
          <t>Total GP Distributions</t>
        </is>
      </c>
      <c r="C38" s="405" t="n"/>
      <c r="D38" s="358">
        <f>SUM(F38:K38)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row>
    <row r="39" ht="15" customHeight="1">
      <c r="B39" s="399" t="inlineStr">
        <is>
          <t>Total GP Fees</t>
        </is>
      </c>
      <c r="C39" s="405" t="n"/>
      <c r="D39" s="358">
        <f>SUM(F39:K39)</f>
        <v/>
      </c>
      <c r="E39" s="810" t="n"/>
      <c r="F39" s="358">
        <f>IF(F21="","",SUM(F48:F49))</f>
        <v/>
      </c>
      <c r="G39" s="358">
        <f>IF(G21="","",SUM(G48:G49))</f>
        <v/>
      </c>
      <c r="H39" s="358">
        <f>IF(H21="","",SUM(H48:H49))</f>
        <v/>
      </c>
      <c r="I39" s="358">
        <f>IF(I21="","",SUM(I48:I49))</f>
        <v/>
      </c>
      <c r="J39" s="358">
        <f>IF(J21="","",SUM(J48:J49))</f>
        <v/>
      </c>
      <c r="K39" s="358">
        <f>IF(K21="","",SUM(K48:K49))</f>
        <v/>
      </c>
    </row>
    <row r="40" ht="15" customHeight="1">
      <c r="B40" s="399" t="inlineStr">
        <is>
          <t>Total GP Contributions</t>
        </is>
      </c>
      <c r="C40" s="405" t="n"/>
      <c r="D40" s="358">
        <f>SUM(F40:K40)</f>
        <v/>
      </c>
      <c r="E40" s="810" t="n"/>
      <c r="F40" s="358">
        <f>F104</f>
        <v/>
      </c>
      <c r="G40" s="358">
        <f>G104</f>
        <v/>
      </c>
      <c r="H40" s="358">
        <f>H104</f>
        <v/>
      </c>
      <c r="I40" s="358">
        <f>I104</f>
        <v/>
      </c>
      <c r="J40" s="358">
        <f>J104</f>
        <v/>
      </c>
      <c r="K40" s="358">
        <f>K104</f>
        <v/>
      </c>
    </row>
    <row r="41" ht="15" customHeight="1">
      <c r="B41" s="399" t="inlineStr">
        <is>
          <t>Total GP Profit (Including Fees)</t>
        </is>
      </c>
      <c r="C41" s="405" t="n"/>
      <c r="D41" s="358">
        <f>+D38+D39-D40</f>
        <v/>
      </c>
      <c r="E41" s="810" t="n"/>
      <c r="F41" s="406" t="n"/>
      <c r="G41" s="358" t="n"/>
      <c r="H41" s="407" t="n"/>
      <c r="I41" s="407" t="n"/>
      <c r="J41" s="407" t="n"/>
      <c r="K41" s="407" t="n"/>
    </row>
    <row r="42" ht="15" customHeight="1">
      <c r="B42" s="399" t="inlineStr">
        <is>
          <t>GP IRR</t>
        </is>
      </c>
      <c r="C42" s="405" t="n"/>
      <c r="D42" s="413">
        <f>IFERROR(IRR(F42:K42),"NA")</f>
        <v/>
      </c>
      <c r="E42" s="810" t="n"/>
      <c r="F42" s="358">
        <f>IF(F21="","",(-F40)+F38+F39)</f>
        <v/>
      </c>
      <c r="G42" s="358">
        <f>IF(G21="","",(-G40)+G38+G39)</f>
        <v/>
      </c>
      <c r="H42" s="358">
        <f>IF(H21="","",(-H40)+H38+H39)</f>
        <v/>
      </c>
      <c r="I42" s="358">
        <f>IF(I21="","",(-I40)+I38+I39)</f>
        <v/>
      </c>
      <c r="J42" s="358">
        <f>IF(J21="","",(-J40)+J38+J39)</f>
        <v/>
      </c>
      <c r="K42" s="358">
        <f>IF(K21="","",(-K40)+K38+K39)</f>
        <v/>
      </c>
    </row>
    <row r="43" ht="15" customHeight="1">
      <c r="B43" s="399" t="inlineStr">
        <is>
          <t>GP Equity Multiple</t>
        </is>
      </c>
      <c r="C43" s="405" t="n"/>
      <c r="D43" s="818">
        <f>IFERROR(D38/D40,"NA")</f>
        <v/>
      </c>
      <c r="E43" s="810" t="n"/>
      <c r="F43" s="395" t="n"/>
      <c r="G43" s="396" t="n"/>
      <c r="H43" s="397" t="n"/>
      <c r="I43" s="397" t="n"/>
      <c r="J43" s="398" t="n"/>
      <c r="K43" s="398" t="n"/>
    </row>
    <row r="44" ht="5.1" customHeight="1">
      <c r="B44" s="415" t="n"/>
      <c r="C44" s="416" t="n"/>
      <c r="D44" s="819" t="n"/>
      <c r="E44" s="59" t="n"/>
      <c r="F44" s="398" t="n"/>
      <c r="G44" s="398" t="n"/>
      <c r="H44" s="398" t="n"/>
      <c r="I44" s="398" t="n"/>
      <c r="J44" s="398" t="n"/>
      <c r="K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418" t="n"/>
      <c r="M45" s="418" t="n"/>
      <c r="N45" s="418" t="n"/>
    </row>
    <row r="46" ht="15" customHeight="1">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418" t="n"/>
      <c r="M46" s="418" t="n"/>
      <c r="N46" s="418" t="n"/>
    </row>
    <row r="47" ht="15" customHeight="1">
      <c r="B47" s="130" t="inlineStr">
        <is>
          <t>Net Property-Level Cash Flow</t>
        </is>
      </c>
      <c r="C47" s="59" t="n"/>
      <c r="D47" s="59" t="n"/>
      <c r="E47" s="421" t="n"/>
      <c r="F47" s="422">
        <f>-'Sources and Uses'!C7-'Sources and Uses'!C8+'Sources and Uses'!C15</f>
        <v/>
      </c>
      <c r="G47" s="422">
        <f>'GGC Pro Forma'!H84</f>
        <v/>
      </c>
      <c r="H47" s="422">
        <f>'GGC Pro Forma'!I84</f>
        <v/>
      </c>
      <c r="I47" s="422">
        <f>'GGC Pro Forma'!J84</f>
        <v/>
      </c>
      <c r="J47" s="422">
        <f>'GGC Pro Forma'!K84</f>
        <v/>
      </c>
      <c r="K47" s="422">
        <f>'GGC Pro Forma'!L84</f>
        <v/>
      </c>
    </row>
    <row r="48" ht="15" customHeight="1">
      <c r="B48" s="423" t="inlineStr">
        <is>
          <t>Asset Management Fees</t>
        </is>
      </c>
      <c r="C48" s="59" t="n"/>
      <c r="D48" s="59" t="n"/>
      <c r="E48" s="421" t="n"/>
      <c r="F48" s="422" t="n">
        <v>0</v>
      </c>
      <c r="G48" s="422" t="n">
        <v>0</v>
      </c>
      <c r="H48" s="422" t="n">
        <v>0</v>
      </c>
      <c r="I48" s="422" t="n">
        <v>0</v>
      </c>
      <c r="J48" s="422" t="n">
        <v>0</v>
      </c>
      <c r="K48" s="422" t="n">
        <v>0</v>
      </c>
    </row>
    <row r="49" ht="15" customHeight="1">
      <c r="B49" s="423" t="inlineStr">
        <is>
          <t>Acquisition/Disposition Fees</t>
        </is>
      </c>
      <c r="C49" s="59" t="n"/>
      <c r="D49" s="59" t="n"/>
      <c r="E49" s="421" t="n"/>
      <c r="F49" s="422">
        <f>'Sources and Uses'!C15</f>
        <v/>
      </c>
      <c r="G49" s="422" t="n">
        <v>0</v>
      </c>
      <c r="H49" s="422" t="n">
        <v>0</v>
      </c>
      <c r="I49" s="422" t="n">
        <v>0</v>
      </c>
      <c r="J49" s="422" t="n">
        <v>0</v>
      </c>
      <c r="K49" s="422" t="n">
        <v>0</v>
      </c>
    </row>
    <row r="50" ht="15" customHeight="1">
      <c r="B50" s="423" t="n"/>
      <c r="C50" s="59" t="n"/>
      <c r="D50" s="59" t="n"/>
      <c r="E50" s="421" t="n"/>
      <c r="F50" s="422" t="n"/>
      <c r="G50" s="422" t="n"/>
      <c r="H50" s="422" t="n"/>
      <c r="I50" s="422" t="n"/>
      <c r="J50" s="422" t="n"/>
      <c r="K50" s="422" t="n"/>
    </row>
    <row r="51" ht="15" customHeight="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row>
    <row r="52" ht="15" customHeight="1">
      <c r="B52" s="59" t="inlineStr">
        <is>
          <t>Levered IRR</t>
        </is>
      </c>
      <c r="C52" s="59" t="n"/>
      <c r="D52" s="59" t="n"/>
      <c r="E52" s="59" t="n"/>
      <c r="F52" s="397">
        <f>IRR(F51:K51)</f>
        <v/>
      </c>
      <c r="G52" s="398" t="n"/>
      <c r="H52" s="398" t="n"/>
      <c r="I52" s="398" t="n"/>
      <c r="J52" s="398" t="n"/>
      <c r="K52" s="398" t="n"/>
    </row>
    <row r="53" ht="15" customHeight="1">
      <c r="B53" s="59" t="inlineStr">
        <is>
          <t>Equity Multiple</t>
        </is>
      </c>
      <c r="C53" s="59" t="n"/>
      <c r="D53" s="59" t="n"/>
      <c r="E53" s="59" t="n"/>
      <c r="F53" s="822">
        <f>SUMIF(F51:K51,"&gt;0")/-SUMIF(F51:K51,"&lt;0")</f>
        <v/>
      </c>
      <c r="G53" s="398" t="n"/>
      <c r="H53" s="398" t="n"/>
      <c r="I53" s="398" t="n"/>
      <c r="J53" s="398" t="n"/>
      <c r="K53" s="398" t="n"/>
    </row>
    <row r="54" ht="5.1" customHeight="1">
      <c r="B54" s="59" t="n"/>
      <c r="C54" s="59" t="n"/>
      <c r="D54" s="59" t="n"/>
      <c r="E54" s="398" t="n"/>
      <c r="F54" s="426" t="n"/>
      <c r="G54" s="398" t="n"/>
      <c r="H54" s="398" t="n"/>
      <c r="I54" s="398" t="n"/>
      <c r="J54" s="398" t="n"/>
      <c r="K54" s="398" t="n"/>
    </row>
    <row r="55" ht="15" customHeight="1"/>
    <row r="56" outlineLevel="1" ht="18.75" customHeight="1">
      <c r="B56" s="427" t="inlineStr">
        <is>
          <t>PARTNERSHIP LEVEL RETURNS - IRR EQUITY WATERFALL</t>
        </is>
      </c>
      <c r="C56" s="428" t="n"/>
      <c r="D56" s="428" t="n"/>
      <c r="E56" s="428" t="n"/>
      <c r="F56" s="429" t="n"/>
      <c r="G56" s="429" t="n"/>
      <c r="H56" s="429" t="n"/>
      <c r="I56" s="429" t="n"/>
      <c r="J56" s="429" t="n"/>
      <c r="K56" s="429" t="n"/>
    </row>
    <row r="57" outlineLevel="1" ht="15" customHeight="1">
      <c r="B57" s="208" t="n"/>
      <c r="C57" s="208" t="n"/>
      <c r="D57" s="664">
        <f>$D$4</f>
        <v/>
      </c>
      <c r="E57" s="208" t="n"/>
      <c r="F57" s="208" t="n"/>
      <c r="G57" s="208" t="n"/>
      <c r="H57" s="208" t="n"/>
      <c r="I57" s="208" t="n"/>
      <c r="J57" s="208" t="n"/>
      <c r="K57" s="208" t="n"/>
    </row>
    <row r="58" outlineLevel="1" ht="15" customHeight="1">
      <c r="B58" s="430" t="n"/>
      <c r="C58" s="430" t="n"/>
      <c r="D58" s="431" t="n"/>
      <c r="E58" s="430" t="n"/>
      <c r="F58" s="738" t="inlineStr">
        <is>
          <t>Promote Structure Incentive Breakdown</t>
        </is>
      </c>
      <c r="H58" s="739" t="inlineStr">
        <is>
          <t>Distribution as %</t>
        </is>
      </c>
      <c r="J58" s="432" t="n"/>
      <c r="K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row>
    <row r="60" outlineLevel="1" ht="15" customHeight="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row>
    <row r="61" outlineLevel="1" ht="15" customHeight="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row>
    <row r="62" outlineLevel="1" ht="15" customHeight="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row>
    <row r="63" outlineLevel="1" ht="15" customHeight="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row>
    <row r="64" outlineLevel="1" ht="15" customHeight="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row>
    <row r="65" outlineLevel="1" ht="15" customHeight="1">
      <c r="B65" s="59" t="n"/>
      <c r="C65" s="59" t="n"/>
      <c r="D65" s="812" t="n"/>
      <c r="E65" s="810" t="n"/>
      <c r="F65" s="360" t="n"/>
      <c r="G65" s="389" t="n"/>
      <c r="H65" s="390" t="n"/>
      <c r="I65" s="390" t="n"/>
      <c r="J65" s="208" t="n"/>
      <c r="K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row>
    <row r="67" outlineLevel="1" ht="15" customHeight="1">
      <c r="B67" s="394" t="inlineStr">
        <is>
          <t>Limited Partner (LP) Returns</t>
        </is>
      </c>
      <c r="C67" s="59" t="n"/>
      <c r="D67" s="812" t="n"/>
      <c r="E67" s="810" t="n"/>
      <c r="F67" s="395" t="n"/>
      <c r="G67" s="396" t="n"/>
      <c r="H67" s="397" t="n"/>
      <c r="I67" s="397" t="n"/>
      <c r="J67" s="398" t="n"/>
      <c r="K67" s="398" t="n"/>
    </row>
    <row r="68" outlineLevel="1" ht="15" customHeight="1">
      <c r="B68" s="399" t="inlineStr">
        <is>
          <t>Total LP Distributions</t>
        </is>
      </c>
      <c r="C68" s="59" t="n"/>
      <c r="D68" s="401">
        <f>SUM(F68:K68)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row>
    <row r="69" outlineLevel="1" ht="15" customHeight="1">
      <c r="B69" s="399" t="inlineStr">
        <is>
          <t>Total LP Contributions</t>
        </is>
      </c>
      <c r="C69" s="59" t="n"/>
      <c r="D69" s="401">
        <f>SUM(F69:K69)</f>
        <v/>
      </c>
      <c r="E69" s="810" t="n"/>
      <c r="F69" s="358">
        <f>F96</f>
        <v/>
      </c>
      <c r="G69" s="358">
        <f>G96</f>
        <v/>
      </c>
      <c r="H69" s="358">
        <f>H96</f>
        <v/>
      </c>
      <c r="I69" s="358">
        <f>I96</f>
        <v/>
      </c>
      <c r="J69" s="358">
        <f>J96</f>
        <v/>
      </c>
      <c r="K69" s="358">
        <f>K96</f>
        <v/>
      </c>
    </row>
    <row r="70" outlineLevel="1" ht="15" customHeight="1">
      <c r="B70" s="399" t="inlineStr">
        <is>
          <t>Total LP Profit</t>
        </is>
      </c>
      <c r="C70" s="59" t="n"/>
      <c r="D70" s="401">
        <f>D68-D69</f>
        <v/>
      </c>
      <c r="E70" s="810" t="n"/>
      <c r="F70" s="406" t="n"/>
      <c r="G70" s="358" t="n"/>
      <c r="H70" s="407" t="n"/>
      <c r="I70" s="407" t="n"/>
      <c r="J70" s="407" t="n"/>
      <c r="K70" s="407" t="n"/>
    </row>
    <row r="71" outlineLevel="1" ht="15" customHeight="1">
      <c r="B71" s="399" t="inlineStr">
        <is>
          <t>LP IRR</t>
        </is>
      </c>
      <c r="C71" s="59" t="n"/>
      <c r="D71" s="442">
        <f>IRR(F71:K71)</f>
        <v/>
      </c>
      <c r="E71" s="810" t="n"/>
      <c r="F71" s="358">
        <f>IF(F66="","",(-F69)+F68)</f>
        <v/>
      </c>
      <c r="G71" s="358">
        <f>IF(G66="","",(-G69)+G68)</f>
        <v/>
      </c>
      <c r="H71" s="358">
        <f>IF(H66="","",(-H69)+H68)</f>
        <v/>
      </c>
      <c r="I71" s="358">
        <f>IF(I66="","",(-I69)+I68)</f>
        <v/>
      </c>
      <c r="J71" s="358">
        <f>IF(J66="","",(-J69)+J68)</f>
        <v/>
      </c>
      <c r="K71" s="358">
        <f>IF(K66="","",(-K69)+K68)</f>
        <v/>
      </c>
    </row>
    <row r="72" outlineLevel="1" ht="15" customHeight="1">
      <c r="B72" s="399" t="inlineStr">
        <is>
          <t>LP Equity Multiple</t>
        </is>
      </c>
      <c r="C72" s="59" t="n"/>
      <c r="D72" s="828">
        <f>D68/D69</f>
        <v/>
      </c>
      <c r="E72" s="810" t="n"/>
      <c r="F72" s="406" t="n"/>
      <c r="G72" s="358" t="n"/>
      <c r="H72" s="407" t="n"/>
      <c r="I72" s="407" t="n"/>
      <c r="J72" s="407" t="n"/>
      <c r="K72" s="407" t="n"/>
    </row>
    <row r="73" outlineLevel="1" ht="15" customHeight="1">
      <c r="B73" s="399" t="n"/>
      <c r="C73" s="59" t="n"/>
      <c r="D73" s="812" t="n"/>
      <c r="E73" s="810" t="n"/>
      <c r="F73" s="406" t="n"/>
      <c r="G73" s="358" t="n"/>
      <c r="H73" s="407" t="n"/>
      <c r="I73" s="407" t="n"/>
      <c r="J73" s="407" t="n"/>
      <c r="K73" s="407" t="n"/>
    </row>
    <row r="74" outlineLevel="1" ht="15" customHeight="1">
      <c r="B74" s="394" t="inlineStr">
        <is>
          <t>GP Returns</t>
        </is>
      </c>
      <c r="C74" s="59" t="n"/>
      <c r="D74" s="812" t="n"/>
      <c r="E74" s="810" t="n"/>
      <c r="F74" s="406" t="n"/>
      <c r="G74" s="358" t="n"/>
      <c r="H74" s="407" t="n"/>
      <c r="I74" s="407" t="n"/>
      <c r="J74" s="407" t="n"/>
      <c r="K74" s="407" t="n"/>
    </row>
    <row r="75" outlineLevel="1" ht="15" customHeight="1">
      <c r="B75" s="399" t="inlineStr">
        <is>
          <t>Total GP Distributions</t>
        </is>
      </c>
      <c r="C75" s="59" t="n"/>
      <c r="D75" s="358">
        <f>SUM(F75:K75)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row>
    <row r="76" outlineLevel="1" ht="15" customHeight="1">
      <c r="B76" s="399" t="inlineStr">
        <is>
          <t>Total GP Fees</t>
        </is>
      </c>
      <c r="C76" s="59" t="n"/>
      <c r="D76" s="358">
        <f>SUM(F76:K76)</f>
        <v/>
      </c>
      <c r="E76" s="810" t="n"/>
      <c r="F76" s="358">
        <f>IF(F66="","",SUM(F85:F86))</f>
        <v/>
      </c>
      <c r="G76" s="358">
        <f>IF(G66="","",SUM(G85:G86))</f>
        <v/>
      </c>
      <c r="H76" s="358">
        <f>IF(H66="","",SUM(H85:H86))</f>
        <v/>
      </c>
      <c r="I76" s="358">
        <f>IF(I66="","",SUM(I85:I86))</f>
        <v/>
      </c>
      <c r="J76" s="358">
        <f>IF(J66="","",SUM(J85:J86))</f>
        <v/>
      </c>
      <c r="K76" s="358">
        <f>IF(K66="","",SUM(K85:K86))</f>
        <v/>
      </c>
    </row>
    <row r="77" outlineLevel="1" ht="15" customHeight="1">
      <c r="B77" s="399" t="inlineStr">
        <is>
          <t>Total GP Contributions</t>
        </is>
      </c>
      <c r="C77" s="59" t="n"/>
      <c r="D77" s="358">
        <f>SUM(F77:K77)</f>
        <v/>
      </c>
      <c r="E77" s="810" t="n"/>
      <c r="F77" s="358">
        <f>IF(F66="","",-(MIN(F87,0)+F96))</f>
        <v/>
      </c>
      <c r="G77" s="358">
        <f>IF(G66="","",-(MIN(G87,0)+G96))</f>
        <v/>
      </c>
      <c r="H77" s="358">
        <f>IF(H66="","",-(MIN(H87,0)+H96))</f>
        <v/>
      </c>
      <c r="I77" s="358">
        <f>IF(I66="","",-(MIN(I87,0)+I96))</f>
        <v/>
      </c>
      <c r="J77" s="358">
        <f>IF(J66="","",-(MIN(J87,0)+J96))</f>
        <v/>
      </c>
      <c r="K77" s="358">
        <f>IF(K66="","",-(MIN(K87,0)+K96))</f>
        <v/>
      </c>
    </row>
    <row r="78" outlineLevel="1" ht="15" customHeight="1">
      <c r="B78" s="399" t="inlineStr">
        <is>
          <t>Total GP Profit</t>
        </is>
      </c>
      <c r="C78" s="59" t="n"/>
      <c r="D78" s="358">
        <f>+D75+D76-D77</f>
        <v/>
      </c>
      <c r="E78" s="810" t="n"/>
      <c r="F78" s="406" t="n"/>
      <c r="G78" s="358" t="n"/>
      <c r="H78" s="407" t="n"/>
      <c r="I78" s="407" t="n"/>
      <c r="J78" s="407" t="n"/>
      <c r="K78" s="407" t="n"/>
    </row>
    <row r="79" outlineLevel="1" ht="15" customHeight="1">
      <c r="B79" s="399" t="inlineStr">
        <is>
          <t>GP IRR</t>
        </is>
      </c>
      <c r="C79" s="59" t="n"/>
      <c r="D79" s="413">
        <f>IFERROR(IRR(F79:K79),"NA")</f>
        <v/>
      </c>
      <c r="E79" s="810" t="n"/>
      <c r="F79" s="358">
        <f>IF(F66="","",(-F77)+F75+F76)</f>
        <v/>
      </c>
      <c r="G79" s="358">
        <f>IF(G66="","",(-G77)+G75+G76)</f>
        <v/>
      </c>
      <c r="H79" s="358">
        <f>IF(H66="","",(-H77)+H75+H76)</f>
        <v/>
      </c>
      <c r="I79" s="358">
        <f>IF(I66="","",(-I77)+I75+I76)</f>
        <v/>
      </c>
      <c r="J79" s="358">
        <f>IF(J66="","",(-J77)+J75+J76)</f>
        <v/>
      </c>
      <c r="K79" s="358">
        <f>IF(K66="","",(-K77)+K75+K76)</f>
        <v/>
      </c>
    </row>
    <row r="80" outlineLevel="1" ht="15" customHeight="1">
      <c r="B80" s="399" t="inlineStr">
        <is>
          <t>GP Equity Multiple</t>
        </is>
      </c>
      <c r="C80" s="59" t="n"/>
      <c r="D80" s="818">
        <f>IFERROR(D75/D77,"NA")</f>
        <v/>
      </c>
      <c r="E80" s="810" t="n"/>
      <c r="F80" s="395" t="n"/>
      <c r="G80" s="396" t="n"/>
      <c r="H80" s="397" t="n"/>
      <c r="I80" s="397" t="n"/>
      <c r="J80" s="398" t="n"/>
      <c r="K80" s="398" t="n"/>
    </row>
    <row r="81" outlineLevel="1" ht="15" customHeight="1">
      <c r="B81" s="415" t="n"/>
      <c r="C81" s="416" t="n"/>
      <c r="D81" s="819" t="n"/>
      <c r="E81" s="59" t="n"/>
      <c r="F81" s="398" t="n"/>
      <c r="G81" s="398" t="n"/>
      <c r="H81" s="398" t="n"/>
      <c r="I81" s="398" t="n"/>
      <c r="J81" s="398" t="n"/>
      <c r="K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row>
    <row r="83" outlineLevel="1" ht="15" customHeight="1">
      <c r="B83" s="59" t="n"/>
      <c r="C83" s="59" t="n"/>
      <c r="D83" s="59" t="n"/>
      <c r="E83" s="398" t="inlineStr">
        <is>
          <t>Year Ending</t>
        </is>
      </c>
      <c r="F83" s="829">
        <f>IF(F46="","",F46)</f>
        <v/>
      </c>
      <c r="G83" s="830">
        <f>IF(G46="","",G46)</f>
        <v/>
      </c>
      <c r="H83" s="830">
        <f>IF(H46="","",H46)</f>
        <v/>
      </c>
      <c r="I83" s="830">
        <f>IF(I46="","",I46)</f>
        <v/>
      </c>
      <c r="J83" s="830">
        <f>IF(J46="","",J46)</f>
        <v/>
      </c>
      <c r="K83" s="830">
        <f>IF(K46="","",K46)</f>
        <v/>
      </c>
    </row>
    <row r="84" outlineLevel="1" ht="15" customHeight="1">
      <c r="B84" s="130" t="inlineStr">
        <is>
          <t>Net Property-Level Cash Flow</t>
        </is>
      </c>
      <c r="C84" s="59" t="n"/>
      <c r="D84" s="59" t="n"/>
      <c r="E84" s="421" t="n"/>
      <c r="F84" s="446">
        <f>IF(F47="","",F47)</f>
        <v/>
      </c>
      <c r="G84" s="446">
        <f>IF(G47="","",G47)</f>
        <v/>
      </c>
      <c r="H84" s="446">
        <f>IF(H47="","",H47)</f>
        <v/>
      </c>
      <c r="I84" s="446">
        <f>IF(I47="","",I47)</f>
        <v/>
      </c>
      <c r="J84" s="446">
        <f>IF(J47="","",J47)</f>
        <v/>
      </c>
      <c r="K84" s="446">
        <f>IF(K47="","",K47)</f>
        <v/>
      </c>
    </row>
    <row r="85" outlineLevel="1" ht="15" customHeight="1">
      <c r="B85" s="447">
        <f>IF(B48="","",B48)</f>
        <v/>
      </c>
      <c r="C85" s="59" t="n"/>
      <c r="D85" s="59" t="n"/>
      <c r="E85" s="421" t="n"/>
      <c r="F85" s="446">
        <f>IF(F48="","",F48)</f>
        <v/>
      </c>
      <c r="G85" s="446">
        <f>IF(G48="","",G48)</f>
        <v/>
      </c>
      <c r="H85" s="446">
        <f>IF(H48="","",H48)</f>
        <v/>
      </c>
      <c r="I85" s="446">
        <f>IF(I48="","",I48)</f>
        <v/>
      </c>
      <c r="J85" s="446">
        <f>IF(J48="","",J48)</f>
        <v/>
      </c>
      <c r="K85" s="446">
        <f>IF(K48="","",K48)</f>
        <v/>
      </c>
    </row>
    <row r="86" outlineLevel="1" ht="15" customHeight="1">
      <c r="B86" s="447">
        <f>IF(B49="","",B49)</f>
        <v/>
      </c>
      <c r="C86" s="59" t="n"/>
      <c r="D86" s="59" t="n"/>
      <c r="E86" s="421" t="n"/>
      <c r="F86" s="446">
        <f>IF(F49="","",F49)</f>
        <v/>
      </c>
      <c r="G86" s="446">
        <f>IF(G49="","",G49)</f>
        <v/>
      </c>
      <c r="H86" s="446">
        <f>IF(H49="","",H49)</f>
        <v/>
      </c>
      <c r="I86" s="446">
        <f>IF(I49="","",I49)</f>
        <v/>
      </c>
      <c r="J86" s="446">
        <f>IF(J49="","",J49)</f>
        <v/>
      </c>
      <c r="K86" s="446">
        <f>IF(K49="","",K49)</f>
        <v/>
      </c>
    </row>
    <row r="87" outlineLevel="1" ht="15" customHeight="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row>
    <row r="88" outlineLevel="1" ht="15" customHeight="1">
      <c r="B88" s="59" t="inlineStr">
        <is>
          <t>Levered IRR</t>
        </is>
      </c>
      <c r="C88" s="59" t="n"/>
      <c r="D88" s="59" t="n"/>
      <c r="E88" s="59" t="n"/>
      <c r="F88" s="397">
        <f>IRR(F87:K87)</f>
        <v/>
      </c>
      <c r="G88" s="398" t="n"/>
      <c r="H88" s="398" t="n"/>
      <c r="I88" s="398" t="n"/>
      <c r="J88" s="398" t="n"/>
      <c r="K88" s="398" t="n"/>
    </row>
    <row r="89" outlineLevel="1" ht="15" customHeight="1">
      <c r="B89" s="59" t="inlineStr">
        <is>
          <t>Equity Multiple</t>
        </is>
      </c>
      <c r="C89" s="59" t="n"/>
      <c r="D89" s="59" t="n"/>
      <c r="E89" s="59" t="n"/>
      <c r="F89" s="822">
        <f>SUMIF(F87:K87,"&gt;0")/-SUMIF(F87:K87,"&lt;0")</f>
        <v/>
      </c>
      <c r="G89" s="398" t="n"/>
      <c r="H89" s="398" t="n"/>
      <c r="I89" s="398" t="n"/>
      <c r="J89" s="398" t="n"/>
      <c r="K89" s="398" t="n"/>
    </row>
    <row r="90" outlineLevel="1" ht="15" customHeight="1">
      <c r="B90" s="59" t="n"/>
      <c r="C90" s="59" t="n"/>
      <c r="D90" s="59" t="n"/>
      <c r="E90" s="398" t="n"/>
      <c r="F90" s="426" t="n"/>
      <c r="G90" s="398" t="n"/>
      <c r="H90" s="398" t="n"/>
      <c r="I90" s="398" t="n"/>
      <c r="J90" s="398" t="n"/>
      <c r="K90" s="398" t="n"/>
    </row>
    <row r="91" outlineLevel="1" ht="15.75" customHeight="1">
      <c r="B91" s="433" t="inlineStr">
        <is>
          <t>Tier 1 - Preferred Return + Return of Capital</t>
        </is>
      </c>
      <c r="C91" s="430" t="n"/>
      <c r="D91" s="430" t="n"/>
      <c r="E91" s="430" t="n"/>
      <c r="F91" s="431" t="n"/>
      <c r="G91" s="448" t="n"/>
      <c r="H91" s="431" t="n"/>
      <c r="I91" s="431" t="n"/>
      <c r="J91" s="431" t="n"/>
      <c r="K91" s="431" t="n"/>
    </row>
    <row r="92" outlineLevel="1" ht="15" customHeight="1">
      <c r="B92" s="449" t="inlineStr">
        <is>
          <t>Return Threshold - Up to:</t>
        </is>
      </c>
      <c r="C92" s="831">
        <f>E60</f>
        <v/>
      </c>
      <c r="D92" s="430" t="n"/>
      <c r="E92" s="430" t="n"/>
      <c r="F92" s="431" t="inlineStr">
        <is>
          <t>Year 0</t>
        </is>
      </c>
      <c r="G92" s="827">
        <f>G$21</f>
        <v/>
      </c>
      <c r="H92" s="827">
        <f>H$21</f>
        <v/>
      </c>
      <c r="I92" s="827">
        <f>I$21</f>
        <v/>
      </c>
      <c r="J92" s="827">
        <f>J$21</f>
        <v/>
      </c>
      <c r="K92" s="827">
        <f>K$21</f>
        <v/>
      </c>
    </row>
    <row r="93" outlineLevel="1" ht="15" customHeight="1">
      <c r="B93" s="59" t="inlineStr">
        <is>
          <t>Beginning Balance (LP Capital Account)</t>
        </is>
      </c>
      <c r="C93" s="59" t="n"/>
      <c r="D93" s="59" t="n"/>
      <c r="E93" s="59" t="n"/>
      <c r="F93" s="407">
        <f>IF(F92="","",E98)</f>
        <v/>
      </c>
      <c r="G93" s="407">
        <f>IF(G92="","",F98)</f>
        <v/>
      </c>
      <c r="H93" s="407">
        <f>IF(H92="","",G98)</f>
        <v/>
      </c>
      <c r="I93" s="407">
        <f>IF(I92="","",H98)</f>
        <v/>
      </c>
      <c r="J93" s="407">
        <f>IF(J92="","",I98)</f>
        <v/>
      </c>
      <c r="K93" s="407">
        <f>IF(K92="","",J98)</f>
        <v/>
      </c>
    </row>
    <row r="94" outlineLevel="1" ht="15" customHeight="1">
      <c r="B94" s="59" t="inlineStr">
        <is>
          <t>LP Return of Capital</t>
        </is>
      </c>
      <c r="C94" s="59" t="n"/>
      <c r="D94" s="59" t="n"/>
      <c r="E94" s="59" t="n"/>
      <c r="F94" s="451">
        <f>IF(ROUND(SUM(G94:K94),0)=ROUND(SUM(F96:K96),0),"All Capital Returned","Capital Not Returned")</f>
        <v/>
      </c>
      <c r="G94" s="407">
        <f>IF(G92="","",G100-G95)</f>
        <v/>
      </c>
      <c r="H94" s="407">
        <f>IF(H92="","",H100-H95)</f>
        <v/>
      </c>
      <c r="I94" s="407">
        <f>IF(I92="","",I100-I95)</f>
        <v/>
      </c>
      <c r="J94" s="407">
        <f>IF(J92="","",J100-J95)</f>
        <v/>
      </c>
      <c r="K94" s="407">
        <f>IF(K92="","",K100-K95)</f>
        <v/>
      </c>
    </row>
    <row r="95" outlineLevel="1" ht="15" customHeight="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row>
    <row r="96" outlineLevel="1" ht="15" customHeight="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row>
    <row r="97" outlineLevel="1" ht="15" customHeight="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row>
    <row r="98" outlineLevel="1" ht="15" customHeight="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row>
    <row r="99" outlineLevel="1" ht="15" customHeight="1">
      <c r="B99" s="452">
        <f>IF(D57="Equity Multiple", "LP EMx Check","LP IRR Check")</f>
        <v/>
      </c>
      <c r="C99" s="59" t="n"/>
      <c r="D99" s="59" t="n"/>
      <c r="E99" s="453">
        <f>IF($D$57="IRR",IRR(F99:K99),SUMIF(F99:K99,"&gt;0")/-SUMIF(F99:K99,"&lt;0"))</f>
        <v/>
      </c>
      <c r="F99" s="407">
        <f>IF(F92="","",-F96+F97)</f>
        <v/>
      </c>
      <c r="G99" s="407">
        <f>IF(G92="","",-G96+G97)</f>
        <v/>
      </c>
      <c r="H99" s="407">
        <f>IF(H92="","",-H96+H97)</f>
        <v/>
      </c>
      <c r="I99" s="407">
        <f>IF(I92="","",-I96+I97)</f>
        <v/>
      </c>
      <c r="J99" s="407">
        <f>IF(J92="","",-J96+J97)</f>
        <v/>
      </c>
      <c r="K99" s="407">
        <f>IF(K92="","",-K96+K97)</f>
        <v/>
      </c>
    </row>
    <row r="100" outlineLevel="1" ht="15" customHeight="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row>
    <row r="101" outlineLevel="1" ht="15" customHeight="1">
      <c r="B101" s="59" t="n"/>
      <c r="C101" s="59" t="n"/>
      <c r="D101" s="59" t="n"/>
      <c r="E101" s="59" t="n"/>
      <c r="F101" s="407" t="n"/>
      <c r="G101" s="407" t="n"/>
      <c r="H101" s="407" t="n"/>
      <c r="I101" s="407" t="n"/>
      <c r="J101" s="407" t="n"/>
      <c r="K101" s="407" t="n"/>
    </row>
    <row r="102" outlineLevel="1" ht="15" customHeight="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row>
    <row r="103" outlineLevel="1" ht="15" customHeight="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row>
    <row r="104" outlineLevel="1" ht="15" customHeight="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row>
    <row r="105" outlineLevel="1" ht="15" customHeight="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row>
    <row r="106" outlineLevel="1" ht="15" customHeight="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row>
    <row r="107" outlineLevel="1" ht="15" customHeight="1">
      <c r="B107" s="452">
        <f>IF(D57="Equity Multiple", "GP EMx Check","GP IRR Check")</f>
        <v/>
      </c>
      <c r="C107" s="59" t="n"/>
      <c r="D107" s="59" t="n"/>
      <c r="E107" s="453">
        <f>IF($D$57="IRR",IFERROR(IRR(F107:K107),"NA"),SUMIF(F107:K107,"&gt;0")/-SUMIF(F107:K107,"&lt;0"))</f>
        <v/>
      </c>
      <c r="F107" s="407">
        <f>IF(F92="","",-F104+F105)</f>
        <v/>
      </c>
      <c r="G107" s="358">
        <f>IF(G92="","",-G104+G105)</f>
        <v/>
      </c>
      <c r="H107" s="358">
        <f>IF(H92="","",-H104+H105)</f>
        <v/>
      </c>
      <c r="I107" s="358">
        <f>IF(I92="","",-I104+I105)</f>
        <v/>
      </c>
      <c r="J107" s="358">
        <f>IF(J92="","",-J104+J105)</f>
        <v/>
      </c>
      <c r="K107" s="358">
        <f>IF(K92="","",-K104+K105)</f>
        <v/>
      </c>
    </row>
    <row r="108" outlineLevel="1" ht="15" customHeight="1">
      <c r="B108" s="59" t="n"/>
      <c r="C108" s="59" t="n"/>
      <c r="D108" s="59" t="n"/>
      <c r="E108" s="59" t="n"/>
      <c r="F108" s="407" t="n"/>
      <c r="G108" s="358" t="n"/>
      <c r="H108" s="358" t="n"/>
      <c r="I108" s="358" t="n"/>
      <c r="J108" s="358" t="n"/>
      <c r="K108" s="358" t="n"/>
    </row>
    <row r="109" outlineLevel="1" ht="15" customHeight="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row>
    <row r="110" outlineLevel="1" ht="15" customHeight="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row>
    <row r="111" outlineLevel="1" ht="15" customHeight="1">
      <c r="B111" s="59" t="n"/>
      <c r="C111" s="59" t="n"/>
      <c r="D111" s="59" t="n"/>
      <c r="E111" s="59" t="n"/>
      <c r="F111" s="398" t="n"/>
      <c r="G111" s="398" t="n"/>
      <c r="H111" s="398" t="n"/>
      <c r="I111" s="398" t="n"/>
      <c r="J111" s="398" t="n"/>
      <c r="K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row>
    <row r="113" outlineLevel="1" ht="15" customHeight="1">
      <c r="B113" s="454" t="inlineStr">
        <is>
          <t>Return Threshold - Up to:</t>
        </is>
      </c>
      <c r="C113" s="832">
        <f>E61</f>
        <v/>
      </c>
      <c r="D113" s="59" t="n"/>
      <c r="E113" s="59" t="n"/>
      <c r="F113" s="398" t="n"/>
      <c r="G113" s="833" t="n"/>
      <c r="H113" s="833" t="n"/>
      <c r="I113" s="833" t="n"/>
      <c r="J113" s="833" t="n"/>
      <c r="K113" s="833" t="n"/>
    </row>
    <row r="114" outlineLevel="1" ht="15" customHeight="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row>
    <row r="115" outlineLevel="1" ht="15" customHeight="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row>
    <row r="116" outlineLevel="1" ht="15" customHeight="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row>
    <row r="117" outlineLevel="1" ht="15" customHeight="1">
      <c r="B117" s="59" t="inlineStr">
        <is>
          <t>Prior Distributions</t>
        </is>
      </c>
      <c r="C117" s="59" t="n"/>
      <c r="D117" s="59" t="n"/>
      <c r="E117" s="59" t="n"/>
      <c r="F117" s="407">
        <f>F100</f>
        <v/>
      </c>
      <c r="G117" s="407">
        <f>G100</f>
        <v/>
      </c>
      <c r="H117" s="407">
        <f>H100</f>
        <v/>
      </c>
      <c r="I117" s="407">
        <f>I100</f>
        <v/>
      </c>
      <c r="J117" s="407">
        <f>J100</f>
        <v/>
      </c>
      <c r="K117" s="407">
        <f>K100</f>
        <v/>
      </c>
    </row>
    <row r="118" outlineLevel="1" ht="15" customHeight="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row>
    <row r="119" outlineLevel="1" ht="15" customHeight="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row>
    <row r="120" outlineLevel="1" ht="15" customHeight="1">
      <c r="B120" s="834">
        <f>C113</f>
        <v/>
      </c>
      <c r="C120" s="59" t="n"/>
      <c r="D120" s="59" t="n"/>
      <c r="E120" s="453">
        <f>IF($D$57="IRR",IRR(F120:K120),SUMIF(F120:K120,"&gt;0")/-SUMIF(F120:K120,"&lt;0"))</f>
        <v/>
      </c>
      <c r="F120" s="407">
        <f>IF(F112="","",-F116+F117+F118)</f>
        <v/>
      </c>
      <c r="G120" s="407">
        <f>IF(G112="","",-G116+G117+G118)</f>
        <v/>
      </c>
      <c r="H120" s="407">
        <f>IF(H112="","",-H116+H117+H118)</f>
        <v/>
      </c>
      <c r="I120" s="407">
        <f>IF(I112="","",-I116+I117+I118)</f>
        <v/>
      </c>
      <c r="J120" s="407">
        <f>IF(J112="","",-J116+J117+J118)</f>
        <v/>
      </c>
      <c r="K120" s="407">
        <f>IF(K112="","",-K116+K117+K118)</f>
        <v/>
      </c>
    </row>
    <row r="121" outlineLevel="1" ht="15" customHeight="1">
      <c r="B121" s="74" t="n"/>
      <c r="C121" s="74" t="n"/>
      <c r="D121" s="74" t="n"/>
      <c r="E121" s="74" t="n"/>
      <c r="F121" s="458" t="n"/>
      <c r="G121" s="458" t="n"/>
      <c r="H121" s="458" t="n"/>
      <c r="I121" s="458" t="n"/>
      <c r="J121" s="458" t="n"/>
      <c r="K121" s="458" t="n"/>
    </row>
    <row r="122" outlineLevel="1" ht="15" customHeight="1">
      <c r="B122" s="59" t="inlineStr">
        <is>
          <t>Distribution to LP</t>
        </is>
      </c>
      <c r="C122" s="59" t="n"/>
      <c r="D122" s="59" t="n"/>
      <c r="E122" s="59" t="n"/>
      <c r="F122" s="407">
        <f>IF(F112="","",F118)</f>
        <v/>
      </c>
      <c r="G122" s="407">
        <f>IF(G112="","",G118)</f>
        <v/>
      </c>
      <c r="H122" s="407">
        <f>IF(H112="","",H118)</f>
        <v/>
      </c>
      <c r="I122" s="407">
        <f>IF(I112="","",I118)</f>
        <v/>
      </c>
      <c r="J122" s="407">
        <f>IF(J112="","",J118)</f>
        <v/>
      </c>
      <c r="K122" s="407">
        <f>IF(K112="","",K118)</f>
        <v/>
      </c>
    </row>
    <row r="123" outlineLevel="1" ht="15" customHeight="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row>
    <row r="124" outlineLevel="1" ht="15" customHeight="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row>
    <row r="125" outlineLevel="1" ht="15" customHeight="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row>
    <row r="126" outlineLevel="1" ht="15" customHeight="1">
      <c r="B126" s="59" t="n"/>
      <c r="C126" s="59" t="n"/>
      <c r="D126" s="59" t="n"/>
      <c r="E126" s="59" t="n"/>
      <c r="F126" s="398" t="n"/>
      <c r="G126" s="398" t="n"/>
      <c r="H126" s="398" t="n"/>
      <c r="I126" s="398" t="n"/>
      <c r="J126" s="398" t="n"/>
      <c r="K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row>
    <row r="128" outlineLevel="1" ht="15" customHeight="1">
      <c r="B128" s="454" t="inlineStr">
        <is>
          <t>Return Threshold - Up to:</t>
        </is>
      </c>
      <c r="C128" s="832">
        <f>E62</f>
        <v/>
      </c>
      <c r="D128" s="59" t="n"/>
      <c r="E128" s="59" t="n"/>
      <c r="F128" s="398" t="n"/>
      <c r="G128" s="833" t="n"/>
      <c r="H128" s="833" t="n"/>
      <c r="I128" s="833" t="n"/>
      <c r="J128" s="833" t="n"/>
      <c r="K128" s="833" t="n"/>
    </row>
    <row r="129" outlineLevel="1" ht="15" customHeight="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row>
    <row r="130" outlineLevel="1" ht="15" customHeight="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row>
    <row r="131" outlineLevel="1" ht="15" customHeight="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row>
    <row r="132" outlineLevel="1" ht="15" customHeight="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row>
    <row r="133" outlineLevel="1" ht="15" customHeight="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row>
    <row r="134" outlineLevel="1" ht="15" customHeight="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row>
    <row r="135" outlineLevel="1" ht="15" customHeight="1">
      <c r="B135" s="834">
        <f>C128</f>
        <v/>
      </c>
      <c r="C135" s="59" t="n"/>
      <c r="D135" s="59" t="n"/>
      <c r="E135" s="453">
        <f>IF($D$57="IRR",IRR(F135:K135),SUMIF(F135:K135,"&gt;0")/-SUMIF(F135:K135,"&lt;0"))</f>
        <v/>
      </c>
      <c r="F135" s="407">
        <f>IF(F127="","",-F131+F132+F133)</f>
        <v/>
      </c>
      <c r="G135" s="407">
        <f>IF(G127="","",-G131+G132+G133)</f>
        <v/>
      </c>
      <c r="H135" s="407">
        <f>IF(H127="","",-H131+H132+H133)</f>
        <v/>
      </c>
      <c r="I135" s="407">
        <f>IF(I127="","",-I131+I132+I133)</f>
        <v/>
      </c>
      <c r="J135" s="407">
        <f>IF(J127="","",-J131+J132+J133)</f>
        <v/>
      </c>
      <c r="K135" s="407">
        <f>IF(K127="","",-K131+K132+K133)</f>
        <v/>
      </c>
    </row>
    <row r="136" outlineLevel="1" ht="15" customHeight="1">
      <c r="B136" s="74" t="n"/>
      <c r="C136" s="74" t="n"/>
      <c r="D136" s="74" t="n"/>
      <c r="E136" s="74" t="n"/>
      <c r="F136" s="458" t="n"/>
      <c r="G136" s="458" t="n"/>
      <c r="H136" s="458" t="n"/>
      <c r="I136" s="458" t="n"/>
      <c r="J136" s="458" t="n"/>
      <c r="K136" s="458" t="n"/>
    </row>
    <row r="137" outlineLevel="1" ht="15" customHeight="1">
      <c r="B137" s="59" t="inlineStr">
        <is>
          <t>Distribution to LP</t>
        </is>
      </c>
      <c r="C137" s="59" t="n"/>
      <c r="D137" s="59" t="n"/>
      <c r="E137" s="59" t="n"/>
      <c r="F137" s="407">
        <f>IF(F127="","",F133)</f>
        <v/>
      </c>
      <c r="G137" s="407">
        <f>IF(G127="","",G133)</f>
        <v/>
      </c>
      <c r="H137" s="407">
        <f>IF(H127="","",H133)</f>
        <v/>
      </c>
      <c r="I137" s="407">
        <f>IF(I127="","",I133)</f>
        <v/>
      </c>
      <c r="J137" s="407">
        <f>IF(J127="","",J133)</f>
        <v/>
      </c>
      <c r="K137" s="407">
        <f>IF(K127="","",K133)</f>
        <v/>
      </c>
    </row>
    <row r="138" outlineLevel="1" ht="15" customHeight="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row>
    <row r="139" outlineLevel="1" ht="15" customHeight="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row>
    <row r="140" outlineLevel="1" ht="15" customHeight="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row>
    <row r="141" outlineLevel="1" ht="15" customHeight="1">
      <c r="B141" s="59" t="n"/>
      <c r="C141" s="59" t="n"/>
      <c r="D141" s="59" t="n"/>
      <c r="E141" s="59" t="n"/>
      <c r="F141" s="398" t="n"/>
      <c r="G141" s="398" t="n"/>
      <c r="H141" s="398" t="n"/>
      <c r="I141" s="398" t="n"/>
      <c r="J141" s="398" t="n"/>
      <c r="K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row>
    <row r="143" outlineLevel="1" ht="15" customHeight="1">
      <c r="B143" s="454" t="inlineStr">
        <is>
          <t>Return Threshold - Up to:</t>
        </is>
      </c>
      <c r="C143" s="832">
        <f>E63</f>
        <v/>
      </c>
      <c r="D143" s="59" t="n"/>
      <c r="E143" s="59" t="n"/>
      <c r="F143" s="398" t="n"/>
      <c r="G143" s="833" t="n"/>
      <c r="H143" s="833" t="n"/>
      <c r="I143" s="833" t="n"/>
      <c r="J143" s="833" t="n"/>
      <c r="K143" s="833" t="n"/>
    </row>
    <row r="144" outlineLevel="1" ht="15" customHeight="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row>
    <row r="145" outlineLevel="1" ht="15" customHeight="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row>
    <row r="146" outlineLevel="1" ht="15" customHeight="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row>
    <row r="147" outlineLevel="1" ht="15" customHeight="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row>
    <row r="148" outlineLevel="1" ht="15" customHeight="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row>
    <row r="149" outlineLevel="1" ht="15" customHeight="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row>
    <row r="150" outlineLevel="1" ht="15" customHeight="1">
      <c r="B150" s="834">
        <f>C143</f>
        <v/>
      </c>
      <c r="C150" s="59" t="n"/>
      <c r="D150" s="59" t="n"/>
      <c r="E150" s="453">
        <f>IF($D$57="IRR",IRR(F150:K150),SUMIF(F150:K150,"&gt;0")/-SUMIF(F150:K150,"&lt;0"))</f>
        <v/>
      </c>
      <c r="F150" s="407">
        <f>IF(F142="","",-F146+F147+F148)</f>
        <v/>
      </c>
      <c r="G150" s="407">
        <f>IF(G142="","",-G146+G147+G148)</f>
        <v/>
      </c>
      <c r="H150" s="407">
        <f>IF(H142="","",-H146+H147+H148)</f>
        <v/>
      </c>
      <c r="I150" s="407">
        <f>IF(I142="","",-I146+I147+I148)</f>
        <v/>
      </c>
      <c r="J150" s="407">
        <f>IF(J142="","",-J146+J147+J148)</f>
        <v/>
      </c>
      <c r="K150" s="407">
        <f>IF(K142="","",-K146+K147+K148)</f>
        <v/>
      </c>
    </row>
    <row r="151" outlineLevel="1" ht="15" customHeight="1">
      <c r="B151" s="74" t="n"/>
      <c r="C151" s="74" t="n"/>
      <c r="D151" s="74" t="n"/>
      <c r="E151" s="74" t="n"/>
      <c r="F151" s="458" t="n"/>
      <c r="G151" s="458" t="n"/>
      <c r="H151" s="458" t="n"/>
      <c r="I151" s="458" t="n"/>
      <c r="J151" s="458" t="n"/>
      <c r="K151" s="458" t="n"/>
    </row>
    <row r="152" outlineLevel="1" ht="15" customHeight="1">
      <c r="B152" s="59" t="inlineStr">
        <is>
          <t>Distribution to LP</t>
        </is>
      </c>
      <c r="C152" s="59" t="n"/>
      <c r="D152" s="59" t="n"/>
      <c r="E152" s="59" t="n"/>
      <c r="F152" s="407">
        <f>IF(F142="","",F148)</f>
        <v/>
      </c>
      <c r="G152" s="407">
        <f>IF(G142="","",G148)</f>
        <v/>
      </c>
      <c r="H152" s="407">
        <f>IF(H142="","",H148)</f>
        <v/>
      </c>
      <c r="I152" s="407">
        <f>IF(I142="","",I148)</f>
        <v/>
      </c>
      <c r="J152" s="407">
        <f>IF(J142="","",J148)</f>
        <v/>
      </c>
      <c r="K152" s="407">
        <f>IF(K142="","",K148)</f>
        <v/>
      </c>
    </row>
    <row r="153" outlineLevel="1" ht="15" customHeight="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row>
    <row r="154" outlineLevel="1" ht="15" customHeight="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row>
    <row r="155" outlineLevel="1" ht="15" customHeight="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row>
    <row r="156" outlineLevel="1" ht="15" customHeight="1">
      <c r="B156" s="59" t="n"/>
      <c r="C156" s="59" t="n"/>
      <c r="D156" s="59" t="n"/>
      <c r="E156" s="59" t="n"/>
      <c r="F156" s="398" t="n"/>
      <c r="G156" s="398" t="n"/>
      <c r="H156" s="398" t="n"/>
      <c r="I156" s="398" t="n"/>
      <c r="J156" s="398" t="n"/>
      <c r="K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row>
    <row r="158" outlineLevel="1" ht="15" customHeight="1">
      <c r="B158" s="454" t="inlineStr">
        <is>
          <t>Return Threshold - Greater than:</t>
        </is>
      </c>
      <c r="C158" s="832">
        <f>C143</f>
        <v/>
      </c>
      <c r="D158" s="59" t="n"/>
      <c r="E158" s="59" t="n"/>
      <c r="F158" s="398" t="n"/>
      <c r="G158" s="833" t="n"/>
      <c r="H158" s="833" t="n"/>
      <c r="I158" s="833" t="n"/>
      <c r="J158" s="833" t="n"/>
      <c r="K158" s="833" t="n"/>
    </row>
    <row r="159" outlineLevel="1" ht="15" customHeight="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row>
    <row r="160" outlineLevel="1" ht="15" customHeight="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row>
    <row r="161" outlineLevel="1" ht="15" customHeight="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row>
    <row r="162" outlineLevel="1" ht="15" customHeight="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row>
    <row r="163" outlineLevel="1" ht="15" customHeight="1">
      <c r="F163" s="150" t="n"/>
      <c r="G163" s="150" t="n"/>
      <c r="H163" s="150" t="n"/>
      <c r="I163" s="150" t="n"/>
      <c r="J163" s="150" t="n"/>
      <c r="K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row>
    <row r="165" outlineLevel="1" ht="5.1" customHeight="1">
      <c r="B165" s="208" t="n"/>
      <c r="C165" s="208" t="n"/>
      <c r="D165" s="347" t="inlineStr">
        <is>
          <t>Equity Multiple</t>
        </is>
      </c>
      <c r="E165" s="208" t="n"/>
      <c r="F165" s="208" t="n"/>
      <c r="G165" s="208" t="n"/>
      <c r="H165" s="208" t="n"/>
      <c r="I165" s="208" t="n"/>
      <c r="J165" s="208" t="n"/>
      <c r="K165" s="208" t="n"/>
    </row>
    <row r="166" outlineLevel="1" ht="15" customHeight="1">
      <c r="B166" s="430" t="n"/>
      <c r="C166" s="430" t="n"/>
      <c r="D166" s="431" t="n"/>
      <c r="E166" s="430" t="n"/>
      <c r="F166" s="738" t="inlineStr">
        <is>
          <t>Promote Structure Incentive Breakdown</t>
        </is>
      </c>
      <c r="H166" s="739" t="inlineStr">
        <is>
          <t>Distribution as %</t>
        </is>
      </c>
      <c r="J166" s="432" t="n"/>
      <c r="K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row>
    <row r="168" outlineLevel="1" ht="15" customHeight="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row>
    <row r="169" outlineLevel="1" ht="15" customHeight="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row>
    <row r="170" outlineLevel="1" ht="15" customHeight="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row>
    <row r="171" outlineLevel="1" ht="15" customHeight="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row>
    <row r="172" outlineLevel="1" ht="15" customHeight="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row>
    <row r="173" outlineLevel="1" ht="15" customHeight="1">
      <c r="B173" s="59" t="n"/>
      <c r="C173" s="59" t="n"/>
      <c r="D173" s="812" t="n"/>
      <c r="E173" s="810" t="n"/>
      <c r="F173" s="360" t="n"/>
      <c r="G173" s="389" t="n"/>
      <c r="H173" s="390" t="n"/>
      <c r="I173" s="390" t="n"/>
      <c r="J173" s="208" t="n"/>
      <c r="K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row>
    <row r="175" outlineLevel="1" ht="15" customHeight="1">
      <c r="B175" s="394" t="inlineStr">
        <is>
          <t>Limited Partner (LP) Returns</t>
        </is>
      </c>
      <c r="C175" s="59" t="n"/>
      <c r="D175" s="812" t="n"/>
      <c r="E175" s="810" t="n"/>
      <c r="F175" s="395" t="n"/>
      <c r="G175" s="396" t="n"/>
      <c r="H175" s="397" t="n"/>
      <c r="I175" s="397" t="n"/>
      <c r="J175" s="398" t="n"/>
      <c r="K175" s="398" t="n"/>
    </row>
    <row r="176" outlineLevel="1" ht="15" customHeight="1">
      <c r="B176" s="399" t="inlineStr">
        <is>
          <t>Total LP Distributions</t>
        </is>
      </c>
      <c r="C176" s="59" t="n"/>
      <c r="D176" s="401">
        <f>SUM(F176:K176)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row>
    <row r="177" outlineLevel="1" ht="15" customHeight="1">
      <c r="B177" s="399" t="inlineStr">
        <is>
          <t>Total LP Contributions</t>
        </is>
      </c>
      <c r="C177" s="59" t="n"/>
      <c r="D177" s="401">
        <f>SUM(F177:K177)</f>
        <v/>
      </c>
      <c r="E177" s="810" t="n"/>
      <c r="F177" s="358">
        <f>F204</f>
        <v/>
      </c>
      <c r="G177" s="358">
        <f>G204</f>
        <v/>
      </c>
      <c r="H177" s="358">
        <f>H204</f>
        <v/>
      </c>
      <c r="I177" s="358">
        <f>I204</f>
        <v/>
      </c>
      <c r="J177" s="358">
        <f>J204</f>
        <v/>
      </c>
      <c r="K177" s="358">
        <f>K204</f>
        <v/>
      </c>
    </row>
    <row r="178" outlineLevel="1" ht="15" customHeight="1">
      <c r="B178" s="399" t="inlineStr">
        <is>
          <t>Total LP Profit</t>
        </is>
      </c>
      <c r="C178" s="59" t="n"/>
      <c r="D178" s="401">
        <f>D176-D177</f>
        <v/>
      </c>
      <c r="E178" s="810" t="n"/>
      <c r="F178" s="406" t="n"/>
      <c r="G178" s="358" t="n"/>
      <c r="H178" s="407" t="n"/>
      <c r="I178" s="407" t="n"/>
      <c r="J178" s="407" t="n"/>
      <c r="K178" s="407" t="n"/>
    </row>
    <row r="179" outlineLevel="1" ht="15" customHeight="1">
      <c r="B179" s="399" t="inlineStr">
        <is>
          <t>LP IRR</t>
        </is>
      </c>
      <c r="C179" s="59" t="n"/>
      <c r="D179" s="442">
        <f>IRR(F179:K179)</f>
        <v/>
      </c>
      <c r="E179" s="810" t="n"/>
      <c r="F179" s="358">
        <f>IF(F174="","",(-F177)+F176)</f>
        <v/>
      </c>
      <c r="G179" s="358">
        <f>IF(G174="","",(-G177)+G176)</f>
        <v/>
      </c>
      <c r="H179" s="358">
        <f>IF(H174="","",(-H177)+H176)</f>
        <v/>
      </c>
      <c r="I179" s="358">
        <f>IF(I174="","",(-I177)+I176)</f>
        <v/>
      </c>
      <c r="J179" s="358">
        <f>IF(J174="","",(-J177)+J176)</f>
        <v/>
      </c>
      <c r="K179" s="358">
        <f>IF(K174="","",(-K177)+K176)</f>
        <v/>
      </c>
    </row>
    <row r="180" outlineLevel="1" ht="15" customHeight="1">
      <c r="B180" s="399" t="inlineStr">
        <is>
          <t>LP Equity Multiple</t>
        </is>
      </c>
      <c r="C180" s="59" t="n"/>
      <c r="D180" s="828">
        <f>D176/D177</f>
        <v/>
      </c>
      <c r="E180" s="810" t="n"/>
      <c r="F180" s="406" t="n"/>
      <c r="G180" s="358" t="n"/>
      <c r="H180" s="407" t="n"/>
      <c r="I180" s="407" t="n"/>
      <c r="J180" s="407" t="n"/>
      <c r="K180" s="407" t="n"/>
    </row>
    <row r="181" outlineLevel="1" ht="15" customHeight="1">
      <c r="B181" s="399" t="n"/>
      <c r="C181" s="59" t="n"/>
      <c r="D181" s="812" t="n"/>
      <c r="E181" s="810" t="n"/>
      <c r="F181" s="406" t="n"/>
      <c r="G181" s="358" t="n"/>
      <c r="H181" s="407" t="n"/>
      <c r="I181" s="407" t="n"/>
      <c r="J181" s="407" t="n"/>
      <c r="K181" s="407" t="n"/>
    </row>
    <row r="182" outlineLevel="1" ht="15" customHeight="1">
      <c r="B182" s="394" t="inlineStr">
        <is>
          <t>GP Returns</t>
        </is>
      </c>
      <c r="C182" s="59" t="n"/>
      <c r="D182" s="812" t="n"/>
      <c r="E182" s="810" t="n"/>
      <c r="F182" s="406" t="n"/>
      <c r="G182" s="358" t="n"/>
      <c r="H182" s="407" t="n"/>
      <c r="I182" s="407" t="n"/>
      <c r="J182" s="407" t="n"/>
      <c r="K182" s="407" t="n"/>
    </row>
    <row r="183" outlineLevel="1" ht="15" customHeight="1">
      <c r="B183" s="399" t="inlineStr">
        <is>
          <t>Total GP Distributions</t>
        </is>
      </c>
      <c r="C183" s="59" t="n"/>
      <c r="D183" s="358">
        <f>SUM(F183:K183)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row>
    <row r="184" outlineLevel="1" ht="15" customHeight="1">
      <c r="B184" s="399" t="inlineStr">
        <is>
          <t>Total GP Fees</t>
        </is>
      </c>
      <c r="C184" s="59" t="n"/>
      <c r="D184" s="358">
        <f>SUM(F184:K184)</f>
        <v/>
      </c>
      <c r="E184" s="810" t="n"/>
      <c r="F184" s="358">
        <f>IF(F174="","",SUM(F193:F194))</f>
        <v/>
      </c>
      <c r="G184" s="358">
        <f>IF(G174="","",SUM(G193:G194))</f>
        <v/>
      </c>
      <c r="H184" s="358">
        <f>IF(H174="","",SUM(H193:H194))</f>
        <v/>
      </c>
      <c r="I184" s="358">
        <f>IF(I174="","",SUM(I193:I194))</f>
        <v/>
      </c>
      <c r="J184" s="358">
        <f>IF(J174="","",SUM(J193:J194))</f>
        <v/>
      </c>
      <c r="K184" s="358">
        <f>IF(K174="","",SUM(K193:K194))</f>
        <v/>
      </c>
    </row>
    <row r="185" outlineLevel="1" ht="15" customHeight="1">
      <c r="B185" s="399" t="inlineStr">
        <is>
          <t>Total GP Contributions</t>
        </is>
      </c>
      <c r="C185" s="59" t="n"/>
      <c r="D185" s="358">
        <f>SUM(F185:K185)</f>
        <v/>
      </c>
      <c r="E185" s="810" t="n"/>
      <c r="F185" s="358">
        <f>IF(F174="","",-(MIN(F195,0)+F204))</f>
        <v/>
      </c>
      <c r="G185" s="358">
        <f>IF(G174="","",-(MIN(G195,0)+G204))</f>
        <v/>
      </c>
      <c r="H185" s="358">
        <f>IF(H174="","",-(MIN(H195,0)+H204))</f>
        <v/>
      </c>
      <c r="I185" s="358">
        <f>IF(I174="","",-(MIN(I195,0)+I204))</f>
        <v/>
      </c>
      <c r="J185" s="358">
        <f>IF(J174="","",-(MIN(J195,0)+J204))</f>
        <v/>
      </c>
      <c r="K185" s="358">
        <f>IF(K174="","",-(MIN(K195,0)+K204))</f>
        <v/>
      </c>
    </row>
    <row r="186" outlineLevel="1" ht="15" customHeight="1">
      <c r="B186" s="399" t="inlineStr">
        <is>
          <t>Total GP Profit</t>
        </is>
      </c>
      <c r="C186" s="59" t="n"/>
      <c r="D186" s="358">
        <f>+D183+D184-D185</f>
        <v/>
      </c>
      <c r="E186" s="810" t="n"/>
      <c r="F186" s="406" t="n"/>
      <c r="G186" s="358" t="n"/>
      <c r="H186" s="407" t="n"/>
      <c r="I186" s="407" t="n"/>
      <c r="J186" s="407" t="n"/>
      <c r="K186" s="407" t="n"/>
    </row>
    <row r="187" outlineLevel="1" ht="15" customHeight="1">
      <c r="B187" s="399" t="inlineStr">
        <is>
          <t>GP IRR</t>
        </is>
      </c>
      <c r="C187" s="59" t="n"/>
      <c r="D187" s="413">
        <f>IFERROR(IRR(F187:K187),"NA")</f>
        <v/>
      </c>
      <c r="E187" s="810" t="n"/>
      <c r="F187" s="358">
        <f>IF(F174="","",(-F185)+F183+F184)</f>
        <v/>
      </c>
      <c r="G187" s="358">
        <f>IF(G174="","",(-G185)+G183+G184)</f>
        <v/>
      </c>
      <c r="H187" s="358">
        <f>IF(H174="","",(-H185)+H183+H184)</f>
        <v/>
      </c>
      <c r="I187" s="358">
        <f>IF(I174="","",(-I185)+I183+I184)</f>
        <v/>
      </c>
      <c r="J187" s="358">
        <f>IF(J174="","",(-J185)+J183+J184)</f>
        <v/>
      </c>
      <c r="K187" s="358">
        <f>IF(K174="","",(-K185)+K183+K184)</f>
        <v/>
      </c>
    </row>
    <row r="188" outlineLevel="1" ht="15" customHeight="1">
      <c r="B188" s="399" t="inlineStr">
        <is>
          <t>GP Equity Multiple</t>
        </is>
      </c>
      <c r="C188" s="59" t="n"/>
      <c r="D188" s="818">
        <f>IFERROR(D183/D185,"NA")</f>
        <v/>
      </c>
      <c r="E188" s="810" t="n"/>
      <c r="F188" s="395" t="n"/>
      <c r="G188" s="396" t="n"/>
      <c r="H188" s="397" t="n"/>
      <c r="I188" s="397" t="n"/>
      <c r="J188" s="398" t="n"/>
      <c r="K188" s="398" t="n"/>
    </row>
    <row r="189" outlineLevel="1" ht="15" customHeight="1">
      <c r="B189" s="415" t="n"/>
      <c r="C189" s="416" t="n"/>
      <c r="D189" s="819" t="n"/>
      <c r="E189" s="59" t="n"/>
      <c r="F189" s="398" t="n"/>
      <c r="G189" s="398" t="n"/>
      <c r="H189" s="398" t="n"/>
      <c r="I189" s="398" t="n"/>
      <c r="J189" s="398" t="n"/>
      <c r="K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row>
    <row r="191" outlineLevel="1" ht="15" customHeight="1">
      <c r="B191" s="461" t="n"/>
      <c r="C191" s="461" t="n"/>
      <c r="D191" s="461" t="n"/>
      <c r="E191" s="462" t="inlineStr">
        <is>
          <t>Year Ending</t>
        </is>
      </c>
      <c r="F191" s="829">
        <f>IF(F46="","",F46)</f>
        <v/>
      </c>
      <c r="G191" s="830">
        <f>IF(G46="","",G46)</f>
        <v/>
      </c>
      <c r="H191" s="830">
        <f>IF(H46="","",H46)</f>
        <v/>
      </c>
      <c r="I191" s="830">
        <f>IF(I46="","",I46)</f>
        <v/>
      </c>
      <c r="J191" s="830">
        <f>IF(J46="","",J46)</f>
        <v/>
      </c>
      <c r="K191" s="830">
        <f>IF(K46="","",K46)</f>
        <v/>
      </c>
    </row>
    <row r="192" outlineLevel="1" ht="15" customHeight="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row>
    <row r="193" outlineLevel="1" ht="15" customHeight="1">
      <c r="B193" s="447">
        <f>IF(B48="","",B48)</f>
        <v/>
      </c>
      <c r="C193" s="461" t="n"/>
      <c r="D193" s="461" t="n"/>
      <c r="E193" s="463" t="n"/>
      <c r="F193" s="446">
        <f>IF(F48="","",F48)</f>
        <v/>
      </c>
      <c r="G193" s="446">
        <f>IF(G48="","",G48)</f>
        <v/>
      </c>
      <c r="H193" s="446">
        <f>IF(H48="","",H48)</f>
        <v/>
      </c>
      <c r="I193" s="446">
        <f>IF(I48="","",I48)</f>
        <v/>
      </c>
      <c r="J193" s="446">
        <f>IF(J48="","",J48)</f>
        <v/>
      </c>
      <c r="K193" s="446">
        <f>IF(K48="","",K48)</f>
        <v/>
      </c>
    </row>
    <row r="194" outlineLevel="1" ht="15" customHeight="1">
      <c r="B194" s="447">
        <f>IF(B49="","",B49)</f>
        <v/>
      </c>
      <c r="C194" s="461" t="n"/>
      <c r="D194" s="461" t="n"/>
      <c r="E194" s="463" t="n"/>
      <c r="F194" s="446">
        <f>IF(F49="","",F49)</f>
        <v/>
      </c>
      <c r="G194" s="446">
        <f>IF(G49="","",G49)</f>
        <v/>
      </c>
      <c r="H194" s="446">
        <f>IF(H49="","",H49)</f>
        <v/>
      </c>
      <c r="I194" s="446">
        <f>IF(I49="","",I49)</f>
        <v/>
      </c>
      <c r="J194" s="446">
        <f>IF(J49="","",J49)</f>
        <v/>
      </c>
      <c r="K194" s="446">
        <f>IF(K49="","",K49)</f>
        <v/>
      </c>
    </row>
    <row r="195" outlineLevel="1" ht="15" customHeight="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row>
    <row r="196" outlineLevel="1" ht="15" customHeight="1">
      <c r="B196" s="59" t="inlineStr">
        <is>
          <t>Levered IRR</t>
        </is>
      </c>
      <c r="C196" s="59" t="n"/>
      <c r="D196" s="59" t="n"/>
      <c r="E196" s="59" t="n"/>
      <c r="F196" s="397">
        <f>IRR(F195:K195)</f>
        <v/>
      </c>
      <c r="G196" s="398" t="n"/>
      <c r="H196" s="398" t="n"/>
      <c r="I196" s="398" t="n"/>
      <c r="J196" s="398" t="n"/>
      <c r="K196" s="398" t="n"/>
    </row>
    <row r="197" outlineLevel="1" ht="15" customHeight="1">
      <c r="B197" s="59" t="inlineStr">
        <is>
          <t>Equity Multiple</t>
        </is>
      </c>
      <c r="C197" s="59" t="n"/>
      <c r="D197" s="59" t="n"/>
      <c r="E197" s="59" t="n"/>
      <c r="F197" s="822">
        <f>SUMIF(F195:K195,"&gt;0")/-SUMIF(F195:K195,"&lt;0")</f>
        <v/>
      </c>
      <c r="G197" s="398" t="n"/>
      <c r="H197" s="398" t="n"/>
      <c r="I197" s="398" t="n"/>
      <c r="J197" s="398" t="n"/>
      <c r="K197" s="398" t="n"/>
    </row>
    <row r="198" outlineLevel="1" ht="15" customHeight="1">
      <c r="B198" s="59" t="n"/>
      <c r="C198" s="59" t="n"/>
      <c r="D198" s="59" t="n"/>
      <c r="E198" s="398" t="n"/>
      <c r="F198" s="426" t="n"/>
      <c r="G198" s="398" t="n"/>
      <c r="H198" s="398" t="n"/>
      <c r="I198" s="398" t="n"/>
      <c r="J198" s="398" t="n"/>
      <c r="K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row>
    <row r="200" outlineLevel="1" ht="15" customHeight="1">
      <c r="B200" s="449" t="inlineStr">
        <is>
          <t>Return Threshold - Up to:</t>
        </is>
      </c>
      <c r="C200" s="837">
        <f>E168</f>
        <v/>
      </c>
      <c r="D200" s="430" t="n"/>
      <c r="E200" s="430" t="n"/>
      <c r="F200" s="431" t="inlineStr">
        <is>
          <t>Year 0</t>
        </is>
      </c>
      <c r="G200" s="827">
        <f>G$21</f>
        <v/>
      </c>
      <c r="H200" s="827">
        <f>H$21</f>
        <v/>
      </c>
      <c r="I200" s="827">
        <f>I$21</f>
        <v/>
      </c>
      <c r="J200" s="827">
        <f>J$21</f>
        <v/>
      </c>
      <c r="K200" s="827">
        <f>K$21</f>
        <v/>
      </c>
    </row>
    <row r="201" outlineLevel="1" ht="15" customHeight="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row>
    <row r="202" outlineLevel="1" ht="15" customHeight="1">
      <c r="B202" s="59" t="inlineStr">
        <is>
          <t>LP Return of Capital</t>
        </is>
      </c>
      <c r="C202" s="59" t="n"/>
      <c r="D202" s="59" t="n"/>
      <c r="E202" s="59" t="n"/>
      <c r="F202" s="451">
        <f>IF(ROUND(SUM(G202:K202),0)=ROUND(SUM(F204:K204),0),"All Capital Returned","Capital Not Returned")</f>
        <v/>
      </c>
      <c r="G202" s="407">
        <f>IF(G200="","",G208-G203)</f>
        <v/>
      </c>
      <c r="H202" s="407">
        <f>IF(H200="","",H208-H203)</f>
        <v/>
      </c>
      <c r="I202" s="407">
        <f>IF(I200="","",I208-I203)</f>
        <v/>
      </c>
      <c r="J202" s="407">
        <f>IF(J200="","",J208-J203)</f>
        <v/>
      </c>
      <c r="K202" s="407">
        <f>IF(K200="","",K208-K203)</f>
        <v/>
      </c>
    </row>
    <row r="203" outlineLevel="1" ht="15" customHeight="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row>
    <row r="204" outlineLevel="1" ht="15" customHeight="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row>
    <row r="205" outlineLevel="1" ht="15" customHeight="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row>
    <row r="206" outlineLevel="1" ht="15" customHeight="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row>
    <row r="207" outlineLevel="1" ht="15" customHeight="1">
      <c r="B207" s="452">
        <f>IF(D165="Equity Multiple", "LP EMx Check","LP IRR Check")</f>
        <v/>
      </c>
      <c r="C207" s="59" t="n"/>
      <c r="D207" s="59" t="n"/>
      <c r="E207" s="838">
        <f>IF($D$165="IRR",IRR(F207:K207),SUMIF(F207:K207,"&gt;0")/-SUMIF(F207:K207,"&lt;0"))</f>
        <v/>
      </c>
      <c r="F207" s="407">
        <f>IF(F200="","",-F204+F205)</f>
        <v/>
      </c>
      <c r="G207" s="407">
        <f>IF(G200="","",-G204+G205)</f>
        <v/>
      </c>
      <c r="H207" s="407">
        <f>IF(H200="","",-H204+H205)</f>
        <v/>
      </c>
      <c r="I207" s="407">
        <f>IF(I200="","",-I204+I205)</f>
        <v/>
      </c>
      <c r="J207" s="407">
        <f>IF(J200="","",-J204+J205)</f>
        <v/>
      </c>
      <c r="K207" s="407">
        <f>IF(K200="","",-K204+K205)</f>
        <v/>
      </c>
    </row>
    <row r="208" outlineLevel="1" ht="15" customHeight="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row>
    <row r="209" outlineLevel="1" ht="15" customHeight="1">
      <c r="B209" s="59" t="n"/>
      <c r="C209" s="59" t="n"/>
      <c r="D209" s="59" t="n"/>
      <c r="E209" s="59" t="n"/>
      <c r="F209" s="407" t="n"/>
      <c r="G209" s="407" t="n"/>
      <c r="H209" s="407" t="n"/>
      <c r="I209" s="407" t="n"/>
      <c r="J209" s="407" t="n"/>
      <c r="K209" s="407" t="n"/>
    </row>
    <row r="210" outlineLevel="1" ht="15" customHeight="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row>
    <row r="211" outlineLevel="1" ht="15" customHeight="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row>
    <row r="212" outlineLevel="1" ht="15" customHeight="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row>
    <row r="213" outlineLevel="1" ht="15" customHeight="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row>
    <row r="214" outlineLevel="1" ht="15" customHeight="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row>
    <row r="215" outlineLevel="1" ht="15" customHeight="1">
      <c r="B215" s="452">
        <f>IF(D165="Equity Multiple", "GP EMx Check","GP IRR Check")</f>
        <v/>
      </c>
      <c r="C215" s="59" t="n"/>
      <c r="D215" s="59" t="n"/>
      <c r="E215" s="838">
        <f>IF($D$165="IRR",IFERROR(IRR(F215:K215),"NA"),SUMIF(F215:K215,"&gt;0")/-SUMIF(F215:K215,"&lt;0"))</f>
        <v/>
      </c>
      <c r="F215" s="407">
        <f>IF(F200="","",-F212+F213)</f>
        <v/>
      </c>
      <c r="G215" s="358">
        <f>IF(G200="","",-G212+G213)</f>
        <v/>
      </c>
      <c r="H215" s="358">
        <f>IF(H200="","",-H212+H213)</f>
        <v/>
      </c>
      <c r="I215" s="358">
        <f>IF(I200="","",-I212+I213)</f>
        <v/>
      </c>
      <c r="J215" s="358">
        <f>IF(J200="","",-J212+J213)</f>
        <v/>
      </c>
      <c r="K215" s="358">
        <f>IF(K200="","",-K212+K213)</f>
        <v/>
      </c>
    </row>
    <row r="216" outlineLevel="1" ht="15" customHeight="1">
      <c r="B216" s="59" t="n"/>
      <c r="C216" s="59" t="n"/>
      <c r="D216" s="59" t="n"/>
      <c r="E216" s="59" t="n"/>
      <c r="F216" s="407" t="n"/>
      <c r="G216" s="358" t="n"/>
      <c r="H216" s="358" t="n"/>
      <c r="I216" s="358" t="n"/>
      <c r="J216" s="358" t="n"/>
      <c r="K216" s="358" t="n"/>
    </row>
    <row r="217" outlineLevel="1" ht="15" customHeight="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row>
    <row r="218" outlineLevel="1" ht="15" customHeight="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row>
    <row r="219" outlineLevel="1" ht="15" customHeight="1">
      <c r="B219" s="59" t="n"/>
      <c r="C219" s="59" t="n"/>
      <c r="D219" s="59" t="n"/>
      <c r="E219" s="59" t="n"/>
      <c r="F219" s="398" t="n"/>
      <c r="G219" s="398" t="n"/>
      <c r="H219" s="398" t="n"/>
      <c r="I219" s="398" t="n"/>
      <c r="J219" s="398" t="n"/>
      <c r="K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row>
    <row r="221" outlineLevel="1" ht="15" customHeight="1">
      <c r="B221" s="454" t="inlineStr">
        <is>
          <t>Return Threshold - Up to:</t>
        </is>
      </c>
      <c r="C221" s="839">
        <f>E169</f>
        <v/>
      </c>
      <c r="D221" s="59" t="n"/>
      <c r="E221" s="59" t="n"/>
      <c r="F221" s="398" t="n"/>
      <c r="G221" s="833" t="n"/>
      <c r="H221" s="833" t="n"/>
      <c r="I221" s="833" t="n"/>
      <c r="J221" s="833" t="n"/>
      <c r="K221" s="833" t="n"/>
    </row>
    <row r="222" outlineLevel="1" ht="15" customHeight="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row>
    <row r="223" outlineLevel="1" ht="15" customHeight="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row>
    <row r="224" outlineLevel="1" ht="15" customHeight="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row>
    <row r="225" outlineLevel="1" ht="15" customHeight="1">
      <c r="B225" s="59" t="inlineStr">
        <is>
          <t>Prior Distributions</t>
        </is>
      </c>
      <c r="C225" s="59" t="n"/>
      <c r="D225" s="59" t="n"/>
      <c r="E225" s="59" t="n"/>
      <c r="F225" s="407">
        <f>F208</f>
        <v/>
      </c>
      <c r="G225" s="407">
        <f>G208</f>
        <v/>
      </c>
      <c r="H225" s="407">
        <f>H208</f>
        <v/>
      </c>
      <c r="I225" s="407">
        <f>I208</f>
        <v/>
      </c>
      <c r="J225" s="407">
        <f>J208</f>
        <v/>
      </c>
      <c r="K225" s="407">
        <f>K208</f>
        <v/>
      </c>
    </row>
    <row r="226" outlineLevel="1" ht="15" customHeight="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row>
    <row r="227" outlineLevel="1" ht="15" customHeight="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row>
    <row r="228" outlineLevel="1" ht="15" customHeight="1">
      <c r="B228" s="834">
        <f>C221</f>
        <v/>
      </c>
      <c r="C228" s="59" t="n"/>
      <c r="D228" s="59" t="n"/>
      <c r="E228" s="838">
        <f>IF($D$165="IRR",IRR(F228:K228),SUMIF(F228:K228,"&gt;0")/-SUMIF(F228:K228,"&lt;0"))</f>
        <v/>
      </c>
      <c r="F228" s="407">
        <f>IF(F220="","",-F224+F225+F226)</f>
        <v/>
      </c>
      <c r="G228" s="407">
        <f>IF(G220="","",-G224+G225+G226)</f>
        <v/>
      </c>
      <c r="H228" s="407">
        <f>IF(H220="","",-H224+H225+H226)</f>
        <v/>
      </c>
      <c r="I228" s="407">
        <f>IF(I220="","",-I224+I225+I226)</f>
        <v/>
      </c>
      <c r="J228" s="407">
        <f>IF(J220="","",-J224+J225+J226)</f>
        <v/>
      </c>
      <c r="K228" s="407">
        <f>IF(K220="","",-K224+K225+K226)</f>
        <v/>
      </c>
    </row>
    <row r="229" outlineLevel="1" ht="15" customHeight="1">
      <c r="B229" s="74" t="n"/>
      <c r="C229" s="74" t="n"/>
      <c r="D229" s="74" t="n"/>
      <c r="E229" s="74" t="n"/>
      <c r="F229" s="458" t="n"/>
      <c r="G229" s="458" t="n"/>
      <c r="H229" s="458" t="n"/>
      <c r="I229" s="458" t="n"/>
      <c r="J229" s="458" t="n"/>
      <c r="K229" s="458" t="n"/>
    </row>
    <row r="230" outlineLevel="1" ht="15" customHeight="1">
      <c r="B230" s="59" t="inlineStr">
        <is>
          <t>Distribution to LP</t>
        </is>
      </c>
      <c r="C230" s="59" t="n"/>
      <c r="D230" s="59" t="n"/>
      <c r="E230" s="59" t="n"/>
      <c r="F230" s="407">
        <f>IF(F220="","",F226)</f>
        <v/>
      </c>
      <c r="G230" s="407">
        <f>IF(G220="","",G226)</f>
        <v/>
      </c>
      <c r="H230" s="407">
        <f>IF(H220="","",H226)</f>
        <v/>
      </c>
      <c r="I230" s="407">
        <f>IF(I220="","",I226)</f>
        <v/>
      </c>
      <c r="J230" s="407">
        <f>IF(J220="","",J226)</f>
        <v/>
      </c>
      <c r="K230" s="407">
        <f>IF(K220="","",K226)</f>
        <v/>
      </c>
    </row>
    <row r="231" outlineLevel="1" ht="15" customHeight="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row>
    <row r="232" outlineLevel="1" ht="15" customHeight="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row>
    <row r="233" outlineLevel="1" ht="15" customHeight="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row>
    <row r="234" outlineLevel="1" ht="15" customHeight="1">
      <c r="B234" s="59" t="n"/>
      <c r="C234" s="59" t="n"/>
      <c r="D234" s="59" t="n"/>
      <c r="E234" s="59" t="n"/>
      <c r="F234" s="398" t="n"/>
      <c r="G234" s="398" t="n"/>
      <c r="H234" s="398" t="n"/>
      <c r="I234" s="398" t="n"/>
      <c r="J234" s="398" t="n"/>
      <c r="K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row>
    <row r="236" outlineLevel="1" ht="15" customHeight="1">
      <c r="B236" s="454" t="inlineStr">
        <is>
          <t>Return Threshold - Up to:</t>
        </is>
      </c>
      <c r="C236" s="839">
        <f>E170</f>
        <v/>
      </c>
      <c r="D236" s="59" t="n"/>
      <c r="E236" s="59" t="n"/>
      <c r="F236" s="398" t="n"/>
      <c r="G236" s="833" t="n"/>
      <c r="H236" s="833" t="n"/>
      <c r="I236" s="833" t="n"/>
      <c r="J236" s="833" t="n"/>
      <c r="K236" s="833" t="n"/>
    </row>
    <row r="237" outlineLevel="1" ht="15" customHeight="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row>
    <row r="238" outlineLevel="1" ht="15" customHeight="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row>
    <row r="239" outlineLevel="1" ht="15" customHeight="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row>
    <row r="240" outlineLevel="1" ht="15" customHeight="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row>
    <row r="241" outlineLevel="1" ht="15" customHeight="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row>
    <row r="242" outlineLevel="1" ht="15" customHeight="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row>
    <row r="243" outlineLevel="1" ht="15" customHeight="1">
      <c r="B243" s="834">
        <f>C236</f>
        <v/>
      </c>
      <c r="C243" s="59" t="n"/>
      <c r="D243" s="59" t="n"/>
      <c r="E243" s="838">
        <f>IF($D$165="IRR",IRR(F243:K243),SUMIF(F243:K243,"&gt;0")/-SUMIF(F243:K243,"&lt;0"))</f>
        <v/>
      </c>
      <c r="F243" s="407">
        <f>IF(F235="","",-F239+F240+F241)</f>
        <v/>
      </c>
      <c r="G243" s="407">
        <f>IF(G235="","",-G239+G240+G241)</f>
        <v/>
      </c>
      <c r="H243" s="407">
        <f>IF(H235="","",-H239+H240+H241)</f>
        <v/>
      </c>
      <c r="I243" s="407">
        <f>IF(I235="","",-I239+I240+I241)</f>
        <v/>
      </c>
      <c r="J243" s="407">
        <f>IF(J235="","",-J239+J240+J241)</f>
        <v/>
      </c>
      <c r="K243" s="407">
        <f>IF(K235="","",-K239+K240+K241)</f>
        <v/>
      </c>
    </row>
    <row r="244" outlineLevel="1" ht="15" customHeight="1">
      <c r="B244" s="74" t="n"/>
      <c r="C244" s="74" t="n"/>
      <c r="D244" s="74" t="n"/>
      <c r="E244" s="74" t="n"/>
      <c r="F244" s="458" t="n"/>
      <c r="G244" s="458" t="n"/>
      <c r="H244" s="458" t="n"/>
      <c r="I244" s="458" t="n"/>
      <c r="J244" s="458" t="n"/>
      <c r="K244" s="458" t="n"/>
    </row>
    <row r="245" outlineLevel="1" ht="15" customHeight="1">
      <c r="B245" s="59" t="inlineStr">
        <is>
          <t>Distribution to LP</t>
        </is>
      </c>
      <c r="C245" s="59" t="n"/>
      <c r="D245" s="59" t="n"/>
      <c r="E245" s="59" t="n"/>
      <c r="F245" s="407">
        <f>IF(F235="","",F241)</f>
        <v/>
      </c>
      <c r="G245" s="407">
        <f>IF(G235="","",G241)</f>
        <v/>
      </c>
      <c r="H245" s="407">
        <f>IF(H235="","",H241)</f>
        <v/>
      </c>
      <c r="I245" s="407">
        <f>IF(I235="","",I241)</f>
        <v/>
      </c>
      <c r="J245" s="407">
        <f>IF(J235="","",J241)</f>
        <v/>
      </c>
      <c r="K245" s="407">
        <f>IF(K235="","",K241)</f>
        <v/>
      </c>
    </row>
    <row r="246" outlineLevel="1" ht="15" customHeight="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row>
    <row r="247" outlineLevel="1" ht="15" customHeight="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row>
    <row r="248" outlineLevel="1" ht="15" customHeight="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row>
    <row r="249" outlineLevel="1" ht="15" customHeight="1">
      <c r="B249" s="59" t="n"/>
      <c r="C249" s="59" t="n"/>
      <c r="D249" s="59" t="n"/>
      <c r="E249" s="59" t="n"/>
      <c r="F249" s="398" t="n"/>
      <c r="G249" s="398" t="n"/>
      <c r="H249" s="398" t="n"/>
      <c r="I249" s="398" t="n"/>
      <c r="J249" s="398" t="n"/>
      <c r="K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row>
    <row r="251" outlineLevel="1" ht="15" customHeight="1">
      <c r="B251" s="454" t="inlineStr">
        <is>
          <t>Return Threshold - Up to:</t>
        </is>
      </c>
      <c r="C251" s="839">
        <f>E171</f>
        <v/>
      </c>
      <c r="D251" s="59" t="n"/>
      <c r="E251" s="59" t="n"/>
      <c r="F251" s="398" t="n"/>
      <c r="G251" s="833" t="n"/>
      <c r="H251" s="833" t="n"/>
      <c r="I251" s="833" t="n"/>
      <c r="J251" s="833" t="n"/>
      <c r="K251" s="833" t="n"/>
    </row>
    <row r="252" outlineLevel="1" ht="15" customHeight="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row>
    <row r="253" outlineLevel="1" ht="15" customHeight="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row>
    <row r="254" outlineLevel="1" ht="15" customHeight="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row>
    <row r="255" outlineLevel="1" ht="15" customHeight="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row>
    <row r="256" outlineLevel="1" ht="15" customHeight="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row>
    <row r="257" outlineLevel="1" ht="15" customHeight="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row>
    <row r="258" outlineLevel="1" ht="15" customHeight="1">
      <c r="B258" s="834">
        <f>C251</f>
        <v/>
      </c>
      <c r="C258" s="59" t="n"/>
      <c r="D258" s="59" t="n"/>
      <c r="E258" s="838">
        <f>IF($D$165="IRR",IRR(F258:K258),SUMIF(F258:K258,"&gt;0")/-SUMIF(F258:K258,"&lt;0"))</f>
        <v/>
      </c>
      <c r="F258" s="407">
        <f>IF(F250="","",-F254+F255+F256)</f>
        <v/>
      </c>
      <c r="G258" s="407">
        <f>IF(G250="","",-G254+G255+G256)</f>
        <v/>
      </c>
      <c r="H258" s="407">
        <f>IF(H250="","",-H254+H255+H256)</f>
        <v/>
      </c>
      <c r="I258" s="407">
        <f>IF(I250="","",-I254+I255+I256)</f>
        <v/>
      </c>
      <c r="J258" s="407">
        <f>IF(J250="","",-J254+J255+J256)</f>
        <v/>
      </c>
      <c r="K258" s="407">
        <f>IF(K250="","",-K254+K255+K256)</f>
        <v/>
      </c>
    </row>
    <row r="259" outlineLevel="1" ht="15" customHeight="1">
      <c r="B259" s="74" t="n"/>
      <c r="C259" s="74" t="n"/>
      <c r="D259" s="74" t="n"/>
      <c r="E259" s="74" t="n"/>
      <c r="F259" s="458" t="n"/>
      <c r="G259" s="458" t="n"/>
      <c r="H259" s="458" t="n"/>
      <c r="I259" s="458" t="n"/>
      <c r="J259" s="458" t="n"/>
      <c r="K259" s="458" t="n"/>
    </row>
    <row r="260" outlineLevel="1" ht="15" customHeight="1">
      <c r="B260" s="59" t="inlineStr">
        <is>
          <t>Distribution to LP</t>
        </is>
      </c>
      <c r="C260" s="59" t="n"/>
      <c r="D260" s="59" t="n"/>
      <c r="E260" s="59" t="n"/>
      <c r="F260" s="407">
        <f>IF(F250="","",F256)</f>
        <v/>
      </c>
      <c r="G260" s="407">
        <f>IF(G250="","",G256)</f>
        <v/>
      </c>
      <c r="H260" s="407">
        <f>IF(H250="","",H256)</f>
        <v/>
      </c>
      <c r="I260" s="407">
        <f>IF(I250="","",I256)</f>
        <v/>
      </c>
      <c r="J260" s="407">
        <f>IF(J250="","",J256)</f>
        <v/>
      </c>
      <c r="K260" s="407">
        <f>IF(K250="","",K256)</f>
        <v/>
      </c>
    </row>
    <row r="261" outlineLevel="1" ht="15" customHeight="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row>
    <row r="262" outlineLevel="1" ht="15" customHeight="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row>
    <row r="263" outlineLevel="1" ht="15" customHeight="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row>
    <row r="264" outlineLevel="1" ht="15" customHeight="1">
      <c r="B264" s="59" t="n"/>
      <c r="C264" s="59" t="n"/>
      <c r="D264" s="59" t="n"/>
      <c r="E264" s="59" t="n"/>
      <c r="F264" s="398" t="n"/>
      <c r="G264" s="398" t="n"/>
      <c r="H264" s="398" t="n"/>
      <c r="I264" s="398" t="n"/>
      <c r="J264" s="398" t="n"/>
      <c r="K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row>
    <row r="266" outlineLevel="1" ht="15" customHeight="1">
      <c r="B266" s="454" t="inlineStr">
        <is>
          <t>Return Threshold - Greater than:</t>
        </is>
      </c>
      <c r="C266" s="839">
        <f>C251</f>
        <v/>
      </c>
      <c r="D266" s="59" t="n"/>
      <c r="E266" s="59" t="n"/>
      <c r="F266" s="398" t="n"/>
      <c r="G266" s="833" t="n"/>
      <c r="H266" s="833" t="n"/>
      <c r="I266" s="833" t="n"/>
      <c r="J266" s="833" t="n"/>
      <c r="K266" s="833" t="n"/>
    </row>
    <row r="267" outlineLevel="1" ht="15" customHeight="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row>
    <row r="268" outlineLevel="1" ht="15" customHeight="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row>
    <row r="269" outlineLevel="1" ht="15" customHeight="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row>
    <row r="270" outlineLevel="1" ht="15" customHeight="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row>
    <row r="271" ht="15" customHeight="1"/>
    <row r="272" ht="15" customHeight="1"/>
    <row r="273" ht="15" customHeight="1">
      <c r="B273" s="467" t="inlineStr">
        <is>
          <t>2-Tier</t>
        </is>
      </c>
      <c r="C273" s="468" t="n"/>
    </row>
    <row r="274" ht="15" customHeight="1">
      <c r="B274" s="467" t="inlineStr">
        <is>
          <t>3-Tier</t>
        </is>
      </c>
      <c r="C274" s="468" t="n"/>
    </row>
    <row r="275" ht="15" customHeight="1">
      <c r="B275" s="467" t="inlineStr">
        <is>
          <t>4-Tier</t>
        </is>
      </c>
      <c r="C275" s="468" t="n"/>
    </row>
    <row r="276" ht="15" customHeight="1">
      <c r="B276" s="467" t="inlineStr">
        <is>
          <t>5-Tier</t>
        </is>
      </c>
      <c r="C276" s="468" t="n"/>
    </row>
    <row r="277" ht="15" customHeight="1">
      <c r="B277" s="342">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K19">
    <cfRule type="expression" priority="2" dxfId="0">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J27"/>
  <sheetViews>
    <sheetView workbookViewId="0">
      <selection activeCell="A1" sqref="A1"/>
    </sheetView>
  </sheetViews>
  <sheetFormatPr baseColWidth="8" defaultColWidth="8.42578125" defaultRowHeight="15"/>
  <cols>
    <col width="8.42578125" customWidth="1" style="130" min="1" max="1"/>
    <col width="21.42578125" customWidth="1" style="130" min="2" max="2"/>
    <col width="23.42578125" customWidth="1" style="130" min="3" max="3"/>
    <col width="17.42578125" customWidth="1" style="130" min="4" max="9"/>
    <col width="8.42578125" customWidth="1" style="130" min="10" max="16384"/>
  </cols>
  <sheetData>
    <row r="1" ht="21.75" customFormat="1" customHeight="1" s="3">
      <c r="A1" s="58" t="inlineStr">
        <is>
          <t>GARY GROUP CAPITAL</t>
        </is>
      </c>
      <c r="F1" s="20" t="n"/>
      <c r="G1" s="20" t="n"/>
      <c r="H1" s="20" t="n"/>
      <c r="I1" s="20" t="n"/>
      <c r="J1" s="20" t="n"/>
    </row>
    <row r="2"/>
    <row r="3" ht="21" customHeight="1">
      <c r="B3" s="167" t="n"/>
      <c r="C3" s="128" t="n"/>
      <c r="D3" s="128" t="n"/>
      <c r="E3" s="128" t="n"/>
      <c r="F3" s="128" t="n"/>
      <c r="G3" s="128" t="n"/>
      <c r="H3" s="128" t="n"/>
    </row>
    <row r="4" ht="28.5" customHeight="1">
      <c r="B4" s="740" t="inlineStr">
        <is>
          <t>Sources of Funds</t>
        </is>
      </c>
      <c r="D4" s="171" t="inlineStr">
        <is>
          <t>/ Unit</t>
        </is>
      </c>
      <c r="E4" s="222" t="n"/>
      <c r="F4" s="222" t="n"/>
      <c r="G4" s="222" t="n"/>
      <c r="H4" s="222" t="n"/>
    </row>
    <row r="5" ht="21" customHeight="1">
      <c r="B5" s="160" t="inlineStr">
        <is>
          <t>Senior Loan</t>
        </is>
      </c>
      <c r="C5" s="316">
        <f>'Loan Scenario (acquisition)'!C31</f>
        <v/>
      </c>
      <c r="D5" s="665">
        <f>C5/'GGC Underwriting'!$N$7</f>
        <v/>
      </c>
      <c r="E5" s="220" t="n"/>
      <c r="F5" s="172" t="n"/>
      <c r="G5" s="172" t="n"/>
      <c r="H5" s="221" t="n"/>
    </row>
    <row r="6" ht="21" customHeight="1">
      <c r="B6" s="144" t="inlineStr">
        <is>
          <t>Mezz Debt</t>
        </is>
      </c>
      <c r="C6" s="231" t="n">
        <v>0</v>
      </c>
      <c r="D6" s="238">
        <f>C6/'GGC Underwriting'!$N$7</f>
        <v/>
      </c>
      <c r="E6" s="220" t="n"/>
      <c r="F6" s="172" t="n"/>
      <c r="G6" s="172" t="n"/>
      <c r="H6" s="221" t="n"/>
    </row>
    <row r="7" ht="21" customHeight="1">
      <c r="B7" s="144" t="inlineStr">
        <is>
          <t>LP - Equity</t>
        </is>
      </c>
      <c r="C7" s="232">
        <f>C18-C5-C6-C8</f>
        <v/>
      </c>
      <c r="D7" s="238">
        <f>C7/'GGC Underwriting'!$N$7</f>
        <v/>
      </c>
      <c r="E7" s="220" t="n"/>
      <c r="F7" s="172" t="n"/>
      <c r="G7" s="172" t="n"/>
      <c r="H7" s="221" t="n"/>
    </row>
    <row r="8" ht="21" customHeight="1">
      <c r="B8" s="240" t="inlineStr">
        <is>
          <t>GP</t>
        </is>
      </c>
      <c r="C8" s="500">
        <f>C15</f>
        <v/>
      </c>
      <c r="D8" s="238">
        <f>C8/'GGC Underwriting'!$N$7</f>
        <v/>
      </c>
      <c r="E8" s="473">
        <f>C8/(C7+C8)</f>
        <v/>
      </c>
      <c r="F8" s="172" t="n"/>
      <c r="G8" s="172" t="n"/>
      <c r="H8" s="221" t="n"/>
    </row>
    <row r="9" ht="21" customHeight="1" thickBot="1">
      <c r="B9" s="147" t="inlineStr">
        <is>
          <t>Total</t>
        </is>
      </c>
      <c r="C9" s="233">
        <f>C5+C6+C7+C8</f>
        <v/>
      </c>
      <c r="D9" s="239">
        <f>C9/'GGC Underwriting'!$N$7</f>
        <v/>
      </c>
      <c r="E9" s="220" t="n"/>
      <c r="F9" s="172" t="n"/>
      <c r="G9" s="172" t="n"/>
      <c r="H9" s="221" t="n"/>
    </row>
    <row r="10" ht="15.75" customHeight="1" thickTop="1">
      <c r="B10" s="145" t="n"/>
      <c r="C10" s="143" t="n"/>
      <c r="D10" s="143" t="n"/>
      <c r="E10" s="143" t="n"/>
      <c r="F10" s="221" t="n"/>
      <c r="G10" s="221" t="n"/>
      <c r="H10" s="221" t="n"/>
    </row>
    <row r="11">
      <c r="B11" s="145" t="n"/>
      <c r="C11" s="143" t="n"/>
      <c r="D11" s="143" t="n"/>
      <c r="E11" s="143" t="n"/>
      <c r="F11" s="221" t="n"/>
      <c r="G11" s="221" t="n"/>
      <c r="H11" s="221" t="n"/>
    </row>
    <row r="12" ht="18.75" customHeight="1">
      <c r="B12" s="740" t="inlineStr">
        <is>
          <t>Uses of Funds of Funds</t>
        </is>
      </c>
      <c r="D12" s="171" t="inlineStr">
        <is>
          <t>/ Unit</t>
        </is>
      </c>
    </row>
    <row r="13" ht="21" customHeight="1">
      <c r="B13" s="160" t="inlineStr">
        <is>
          <t>Purchase Price</t>
        </is>
      </c>
      <c r="C13" s="316">
        <f>'GGC Underwriting'!P4</f>
        <v/>
      </c>
      <c r="D13" s="237">
        <f>C13/'GGC Underwriting'!$N$7</f>
        <v/>
      </c>
    </row>
    <row r="14" ht="21" customHeight="1">
      <c r="B14" s="144" t="inlineStr">
        <is>
          <t>Closing Costs(1.5%)</t>
        </is>
      </c>
      <c r="C14" s="231">
        <f>C13*1.5%</f>
        <v/>
      </c>
      <c r="D14" s="238">
        <f>C14/'GGC Underwriting'!$N$7</f>
        <v/>
      </c>
    </row>
    <row r="15" ht="21" customHeight="1">
      <c r="B15" s="144" t="inlineStr">
        <is>
          <t>Acquistion Fee (2%)</t>
        </is>
      </c>
      <c r="C15" s="231">
        <f>C13*2%</f>
        <v/>
      </c>
      <c r="D15" s="238">
        <f>C15/'GGC Underwriting'!$N$7</f>
        <v/>
      </c>
    </row>
    <row r="16" ht="21" customHeight="1">
      <c r="B16" s="144" t="inlineStr">
        <is>
          <t>Equity Broker Fee (3%)</t>
        </is>
      </c>
      <c r="C16" s="231">
        <f>3%*C20</f>
        <v/>
      </c>
      <c r="D16" s="238">
        <f>C16/'GGC Underwriting'!$N$7</f>
        <v/>
      </c>
    </row>
    <row r="17" ht="21" customHeight="1">
      <c r="B17" s="144" t="inlineStr">
        <is>
          <t>Capex Budget</t>
        </is>
      </c>
      <c r="C17" s="232">
        <f>C24</f>
        <v/>
      </c>
      <c r="D17" s="238">
        <f>C17/'GGC Underwriting'!$N$7</f>
        <v/>
      </c>
      <c r="E17" s="130" t="inlineStr">
        <is>
          <t>Working Capital</t>
        </is>
      </c>
    </row>
    <row r="18" ht="21" customHeight="1" thickBot="1">
      <c r="B18" s="147" t="inlineStr">
        <is>
          <t>Total</t>
        </is>
      </c>
      <c r="C18" s="233">
        <f>SUM(C13:C17)</f>
        <v/>
      </c>
      <c r="D18" s="239">
        <f>C18/'GGC Underwriting'!$N$7</f>
        <v/>
      </c>
    </row>
    <row r="19" ht="15.75" customHeight="1" thickTop="1"/>
    <row r="20">
      <c r="C20" s="323" t="n"/>
    </row>
    <row r="21" ht="45" customHeight="1">
      <c r="B21" s="697" t="inlineStr">
        <is>
          <t>Private water &amp; septic maint.-recently upgraded</t>
        </is>
      </c>
      <c r="C21" s="323" t="n">
        <v>25000</v>
      </c>
    </row>
    <row r="22">
      <c r="B22" s="130" t="inlineStr">
        <is>
          <t>Add New Homes</t>
        </is>
      </c>
      <c r="C22" s="323">
        <f>D22*E22</f>
        <v/>
      </c>
      <c r="D22" s="220" t="n">
        <v>4</v>
      </c>
      <c r="E22" s="172" t="n">
        <v>25000</v>
      </c>
    </row>
    <row r="23">
      <c r="B23" s="130" t="inlineStr">
        <is>
          <t>Working Capex</t>
        </is>
      </c>
      <c r="C23" s="323" t="n">
        <v>200000</v>
      </c>
    </row>
    <row r="24">
      <c r="B24" s="698" t="inlineStr">
        <is>
          <t>Estimated Capex Budget</t>
        </is>
      </c>
      <c r="C24" s="699">
        <f>SUM(C21:C23)</f>
        <v/>
      </c>
    </row>
    <row r="25"/>
    <row r="26">
      <c r="C26" s="469" t="n"/>
    </row>
    <row r="27">
      <c r="F27" s="223" t="n"/>
    </row>
  </sheetData>
  <mergeCells count="2">
    <mergeCell ref="B4:C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16" sqref="C16"/>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50" min="6" max="6"/>
    <col width="14.42578125" customWidth="1" style="150" min="7" max="7"/>
    <col width="11.42578125" customWidth="1" style="150" min="8" max="9"/>
    <col width="18.42578125" customWidth="1" style="150"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6" t="n"/>
      <c r="B2" s="186" t="n"/>
      <c r="C2" s="186" t="n"/>
      <c r="D2" s="186" t="n"/>
      <c r="E2" s="186" t="n"/>
      <c r="F2" s="208" t="n"/>
      <c r="G2" s="209" t="n"/>
      <c r="H2" s="840" t="n"/>
      <c r="I2" s="211" t="n"/>
      <c r="J2" s="840" t="n"/>
      <c r="K2" s="186" t="n"/>
      <c r="L2" s="186" t="n"/>
      <c r="M2" s="188" t="n"/>
      <c r="N2" s="186" t="n"/>
      <c r="O2" s="188" t="n"/>
      <c r="P2" s="186" t="n"/>
      <c r="Q2" s="186" t="n"/>
      <c r="R2" s="186" t="n"/>
      <c r="S2" s="186" t="n"/>
      <c r="T2" s="186" t="n"/>
      <c r="U2" s="186" t="n"/>
      <c r="V2" s="186" t="n"/>
      <c r="W2" s="186" t="n"/>
      <c r="X2" s="186" t="n"/>
      <c r="Y2" s="186" t="n"/>
      <c r="Z2" s="186" t="n"/>
      <c r="AA2" s="186" t="n"/>
      <c r="AB2" s="186" t="n"/>
    </row>
    <row r="3" ht="20.25" customFormat="1" customHeight="1" s="59">
      <c r="A3" s="186" t="n"/>
      <c r="B3" s="709" t="inlineStr">
        <is>
          <t>Loan Sizing</t>
        </is>
      </c>
      <c r="E3" s="710" t="n"/>
      <c r="F3" s="709" t="inlineStr">
        <is>
          <t>Loan Amortization Schedule</t>
        </is>
      </c>
      <c r="K3" s="190" t="n"/>
      <c r="L3" s="186" t="n"/>
      <c r="M3" s="186" t="n"/>
      <c r="N3" s="186" t="n"/>
      <c r="O3" s="186" t="n"/>
      <c r="P3" s="186" t="n"/>
      <c r="Q3" s="186" t="n"/>
      <c r="R3" s="186" t="n"/>
      <c r="S3" s="186" t="n"/>
      <c r="T3" s="186" t="n"/>
      <c r="U3" s="186" t="n"/>
      <c r="V3" s="186" t="n"/>
      <c r="W3" s="186" t="n"/>
      <c r="X3" s="186" t="n"/>
      <c r="Y3" s="186" t="n"/>
      <c r="Z3" s="186" t="n"/>
      <c r="AA3" s="186" t="n"/>
      <c r="AB3" s="186" t="n"/>
    </row>
    <row r="4" ht="17.25" customFormat="1" customHeight="1" s="59">
      <c r="A4" s="186" t="n"/>
      <c r="B4" s="199" t="n"/>
      <c r="C4" s="226" t="inlineStr">
        <is>
          <t xml:space="preserve">  = INPUT VALUE</t>
        </is>
      </c>
      <c r="D4" s="190" t="n"/>
      <c r="E4" s="190" t="n"/>
      <c r="F4" s="209" t="n"/>
      <c r="G4" s="209" t="n"/>
      <c r="H4" s="840" t="n"/>
      <c r="I4" s="209" t="n"/>
      <c r="J4" s="212" t="n"/>
      <c r="K4" s="186" t="n"/>
      <c r="L4" s="186" t="n"/>
      <c r="M4" s="186" t="n"/>
      <c r="N4" s="186" t="n"/>
      <c r="O4" s="186" t="n"/>
      <c r="P4" s="186" t="n"/>
      <c r="Q4" s="186" t="n"/>
      <c r="R4" s="186" t="n"/>
      <c r="S4" s="186" t="n"/>
      <c r="T4" s="186" t="n"/>
      <c r="U4" s="186" t="n"/>
      <c r="V4" s="186" t="n"/>
      <c r="W4" s="186" t="n"/>
      <c r="X4" s="186" t="n"/>
      <c r="Y4" s="186" t="n"/>
      <c r="Z4" s="186" t="n"/>
      <c r="AA4" s="186" t="n"/>
      <c r="AB4" s="186" t="n"/>
    </row>
    <row r="5" ht="20.25" customFormat="1" customHeight="1" s="59">
      <c r="A5" s="186" t="n"/>
      <c r="B5" s="189" t="n"/>
      <c r="C5" s="190" t="n"/>
      <c r="D5" s="190" t="n"/>
      <c r="E5" s="190" t="n"/>
      <c r="F5" s="209" t="n"/>
      <c r="G5" s="209" t="n"/>
      <c r="H5" s="840" t="n"/>
      <c r="I5" s="209" t="n"/>
      <c r="J5" s="212" t="n"/>
      <c r="K5" s="186" t="n"/>
      <c r="L5" s="186" t="n"/>
      <c r="M5" s="186" t="n"/>
      <c r="N5" s="186" t="n"/>
      <c r="O5" s="186" t="n"/>
      <c r="P5" s="186" t="n"/>
      <c r="Q5" s="186" t="n"/>
      <c r="R5" s="186" t="n"/>
      <c r="S5" s="186" t="n"/>
      <c r="T5" s="186" t="n"/>
      <c r="U5" s="186" t="n"/>
      <c r="V5" s="186" t="n"/>
      <c r="W5" s="186" t="n"/>
      <c r="X5" s="186" t="n"/>
      <c r="Y5" s="186" t="n"/>
      <c r="Z5" s="186" t="n"/>
      <c r="AA5" s="186" t="n"/>
      <c r="AB5" s="186" t="n"/>
    </row>
    <row r="6" ht="16.5" customHeight="1">
      <c r="A6" s="186" t="n"/>
      <c r="B6" s="186" t="inlineStr">
        <is>
          <t>Lender</t>
        </is>
      </c>
      <c r="C6" s="194" t="n"/>
      <c r="D6" s="186" t="n"/>
      <c r="E6" s="186" t="n"/>
      <c r="F6" s="177" t="inlineStr">
        <is>
          <t>Payment #</t>
        </is>
      </c>
      <c r="G6" s="177" t="inlineStr">
        <is>
          <t>Payment Amt</t>
        </is>
      </c>
      <c r="H6" s="177" t="inlineStr">
        <is>
          <t>Interest</t>
        </is>
      </c>
      <c r="I6" s="177" t="inlineStr">
        <is>
          <t>Principal</t>
        </is>
      </c>
      <c r="J6" s="177" t="inlineStr">
        <is>
          <t>Remaining Balance</t>
        </is>
      </c>
      <c r="K6" s="186" t="n"/>
      <c r="L6" s="175" t="n"/>
      <c r="M6" s="177" t="inlineStr">
        <is>
          <t>Yr 1</t>
        </is>
      </c>
      <c r="N6" s="177" t="inlineStr">
        <is>
          <t>Yr 2</t>
        </is>
      </c>
      <c r="O6" s="177" t="inlineStr">
        <is>
          <t>Yr 3</t>
        </is>
      </c>
      <c r="P6" s="177" t="inlineStr">
        <is>
          <t>Yr 4</t>
        </is>
      </c>
      <c r="Q6" s="177" t="inlineStr">
        <is>
          <t>Yr 5</t>
        </is>
      </c>
      <c r="R6" s="177" t="inlineStr">
        <is>
          <t>Yr 6</t>
        </is>
      </c>
      <c r="S6" s="177" t="inlineStr">
        <is>
          <t>Yr 7</t>
        </is>
      </c>
      <c r="T6" s="177" t="inlineStr">
        <is>
          <t>Yr 8</t>
        </is>
      </c>
      <c r="U6" s="177" t="inlineStr">
        <is>
          <t>Yr 9</t>
        </is>
      </c>
      <c r="V6" s="177" t="inlineStr">
        <is>
          <t>Yr 10</t>
        </is>
      </c>
      <c r="W6" s="178" t="inlineStr">
        <is>
          <t>Total</t>
        </is>
      </c>
      <c r="X6" s="186" t="n"/>
      <c r="Y6" s="186" t="n"/>
      <c r="Z6" s="186" t="n"/>
      <c r="AA6" s="186" t="n"/>
      <c r="AB6" s="186"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6" t="n"/>
      <c r="B7" s="186" t="inlineStr">
        <is>
          <t>Fixed or Floating</t>
        </is>
      </c>
      <c r="C7" s="197" t="inlineStr">
        <is>
          <t>Fixed</t>
        </is>
      </c>
      <c r="D7" s="186" t="n"/>
      <c r="E7" s="186" t="n"/>
      <c r="F7" s="213" t="n">
        <v>1</v>
      </c>
      <c r="G7" s="214">
        <f>$C$39</f>
        <v/>
      </c>
      <c r="H7" s="214">
        <f>(C31*C16)/12</f>
        <v/>
      </c>
      <c r="I7" s="214" t="n">
        <v>0</v>
      </c>
      <c r="J7" s="214">
        <f>C31-I7</f>
        <v/>
      </c>
      <c r="K7" s="186" t="n"/>
      <c r="L7" s="176" t="inlineStr">
        <is>
          <t>Principle</t>
        </is>
      </c>
      <c r="M7" s="841">
        <f>SUM(I7:I18)</f>
        <v/>
      </c>
      <c r="N7" s="841">
        <f>SUM(I19:I30)</f>
        <v/>
      </c>
      <c r="O7" s="841">
        <f>SUM(I31:I42)</f>
        <v/>
      </c>
      <c r="P7" s="841">
        <f>SUM(I43:I54)</f>
        <v/>
      </c>
      <c r="Q7" s="841">
        <f>SUM(I55:I66)</f>
        <v/>
      </c>
      <c r="R7" s="841">
        <f>SUM(I67:I78)</f>
        <v/>
      </c>
      <c r="S7" s="841">
        <f>SUM(I79:I90)</f>
        <v/>
      </c>
      <c r="T7" s="841">
        <f>SUM(I91:I102)</f>
        <v/>
      </c>
      <c r="U7" s="841">
        <f>SUM(I103:I114)</f>
        <v/>
      </c>
      <c r="V7" s="841">
        <f>SUM(I115:I126)</f>
        <v/>
      </c>
      <c r="W7" s="842">
        <f>SUM(M7:V7)</f>
        <v/>
      </c>
      <c r="X7" s="186" t="n"/>
      <c r="Y7" s="186" t="n"/>
      <c r="Z7" s="186" t="n"/>
      <c r="AA7" s="186" t="n"/>
      <c r="AB7" s="186"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6" t="n"/>
      <c r="B8" s="186" t="inlineStr">
        <is>
          <t>Term (months)</t>
        </is>
      </c>
      <c r="C8" s="197" t="n">
        <v>120</v>
      </c>
      <c r="D8" s="186" t="n"/>
      <c r="E8" s="186" t="n"/>
      <c r="F8" s="213" t="n">
        <v>2</v>
      </c>
      <c r="G8" s="214">
        <f>$C$39</f>
        <v/>
      </c>
      <c r="H8" s="214">
        <f>(J7*$C$16)/12</f>
        <v/>
      </c>
      <c r="I8" s="214" t="n">
        <v>0</v>
      </c>
      <c r="J8" s="214">
        <f>J7-I8</f>
        <v/>
      </c>
      <c r="K8" s="190" t="n"/>
      <c r="L8" s="176" t="inlineStr">
        <is>
          <t>Interest</t>
        </is>
      </c>
      <c r="M8" s="841">
        <f>SUM(H7:H18)</f>
        <v/>
      </c>
      <c r="N8" s="841">
        <f>SUM(H19:H30)</f>
        <v/>
      </c>
      <c r="O8" s="841">
        <f>SUM(H31:H42)</f>
        <v/>
      </c>
      <c r="P8" s="841">
        <f>SUM(H42:H53)</f>
        <v/>
      </c>
      <c r="Q8" s="841">
        <f>SUM(H55:H66)</f>
        <v/>
      </c>
      <c r="R8" s="841">
        <f>SUM(H67:H78)</f>
        <v/>
      </c>
      <c r="S8" s="841">
        <f>SUM(H79:H90)</f>
        <v/>
      </c>
      <c r="T8" s="841">
        <f>SUM(H81:H92)</f>
        <v/>
      </c>
      <c r="U8" s="841">
        <f>SUM(H91:H102)</f>
        <v/>
      </c>
      <c r="V8" s="841">
        <f>SUM(H115:H126)</f>
        <v/>
      </c>
      <c r="W8" s="842">
        <f>SUM(M8:V8)</f>
        <v/>
      </c>
      <c r="X8" s="186" t="n"/>
      <c r="Y8" s="186" t="n"/>
      <c r="Z8" s="186" t="n"/>
      <c r="AA8" s="186" t="n"/>
      <c r="AB8" s="186"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6" t="n"/>
      <c r="B9" s="186" t="inlineStr">
        <is>
          <t>IO Period (months)</t>
        </is>
      </c>
      <c r="C9" s="197" t="n">
        <v>24</v>
      </c>
      <c r="D9" s="186" t="n"/>
      <c r="E9" s="186" t="n"/>
      <c r="F9" s="213" t="n">
        <v>3</v>
      </c>
      <c r="G9" s="214">
        <f>$C$39</f>
        <v/>
      </c>
      <c r="H9" s="214">
        <f>(J8*$C$16)/12</f>
        <v/>
      </c>
      <c r="I9" s="214" t="n">
        <v>0</v>
      </c>
      <c r="J9" s="214">
        <f>J8-I9</f>
        <v/>
      </c>
      <c r="K9" s="191" t="n"/>
      <c r="L9" s="176" t="inlineStr">
        <is>
          <t>Payoff</t>
        </is>
      </c>
      <c r="M9" s="843" t="n"/>
      <c r="N9" s="843" t="n"/>
      <c r="O9" s="843" t="n"/>
      <c r="P9" s="843" t="n"/>
      <c r="Q9" s="844" t="n"/>
      <c r="R9" s="844" t="n"/>
      <c r="S9" s="844" t="n"/>
      <c r="T9" s="844" t="n"/>
      <c r="U9" s="844" t="n"/>
      <c r="V9" s="844" t="n">
        <v>0</v>
      </c>
      <c r="W9" s="842">
        <f>SUM(M9:V9)</f>
        <v/>
      </c>
      <c r="X9" s="186" t="n"/>
      <c r="Y9" s="186" t="n"/>
      <c r="Z9" s="186" t="n"/>
      <c r="AA9" s="186" t="n"/>
      <c r="AB9" s="186"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6" t="n"/>
      <c r="B10" s="186" t="inlineStr">
        <is>
          <t>Amortization (months)</t>
        </is>
      </c>
      <c r="C10" s="197">
        <f>30*12</f>
        <v/>
      </c>
      <c r="D10" s="186" t="n"/>
      <c r="E10" s="186" t="n"/>
      <c r="F10" s="213" t="n">
        <v>4</v>
      </c>
      <c r="G10" s="214">
        <f>$C$39</f>
        <v/>
      </c>
      <c r="H10" s="214">
        <f>(J9*$C$16)/12</f>
        <v/>
      </c>
      <c r="I10" s="214" t="n">
        <v>0</v>
      </c>
      <c r="J10" s="214">
        <f>J9-I10</f>
        <v/>
      </c>
      <c r="K10" s="845" t="n"/>
      <c r="L10" s="183" t="inlineStr">
        <is>
          <t>Total</t>
        </is>
      </c>
      <c r="M10" s="846">
        <f>M7+M8+M9</f>
        <v/>
      </c>
      <c r="N10" s="846">
        <f>N7+N8+N9</f>
        <v/>
      </c>
      <c r="O10" s="846">
        <f>O7+O8+O9</f>
        <v/>
      </c>
      <c r="P10" s="846">
        <f>P7+P8+P9</f>
        <v/>
      </c>
      <c r="Q10" s="846">
        <f>Q7+Q8+Q9</f>
        <v/>
      </c>
      <c r="R10" s="846">
        <f>R7+R8+R9</f>
        <v/>
      </c>
      <c r="S10" s="846">
        <f>S7+S8+S9</f>
        <v/>
      </c>
      <c r="T10" s="846">
        <f>T7+T8+T9</f>
        <v/>
      </c>
      <c r="U10" s="846">
        <f>U7+U8+U9</f>
        <v/>
      </c>
      <c r="V10" s="846">
        <f>V7+V8+V9</f>
        <v/>
      </c>
      <c r="W10" s="847">
        <f>SUM(M10:V10)</f>
        <v/>
      </c>
      <c r="X10" s="186" t="n"/>
      <c r="Y10" s="186" t="n"/>
      <c r="Z10" s="186" t="n"/>
      <c r="AA10" s="186" t="n"/>
      <c r="AB10" s="186"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6" t="n"/>
      <c r="B11" s="186" t="inlineStr">
        <is>
          <t>Prepayment Structure</t>
        </is>
      </c>
      <c r="C11" s="202" t="inlineStr">
        <is>
          <t>Yield Maintenance</t>
        </is>
      </c>
      <c r="D11" s="186" t="n"/>
      <c r="E11" s="186" t="n"/>
      <c r="F11" s="213" t="n">
        <v>5</v>
      </c>
      <c r="G11" s="214">
        <f>$C$39</f>
        <v/>
      </c>
      <c r="H11" s="214">
        <f>(J10*$C$16)/12</f>
        <v/>
      </c>
      <c r="I11" s="214" t="n">
        <v>0</v>
      </c>
      <c r="J11" s="214">
        <f>J10-I11</f>
        <v/>
      </c>
      <c r="K11" s="845" t="n"/>
      <c r="L11" s="59" t="n"/>
      <c r="M11" s="59" t="n"/>
      <c r="N11" s="59" t="n"/>
      <c r="O11" s="59" t="n"/>
      <c r="P11" s="59" t="n"/>
      <c r="Q11" s="59" t="n"/>
      <c r="R11" s="59" t="n"/>
      <c r="S11" s="59" t="n"/>
      <c r="T11" s="59" t="n"/>
      <c r="U11" s="59" t="n"/>
      <c r="V11" s="59" t="n"/>
      <c r="W11" s="59" t="n"/>
      <c r="X11" s="186" t="n"/>
      <c r="Y11" s="186" t="n"/>
      <c r="Z11" s="186" t="n"/>
      <c r="AA11" s="186" t="n"/>
      <c r="AB11" s="186"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6" t="n"/>
      <c r="B12" s="59" t="n"/>
      <c r="C12" s="59" t="n"/>
      <c r="D12" s="186" t="n"/>
      <c r="E12" s="186" t="n"/>
      <c r="F12" s="213" t="n">
        <v>6</v>
      </c>
      <c r="G12" s="214">
        <f>$C$39</f>
        <v/>
      </c>
      <c r="H12" s="214">
        <f>(J11*$C$16)/12</f>
        <v/>
      </c>
      <c r="I12" s="214" t="n">
        <v>0</v>
      </c>
      <c r="J12" s="214">
        <f>J11-I12</f>
        <v/>
      </c>
      <c r="K12" s="845" t="n"/>
      <c r="L12" s="59" t="n"/>
      <c r="M12" s="59" t="n"/>
      <c r="N12" s="59" t="n"/>
      <c r="O12" s="59" t="n"/>
      <c r="P12" s="59" t="n"/>
      <c r="Q12" s="59" t="n"/>
      <c r="R12" s="59" t="n"/>
      <c r="S12" s="59" t="n"/>
      <c r="T12" s="59" t="n"/>
      <c r="U12" s="59" t="n"/>
      <c r="V12" s="59" t="n"/>
      <c r="W12" s="59" t="n"/>
      <c r="X12" s="186" t="n"/>
      <c r="Y12" s="186" t="n"/>
      <c r="Z12" s="186" t="n"/>
      <c r="AA12" s="186" t="n"/>
      <c r="AB12" s="186"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6" t="n"/>
      <c r="B13" s="200" t="inlineStr">
        <is>
          <t>Interest Rate Stack</t>
        </is>
      </c>
      <c r="C13" s="186" t="n"/>
      <c r="D13" s="186" t="n"/>
      <c r="E13" s="186" t="n"/>
      <c r="F13" s="213" t="n">
        <v>7</v>
      </c>
      <c r="G13" s="214">
        <f>$C$39</f>
        <v/>
      </c>
      <c r="H13" s="214">
        <f>(J12*$C$16)/12</f>
        <v/>
      </c>
      <c r="I13" s="214" t="n">
        <v>0</v>
      </c>
      <c r="J13" s="214">
        <f>J12-I13</f>
        <v/>
      </c>
      <c r="K13" s="845" t="n"/>
      <c r="L13" s="186" t="n"/>
      <c r="M13" s="188" t="n"/>
      <c r="N13" s="186" t="n"/>
      <c r="O13" s="186" t="n"/>
      <c r="P13" s="186" t="n"/>
      <c r="Q13" s="186" t="n"/>
      <c r="R13" s="186" t="n"/>
      <c r="S13" s="186" t="n"/>
      <c r="T13" s="186" t="n"/>
      <c r="U13" s="186" t="n"/>
      <c r="V13" s="186" t="n"/>
      <c r="W13" s="186" t="n"/>
      <c r="X13" s="186" t="n"/>
      <c r="Y13" s="186" t="n"/>
      <c r="Z13" s="186" t="n"/>
      <c r="AA13" s="186" t="n"/>
      <c r="AB13" s="186"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6" t="n"/>
      <c r="B14" s="186" t="inlineStr">
        <is>
          <t>US Treasury or SOFR</t>
        </is>
      </c>
      <c r="C14" s="195" t="n">
        <v>0.0405</v>
      </c>
      <c r="D14" s="186" t="n"/>
      <c r="E14" s="186" t="n"/>
      <c r="F14" s="213" t="n">
        <v>8</v>
      </c>
      <c r="G14" s="214">
        <f>$C$39</f>
        <v/>
      </c>
      <c r="H14" s="214">
        <f>(J13*$C$16)/12</f>
        <v/>
      </c>
      <c r="I14" s="214" t="n">
        <v>0</v>
      </c>
      <c r="J14" s="214">
        <f>J13-I14</f>
        <v/>
      </c>
      <c r="K14" s="186" t="n"/>
      <c r="L14" s="186" t="n"/>
      <c r="M14" s="188" t="n"/>
      <c r="N14" s="186" t="n"/>
      <c r="O14" s="186" t="n"/>
      <c r="P14" s="186" t="n"/>
      <c r="Q14" s="186" t="n"/>
      <c r="R14" s="186" t="n"/>
      <c r="S14" s="186" t="n"/>
      <c r="T14" s="186" t="n"/>
      <c r="U14" s="186" t="n"/>
      <c r="V14" s="186" t="n"/>
      <c r="W14" s="186" t="n"/>
      <c r="X14" s="186" t="n"/>
      <c r="Y14" s="186" t="n"/>
      <c r="Z14" s="186" t="n"/>
      <c r="AA14" s="186" t="n"/>
      <c r="AB14" s="186"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6" t="n"/>
      <c r="B15" s="186" t="inlineStr">
        <is>
          <t>Spread</t>
        </is>
      </c>
      <c r="C15" s="195" t="n">
        <v>0.0185</v>
      </c>
      <c r="D15" s="186" t="n"/>
      <c r="E15" s="186" t="n"/>
      <c r="F15" s="213" t="n">
        <v>9</v>
      </c>
      <c r="G15" s="214">
        <f>$C$39</f>
        <v/>
      </c>
      <c r="H15" s="214">
        <f>(J14*$C$16)/12</f>
        <v/>
      </c>
      <c r="I15" s="214" t="n">
        <v>0</v>
      </c>
      <c r="J15" s="214">
        <f>J14-I15</f>
        <v/>
      </c>
      <c r="K15" s="186" t="n"/>
      <c r="L15" s="186" t="n"/>
      <c r="M15" s="186" t="n"/>
      <c r="N15" s="186" t="n"/>
      <c r="O15" s="191" t="n"/>
      <c r="P15" s="186" t="n"/>
      <c r="Q15" s="186" t="n"/>
      <c r="R15" s="186" t="n"/>
      <c r="S15" s="186" t="n"/>
      <c r="T15" s="186" t="n"/>
      <c r="U15" s="186" t="n"/>
      <c r="V15" s="186" t="n"/>
      <c r="W15" s="186" t="n"/>
      <c r="X15" s="186" t="n"/>
      <c r="Y15" s="186" t="n"/>
      <c r="Z15" s="186" t="n"/>
      <c r="AA15" s="186" t="n"/>
      <c r="AB15" s="186"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6" t="n"/>
      <c r="B16" s="191" t="inlineStr">
        <is>
          <t>Total Interest Rate</t>
        </is>
      </c>
      <c r="C16" s="193">
        <f>C14+C15</f>
        <v/>
      </c>
      <c r="D16" s="186" t="n"/>
      <c r="E16" s="186" t="n"/>
      <c r="F16" s="213" t="n">
        <v>10</v>
      </c>
      <c r="G16" s="214">
        <f>$C$39</f>
        <v/>
      </c>
      <c r="H16" s="214">
        <f>(J15*$C$16)/12</f>
        <v/>
      </c>
      <c r="I16" s="214" t="n">
        <v>0</v>
      </c>
      <c r="J16" s="214">
        <f>J15-I16</f>
        <v/>
      </c>
      <c r="K16" s="186" t="n"/>
      <c r="L16" s="203" t="n"/>
      <c r="M16" s="186" t="n"/>
      <c r="N16" s="186" t="n"/>
      <c r="O16" s="204" t="n"/>
      <c r="P16" s="186" t="n"/>
      <c r="Q16" s="186" t="n"/>
      <c r="R16" s="186" t="n"/>
      <c r="S16" s="186" t="n"/>
      <c r="T16" s="186" t="n"/>
      <c r="U16" s="186" t="n"/>
      <c r="V16" s="186" t="n"/>
      <c r="W16" s="186" t="n"/>
      <c r="X16" s="186" t="n"/>
      <c r="Y16" s="186" t="n"/>
      <c r="Z16" s="186" t="n"/>
      <c r="AA16" s="186" t="n"/>
      <c r="AB16" s="186"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6" t="n"/>
      <c r="B17" s="186" t="inlineStr">
        <is>
          <t>Mortgage Costant</t>
        </is>
      </c>
      <c r="C17" s="198">
        <f>IFERROR(PMT(C16/12,C$10,(-1))*12," ")</f>
        <v/>
      </c>
      <c r="D17" s="186" t="n"/>
      <c r="E17" s="186" t="n"/>
      <c r="F17" s="213" t="n">
        <v>11</v>
      </c>
      <c r="G17" s="214">
        <f>$C$39</f>
        <v/>
      </c>
      <c r="H17" s="214">
        <f>(J16*$C$16)/12</f>
        <v/>
      </c>
      <c r="I17" s="214" t="n">
        <v>0</v>
      </c>
      <c r="J17" s="214">
        <f>J16-I17</f>
        <v/>
      </c>
      <c r="K17" s="186" t="n"/>
      <c r="L17" s="186" t="n"/>
      <c r="M17" s="186" t="n"/>
      <c r="N17" s="186" t="n"/>
      <c r="O17" s="204" t="n"/>
      <c r="P17" s="186" t="n"/>
      <c r="Q17" s="186" t="n"/>
      <c r="R17" s="186" t="n"/>
      <c r="S17" s="186" t="n"/>
      <c r="T17" s="186" t="n"/>
      <c r="U17" s="186" t="n"/>
      <c r="V17" s="186" t="n"/>
      <c r="W17" s="186" t="n"/>
      <c r="X17" s="186" t="n"/>
      <c r="Y17" s="186" t="n"/>
      <c r="Z17" s="186" t="n"/>
      <c r="AA17" s="186" t="n"/>
      <c r="AB17" s="186"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6" t="n"/>
      <c r="D18" s="186" t="n"/>
      <c r="E18" s="186" t="n"/>
      <c r="F18" s="504" t="n">
        <v>12</v>
      </c>
      <c r="G18" s="505">
        <f>$C$39</f>
        <v/>
      </c>
      <c r="H18" s="505">
        <f>(J17*$C$16)/12</f>
        <v/>
      </c>
      <c r="I18" s="505" t="n">
        <v>0</v>
      </c>
      <c r="J18" s="505">
        <f>J17-I18</f>
        <v/>
      </c>
      <c r="K18" s="186" t="n"/>
      <c r="L18" s="186" t="n"/>
      <c r="M18" s="186" t="n"/>
      <c r="N18" s="186" t="n"/>
      <c r="O18" s="204" t="n"/>
      <c r="P18" s="186" t="n"/>
      <c r="Q18" s="186" t="n"/>
      <c r="R18" s="186" t="n"/>
      <c r="S18" s="186" t="n"/>
      <c r="T18" s="186" t="n"/>
      <c r="U18" s="186" t="n"/>
      <c r="V18" s="186" t="n"/>
      <c r="W18" s="186" t="n"/>
      <c r="X18" s="186" t="n"/>
      <c r="Y18" s="186" t="n"/>
      <c r="Z18" s="186" t="n"/>
      <c r="AA18" s="186" t="n"/>
      <c r="AB18" s="186"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6" t="n"/>
      <c r="B19" s="186" t="inlineStr">
        <is>
          <t>Purchase Price</t>
        </is>
      </c>
      <c r="C19" s="263">
        <f>'Sources and Uses'!C13</f>
        <v/>
      </c>
      <c r="D19" s="186" t="n"/>
      <c r="E19" s="186" t="n"/>
      <c r="F19" s="213" t="n">
        <v>13</v>
      </c>
      <c r="G19" s="214">
        <f>$C$39</f>
        <v/>
      </c>
      <c r="H19" s="214">
        <f>(J18*$C$16)/12</f>
        <v/>
      </c>
      <c r="I19" s="214" t="n">
        <v>0</v>
      </c>
      <c r="J19" s="214">
        <f>J18-I19</f>
        <v/>
      </c>
      <c r="K19" s="186" t="n"/>
      <c r="L19" s="186" t="n"/>
      <c r="M19" s="186" t="n"/>
      <c r="N19" s="186" t="n"/>
      <c r="O19" s="204" t="n"/>
      <c r="P19" s="186" t="n"/>
      <c r="Q19" s="186" t="n"/>
      <c r="R19" s="186" t="n"/>
      <c r="S19" s="186" t="n"/>
      <c r="T19" s="186" t="n"/>
      <c r="U19" s="186" t="n"/>
      <c r="V19" s="186" t="n"/>
      <c r="W19" s="186" t="n"/>
      <c r="X19" s="186" t="n"/>
      <c r="Y19" s="186" t="n"/>
      <c r="Z19" s="186" t="n"/>
      <c r="AA19" s="186" t="n"/>
      <c r="AB19" s="186"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6" t="n"/>
      <c r="B20" s="186" t="inlineStr">
        <is>
          <t>Closing Costs</t>
        </is>
      </c>
      <c r="C20" s="274" t="n">
        <v>0</v>
      </c>
      <c r="D20" s="186" t="n"/>
      <c r="E20" s="186" t="n"/>
      <c r="F20" s="213" t="n">
        <v>14</v>
      </c>
      <c r="G20" s="214">
        <f>$C$39</f>
        <v/>
      </c>
      <c r="H20" s="214">
        <f>(J19*$C$16)/12</f>
        <v/>
      </c>
      <c r="I20" s="214" t="n">
        <v>0</v>
      </c>
      <c r="J20" s="214">
        <f>J19-I20</f>
        <v/>
      </c>
      <c r="K20" s="186" t="n"/>
      <c r="L20" s="186" t="n"/>
      <c r="M20" s="186" t="n"/>
      <c r="N20" s="186" t="n"/>
      <c r="O20" s="204" t="n"/>
      <c r="P20" s="186" t="n"/>
      <c r="Q20" s="848" t="n"/>
      <c r="R20" s="848" t="n"/>
      <c r="S20" s="849" t="n"/>
      <c r="T20" s="186" t="n"/>
      <c r="U20" s="186" t="n"/>
      <c r="V20" s="186" t="n"/>
      <c r="W20" s="186" t="n"/>
      <c r="X20" s="186" t="n"/>
      <c r="Y20" s="186" t="n"/>
      <c r="Z20" s="186" t="n"/>
      <c r="AA20" s="186" t="n"/>
      <c r="AB20" s="186"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6" t="n"/>
      <c r="B21" s="186" t="inlineStr">
        <is>
          <t>Capital Expenditure</t>
        </is>
      </c>
      <c r="C21" s="263">
        <f>'Sources and Uses'!C17</f>
        <v/>
      </c>
      <c r="D21" s="186" t="n"/>
      <c r="E21" s="186" t="n"/>
      <c r="F21" s="213" t="n">
        <v>15</v>
      </c>
      <c r="G21" s="214">
        <f>$C$39</f>
        <v/>
      </c>
      <c r="H21" s="214">
        <f>(J20*$C$16)/12</f>
        <v/>
      </c>
      <c r="I21" s="214" t="n">
        <v>0</v>
      </c>
      <c r="J21" s="214">
        <f>J20-I21</f>
        <v/>
      </c>
      <c r="K21" s="186" t="n"/>
      <c r="L21" s="186" t="n"/>
      <c r="M21" s="186" t="n"/>
      <c r="N21" s="186" t="n"/>
      <c r="O21" s="186" t="n"/>
      <c r="P21" s="186" t="n"/>
      <c r="Q21" s="186" t="n"/>
      <c r="R21" s="186" t="n"/>
      <c r="S21" s="849" t="n"/>
      <c r="T21" s="186" t="n"/>
      <c r="U21" s="186" t="n"/>
      <c r="V21" s="186" t="n"/>
      <c r="W21" s="186" t="n"/>
      <c r="X21" s="186" t="n"/>
      <c r="Y21" s="186" t="n"/>
      <c r="Z21" s="186" t="n"/>
      <c r="AA21" s="186" t="n"/>
      <c r="AB21" s="186"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6" t="n"/>
      <c r="B22" s="196" t="inlineStr">
        <is>
          <t>Total Cost Basis</t>
        </is>
      </c>
      <c r="C22" s="273">
        <f>C19+C20+C21</f>
        <v/>
      </c>
      <c r="D22" s="186" t="n"/>
      <c r="E22" s="186" t="n"/>
      <c r="F22" s="213" t="n">
        <v>16</v>
      </c>
      <c r="G22" s="214">
        <f>$C$39</f>
        <v/>
      </c>
      <c r="H22" s="214">
        <f>(J21*$C$16)/12</f>
        <v/>
      </c>
      <c r="I22" s="214" t="n">
        <v>0</v>
      </c>
      <c r="J22" s="214">
        <f>J21-I22</f>
        <v/>
      </c>
      <c r="K22" s="186" t="n"/>
      <c r="L22" s="186" t="n"/>
      <c r="M22" s="186" t="n"/>
      <c r="N22" s="186" t="n"/>
      <c r="O22" s="186" t="n"/>
      <c r="P22" s="186" t="n"/>
      <c r="Q22" s="186" t="n"/>
      <c r="R22" s="186" t="n"/>
      <c r="S22" s="849" t="n"/>
      <c r="T22" s="186" t="n"/>
      <c r="U22" s="186" t="n"/>
      <c r="V22" s="186" t="n"/>
      <c r="W22" s="186" t="n"/>
      <c r="X22" s="186" t="n"/>
      <c r="Y22" s="186" t="n"/>
      <c r="Z22" s="186" t="n"/>
      <c r="AA22" s="186" t="n"/>
      <c r="AB22" s="186"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6" t="n"/>
      <c r="B23" s="59" t="n"/>
      <c r="C23" s="59" t="n"/>
      <c r="D23" s="186" t="n"/>
      <c r="E23" s="186" t="n"/>
      <c r="F23" s="213" t="n">
        <v>17</v>
      </c>
      <c r="G23" s="214">
        <f>$C$39</f>
        <v/>
      </c>
      <c r="H23" s="214">
        <f>(J22*$C$16)/12</f>
        <v/>
      </c>
      <c r="I23" s="214" t="n">
        <v>0</v>
      </c>
      <c r="J23" s="214">
        <f>J22-I23</f>
        <v/>
      </c>
      <c r="K23" s="186" t="n"/>
      <c r="L23" s="186" t="n"/>
      <c r="M23" s="186" t="n"/>
      <c r="N23" s="186" t="n"/>
      <c r="O23" s="186" t="n"/>
      <c r="P23" s="186" t="n"/>
      <c r="Q23" s="186" t="n"/>
      <c r="R23" s="186" t="n"/>
      <c r="S23" s="186" t="n"/>
      <c r="T23" s="186" t="n"/>
      <c r="U23" s="186" t="n"/>
      <c r="V23" s="186" t="n"/>
      <c r="W23" s="186" t="n"/>
      <c r="X23" s="186" t="n"/>
      <c r="Y23" s="186" t="n"/>
      <c r="Z23" s="186" t="n"/>
      <c r="AA23" s="186" t="n"/>
      <c r="AB23" s="186"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6" t="n"/>
      <c r="B24" s="149" t="inlineStr">
        <is>
          <t>Max Loan to Value</t>
        </is>
      </c>
      <c r="C24" s="224" t="n">
        <v>0.7</v>
      </c>
      <c r="D24" s="186" t="n"/>
      <c r="E24" s="186" t="n"/>
      <c r="F24" s="213" t="n">
        <v>18</v>
      </c>
      <c r="G24" s="214">
        <f>$C$39</f>
        <v/>
      </c>
      <c r="H24" s="214">
        <f>(J23*$C$16)/12</f>
        <v/>
      </c>
      <c r="I24" s="214" t="n">
        <v>0</v>
      </c>
      <c r="J24" s="214">
        <f>J23-I24</f>
        <v/>
      </c>
      <c r="K24" s="186" t="n"/>
      <c r="L24" s="186" t="n"/>
      <c r="M24" s="186" t="n"/>
      <c r="N24" s="186" t="n"/>
      <c r="O24" s="186" t="n"/>
      <c r="P24" s="186" t="n"/>
      <c r="Q24" s="188" t="n"/>
      <c r="R24" s="188" t="n"/>
      <c r="S24" s="186" t="n"/>
      <c r="T24" s="186" t="n"/>
      <c r="U24" s="186" t="n"/>
      <c r="V24" s="186" t="n"/>
      <c r="W24" s="186" t="n"/>
      <c r="X24" s="186" t="n"/>
      <c r="Y24" s="186" t="n"/>
      <c r="Z24" s="186" t="n"/>
      <c r="AA24" s="186" t="n"/>
      <c r="AB24" s="186"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6" t="n"/>
      <c r="B25" s="149" t="inlineStr">
        <is>
          <t>Min DSCR</t>
        </is>
      </c>
      <c r="C25" s="225" t="n">
        <v>1.25</v>
      </c>
      <c r="D25" s="186" t="n"/>
      <c r="E25" s="186" t="n"/>
      <c r="F25" s="213" t="n">
        <v>19</v>
      </c>
      <c r="G25" s="214">
        <f>$C$39</f>
        <v/>
      </c>
      <c r="H25" s="214">
        <f>(J24*$C$16)/12</f>
        <v/>
      </c>
      <c r="I25" s="214" t="n">
        <v>0</v>
      </c>
      <c r="J25" s="214">
        <f>J24-I25</f>
        <v/>
      </c>
      <c r="K25" s="186" t="n"/>
      <c r="L25" s="186" t="n"/>
      <c r="M25" s="186" t="n"/>
      <c r="N25" s="186" t="n"/>
      <c r="O25" s="186" t="n"/>
      <c r="P25" s="186" t="n"/>
      <c r="Q25" s="186" t="n"/>
      <c r="R25" s="186" t="n"/>
      <c r="S25" s="186" t="n"/>
      <c r="T25" s="186" t="n"/>
      <c r="U25" s="186" t="n"/>
      <c r="V25" s="186" t="n"/>
      <c r="W25" s="186" t="n"/>
      <c r="X25" s="186" t="n"/>
      <c r="Y25" s="186" t="n"/>
      <c r="Z25" s="186" t="n"/>
      <c r="AA25" s="186" t="n"/>
      <c r="AB25" s="186"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6" t="n"/>
      <c r="B26" s="59" t="n"/>
      <c r="C26" s="59" t="n"/>
      <c r="D26" s="186" t="n"/>
      <c r="E26" s="186" t="n"/>
      <c r="F26" s="213" t="n">
        <v>20</v>
      </c>
      <c r="G26" s="214">
        <f>$C$39</f>
        <v/>
      </c>
      <c r="H26" s="214">
        <f>(J25*$C$16)/12</f>
        <v/>
      </c>
      <c r="I26" s="214" t="n">
        <v>0</v>
      </c>
      <c r="J26" s="214">
        <f>J25-I26</f>
        <v/>
      </c>
      <c r="K26" s="186" t="n"/>
      <c r="L26" s="186" t="n"/>
      <c r="M26" s="186" t="n"/>
      <c r="N26" s="186" t="n"/>
      <c r="O26" s="186" t="n"/>
      <c r="P26" s="186" t="n"/>
      <c r="Q26" s="186" t="n"/>
      <c r="R26" s="186" t="n"/>
      <c r="S26" s="849" t="n"/>
      <c r="T26" s="186" t="n"/>
      <c r="U26" s="186" t="n"/>
      <c r="V26" s="186" t="n"/>
      <c r="W26" s="186" t="n"/>
      <c r="X26" s="186" t="n"/>
      <c r="Y26" s="186" t="n"/>
      <c r="Z26" s="186" t="n"/>
      <c r="AA26" s="186" t="n"/>
      <c r="AB26" s="186"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n"/>
      <c r="B27" s="191" t="inlineStr">
        <is>
          <t>Net Operating Income</t>
        </is>
      </c>
      <c r="C27" s="278">
        <f>'GGC Underwriting'!I47</f>
        <v/>
      </c>
      <c r="D27" s="186" t="n"/>
      <c r="E27" s="186" t="n"/>
      <c r="F27" s="213" t="n">
        <v>21</v>
      </c>
      <c r="G27" s="214">
        <f>$C$39</f>
        <v/>
      </c>
      <c r="H27" s="214">
        <f>(J26*$C$16)/12</f>
        <v/>
      </c>
      <c r="I27" s="214" t="n">
        <v>0</v>
      </c>
      <c r="J27" s="214">
        <f>J26-I27</f>
        <v/>
      </c>
      <c r="K27" s="186" t="n"/>
      <c r="L27" s="186" t="n"/>
      <c r="M27" s="849" t="n"/>
      <c r="N27" s="186" t="n"/>
      <c r="O27" s="186" t="n"/>
      <c r="P27" s="186" t="n"/>
      <c r="Q27" s="186" t="n"/>
      <c r="R27" s="186" t="n"/>
      <c r="S27" s="186" t="n"/>
      <c r="T27" s="186" t="n"/>
      <c r="U27" s="186" t="n"/>
      <c r="V27" s="186" t="n"/>
      <c r="W27" s="186" t="n"/>
      <c r="X27" s="186" t="n"/>
      <c r="Y27" s="186" t="n"/>
      <c r="Z27" s="186" t="n"/>
      <c r="AA27" s="186" t="n"/>
      <c r="AB27" s="186"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6" t="n"/>
      <c r="B28" s="186" t="n"/>
      <c r="C28" s="186" t="n"/>
      <c r="D28" s="186" t="n"/>
      <c r="E28" s="186" t="n"/>
      <c r="F28" s="213" t="n">
        <v>22</v>
      </c>
      <c r="G28" s="214">
        <f>$C$39</f>
        <v/>
      </c>
      <c r="H28" s="214">
        <f>(J27*$C$16)/12</f>
        <v/>
      </c>
      <c r="I28" s="214" t="n">
        <v>0</v>
      </c>
      <c r="J28" s="214">
        <f>J27-I28</f>
        <v/>
      </c>
      <c r="K28" s="186" t="n"/>
      <c r="L28" s="186" t="n"/>
      <c r="M28" s="849" t="n"/>
      <c r="N28" s="186" t="n"/>
      <c r="O28" s="204" t="n"/>
      <c r="P28" s="186" t="n"/>
      <c r="Q28" s="186" t="n"/>
      <c r="R28" s="186" t="n"/>
      <c r="S28" s="186" t="n"/>
      <c r="T28" s="186" t="n"/>
      <c r="U28" s="186" t="n"/>
      <c r="V28" s="186" t="n"/>
      <c r="W28" s="186" t="n"/>
      <c r="X28" s="186" t="n"/>
      <c r="Y28" s="186" t="n"/>
      <c r="Z28" s="186" t="n"/>
      <c r="AA28" s="186" t="n"/>
      <c r="AB28" s="186"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6" t="n"/>
      <c r="B29" s="186" t="inlineStr">
        <is>
          <t>LTV Loan Amount</t>
        </is>
      </c>
      <c r="C29" s="271">
        <f>C24*(C19+C20)</f>
        <v/>
      </c>
      <c r="D29" s="186" t="n"/>
      <c r="E29" s="186" t="n"/>
      <c r="F29" s="213" t="n">
        <v>23</v>
      </c>
      <c r="G29" s="214">
        <f>$C$39</f>
        <v/>
      </c>
      <c r="H29" s="214">
        <f>(J28*$C$16)/12</f>
        <v/>
      </c>
      <c r="I29" s="214" t="n">
        <v>0</v>
      </c>
      <c r="J29" s="214">
        <f>J28-I29</f>
        <v/>
      </c>
      <c r="K29" s="186" t="n"/>
      <c r="L29" s="186" t="n"/>
      <c r="M29" s="186" t="n"/>
      <c r="N29" s="186" t="n"/>
      <c r="O29" s="204" t="n"/>
      <c r="P29" s="186" t="n"/>
      <c r="Q29" s="186" t="n"/>
      <c r="R29" s="186" t="n"/>
      <c r="S29" s="186" t="n"/>
      <c r="T29" s="186" t="n"/>
      <c r="U29" s="186" t="n"/>
      <c r="V29" s="186" t="n"/>
      <c r="W29" s="186" t="n"/>
      <c r="X29" s="186" t="n"/>
      <c r="Y29" s="186" t="n"/>
      <c r="Z29" s="186" t="n"/>
      <c r="AA29" s="186" t="n"/>
      <c r="AB29" s="186"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6" t="n"/>
      <c r="B30" s="186" t="inlineStr">
        <is>
          <t>DSCR Loan Amount</t>
        </is>
      </c>
      <c r="C30" s="272">
        <f>C27/C25/C17</f>
        <v/>
      </c>
      <c r="D30" s="186" t="n"/>
      <c r="E30" s="186" t="n"/>
      <c r="F30" s="504" t="n">
        <v>24</v>
      </c>
      <c r="G30" s="505">
        <f>$C$39</f>
        <v/>
      </c>
      <c r="H30" s="505">
        <f>(J29*$C$16)/12</f>
        <v/>
      </c>
      <c r="I30" s="505" t="n">
        <v>0</v>
      </c>
      <c r="J30" s="505">
        <f>J29-I30</f>
        <v/>
      </c>
      <c r="K30" s="186" t="n"/>
      <c r="L30" s="186" t="n"/>
      <c r="M30" s="188" t="n"/>
      <c r="N30" s="186" t="n"/>
      <c r="O30" s="204" t="n"/>
      <c r="P30" s="186" t="n"/>
      <c r="Q30" s="186" t="n"/>
      <c r="R30" s="186" t="n"/>
      <c r="S30" s="186" t="n"/>
      <c r="T30" s="186" t="n"/>
      <c r="U30" s="186" t="n"/>
      <c r="V30" s="186" t="n"/>
      <c r="W30" s="186" t="n"/>
      <c r="X30" s="186" t="n"/>
      <c r="Y30" s="186" t="n"/>
      <c r="Z30" s="186" t="n"/>
      <c r="AA30" s="186" t="n"/>
      <c r="AB30" s="186"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6" t="n"/>
      <c r="B31" s="191" t="inlineStr">
        <is>
          <t>Max Loan Amount</t>
        </is>
      </c>
      <c r="C31" s="264">
        <f>MIN(C29,C30)</f>
        <v/>
      </c>
      <c r="D31" s="186" t="n"/>
      <c r="E31" s="186" t="n"/>
      <c r="F31" s="213" t="n">
        <v>25</v>
      </c>
      <c r="G31" s="214">
        <f>$C$39</f>
        <v/>
      </c>
      <c r="H31" s="214">
        <f>(J30*$C$16)/12</f>
        <v/>
      </c>
      <c r="I31" s="214">
        <f>G31-H31</f>
        <v/>
      </c>
      <c r="J31" s="214">
        <f>J30-I31</f>
        <v/>
      </c>
      <c r="K31" s="186" t="n"/>
      <c r="L31" s="186" t="n"/>
      <c r="M31" s="186" t="n"/>
      <c r="N31" s="186" t="n"/>
      <c r="O31" s="204" t="n"/>
      <c r="P31" s="186" t="n"/>
      <c r="Q31" s="186" t="n"/>
      <c r="R31" s="186" t="n"/>
      <c r="S31" s="186" t="n"/>
      <c r="T31" s="186" t="n"/>
      <c r="U31" s="186" t="n"/>
      <c r="V31" s="186" t="n"/>
      <c r="W31" s="186" t="n"/>
      <c r="X31" s="186" t="n"/>
      <c r="Y31" s="186" t="n"/>
      <c r="Z31" s="186" t="n"/>
      <c r="AA31" s="186" t="n"/>
      <c r="AB31" s="186"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6" t="n"/>
      <c r="B32" s="186" t="n"/>
      <c r="C32" s="186" t="n"/>
      <c r="D32" s="186" t="n"/>
      <c r="E32" s="186" t="n"/>
      <c r="F32" s="213" t="n">
        <v>26</v>
      </c>
      <c r="G32" s="214">
        <f>$C$39</f>
        <v/>
      </c>
      <c r="H32" s="214">
        <f>(J31*$C$16)/12</f>
        <v/>
      </c>
      <c r="I32" s="214">
        <f>G32-H32</f>
        <v/>
      </c>
      <c r="J32" s="214">
        <f>J31-I32</f>
        <v/>
      </c>
      <c r="K32" s="186" t="n"/>
      <c r="L32" s="186" t="n"/>
      <c r="M32" s="186" t="n"/>
      <c r="N32" s="186" t="n"/>
      <c r="O32" s="204" t="n"/>
      <c r="P32" s="186" t="n"/>
      <c r="Q32" s="186" t="n"/>
      <c r="R32" s="186" t="n"/>
      <c r="S32" s="186" t="n"/>
      <c r="T32" s="186" t="n"/>
      <c r="U32" s="186" t="n"/>
      <c r="V32" s="186" t="n"/>
      <c r="W32" s="186" t="n"/>
      <c r="X32" s="186" t="n"/>
      <c r="Y32" s="186" t="n"/>
      <c r="Z32" s="186" t="n"/>
      <c r="AA32" s="186" t="n"/>
      <c r="AB32" s="186"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6" t="n"/>
      <c r="B33" s="186" t="inlineStr">
        <is>
          <t>Actual Loan to Value</t>
        </is>
      </c>
      <c r="C33" s="192">
        <f>C31/(C19+C20)</f>
        <v/>
      </c>
      <c r="D33" s="186" t="n"/>
      <c r="E33" s="186" t="n"/>
      <c r="F33" s="213" t="n">
        <v>27</v>
      </c>
      <c r="G33" s="214">
        <f>$C$39</f>
        <v/>
      </c>
      <c r="H33" s="214">
        <f>(J32*$C$16)/12</f>
        <v/>
      </c>
      <c r="I33" s="214">
        <f>G33-H33</f>
        <v/>
      </c>
      <c r="J33" s="214">
        <f>J32-I33</f>
        <v/>
      </c>
      <c r="K33" s="186" t="n"/>
      <c r="L33" s="186" t="n"/>
      <c r="M33" s="186" t="n"/>
      <c r="N33" s="186" t="n"/>
      <c r="O33" s="186" t="n"/>
      <c r="P33" s="191" t="n"/>
      <c r="Q33" s="191" t="n"/>
      <c r="R33" s="186" t="n"/>
      <c r="S33" s="186" t="n"/>
      <c r="T33" s="186" t="n"/>
      <c r="U33" s="186" t="n"/>
      <c r="V33" s="186" t="n"/>
      <c r="W33" s="186" t="n"/>
      <c r="X33" s="186" t="n"/>
      <c r="Y33" s="186" t="n"/>
      <c r="Z33" s="186" t="n"/>
      <c r="AA33" s="186" t="n"/>
      <c r="AB33" s="186"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6" t="n"/>
      <c r="B34" s="186" t="inlineStr">
        <is>
          <t>Actual Loan to Cost</t>
        </is>
      </c>
      <c r="C34" s="192">
        <f>-C31/C22</f>
        <v/>
      </c>
      <c r="D34" s="186" t="n"/>
      <c r="E34" s="186" t="n"/>
      <c r="F34" s="213" t="n">
        <v>28</v>
      </c>
      <c r="G34" s="214">
        <f>$C$39</f>
        <v/>
      </c>
      <c r="H34" s="214">
        <f>(J33*$C$16)/12</f>
        <v/>
      </c>
      <c r="I34" s="214">
        <f>G34-H34</f>
        <v/>
      </c>
      <c r="J34" s="214">
        <f>J33-I34</f>
        <v/>
      </c>
      <c r="K34" s="186" t="n"/>
      <c r="L34" s="186" t="n"/>
      <c r="M34" s="186" t="n"/>
      <c r="N34" s="186" t="n"/>
      <c r="O34" s="186" t="n"/>
      <c r="P34" s="186" t="n"/>
      <c r="Q34" s="186" t="n"/>
      <c r="R34" s="206" t="n"/>
      <c r="S34" s="186" t="n"/>
      <c r="T34" s="186" t="n"/>
      <c r="U34" s="186" t="n"/>
      <c r="V34" s="186" t="n"/>
      <c r="W34" s="186" t="n"/>
      <c r="X34" s="186" t="n"/>
      <c r="Y34" s="186" t="n"/>
      <c r="Z34" s="186" t="n"/>
      <c r="AA34" s="186" t="n"/>
      <c r="AB34" s="186"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6" t="n"/>
      <c r="B35" s="186" t="inlineStr">
        <is>
          <t>Actual DSCR</t>
        </is>
      </c>
      <c r="C35" s="265">
        <f>C27/(C31*C17)</f>
        <v/>
      </c>
      <c r="D35" s="186" t="n"/>
      <c r="E35" s="186" t="n"/>
      <c r="F35" s="213" t="n">
        <v>29</v>
      </c>
      <c r="G35" s="214">
        <f>$C$39</f>
        <v/>
      </c>
      <c r="H35" s="214">
        <f>(J34*$C$16)/12</f>
        <v/>
      </c>
      <c r="I35" s="214">
        <f>G35-H35</f>
        <v/>
      </c>
      <c r="J35" s="214">
        <f>J34-I35</f>
        <v/>
      </c>
      <c r="K35" s="186" t="n"/>
      <c r="L35" s="186" t="n"/>
      <c r="M35" s="186" t="n"/>
      <c r="N35" s="186" t="n"/>
      <c r="O35" s="186" t="n"/>
      <c r="P35" s="186" t="n"/>
      <c r="Q35" s="186" t="n"/>
      <c r="R35" s="186" t="n"/>
      <c r="S35" s="186" t="n"/>
      <c r="T35" s="186" t="n"/>
      <c r="U35" s="186" t="n"/>
      <c r="V35" s="186" t="n"/>
      <c r="W35" s="186" t="n"/>
      <c r="X35" s="186" t="n"/>
      <c r="Y35" s="186" t="n"/>
      <c r="Z35" s="186" t="n"/>
      <c r="AA35" s="186" t="n"/>
      <c r="AB35" s="186"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6" t="n"/>
      <c r="B36" s="186" t="inlineStr">
        <is>
          <t>Actual Debt Yield</t>
        </is>
      </c>
      <c r="C36" s="850">
        <f>C27/C31</f>
        <v/>
      </c>
      <c r="D36" s="186" t="n"/>
      <c r="E36" s="186" t="n"/>
      <c r="F36" s="213" t="n">
        <v>30</v>
      </c>
      <c r="G36" s="214">
        <f>$C$39</f>
        <v/>
      </c>
      <c r="H36" s="214">
        <f>(J35*$C$16)/12</f>
        <v/>
      </c>
      <c r="I36" s="214">
        <f>G36-H36</f>
        <v/>
      </c>
      <c r="J36" s="214">
        <f>J35-I36</f>
        <v/>
      </c>
      <c r="K36" s="186" t="n"/>
      <c r="L36" s="186" t="n"/>
      <c r="M36" s="849" t="n"/>
      <c r="N36" s="186" t="n"/>
      <c r="O36" s="186" t="n"/>
      <c r="P36" s="186" t="n"/>
      <c r="Q36" s="186" t="n"/>
      <c r="R36" s="207" t="n"/>
      <c r="S36" s="186" t="n"/>
      <c r="T36" s="186" t="n"/>
      <c r="U36" s="186" t="n"/>
      <c r="V36" s="186" t="n"/>
      <c r="W36" s="186" t="n"/>
      <c r="X36" s="186" t="n"/>
      <c r="Y36" s="186" t="n"/>
      <c r="Z36" s="186" t="n"/>
      <c r="AA36" s="186" t="n"/>
      <c r="AB36" s="186"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6" t="n"/>
      <c r="B37" s="59" t="n"/>
      <c r="C37" s="59" t="n"/>
      <c r="D37" s="186" t="n"/>
      <c r="E37" s="186" t="n"/>
      <c r="F37" s="213" t="n">
        <v>31</v>
      </c>
      <c r="G37" s="214">
        <f>$C$39</f>
        <v/>
      </c>
      <c r="H37" s="214">
        <f>(J36*$C$16)/12</f>
        <v/>
      </c>
      <c r="I37" s="214">
        <f>G37-H37</f>
        <v/>
      </c>
      <c r="J37" s="214">
        <f>J36-I37</f>
        <v/>
      </c>
      <c r="K37" s="186" t="n"/>
      <c r="L37" s="186" t="n"/>
      <c r="M37" s="849" t="n"/>
      <c r="N37" s="186" t="n"/>
      <c r="O37" s="186" t="n"/>
      <c r="P37" s="186" t="n"/>
      <c r="Q37" s="186" t="n"/>
      <c r="R37" s="186" t="n"/>
      <c r="S37" s="186" t="n"/>
      <c r="T37" s="186" t="n"/>
      <c r="U37" s="186" t="n"/>
      <c r="V37" s="186" t="n"/>
      <c r="W37" s="186" t="n"/>
      <c r="X37" s="186" t="n"/>
      <c r="Y37" s="186" t="n"/>
      <c r="Z37" s="186" t="n"/>
      <c r="AA37" s="186" t="n"/>
      <c r="AB37" s="186"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6" t="n"/>
      <c r="B38" s="186" t="inlineStr">
        <is>
          <t>Annual Debt Service</t>
        </is>
      </c>
      <c r="C38" s="272">
        <f>C31*C17</f>
        <v/>
      </c>
      <c r="D38" s="186" t="n"/>
      <c r="E38" s="186" t="n"/>
      <c r="F38" s="213" t="n">
        <v>32</v>
      </c>
      <c r="G38" s="214">
        <f>$C$39</f>
        <v/>
      </c>
      <c r="H38" s="214">
        <f>(J37*$C$16)/12</f>
        <v/>
      </c>
      <c r="I38" s="214">
        <f>G38-H38</f>
        <v/>
      </c>
      <c r="J38" s="214">
        <f>J37-I38</f>
        <v/>
      </c>
      <c r="K38" s="186" t="n"/>
      <c r="L38" s="186" t="n"/>
      <c r="M38" s="849" t="n"/>
      <c r="N38" s="186" t="n"/>
      <c r="O38" s="186" t="n"/>
      <c r="P38" s="186" t="n"/>
      <c r="Q38" s="186" t="n"/>
      <c r="R38" s="186" t="n"/>
      <c r="S38" s="186" t="n"/>
      <c r="T38" s="186" t="n"/>
      <c r="U38" s="186" t="n"/>
      <c r="V38" s="186" t="n"/>
      <c r="W38" s="186" t="n"/>
      <c r="X38" s="186" t="n"/>
      <c r="Y38" s="186" t="n"/>
      <c r="Z38" s="186" t="n"/>
      <c r="AA38" s="186" t="n"/>
      <c r="AB38" s="186"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6" t="n"/>
      <c r="B39" s="186" t="inlineStr">
        <is>
          <t>Monthly Debt Service</t>
        </is>
      </c>
      <c r="C39" s="279">
        <f>C38/12</f>
        <v/>
      </c>
      <c r="D39" s="186" t="n"/>
      <c r="E39" s="186" t="n"/>
      <c r="F39" s="213" t="n">
        <v>33</v>
      </c>
      <c r="G39" s="214">
        <f>$C$39</f>
        <v/>
      </c>
      <c r="H39" s="214">
        <f>(J38*$C$16)/12</f>
        <v/>
      </c>
      <c r="I39" s="214">
        <f>G39-H39</f>
        <v/>
      </c>
      <c r="J39" s="214">
        <f>J38-I39</f>
        <v/>
      </c>
      <c r="K39" s="186" t="n"/>
      <c r="L39" s="186" t="n"/>
      <c r="M39" s="186" t="n"/>
      <c r="N39" s="186" t="n"/>
      <c r="O39" s="186" t="n"/>
      <c r="P39" s="186" t="n"/>
      <c r="Q39" s="186" t="n"/>
      <c r="R39" s="186" t="n"/>
      <c r="S39" s="186" t="n"/>
      <c r="T39" s="186" t="n"/>
      <c r="U39" s="186" t="n"/>
      <c r="V39" s="186" t="n"/>
      <c r="W39" s="186" t="n"/>
      <c r="X39" s="186" t="n"/>
      <c r="Y39" s="186" t="n"/>
      <c r="Z39" s="186" t="n"/>
      <c r="AA39" s="186" t="n"/>
      <c r="AB39" s="186"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6" t="n"/>
      <c r="B40" s="186" t="n"/>
      <c r="C40" s="186" t="n"/>
      <c r="D40" s="186" t="n"/>
      <c r="E40" s="186" t="n"/>
      <c r="F40" s="213" t="n">
        <v>34</v>
      </c>
      <c r="G40" s="214">
        <f>$C$39</f>
        <v/>
      </c>
      <c r="H40" s="214">
        <f>(J39*$C$16)/12</f>
        <v/>
      </c>
      <c r="I40" s="214">
        <f>G40-H40</f>
        <v/>
      </c>
      <c r="J40" s="214">
        <f>J39-I40</f>
        <v/>
      </c>
      <c r="K40" s="186" t="n"/>
      <c r="L40" s="186" t="n"/>
      <c r="M40" s="186" t="n"/>
      <c r="N40" s="186" t="n"/>
      <c r="O40" s="186" t="n"/>
      <c r="P40" s="186" t="n"/>
      <c r="Q40" s="186" t="n"/>
      <c r="R40" s="186" t="n"/>
      <c r="S40" s="186" t="n"/>
      <c r="T40" s="186" t="n"/>
      <c r="U40" s="186" t="n"/>
      <c r="V40" s="186" t="n"/>
      <c r="W40" s="186" t="n"/>
      <c r="X40" s="186" t="n"/>
      <c r="Y40" s="186" t="n"/>
      <c r="Z40" s="186" t="n"/>
      <c r="AA40" s="186" t="n"/>
      <c r="AB40" s="186"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6" t="n"/>
      <c r="B41" s="186" t="n"/>
      <c r="C41" s="186" t="n"/>
      <c r="D41" s="186" t="n"/>
      <c r="E41" s="186" t="n"/>
      <c r="F41" s="213" t="n">
        <v>35</v>
      </c>
      <c r="G41" s="214">
        <f>$C$39</f>
        <v/>
      </c>
      <c r="H41" s="214">
        <f>(J40*$C$16)/12</f>
        <v/>
      </c>
      <c r="I41" s="214">
        <f>G41-H41</f>
        <v/>
      </c>
      <c r="J41" s="214">
        <f>J40-I41</f>
        <v/>
      </c>
      <c r="K41" s="186" t="n"/>
      <c r="L41" s="186" t="n"/>
      <c r="M41" s="186" t="n"/>
      <c r="N41" s="186" t="n"/>
      <c r="O41" s="186" t="n"/>
      <c r="P41" s="186" t="n"/>
      <c r="Q41" s="186" t="n"/>
      <c r="R41" s="186" t="n"/>
      <c r="S41" s="186" t="n"/>
      <c r="T41" s="186" t="n"/>
      <c r="U41" s="186" t="n"/>
      <c r="V41" s="186" t="n"/>
      <c r="W41" s="186" t="n"/>
      <c r="X41" s="186" t="n"/>
      <c r="Y41" s="186" t="n"/>
      <c r="Z41" s="186" t="n"/>
      <c r="AA41" s="186" t="n"/>
      <c r="AB41" s="186"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6" t="n"/>
      <c r="B42" s="186" t="n"/>
      <c r="C42" s="186" t="n"/>
      <c r="D42" s="186" t="n"/>
      <c r="E42" s="186" t="n"/>
      <c r="F42" s="504" t="n">
        <v>36</v>
      </c>
      <c r="G42" s="505">
        <f>$C$39</f>
        <v/>
      </c>
      <c r="H42" s="505">
        <f>(J41*$C$16)/12</f>
        <v/>
      </c>
      <c r="I42" s="505">
        <f>G42-H42</f>
        <v/>
      </c>
      <c r="J42" s="505">
        <f>J41-I42</f>
        <v/>
      </c>
      <c r="K42" s="186" t="n"/>
      <c r="L42" s="186" t="n"/>
      <c r="M42" s="186" t="n"/>
      <c r="N42" s="186" t="n"/>
      <c r="O42" s="186" t="n"/>
      <c r="P42" s="186" t="n"/>
      <c r="Q42" s="186" t="n"/>
      <c r="R42" s="186" t="n"/>
      <c r="S42" s="186" t="n"/>
      <c r="T42" s="186" t="n"/>
      <c r="U42" s="186" t="n"/>
      <c r="V42" s="186" t="n"/>
      <c r="W42" s="186" t="n"/>
      <c r="X42" s="186" t="n"/>
      <c r="Y42" s="186" t="n"/>
      <c r="Z42" s="186" t="n"/>
      <c r="AA42" s="186" t="n"/>
      <c r="AB42" s="186"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6" t="n"/>
      <c r="B43" s="186" t="n"/>
      <c r="C43" s="186" t="n"/>
      <c r="D43" s="186" t="n"/>
      <c r="E43" s="186" t="n"/>
      <c r="F43" s="213" t="n">
        <v>37</v>
      </c>
      <c r="G43" s="214">
        <f>$C$39</f>
        <v/>
      </c>
      <c r="H43" s="214">
        <f>(J42*$C$16)/12</f>
        <v/>
      </c>
      <c r="I43" s="214">
        <f>G43-H43</f>
        <v/>
      </c>
      <c r="J43" s="214">
        <f>J42-I43</f>
        <v/>
      </c>
      <c r="K43" s="186" t="n"/>
      <c r="L43" s="186" t="n"/>
      <c r="M43" s="186" t="n"/>
      <c r="N43" s="186" t="n"/>
      <c r="O43" s="186" t="n"/>
      <c r="P43" s="186" t="n"/>
      <c r="Q43" s="186" t="n"/>
      <c r="R43" s="186" t="n"/>
      <c r="S43" s="186" t="n"/>
      <c r="T43" s="186" t="n"/>
      <c r="U43" s="186" t="n"/>
      <c r="V43" s="186" t="n"/>
      <c r="W43" s="186" t="n"/>
      <c r="X43" s="186" t="n"/>
      <c r="Y43" s="186" t="n"/>
      <c r="Z43" s="186" t="n"/>
      <c r="AA43" s="186" t="n"/>
      <c r="AB43" s="186"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6" t="n"/>
      <c r="B44" s="186" t="n"/>
      <c r="C44" s="186" t="n"/>
      <c r="D44" s="186" t="n"/>
      <c r="E44" s="186" t="n"/>
      <c r="F44" s="213" t="n">
        <v>38</v>
      </c>
      <c r="G44" s="214">
        <f>$C$39</f>
        <v/>
      </c>
      <c r="H44" s="214">
        <f>(J43*$C$16)/12</f>
        <v/>
      </c>
      <c r="I44" s="214">
        <f>G44-H44</f>
        <v/>
      </c>
      <c r="J44" s="214">
        <f>J43-I44</f>
        <v/>
      </c>
      <c r="K44" s="186" t="n"/>
      <c r="L44" s="186" t="n"/>
      <c r="M44" s="186" t="n"/>
      <c r="N44" s="186" t="n"/>
      <c r="O44" s="186" t="n"/>
      <c r="P44" s="186" t="n"/>
      <c r="Q44" s="186" t="n"/>
      <c r="R44" s="186" t="n"/>
      <c r="S44" s="186" t="n"/>
      <c r="T44" s="186" t="n"/>
      <c r="U44" s="186" t="n"/>
      <c r="V44" s="186" t="n"/>
      <c r="W44" s="186" t="n"/>
      <c r="X44" s="186" t="n"/>
      <c r="Y44" s="186" t="n"/>
      <c r="Z44" s="186" t="n"/>
      <c r="AA44" s="186" t="n"/>
      <c r="AB44" s="186"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6" t="n"/>
      <c r="B45" s="186" t="n"/>
      <c r="C45" s="186" t="n"/>
      <c r="D45" s="186" t="n"/>
      <c r="E45" s="186" t="n"/>
      <c r="F45" s="213" t="n">
        <v>39</v>
      </c>
      <c r="G45" s="214">
        <f>$C$39</f>
        <v/>
      </c>
      <c r="H45" s="214">
        <f>(J44*$C$16)/12</f>
        <v/>
      </c>
      <c r="I45" s="214">
        <f>G45-H45</f>
        <v/>
      </c>
      <c r="J45" s="214">
        <f>J44-I45</f>
        <v/>
      </c>
      <c r="K45" s="186" t="n"/>
      <c r="L45" s="186" t="n"/>
      <c r="M45" s="186" t="n"/>
      <c r="N45" s="186" t="n"/>
      <c r="O45" s="186" t="n"/>
      <c r="P45" s="186" t="n"/>
      <c r="Q45" s="186" t="n"/>
      <c r="R45" s="186" t="n"/>
      <c r="S45" s="186" t="n"/>
      <c r="T45" s="186" t="n"/>
      <c r="U45" s="186" t="n"/>
      <c r="V45" s="186" t="n"/>
      <c r="W45" s="186" t="n"/>
      <c r="X45" s="186" t="n"/>
      <c r="Y45" s="186" t="n"/>
      <c r="Z45" s="186" t="n"/>
      <c r="AA45" s="186" t="n"/>
      <c r="AB45" s="186"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6" t="n"/>
      <c r="B46" s="186" t="n"/>
      <c r="C46" s="186" t="n"/>
      <c r="D46" s="186" t="n"/>
      <c r="E46" s="186" t="n"/>
      <c r="F46" s="213" t="n">
        <v>40</v>
      </c>
      <c r="G46" s="214">
        <f>$C$39</f>
        <v/>
      </c>
      <c r="H46" s="214">
        <f>(J45*$C$16)/12</f>
        <v/>
      </c>
      <c r="I46" s="214">
        <f>G46-H46</f>
        <v/>
      </c>
      <c r="J46" s="214">
        <f>J45-I46</f>
        <v/>
      </c>
      <c r="K46" s="186" t="n"/>
      <c r="L46" s="186" t="n"/>
      <c r="M46" s="186" t="n"/>
      <c r="N46" s="186" t="n"/>
      <c r="O46" s="186" t="n"/>
      <c r="P46" s="186" t="n"/>
      <c r="Q46" s="186" t="n"/>
      <c r="R46" s="186" t="n"/>
      <c r="S46" s="186" t="n"/>
      <c r="T46" s="186" t="n"/>
      <c r="U46" s="186" t="n"/>
      <c r="V46" s="186" t="n"/>
      <c r="W46" s="186" t="n"/>
      <c r="X46" s="186" t="n"/>
      <c r="Y46" s="186" t="n"/>
      <c r="Z46" s="186" t="n"/>
      <c r="AA46" s="186" t="n"/>
      <c r="AB46" s="186"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6" t="n"/>
      <c r="B47" s="186" t="n"/>
      <c r="C47" s="186" t="n"/>
      <c r="D47" s="186" t="n"/>
      <c r="E47" s="186" t="n"/>
      <c r="F47" s="213" t="n">
        <v>41</v>
      </c>
      <c r="G47" s="214">
        <f>$C$39</f>
        <v/>
      </c>
      <c r="H47" s="214">
        <f>(J46*$C$16)/12</f>
        <v/>
      </c>
      <c r="I47" s="214">
        <f>G47-H47</f>
        <v/>
      </c>
      <c r="J47" s="214">
        <f>J46-I47</f>
        <v/>
      </c>
      <c r="K47" s="186" t="n"/>
      <c r="L47" s="186" t="n"/>
      <c r="M47" s="186" t="n"/>
      <c r="N47" s="186" t="n"/>
      <c r="O47" s="186" t="n"/>
      <c r="P47" s="186" t="n"/>
      <c r="Q47" s="186" t="n"/>
      <c r="R47" s="186" t="n"/>
      <c r="S47" s="186" t="n"/>
      <c r="T47" s="186" t="n"/>
      <c r="U47" s="186" t="n"/>
      <c r="V47" s="186" t="n"/>
      <c r="W47" s="186" t="n"/>
      <c r="X47" s="186" t="n"/>
      <c r="Y47" s="186" t="n"/>
      <c r="Z47" s="186" t="n"/>
      <c r="AA47" s="186" t="n"/>
      <c r="AB47" s="186"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6" t="n"/>
      <c r="B48" s="186" t="n"/>
      <c r="C48" s="186" t="n"/>
      <c r="D48" s="186" t="n"/>
      <c r="E48" s="186" t="n"/>
      <c r="F48" s="213" t="n">
        <v>42</v>
      </c>
      <c r="G48" s="214">
        <f>$C$39</f>
        <v/>
      </c>
      <c r="H48" s="214">
        <f>(J47*$C$16)/12</f>
        <v/>
      </c>
      <c r="I48" s="214">
        <f>G48-H48</f>
        <v/>
      </c>
      <c r="J48" s="214">
        <f>J47-I48</f>
        <v/>
      </c>
      <c r="K48" s="186" t="n"/>
      <c r="L48" s="186" t="n"/>
      <c r="M48" s="186" t="n"/>
      <c r="N48" s="186" t="n"/>
      <c r="O48" s="186" t="n"/>
      <c r="P48" s="186" t="n"/>
      <c r="Q48" s="186" t="n"/>
      <c r="R48" s="186" t="n"/>
      <c r="S48" s="186" t="n"/>
      <c r="T48" s="186" t="n"/>
      <c r="U48" s="186" t="n"/>
      <c r="V48" s="186" t="n"/>
      <c r="W48" s="186" t="n"/>
      <c r="X48" s="186" t="n"/>
      <c r="Y48" s="186" t="n"/>
      <c r="Z48" s="186" t="n"/>
      <c r="AA48" s="186" t="n"/>
      <c r="AB48" s="186"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6" t="n"/>
      <c r="B49" s="186" t="n"/>
      <c r="C49" s="186" t="n"/>
      <c r="D49" s="186" t="n"/>
      <c r="E49" s="186" t="n"/>
      <c r="F49" s="213" t="n">
        <v>43</v>
      </c>
      <c r="G49" s="214">
        <f>$C$39</f>
        <v/>
      </c>
      <c r="H49" s="214">
        <f>(J48*$C$16)/12</f>
        <v/>
      </c>
      <c r="I49" s="214">
        <f>G49-H49</f>
        <v/>
      </c>
      <c r="J49" s="214">
        <f>J48-I49</f>
        <v/>
      </c>
      <c r="K49" s="186" t="n"/>
      <c r="L49" s="186" t="n"/>
      <c r="M49" s="186" t="n"/>
      <c r="N49" s="186" t="n"/>
      <c r="O49" s="186" t="n"/>
      <c r="P49" s="186" t="n"/>
      <c r="Q49" s="186" t="n"/>
      <c r="R49" s="186" t="n"/>
      <c r="S49" s="186" t="n"/>
      <c r="T49" s="186" t="n"/>
      <c r="U49" s="186" t="n"/>
      <c r="V49" s="186" t="n"/>
      <c r="W49" s="186" t="n"/>
      <c r="X49" s="186" t="n"/>
      <c r="Y49" s="186" t="n"/>
      <c r="Z49" s="186" t="n"/>
      <c r="AA49" s="186" t="n"/>
      <c r="AB49" s="186"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6" t="n"/>
      <c r="B50" s="186" t="n"/>
      <c r="C50" s="186" t="n"/>
      <c r="D50" s="186" t="n"/>
      <c r="E50" s="186" t="n"/>
      <c r="F50" s="213" t="n">
        <v>44</v>
      </c>
      <c r="G50" s="214">
        <f>$C$39</f>
        <v/>
      </c>
      <c r="H50" s="214">
        <f>(J49*$C$16)/12</f>
        <v/>
      </c>
      <c r="I50" s="214">
        <f>G50-H50</f>
        <v/>
      </c>
      <c r="J50" s="214">
        <f>J49-I50</f>
        <v/>
      </c>
      <c r="K50" s="186" t="n"/>
      <c r="L50" s="186" t="n"/>
      <c r="M50" s="186" t="n"/>
      <c r="N50" s="186" t="n"/>
      <c r="O50" s="186" t="n"/>
      <c r="P50" s="186" t="n"/>
      <c r="Q50" s="186" t="n"/>
      <c r="R50" s="186" t="n"/>
      <c r="S50" s="186" t="n"/>
      <c r="T50" s="186" t="n"/>
      <c r="U50" s="186" t="n"/>
      <c r="V50" s="186" t="n"/>
      <c r="W50" s="186" t="n"/>
      <c r="X50" s="186" t="n"/>
      <c r="Y50" s="186" t="n"/>
      <c r="Z50" s="186" t="n"/>
      <c r="AA50" s="186" t="n"/>
      <c r="AB50" s="186"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6" t="n"/>
      <c r="B51" s="186" t="n"/>
      <c r="C51" s="186" t="n"/>
      <c r="D51" s="186" t="n"/>
      <c r="E51" s="186" t="n"/>
      <c r="F51" s="213" t="n">
        <v>45</v>
      </c>
      <c r="G51" s="214">
        <f>$C$39</f>
        <v/>
      </c>
      <c r="H51" s="214">
        <f>(J50*$C$16)/12</f>
        <v/>
      </c>
      <c r="I51" s="214">
        <f>G51-H51</f>
        <v/>
      </c>
      <c r="J51" s="214">
        <f>J50-I51</f>
        <v/>
      </c>
      <c r="K51" s="186" t="n"/>
      <c r="L51" s="186" t="n"/>
      <c r="M51" s="186" t="n"/>
      <c r="N51" s="186" t="n"/>
      <c r="O51" s="186" t="n"/>
      <c r="P51" s="186" t="n"/>
      <c r="Q51" s="186" t="n"/>
      <c r="R51" s="186" t="n"/>
      <c r="S51" s="186" t="n"/>
      <c r="T51" s="186" t="n"/>
      <c r="U51" s="186" t="n"/>
      <c r="V51" s="186" t="n"/>
      <c r="W51" s="186" t="n"/>
      <c r="X51" s="186" t="n"/>
      <c r="Y51" s="186" t="n"/>
      <c r="Z51" s="186" t="n"/>
      <c r="AA51" s="186" t="n"/>
      <c r="AB51" s="186"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6" t="n"/>
      <c r="B52" s="186" t="n"/>
      <c r="C52" s="186" t="n"/>
      <c r="D52" s="186" t="n"/>
      <c r="E52" s="186" t="n"/>
      <c r="F52" s="213" t="n">
        <v>46</v>
      </c>
      <c r="G52" s="214">
        <f>$C$39</f>
        <v/>
      </c>
      <c r="H52" s="214">
        <f>(J51*$C$16)/12</f>
        <v/>
      </c>
      <c r="I52" s="214">
        <f>G52-H52</f>
        <v/>
      </c>
      <c r="J52" s="214">
        <f>J51-I52</f>
        <v/>
      </c>
      <c r="K52" s="186" t="n"/>
      <c r="L52" s="186" t="n"/>
      <c r="M52" s="186" t="n"/>
      <c r="N52" s="186" t="n"/>
      <c r="O52" s="186" t="n"/>
      <c r="P52" s="186" t="n"/>
      <c r="Q52" s="186" t="n"/>
      <c r="R52" s="186" t="n"/>
      <c r="S52" s="186" t="n"/>
      <c r="T52" s="186" t="n"/>
      <c r="U52" s="186" t="n"/>
      <c r="V52" s="186" t="n"/>
      <c r="W52" s="186" t="n"/>
      <c r="X52" s="186" t="n"/>
      <c r="Y52" s="186" t="n"/>
      <c r="Z52" s="186" t="n"/>
      <c r="AA52" s="186" t="n"/>
      <c r="AB52" s="186"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6" t="n"/>
      <c r="B53" s="186" t="n"/>
      <c r="C53" s="186" t="n"/>
      <c r="D53" s="186" t="n"/>
      <c r="E53" s="186" t="n"/>
      <c r="F53" s="213" t="n">
        <v>47</v>
      </c>
      <c r="G53" s="214">
        <f>$C$39</f>
        <v/>
      </c>
      <c r="H53" s="214">
        <f>(J52*$C$16)/12</f>
        <v/>
      </c>
      <c r="I53" s="214">
        <f>G53-H53</f>
        <v/>
      </c>
      <c r="J53" s="214">
        <f>J52-I53</f>
        <v/>
      </c>
      <c r="K53" s="186" t="n"/>
      <c r="L53" s="186" t="n"/>
      <c r="M53" s="186" t="n"/>
      <c r="N53" s="186" t="n"/>
      <c r="O53" s="186" t="n"/>
      <c r="P53" s="186" t="n"/>
      <c r="Q53" s="186" t="n"/>
      <c r="R53" s="186" t="n"/>
      <c r="S53" s="186" t="n"/>
      <c r="T53" s="186" t="n"/>
      <c r="U53" s="186" t="n"/>
      <c r="V53" s="186" t="n"/>
      <c r="W53" s="186" t="n"/>
      <c r="X53" s="186" t="n"/>
      <c r="Y53" s="186" t="n"/>
      <c r="Z53" s="186" t="n"/>
      <c r="AA53" s="186" t="n"/>
      <c r="AB53" s="186"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6" t="n"/>
      <c r="B54" s="186" t="n"/>
      <c r="C54" s="186" t="n"/>
      <c r="D54" s="186" t="n"/>
      <c r="E54" s="186" t="n"/>
      <c r="F54" s="504" t="n">
        <v>48</v>
      </c>
      <c r="G54" s="505">
        <f>$C$39</f>
        <v/>
      </c>
      <c r="H54" s="505">
        <f>(J53*$C$16)/12</f>
        <v/>
      </c>
      <c r="I54" s="505">
        <f>G54-H54</f>
        <v/>
      </c>
      <c r="J54" s="505">
        <f>J53-I54</f>
        <v/>
      </c>
      <c r="K54" s="186" t="n"/>
      <c r="L54" s="186" t="n"/>
      <c r="M54" s="186" t="n"/>
      <c r="N54" s="186" t="n"/>
      <c r="O54" s="186" t="n"/>
      <c r="P54" s="186" t="n"/>
      <c r="Q54" s="186" t="n"/>
      <c r="R54" s="186" t="n"/>
      <c r="S54" s="186" t="n"/>
      <c r="T54" s="186" t="n"/>
      <c r="U54" s="186" t="n"/>
      <c r="V54" s="186" t="n"/>
      <c r="W54" s="186" t="n"/>
      <c r="X54" s="186" t="n"/>
      <c r="Y54" s="186" t="n"/>
      <c r="Z54" s="186" t="n"/>
      <c r="AA54" s="186" t="n"/>
      <c r="AB54" s="186"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6" t="n"/>
      <c r="B55" s="186" t="n"/>
      <c r="C55" s="186" t="n"/>
      <c r="D55" s="186" t="n"/>
      <c r="E55" s="186" t="n"/>
      <c r="F55" s="213" t="n">
        <v>49</v>
      </c>
      <c r="G55" s="214">
        <f>$C$39</f>
        <v/>
      </c>
      <c r="H55" s="214">
        <f>(J54*$C$16)/12</f>
        <v/>
      </c>
      <c r="I55" s="214">
        <f>G55-H55</f>
        <v/>
      </c>
      <c r="J55" s="214">
        <f>J54-I55</f>
        <v/>
      </c>
      <c r="K55" s="186" t="n"/>
      <c r="L55" s="186" t="n"/>
      <c r="M55" s="186" t="n"/>
      <c r="N55" s="186" t="n"/>
      <c r="O55" s="186" t="n"/>
      <c r="P55" s="186" t="n"/>
      <c r="Q55" s="186" t="n"/>
      <c r="R55" s="186" t="n"/>
      <c r="S55" s="186" t="n"/>
      <c r="T55" s="186" t="n"/>
      <c r="U55" s="186" t="n"/>
      <c r="V55" s="186" t="n"/>
      <c r="W55" s="186" t="n"/>
      <c r="X55" s="186" t="n"/>
      <c r="Y55" s="186" t="n"/>
      <c r="Z55" s="186" t="n"/>
      <c r="AA55" s="186" t="n"/>
      <c r="AB55" s="186"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6" t="n"/>
      <c r="B56" s="186" t="n"/>
      <c r="C56" s="186" t="n"/>
      <c r="D56" s="186" t="n"/>
      <c r="E56" s="186" t="n"/>
      <c r="F56" s="213" t="n">
        <v>50</v>
      </c>
      <c r="G56" s="214">
        <f>$C$39</f>
        <v/>
      </c>
      <c r="H56" s="214">
        <f>(J55*$C$16)/12</f>
        <v/>
      </c>
      <c r="I56" s="214">
        <f>G56-H56</f>
        <v/>
      </c>
      <c r="J56" s="214">
        <f>J55-I56</f>
        <v/>
      </c>
      <c r="K56" s="186" t="n"/>
      <c r="L56" s="186" t="n"/>
      <c r="M56" s="186" t="n"/>
      <c r="N56" s="186" t="n"/>
      <c r="O56" s="186" t="n"/>
      <c r="P56" s="186" t="n"/>
      <c r="Q56" s="186" t="n"/>
      <c r="R56" s="186" t="n"/>
      <c r="S56" s="186" t="n"/>
      <c r="T56" s="186" t="n"/>
      <c r="U56" s="186" t="n"/>
      <c r="V56" s="186" t="n"/>
      <c r="W56" s="186" t="n"/>
      <c r="X56" s="186" t="n"/>
      <c r="Y56" s="186" t="n"/>
      <c r="Z56" s="186" t="n"/>
      <c r="AA56" s="186" t="n"/>
      <c r="AB56" s="186"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6" t="n"/>
      <c r="B57" s="186" t="n"/>
      <c r="C57" s="186" t="n"/>
      <c r="D57" s="186" t="n"/>
      <c r="E57" s="186" t="n"/>
      <c r="F57" s="213" t="n">
        <v>51</v>
      </c>
      <c r="G57" s="214">
        <f>$C$39</f>
        <v/>
      </c>
      <c r="H57" s="214">
        <f>(J56*$C$16)/12</f>
        <v/>
      </c>
      <c r="I57" s="214">
        <f>G57-H57</f>
        <v/>
      </c>
      <c r="J57" s="214">
        <f>J56-I57</f>
        <v/>
      </c>
      <c r="K57" s="186" t="n"/>
      <c r="L57" s="186" t="n"/>
      <c r="M57" s="186" t="n"/>
      <c r="N57" s="186" t="n"/>
      <c r="O57" s="186" t="n"/>
      <c r="P57" s="186" t="n"/>
      <c r="Q57" s="186" t="n"/>
      <c r="R57" s="186" t="n"/>
      <c r="S57" s="186" t="n"/>
      <c r="T57" s="186" t="n"/>
      <c r="U57" s="186" t="n"/>
      <c r="V57" s="186" t="n"/>
      <c r="W57" s="186" t="n"/>
      <c r="X57" s="186" t="n"/>
      <c r="Y57" s="186" t="n"/>
      <c r="Z57" s="186" t="n"/>
      <c r="AA57" s="186" t="n"/>
      <c r="AB57" s="186"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6" t="n"/>
      <c r="B58" s="186" t="n"/>
      <c r="C58" s="186" t="n"/>
      <c r="D58" s="186" t="n"/>
      <c r="E58" s="186" t="n"/>
      <c r="F58" s="213" t="n">
        <v>52</v>
      </c>
      <c r="G58" s="214">
        <f>$C$39</f>
        <v/>
      </c>
      <c r="H58" s="214">
        <f>(J57*$C$16)/12</f>
        <v/>
      </c>
      <c r="I58" s="214">
        <f>G58-H58</f>
        <v/>
      </c>
      <c r="J58" s="214">
        <f>J57-I58</f>
        <v/>
      </c>
      <c r="K58" s="186" t="n"/>
      <c r="L58" s="186" t="n"/>
      <c r="M58" s="186" t="n"/>
      <c r="N58" s="186" t="n"/>
      <c r="O58" s="186" t="n"/>
      <c r="P58" s="186" t="n"/>
      <c r="Q58" s="186" t="n"/>
      <c r="R58" s="186" t="n"/>
      <c r="S58" s="186" t="n"/>
      <c r="T58" s="186" t="n"/>
      <c r="U58" s="186" t="n"/>
      <c r="V58" s="186" t="n"/>
      <c r="W58" s="186" t="n"/>
      <c r="X58" s="186" t="n"/>
      <c r="Y58" s="186" t="n"/>
      <c r="Z58" s="186" t="n"/>
      <c r="AA58" s="186" t="n"/>
      <c r="AB58" s="186"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6" t="n"/>
      <c r="B59" s="186" t="n"/>
      <c r="C59" s="186" t="n"/>
      <c r="D59" s="186" t="n"/>
      <c r="E59" s="186" t="n"/>
      <c r="F59" s="213" t="n">
        <v>53</v>
      </c>
      <c r="G59" s="214">
        <f>$C$39</f>
        <v/>
      </c>
      <c r="H59" s="214">
        <f>(J58*$C$16)/12</f>
        <v/>
      </c>
      <c r="I59" s="214">
        <f>G59-H59</f>
        <v/>
      </c>
      <c r="J59" s="214">
        <f>J58-I59</f>
        <v/>
      </c>
      <c r="K59" s="186" t="n"/>
      <c r="L59" s="186" t="n"/>
      <c r="M59" s="186" t="n"/>
      <c r="N59" s="186" t="n"/>
      <c r="O59" s="186" t="n"/>
      <c r="P59" s="186" t="n"/>
      <c r="Q59" s="186" t="n"/>
      <c r="R59" s="186" t="n"/>
      <c r="S59" s="186" t="n"/>
      <c r="T59" s="186" t="n"/>
      <c r="U59" s="186" t="n"/>
      <c r="V59" s="186" t="n"/>
      <c r="W59" s="186" t="n"/>
      <c r="X59" s="186" t="n"/>
      <c r="Y59" s="186" t="n"/>
      <c r="Z59" s="186" t="n"/>
      <c r="AA59" s="186" t="n"/>
      <c r="AB59" s="186"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6" t="n"/>
      <c r="B60" s="186" t="n"/>
      <c r="C60" s="186" t="n"/>
      <c r="D60" s="186" t="n"/>
      <c r="E60" s="186" t="n"/>
      <c r="F60" s="213" t="n">
        <v>54</v>
      </c>
      <c r="G60" s="214">
        <f>$C$39</f>
        <v/>
      </c>
      <c r="H60" s="214">
        <f>(J59*$C$16)/12</f>
        <v/>
      </c>
      <c r="I60" s="214">
        <f>G60-H60</f>
        <v/>
      </c>
      <c r="J60" s="214">
        <f>J59-I60</f>
        <v/>
      </c>
      <c r="K60" s="186" t="n"/>
      <c r="L60" s="186" t="n"/>
      <c r="M60" s="186" t="n"/>
      <c r="N60" s="186" t="n"/>
      <c r="O60" s="186" t="n"/>
      <c r="P60" s="186" t="n"/>
      <c r="Q60" s="186" t="n"/>
      <c r="R60" s="186" t="n"/>
      <c r="S60" s="186" t="n"/>
      <c r="T60" s="186" t="n"/>
      <c r="U60" s="186" t="n"/>
      <c r="V60" s="186" t="n"/>
      <c r="W60" s="186" t="n"/>
      <c r="X60" s="186" t="n"/>
      <c r="Y60" s="186" t="n"/>
      <c r="Z60" s="186" t="n"/>
      <c r="AA60" s="186" t="n"/>
      <c r="AB60" s="186"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6" t="n"/>
      <c r="B61" s="186" t="n"/>
      <c r="C61" s="186" t="n"/>
      <c r="D61" s="186" t="n"/>
      <c r="E61" s="186" t="n"/>
      <c r="F61" s="213" t="n">
        <v>55</v>
      </c>
      <c r="G61" s="214">
        <f>$C$39</f>
        <v/>
      </c>
      <c r="H61" s="214">
        <f>(J60*$C$16)/12</f>
        <v/>
      </c>
      <c r="I61" s="214">
        <f>G61-H61</f>
        <v/>
      </c>
      <c r="J61" s="214">
        <f>J60-I61</f>
        <v/>
      </c>
      <c r="K61" s="186" t="n"/>
      <c r="L61" s="186" t="n"/>
      <c r="M61" s="186" t="n"/>
      <c r="N61" s="186" t="n"/>
      <c r="O61" s="186" t="n"/>
      <c r="P61" s="186" t="n"/>
      <c r="Q61" s="186" t="n"/>
      <c r="R61" s="186" t="n"/>
      <c r="S61" s="186" t="n"/>
      <c r="T61" s="186" t="n"/>
      <c r="U61" s="186" t="n"/>
      <c r="V61" s="186" t="n"/>
      <c r="W61" s="186" t="n"/>
      <c r="X61" s="186" t="n"/>
      <c r="Y61" s="186" t="n"/>
      <c r="Z61" s="186" t="n"/>
      <c r="AA61" s="186" t="n"/>
      <c r="AB61" s="186"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6" t="n"/>
      <c r="B62" s="186" t="n"/>
      <c r="C62" s="186" t="n"/>
      <c r="D62" s="186" t="n"/>
      <c r="E62" s="186" t="n"/>
      <c r="F62" s="213" t="n">
        <v>56</v>
      </c>
      <c r="G62" s="214">
        <f>$C$39</f>
        <v/>
      </c>
      <c r="H62" s="214">
        <f>(J61*$C$16)/12</f>
        <v/>
      </c>
      <c r="I62" s="214">
        <f>G62-H62</f>
        <v/>
      </c>
      <c r="J62" s="214">
        <f>J61-I62</f>
        <v/>
      </c>
      <c r="K62" s="186" t="n"/>
      <c r="L62" s="186" t="n"/>
      <c r="M62" s="186" t="n"/>
      <c r="N62" s="186" t="n"/>
      <c r="O62" s="186" t="n"/>
      <c r="P62" s="186" t="n"/>
      <c r="Q62" s="186" t="n"/>
      <c r="R62" s="186" t="n"/>
      <c r="S62" s="186" t="n"/>
      <c r="T62" s="186" t="n"/>
      <c r="U62" s="186" t="n"/>
      <c r="V62" s="186" t="n"/>
      <c r="W62" s="186" t="n"/>
      <c r="X62" s="186" t="n"/>
      <c r="Y62" s="186" t="n"/>
      <c r="Z62" s="186" t="n"/>
      <c r="AA62" s="186" t="n"/>
      <c r="AB62" s="186"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6" t="n"/>
      <c r="B63" s="186" t="n"/>
      <c r="C63" s="186" t="n"/>
      <c r="D63" s="186" t="n"/>
      <c r="E63" s="186" t="n"/>
      <c r="F63" s="213" t="n">
        <v>57</v>
      </c>
      <c r="G63" s="214">
        <f>$C$39</f>
        <v/>
      </c>
      <c r="H63" s="214">
        <f>(J62*$C$16)/12</f>
        <v/>
      </c>
      <c r="I63" s="214">
        <f>G63-H63</f>
        <v/>
      </c>
      <c r="J63" s="214">
        <f>J62-I63</f>
        <v/>
      </c>
      <c r="K63" s="186" t="n"/>
      <c r="L63" s="186" t="n"/>
      <c r="M63" s="186" t="n"/>
      <c r="N63" s="186" t="n"/>
      <c r="O63" s="186" t="n"/>
      <c r="P63" s="186" t="n"/>
      <c r="Q63" s="186" t="n"/>
      <c r="R63" s="186" t="n"/>
      <c r="S63" s="186" t="n"/>
      <c r="T63" s="186" t="n"/>
      <c r="U63" s="186" t="n"/>
      <c r="V63" s="186" t="n"/>
      <c r="W63" s="186" t="n"/>
      <c r="X63" s="186" t="n"/>
      <c r="Y63" s="186" t="n"/>
      <c r="Z63" s="186" t="n"/>
      <c r="AA63" s="186" t="n"/>
      <c r="AB63" s="186"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6" t="n"/>
      <c r="B64" s="186" t="n"/>
      <c r="C64" s="186" t="n"/>
      <c r="D64" s="186" t="n"/>
      <c r="E64" s="186" t="n"/>
      <c r="F64" s="213" t="n">
        <v>58</v>
      </c>
      <c r="G64" s="214">
        <f>$C$39</f>
        <v/>
      </c>
      <c r="H64" s="214">
        <f>(J63*$C$16)/12</f>
        <v/>
      </c>
      <c r="I64" s="214">
        <f>G64-H64</f>
        <v/>
      </c>
      <c r="J64" s="214">
        <f>J63-I64</f>
        <v/>
      </c>
      <c r="K64" s="186" t="n"/>
      <c r="L64" s="186" t="n"/>
      <c r="M64" s="186" t="n"/>
      <c r="N64" s="186" t="n"/>
      <c r="O64" s="186" t="n"/>
      <c r="P64" s="186" t="n"/>
      <c r="Q64" s="186" t="n"/>
      <c r="R64" s="186" t="n"/>
      <c r="S64" s="186" t="n"/>
      <c r="T64" s="186" t="n"/>
      <c r="U64" s="186" t="n"/>
      <c r="V64" s="186" t="n"/>
      <c r="W64" s="186" t="n"/>
      <c r="X64" s="186" t="n"/>
      <c r="Y64" s="186" t="n"/>
      <c r="Z64" s="186" t="n"/>
      <c r="AA64" s="186" t="n"/>
      <c r="AB64" s="186"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6" t="n"/>
      <c r="B65" s="186" t="n"/>
      <c r="C65" s="186" t="n"/>
      <c r="D65" s="186" t="n"/>
      <c r="E65" s="186" t="n"/>
      <c r="F65" s="213" t="n">
        <v>59</v>
      </c>
      <c r="G65" s="214">
        <f>$C$39</f>
        <v/>
      </c>
      <c r="H65" s="214">
        <f>(J64*$C$16)/12</f>
        <v/>
      </c>
      <c r="I65" s="214">
        <f>G65-H65</f>
        <v/>
      </c>
      <c r="J65" s="214">
        <f>J64-I65</f>
        <v/>
      </c>
      <c r="K65" s="186" t="n"/>
      <c r="L65" s="186" t="n"/>
      <c r="M65" s="186" t="n"/>
      <c r="N65" s="186" t="n"/>
      <c r="O65" s="186" t="n"/>
      <c r="P65" s="186" t="n"/>
      <c r="Q65" s="186" t="n"/>
      <c r="R65" s="186" t="n"/>
      <c r="S65" s="186" t="n"/>
      <c r="T65" s="186" t="n"/>
      <c r="U65" s="186" t="n"/>
      <c r="V65" s="186" t="n"/>
      <c r="W65" s="186" t="n"/>
      <c r="X65" s="186" t="n"/>
      <c r="Y65" s="186" t="n"/>
      <c r="Z65" s="186" t="n"/>
      <c r="AA65" s="186" t="n"/>
      <c r="AB65" s="186" t="n"/>
    </row>
    <row r="66">
      <c r="A66" s="186" t="n"/>
      <c r="B66" s="186" t="n"/>
      <c r="C66" s="186" t="n"/>
      <c r="D66" s="186" t="n"/>
      <c r="E66" s="186" t="n"/>
      <c r="F66" s="496" t="n">
        <v>60</v>
      </c>
      <c r="G66" s="497">
        <f>$C$39</f>
        <v/>
      </c>
      <c r="H66" s="497">
        <f>(J65*$C$16)/12</f>
        <v/>
      </c>
      <c r="I66" s="497">
        <f>G66-H66</f>
        <v/>
      </c>
      <c r="J66" s="497">
        <f>J65-I66</f>
        <v/>
      </c>
      <c r="K66" s="186" t="n"/>
      <c r="L66" s="186" t="n"/>
      <c r="M66" s="186" t="n"/>
      <c r="N66" s="186" t="n"/>
      <c r="O66" s="186" t="n"/>
      <c r="P66" s="186" t="n"/>
      <c r="Q66" s="186" t="n"/>
      <c r="R66" s="186" t="n"/>
      <c r="S66" s="186" t="n"/>
      <c r="T66" s="186" t="n"/>
      <c r="U66" s="186" t="n"/>
      <c r="V66" s="186" t="n"/>
      <c r="W66" s="186" t="n"/>
      <c r="X66" s="186" t="n"/>
      <c r="Y66" s="186" t="n"/>
      <c r="Z66" s="186" t="n"/>
      <c r="AA66" s="186" t="n"/>
      <c r="AB66" s="186" t="n"/>
    </row>
    <row r="67">
      <c r="A67" s="186" t="n"/>
      <c r="B67" s="186" t="n"/>
      <c r="C67" s="186" t="n"/>
      <c r="D67" s="186" t="n"/>
      <c r="E67" s="186" t="n"/>
      <c r="F67" s="213" t="n">
        <v>61</v>
      </c>
      <c r="G67" s="214">
        <f>$C$39</f>
        <v/>
      </c>
      <c r="H67" s="214">
        <f>(J66*$C$16)/12</f>
        <v/>
      </c>
      <c r="I67" s="214">
        <f>G67-H67</f>
        <v/>
      </c>
      <c r="J67" s="214">
        <f>J66-I67</f>
        <v/>
      </c>
      <c r="K67" s="186" t="n"/>
      <c r="L67" s="186" t="n"/>
      <c r="M67" s="186" t="n"/>
      <c r="N67" s="186" t="n"/>
      <c r="O67" s="186" t="n"/>
      <c r="P67" s="186" t="n"/>
      <c r="Q67" s="186" t="n"/>
      <c r="R67" s="186" t="n"/>
      <c r="S67" s="186" t="n"/>
      <c r="T67" s="186" t="n"/>
      <c r="U67" s="186" t="n"/>
      <c r="V67" s="186" t="n"/>
      <c r="W67" s="186" t="n"/>
      <c r="X67" s="186" t="n"/>
      <c r="Y67" s="186" t="n"/>
      <c r="Z67" s="186" t="n"/>
      <c r="AA67" s="186" t="n"/>
      <c r="AB67" s="186" t="n"/>
    </row>
    <row r="68">
      <c r="A68" s="186" t="n"/>
      <c r="B68" s="186" t="n"/>
      <c r="C68" s="186" t="n"/>
      <c r="D68" s="186" t="n"/>
      <c r="E68" s="186" t="n"/>
      <c r="F68" s="213" t="n">
        <v>62</v>
      </c>
      <c r="G68" s="214">
        <f>$C$39</f>
        <v/>
      </c>
      <c r="H68" s="214">
        <f>(J67*$C$16)/12</f>
        <v/>
      </c>
      <c r="I68" s="214">
        <f>G68-H68</f>
        <v/>
      </c>
      <c r="J68" s="214">
        <f>J67-I68</f>
        <v/>
      </c>
      <c r="K68" s="186" t="n"/>
      <c r="L68" s="186" t="n"/>
      <c r="M68" s="186" t="n"/>
      <c r="N68" s="186" t="n"/>
      <c r="O68" s="186" t="n"/>
      <c r="P68" s="186" t="n"/>
      <c r="Q68" s="186" t="n"/>
      <c r="R68" s="186" t="n"/>
      <c r="S68" s="186" t="n"/>
      <c r="T68" s="186" t="n"/>
      <c r="U68" s="186" t="n"/>
      <c r="V68" s="186" t="n"/>
      <c r="W68" s="186" t="n"/>
      <c r="X68" s="186" t="n"/>
      <c r="Y68" s="186" t="n"/>
      <c r="Z68" s="186" t="n"/>
      <c r="AA68" s="186" t="n"/>
      <c r="AB68" s="186" t="n"/>
    </row>
    <row r="69">
      <c r="A69" s="186" t="n"/>
      <c r="B69" s="186" t="n"/>
      <c r="C69" s="186" t="n"/>
      <c r="D69" s="186" t="n"/>
      <c r="E69" s="186" t="n"/>
      <c r="F69" s="213" t="n">
        <v>63</v>
      </c>
      <c r="G69" s="214">
        <f>$C$39</f>
        <v/>
      </c>
      <c r="H69" s="214">
        <f>(J68*$C$16)/12</f>
        <v/>
      </c>
      <c r="I69" s="214">
        <f>G69-H69</f>
        <v/>
      </c>
      <c r="J69" s="214">
        <f>J68-I69</f>
        <v/>
      </c>
      <c r="K69" s="186" t="n"/>
      <c r="L69" s="186" t="n"/>
      <c r="M69" s="186" t="n"/>
      <c r="N69" s="186" t="n"/>
      <c r="O69" s="186" t="n"/>
      <c r="P69" s="186" t="n"/>
      <c r="Q69" s="186" t="n"/>
      <c r="R69" s="186" t="n"/>
      <c r="S69" s="186" t="n"/>
      <c r="T69" s="186" t="n"/>
      <c r="U69" s="186" t="n"/>
      <c r="V69" s="186" t="n"/>
      <c r="W69" s="186" t="n"/>
      <c r="X69" s="186" t="n"/>
      <c r="Y69" s="186" t="n"/>
      <c r="Z69" s="186" t="n"/>
      <c r="AA69" s="186" t="n"/>
      <c r="AB69" s="186" t="n"/>
    </row>
    <row r="70">
      <c r="A70" s="186" t="n"/>
      <c r="B70" s="186" t="n"/>
      <c r="C70" s="186" t="n"/>
      <c r="D70" s="186" t="n"/>
      <c r="E70" s="186" t="n"/>
      <c r="F70" s="213" t="n">
        <v>64</v>
      </c>
      <c r="G70" s="214">
        <f>$C$39</f>
        <v/>
      </c>
      <c r="H70" s="214">
        <f>(J69*$C$16)/12</f>
        <v/>
      </c>
      <c r="I70" s="214">
        <f>G70-H70</f>
        <v/>
      </c>
      <c r="J70" s="214">
        <f>J69-I70</f>
        <v/>
      </c>
      <c r="K70" s="186" t="n"/>
      <c r="L70" s="186" t="n"/>
      <c r="M70" s="186" t="n"/>
      <c r="N70" s="186" t="n"/>
      <c r="O70" s="186" t="n"/>
      <c r="P70" s="186" t="n"/>
      <c r="Q70" s="186" t="n"/>
      <c r="R70" s="186" t="n"/>
      <c r="S70" s="186" t="n"/>
      <c r="T70" s="186" t="n"/>
      <c r="U70" s="186" t="n"/>
      <c r="V70" s="186" t="n"/>
      <c r="W70" s="186" t="n"/>
      <c r="X70" s="186" t="n"/>
      <c r="Y70" s="186" t="n"/>
      <c r="Z70" s="186" t="n"/>
      <c r="AA70" s="186" t="n"/>
      <c r="AB70" s="186" t="n"/>
    </row>
    <row r="71">
      <c r="A71" s="186" t="n"/>
      <c r="B71" s="186" t="n"/>
      <c r="C71" s="186" t="n"/>
      <c r="D71" s="186" t="n"/>
      <c r="E71" s="186" t="n"/>
      <c r="F71" s="213" t="n">
        <v>65</v>
      </c>
      <c r="G71" s="214">
        <f>$C$39</f>
        <v/>
      </c>
      <c r="H71" s="214">
        <f>(J70*$C$16)/12</f>
        <v/>
      </c>
      <c r="I71" s="214">
        <f>G71-H71</f>
        <v/>
      </c>
      <c r="J71" s="214">
        <f>J70-I71</f>
        <v/>
      </c>
      <c r="K71" s="186" t="n"/>
      <c r="L71" s="186" t="n"/>
      <c r="M71" s="186" t="n"/>
      <c r="N71" s="186" t="n"/>
      <c r="O71" s="186" t="n"/>
      <c r="P71" s="186" t="n"/>
      <c r="Q71" s="186" t="n"/>
      <c r="R71" s="186" t="n"/>
      <c r="S71" s="186" t="n"/>
      <c r="T71" s="186" t="n"/>
      <c r="U71" s="186" t="n"/>
      <c r="V71" s="186" t="n"/>
      <c r="W71" s="186" t="n"/>
      <c r="X71" s="186" t="n"/>
      <c r="Y71" s="186" t="n"/>
      <c r="Z71" s="186" t="n"/>
      <c r="AA71" s="186" t="n"/>
      <c r="AB71" s="186" t="n"/>
    </row>
    <row r="72">
      <c r="A72" s="186" t="n"/>
      <c r="B72" s="186" t="n"/>
      <c r="C72" s="186" t="n"/>
      <c r="D72" s="186" t="n"/>
      <c r="E72" s="186" t="n"/>
      <c r="F72" s="213" t="n">
        <v>66</v>
      </c>
      <c r="G72" s="214">
        <f>$C$39</f>
        <v/>
      </c>
      <c r="H72" s="214">
        <f>(J71*$C$16)/12</f>
        <v/>
      </c>
      <c r="I72" s="214">
        <f>G72-H72</f>
        <v/>
      </c>
      <c r="J72" s="214">
        <f>J71-I72</f>
        <v/>
      </c>
      <c r="K72" s="186" t="n"/>
      <c r="L72" s="186" t="n"/>
      <c r="M72" s="186" t="n"/>
      <c r="N72" s="186" t="n"/>
      <c r="O72" s="186" t="n"/>
      <c r="P72" s="186" t="n"/>
      <c r="Q72" s="186" t="n"/>
      <c r="R72" s="186" t="n"/>
      <c r="S72" s="186" t="n"/>
      <c r="T72" s="186" t="n"/>
      <c r="U72" s="186" t="n"/>
      <c r="V72" s="186" t="n"/>
      <c r="W72" s="186" t="n"/>
      <c r="X72" s="186" t="n"/>
      <c r="Y72" s="186" t="n"/>
      <c r="Z72" s="186" t="n"/>
      <c r="AA72" s="186" t="n"/>
      <c r="AB72" s="186" t="n"/>
    </row>
    <row r="73">
      <c r="A73" s="186" t="n"/>
      <c r="B73" s="186" t="n"/>
      <c r="C73" s="186" t="n"/>
      <c r="D73" s="186" t="n"/>
      <c r="E73" s="186" t="n"/>
      <c r="F73" s="213" t="n">
        <v>67</v>
      </c>
      <c r="G73" s="214">
        <f>$C$39</f>
        <v/>
      </c>
      <c r="H73" s="214">
        <f>(J72*$C$16)/12</f>
        <v/>
      </c>
      <c r="I73" s="214">
        <f>G73-H73</f>
        <v/>
      </c>
      <c r="J73" s="214">
        <f>J72-I73</f>
        <v/>
      </c>
      <c r="K73" s="186" t="n"/>
      <c r="L73" s="186" t="n"/>
      <c r="M73" s="186" t="n"/>
      <c r="N73" s="186" t="n"/>
      <c r="O73" s="186" t="n"/>
      <c r="P73" s="186" t="n"/>
      <c r="Q73" s="186" t="n"/>
      <c r="R73" s="186" t="n"/>
      <c r="S73" s="186" t="n"/>
      <c r="T73" s="186" t="n"/>
      <c r="U73" s="186" t="n"/>
      <c r="V73" s="186" t="n"/>
      <c r="W73" s="186" t="n"/>
      <c r="X73" s="186" t="n"/>
      <c r="Y73" s="186" t="n"/>
      <c r="Z73" s="186" t="n"/>
      <c r="AA73" s="186" t="n"/>
      <c r="AB73" s="186" t="n"/>
    </row>
    <row r="74">
      <c r="A74" s="186" t="n"/>
      <c r="B74" s="186" t="n"/>
      <c r="C74" s="186" t="n"/>
      <c r="D74" s="186" t="n"/>
      <c r="E74" s="186" t="n"/>
      <c r="F74" s="213" t="n">
        <v>68</v>
      </c>
      <c r="G74" s="214">
        <f>$C$39</f>
        <v/>
      </c>
      <c r="H74" s="214">
        <f>(J73*$C$16)/12</f>
        <v/>
      </c>
      <c r="I74" s="214">
        <f>G74-H74</f>
        <v/>
      </c>
      <c r="J74" s="214">
        <f>J73-I74</f>
        <v/>
      </c>
      <c r="K74" s="186" t="n"/>
      <c r="L74" s="186" t="n"/>
      <c r="M74" s="186" t="n"/>
      <c r="N74" s="186" t="n"/>
      <c r="O74" s="186" t="n"/>
      <c r="P74" s="186" t="n"/>
      <c r="Q74" s="186" t="n"/>
      <c r="R74" s="186" t="n"/>
      <c r="S74" s="186" t="n"/>
      <c r="T74" s="186" t="n"/>
      <c r="U74" s="186" t="n"/>
      <c r="V74" s="186" t="n"/>
      <c r="W74" s="186" t="n"/>
      <c r="X74" s="186" t="n"/>
      <c r="Y74" s="186" t="n"/>
      <c r="Z74" s="186" t="n"/>
      <c r="AA74" s="186" t="n"/>
      <c r="AB74" s="186" t="n"/>
    </row>
    <row r="75">
      <c r="A75" s="186" t="n"/>
      <c r="B75" s="186" t="n"/>
      <c r="C75" s="186" t="n"/>
      <c r="D75" s="186" t="n"/>
      <c r="E75" s="186" t="n"/>
      <c r="F75" s="213" t="n">
        <v>69</v>
      </c>
      <c r="G75" s="214">
        <f>$C$39</f>
        <v/>
      </c>
      <c r="H75" s="214">
        <f>(J74*$C$16)/12</f>
        <v/>
      </c>
      <c r="I75" s="214">
        <f>G75-H75</f>
        <v/>
      </c>
      <c r="J75" s="214">
        <f>J74-I75</f>
        <v/>
      </c>
      <c r="K75" s="186" t="n"/>
      <c r="L75" s="186" t="n"/>
      <c r="M75" s="186" t="n"/>
      <c r="N75" s="186" t="n"/>
      <c r="O75" s="186" t="n"/>
      <c r="P75" s="186" t="n"/>
      <c r="Q75" s="186" t="n"/>
      <c r="R75" s="186" t="n"/>
      <c r="S75" s="186" t="n"/>
      <c r="T75" s="186" t="n"/>
      <c r="U75" s="186" t="n"/>
      <c r="V75" s="186" t="n"/>
      <c r="W75" s="186" t="n"/>
      <c r="X75" s="186" t="n"/>
      <c r="Y75" s="186" t="n"/>
      <c r="Z75" s="186" t="n"/>
      <c r="AA75" s="186" t="n"/>
      <c r="AB75" s="186" t="n"/>
    </row>
    <row r="76">
      <c r="A76" s="186" t="n"/>
      <c r="B76" s="186" t="n"/>
      <c r="C76" s="186" t="n"/>
      <c r="D76" s="186" t="n"/>
      <c r="E76" s="186" t="n"/>
      <c r="F76" s="213" t="n">
        <v>70</v>
      </c>
      <c r="G76" s="214">
        <f>$C$39</f>
        <v/>
      </c>
      <c r="H76" s="214">
        <f>(J75*$C$16)/12</f>
        <v/>
      </c>
      <c r="I76" s="214">
        <f>G76-H76</f>
        <v/>
      </c>
      <c r="J76" s="214">
        <f>J75-I76</f>
        <v/>
      </c>
      <c r="K76" s="186" t="n"/>
      <c r="L76" s="186" t="n"/>
      <c r="M76" s="186" t="n"/>
      <c r="N76" s="186" t="n"/>
      <c r="O76" s="186" t="n"/>
      <c r="P76" s="186" t="n"/>
      <c r="Q76" s="186" t="n"/>
      <c r="R76" s="186" t="n"/>
      <c r="S76" s="186" t="n"/>
      <c r="T76" s="186" t="n"/>
      <c r="U76" s="186" t="n"/>
      <c r="V76" s="186" t="n"/>
      <c r="W76" s="186" t="n"/>
      <c r="X76" s="186" t="n"/>
      <c r="Y76" s="186" t="n"/>
      <c r="Z76" s="186" t="n"/>
      <c r="AA76" s="186" t="n"/>
      <c r="AB76" s="186" t="n"/>
    </row>
    <row r="77">
      <c r="A77" s="186" t="n"/>
      <c r="B77" s="186" t="n"/>
      <c r="C77" s="186" t="n"/>
      <c r="D77" s="186" t="n"/>
      <c r="E77" s="186" t="n"/>
      <c r="F77" s="213" t="n">
        <v>71</v>
      </c>
      <c r="G77" s="214">
        <f>$C$39</f>
        <v/>
      </c>
      <c r="H77" s="214">
        <f>(J76*$C$16)/12</f>
        <v/>
      </c>
      <c r="I77" s="214">
        <f>G77-H77</f>
        <v/>
      </c>
      <c r="J77" s="214">
        <f>J76-I77</f>
        <v/>
      </c>
      <c r="K77" s="186" t="n"/>
      <c r="L77" s="186" t="n"/>
      <c r="M77" s="186" t="n"/>
      <c r="N77" s="186" t="n"/>
      <c r="O77" s="186" t="n"/>
      <c r="P77" s="186" t="n"/>
      <c r="Q77" s="186" t="n"/>
      <c r="R77" s="186" t="n"/>
      <c r="S77" s="186" t="n"/>
      <c r="T77" s="186" t="n"/>
      <c r="U77" s="186" t="n"/>
      <c r="V77" s="186" t="n"/>
      <c r="W77" s="186" t="n"/>
      <c r="X77" s="186" t="n"/>
      <c r="Y77" s="186" t="n"/>
      <c r="Z77" s="186" t="n"/>
      <c r="AA77" s="186" t="n"/>
      <c r="AB77" s="186" t="n"/>
    </row>
    <row r="78">
      <c r="A78" s="186" t="n"/>
      <c r="B78" s="186" t="n"/>
      <c r="C78" s="186" t="n"/>
      <c r="D78" s="186" t="n"/>
      <c r="E78" s="186" t="n"/>
      <c r="F78" s="504" t="n">
        <v>72</v>
      </c>
      <c r="G78" s="505">
        <f>$C$39</f>
        <v/>
      </c>
      <c r="H78" s="505">
        <f>(J77*$C$16)/12</f>
        <v/>
      </c>
      <c r="I78" s="505">
        <f>G78-H78</f>
        <v/>
      </c>
      <c r="J78" s="505">
        <f>J77-I78</f>
        <v/>
      </c>
      <c r="K78" s="186" t="n"/>
      <c r="L78" s="186" t="n"/>
      <c r="M78" s="186" t="n"/>
      <c r="N78" s="186" t="n"/>
      <c r="O78" s="186" t="n"/>
      <c r="P78" s="186" t="n"/>
      <c r="Q78" s="186" t="n"/>
      <c r="R78" s="186" t="n"/>
      <c r="S78" s="186" t="n"/>
      <c r="T78" s="186" t="n"/>
      <c r="U78" s="186" t="n"/>
      <c r="V78" s="186" t="n"/>
      <c r="W78" s="186" t="n"/>
      <c r="X78" s="186" t="n"/>
      <c r="Y78" s="186" t="n"/>
      <c r="Z78" s="186" t="n"/>
      <c r="AA78" s="186" t="n"/>
      <c r="AB78" s="186" t="n"/>
    </row>
    <row r="79">
      <c r="A79" s="186" t="n"/>
      <c r="B79" s="186" t="n"/>
      <c r="C79" s="186" t="n"/>
      <c r="D79" s="186" t="n"/>
      <c r="E79" s="186" t="n"/>
      <c r="F79" s="213" t="n">
        <v>73</v>
      </c>
      <c r="G79" s="214">
        <f>$C$39</f>
        <v/>
      </c>
      <c r="H79" s="214">
        <f>(J78*$C$16)/12</f>
        <v/>
      </c>
      <c r="I79" s="214">
        <f>G79-H79</f>
        <v/>
      </c>
      <c r="J79" s="214">
        <f>J78-I79</f>
        <v/>
      </c>
      <c r="K79" s="186" t="n"/>
      <c r="L79" s="186" t="n"/>
      <c r="M79" s="186" t="n"/>
      <c r="N79" s="186" t="n"/>
      <c r="O79" s="186" t="n"/>
      <c r="P79" s="186" t="n"/>
      <c r="Q79" s="186" t="n"/>
      <c r="R79" s="186" t="n"/>
      <c r="S79" s="186" t="n"/>
      <c r="T79" s="186" t="n"/>
      <c r="U79" s="186" t="n"/>
      <c r="V79" s="186" t="n"/>
      <c r="W79" s="186" t="n"/>
      <c r="X79" s="186" t="n"/>
      <c r="Y79" s="186" t="n"/>
      <c r="Z79" s="186" t="n"/>
      <c r="AA79" s="186" t="n"/>
      <c r="AB79" s="186" t="n"/>
    </row>
    <row r="80">
      <c r="A80" s="186" t="n"/>
      <c r="B80" s="186" t="n"/>
      <c r="C80" s="186" t="n"/>
      <c r="D80" s="186" t="n"/>
      <c r="E80" s="186" t="n"/>
      <c r="F80" s="213" t="n">
        <v>74</v>
      </c>
      <c r="G80" s="214">
        <f>$C$39</f>
        <v/>
      </c>
      <c r="H80" s="214">
        <f>(J79*$C$16)/12</f>
        <v/>
      </c>
      <c r="I80" s="214">
        <f>G80-H80</f>
        <v/>
      </c>
      <c r="J80" s="214">
        <f>J79-I80</f>
        <v/>
      </c>
      <c r="K80" s="186" t="n"/>
      <c r="L80" s="186" t="n"/>
      <c r="M80" s="186" t="n"/>
      <c r="N80" s="186" t="n"/>
      <c r="O80" s="186" t="n"/>
      <c r="P80" s="186" t="n"/>
      <c r="Q80" s="186" t="n"/>
      <c r="R80" s="186" t="n"/>
      <c r="S80" s="186" t="n"/>
      <c r="T80" s="186" t="n"/>
      <c r="U80" s="186" t="n"/>
      <c r="V80" s="186" t="n"/>
      <c r="W80" s="186" t="n"/>
      <c r="X80" s="186" t="n"/>
      <c r="Y80" s="186" t="n"/>
      <c r="Z80" s="186" t="n"/>
      <c r="AA80" s="186" t="n"/>
      <c r="AB80" s="186" t="n"/>
    </row>
    <row r="81">
      <c r="A81" s="186" t="n"/>
      <c r="B81" s="186" t="n"/>
      <c r="C81" s="186" t="n"/>
      <c r="D81" s="186" t="n"/>
      <c r="E81" s="186" t="n"/>
      <c r="F81" s="213" t="n">
        <v>75</v>
      </c>
      <c r="G81" s="214">
        <f>$C$39</f>
        <v/>
      </c>
      <c r="H81" s="214">
        <f>(J80*$C$16)/12</f>
        <v/>
      </c>
      <c r="I81" s="214">
        <f>G81-H81</f>
        <v/>
      </c>
      <c r="J81" s="214">
        <f>J80-I81</f>
        <v/>
      </c>
      <c r="K81" s="186" t="n"/>
      <c r="L81" s="186" t="n"/>
      <c r="M81" s="186" t="n"/>
      <c r="N81" s="186" t="n"/>
      <c r="O81" s="186" t="n"/>
      <c r="P81" s="186" t="n"/>
      <c r="Q81" s="186" t="n"/>
      <c r="R81" s="186" t="n"/>
      <c r="S81" s="186" t="n"/>
      <c r="T81" s="186" t="n"/>
      <c r="U81" s="186" t="n"/>
      <c r="V81" s="186" t="n"/>
      <c r="W81" s="186" t="n"/>
      <c r="X81" s="186" t="n"/>
      <c r="Y81" s="186" t="n"/>
      <c r="Z81" s="186" t="n"/>
      <c r="AA81" s="186" t="n"/>
      <c r="AB81" s="186" t="n"/>
    </row>
    <row r="82">
      <c r="A82" s="186" t="n"/>
      <c r="B82" s="186" t="n"/>
      <c r="C82" s="186" t="n"/>
      <c r="D82" s="186" t="n"/>
      <c r="E82" s="186" t="n"/>
      <c r="F82" s="213" t="n">
        <v>76</v>
      </c>
      <c r="G82" s="214">
        <f>$C$39</f>
        <v/>
      </c>
      <c r="H82" s="214">
        <f>(J81*$C$16)/12</f>
        <v/>
      </c>
      <c r="I82" s="214">
        <f>G82-H82</f>
        <v/>
      </c>
      <c r="J82" s="214">
        <f>J81-I82</f>
        <v/>
      </c>
      <c r="K82" s="186" t="n"/>
      <c r="L82" s="186" t="n"/>
      <c r="M82" s="186" t="n"/>
      <c r="N82" s="186" t="n"/>
      <c r="O82" s="186" t="n"/>
      <c r="P82" s="186" t="n"/>
      <c r="Q82" s="186" t="n"/>
      <c r="R82" s="186" t="n"/>
      <c r="S82" s="186" t="n"/>
      <c r="T82" s="186" t="n"/>
      <c r="U82" s="186" t="n"/>
      <c r="V82" s="186" t="n"/>
      <c r="W82" s="186" t="n"/>
      <c r="X82" s="186" t="n"/>
      <c r="Y82" s="186" t="n"/>
      <c r="Z82" s="186" t="n"/>
      <c r="AA82" s="186" t="n"/>
      <c r="AB82" s="186" t="n"/>
    </row>
    <row r="83">
      <c r="A83" s="186" t="n"/>
      <c r="B83" s="186" t="n"/>
      <c r="C83" s="186" t="n"/>
      <c r="D83" s="186" t="n"/>
      <c r="E83" s="186" t="n"/>
      <c r="F83" s="213" t="n">
        <v>77</v>
      </c>
      <c r="G83" s="214">
        <f>$C$39</f>
        <v/>
      </c>
      <c r="H83" s="214">
        <f>(J82*$C$16)/12</f>
        <v/>
      </c>
      <c r="I83" s="214">
        <f>G83-H83</f>
        <v/>
      </c>
      <c r="J83" s="214">
        <f>J82-I83</f>
        <v/>
      </c>
      <c r="K83" s="186" t="n"/>
      <c r="L83" s="186" t="n"/>
      <c r="M83" s="186" t="n"/>
      <c r="N83" s="186" t="n"/>
      <c r="O83" s="186" t="n"/>
      <c r="P83" s="186" t="n"/>
      <c r="Q83" s="186" t="n"/>
      <c r="R83" s="186" t="n"/>
      <c r="S83" s="186" t="n"/>
      <c r="T83" s="186" t="n"/>
      <c r="U83" s="186" t="n"/>
      <c r="V83" s="186" t="n"/>
      <c r="W83" s="186" t="n"/>
      <c r="X83" s="186" t="n"/>
      <c r="Y83" s="186" t="n"/>
      <c r="Z83" s="186" t="n"/>
      <c r="AA83" s="186" t="n"/>
      <c r="AB83" s="186" t="n"/>
    </row>
    <row r="84">
      <c r="A84" s="186" t="n"/>
      <c r="B84" s="186" t="n"/>
      <c r="C84" s="186" t="n"/>
      <c r="D84" s="186" t="n"/>
      <c r="E84" s="186" t="n"/>
      <c r="F84" s="213" t="n">
        <v>78</v>
      </c>
      <c r="G84" s="214">
        <f>$C$39</f>
        <v/>
      </c>
      <c r="H84" s="214">
        <f>(J83*$C$16)/12</f>
        <v/>
      </c>
      <c r="I84" s="214">
        <f>G84-H84</f>
        <v/>
      </c>
      <c r="J84" s="214">
        <f>J83-I84</f>
        <v/>
      </c>
      <c r="K84" s="186" t="n"/>
      <c r="L84" s="186" t="n"/>
      <c r="M84" s="186" t="n"/>
      <c r="N84" s="186" t="n"/>
      <c r="O84" s="186" t="n"/>
      <c r="P84" s="186" t="n"/>
      <c r="Q84" s="186" t="n"/>
      <c r="R84" s="186" t="n"/>
      <c r="S84" s="186" t="n"/>
      <c r="T84" s="186" t="n"/>
      <c r="U84" s="186" t="n"/>
      <c r="V84" s="186" t="n"/>
      <c r="W84" s="186" t="n"/>
      <c r="X84" s="186" t="n"/>
      <c r="Y84" s="186" t="n"/>
      <c r="Z84" s="186" t="n"/>
      <c r="AA84" s="186" t="n"/>
      <c r="AB84" s="186" t="n"/>
    </row>
    <row r="85">
      <c r="A85" s="186" t="n"/>
      <c r="B85" s="186" t="n"/>
      <c r="C85" s="186" t="n"/>
      <c r="D85" s="186" t="n"/>
      <c r="E85" s="186" t="n"/>
      <c r="F85" s="213" t="n">
        <v>79</v>
      </c>
      <c r="G85" s="214">
        <f>$C$39</f>
        <v/>
      </c>
      <c r="H85" s="214">
        <f>(J84*$C$16)/12</f>
        <v/>
      </c>
      <c r="I85" s="214">
        <f>G85-H85</f>
        <v/>
      </c>
      <c r="J85" s="214">
        <f>J84-I85</f>
        <v/>
      </c>
      <c r="K85" s="186" t="n"/>
      <c r="L85" s="186" t="n"/>
      <c r="M85" s="186" t="n"/>
      <c r="N85" s="186" t="n"/>
      <c r="O85" s="186" t="n"/>
      <c r="P85" s="186" t="n"/>
      <c r="Q85" s="186" t="n"/>
      <c r="R85" s="186" t="n"/>
      <c r="S85" s="186" t="n"/>
      <c r="T85" s="186" t="n"/>
      <c r="U85" s="186" t="n"/>
      <c r="V85" s="186" t="n"/>
      <c r="W85" s="186" t="n"/>
      <c r="X85" s="186" t="n"/>
      <c r="Y85" s="186" t="n"/>
      <c r="Z85" s="186" t="n"/>
      <c r="AA85" s="186" t="n"/>
      <c r="AB85" s="186" t="n"/>
    </row>
    <row r="86">
      <c r="A86" s="186" t="n"/>
      <c r="B86" s="186" t="n"/>
      <c r="C86" s="186" t="n"/>
      <c r="D86" s="186" t="n"/>
      <c r="E86" s="186" t="n"/>
      <c r="F86" s="213" t="n">
        <v>80</v>
      </c>
      <c r="G86" s="214">
        <f>$C$39</f>
        <v/>
      </c>
      <c r="H86" s="214">
        <f>(J85*$C$16)/12</f>
        <v/>
      </c>
      <c r="I86" s="214">
        <f>G86-H86</f>
        <v/>
      </c>
      <c r="J86" s="214">
        <f>J85-I86</f>
        <v/>
      </c>
      <c r="K86" s="186" t="n"/>
      <c r="L86" s="186" t="n"/>
      <c r="M86" s="186" t="n"/>
      <c r="N86" s="186" t="n"/>
      <c r="O86" s="186" t="n"/>
      <c r="P86" s="186" t="n"/>
      <c r="Q86" s="186" t="n"/>
      <c r="R86" s="186" t="n"/>
      <c r="S86" s="186" t="n"/>
      <c r="T86" s="186" t="n"/>
      <c r="U86" s="186" t="n"/>
      <c r="V86" s="186" t="n"/>
      <c r="W86" s="186" t="n"/>
      <c r="X86" s="186" t="n"/>
      <c r="Y86" s="186" t="n"/>
      <c r="Z86" s="186" t="n"/>
      <c r="AA86" s="186" t="n"/>
      <c r="AB86" s="186" t="n"/>
    </row>
    <row r="87">
      <c r="A87" s="186" t="n"/>
      <c r="B87" s="186" t="n"/>
      <c r="C87" s="186" t="n"/>
      <c r="D87" s="186" t="n"/>
      <c r="E87" s="186" t="n"/>
      <c r="F87" s="213" t="n">
        <v>81</v>
      </c>
      <c r="G87" s="214">
        <f>$C$39</f>
        <v/>
      </c>
      <c r="H87" s="214">
        <f>(J86*$C$16)/12</f>
        <v/>
      </c>
      <c r="I87" s="214">
        <f>G87-H87</f>
        <v/>
      </c>
      <c r="J87" s="214">
        <f>J86-I87</f>
        <v/>
      </c>
      <c r="K87" s="186" t="n"/>
      <c r="L87" s="186" t="n"/>
      <c r="M87" s="186" t="n"/>
      <c r="N87" s="186" t="n"/>
      <c r="O87" s="186" t="n"/>
      <c r="P87" s="186" t="n"/>
      <c r="Q87" s="186" t="n"/>
      <c r="R87" s="186" t="n"/>
      <c r="S87" s="186" t="n"/>
      <c r="T87" s="186" t="n"/>
      <c r="U87" s="186" t="n"/>
      <c r="V87" s="186" t="n"/>
      <c r="W87" s="186" t="n"/>
      <c r="X87" s="186" t="n"/>
      <c r="Y87" s="186" t="n"/>
      <c r="Z87" s="186" t="n"/>
      <c r="AA87" s="186" t="n"/>
      <c r="AB87" s="186" t="n"/>
    </row>
    <row r="88">
      <c r="A88" s="186" t="n"/>
      <c r="B88" s="186" t="n"/>
      <c r="C88" s="186" t="n"/>
      <c r="D88" s="186" t="n"/>
      <c r="E88" s="186" t="n"/>
      <c r="F88" s="213" t="n">
        <v>82</v>
      </c>
      <c r="G88" s="214">
        <f>$C$39</f>
        <v/>
      </c>
      <c r="H88" s="214">
        <f>(J87*$C$16)/12</f>
        <v/>
      </c>
      <c r="I88" s="214">
        <f>G88-H88</f>
        <v/>
      </c>
      <c r="J88" s="214">
        <f>J87-I88</f>
        <v/>
      </c>
      <c r="K88" s="186" t="n"/>
      <c r="L88" s="186" t="n"/>
      <c r="M88" s="186" t="n"/>
      <c r="N88" s="186" t="n"/>
      <c r="O88" s="186" t="n"/>
      <c r="P88" s="186" t="n"/>
      <c r="Q88" s="186" t="n"/>
      <c r="R88" s="186" t="n"/>
      <c r="S88" s="186" t="n"/>
      <c r="T88" s="186" t="n"/>
      <c r="U88" s="186" t="n"/>
      <c r="V88" s="186" t="n"/>
      <c r="W88" s="186" t="n"/>
      <c r="X88" s="186" t="n"/>
      <c r="Y88" s="186" t="n"/>
      <c r="Z88" s="186" t="n"/>
      <c r="AA88" s="186" t="n"/>
      <c r="AB88" s="186" t="n"/>
    </row>
    <row r="89">
      <c r="A89" s="186" t="n"/>
      <c r="B89" s="186" t="n"/>
      <c r="C89" s="186" t="n"/>
      <c r="D89" s="186" t="n"/>
      <c r="E89" s="186" t="n"/>
      <c r="F89" s="213" t="n">
        <v>83</v>
      </c>
      <c r="G89" s="214">
        <f>$C$39</f>
        <v/>
      </c>
      <c r="H89" s="214">
        <f>(J88*$C$16)/12</f>
        <v/>
      </c>
      <c r="I89" s="214">
        <f>G89-H89</f>
        <v/>
      </c>
      <c r="J89" s="214">
        <f>J88-I89</f>
        <v/>
      </c>
      <c r="K89" s="186" t="n"/>
      <c r="L89" s="186" t="n"/>
      <c r="M89" s="186" t="n"/>
      <c r="N89" s="186" t="n"/>
      <c r="O89" s="186" t="n"/>
      <c r="P89" s="186" t="n"/>
      <c r="Q89" s="186" t="n"/>
      <c r="R89" s="186" t="n"/>
      <c r="S89" s="186" t="n"/>
      <c r="T89" s="186" t="n"/>
      <c r="U89" s="186" t="n"/>
      <c r="V89" s="186" t="n"/>
      <c r="W89" s="186" t="n"/>
      <c r="X89" s="186" t="n"/>
      <c r="Y89" s="186" t="n"/>
      <c r="Z89" s="186" t="n"/>
      <c r="AA89" s="186" t="n"/>
      <c r="AB89" s="186" t="n"/>
    </row>
    <row r="90">
      <c r="A90" s="186" t="n"/>
      <c r="B90" s="186" t="n"/>
      <c r="C90" s="186" t="n"/>
      <c r="D90" s="186" t="n"/>
      <c r="E90" s="186" t="n"/>
      <c r="F90" s="498" t="n">
        <v>84</v>
      </c>
      <c r="G90" s="499">
        <f>$C$39</f>
        <v/>
      </c>
      <c r="H90" s="499">
        <f>(J89*$C$16)/12</f>
        <v/>
      </c>
      <c r="I90" s="499">
        <f>G90-H90</f>
        <v/>
      </c>
      <c r="J90" s="499">
        <f>J89-I90</f>
        <v/>
      </c>
      <c r="K90" s="186" t="n"/>
      <c r="L90" s="186" t="n"/>
      <c r="M90" s="186" t="n"/>
      <c r="N90" s="186" t="n"/>
      <c r="O90" s="186" t="n"/>
      <c r="P90" s="186" t="n"/>
      <c r="Q90" s="186" t="n"/>
      <c r="R90" s="186" t="n"/>
      <c r="S90" s="186" t="n"/>
      <c r="T90" s="186" t="n"/>
      <c r="U90" s="186" t="n"/>
      <c r="V90" s="186" t="n"/>
      <c r="W90" s="186" t="n"/>
      <c r="X90" s="186" t="n"/>
      <c r="Y90" s="186" t="n"/>
      <c r="Z90" s="186" t="n"/>
      <c r="AA90" s="186" t="n"/>
      <c r="AB90" s="186" t="n"/>
    </row>
    <row r="91">
      <c r="A91" s="186" t="n"/>
      <c r="B91" s="186" t="n"/>
      <c r="C91" s="186" t="n"/>
      <c r="D91" s="186" t="n"/>
      <c r="E91" s="186" t="n"/>
      <c r="F91" s="213" t="n">
        <v>85</v>
      </c>
      <c r="G91" s="214">
        <f>$C$39</f>
        <v/>
      </c>
      <c r="H91" s="214">
        <f>(J90*$C$16)/12</f>
        <v/>
      </c>
      <c r="I91" s="214">
        <f>G91-H91</f>
        <v/>
      </c>
      <c r="J91" s="214">
        <f>J90-I91</f>
        <v/>
      </c>
      <c r="K91" s="186" t="n"/>
      <c r="L91" s="186" t="n"/>
      <c r="M91" s="186" t="n"/>
      <c r="N91" s="186" t="n"/>
      <c r="O91" s="186" t="n"/>
      <c r="P91" s="186" t="n"/>
      <c r="Q91" s="186" t="n"/>
      <c r="R91" s="186" t="n"/>
      <c r="S91" s="186" t="n"/>
      <c r="T91" s="186" t="n"/>
      <c r="U91" s="186" t="n"/>
      <c r="V91" s="186" t="n"/>
      <c r="W91" s="186" t="n"/>
      <c r="X91" s="186" t="n"/>
      <c r="Y91" s="186" t="n"/>
      <c r="Z91" s="186" t="n"/>
      <c r="AA91" s="186" t="n"/>
      <c r="AB91" s="186" t="n"/>
    </row>
    <row r="92">
      <c r="A92" s="186" t="n"/>
      <c r="B92" s="186" t="n"/>
      <c r="C92" s="186" t="n"/>
      <c r="D92" s="186" t="n"/>
      <c r="E92" s="186" t="n"/>
      <c r="F92" s="213" t="n">
        <v>86</v>
      </c>
      <c r="G92" s="214">
        <f>$C$39</f>
        <v/>
      </c>
      <c r="H92" s="214">
        <f>(J91*$C$16)/12</f>
        <v/>
      </c>
      <c r="I92" s="214">
        <f>G92-H92</f>
        <v/>
      </c>
      <c r="J92" s="214">
        <f>J91-I92</f>
        <v/>
      </c>
      <c r="K92" s="186" t="n"/>
      <c r="L92" s="186" t="n"/>
      <c r="M92" s="186" t="n"/>
      <c r="N92" s="186" t="n"/>
      <c r="O92" s="186" t="n"/>
      <c r="P92" s="186" t="n"/>
      <c r="Q92" s="186" t="n"/>
      <c r="R92" s="186" t="n"/>
      <c r="S92" s="186" t="n"/>
      <c r="T92" s="186" t="n"/>
      <c r="U92" s="186" t="n"/>
      <c r="V92" s="186" t="n"/>
      <c r="W92" s="186" t="n"/>
      <c r="X92" s="186" t="n"/>
      <c r="Y92" s="186" t="n"/>
      <c r="Z92" s="186" t="n"/>
      <c r="AA92" s="186" t="n"/>
      <c r="AB92" s="186" t="n"/>
    </row>
    <row r="93">
      <c r="A93" s="186" t="n"/>
      <c r="B93" s="186" t="n"/>
      <c r="C93" s="186" t="n"/>
      <c r="D93" s="186" t="n"/>
      <c r="E93" s="186" t="n"/>
      <c r="F93" s="213" t="n">
        <v>87</v>
      </c>
      <c r="G93" s="214">
        <f>$C$39</f>
        <v/>
      </c>
      <c r="H93" s="214">
        <f>(J92*$C$16)/12</f>
        <v/>
      </c>
      <c r="I93" s="214">
        <f>G93-H93</f>
        <v/>
      </c>
      <c r="J93" s="214">
        <f>J92-I93</f>
        <v/>
      </c>
      <c r="K93" s="186" t="n"/>
      <c r="L93" s="186" t="n"/>
      <c r="M93" s="186" t="n"/>
      <c r="N93" s="186" t="n"/>
      <c r="O93" s="186" t="n"/>
      <c r="P93" s="186" t="n"/>
      <c r="Q93" s="186" t="n"/>
      <c r="R93" s="186" t="n"/>
      <c r="S93" s="186" t="n"/>
      <c r="T93" s="186" t="n"/>
      <c r="U93" s="186" t="n"/>
      <c r="V93" s="186" t="n"/>
      <c r="W93" s="186" t="n"/>
      <c r="X93" s="186" t="n"/>
      <c r="Y93" s="186" t="n"/>
      <c r="Z93" s="186" t="n"/>
      <c r="AA93" s="186" t="n"/>
      <c r="AB93" s="186" t="n"/>
    </row>
    <row r="94">
      <c r="A94" s="186" t="n"/>
      <c r="B94" s="186" t="n"/>
      <c r="C94" s="186" t="n"/>
      <c r="D94" s="186" t="n"/>
      <c r="E94" s="186" t="n"/>
      <c r="F94" s="213" t="n">
        <v>88</v>
      </c>
      <c r="G94" s="214">
        <f>$C$39</f>
        <v/>
      </c>
      <c r="H94" s="214">
        <f>(J93*$C$16)/12</f>
        <v/>
      </c>
      <c r="I94" s="214">
        <f>G94-H94</f>
        <v/>
      </c>
      <c r="J94" s="214">
        <f>J93-I94</f>
        <v/>
      </c>
      <c r="K94" s="186" t="n"/>
      <c r="L94" s="186" t="n"/>
      <c r="M94" s="186" t="n"/>
      <c r="N94" s="186" t="n"/>
      <c r="O94" s="186" t="n"/>
      <c r="P94" s="186" t="n"/>
      <c r="Q94" s="186" t="n"/>
      <c r="R94" s="186" t="n"/>
      <c r="S94" s="186" t="n"/>
      <c r="T94" s="186" t="n"/>
      <c r="U94" s="186" t="n"/>
      <c r="V94" s="186" t="n"/>
      <c r="W94" s="186" t="n"/>
      <c r="X94" s="186" t="n"/>
      <c r="Y94" s="186" t="n"/>
      <c r="Z94" s="186" t="n"/>
      <c r="AA94" s="186" t="n"/>
      <c r="AB94" s="186" t="n"/>
    </row>
    <row r="95">
      <c r="A95" s="186" t="n"/>
      <c r="B95" s="186" t="n"/>
      <c r="C95" s="186" t="n"/>
      <c r="D95" s="186" t="n"/>
      <c r="E95" s="186" t="n"/>
      <c r="F95" s="213" t="n">
        <v>89</v>
      </c>
      <c r="G95" s="214">
        <f>$C$39</f>
        <v/>
      </c>
      <c r="H95" s="214">
        <f>(J94*$C$16)/12</f>
        <v/>
      </c>
      <c r="I95" s="214">
        <f>G95-H95</f>
        <v/>
      </c>
      <c r="J95" s="214">
        <f>J94-I95</f>
        <v/>
      </c>
      <c r="K95" s="186" t="n"/>
      <c r="L95" s="186" t="n"/>
      <c r="M95" s="186" t="n"/>
      <c r="N95" s="186" t="n"/>
      <c r="O95" s="186" t="n"/>
      <c r="P95" s="186" t="n"/>
      <c r="Q95" s="186" t="n"/>
      <c r="R95" s="186" t="n"/>
      <c r="S95" s="186" t="n"/>
      <c r="T95" s="186" t="n"/>
      <c r="U95" s="186" t="n"/>
      <c r="V95" s="186" t="n"/>
      <c r="W95" s="186" t="n"/>
      <c r="X95" s="186" t="n"/>
      <c r="Y95" s="186" t="n"/>
      <c r="Z95" s="186" t="n"/>
      <c r="AA95" s="186" t="n"/>
      <c r="AB95" s="186" t="n"/>
    </row>
    <row r="96">
      <c r="A96" s="186" t="n"/>
      <c r="B96" s="186" t="n"/>
      <c r="C96" s="186" t="n"/>
      <c r="D96" s="186" t="n"/>
      <c r="E96" s="186" t="n"/>
      <c r="F96" s="213" t="n">
        <v>90</v>
      </c>
      <c r="G96" s="214">
        <f>$C$39</f>
        <v/>
      </c>
      <c r="H96" s="214">
        <f>(J95*$C$16)/12</f>
        <v/>
      </c>
      <c r="I96" s="214">
        <f>G96-H96</f>
        <v/>
      </c>
      <c r="J96" s="214">
        <f>J95-I96</f>
        <v/>
      </c>
      <c r="K96" s="186" t="n"/>
      <c r="L96" s="186" t="n"/>
      <c r="M96" s="186" t="n"/>
      <c r="N96" s="186" t="n"/>
      <c r="O96" s="186" t="n"/>
      <c r="P96" s="186" t="n"/>
      <c r="Q96" s="186" t="n"/>
      <c r="R96" s="186" t="n"/>
      <c r="S96" s="186" t="n"/>
      <c r="T96" s="186" t="n"/>
      <c r="U96" s="186" t="n"/>
      <c r="V96" s="186" t="n"/>
      <c r="W96" s="186" t="n"/>
      <c r="X96" s="186" t="n"/>
      <c r="Y96" s="186" t="n"/>
      <c r="Z96" s="186" t="n"/>
      <c r="AA96" s="186" t="n"/>
      <c r="AB96" s="186" t="n"/>
    </row>
    <row r="97">
      <c r="A97" s="186" t="n"/>
      <c r="B97" s="186" t="n"/>
      <c r="C97" s="186" t="n"/>
      <c r="D97" s="186" t="n"/>
      <c r="E97" s="186" t="n"/>
      <c r="F97" s="213" t="n">
        <v>91</v>
      </c>
      <c r="G97" s="214">
        <f>$C$39</f>
        <v/>
      </c>
      <c r="H97" s="214">
        <f>(J96*$C$16)/12</f>
        <v/>
      </c>
      <c r="I97" s="214">
        <f>G97-H97</f>
        <v/>
      </c>
      <c r="J97" s="214">
        <f>J96-I97</f>
        <v/>
      </c>
      <c r="K97" s="186" t="n"/>
      <c r="L97" s="186" t="n"/>
      <c r="M97" s="186" t="n"/>
      <c r="N97" s="186" t="n"/>
      <c r="O97" s="186" t="n"/>
      <c r="P97" s="186" t="n"/>
      <c r="Q97" s="186" t="n"/>
      <c r="R97" s="186" t="n"/>
      <c r="S97" s="186" t="n"/>
      <c r="T97" s="186" t="n"/>
      <c r="U97" s="186" t="n"/>
      <c r="V97" s="186" t="n"/>
      <c r="W97" s="186" t="n"/>
      <c r="X97" s="186" t="n"/>
      <c r="Y97" s="186" t="n"/>
      <c r="Z97" s="186" t="n"/>
      <c r="AA97" s="186" t="n"/>
      <c r="AB97" s="186" t="n"/>
    </row>
    <row r="98">
      <c r="A98" s="186" t="n"/>
      <c r="B98" s="186" t="n"/>
      <c r="C98" s="186" t="n"/>
      <c r="D98" s="186" t="n"/>
      <c r="E98" s="186" t="n"/>
      <c r="F98" s="213" t="n">
        <v>92</v>
      </c>
      <c r="G98" s="214">
        <f>$C$39</f>
        <v/>
      </c>
      <c r="H98" s="214">
        <f>(J97*$C$16)/12</f>
        <v/>
      </c>
      <c r="I98" s="214">
        <f>G98-H98</f>
        <v/>
      </c>
      <c r="J98" s="214">
        <f>J97-I98</f>
        <v/>
      </c>
      <c r="K98" s="186" t="n"/>
      <c r="L98" s="186" t="n"/>
      <c r="M98" s="186" t="n"/>
      <c r="N98" s="186" t="n"/>
      <c r="O98" s="186" t="n"/>
      <c r="P98" s="186" t="n"/>
      <c r="Q98" s="186" t="n"/>
      <c r="R98" s="186" t="n"/>
      <c r="S98" s="186" t="n"/>
      <c r="T98" s="186" t="n"/>
      <c r="U98" s="186" t="n"/>
      <c r="V98" s="186" t="n"/>
      <c r="W98" s="186" t="n"/>
      <c r="X98" s="186" t="n"/>
      <c r="Y98" s="186" t="n"/>
      <c r="Z98" s="186" t="n"/>
      <c r="AA98" s="186" t="n"/>
      <c r="AB98" s="186" t="n"/>
    </row>
    <row r="99">
      <c r="A99" s="186" t="n"/>
      <c r="B99" s="186" t="n"/>
      <c r="C99" s="186" t="n"/>
      <c r="D99" s="186" t="n"/>
      <c r="E99" s="186" t="n"/>
      <c r="F99" s="213" t="n">
        <v>93</v>
      </c>
      <c r="G99" s="214">
        <f>$C$39</f>
        <v/>
      </c>
      <c r="H99" s="214">
        <f>(J98*$C$16)/12</f>
        <v/>
      </c>
      <c r="I99" s="214">
        <f>G99-H99</f>
        <v/>
      </c>
      <c r="J99" s="214">
        <f>J98-I99</f>
        <v/>
      </c>
      <c r="K99" s="186" t="n"/>
      <c r="L99" s="186" t="n"/>
      <c r="M99" s="186" t="n"/>
      <c r="N99" s="186" t="n"/>
      <c r="O99" s="186" t="n"/>
      <c r="P99" s="186" t="n"/>
      <c r="Q99" s="186" t="n"/>
      <c r="R99" s="186" t="n"/>
      <c r="S99" s="186" t="n"/>
      <c r="T99" s="186" t="n"/>
      <c r="U99" s="186" t="n"/>
      <c r="V99" s="186" t="n"/>
      <c r="W99" s="186" t="n"/>
      <c r="X99" s="186" t="n"/>
      <c r="Y99" s="186" t="n"/>
      <c r="Z99" s="186" t="n"/>
      <c r="AA99" s="186" t="n"/>
      <c r="AB99" s="186" t="n"/>
    </row>
    <row r="100">
      <c r="A100" s="186" t="n"/>
      <c r="B100" s="186" t="n"/>
      <c r="C100" s="186" t="n"/>
      <c r="D100" s="186" t="n"/>
      <c r="E100" s="186" t="n"/>
      <c r="F100" s="213" t="n">
        <v>94</v>
      </c>
      <c r="G100" s="214">
        <f>$C$39</f>
        <v/>
      </c>
      <c r="H100" s="214">
        <f>(J99*$C$16)/12</f>
        <v/>
      </c>
      <c r="I100" s="214">
        <f>G100-H100</f>
        <v/>
      </c>
      <c r="J100" s="214">
        <f>J99-I100</f>
        <v/>
      </c>
      <c r="K100" s="186" t="n"/>
      <c r="L100" s="186" t="n"/>
      <c r="M100" s="186" t="n"/>
      <c r="N100" s="186" t="n"/>
      <c r="O100" s="186" t="n"/>
      <c r="P100" s="186" t="n"/>
      <c r="Q100" s="186" t="n"/>
      <c r="R100" s="186" t="n"/>
      <c r="S100" s="186" t="n"/>
      <c r="T100" s="186" t="n"/>
      <c r="U100" s="186" t="n"/>
      <c r="V100" s="186" t="n"/>
      <c r="W100" s="186" t="n"/>
      <c r="X100" s="186" t="n"/>
      <c r="Y100" s="186" t="n"/>
      <c r="Z100" s="186" t="n"/>
      <c r="AA100" s="186" t="n"/>
      <c r="AB100" s="186" t="n"/>
    </row>
    <row r="101">
      <c r="A101" s="186" t="n"/>
      <c r="B101" s="186" t="n"/>
      <c r="C101" s="186" t="n"/>
      <c r="D101" s="186" t="n"/>
      <c r="E101" s="186" t="n"/>
      <c r="F101" s="213" t="n">
        <v>95</v>
      </c>
      <c r="G101" s="214">
        <f>$C$39</f>
        <v/>
      </c>
      <c r="H101" s="214">
        <f>(J100*$C$16)/12</f>
        <v/>
      </c>
      <c r="I101" s="214">
        <f>G101-H101</f>
        <v/>
      </c>
      <c r="J101" s="214">
        <f>J100-I101</f>
        <v/>
      </c>
      <c r="K101" s="186" t="n"/>
      <c r="L101" s="186" t="n"/>
      <c r="M101" s="186" t="n"/>
      <c r="N101" s="186" t="n"/>
      <c r="O101" s="186" t="n"/>
      <c r="P101" s="186" t="n"/>
      <c r="Q101" s="186" t="n"/>
      <c r="R101" s="186" t="n"/>
      <c r="S101" s="186" t="n"/>
      <c r="T101" s="186" t="n"/>
      <c r="U101" s="186" t="n"/>
      <c r="V101" s="186" t="n"/>
      <c r="W101" s="186" t="n"/>
      <c r="X101" s="186" t="n"/>
      <c r="Y101" s="186" t="n"/>
      <c r="Z101" s="186" t="n"/>
      <c r="AA101" s="186" t="n"/>
      <c r="AB101" s="186" t="n"/>
    </row>
    <row r="102">
      <c r="A102" s="186" t="n"/>
      <c r="B102" s="186" t="n"/>
      <c r="C102" s="186" t="n"/>
      <c r="D102" s="186" t="n"/>
      <c r="E102" s="186" t="n"/>
      <c r="F102" s="504" t="n">
        <v>96</v>
      </c>
      <c r="G102" s="505">
        <f>$C$39</f>
        <v/>
      </c>
      <c r="H102" s="505">
        <f>(J101*$C$16)/12</f>
        <v/>
      </c>
      <c r="I102" s="505">
        <f>G102-H102</f>
        <v/>
      </c>
      <c r="J102" s="505">
        <f>J101-I102</f>
        <v/>
      </c>
      <c r="K102" s="186" t="n"/>
      <c r="L102" s="186" t="n"/>
      <c r="M102" s="186" t="n"/>
      <c r="N102" s="186" t="n"/>
      <c r="O102" s="186" t="n"/>
      <c r="P102" s="186" t="n"/>
      <c r="Q102" s="186" t="n"/>
      <c r="R102" s="186" t="n"/>
      <c r="S102" s="186" t="n"/>
      <c r="T102" s="186" t="n"/>
      <c r="U102" s="186" t="n"/>
      <c r="V102" s="186" t="n"/>
      <c r="W102" s="186" t="n"/>
      <c r="X102" s="186" t="n"/>
      <c r="Y102" s="186" t="n"/>
      <c r="Z102" s="186" t="n"/>
      <c r="AA102" s="186" t="n"/>
      <c r="AB102" s="186" t="n"/>
    </row>
    <row r="103">
      <c r="A103" s="186" t="n"/>
      <c r="B103" s="186" t="n"/>
      <c r="C103" s="186" t="n"/>
      <c r="D103" s="186" t="n"/>
      <c r="E103" s="186" t="n"/>
      <c r="F103" s="213" t="n">
        <v>97</v>
      </c>
      <c r="G103" s="214">
        <f>$C$39</f>
        <v/>
      </c>
      <c r="H103" s="214">
        <f>(J102*$C$16)/12</f>
        <v/>
      </c>
      <c r="I103" s="214">
        <f>G103-H103</f>
        <v/>
      </c>
      <c r="J103" s="214">
        <f>J102-I103</f>
        <v/>
      </c>
      <c r="K103" s="186" t="n"/>
      <c r="L103" s="186" t="n"/>
      <c r="M103" s="186" t="n"/>
      <c r="N103" s="186" t="n"/>
      <c r="O103" s="186" t="n"/>
      <c r="P103" s="186" t="n"/>
      <c r="Q103" s="186" t="n"/>
      <c r="R103" s="186" t="n"/>
      <c r="S103" s="186" t="n"/>
      <c r="T103" s="186" t="n"/>
      <c r="U103" s="186" t="n"/>
      <c r="V103" s="186" t="n"/>
      <c r="W103" s="186" t="n"/>
      <c r="X103" s="186" t="n"/>
      <c r="Y103" s="186" t="n"/>
      <c r="Z103" s="186" t="n"/>
      <c r="AA103" s="186" t="n"/>
      <c r="AB103" s="186" t="n"/>
    </row>
    <row r="104">
      <c r="A104" s="186" t="n"/>
      <c r="B104" s="186" t="n"/>
      <c r="C104" s="186" t="n"/>
      <c r="D104" s="186" t="n"/>
      <c r="E104" s="186" t="n"/>
      <c r="F104" s="213" t="n">
        <v>98</v>
      </c>
      <c r="G104" s="214">
        <f>$C$39</f>
        <v/>
      </c>
      <c r="H104" s="214">
        <f>(J103*$C$16)/12</f>
        <v/>
      </c>
      <c r="I104" s="214">
        <f>G104-H104</f>
        <v/>
      </c>
      <c r="J104" s="214">
        <f>J103-I104</f>
        <v/>
      </c>
      <c r="K104" s="186" t="n"/>
      <c r="L104" s="186" t="n"/>
      <c r="M104" s="186" t="n"/>
      <c r="N104" s="186" t="n"/>
      <c r="O104" s="186" t="n"/>
      <c r="P104" s="186" t="n"/>
      <c r="Q104" s="186" t="n"/>
      <c r="R104" s="186" t="n"/>
      <c r="S104" s="186" t="n"/>
      <c r="T104" s="186" t="n"/>
      <c r="U104" s="186" t="n"/>
      <c r="V104" s="186" t="n"/>
      <c r="W104" s="186" t="n"/>
      <c r="X104" s="186" t="n"/>
      <c r="Y104" s="186" t="n"/>
      <c r="Z104" s="186" t="n"/>
      <c r="AA104" s="186" t="n"/>
      <c r="AB104" s="186" t="n"/>
    </row>
    <row r="105">
      <c r="A105" s="186" t="n"/>
      <c r="B105" s="186" t="n"/>
      <c r="C105" s="186" t="n"/>
      <c r="D105" s="186" t="n"/>
      <c r="E105" s="186" t="n"/>
      <c r="F105" s="213" t="n">
        <v>99</v>
      </c>
      <c r="G105" s="214">
        <f>$C$39</f>
        <v/>
      </c>
      <c r="H105" s="214">
        <f>(J104*$C$16)/12</f>
        <v/>
      </c>
      <c r="I105" s="214">
        <f>G105-H105</f>
        <v/>
      </c>
      <c r="J105" s="214">
        <f>J104-I105</f>
        <v/>
      </c>
      <c r="K105" s="186" t="n"/>
      <c r="L105" s="186" t="n"/>
      <c r="M105" s="186" t="n"/>
      <c r="N105" s="186" t="n"/>
      <c r="O105" s="186" t="n"/>
      <c r="P105" s="186" t="n"/>
      <c r="Q105" s="186" t="n"/>
      <c r="R105" s="186" t="n"/>
      <c r="S105" s="186" t="n"/>
      <c r="T105" s="186" t="n"/>
      <c r="U105" s="186" t="n"/>
      <c r="V105" s="186" t="n"/>
      <c r="W105" s="186" t="n"/>
      <c r="X105" s="186" t="n"/>
      <c r="Y105" s="186" t="n"/>
      <c r="Z105" s="186" t="n"/>
      <c r="AA105" s="186" t="n"/>
      <c r="AB105" s="186" t="n"/>
    </row>
    <row r="106">
      <c r="A106" s="186" t="n"/>
      <c r="B106" s="186" t="n"/>
      <c r="C106" s="186" t="n"/>
      <c r="D106" s="186" t="n"/>
      <c r="E106" s="186" t="n"/>
      <c r="F106" s="213" t="n">
        <v>100</v>
      </c>
      <c r="G106" s="214">
        <f>$C$39</f>
        <v/>
      </c>
      <c r="H106" s="214">
        <f>(J105*$C$16)/12</f>
        <v/>
      </c>
      <c r="I106" s="214">
        <f>G106-H106</f>
        <v/>
      </c>
      <c r="J106" s="214">
        <f>J105-I106</f>
        <v/>
      </c>
      <c r="K106" s="186" t="n"/>
      <c r="L106" s="186" t="n"/>
      <c r="M106" s="186" t="n"/>
      <c r="N106" s="186" t="n"/>
      <c r="O106" s="186" t="n"/>
      <c r="P106" s="186" t="n"/>
      <c r="Q106" s="186" t="n"/>
      <c r="R106" s="186" t="n"/>
      <c r="S106" s="186" t="n"/>
      <c r="T106" s="186" t="n"/>
      <c r="U106" s="186" t="n"/>
      <c r="V106" s="186" t="n"/>
      <c r="W106" s="186" t="n"/>
      <c r="X106" s="186" t="n"/>
      <c r="Y106" s="186" t="n"/>
      <c r="Z106" s="186" t="n"/>
      <c r="AA106" s="186" t="n"/>
      <c r="AB106" s="186" t="n"/>
    </row>
    <row r="107">
      <c r="A107" s="186" t="n"/>
      <c r="B107" s="186" t="n"/>
      <c r="C107" s="186" t="n"/>
      <c r="D107" s="186" t="n"/>
      <c r="E107" s="186" t="n"/>
      <c r="F107" s="213" t="n">
        <v>101</v>
      </c>
      <c r="G107" s="214">
        <f>$C$39</f>
        <v/>
      </c>
      <c r="H107" s="214">
        <f>(J106*$C$16)/12</f>
        <v/>
      </c>
      <c r="I107" s="214">
        <f>G107-H107</f>
        <v/>
      </c>
      <c r="J107" s="214">
        <f>J106-I107</f>
        <v/>
      </c>
      <c r="K107" s="186" t="n"/>
      <c r="L107" s="186" t="n"/>
      <c r="M107" s="186" t="n"/>
      <c r="N107" s="186" t="n"/>
      <c r="O107" s="186" t="n"/>
      <c r="P107" s="186" t="n"/>
      <c r="Q107" s="186" t="n"/>
      <c r="R107" s="186" t="n"/>
      <c r="S107" s="186" t="n"/>
      <c r="T107" s="186" t="n"/>
      <c r="U107" s="186" t="n"/>
      <c r="V107" s="186" t="n"/>
      <c r="W107" s="186" t="n"/>
      <c r="X107" s="186" t="n"/>
      <c r="Y107" s="186" t="n"/>
      <c r="Z107" s="186" t="n"/>
      <c r="AA107" s="186" t="n"/>
      <c r="AB107" s="186" t="n"/>
    </row>
    <row r="108">
      <c r="A108" s="186" t="n"/>
      <c r="B108" s="186" t="n"/>
      <c r="C108" s="186" t="n"/>
      <c r="D108" s="186" t="n"/>
      <c r="E108" s="186" t="n"/>
      <c r="F108" s="213" t="n">
        <v>102</v>
      </c>
      <c r="G108" s="214">
        <f>$C$39</f>
        <v/>
      </c>
      <c r="H108" s="214">
        <f>(J107*$C$16)/12</f>
        <v/>
      </c>
      <c r="I108" s="214">
        <f>G108-H108</f>
        <v/>
      </c>
      <c r="J108" s="214">
        <f>J107-I108</f>
        <v/>
      </c>
      <c r="K108" s="186" t="n"/>
      <c r="L108" s="186" t="n"/>
      <c r="M108" s="186" t="n"/>
      <c r="N108" s="186" t="n"/>
      <c r="O108" s="186" t="n"/>
      <c r="P108" s="186" t="n"/>
      <c r="Q108" s="186" t="n"/>
      <c r="R108" s="186" t="n"/>
      <c r="S108" s="186" t="n"/>
      <c r="T108" s="186" t="n"/>
      <c r="U108" s="186" t="n"/>
      <c r="V108" s="186" t="n"/>
      <c r="W108" s="186" t="n"/>
      <c r="X108" s="186" t="n"/>
      <c r="Y108" s="186" t="n"/>
      <c r="Z108" s="186" t="n"/>
      <c r="AA108" s="186" t="n"/>
      <c r="AB108" s="186" t="n"/>
    </row>
    <row r="109">
      <c r="A109" s="186" t="n"/>
      <c r="B109" s="186" t="n"/>
      <c r="C109" s="186" t="n"/>
      <c r="D109" s="186" t="n"/>
      <c r="E109" s="186" t="n"/>
      <c r="F109" s="213" t="n">
        <v>103</v>
      </c>
      <c r="G109" s="214">
        <f>$C$39</f>
        <v/>
      </c>
      <c r="H109" s="214">
        <f>(J108*$C$16)/12</f>
        <v/>
      </c>
      <c r="I109" s="214">
        <f>G109-H109</f>
        <v/>
      </c>
      <c r="J109" s="214">
        <f>J108-I109</f>
        <v/>
      </c>
      <c r="K109" s="186" t="n"/>
      <c r="L109" s="186" t="n"/>
      <c r="M109" s="186" t="n"/>
      <c r="N109" s="186" t="n"/>
      <c r="O109" s="186" t="n"/>
      <c r="P109" s="186" t="n"/>
      <c r="Q109" s="186" t="n"/>
      <c r="R109" s="186" t="n"/>
      <c r="S109" s="186" t="n"/>
      <c r="T109" s="186" t="n"/>
      <c r="U109" s="186" t="n"/>
      <c r="V109" s="186" t="n"/>
      <c r="W109" s="186" t="n"/>
      <c r="X109" s="186" t="n"/>
      <c r="Y109" s="186" t="n"/>
      <c r="Z109" s="186" t="n"/>
      <c r="AA109" s="186" t="n"/>
      <c r="AB109" s="186" t="n"/>
    </row>
    <row r="110">
      <c r="A110" s="186" t="n"/>
      <c r="B110" s="186" t="n"/>
      <c r="C110" s="186" t="n"/>
      <c r="D110" s="186" t="n"/>
      <c r="E110" s="186" t="n"/>
      <c r="F110" s="213" t="n">
        <v>104</v>
      </c>
      <c r="G110" s="214">
        <f>$C$39</f>
        <v/>
      </c>
      <c r="H110" s="214">
        <f>(J109*$C$16)/12</f>
        <v/>
      </c>
      <c r="I110" s="214">
        <f>G110-H110</f>
        <v/>
      </c>
      <c r="J110" s="214">
        <f>J109-I110</f>
        <v/>
      </c>
      <c r="K110" s="186" t="n"/>
      <c r="L110" s="186" t="n"/>
      <c r="M110" s="186" t="n"/>
      <c r="N110" s="186" t="n"/>
      <c r="O110" s="186" t="n"/>
      <c r="P110" s="186" t="n"/>
      <c r="Q110" s="186" t="n"/>
      <c r="R110" s="186" t="n"/>
      <c r="S110" s="186" t="n"/>
      <c r="T110" s="186" t="n"/>
      <c r="U110" s="186" t="n"/>
      <c r="V110" s="186" t="n"/>
      <c r="W110" s="186" t="n"/>
      <c r="X110" s="186" t="n"/>
      <c r="Y110" s="186" t="n"/>
      <c r="Z110" s="186" t="n"/>
      <c r="AA110" s="186" t="n"/>
      <c r="AB110" s="186" t="n"/>
    </row>
    <row r="111">
      <c r="A111" s="186" t="n"/>
      <c r="B111" s="186" t="n"/>
      <c r="C111" s="186" t="n"/>
      <c r="D111" s="186" t="n"/>
      <c r="E111" s="186" t="n"/>
      <c r="F111" s="213" t="n">
        <v>105</v>
      </c>
      <c r="G111" s="214">
        <f>$C$39</f>
        <v/>
      </c>
      <c r="H111" s="214">
        <f>(J110*$C$16)/12</f>
        <v/>
      </c>
      <c r="I111" s="214">
        <f>G111-H111</f>
        <v/>
      </c>
      <c r="J111" s="214">
        <f>J110-I111</f>
        <v/>
      </c>
      <c r="K111" s="186" t="n"/>
      <c r="L111" s="186" t="n"/>
      <c r="M111" s="186" t="n"/>
      <c r="N111" s="186" t="n"/>
      <c r="O111" s="186" t="n"/>
      <c r="P111" s="186" t="n"/>
      <c r="Q111" s="186" t="n"/>
      <c r="R111" s="186" t="n"/>
      <c r="S111" s="186" t="n"/>
      <c r="T111" s="186" t="n"/>
      <c r="U111" s="186" t="n"/>
      <c r="V111" s="186" t="n"/>
      <c r="W111" s="186" t="n"/>
      <c r="X111" s="186" t="n"/>
      <c r="Y111" s="186" t="n"/>
      <c r="Z111" s="186" t="n"/>
      <c r="AA111" s="186" t="n"/>
      <c r="AB111" s="186" t="n"/>
    </row>
    <row r="112">
      <c r="A112" s="186" t="n"/>
      <c r="B112" s="186" t="n"/>
      <c r="C112" s="186" t="n"/>
      <c r="D112" s="186" t="n"/>
      <c r="E112" s="186" t="n"/>
      <c r="F112" s="213" t="n">
        <v>106</v>
      </c>
      <c r="G112" s="214">
        <f>$C$39</f>
        <v/>
      </c>
      <c r="H112" s="214">
        <f>(J111*$C$16)/12</f>
        <v/>
      </c>
      <c r="I112" s="214">
        <f>G112-H112</f>
        <v/>
      </c>
      <c r="J112" s="214">
        <f>J111-I112</f>
        <v/>
      </c>
      <c r="K112" s="186" t="n"/>
      <c r="L112" s="186" t="n"/>
      <c r="M112" s="186" t="n"/>
      <c r="N112" s="186" t="n"/>
      <c r="O112" s="186" t="n"/>
      <c r="P112" s="186" t="n"/>
      <c r="Q112" s="186" t="n"/>
      <c r="R112" s="186" t="n"/>
      <c r="S112" s="186" t="n"/>
      <c r="T112" s="186" t="n"/>
      <c r="U112" s="186" t="n"/>
      <c r="V112" s="186" t="n"/>
      <c r="W112" s="186" t="n"/>
      <c r="X112" s="186" t="n"/>
      <c r="Y112" s="186" t="n"/>
      <c r="Z112" s="186" t="n"/>
      <c r="AA112" s="186" t="n"/>
      <c r="AB112" s="186" t="n"/>
    </row>
    <row r="113">
      <c r="A113" s="186" t="n"/>
      <c r="B113" s="186" t="n"/>
      <c r="C113" s="186" t="n"/>
      <c r="D113" s="186" t="n"/>
      <c r="E113" s="186" t="n"/>
      <c r="F113" s="213" t="n">
        <v>107</v>
      </c>
      <c r="G113" s="214">
        <f>$C$39</f>
        <v/>
      </c>
      <c r="H113" s="214">
        <f>(J112*$C$16)/12</f>
        <v/>
      </c>
      <c r="I113" s="214">
        <f>G113-H113</f>
        <v/>
      </c>
      <c r="J113" s="214">
        <f>J112-I113</f>
        <v/>
      </c>
      <c r="K113" s="186" t="n"/>
      <c r="L113" s="186" t="n"/>
      <c r="M113" s="186" t="n"/>
      <c r="N113" s="186" t="n"/>
      <c r="O113" s="186" t="n"/>
      <c r="P113" s="186" t="n"/>
      <c r="Q113" s="186" t="n"/>
      <c r="R113" s="186" t="n"/>
      <c r="S113" s="186" t="n"/>
      <c r="T113" s="186" t="n"/>
      <c r="U113" s="186" t="n"/>
      <c r="V113" s="186" t="n"/>
      <c r="W113" s="186" t="n"/>
      <c r="X113" s="186" t="n"/>
      <c r="Y113" s="186" t="n"/>
      <c r="Z113" s="186" t="n"/>
      <c r="AA113" s="186" t="n"/>
      <c r="AB113" s="186" t="n"/>
    </row>
    <row r="114">
      <c r="A114" s="186" t="n"/>
      <c r="B114" s="186" t="n"/>
      <c r="C114" s="186" t="n"/>
      <c r="D114" s="186" t="n"/>
      <c r="E114" s="186" t="n"/>
      <c r="F114" s="504" t="n">
        <v>108</v>
      </c>
      <c r="G114" s="505">
        <f>$C$39</f>
        <v/>
      </c>
      <c r="H114" s="505">
        <f>(J113*$C$16)/12</f>
        <v/>
      </c>
      <c r="I114" s="505">
        <f>G114-H114</f>
        <v/>
      </c>
      <c r="J114" s="505">
        <f>J113-I114</f>
        <v/>
      </c>
      <c r="K114" s="186" t="n"/>
      <c r="L114" s="186" t="n"/>
      <c r="M114" s="186" t="n"/>
      <c r="N114" s="186" t="n"/>
      <c r="O114" s="186" t="n"/>
      <c r="P114" s="186" t="n"/>
      <c r="Q114" s="186" t="n"/>
      <c r="R114" s="186" t="n"/>
      <c r="S114" s="186" t="n"/>
      <c r="T114" s="186" t="n"/>
      <c r="U114" s="186" t="n"/>
      <c r="V114" s="186" t="n"/>
      <c r="W114" s="186" t="n"/>
      <c r="X114" s="186" t="n"/>
      <c r="Y114" s="186" t="n"/>
      <c r="Z114" s="186" t="n"/>
      <c r="AA114" s="186" t="n"/>
      <c r="AB114" s="186" t="n"/>
    </row>
    <row r="115">
      <c r="A115" s="186" t="n"/>
      <c r="B115" s="186" t="n"/>
      <c r="C115" s="186" t="n"/>
      <c r="D115" s="186" t="n"/>
      <c r="E115" s="186" t="n"/>
      <c r="F115" s="213" t="n">
        <v>109</v>
      </c>
      <c r="G115" s="214">
        <f>$C$39</f>
        <v/>
      </c>
      <c r="H115" s="214">
        <f>(J114*$C$16)/12</f>
        <v/>
      </c>
      <c r="I115" s="214">
        <f>G115-H115</f>
        <v/>
      </c>
      <c r="J115" s="214">
        <f>J114-I115</f>
        <v/>
      </c>
      <c r="K115" s="186" t="n"/>
      <c r="L115" s="186" t="n"/>
      <c r="M115" s="186" t="n"/>
      <c r="N115" s="186" t="n"/>
      <c r="O115" s="186" t="n"/>
      <c r="P115" s="186" t="n"/>
      <c r="Q115" s="186" t="n"/>
      <c r="R115" s="186" t="n"/>
      <c r="S115" s="186" t="n"/>
      <c r="T115" s="186" t="n"/>
      <c r="U115" s="186" t="n"/>
      <c r="V115" s="186" t="n"/>
      <c r="W115" s="186" t="n"/>
      <c r="X115" s="186" t="n"/>
      <c r="Y115" s="186" t="n"/>
      <c r="Z115" s="186" t="n"/>
      <c r="AA115" s="186" t="n"/>
      <c r="AB115" s="186" t="n"/>
    </row>
    <row r="116">
      <c r="A116" s="186" t="n"/>
      <c r="B116" s="186" t="n"/>
      <c r="C116" s="186" t="n"/>
      <c r="D116" s="186" t="n"/>
      <c r="E116" s="186" t="n"/>
      <c r="F116" s="213" t="n">
        <v>110</v>
      </c>
      <c r="G116" s="214">
        <f>$C$39</f>
        <v/>
      </c>
      <c r="H116" s="214">
        <f>(J115*$C$16)/12</f>
        <v/>
      </c>
      <c r="I116" s="214">
        <f>G116-H116</f>
        <v/>
      </c>
      <c r="J116" s="214">
        <f>J115-I116</f>
        <v/>
      </c>
      <c r="K116" s="186" t="n"/>
      <c r="L116" s="186" t="n"/>
      <c r="M116" s="186" t="n"/>
      <c r="N116" s="186" t="n"/>
      <c r="O116" s="186" t="n"/>
      <c r="P116" s="186" t="n"/>
      <c r="Q116" s="186" t="n"/>
      <c r="R116" s="186" t="n"/>
      <c r="S116" s="186" t="n"/>
      <c r="T116" s="186" t="n"/>
      <c r="U116" s="186" t="n"/>
      <c r="V116" s="186" t="n"/>
      <c r="W116" s="186" t="n"/>
      <c r="X116" s="186" t="n"/>
      <c r="Y116" s="186" t="n"/>
      <c r="Z116" s="186" t="n"/>
      <c r="AA116" s="186" t="n"/>
      <c r="AB116" s="186" t="n"/>
    </row>
    <row r="117">
      <c r="A117" s="186" t="n"/>
      <c r="B117" s="186" t="n"/>
      <c r="C117" s="186" t="n"/>
      <c r="D117" s="186" t="n"/>
      <c r="E117" s="186" t="n"/>
      <c r="F117" s="213" t="n">
        <v>111</v>
      </c>
      <c r="G117" s="214">
        <f>$C$39</f>
        <v/>
      </c>
      <c r="H117" s="214">
        <f>(J116*$C$16)/12</f>
        <v/>
      </c>
      <c r="I117" s="214">
        <f>G117-H117</f>
        <v/>
      </c>
      <c r="J117" s="214">
        <f>J116-I117</f>
        <v/>
      </c>
      <c r="K117" s="186" t="n"/>
      <c r="L117" s="186" t="n"/>
      <c r="M117" s="186" t="n"/>
      <c r="N117" s="186" t="n"/>
      <c r="O117" s="186" t="n"/>
      <c r="P117" s="186" t="n"/>
      <c r="Q117" s="186" t="n"/>
      <c r="R117" s="186" t="n"/>
      <c r="S117" s="186" t="n"/>
      <c r="T117" s="186" t="n"/>
      <c r="U117" s="186" t="n"/>
      <c r="V117" s="186" t="n"/>
      <c r="W117" s="186" t="n"/>
      <c r="X117" s="186" t="n"/>
      <c r="Y117" s="186" t="n"/>
      <c r="Z117" s="186" t="n"/>
      <c r="AA117" s="186" t="n"/>
      <c r="AB117" s="186" t="n"/>
    </row>
    <row r="118">
      <c r="A118" s="186" t="n"/>
      <c r="B118" s="186" t="n"/>
      <c r="C118" s="186" t="n"/>
      <c r="D118" s="186" t="n"/>
      <c r="E118" s="186" t="n"/>
      <c r="F118" s="213" t="n">
        <v>112</v>
      </c>
      <c r="G118" s="214">
        <f>$C$39</f>
        <v/>
      </c>
      <c r="H118" s="214">
        <f>(J117*$C$16)/12</f>
        <v/>
      </c>
      <c r="I118" s="214">
        <f>G118-H118</f>
        <v/>
      </c>
      <c r="J118" s="214">
        <f>J117-I118</f>
        <v/>
      </c>
      <c r="K118" s="186" t="n"/>
      <c r="L118" s="186" t="n"/>
      <c r="M118" s="186" t="n"/>
      <c r="N118" s="186" t="n"/>
      <c r="O118" s="186" t="n"/>
      <c r="P118" s="186" t="n"/>
      <c r="Q118" s="186" t="n"/>
      <c r="R118" s="186" t="n"/>
      <c r="S118" s="186" t="n"/>
      <c r="T118" s="186" t="n"/>
      <c r="U118" s="186" t="n"/>
      <c r="V118" s="186" t="n"/>
      <c r="W118" s="186" t="n"/>
      <c r="X118" s="186" t="n"/>
      <c r="Y118" s="186" t="n"/>
      <c r="Z118" s="186" t="n"/>
      <c r="AA118" s="186" t="n"/>
      <c r="AB118" s="186" t="n"/>
    </row>
    <row r="119">
      <c r="A119" s="186" t="n"/>
      <c r="B119" s="186" t="n"/>
      <c r="C119" s="186" t="n"/>
      <c r="D119" s="186" t="n"/>
      <c r="E119" s="186" t="n"/>
      <c r="F119" s="213" t="n">
        <v>113</v>
      </c>
      <c r="G119" s="214">
        <f>$C$39</f>
        <v/>
      </c>
      <c r="H119" s="214">
        <f>(J118*$C$16)/12</f>
        <v/>
      </c>
      <c r="I119" s="214">
        <f>G119-H119</f>
        <v/>
      </c>
      <c r="J119" s="214">
        <f>J118-I119</f>
        <v/>
      </c>
      <c r="K119" s="186" t="n"/>
      <c r="L119" s="186" t="n"/>
      <c r="M119" s="186" t="n"/>
      <c r="N119" s="186" t="n"/>
      <c r="O119" s="186" t="n"/>
      <c r="P119" s="186" t="n"/>
      <c r="Q119" s="186" t="n"/>
      <c r="R119" s="186" t="n"/>
      <c r="S119" s="186" t="n"/>
      <c r="T119" s="186" t="n"/>
      <c r="U119" s="186" t="n"/>
      <c r="V119" s="186" t="n"/>
      <c r="W119" s="186" t="n"/>
      <c r="X119" s="186" t="n"/>
      <c r="Y119" s="186" t="n"/>
      <c r="Z119" s="186" t="n"/>
      <c r="AA119" s="186" t="n"/>
      <c r="AB119" s="186" t="n"/>
    </row>
    <row r="120">
      <c r="A120" s="186" t="n"/>
      <c r="B120" s="186" t="n"/>
      <c r="C120" s="186" t="n"/>
      <c r="D120" s="186" t="n"/>
      <c r="E120" s="186" t="n"/>
      <c r="F120" s="213" t="n">
        <v>114</v>
      </c>
      <c r="G120" s="214">
        <f>$C$39</f>
        <v/>
      </c>
      <c r="H120" s="214">
        <f>(J119*$C$16)/12</f>
        <v/>
      </c>
      <c r="I120" s="214">
        <f>G120-H120</f>
        <v/>
      </c>
      <c r="J120" s="214">
        <f>J119-I120</f>
        <v/>
      </c>
      <c r="K120" s="186" t="n"/>
      <c r="L120" s="186" t="n"/>
      <c r="M120" s="186" t="n"/>
      <c r="N120" s="186" t="n"/>
      <c r="O120" s="186" t="n"/>
      <c r="P120" s="186" t="n"/>
      <c r="Q120" s="186" t="n"/>
      <c r="R120" s="186" t="n"/>
      <c r="S120" s="186" t="n"/>
      <c r="T120" s="186" t="n"/>
      <c r="U120" s="186" t="n"/>
      <c r="V120" s="186" t="n"/>
      <c r="W120" s="186" t="n"/>
      <c r="X120" s="186" t="n"/>
      <c r="Y120" s="186" t="n"/>
      <c r="Z120" s="186" t="n"/>
      <c r="AA120" s="186" t="n"/>
      <c r="AB120" s="186" t="n"/>
    </row>
    <row r="121">
      <c r="A121" s="186" t="n"/>
      <c r="B121" s="186" t="n"/>
      <c r="C121" s="186" t="n"/>
      <c r="D121" s="186" t="n"/>
      <c r="E121" s="186" t="n"/>
      <c r="F121" s="213" t="n">
        <v>115</v>
      </c>
      <c r="G121" s="214">
        <f>$C$39</f>
        <v/>
      </c>
      <c r="H121" s="214">
        <f>(J120*$C$16)/12</f>
        <v/>
      </c>
      <c r="I121" s="214">
        <f>G121-H121</f>
        <v/>
      </c>
      <c r="J121" s="214">
        <f>J120-I121</f>
        <v/>
      </c>
      <c r="K121" s="186" t="n"/>
      <c r="L121" s="186" t="n"/>
      <c r="M121" s="186" t="n"/>
      <c r="N121" s="186" t="n"/>
      <c r="O121" s="186" t="n"/>
      <c r="P121" s="186" t="n"/>
      <c r="Q121" s="186" t="n"/>
      <c r="R121" s="186" t="n"/>
      <c r="S121" s="186" t="n"/>
      <c r="T121" s="186" t="n"/>
      <c r="U121" s="186" t="n"/>
      <c r="V121" s="186" t="n"/>
      <c r="W121" s="186" t="n"/>
      <c r="X121" s="186" t="n"/>
      <c r="Y121" s="186" t="n"/>
      <c r="Z121" s="186" t="n"/>
      <c r="AA121" s="186" t="n"/>
      <c r="AB121" s="186" t="n"/>
    </row>
    <row r="122">
      <c r="A122" s="186" t="n"/>
      <c r="B122" s="186" t="n"/>
      <c r="C122" s="186" t="n"/>
      <c r="D122" s="186" t="n"/>
      <c r="E122" s="186" t="n"/>
      <c r="F122" s="213" t="n">
        <v>116</v>
      </c>
      <c r="G122" s="214">
        <f>$C$39</f>
        <v/>
      </c>
      <c r="H122" s="214">
        <f>(J121*$C$16)/12</f>
        <v/>
      </c>
      <c r="I122" s="214">
        <f>G122-H122</f>
        <v/>
      </c>
      <c r="J122" s="214">
        <f>J121-I122</f>
        <v/>
      </c>
      <c r="K122" s="186" t="n"/>
      <c r="L122" s="186" t="n"/>
      <c r="M122" s="186" t="n"/>
      <c r="N122" s="186" t="n"/>
      <c r="O122" s="186" t="n"/>
      <c r="P122" s="186" t="n"/>
      <c r="Q122" s="186" t="n"/>
      <c r="R122" s="186" t="n"/>
      <c r="S122" s="186" t="n"/>
      <c r="T122" s="186" t="n"/>
      <c r="U122" s="186" t="n"/>
      <c r="V122" s="186" t="n"/>
      <c r="W122" s="186" t="n"/>
      <c r="X122" s="186" t="n"/>
      <c r="Y122" s="186" t="n"/>
      <c r="Z122" s="186" t="n"/>
      <c r="AA122" s="186" t="n"/>
      <c r="AB122" s="186" t="n"/>
    </row>
    <row r="123">
      <c r="A123" s="186" t="n"/>
      <c r="B123" s="186" t="n"/>
      <c r="C123" s="186" t="n"/>
      <c r="D123" s="186" t="n"/>
      <c r="E123" s="186" t="n"/>
      <c r="F123" s="213" t="n">
        <v>117</v>
      </c>
      <c r="G123" s="214">
        <f>$C$39</f>
        <v/>
      </c>
      <c r="H123" s="214">
        <f>(J122*$C$16)/12</f>
        <v/>
      </c>
      <c r="I123" s="214">
        <f>G123-H123</f>
        <v/>
      </c>
      <c r="J123" s="214">
        <f>J122-I123</f>
        <v/>
      </c>
      <c r="K123" s="186" t="n"/>
      <c r="L123" s="186" t="n"/>
      <c r="M123" s="186" t="n"/>
      <c r="N123" s="186" t="n"/>
      <c r="O123" s="186" t="n"/>
      <c r="P123" s="186" t="n"/>
      <c r="Q123" s="186" t="n"/>
      <c r="R123" s="186" t="n"/>
      <c r="S123" s="186" t="n"/>
      <c r="T123" s="186" t="n"/>
      <c r="U123" s="186" t="n"/>
      <c r="V123" s="186" t="n"/>
      <c r="W123" s="186" t="n"/>
      <c r="X123" s="186" t="n"/>
      <c r="Y123" s="186" t="n"/>
      <c r="Z123" s="186" t="n"/>
      <c r="AA123" s="186" t="n"/>
      <c r="AB123" s="186" t="n"/>
    </row>
    <row r="124">
      <c r="A124" s="186" t="n"/>
      <c r="B124" s="186" t="n"/>
      <c r="C124" s="186" t="n"/>
      <c r="D124" s="186" t="n"/>
      <c r="E124" s="186" t="n"/>
      <c r="F124" s="213" t="n">
        <v>118</v>
      </c>
      <c r="G124" s="214">
        <f>$C$39</f>
        <v/>
      </c>
      <c r="H124" s="214">
        <f>(J123*$C$16)/12</f>
        <v/>
      </c>
      <c r="I124" s="214">
        <f>G124-H124</f>
        <v/>
      </c>
      <c r="J124" s="214">
        <f>J123-I124</f>
        <v/>
      </c>
      <c r="K124" s="186" t="n"/>
      <c r="L124" s="186" t="n"/>
      <c r="M124" s="186" t="n"/>
      <c r="N124" s="186" t="n"/>
      <c r="O124" s="186" t="n"/>
      <c r="P124" s="186" t="n"/>
      <c r="Q124" s="186" t="n"/>
      <c r="R124" s="186" t="n"/>
      <c r="S124" s="186" t="n"/>
      <c r="T124" s="186" t="n"/>
      <c r="U124" s="186" t="n"/>
      <c r="V124" s="186" t="n"/>
      <c r="W124" s="186" t="n"/>
      <c r="X124" s="186" t="n"/>
      <c r="Y124" s="186" t="n"/>
      <c r="Z124" s="186" t="n"/>
      <c r="AA124" s="186" t="n"/>
      <c r="AB124" s="186" t="n"/>
    </row>
    <row r="125">
      <c r="A125" s="186" t="n"/>
      <c r="B125" s="186" t="n"/>
      <c r="C125" s="186" t="n"/>
      <c r="D125" s="186" t="n"/>
      <c r="E125" s="186" t="n"/>
      <c r="F125" s="213" t="n">
        <v>119</v>
      </c>
      <c r="G125" s="214">
        <f>$C$39</f>
        <v/>
      </c>
      <c r="H125" s="214">
        <f>(J124*$C$16)/12</f>
        <v/>
      </c>
      <c r="I125" s="214">
        <f>G125-H125</f>
        <v/>
      </c>
      <c r="J125" s="214">
        <f>J124-I125</f>
        <v/>
      </c>
      <c r="K125" s="186" t="n"/>
      <c r="L125" s="186" t="n"/>
      <c r="M125" s="186" t="n"/>
      <c r="N125" s="186" t="n"/>
      <c r="O125" s="186" t="n"/>
      <c r="P125" s="186" t="n"/>
      <c r="Q125" s="186" t="n"/>
      <c r="R125" s="186" t="n"/>
      <c r="S125" s="186" t="n"/>
      <c r="T125" s="186" t="n"/>
      <c r="U125" s="186" t="n"/>
      <c r="V125" s="186" t="n"/>
      <c r="W125" s="186" t="n"/>
      <c r="X125" s="186" t="n"/>
      <c r="Y125" s="186" t="n"/>
      <c r="Z125" s="186" t="n"/>
      <c r="AA125" s="186" t="n"/>
      <c r="AB125" s="186" t="n"/>
    </row>
    <row r="126">
      <c r="A126" s="186" t="n"/>
      <c r="B126" s="186" t="n"/>
      <c r="C126" s="186" t="n"/>
      <c r="D126" s="186" t="n"/>
      <c r="E126" s="186" t="n"/>
      <c r="F126" s="213" t="n">
        <v>120</v>
      </c>
      <c r="G126" s="214">
        <f>$C$39</f>
        <v/>
      </c>
      <c r="H126" s="214">
        <f>(J125*$C$16)/12</f>
        <v/>
      </c>
      <c r="I126" s="214">
        <f>G126-H126</f>
        <v/>
      </c>
      <c r="J126" s="214">
        <f>J125-I126</f>
        <v/>
      </c>
      <c r="K126" s="186" t="n"/>
      <c r="L126" s="186" t="n"/>
      <c r="M126" s="186" t="n"/>
      <c r="N126" s="186" t="n"/>
      <c r="O126" s="186" t="n"/>
      <c r="P126" s="186" t="n"/>
      <c r="Q126" s="186" t="n"/>
      <c r="R126" s="186" t="n"/>
      <c r="S126" s="186" t="n"/>
      <c r="T126" s="186" t="n"/>
      <c r="U126" s="186" t="n"/>
      <c r="V126" s="186" t="n"/>
      <c r="W126" s="186" t="n"/>
      <c r="X126" s="186" t="n"/>
      <c r="Y126" s="186" t="n"/>
      <c r="Z126" s="186" t="n"/>
      <c r="AA126" s="186" t="n"/>
      <c r="AB126" s="186" t="n"/>
    </row>
    <row r="127">
      <c r="A127" s="186" t="n"/>
      <c r="B127" s="186" t="n"/>
      <c r="C127" s="186" t="n"/>
      <c r="D127" s="186" t="n"/>
      <c r="E127" s="186" t="n"/>
      <c r="F127" s="208" t="n"/>
      <c r="G127" s="208" t="n"/>
      <c r="H127" s="208" t="n"/>
      <c r="I127" s="208" t="n"/>
      <c r="J127" s="208" t="n"/>
      <c r="K127" s="186" t="n"/>
      <c r="L127" s="186" t="n"/>
      <c r="M127" s="186" t="n"/>
      <c r="N127" s="186" t="n"/>
      <c r="O127" s="186" t="n"/>
      <c r="P127" s="186" t="n"/>
      <c r="Q127" s="186" t="n"/>
      <c r="R127" s="186" t="n"/>
      <c r="S127" s="186" t="n"/>
      <c r="T127" s="186" t="n"/>
      <c r="U127" s="186" t="n"/>
      <c r="V127" s="186" t="n"/>
      <c r="W127" s="186" t="n"/>
      <c r="X127" s="186" t="n"/>
      <c r="Y127" s="186" t="n"/>
      <c r="Z127" s="186" t="n"/>
      <c r="AA127" s="186" t="n"/>
      <c r="AB127" s="186" t="n"/>
    </row>
    <row r="128">
      <c r="A128" s="186" t="n"/>
      <c r="B128" s="186" t="n"/>
      <c r="C128" s="186" t="n"/>
      <c r="D128" s="186" t="n"/>
      <c r="E128" s="186" t="n"/>
      <c r="F128" s="208" t="n"/>
      <c r="G128" s="208" t="n"/>
      <c r="H128" s="208" t="n"/>
      <c r="I128" s="208" t="n"/>
      <c r="J128" s="208" t="n"/>
      <c r="K128" s="186" t="n"/>
      <c r="L128" s="186" t="n"/>
      <c r="M128" s="186" t="n"/>
      <c r="N128" s="186" t="n"/>
      <c r="O128" s="186" t="n"/>
      <c r="P128" s="186" t="n"/>
      <c r="Q128" s="186" t="n"/>
      <c r="R128" s="186" t="n"/>
      <c r="S128" s="186" t="n"/>
      <c r="T128" s="186" t="n"/>
      <c r="U128" s="186" t="n"/>
      <c r="V128" s="186" t="n"/>
      <c r="W128" s="186" t="n"/>
      <c r="X128" s="186" t="n"/>
      <c r="Y128" s="186" t="n"/>
      <c r="Z128" s="186" t="n"/>
      <c r="AA128" s="186" t="n"/>
      <c r="AB128" s="186" t="n"/>
    </row>
    <row r="129">
      <c r="A129" s="186" t="n"/>
      <c r="B129" s="186" t="n"/>
      <c r="C129" s="186" t="n"/>
      <c r="D129" s="186" t="n"/>
      <c r="E129" s="186" t="n"/>
      <c r="F129" s="208" t="n"/>
      <c r="G129" s="208" t="n"/>
      <c r="H129" s="208" t="n"/>
      <c r="I129" s="208" t="n"/>
      <c r="J129" s="208" t="n"/>
      <c r="K129" s="186" t="n"/>
      <c r="L129" s="186" t="n"/>
      <c r="M129" s="186" t="n"/>
      <c r="N129" s="186" t="n"/>
      <c r="O129" s="186" t="n"/>
      <c r="P129" s="186" t="n"/>
      <c r="Q129" s="186" t="n"/>
      <c r="R129" s="186" t="n"/>
      <c r="S129" s="186" t="n"/>
      <c r="T129" s="186" t="n"/>
      <c r="U129" s="186" t="n"/>
      <c r="V129" s="186" t="n"/>
      <c r="W129" s="186" t="n"/>
      <c r="X129" s="186" t="n"/>
      <c r="Y129" s="186" t="n"/>
      <c r="Z129" s="186" t="n"/>
      <c r="AA129" s="186" t="n"/>
      <c r="AB129" s="186" t="n"/>
    </row>
    <row r="130">
      <c r="A130" s="186" t="n"/>
      <c r="B130" s="186" t="n"/>
      <c r="C130" s="186" t="n"/>
      <c r="D130" s="186" t="n"/>
      <c r="E130" s="186" t="n"/>
      <c r="F130" s="208" t="n"/>
      <c r="G130" s="208" t="n"/>
      <c r="H130" s="208" t="n"/>
      <c r="I130" s="208" t="n"/>
      <c r="J130" s="208" t="n"/>
      <c r="K130" s="186" t="n"/>
      <c r="L130" s="186" t="n"/>
      <c r="M130" s="186" t="n"/>
      <c r="N130" s="186" t="n"/>
      <c r="O130" s="186" t="n"/>
      <c r="P130" s="186" t="n"/>
      <c r="Q130" s="186" t="n"/>
      <c r="R130" s="186" t="n"/>
      <c r="S130" s="186" t="n"/>
      <c r="T130" s="186" t="n"/>
      <c r="U130" s="186" t="n"/>
      <c r="V130" s="186" t="n"/>
      <c r="W130" s="186" t="n"/>
      <c r="X130" s="186" t="n"/>
      <c r="Y130" s="186" t="n"/>
      <c r="Z130" s="186" t="n"/>
      <c r="AA130" s="186" t="n"/>
      <c r="AB130" s="186" t="n"/>
    </row>
    <row r="131">
      <c r="A131" s="186" t="n"/>
      <c r="B131" s="186" t="n"/>
      <c r="C131" s="186" t="n"/>
      <c r="D131" s="186" t="n"/>
      <c r="E131" s="186" t="n"/>
      <c r="F131" s="208" t="n"/>
      <c r="G131" s="208" t="n"/>
      <c r="H131" s="208" t="n"/>
      <c r="I131" s="208" t="n"/>
      <c r="J131" s="208" t="n"/>
      <c r="K131" s="186" t="n"/>
      <c r="L131" s="186" t="n"/>
      <c r="M131" s="186" t="n"/>
      <c r="N131" s="186" t="n"/>
      <c r="O131" s="186" t="n"/>
      <c r="P131" s="186" t="n"/>
      <c r="Q131" s="186" t="n"/>
      <c r="R131" s="186" t="n"/>
      <c r="S131" s="186" t="n"/>
      <c r="T131" s="186" t="n"/>
      <c r="U131" s="186" t="n"/>
      <c r="V131" s="186" t="n"/>
      <c r="W131" s="186" t="n"/>
      <c r="X131" s="186" t="n"/>
      <c r="Y131" s="186" t="n"/>
      <c r="Z131" s="186" t="n"/>
      <c r="AA131" s="186" t="n"/>
      <c r="AB131" s="186" t="n"/>
    </row>
    <row r="132">
      <c r="A132" s="186" t="n"/>
      <c r="B132" s="186" t="n"/>
      <c r="C132" s="186" t="n"/>
      <c r="D132" s="186" t="n"/>
      <c r="E132" s="186" t="n"/>
      <c r="F132" s="208" t="n"/>
      <c r="G132" s="208" t="n"/>
      <c r="H132" s="208" t="n"/>
      <c r="I132" s="208" t="n"/>
      <c r="J132" s="208" t="n"/>
      <c r="K132" s="186" t="n"/>
      <c r="L132" s="186" t="n"/>
      <c r="M132" s="186" t="n"/>
      <c r="N132" s="186" t="n"/>
      <c r="O132" s="186" t="n"/>
      <c r="P132" s="186" t="n"/>
      <c r="Q132" s="186" t="n"/>
      <c r="R132" s="186" t="n"/>
      <c r="S132" s="186" t="n"/>
      <c r="T132" s="186" t="n"/>
      <c r="U132" s="186" t="n"/>
      <c r="V132" s="186" t="n"/>
      <c r="W132" s="186" t="n"/>
      <c r="X132" s="186" t="n"/>
      <c r="Y132" s="186" t="n"/>
      <c r="Z132" s="186" t="n"/>
      <c r="AA132" s="186" t="n"/>
      <c r="AB132" s="186" t="n"/>
    </row>
    <row r="133">
      <c r="A133" s="186" t="n"/>
      <c r="B133" s="186" t="n"/>
      <c r="C133" s="186" t="n"/>
      <c r="D133" s="186" t="n"/>
      <c r="E133" s="186" t="n"/>
      <c r="F133" s="208" t="n"/>
      <c r="G133" s="208" t="n"/>
      <c r="H133" s="208" t="n"/>
      <c r="I133" s="208" t="n"/>
      <c r="J133" s="208" t="n"/>
      <c r="K133" s="186" t="n"/>
      <c r="L133" s="186" t="n"/>
      <c r="M133" s="186" t="n"/>
      <c r="N133" s="186" t="n"/>
      <c r="O133" s="186" t="n"/>
      <c r="P133" s="186" t="n"/>
      <c r="Q133" s="186" t="n"/>
      <c r="R133" s="186" t="n"/>
      <c r="S133" s="186" t="n"/>
      <c r="T133" s="186" t="n"/>
      <c r="U133" s="186" t="n"/>
      <c r="V133" s="186" t="n"/>
      <c r="W133" s="186" t="n"/>
      <c r="X133" s="186" t="n"/>
      <c r="Y133" s="186" t="n"/>
      <c r="Z133" s="186" t="n"/>
      <c r="AA133" s="186" t="n"/>
      <c r="AB133" s="186" t="n"/>
    </row>
    <row r="134">
      <c r="A134" s="186" t="n"/>
      <c r="B134" s="186" t="n"/>
      <c r="C134" s="186" t="n"/>
      <c r="D134" s="186" t="n"/>
      <c r="E134" s="186" t="n"/>
      <c r="F134" s="208" t="n"/>
      <c r="G134" s="208" t="n"/>
      <c r="H134" s="208" t="n"/>
      <c r="I134" s="208" t="n"/>
      <c r="J134" s="208" t="n"/>
      <c r="K134" s="186" t="n"/>
      <c r="L134" s="186" t="n"/>
      <c r="M134" s="186" t="n"/>
      <c r="N134" s="186" t="n"/>
      <c r="O134" s="186" t="n"/>
      <c r="P134" s="186" t="n"/>
      <c r="Q134" s="186" t="n"/>
      <c r="R134" s="186" t="n"/>
      <c r="S134" s="186" t="n"/>
      <c r="T134" s="186" t="n"/>
      <c r="U134" s="186" t="n"/>
      <c r="V134" s="186" t="n"/>
      <c r="W134" s="186" t="n"/>
      <c r="X134" s="186" t="n"/>
      <c r="Y134" s="186" t="n"/>
      <c r="Z134" s="186" t="n"/>
      <c r="AA134" s="186" t="n"/>
      <c r="AB134" s="186" t="n"/>
    </row>
    <row r="135">
      <c r="A135" s="186" t="n"/>
      <c r="B135" s="186" t="n"/>
      <c r="C135" s="186" t="n"/>
      <c r="D135" s="186" t="n"/>
      <c r="E135" s="186" t="n"/>
      <c r="F135" s="208" t="n"/>
      <c r="G135" s="208" t="n"/>
      <c r="H135" s="208" t="n"/>
      <c r="I135" s="208" t="n"/>
      <c r="J135" s="208" t="n"/>
      <c r="K135" s="186" t="n"/>
      <c r="L135" s="186" t="n"/>
      <c r="M135" s="186" t="n"/>
      <c r="N135" s="186" t="n"/>
      <c r="O135" s="186" t="n"/>
      <c r="P135" s="186" t="n"/>
      <c r="Q135" s="186" t="n"/>
      <c r="R135" s="186" t="n"/>
      <c r="S135" s="186" t="n"/>
      <c r="T135" s="186" t="n"/>
      <c r="U135" s="186" t="n"/>
      <c r="V135" s="186" t="n"/>
      <c r="W135" s="186" t="n"/>
      <c r="X135" s="186" t="n"/>
      <c r="Y135" s="186" t="n"/>
      <c r="Z135" s="186" t="n"/>
      <c r="AA135" s="186" t="n"/>
      <c r="AB135" s="186" t="n"/>
    </row>
    <row r="136">
      <c r="A136" s="186" t="n"/>
      <c r="B136" s="186" t="n"/>
      <c r="C136" s="186" t="n"/>
      <c r="D136" s="186" t="n"/>
      <c r="E136" s="186" t="n"/>
      <c r="F136" s="208" t="n"/>
      <c r="G136" s="208" t="n"/>
      <c r="H136" s="208" t="n"/>
      <c r="I136" s="208" t="n"/>
      <c r="J136" s="208" t="n"/>
      <c r="K136" s="186" t="n"/>
      <c r="L136" s="186" t="n"/>
      <c r="M136" s="186" t="n"/>
      <c r="N136" s="186" t="n"/>
      <c r="O136" s="186" t="n"/>
      <c r="P136" s="186" t="n"/>
      <c r="Q136" s="186" t="n"/>
      <c r="R136" s="186" t="n"/>
      <c r="S136" s="186" t="n"/>
      <c r="T136" s="186" t="n"/>
      <c r="U136" s="186" t="n"/>
      <c r="V136" s="186" t="n"/>
      <c r="W136" s="186" t="n"/>
      <c r="X136" s="186" t="n"/>
      <c r="Y136" s="186" t="n"/>
      <c r="Z136" s="186" t="n"/>
      <c r="AA136" s="186" t="n"/>
      <c r="AB136" s="186" t="n"/>
    </row>
    <row r="137">
      <c r="A137" s="186" t="n"/>
      <c r="B137" s="186" t="n"/>
      <c r="C137" s="186" t="n"/>
      <c r="D137" s="186" t="n"/>
      <c r="E137" s="186" t="n"/>
      <c r="F137" s="209" t="n"/>
      <c r="G137" s="209" t="n"/>
      <c r="H137" s="209" t="n"/>
      <c r="I137" s="209" t="n"/>
      <c r="J137" s="209" t="n"/>
      <c r="K137" s="186" t="n"/>
      <c r="L137" s="186" t="n"/>
      <c r="M137" s="186" t="n"/>
      <c r="N137" s="186" t="n"/>
      <c r="O137" s="186" t="n"/>
      <c r="P137" s="186" t="n"/>
      <c r="Q137" s="186" t="n"/>
      <c r="R137" s="186" t="n"/>
      <c r="S137" s="186" t="n"/>
      <c r="T137" s="186" t="n"/>
      <c r="U137" s="186" t="n"/>
      <c r="V137" s="186" t="n"/>
      <c r="W137" s="186" t="n"/>
      <c r="X137" s="186" t="n"/>
      <c r="Y137" s="186" t="n"/>
      <c r="Z137" s="186" t="n"/>
      <c r="AA137" s="186" t="n"/>
      <c r="AB137" s="186" t="n"/>
    </row>
    <row r="138">
      <c r="A138" s="186" t="n"/>
      <c r="B138" s="186" t="n"/>
      <c r="C138" s="186" t="n"/>
      <c r="D138" s="186" t="n"/>
      <c r="E138" s="186" t="n"/>
      <c r="F138" s="209" t="n"/>
      <c r="G138" s="209" t="n"/>
      <c r="H138" s="209" t="n"/>
      <c r="I138" s="209" t="n"/>
      <c r="J138" s="209" t="n"/>
      <c r="K138" s="186" t="n"/>
      <c r="L138" s="186" t="n"/>
      <c r="M138" s="186" t="n"/>
      <c r="N138" s="186" t="n"/>
      <c r="O138" s="186" t="n"/>
      <c r="P138" s="186" t="n"/>
      <c r="Q138" s="186" t="n"/>
      <c r="R138" s="186" t="n"/>
      <c r="S138" s="186" t="n"/>
      <c r="T138" s="186" t="n"/>
      <c r="U138" s="186" t="n"/>
      <c r="V138" s="186" t="n"/>
      <c r="W138" s="186" t="n"/>
      <c r="X138" s="186" t="n"/>
      <c r="Y138" s="186" t="n"/>
      <c r="Z138" s="186" t="n"/>
      <c r="AA138" s="186" t="n"/>
      <c r="AB138" s="186" t="n"/>
    </row>
    <row r="139">
      <c r="A139" s="186" t="n"/>
      <c r="B139" s="186" t="n"/>
      <c r="C139" s="186" t="n"/>
      <c r="D139" s="186" t="n"/>
      <c r="E139" s="186" t="n"/>
      <c r="F139" s="209" t="n"/>
      <c r="G139" s="209" t="n"/>
      <c r="H139" s="209" t="n"/>
      <c r="I139" s="209" t="n"/>
      <c r="J139" s="209" t="n"/>
      <c r="K139" s="186" t="n"/>
      <c r="L139" s="186" t="n"/>
      <c r="M139" s="186" t="n"/>
      <c r="N139" s="186" t="n"/>
      <c r="O139" s="186" t="n"/>
      <c r="P139" s="186" t="n"/>
      <c r="Q139" s="186" t="n"/>
      <c r="R139" s="186" t="n"/>
      <c r="S139" s="186" t="n"/>
      <c r="T139" s="186" t="n"/>
      <c r="U139" s="186" t="n"/>
      <c r="V139" s="186" t="n"/>
      <c r="W139" s="186" t="n"/>
      <c r="X139" s="186" t="n"/>
      <c r="Y139" s="186" t="n"/>
      <c r="Z139" s="186" t="n"/>
      <c r="AA139" s="186" t="n"/>
      <c r="AB139" s="186" t="n"/>
    </row>
    <row r="140">
      <c r="A140" s="186" t="n"/>
      <c r="B140" s="186" t="n"/>
      <c r="C140" s="186" t="n"/>
      <c r="D140" s="186" t="n"/>
      <c r="E140" s="186" t="n"/>
      <c r="F140" s="209" t="n"/>
      <c r="G140" s="209" t="n"/>
      <c r="H140" s="209" t="n"/>
      <c r="I140" s="209" t="n"/>
      <c r="J140" s="209" t="n"/>
      <c r="K140" s="186" t="n"/>
      <c r="L140" s="186" t="n"/>
      <c r="M140" s="186" t="n"/>
      <c r="N140" s="186" t="n"/>
      <c r="O140" s="186" t="n"/>
      <c r="P140" s="186" t="n"/>
      <c r="Q140" s="186" t="n"/>
      <c r="R140" s="186" t="n"/>
      <c r="S140" s="186" t="n"/>
      <c r="T140" s="186" t="n"/>
      <c r="U140" s="186" t="n"/>
      <c r="V140" s="186" t="n"/>
      <c r="W140" s="186" t="n"/>
      <c r="X140" s="186" t="n"/>
      <c r="Y140" s="186" t="n"/>
      <c r="Z140" s="186" t="n"/>
      <c r="AA140" s="186" t="n"/>
      <c r="AB140" s="186" t="n"/>
    </row>
    <row r="141">
      <c r="A141" s="186" t="n"/>
      <c r="B141" s="186" t="n"/>
      <c r="C141" s="186" t="n"/>
      <c r="D141" s="186" t="n"/>
      <c r="E141" s="186" t="n"/>
      <c r="F141" s="209" t="n"/>
      <c r="G141" s="209" t="n"/>
      <c r="H141" s="209" t="n"/>
      <c r="I141" s="209" t="n"/>
      <c r="J141" s="209" t="n"/>
      <c r="K141" s="186" t="n"/>
      <c r="L141" s="186" t="n"/>
      <c r="M141" s="186" t="n"/>
      <c r="N141" s="186" t="n"/>
      <c r="O141" s="186" t="n"/>
      <c r="P141" s="186" t="n"/>
      <c r="Q141" s="186" t="n"/>
      <c r="R141" s="186" t="n"/>
      <c r="S141" s="186" t="n"/>
      <c r="T141" s="186" t="n"/>
      <c r="U141" s="186" t="n"/>
      <c r="V141" s="186" t="n"/>
      <c r="W141" s="186" t="n"/>
      <c r="X141" s="186" t="n"/>
      <c r="Y141" s="186" t="n"/>
      <c r="Z141" s="186" t="n"/>
      <c r="AA141" s="186" t="n"/>
      <c r="AB141" s="186" t="n"/>
    </row>
    <row r="142">
      <c r="A142" s="186" t="n"/>
      <c r="B142" s="186" t="n"/>
      <c r="C142" s="186" t="n"/>
      <c r="D142" s="186" t="n"/>
      <c r="E142" s="186" t="n"/>
      <c r="F142" s="209" t="n"/>
      <c r="G142" s="209" t="n"/>
      <c r="H142" s="209" t="n"/>
      <c r="I142" s="209" t="n"/>
      <c r="J142" s="209" t="n"/>
      <c r="K142" s="186" t="n"/>
      <c r="L142" s="186" t="n"/>
      <c r="M142" s="186" t="n"/>
      <c r="N142" s="186" t="n"/>
      <c r="O142" s="186" t="n"/>
      <c r="P142" s="186" t="n"/>
      <c r="Q142" s="186" t="n"/>
      <c r="R142" s="186" t="n"/>
      <c r="S142" s="186" t="n"/>
      <c r="T142" s="186" t="n"/>
      <c r="U142" s="186" t="n"/>
      <c r="V142" s="186" t="n"/>
      <c r="W142" s="186" t="n"/>
      <c r="X142" s="186" t="n"/>
      <c r="Y142" s="186" t="n"/>
      <c r="Z142" s="186" t="n"/>
      <c r="AA142" s="186" t="n"/>
      <c r="AB142" s="186" t="n"/>
    </row>
    <row r="143">
      <c r="A143" s="186" t="n"/>
      <c r="B143" s="186" t="n"/>
      <c r="C143" s="186" t="n"/>
      <c r="D143" s="186" t="n"/>
      <c r="E143" s="186" t="n"/>
      <c r="F143" s="209" t="n"/>
      <c r="G143" s="209" t="n"/>
      <c r="H143" s="209" t="n"/>
      <c r="I143" s="209" t="n"/>
      <c r="J143" s="209" t="n"/>
      <c r="K143" s="186" t="n"/>
      <c r="L143" s="186" t="n"/>
      <c r="M143" s="186" t="n"/>
      <c r="N143" s="186" t="n"/>
      <c r="O143" s="186" t="n"/>
      <c r="P143" s="186" t="n"/>
      <c r="Q143" s="186" t="n"/>
      <c r="R143" s="186" t="n"/>
      <c r="S143" s="186" t="n"/>
      <c r="T143" s="186" t="n"/>
      <c r="U143" s="186" t="n"/>
      <c r="V143" s="186" t="n"/>
      <c r="W143" s="186" t="n"/>
      <c r="X143" s="186" t="n"/>
      <c r="Y143" s="186" t="n"/>
      <c r="Z143" s="186" t="n"/>
      <c r="AA143" s="186" t="n"/>
      <c r="AB143" s="186" t="n"/>
    </row>
    <row r="144">
      <c r="A144" s="186" t="n"/>
      <c r="B144" s="186" t="n"/>
      <c r="C144" s="186" t="n"/>
      <c r="D144" s="186" t="n"/>
      <c r="E144" s="186" t="n"/>
      <c r="F144" s="209" t="n"/>
      <c r="G144" s="209" t="n"/>
      <c r="H144" s="209" t="n"/>
      <c r="I144" s="209" t="n"/>
      <c r="J144" s="209" t="n"/>
      <c r="K144" s="186" t="n"/>
      <c r="L144" s="186" t="n"/>
      <c r="M144" s="186" t="n"/>
      <c r="N144" s="186" t="n"/>
      <c r="O144" s="186" t="n"/>
      <c r="P144" s="186" t="n"/>
      <c r="Q144" s="186" t="n"/>
      <c r="R144" s="186" t="n"/>
      <c r="S144" s="186" t="n"/>
      <c r="T144" s="186" t="n"/>
      <c r="U144" s="186" t="n"/>
      <c r="V144" s="186" t="n"/>
      <c r="W144" s="186" t="n"/>
      <c r="X144" s="186" t="n"/>
      <c r="Y144" s="186" t="n"/>
      <c r="Z144" s="186" t="n"/>
      <c r="AA144" s="186" t="n"/>
      <c r="AB144" s="186" t="n"/>
    </row>
    <row r="145">
      <c r="A145" s="186" t="n"/>
      <c r="B145" s="186" t="n"/>
      <c r="C145" s="186" t="n"/>
      <c r="D145" s="186" t="n"/>
      <c r="E145" s="186" t="n"/>
      <c r="F145" s="209" t="n"/>
      <c r="G145" s="209" t="n"/>
      <c r="H145" s="209" t="n"/>
      <c r="I145" s="209" t="n"/>
      <c r="J145" s="209" t="n"/>
      <c r="K145" s="186" t="n"/>
      <c r="L145" s="186" t="n"/>
      <c r="M145" s="186" t="n"/>
      <c r="N145" s="186" t="n"/>
      <c r="O145" s="186" t="n"/>
      <c r="P145" s="186" t="n"/>
      <c r="Q145" s="186" t="n"/>
      <c r="R145" s="186" t="n"/>
      <c r="S145" s="186" t="n"/>
      <c r="T145" s="186" t="n"/>
      <c r="U145" s="186" t="n"/>
      <c r="V145" s="186" t="n"/>
      <c r="W145" s="186" t="n"/>
      <c r="X145" s="186" t="n"/>
      <c r="Y145" s="186" t="n"/>
      <c r="Z145" s="186" t="n"/>
      <c r="AA145" s="186" t="n"/>
      <c r="AB145" s="186" t="n"/>
    </row>
    <row r="146">
      <c r="A146" s="186" t="n"/>
      <c r="B146" s="186" t="n"/>
      <c r="C146" s="186" t="n"/>
      <c r="D146" s="186" t="n"/>
      <c r="E146" s="186" t="n"/>
      <c r="F146" s="209" t="n"/>
      <c r="G146" s="209" t="n"/>
      <c r="H146" s="209" t="n"/>
      <c r="I146" s="209" t="n"/>
      <c r="J146" s="209" t="n"/>
      <c r="K146" s="186" t="n"/>
      <c r="L146" s="186" t="n"/>
      <c r="M146" s="186" t="n"/>
      <c r="N146" s="186" t="n"/>
      <c r="O146" s="186" t="n"/>
      <c r="P146" s="186" t="n"/>
      <c r="Q146" s="186" t="n"/>
      <c r="R146" s="186" t="n"/>
      <c r="S146" s="186" t="n"/>
      <c r="T146" s="186" t="n"/>
      <c r="U146" s="186" t="n"/>
      <c r="V146" s="186" t="n"/>
      <c r="W146" s="186" t="n"/>
      <c r="X146" s="186" t="n"/>
      <c r="Y146" s="186" t="n"/>
      <c r="Z146" s="186" t="n"/>
      <c r="AA146" s="186" t="n"/>
      <c r="AB146" s="186" t="n"/>
    </row>
    <row r="147">
      <c r="A147" s="186" t="n"/>
      <c r="B147" s="186" t="n"/>
      <c r="C147" s="186" t="n"/>
      <c r="D147" s="186" t="n"/>
      <c r="E147" s="186" t="n"/>
      <c r="F147" s="209" t="n"/>
      <c r="G147" s="209" t="n"/>
      <c r="H147" s="209" t="n"/>
      <c r="I147" s="209" t="n"/>
      <c r="J147" s="209" t="n"/>
      <c r="K147" s="186" t="n"/>
      <c r="L147" s="186" t="n"/>
      <c r="M147" s="186" t="n"/>
      <c r="N147" s="186" t="n"/>
      <c r="O147" s="186" t="n"/>
      <c r="P147" s="186" t="n"/>
      <c r="Q147" s="186" t="n"/>
      <c r="R147" s="186" t="n"/>
      <c r="S147" s="186" t="n"/>
      <c r="T147" s="186" t="n"/>
      <c r="U147" s="186" t="n"/>
      <c r="V147" s="186" t="n"/>
      <c r="W147" s="186" t="n"/>
      <c r="X147" s="186" t="n"/>
      <c r="Y147" s="186" t="n"/>
      <c r="Z147" s="186" t="n"/>
      <c r="AA147" s="186" t="n"/>
      <c r="AB147" s="186" t="n"/>
    </row>
    <row r="148">
      <c r="A148" s="186" t="n"/>
      <c r="B148" s="186" t="n"/>
      <c r="C148" s="186" t="n"/>
      <c r="D148" s="186" t="n"/>
      <c r="E148" s="186" t="n"/>
      <c r="F148" s="209" t="n"/>
      <c r="G148" s="209" t="n"/>
      <c r="H148" s="209" t="n"/>
      <c r="I148" s="209" t="n"/>
      <c r="J148" s="209" t="n"/>
      <c r="K148" s="186" t="n"/>
      <c r="L148" s="186" t="n"/>
      <c r="M148" s="186" t="n"/>
      <c r="N148" s="186" t="n"/>
      <c r="O148" s="186" t="n"/>
      <c r="P148" s="186" t="n"/>
      <c r="Q148" s="186" t="n"/>
      <c r="R148" s="186" t="n"/>
      <c r="S148" s="186" t="n"/>
      <c r="T148" s="186" t="n"/>
      <c r="U148" s="186" t="n"/>
      <c r="V148" s="186" t="n"/>
      <c r="W148" s="186" t="n"/>
      <c r="X148" s="186" t="n"/>
      <c r="Y148" s="186" t="n"/>
      <c r="Z148" s="186" t="n"/>
      <c r="AA148" s="186" t="n"/>
      <c r="AB148" s="186" t="n"/>
    </row>
    <row r="149">
      <c r="A149" s="186" t="n"/>
      <c r="B149" s="186" t="n"/>
      <c r="C149" s="186" t="n"/>
      <c r="D149" s="186" t="n"/>
      <c r="E149" s="186" t="n"/>
      <c r="F149" s="209" t="n"/>
      <c r="G149" s="209" t="n"/>
      <c r="H149" s="209" t="n"/>
      <c r="I149" s="209" t="n"/>
      <c r="J149" s="209" t="n"/>
      <c r="K149" s="186" t="n"/>
      <c r="L149" s="186" t="n"/>
      <c r="M149" s="186" t="n"/>
      <c r="N149" s="186" t="n"/>
      <c r="O149" s="186" t="n"/>
      <c r="P149" s="186" t="n"/>
      <c r="Q149" s="186" t="n"/>
      <c r="R149" s="186" t="n"/>
      <c r="S149" s="186" t="n"/>
      <c r="T149" s="186" t="n"/>
      <c r="U149" s="186" t="n"/>
      <c r="V149" s="186" t="n"/>
      <c r="W149" s="186" t="n"/>
      <c r="X149" s="186" t="n"/>
      <c r="Y149" s="186" t="n"/>
      <c r="Z149" s="186" t="n"/>
      <c r="AA149" s="186" t="n"/>
      <c r="AB149" s="186" t="n"/>
    </row>
    <row r="150">
      <c r="A150" s="186" t="n"/>
      <c r="B150" s="186" t="n"/>
      <c r="C150" s="186" t="n"/>
      <c r="D150" s="186" t="n"/>
      <c r="E150" s="186" t="n"/>
      <c r="F150" s="209" t="n"/>
      <c r="G150" s="209" t="n"/>
      <c r="H150" s="209" t="n"/>
      <c r="I150" s="209" t="n"/>
      <c r="J150" s="209" t="n"/>
      <c r="K150" s="186" t="n"/>
      <c r="L150" s="186" t="n"/>
      <c r="M150" s="186" t="n"/>
      <c r="N150" s="186" t="n"/>
      <c r="O150" s="186" t="n"/>
      <c r="P150" s="186" t="n"/>
      <c r="Q150" s="186" t="n"/>
      <c r="R150" s="186" t="n"/>
      <c r="S150" s="186" t="n"/>
      <c r="T150" s="186" t="n"/>
      <c r="U150" s="186" t="n"/>
      <c r="V150" s="186" t="n"/>
      <c r="W150" s="186" t="n"/>
      <c r="X150" s="186" t="n"/>
      <c r="Y150" s="186" t="n"/>
      <c r="Z150" s="186" t="n"/>
      <c r="AA150" s="186" t="n"/>
      <c r="AB150" s="186" t="n"/>
    </row>
    <row r="151">
      <c r="A151" s="186" t="n"/>
      <c r="B151" s="186" t="n"/>
      <c r="C151" s="186" t="n"/>
      <c r="D151" s="186" t="n"/>
      <c r="E151" s="186" t="n"/>
      <c r="F151" s="209" t="n"/>
      <c r="G151" s="209" t="n"/>
      <c r="H151" s="209" t="n"/>
      <c r="I151" s="209" t="n"/>
      <c r="J151" s="209" t="n"/>
      <c r="K151" s="186" t="n"/>
      <c r="L151" s="186" t="n"/>
      <c r="M151" s="186" t="n"/>
      <c r="N151" s="186" t="n"/>
      <c r="O151" s="186" t="n"/>
      <c r="P151" s="186" t="n"/>
      <c r="Q151" s="186" t="n"/>
      <c r="R151" s="186" t="n"/>
      <c r="S151" s="186" t="n"/>
      <c r="T151" s="186" t="n"/>
      <c r="U151" s="186" t="n"/>
      <c r="V151" s="186" t="n"/>
      <c r="W151" s="186" t="n"/>
      <c r="X151" s="186" t="n"/>
      <c r="Y151" s="186" t="n"/>
      <c r="Z151" s="186" t="n"/>
      <c r="AA151" s="186" t="n"/>
      <c r="AB151" s="186" t="n"/>
    </row>
    <row r="152">
      <c r="A152" s="186" t="n"/>
      <c r="B152" s="186" t="n"/>
      <c r="C152" s="186" t="n"/>
      <c r="D152" s="186" t="n"/>
      <c r="E152" s="186" t="n"/>
      <c r="F152" s="209" t="n"/>
      <c r="G152" s="209" t="n"/>
      <c r="H152" s="209" t="n"/>
      <c r="I152" s="209" t="n"/>
      <c r="J152" s="209" t="n"/>
      <c r="K152" s="186" t="n"/>
      <c r="L152" s="186" t="n"/>
      <c r="M152" s="186" t="n"/>
      <c r="N152" s="186" t="n"/>
      <c r="O152" s="186" t="n"/>
      <c r="P152" s="186" t="n"/>
      <c r="Q152" s="186" t="n"/>
      <c r="R152" s="186" t="n"/>
      <c r="S152" s="186" t="n"/>
      <c r="T152" s="186" t="n"/>
      <c r="U152" s="186" t="n"/>
      <c r="V152" s="186" t="n"/>
      <c r="W152" s="186" t="n"/>
      <c r="X152" s="186" t="n"/>
      <c r="Y152" s="186" t="n"/>
      <c r="Z152" s="186" t="n"/>
      <c r="AA152" s="186" t="n"/>
      <c r="AB152" s="186" t="n"/>
    </row>
    <row r="153">
      <c r="A153" s="186" t="n"/>
      <c r="B153" s="186" t="n"/>
      <c r="C153" s="186" t="n"/>
      <c r="D153" s="186" t="n"/>
      <c r="E153" s="186" t="n"/>
      <c r="F153" s="209" t="n"/>
      <c r="G153" s="209" t="n"/>
      <c r="H153" s="209" t="n"/>
      <c r="I153" s="209" t="n"/>
      <c r="J153" s="209" t="n"/>
      <c r="K153" s="186" t="n"/>
      <c r="L153" s="186" t="n"/>
      <c r="M153" s="186" t="n"/>
      <c r="N153" s="186" t="n"/>
      <c r="O153" s="186" t="n"/>
      <c r="P153" s="186" t="n"/>
      <c r="Q153" s="186" t="n"/>
      <c r="R153" s="186" t="n"/>
      <c r="S153" s="186" t="n"/>
      <c r="T153" s="186" t="n"/>
      <c r="U153" s="186" t="n"/>
      <c r="V153" s="186" t="n"/>
      <c r="W153" s="186" t="n"/>
      <c r="X153" s="186" t="n"/>
      <c r="Y153" s="186" t="n"/>
      <c r="Z153" s="186" t="n"/>
      <c r="AA153" s="186" t="n"/>
      <c r="AB153" s="186" t="n"/>
    </row>
    <row r="154">
      <c r="A154" s="186" t="n"/>
      <c r="B154" s="186" t="n"/>
      <c r="C154" s="186" t="n"/>
      <c r="D154" s="186" t="n"/>
      <c r="E154" s="186" t="n"/>
      <c r="F154" s="209" t="n"/>
      <c r="G154" s="209" t="n"/>
      <c r="H154" s="209" t="n"/>
      <c r="I154" s="209" t="n"/>
      <c r="J154" s="209" t="n"/>
      <c r="K154" s="186" t="n"/>
      <c r="L154" s="186" t="n"/>
      <c r="M154" s="186" t="n"/>
      <c r="N154" s="186" t="n"/>
      <c r="O154" s="186" t="n"/>
      <c r="P154" s="186" t="n"/>
      <c r="Q154" s="186" t="n"/>
      <c r="R154" s="186" t="n"/>
      <c r="S154" s="186" t="n"/>
      <c r="T154" s="186" t="n"/>
      <c r="U154" s="186" t="n"/>
      <c r="V154" s="186" t="n"/>
      <c r="W154" s="186" t="n"/>
      <c r="X154" s="186" t="n"/>
      <c r="Y154" s="186" t="n"/>
      <c r="Z154" s="186" t="n"/>
      <c r="AA154" s="186" t="n"/>
      <c r="AB154" s="186" t="n"/>
    </row>
    <row r="155">
      <c r="A155" s="186" t="n"/>
      <c r="B155" s="186" t="n"/>
      <c r="C155" s="186" t="n"/>
      <c r="D155" s="186" t="n"/>
      <c r="E155" s="186" t="n"/>
      <c r="F155" s="209" t="n"/>
      <c r="G155" s="209" t="n"/>
      <c r="H155" s="209" t="n"/>
      <c r="I155" s="209" t="n"/>
      <c r="J155" s="209" t="n"/>
      <c r="K155" s="186" t="n"/>
      <c r="L155" s="186" t="n"/>
      <c r="M155" s="186" t="n"/>
      <c r="N155" s="186" t="n"/>
      <c r="O155" s="186" t="n"/>
      <c r="P155" s="186" t="n"/>
      <c r="Q155" s="186" t="n"/>
      <c r="R155" s="186" t="n"/>
      <c r="S155" s="186" t="n"/>
      <c r="T155" s="186" t="n"/>
      <c r="U155" s="186" t="n"/>
      <c r="V155" s="186" t="n"/>
      <c r="W155" s="186" t="n"/>
      <c r="X155" s="186" t="n"/>
      <c r="Y155" s="186" t="n"/>
      <c r="Z155" s="186" t="n"/>
      <c r="AA155" s="186" t="n"/>
      <c r="AB155" s="186" t="n"/>
    </row>
    <row r="156">
      <c r="A156" s="186" t="n"/>
      <c r="B156" s="186" t="n"/>
      <c r="C156" s="186" t="n"/>
      <c r="D156" s="186" t="n"/>
      <c r="E156" s="186" t="n"/>
      <c r="F156" s="209" t="n"/>
      <c r="G156" s="209" t="n"/>
      <c r="H156" s="209" t="n"/>
      <c r="I156" s="209" t="n"/>
      <c r="J156" s="209" t="n"/>
      <c r="K156" s="186" t="n"/>
      <c r="L156" s="186" t="n"/>
      <c r="M156" s="186" t="n"/>
      <c r="N156" s="186" t="n"/>
      <c r="O156" s="186" t="n"/>
      <c r="P156" s="186" t="n"/>
      <c r="Q156" s="186" t="n"/>
      <c r="R156" s="186" t="n"/>
      <c r="S156" s="186" t="n"/>
      <c r="T156" s="186" t="n"/>
      <c r="U156" s="186" t="n"/>
      <c r="V156" s="186" t="n"/>
      <c r="W156" s="186" t="n"/>
      <c r="X156" s="186" t="n"/>
      <c r="Y156" s="186" t="n"/>
      <c r="Z156" s="186" t="n"/>
      <c r="AA156" s="186" t="n"/>
      <c r="AB156" s="186" t="n"/>
    </row>
    <row r="157">
      <c r="A157" s="186" t="n"/>
      <c r="B157" s="186" t="n"/>
      <c r="C157" s="186" t="n"/>
      <c r="D157" s="186" t="n"/>
      <c r="E157" s="186" t="n"/>
      <c r="F157" s="209" t="n"/>
      <c r="G157" s="209" t="n"/>
      <c r="H157" s="209" t="n"/>
      <c r="I157" s="209" t="n"/>
      <c r="J157" s="209" t="n"/>
      <c r="K157" s="186" t="n"/>
      <c r="L157" s="186" t="n"/>
      <c r="M157" s="186" t="n"/>
      <c r="N157" s="186" t="n"/>
      <c r="O157" s="186" t="n"/>
      <c r="P157" s="186" t="n"/>
      <c r="Q157" s="186" t="n"/>
      <c r="R157" s="186" t="n"/>
      <c r="S157" s="186" t="n"/>
      <c r="T157" s="186" t="n"/>
      <c r="U157" s="186" t="n"/>
      <c r="V157" s="186" t="n"/>
      <c r="W157" s="186" t="n"/>
      <c r="X157" s="186" t="n"/>
      <c r="Y157" s="186" t="n"/>
      <c r="Z157" s="186" t="n"/>
      <c r="AA157" s="186" t="n"/>
      <c r="AB157" s="186" t="n"/>
    </row>
    <row r="158">
      <c r="A158" s="186" t="n"/>
      <c r="B158" s="186" t="n"/>
      <c r="C158" s="186" t="n"/>
      <c r="D158" s="186" t="n"/>
      <c r="E158" s="186" t="n"/>
      <c r="F158" s="209" t="n"/>
      <c r="G158" s="209" t="n"/>
      <c r="H158" s="209" t="n"/>
      <c r="I158" s="209" t="n"/>
      <c r="J158" s="209" t="n"/>
      <c r="K158" s="186" t="n"/>
      <c r="L158" s="186" t="n"/>
      <c r="M158" s="186" t="n"/>
      <c r="N158" s="186" t="n"/>
      <c r="O158" s="186" t="n"/>
      <c r="P158" s="186" t="n"/>
      <c r="Q158" s="186" t="n"/>
      <c r="R158" s="186" t="n"/>
      <c r="S158" s="186" t="n"/>
      <c r="T158" s="186" t="n"/>
      <c r="U158" s="186" t="n"/>
      <c r="V158" s="186" t="n"/>
      <c r="W158" s="186" t="n"/>
      <c r="X158" s="186" t="n"/>
      <c r="Y158" s="186" t="n"/>
      <c r="Z158" s="186" t="n"/>
      <c r="AA158" s="186" t="n"/>
      <c r="AB158" s="186" t="n"/>
    </row>
    <row r="159">
      <c r="A159" s="186" t="n"/>
      <c r="B159" s="186" t="n"/>
      <c r="C159" s="186" t="n"/>
      <c r="D159" s="186" t="n"/>
      <c r="E159" s="186" t="n"/>
      <c r="F159" s="209" t="n"/>
      <c r="G159" s="209" t="n"/>
      <c r="H159" s="209" t="n"/>
      <c r="I159" s="209" t="n"/>
      <c r="J159" s="209" t="n"/>
      <c r="K159" s="186" t="n"/>
      <c r="L159" s="186" t="n"/>
      <c r="M159" s="186" t="n"/>
      <c r="N159" s="186" t="n"/>
      <c r="O159" s="186" t="n"/>
      <c r="P159" s="186" t="n"/>
      <c r="Q159" s="186" t="n"/>
      <c r="R159" s="186" t="n"/>
      <c r="S159" s="186" t="n"/>
      <c r="T159" s="186" t="n"/>
      <c r="U159" s="186" t="n"/>
      <c r="V159" s="186" t="n"/>
      <c r="W159" s="186" t="n"/>
      <c r="X159" s="186" t="n"/>
      <c r="Y159" s="186" t="n"/>
      <c r="Z159" s="186" t="n"/>
      <c r="AA159" s="186" t="n"/>
      <c r="AB159" s="186" t="n"/>
    </row>
    <row r="160">
      <c r="A160" s="186" t="n"/>
      <c r="B160" s="186" t="n"/>
      <c r="C160" s="186" t="n"/>
      <c r="D160" s="186" t="n"/>
      <c r="E160" s="186" t="n"/>
      <c r="F160" s="209" t="n"/>
      <c r="G160" s="209" t="n"/>
      <c r="H160" s="209" t="n"/>
      <c r="I160" s="209" t="n"/>
      <c r="J160" s="209" t="n"/>
      <c r="K160" s="186" t="n"/>
      <c r="L160" s="186" t="n"/>
      <c r="M160" s="186" t="n"/>
      <c r="N160" s="186" t="n"/>
      <c r="O160" s="186" t="n"/>
      <c r="P160" s="186" t="n"/>
      <c r="Q160" s="186" t="n"/>
      <c r="R160" s="186" t="n"/>
      <c r="S160" s="186" t="n"/>
      <c r="T160" s="186" t="n"/>
      <c r="U160" s="186" t="n"/>
      <c r="V160" s="186" t="n"/>
      <c r="W160" s="186" t="n"/>
      <c r="X160" s="186" t="n"/>
      <c r="Y160" s="186" t="n"/>
      <c r="Z160" s="186" t="n"/>
      <c r="AA160" s="186" t="n"/>
      <c r="AB160" s="186" t="n"/>
    </row>
    <row r="161">
      <c r="A161" s="186" t="n"/>
      <c r="B161" s="186" t="n"/>
      <c r="C161" s="186" t="n"/>
      <c r="D161" s="186" t="n"/>
      <c r="E161" s="186" t="n"/>
      <c r="F161" s="209" t="n"/>
      <c r="G161" s="209" t="n"/>
      <c r="H161" s="209" t="n"/>
      <c r="I161" s="209" t="n"/>
      <c r="J161" s="209" t="n"/>
      <c r="K161" s="186" t="n"/>
      <c r="L161" s="186" t="n"/>
      <c r="M161" s="186" t="n"/>
      <c r="N161" s="186" t="n"/>
      <c r="O161" s="186" t="n"/>
      <c r="P161" s="186" t="n"/>
      <c r="Q161" s="186" t="n"/>
      <c r="R161" s="186" t="n"/>
      <c r="S161" s="186" t="n"/>
      <c r="T161" s="186" t="n"/>
      <c r="U161" s="186" t="n"/>
      <c r="V161" s="186" t="n"/>
      <c r="W161" s="186" t="n"/>
      <c r="X161" s="186" t="n"/>
      <c r="Y161" s="186" t="n"/>
      <c r="Z161" s="186" t="n"/>
      <c r="AA161" s="186" t="n"/>
      <c r="AB161" s="186" t="n"/>
    </row>
    <row r="162">
      <c r="A162" s="186" t="n"/>
      <c r="B162" s="186" t="n"/>
      <c r="C162" s="186" t="n"/>
      <c r="D162" s="186" t="n"/>
      <c r="E162" s="186" t="n"/>
      <c r="F162" s="209" t="n"/>
      <c r="G162" s="209" t="n"/>
      <c r="H162" s="209" t="n"/>
      <c r="I162" s="209" t="n"/>
      <c r="J162" s="209" t="n"/>
      <c r="K162" s="186" t="n"/>
      <c r="L162" s="186" t="n"/>
      <c r="M162" s="186" t="n"/>
      <c r="N162" s="186" t="n"/>
      <c r="O162" s="186" t="n"/>
      <c r="P162" s="186" t="n"/>
      <c r="Q162" s="186" t="n"/>
      <c r="R162" s="186" t="n"/>
      <c r="S162" s="186" t="n"/>
      <c r="T162" s="186" t="n"/>
      <c r="U162" s="186" t="n"/>
      <c r="V162" s="186" t="n"/>
      <c r="W162" s="186" t="n"/>
      <c r="X162" s="186" t="n"/>
      <c r="Y162" s="186" t="n"/>
      <c r="Z162" s="186" t="n"/>
      <c r="AA162" s="186" t="n"/>
      <c r="AB162" s="186" t="n"/>
    </row>
    <row r="163">
      <c r="A163" s="186" t="n"/>
      <c r="B163" s="186" t="n"/>
      <c r="C163" s="186" t="n"/>
      <c r="D163" s="186" t="n"/>
      <c r="E163" s="186" t="n"/>
      <c r="F163" s="209" t="n"/>
      <c r="G163" s="209" t="n"/>
      <c r="H163" s="209" t="n"/>
      <c r="I163" s="209" t="n"/>
      <c r="J163" s="209" t="n"/>
      <c r="K163" s="186" t="n"/>
      <c r="L163" s="186" t="n"/>
      <c r="M163" s="186" t="n"/>
      <c r="N163" s="186" t="n"/>
      <c r="O163" s="186" t="n"/>
      <c r="P163" s="186" t="n"/>
      <c r="Q163" s="186" t="n"/>
      <c r="R163" s="186" t="n"/>
      <c r="S163" s="186" t="n"/>
      <c r="T163" s="186" t="n"/>
      <c r="U163" s="186" t="n"/>
      <c r="V163" s="186" t="n"/>
      <c r="W163" s="186" t="n"/>
      <c r="X163" s="186" t="n"/>
      <c r="Y163" s="186" t="n"/>
      <c r="Z163" s="186" t="n"/>
      <c r="AA163" s="186" t="n"/>
      <c r="AB163" s="186" t="n"/>
    </row>
    <row r="164">
      <c r="A164" s="186" t="n"/>
      <c r="B164" s="186" t="n"/>
      <c r="C164" s="186" t="n"/>
      <c r="D164" s="186" t="n"/>
      <c r="E164" s="186" t="n"/>
      <c r="F164" s="209" t="n"/>
      <c r="G164" s="209" t="n"/>
      <c r="H164" s="209" t="n"/>
      <c r="I164" s="209" t="n"/>
      <c r="J164" s="209" t="n"/>
      <c r="K164" s="186" t="n"/>
      <c r="L164" s="186" t="n"/>
      <c r="M164" s="186" t="n"/>
      <c r="N164" s="186" t="n"/>
      <c r="O164" s="186" t="n"/>
      <c r="P164" s="186" t="n"/>
      <c r="Q164" s="186" t="n"/>
      <c r="R164" s="186" t="n"/>
      <c r="S164" s="186" t="n"/>
      <c r="T164" s="186" t="n"/>
      <c r="U164" s="186" t="n"/>
      <c r="V164" s="186" t="n"/>
      <c r="W164" s="186" t="n"/>
      <c r="X164" s="186" t="n"/>
      <c r="Y164" s="186" t="n"/>
      <c r="Z164" s="186" t="n"/>
      <c r="AA164" s="186" t="n"/>
      <c r="AB164" s="186" t="n"/>
    </row>
    <row r="165">
      <c r="A165" s="186" t="n"/>
      <c r="B165" s="186" t="n"/>
      <c r="C165" s="186" t="n"/>
      <c r="D165" s="186" t="n"/>
      <c r="E165" s="186" t="n"/>
      <c r="F165" s="209" t="n"/>
      <c r="G165" s="209" t="n"/>
      <c r="H165" s="209" t="n"/>
      <c r="I165" s="209" t="n"/>
      <c r="J165" s="209" t="n"/>
      <c r="K165" s="186" t="n"/>
      <c r="L165" s="186" t="n"/>
      <c r="M165" s="186" t="n"/>
      <c r="N165" s="186" t="n"/>
      <c r="O165" s="186" t="n"/>
      <c r="P165" s="186" t="n"/>
      <c r="Q165" s="186" t="n"/>
      <c r="R165" s="186" t="n"/>
      <c r="S165" s="186" t="n"/>
      <c r="T165" s="186" t="n"/>
      <c r="U165" s="186" t="n"/>
      <c r="V165" s="186" t="n"/>
      <c r="W165" s="186" t="n"/>
      <c r="X165" s="186" t="n"/>
      <c r="Y165" s="186" t="n"/>
      <c r="Z165" s="186" t="n"/>
      <c r="AA165" s="186" t="n"/>
      <c r="AB165" s="186" t="n"/>
    </row>
    <row r="166">
      <c r="A166" s="186" t="n"/>
      <c r="B166" s="186" t="n"/>
      <c r="C166" s="186" t="n"/>
      <c r="D166" s="186" t="n"/>
      <c r="E166" s="186" t="n"/>
      <c r="F166" s="209" t="n"/>
      <c r="G166" s="209" t="n"/>
      <c r="H166" s="209" t="n"/>
      <c r="I166" s="209" t="n"/>
      <c r="J166" s="209" t="n"/>
      <c r="K166" s="186" t="n"/>
      <c r="L166" s="186" t="n"/>
      <c r="M166" s="186" t="n"/>
      <c r="N166" s="186" t="n"/>
      <c r="O166" s="186" t="n"/>
      <c r="P166" s="186" t="n"/>
      <c r="Q166" s="186" t="n"/>
      <c r="R166" s="186" t="n"/>
      <c r="S166" s="186" t="n"/>
      <c r="T166" s="186" t="n"/>
      <c r="U166" s="186" t="n"/>
      <c r="V166" s="186" t="n"/>
      <c r="W166" s="186" t="n"/>
      <c r="X166" s="186" t="n"/>
      <c r="Y166" s="186" t="n"/>
      <c r="Z166" s="186" t="n"/>
      <c r="AA166" s="186" t="n"/>
      <c r="AB166" s="186" t="n"/>
    </row>
    <row r="167">
      <c r="A167" s="186" t="n"/>
      <c r="B167" s="186" t="n"/>
      <c r="C167" s="186" t="n"/>
      <c r="D167" s="186" t="n"/>
      <c r="E167" s="186" t="n"/>
      <c r="F167" s="209" t="n"/>
      <c r="G167" s="209" t="n"/>
      <c r="H167" s="209" t="n"/>
      <c r="I167" s="209" t="n"/>
      <c r="J167" s="209" t="n"/>
      <c r="K167" s="186" t="n"/>
      <c r="L167" s="186" t="n"/>
      <c r="M167" s="186" t="n"/>
      <c r="N167" s="186" t="n"/>
      <c r="O167" s="186" t="n"/>
      <c r="P167" s="186" t="n"/>
      <c r="Q167" s="186" t="n"/>
      <c r="R167" s="186" t="n"/>
      <c r="S167" s="186" t="n"/>
      <c r="T167" s="186" t="n"/>
      <c r="U167" s="186" t="n"/>
      <c r="V167" s="186" t="n"/>
      <c r="W167" s="186" t="n"/>
      <c r="X167" s="186" t="n"/>
      <c r="Y167" s="186" t="n"/>
      <c r="Z167" s="186" t="n"/>
      <c r="AA167" s="186" t="n"/>
      <c r="AB167" s="186" t="n"/>
    </row>
    <row r="168">
      <c r="A168" s="186" t="n"/>
      <c r="B168" s="186" t="n"/>
      <c r="C168" s="186" t="n"/>
      <c r="D168" s="186" t="n"/>
      <c r="E168" s="186" t="n"/>
      <c r="F168" s="209" t="n"/>
      <c r="G168" s="209" t="n"/>
      <c r="H168" s="209" t="n"/>
      <c r="I168" s="209" t="n"/>
      <c r="J168" s="209" t="n"/>
      <c r="K168" s="186" t="n"/>
      <c r="L168" s="186" t="n"/>
      <c r="M168" s="186" t="n"/>
      <c r="N168" s="186" t="n"/>
      <c r="O168" s="186" t="n"/>
      <c r="P168" s="186" t="n"/>
      <c r="Q168" s="186" t="n"/>
      <c r="R168" s="186" t="n"/>
      <c r="S168" s="186" t="n"/>
      <c r="T168" s="186" t="n"/>
      <c r="U168" s="186" t="n"/>
      <c r="V168" s="186" t="n"/>
      <c r="W168" s="186" t="n"/>
      <c r="X168" s="186" t="n"/>
      <c r="Y168" s="186" t="n"/>
      <c r="Z168" s="186" t="n"/>
      <c r="AA168" s="186" t="n"/>
      <c r="AB168" s="186" t="n"/>
    </row>
    <row r="169">
      <c r="A169" s="186" t="n"/>
      <c r="B169" s="186" t="n"/>
      <c r="C169" s="186" t="n"/>
      <c r="D169" s="186" t="n"/>
      <c r="E169" s="186" t="n"/>
      <c r="F169" s="209" t="n"/>
      <c r="G169" s="209" t="n"/>
      <c r="H169" s="209" t="n"/>
      <c r="I169" s="209" t="n"/>
      <c r="J169" s="209" t="n"/>
      <c r="K169" s="186" t="n"/>
      <c r="L169" s="186" t="n"/>
      <c r="M169" s="186" t="n"/>
      <c r="N169" s="186" t="n"/>
      <c r="O169" s="186" t="n"/>
      <c r="P169" s="186" t="n"/>
      <c r="Q169" s="186" t="n"/>
      <c r="R169" s="186" t="n"/>
      <c r="S169" s="186" t="n"/>
      <c r="T169" s="186" t="n"/>
      <c r="U169" s="186" t="n"/>
      <c r="V169" s="186" t="n"/>
      <c r="W169" s="186" t="n"/>
      <c r="X169" s="186" t="n"/>
      <c r="Y169" s="186" t="n"/>
      <c r="Z169" s="186" t="n"/>
      <c r="AA169" s="186" t="n"/>
      <c r="AB169" s="186" t="n"/>
    </row>
    <row r="170">
      <c r="A170" s="186" t="n"/>
      <c r="B170" s="186" t="n"/>
      <c r="C170" s="186" t="n"/>
      <c r="D170" s="186" t="n"/>
      <c r="E170" s="186" t="n"/>
      <c r="F170" s="209" t="n"/>
      <c r="G170" s="209" t="n"/>
      <c r="H170" s="209" t="n"/>
      <c r="I170" s="209" t="n"/>
      <c r="J170" s="209" t="n"/>
      <c r="K170" s="186" t="n"/>
      <c r="L170" s="186" t="n"/>
      <c r="M170" s="186" t="n"/>
      <c r="N170" s="186" t="n"/>
      <c r="O170" s="186" t="n"/>
      <c r="P170" s="186" t="n"/>
      <c r="Q170" s="186" t="n"/>
      <c r="R170" s="186" t="n"/>
      <c r="S170" s="186" t="n"/>
      <c r="T170" s="186" t="n"/>
      <c r="U170" s="186" t="n"/>
      <c r="V170" s="186" t="n"/>
      <c r="W170" s="186" t="n"/>
      <c r="X170" s="186" t="n"/>
      <c r="Y170" s="186" t="n"/>
      <c r="Z170" s="186" t="n"/>
      <c r="AA170" s="186" t="n"/>
      <c r="AB170" s="186" t="n"/>
    </row>
    <row r="171">
      <c r="A171" s="186" t="n"/>
      <c r="B171" s="186" t="n"/>
      <c r="C171" s="186" t="n"/>
      <c r="D171" s="186" t="n"/>
      <c r="E171" s="186" t="n"/>
      <c r="F171" s="209" t="n"/>
      <c r="G171" s="209" t="n"/>
      <c r="H171" s="209" t="n"/>
      <c r="I171" s="209" t="n"/>
      <c r="J171" s="209" t="n"/>
      <c r="K171" s="186" t="n"/>
      <c r="L171" s="186" t="n"/>
      <c r="M171" s="186" t="n"/>
      <c r="N171" s="186" t="n"/>
      <c r="O171" s="186" t="n"/>
      <c r="P171" s="186" t="n"/>
      <c r="Q171" s="186" t="n"/>
      <c r="R171" s="186" t="n"/>
      <c r="S171" s="186" t="n"/>
      <c r="T171" s="186" t="n"/>
      <c r="U171" s="186" t="n"/>
      <c r="V171" s="186" t="n"/>
      <c r="W171" s="186" t="n"/>
      <c r="X171" s="186" t="n"/>
      <c r="Y171" s="186" t="n"/>
      <c r="Z171" s="186" t="n"/>
      <c r="AA171" s="186" t="n"/>
      <c r="AB171" s="186" t="n"/>
    </row>
    <row r="172">
      <c r="A172" s="186" t="n"/>
      <c r="B172" s="186" t="n"/>
      <c r="C172" s="186" t="n"/>
      <c r="D172" s="186" t="n"/>
      <c r="E172" s="186" t="n"/>
      <c r="F172" s="209" t="n"/>
      <c r="G172" s="209" t="n"/>
      <c r="H172" s="209" t="n"/>
      <c r="I172" s="209" t="n"/>
      <c r="J172" s="209" t="n"/>
      <c r="K172" s="186" t="n"/>
      <c r="L172" s="186" t="n"/>
      <c r="M172" s="186" t="n"/>
      <c r="N172" s="186" t="n"/>
      <c r="O172" s="186" t="n"/>
      <c r="P172" s="186" t="n"/>
      <c r="Q172" s="186" t="n"/>
      <c r="R172" s="186" t="n"/>
      <c r="S172" s="186" t="n"/>
      <c r="T172" s="186" t="n"/>
      <c r="U172" s="186" t="n"/>
      <c r="V172" s="186" t="n"/>
      <c r="W172" s="186" t="n"/>
      <c r="X172" s="186" t="n"/>
      <c r="Y172" s="186" t="n"/>
      <c r="Z172" s="186" t="n"/>
      <c r="AA172" s="186" t="n"/>
      <c r="AB172" s="186" t="n"/>
    </row>
    <row r="173">
      <c r="A173" s="186" t="n"/>
      <c r="B173" s="186" t="n"/>
      <c r="C173" s="186" t="n"/>
      <c r="D173" s="186" t="n"/>
      <c r="E173" s="186" t="n"/>
      <c r="F173" s="209" t="n"/>
      <c r="G173" s="209" t="n"/>
      <c r="H173" s="209" t="n"/>
      <c r="I173" s="209" t="n"/>
      <c r="J173" s="209" t="n"/>
      <c r="K173" s="186" t="n"/>
      <c r="L173" s="186" t="n"/>
      <c r="M173" s="186" t="n"/>
      <c r="N173" s="186" t="n"/>
      <c r="O173" s="186" t="n"/>
      <c r="P173" s="186" t="n"/>
      <c r="Q173" s="186" t="n"/>
      <c r="R173" s="186" t="n"/>
      <c r="S173" s="186" t="n"/>
      <c r="T173" s="186" t="n"/>
      <c r="U173" s="186" t="n"/>
      <c r="V173" s="186" t="n"/>
      <c r="W173" s="186" t="n"/>
      <c r="X173" s="186" t="n"/>
      <c r="Y173" s="186" t="n"/>
      <c r="Z173" s="186" t="n"/>
      <c r="AA173" s="186" t="n"/>
      <c r="AB173" s="186" t="n"/>
    </row>
    <row r="174">
      <c r="A174" s="186" t="n"/>
      <c r="B174" s="186" t="n"/>
      <c r="C174" s="186" t="n"/>
      <c r="D174" s="186" t="n"/>
      <c r="E174" s="186" t="n"/>
      <c r="F174" s="209" t="n"/>
      <c r="G174" s="209" t="n"/>
      <c r="H174" s="209" t="n"/>
      <c r="I174" s="209" t="n"/>
      <c r="J174" s="209" t="n"/>
      <c r="K174" s="186" t="n"/>
      <c r="L174" s="186" t="n"/>
      <c r="M174" s="186" t="n"/>
      <c r="N174" s="186" t="n"/>
      <c r="O174" s="186" t="n"/>
      <c r="P174" s="186" t="n"/>
      <c r="Q174" s="186" t="n"/>
      <c r="R174" s="186" t="n"/>
      <c r="S174" s="186" t="n"/>
      <c r="T174" s="186" t="n"/>
      <c r="U174" s="186" t="n"/>
      <c r="V174" s="186" t="n"/>
      <c r="W174" s="186" t="n"/>
      <c r="X174" s="186" t="n"/>
      <c r="Y174" s="186" t="n"/>
      <c r="Z174" s="186" t="n"/>
      <c r="AA174" s="186" t="n"/>
      <c r="AB174" s="186" t="n"/>
    </row>
    <row r="175">
      <c r="A175" s="186" t="n"/>
      <c r="B175" s="186" t="n"/>
      <c r="C175" s="186" t="n"/>
      <c r="D175" s="186" t="n"/>
      <c r="E175" s="186" t="n"/>
      <c r="F175" s="209" t="n"/>
      <c r="G175" s="209" t="n"/>
      <c r="H175" s="209" t="n"/>
      <c r="I175" s="209" t="n"/>
      <c r="J175" s="209" t="n"/>
      <c r="K175" s="186" t="n"/>
      <c r="L175" s="186" t="n"/>
      <c r="M175" s="186" t="n"/>
      <c r="N175" s="186" t="n"/>
      <c r="O175" s="186" t="n"/>
      <c r="P175" s="186" t="n"/>
      <c r="Q175" s="186" t="n"/>
      <c r="R175" s="186" t="n"/>
      <c r="S175" s="186" t="n"/>
      <c r="T175" s="186" t="n"/>
      <c r="U175" s="186" t="n"/>
      <c r="V175" s="186" t="n"/>
      <c r="W175" s="186" t="n"/>
      <c r="X175" s="186" t="n"/>
      <c r="Y175" s="186" t="n"/>
      <c r="Z175" s="186" t="n"/>
      <c r="AA175" s="186" t="n"/>
      <c r="AB175" s="186" t="n"/>
    </row>
    <row r="176">
      <c r="A176" s="186" t="n"/>
      <c r="B176" s="186" t="n"/>
      <c r="C176" s="186" t="n"/>
      <c r="D176" s="186" t="n"/>
      <c r="E176" s="186" t="n"/>
      <c r="F176" s="209" t="n"/>
      <c r="G176" s="209" t="n"/>
      <c r="H176" s="209" t="n"/>
      <c r="I176" s="209" t="n"/>
      <c r="J176" s="209" t="n"/>
      <c r="K176" s="186" t="n"/>
      <c r="L176" s="186" t="n"/>
      <c r="M176" s="186" t="n"/>
      <c r="N176" s="186" t="n"/>
      <c r="O176" s="186" t="n"/>
      <c r="P176" s="186" t="n"/>
      <c r="Q176" s="186" t="n"/>
      <c r="R176" s="186" t="n"/>
      <c r="S176" s="186" t="n"/>
      <c r="T176" s="186" t="n"/>
      <c r="U176" s="186" t="n"/>
      <c r="V176" s="186" t="n"/>
      <c r="W176" s="186" t="n"/>
      <c r="X176" s="186" t="n"/>
      <c r="Y176" s="186" t="n"/>
      <c r="Z176" s="186" t="n"/>
      <c r="AA176" s="186" t="n"/>
      <c r="AB176" s="186" t="n"/>
    </row>
    <row r="177">
      <c r="A177" s="186" t="n"/>
      <c r="B177" s="186" t="n"/>
      <c r="C177" s="186" t="n"/>
      <c r="D177" s="186" t="n"/>
      <c r="E177" s="186" t="n"/>
      <c r="F177" s="209" t="n"/>
      <c r="G177" s="209" t="n"/>
      <c r="H177" s="209" t="n"/>
      <c r="I177" s="209" t="n"/>
      <c r="J177" s="209" t="n"/>
      <c r="K177" s="186" t="n"/>
      <c r="L177" s="186" t="n"/>
      <c r="M177" s="186" t="n"/>
      <c r="N177" s="186" t="n"/>
      <c r="O177" s="186" t="n"/>
      <c r="P177" s="186" t="n"/>
      <c r="Q177" s="186" t="n"/>
      <c r="R177" s="186" t="n"/>
      <c r="S177" s="186" t="n"/>
      <c r="T177" s="186" t="n"/>
      <c r="U177" s="186" t="n"/>
      <c r="V177" s="186" t="n"/>
      <c r="W177" s="186" t="n"/>
      <c r="X177" s="186" t="n"/>
      <c r="Y177" s="186" t="n"/>
      <c r="Z177" s="186" t="n"/>
      <c r="AA177" s="186" t="n"/>
      <c r="AB177" s="186" t="n"/>
    </row>
    <row r="178">
      <c r="A178" s="186" t="n"/>
      <c r="B178" s="186" t="n"/>
      <c r="C178" s="186" t="n"/>
      <c r="D178" s="186" t="n"/>
      <c r="E178" s="186" t="n"/>
      <c r="F178" s="209" t="n"/>
      <c r="G178" s="209" t="n"/>
      <c r="H178" s="209" t="n"/>
      <c r="I178" s="209" t="n"/>
      <c r="J178" s="209" t="n"/>
      <c r="K178" s="186" t="n"/>
      <c r="L178" s="186" t="n"/>
      <c r="M178" s="186" t="n"/>
      <c r="N178" s="186" t="n"/>
      <c r="O178" s="186" t="n"/>
      <c r="P178" s="186" t="n"/>
      <c r="Q178" s="186" t="n"/>
      <c r="R178" s="186" t="n"/>
      <c r="S178" s="186" t="n"/>
      <c r="T178" s="186" t="n"/>
      <c r="U178" s="186" t="n"/>
      <c r="V178" s="186" t="n"/>
      <c r="W178" s="186" t="n"/>
      <c r="X178" s="186" t="n"/>
      <c r="Y178" s="186" t="n"/>
      <c r="Z178" s="186" t="n"/>
      <c r="AA178" s="186" t="n"/>
      <c r="AB178" s="186" t="n"/>
    </row>
    <row r="179">
      <c r="A179" s="186" t="n"/>
      <c r="B179" s="186" t="n"/>
      <c r="C179" s="186" t="n"/>
      <c r="D179" s="186" t="n"/>
      <c r="E179" s="186" t="n"/>
      <c r="F179" s="209" t="n"/>
      <c r="G179" s="209" t="n"/>
      <c r="H179" s="209" t="n"/>
      <c r="I179" s="209" t="n"/>
      <c r="J179" s="209" t="n"/>
      <c r="K179" s="186" t="n"/>
      <c r="L179" s="186" t="n"/>
      <c r="M179" s="186" t="n"/>
      <c r="N179" s="186" t="n"/>
      <c r="O179" s="186" t="n"/>
      <c r="P179" s="186" t="n"/>
      <c r="Q179" s="186" t="n"/>
      <c r="R179" s="186" t="n"/>
      <c r="S179" s="186" t="n"/>
      <c r="T179" s="186" t="n"/>
      <c r="U179" s="186" t="n"/>
      <c r="V179" s="186" t="n"/>
      <c r="W179" s="186" t="n"/>
      <c r="X179" s="186" t="n"/>
      <c r="Y179" s="186" t="n"/>
      <c r="Z179" s="186" t="n"/>
      <c r="AA179" s="186" t="n"/>
      <c r="AB179" s="186" t="n"/>
    </row>
    <row r="180">
      <c r="A180" s="186" t="n"/>
      <c r="B180" s="186" t="n"/>
      <c r="C180" s="186" t="n"/>
      <c r="D180" s="186" t="n"/>
      <c r="E180" s="186" t="n"/>
      <c r="F180" s="209" t="n"/>
      <c r="G180" s="209" t="n"/>
      <c r="H180" s="209" t="n"/>
      <c r="I180" s="209" t="n"/>
      <c r="J180" s="209" t="n"/>
      <c r="K180" s="186" t="n"/>
      <c r="L180" s="186" t="n"/>
      <c r="M180" s="186" t="n"/>
      <c r="N180" s="186" t="n"/>
      <c r="O180" s="186" t="n"/>
      <c r="P180" s="186" t="n"/>
      <c r="Q180" s="186" t="n"/>
      <c r="R180" s="186" t="n"/>
      <c r="S180" s="186" t="n"/>
      <c r="T180" s="186" t="n"/>
      <c r="U180" s="186" t="n"/>
      <c r="V180" s="186" t="n"/>
      <c r="W180" s="186" t="n"/>
      <c r="X180" s="186" t="n"/>
      <c r="Y180" s="186" t="n"/>
      <c r="Z180" s="186" t="n"/>
      <c r="AA180" s="186" t="n"/>
      <c r="AB180" s="186" t="n"/>
    </row>
    <row r="181">
      <c r="A181" s="186" t="n"/>
      <c r="B181" s="186" t="n"/>
      <c r="C181" s="186" t="n"/>
      <c r="D181" s="186" t="n"/>
      <c r="E181" s="186" t="n"/>
      <c r="F181" s="209" t="n"/>
      <c r="G181" s="209" t="n"/>
      <c r="H181" s="209" t="n"/>
      <c r="I181" s="209" t="n"/>
      <c r="J181" s="209" t="n"/>
      <c r="K181" s="186" t="n"/>
      <c r="L181" s="186" t="n"/>
      <c r="M181" s="186" t="n"/>
      <c r="N181" s="186" t="n"/>
      <c r="O181" s="186" t="n"/>
      <c r="P181" s="186" t="n"/>
      <c r="Q181" s="186" t="n"/>
      <c r="R181" s="186" t="n"/>
      <c r="S181" s="186" t="n"/>
      <c r="T181" s="186" t="n"/>
      <c r="U181" s="186" t="n"/>
      <c r="V181" s="186" t="n"/>
      <c r="W181" s="186" t="n"/>
      <c r="X181" s="186" t="n"/>
      <c r="Y181" s="186" t="n"/>
      <c r="Z181" s="186" t="n"/>
      <c r="AA181" s="186" t="n"/>
      <c r="AB181" s="186" t="n"/>
    </row>
    <row r="182">
      <c r="A182" s="186" t="n"/>
      <c r="B182" s="186" t="n"/>
      <c r="C182" s="186" t="n"/>
      <c r="D182" s="186" t="n"/>
      <c r="E182" s="186" t="n"/>
      <c r="F182" s="209" t="n"/>
      <c r="G182" s="209" t="n"/>
      <c r="H182" s="209" t="n"/>
      <c r="I182" s="209" t="n"/>
      <c r="J182" s="209" t="n"/>
      <c r="K182" s="186" t="n"/>
      <c r="L182" s="186" t="n"/>
      <c r="M182" s="186" t="n"/>
      <c r="N182" s="186" t="n"/>
      <c r="O182" s="186" t="n"/>
      <c r="P182" s="186" t="n"/>
      <c r="Q182" s="186" t="n"/>
      <c r="R182" s="186" t="n"/>
      <c r="S182" s="186" t="n"/>
      <c r="T182" s="186" t="n"/>
      <c r="U182" s="186" t="n"/>
      <c r="V182" s="186" t="n"/>
      <c r="W182" s="186" t="n"/>
      <c r="X182" s="186" t="n"/>
      <c r="Y182" s="186" t="n"/>
      <c r="Z182" s="186" t="n"/>
      <c r="AA182" s="186" t="n"/>
      <c r="AB182" s="186" t="n"/>
    </row>
    <row r="183">
      <c r="A183" s="186" t="n"/>
      <c r="B183" s="186" t="n"/>
      <c r="C183" s="186" t="n"/>
      <c r="D183" s="186" t="n"/>
      <c r="E183" s="186" t="n"/>
      <c r="F183" s="209" t="n"/>
      <c r="G183" s="209" t="n"/>
      <c r="H183" s="209" t="n"/>
      <c r="I183" s="209" t="n"/>
      <c r="J183" s="209" t="n"/>
      <c r="K183" s="186" t="n"/>
      <c r="L183" s="186" t="n"/>
      <c r="M183" s="186" t="n"/>
      <c r="N183" s="186" t="n"/>
      <c r="O183" s="186" t="n"/>
      <c r="P183" s="186" t="n"/>
      <c r="Q183" s="186" t="n"/>
      <c r="R183" s="186" t="n"/>
      <c r="S183" s="186" t="n"/>
      <c r="T183" s="186" t="n"/>
      <c r="U183" s="186" t="n"/>
      <c r="V183" s="186" t="n"/>
      <c r="W183" s="186" t="n"/>
      <c r="X183" s="186" t="n"/>
      <c r="Y183" s="186" t="n"/>
      <c r="Z183" s="186" t="n"/>
      <c r="AA183" s="186" t="n"/>
      <c r="AB183" s="186" t="n"/>
    </row>
    <row r="184">
      <c r="A184" s="186" t="n"/>
      <c r="B184" s="186" t="n"/>
      <c r="C184" s="186" t="n"/>
      <c r="D184" s="186" t="n"/>
      <c r="E184" s="186" t="n"/>
      <c r="F184" s="209" t="n"/>
      <c r="G184" s="209" t="n"/>
      <c r="H184" s="209" t="n"/>
      <c r="I184" s="209" t="n"/>
      <c r="J184" s="209" t="n"/>
      <c r="K184" s="186" t="n"/>
      <c r="L184" s="186" t="n"/>
      <c r="M184" s="186" t="n"/>
      <c r="N184" s="186" t="n"/>
      <c r="O184" s="186" t="n"/>
      <c r="P184" s="186" t="n"/>
      <c r="Q184" s="186" t="n"/>
      <c r="R184" s="186" t="n"/>
      <c r="S184" s="186" t="n"/>
      <c r="T184" s="186" t="n"/>
      <c r="U184" s="186" t="n"/>
      <c r="V184" s="186" t="n"/>
      <c r="W184" s="186" t="n"/>
      <c r="X184" s="186" t="n"/>
      <c r="Y184" s="186" t="n"/>
      <c r="Z184" s="186" t="n"/>
      <c r="AA184" s="186" t="n"/>
      <c r="AB184" s="186" t="n"/>
    </row>
    <row r="185">
      <c r="A185" s="186" t="n"/>
      <c r="B185" s="186" t="n"/>
      <c r="C185" s="186" t="n"/>
      <c r="D185" s="186" t="n"/>
      <c r="E185" s="186" t="n"/>
      <c r="F185" s="209" t="n"/>
      <c r="G185" s="209" t="n"/>
      <c r="H185" s="209" t="n"/>
      <c r="I185" s="209" t="n"/>
      <c r="J185" s="209" t="n"/>
      <c r="K185" s="186" t="n"/>
      <c r="L185" s="186" t="n"/>
      <c r="M185" s="186" t="n"/>
      <c r="N185" s="186" t="n"/>
      <c r="O185" s="186" t="n"/>
      <c r="P185" s="186" t="n"/>
      <c r="Q185" s="186" t="n"/>
      <c r="R185" s="186" t="n"/>
      <c r="S185" s="186" t="n"/>
      <c r="T185" s="186" t="n"/>
      <c r="U185" s="186" t="n"/>
      <c r="V185" s="186" t="n"/>
      <c r="W185" s="186" t="n"/>
      <c r="X185" s="186" t="n"/>
      <c r="Y185" s="186" t="n"/>
      <c r="Z185" s="186" t="n"/>
      <c r="AA185" s="186" t="n"/>
      <c r="AB185" s="186" t="n"/>
    </row>
    <row r="186">
      <c r="A186" s="186" t="n"/>
      <c r="B186" s="186" t="n"/>
      <c r="C186" s="186" t="n"/>
      <c r="D186" s="186" t="n"/>
      <c r="E186" s="186" t="n"/>
      <c r="F186" s="209" t="n"/>
      <c r="G186" s="209" t="n"/>
      <c r="H186" s="209" t="n"/>
      <c r="I186" s="209" t="n"/>
      <c r="J186" s="209" t="n"/>
      <c r="K186" s="186" t="n"/>
      <c r="L186" s="186" t="n"/>
      <c r="M186" s="186" t="n"/>
      <c r="N186" s="186" t="n"/>
      <c r="O186" s="186" t="n"/>
      <c r="P186" s="186" t="n"/>
      <c r="Q186" s="186" t="n"/>
      <c r="R186" s="186" t="n"/>
      <c r="S186" s="186" t="n"/>
      <c r="T186" s="186" t="n"/>
      <c r="U186" s="186" t="n"/>
      <c r="V186" s="186" t="n"/>
      <c r="W186" s="186" t="n"/>
      <c r="X186" s="186" t="n"/>
      <c r="Y186" s="186" t="n"/>
      <c r="Z186" s="186" t="n"/>
      <c r="AA186" s="186" t="n"/>
      <c r="AB186" s="186" t="n"/>
    </row>
    <row r="187">
      <c r="A187" s="186" t="n"/>
      <c r="B187" s="186" t="n"/>
      <c r="C187" s="186" t="n"/>
      <c r="D187" s="186" t="n"/>
      <c r="E187" s="186" t="n"/>
      <c r="F187" s="209" t="n"/>
      <c r="G187" s="209" t="n"/>
      <c r="H187" s="209" t="n"/>
      <c r="I187" s="209" t="n"/>
      <c r="J187" s="209" t="n"/>
      <c r="K187" s="186" t="n"/>
      <c r="L187" s="186" t="n"/>
      <c r="M187" s="186" t="n"/>
      <c r="N187" s="186" t="n"/>
      <c r="O187" s="186" t="n"/>
      <c r="P187" s="186" t="n"/>
      <c r="Q187" s="186" t="n"/>
      <c r="R187" s="186" t="n"/>
      <c r="S187" s="186" t="n"/>
      <c r="T187" s="186" t="n"/>
      <c r="U187" s="186" t="n"/>
      <c r="V187" s="186" t="n"/>
      <c r="W187" s="186" t="n"/>
      <c r="X187" s="186" t="n"/>
      <c r="Y187" s="186" t="n"/>
      <c r="Z187" s="186" t="n"/>
      <c r="AA187" s="186" t="n"/>
      <c r="AB187" s="186" t="n"/>
    </row>
    <row r="188">
      <c r="A188" s="186" t="n"/>
      <c r="B188" s="186" t="n"/>
      <c r="C188" s="186" t="n"/>
      <c r="D188" s="186" t="n"/>
      <c r="E188" s="186" t="n"/>
      <c r="F188" s="209" t="n"/>
      <c r="G188" s="209" t="n"/>
      <c r="H188" s="209" t="n"/>
      <c r="I188" s="209" t="n"/>
      <c r="J188" s="209" t="n"/>
      <c r="K188" s="186" t="n"/>
      <c r="L188" s="186" t="n"/>
      <c r="M188" s="186" t="n"/>
      <c r="N188" s="186" t="n"/>
      <c r="O188" s="186" t="n"/>
      <c r="P188" s="186" t="n"/>
      <c r="Q188" s="186" t="n"/>
      <c r="R188" s="186" t="n"/>
      <c r="S188" s="186" t="n"/>
      <c r="T188" s="186" t="n"/>
      <c r="U188" s="186" t="n"/>
      <c r="V188" s="186" t="n"/>
      <c r="W188" s="186" t="n"/>
      <c r="X188" s="186" t="n"/>
      <c r="Y188" s="186" t="n"/>
      <c r="Z188" s="186" t="n"/>
      <c r="AA188" s="186" t="n"/>
      <c r="AB188" s="186" t="n"/>
    </row>
    <row r="189">
      <c r="A189" s="186" t="n"/>
      <c r="B189" s="186" t="n"/>
      <c r="C189" s="186" t="n"/>
      <c r="D189" s="186" t="n"/>
      <c r="E189" s="186" t="n"/>
      <c r="F189" s="209" t="n"/>
      <c r="G189" s="209" t="n"/>
      <c r="H189" s="209" t="n"/>
      <c r="I189" s="209" t="n"/>
      <c r="J189" s="209" t="n"/>
      <c r="K189" s="186" t="n"/>
      <c r="L189" s="186" t="n"/>
      <c r="M189" s="186" t="n"/>
      <c r="N189" s="186" t="n"/>
      <c r="O189" s="186" t="n"/>
      <c r="P189" s="186" t="n"/>
      <c r="Q189" s="186" t="n"/>
      <c r="R189" s="186" t="n"/>
      <c r="S189" s="186" t="n"/>
      <c r="T189" s="186" t="n"/>
      <c r="U189" s="186" t="n"/>
      <c r="V189" s="186" t="n"/>
      <c r="W189" s="186" t="n"/>
      <c r="X189" s="186" t="n"/>
      <c r="Y189" s="186" t="n"/>
      <c r="Z189" s="186" t="n"/>
      <c r="AA189" s="186" t="n"/>
      <c r="AB189" s="186" t="n"/>
    </row>
    <row r="190">
      <c r="A190" s="186" t="n"/>
      <c r="B190" s="186" t="n"/>
      <c r="C190" s="186" t="n"/>
      <c r="D190" s="186" t="n"/>
      <c r="E190" s="186" t="n"/>
      <c r="F190" s="209" t="n"/>
      <c r="G190" s="209" t="n"/>
      <c r="H190" s="209" t="n"/>
      <c r="I190" s="209" t="n"/>
      <c r="J190" s="209" t="n"/>
      <c r="K190" s="186" t="n"/>
      <c r="L190" s="186" t="n"/>
      <c r="M190" s="186" t="n"/>
      <c r="N190" s="186" t="n"/>
      <c r="O190" s="186" t="n"/>
      <c r="P190" s="186" t="n"/>
      <c r="Q190" s="186" t="n"/>
      <c r="R190" s="186" t="n"/>
      <c r="S190" s="186" t="n"/>
      <c r="T190" s="186" t="n"/>
      <c r="U190" s="186" t="n"/>
      <c r="V190" s="186" t="n"/>
      <c r="W190" s="186" t="n"/>
      <c r="X190" s="186" t="n"/>
      <c r="Y190" s="186" t="n"/>
      <c r="Z190" s="186" t="n"/>
      <c r="AA190" s="186" t="n"/>
      <c r="AB190" s="186" t="n"/>
    </row>
    <row r="191">
      <c r="A191" s="186" t="n"/>
      <c r="B191" s="186" t="n"/>
      <c r="C191" s="186" t="n"/>
      <c r="D191" s="186" t="n"/>
      <c r="E191" s="186" t="n"/>
      <c r="F191" s="209" t="n"/>
      <c r="G191" s="209" t="n"/>
      <c r="H191" s="209" t="n"/>
      <c r="I191" s="209" t="n"/>
      <c r="J191" s="209" t="n"/>
      <c r="K191" s="186" t="n"/>
      <c r="L191" s="186" t="n"/>
      <c r="M191" s="186" t="n"/>
      <c r="N191" s="186" t="n"/>
      <c r="O191" s="186" t="n"/>
      <c r="P191" s="186" t="n"/>
      <c r="Q191" s="186" t="n"/>
      <c r="R191" s="186" t="n"/>
      <c r="S191" s="186" t="n"/>
      <c r="T191" s="186" t="n"/>
      <c r="U191" s="186" t="n"/>
      <c r="V191" s="186" t="n"/>
      <c r="W191" s="186" t="n"/>
      <c r="X191" s="186" t="n"/>
      <c r="Y191" s="186" t="n"/>
      <c r="Z191" s="186" t="n"/>
      <c r="AA191" s="186" t="n"/>
      <c r="AB191" s="186" t="n"/>
    </row>
    <row r="192">
      <c r="A192" s="186" t="n"/>
      <c r="B192" s="186" t="n"/>
      <c r="C192" s="186" t="n"/>
      <c r="D192" s="186" t="n"/>
      <c r="E192" s="186" t="n"/>
      <c r="F192" s="209" t="n"/>
      <c r="G192" s="209" t="n"/>
      <c r="H192" s="209" t="n"/>
      <c r="I192" s="209" t="n"/>
      <c r="J192" s="209" t="n"/>
      <c r="K192" s="186" t="n"/>
      <c r="L192" s="186" t="n"/>
      <c r="M192" s="186" t="n"/>
      <c r="N192" s="186" t="n"/>
      <c r="O192" s="186" t="n"/>
      <c r="P192" s="186" t="n"/>
      <c r="Q192" s="186" t="n"/>
      <c r="R192" s="186" t="n"/>
      <c r="S192" s="186" t="n"/>
      <c r="T192" s="186" t="n"/>
      <c r="U192" s="186" t="n"/>
      <c r="V192" s="186" t="n"/>
      <c r="W192" s="186" t="n"/>
      <c r="X192" s="186" t="n"/>
      <c r="Y192" s="186" t="n"/>
      <c r="Z192" s="186" t="n"/>
      <c r="AA192" s="186" t="n"/>
      <c r="AB192" s="186" t="n"/>
    </row>
    <row r="193">
      <c r="A193" s="186" t="n"/>
      <c r="B193" s="186" t="n"/>
      <c r="C193" s="186" t="n"/>
      <c r="D193" s="186" t="n"/>
      <c r="E193" s="186" t="n"/>
      <c r="F193" s="209" t="n"/>
      <c r="G193" s="209" t="n"/>
      <c r="H193" s="209" t="n"/>
      <c r="I193" s="209" t="n"/>
      <c r="J193" s="209" t="n"/>
      <c r="K193" s="186" t="n"/>
      <c r="L193" s="186" t="n"/>
      <c r="M193" s="186" t="n"/>
      <c r="N193" s="186" t="n"/>
      <c r="O193" s="186" t="n"/>
      <c r="P193" s="186" t="n"/>
      <c r="Q193" s="186" t="n"/>
      <c r="R193" s="186" t="n"/>
      <c r="S193" s="186" t="n"/>
      <c r="T193" s="186" t="n"/>
      <c r="U193" s="186" t="n"/>
      <c r="V193" s="186" t="n"/>
      <c r="W193" s="186" t="n"/>
      <c r="X193" s="186" t="n"/>
      <c r="Y193" s="186" t="n"/>
      <c r="Z193" s="186" t="n"/>
      <c r="AA193" s="186" t="n"/>
      <c r="AB193" s="186" t="n"/>
    </row>
    <row r="194">
      <c r="A194" s="186" t="n"/>
      <c r="B194" s="186" t="n"/>
      <c r="C194" s="186" t="n"/>
      <c r="D194" s="186" t="n"/>
      <c r="E194" s="186" t="n"/>
      <c r="F194" s="209" t="n"/>
      <c r="G194" s="209" t="n"/>
      <c r="H194" s="209" t="n"/>
      <c r="I194" s="209" t="n"/>
      <c r="J194" s="209" t="n"/>
      <c r="K194" s="186" t="n"/>
      <c r="L194" s="186" t="n"/>
      <c r="M194" s="186" t="n"/>
      <c r="N194" s="186" t="n"/>
      <c r="O194" s="186" t="n"/>
      <c r="P194" s="186" t="n"/>
      <c r="Q194" s="186" t="n"/>
      <c r="R194" s="186" t="n"/>
      <c r="S194" s="186" t="n"/>
      <c r="T194" s="186" t="n"/>
      <c r="U194" s="186" t="n"/>
      <c r="V194" s="186" t="n"/>
      <c r="W194" s="186" t="n"/>
      <c r="X194" s="186" t="n"/>
      <c r="Y194" s="186" t="n"/>
      <c r="Z194" s="186" t="n"/>
      <c r="AA194" s="186" t="n"/>
      <c r="AB194" s="186" t="n"/>
    </row>
    <row r="195">
      <c r="A195" s="186" t="n"/>
      <c r="B195" s="186" t="n"/>
      <c r="C195" s="186" t="n"/>
      <c r="D195" s="186" t="n"/>
      <c r="E195" s="186" t="n"/>
      <c r="F195" s="209" t="n"/>
      <c r="G195" s="209" t="n"/>
      <c r="H195" s="209" t="n"/>
      <c r="I195" s="209" t="n"/>
      <c r="J195" s="209" t="n"/>
      <c r="K195" s="186" t="n"/>
      <c r="L195" s="186" t="n"/>
      <c r="M195" s="186" t="n"/>
      <c r="N195" s="186" t="n"/>
      <c r="O195" s="186" t="n"/>
      <c r="P195" s="186" t="n"/>
      <c r="Q195" s="186" t="n"/>
      <c r="R195" s="186" t="n"/>
      <c r="S195" s="186" t="n"/>
      <c r="T195" s="186" t="n"/>
      <c r="U195" s="186" t="n"/>
      <c r="V195" s="186" t="n"/>
      <c r="W195" s="186" t="n"/>
      <c r="X195" s="186" t="n"/>
      <c r="Y195" s="186" t="n"/>
      <c r="Z195" s="186" t="n"/>
      <c r="AA195" s="186" t="n"/>
      <c r="AB195" s="186" t="n"/>
    </row>
    <row r="196">
      <c r="A196" s="186" t="n"/>
      <c r="B196" s="186" t="n"/>
      <c r="C196" s="186" t="n"/>
      <c r="D196" s="186" t="n"/>
      <c r="E196" s="186" t="n"/>
      <c r="F196" s="209" t="n"/>
      <c r="G196" s="209" t="n"/>
      <c r="H196" s="209" t="n"/>
      <c r="I196" s="209" t="n"/>
      <c r="J196" s="209" t="n"/>
      <c r="K196" s="186" t="n"/>
      <c r="L196" s="186" t="n"/>
      <c r="M196" s="186" t="n"/>
      <c r="N196" s="186" t="n"/>
      <c r="O196" s="186" t="n"/>
      <c r="P196" s="186" t="n"/>
      <c r="Q196" s="186" t="n"/>
      <c r="R196" s="186" t="n"/>
      <c r="S196" s="186" t="n"/>
      <c r="T196" s="186" t="n"/>
      <c r="U196" s="186" t="n"/>
      <c r="V196" s="186" t="n"/>
      <c r="W196" s="186" t="n"/>
      <c r="X196" s="186" t="n"/>
      <c r="Y196" s="186" t="n"/>
      <c r="Z196" s="186" t="n"/>
      <c r="AA196" s="186" t="n"/>
      <c r="AB196" s="186" t="n"/>
    </row>
    <row r="197">
      <c r="A197" s="186" t="n"/>
      <c r="B197" s="186" t="n"/>
      <c r="C197" s="186" t="n"/>
      <c r="D197" s="186" t="n"/>
      <c r="E197" s="186" t="n"/>
      <c r="F197" s="209" t="n"/>
      <c r="G197" s="209" t="n"/>
      <c r="H197" s="209" t="n"/>
      <c r="I197" s="209" t="n"/>
      <c r="J197" s="209" t="n"/>
      <c r="K197" s="186" t="n"/>
      <c r="L197" s="186" t="n"/>
      <c r="M197" s="186" t="n"/>
      <c r="N197" s="186" t="n"/>
      <c r="O197" s="186" t="n"/>
      <c r="P197" s="186" t="n"/>
      <c r="Q197" s="186" t="n"/>
      <c r="R197" s="186" t="n"/>
      <c r="S197" s="186" t="n"/>
      <c r="T197" s="186" t="n"/>
      <c r="U197" s="186" t="n"/>
      <c r="V197" s="186" t="n"/>
      <c r="W197" s="186" t="n"/>
      <c r="X197" s="186" t="n"/>
      <c r="Y197" s="186" t="n"/>
      <c r="Z197" s="186" t="n"/>
      <c r="AA197" s="186" t="n"/>
      <c r="AB197" s="186" t="n"/>
    </row>
    <row r="198">
      <c r="A198" s="186" t="n"/>
      <c r="B198" s="186" t="n"/>
      <c r="C198" s="186" t="n"/>
      <c r="D198" s="186" t="n"/>
      <c r="E198" s="186" t="n"/>
      <c r="F198" s="209" t="n"/>
      <c r="G198" s="209" t="n"/>
      <c r="H198" s="209" t="n"/>
      <c r="I198" s="209" t="n"/>
      <c r="J198" s="209" t="n"/>
      <c r="K198" s="186" t="n"/>
      <c r="L198" s="186" t="n"/>
      <c r="M198" s="186" t="n"/>
      <c r="N198" s="186" t="n"/>
      <c r="O198" s="186" t="n"/>
      <c r="P198" s="186" t="n"/>
      <c r="Q198" s="186" t="n"/>
      <c r="R198" s="186" t="n"/>
      <c r="S198" s="186" t="n"/>
      <c r="T198" s="186" t="n"/>
      <c r="U198" s="186" t="n"/>
      <c r="V198" s="186" t="n"/>
      <c r="W198" s="186" t="n"/>
      <c r="X198" s="186" t="n"/>
      <c r="Y198" s="186" t="n"/>
      <c r="Z198" s="186" t="n"/>
      <c r="AA198" s="186" t="n"/>
      <c r="AB198" s="186" t="n"/>
    </row>
    <row r="199">
      <c r="A199" s="186" t="n"/>
      <c r="B199" s="186" t="n"/>
      <c r="C199" s="186" t="n"/>
      <c r="D199" s="186" t="n"/>
      <c r="E199" s="186" t="n"/>
      <c r="F199" s="209" t="n"/>
      <c r="G199" s="209" t="n"/>
      <c r="H199" s="209" t="n"/>
      <c r="I199" s="209" t="n"/>
      <c r="J199" s="209" t="n"/>
      <c r="K199" s="186" t="n"/>
      <c r="L199" s="186" t="n"/>
      <c r="M199" s="186" t="n"/>
      <c r="N199" s="186" t="n"/>
      <c r="O199" s="186" t="n"/>
      <c r="P199" s="186" t="n"/>
      <c r="Q199" s="186" t="n"/>
      <c r="R199" s="186" t="n"/>
      <c r="S199" s="186" t="n"/>
      <c r="T199" s="186" t="n"/>
      <c r="U199" s="186" t="n"/>
      <c r="V199" s="186" t="n"/>
      <c r="W199" s="186" t="n"/>
      <c r="X199" s="186" t="n"/>
      <c r="Y199" s="186" t="n"/>
      <c r="Z199" s="186" t="n"/>
      <c r="AA199" s="186" t="n"/>
      <c r="AB199" s="186" t="n"/>
    </row>
    <row r="200">
      <c r="A200" s="186" t="n"/>
      <c r="B200" s="186" t="n"/>
      <c r="C200" s="186" t="n"/>
      <c r="D200" s="186" t="n"/>
      <c r="E200" s="186" t="n"/>
      <c r="F200" s="209" t="n"/>
      <c r="G200" s="209" t="n"/>
      <c r="H200" s="209" t="n"/>
      <c r="I200" s="209" t="n"/>
      <c r="J200" s="209" t="n"/>
      <c r="K200" s="186" t="n"/>
      <c r="L200" s="186" t="n"/>
      <c r="M200" s="186" t="n"/>
      <c r="N200" s="186" t="n"/>
      <c r="O200" s="186" t="n"/>
      <c r="P200" s="186" t="n"/>
      <c r="Q200" s="186" t="n"/>
      <c r="R200" s="186" t="n"/>
      <c r="S200" s="186" t="n"/>
      <c r="T200" s="186" t="n"/>
      <c r="U200" s="186" t="n"/>
      <c r="V200" s="186" t="n"/>
      <c r="W200" s="186" t="n"/>
      <c r="X200" s="186" t="n"/>
      <c r="Y200" s="186" t="n"/>
      <c r="Z200" s="186" t="n"/>
      <c r="AA200" s="186" t="n"/>
      <c r="AB200" s="186" t="n"/>
    </row>
    <row r="201">
      <c r="A201" s="186" t="n"/>
      <c r="B201" s="186" t="n"/>
      <c r="C201" s="186" t="n"/>
      <c r="D201" s="186" t="n"/>
      <c r="E201" s="186" t="n"/>
      <c r="F201" s="209" t="n"/>
      <c r="G201" s="209" t="n"/>
      <c r="H201" s="209" t="n"/>
      <c r="I201" s="209" t="n"/>
      <c r="J201" s="209" t="n"/>
      <c r="K201" s="186" t="n"/>
      <c r="L201" s="186" t="n"/>
      <c r="M201" s="186" t="n"/>
      <c r="N201" s="186" t="n"/>
      <c r="O201" s="186" t="n"/>
      <c r="P201" s="186" t="n"/>
      <c r="Q201" s="186" t="n"/>
      <c r="R201" s="186" t="n"/>
      <c r="S201" s="186" t="n"/>
      <c r="T201" s="186" t="n"/>
      <c r="U201" s="186" t="n"/>
      <c r="V201" s="186" t="n"/>
      <c r="W201" s="186" t="n"/>
      <c r="X201" s="186" t="n"/>
      <c r="Y201" s="186" t="n"/>
      <c r="Z201" s="186" t="n"/>
      <c r="AA201" s="186" t="n"/>
      <c r="AB201" s="186" t="n"/>
    </row>
    <row r="202">
      <c r="A202" s="186" t="n"/>
      <c r="B202" s="186" t="n"/>
      <c r="C202" s="186" t="n"/>
      <c r="D202" s="186" t="n"/>
      <c r="E202" s="186" t="n"/>
      <c r="F202" s="209" t="n"/>
      <c r="G202" s="209" t="n"/>
      <c r="H202" s="209" t="n"/>
      <c r="I202" s="209" t="n"/>
      <c r="J202" s="209" t="n"/>
      <c r="K202" s="186" t="n"/>
      <c r="L202" s="186" t="n"/>
      <c r="M202" s="186" t="n"/>
      <c r="N202" s="186" t="n"/>
      <c r="O202" s="186" t="n"/>
      <c r="P202" s="186" t="n"/>
      <c r="Q202" s="186" t="n"/>
      <c r="R202" s="186" t="n"/>
      <c r="S202" s="186" t="n"/>
      <c r="T202" s="186" t="n"/>
      <c r="U202" s="186" t="n"/>
      <c r="V202" s="186" t="n"/>
      <c r="W202" s="186" t="n"/>
      <c r="X202" s="186" t="n"/>
      <c r="Y202" s="186" t="n"/>
      <c r="Z202" s="186" t="n"/>
      <c r="AA202" s="186" t="n"/>
      <c r="AB202" s="186" t="n"/>
    </row>
    <row r="203">
      <c r="A203" s="186" t="n"/>
      <c r="B203" s="186" t="n"/>
      <c r="C203" s="186" t="n"/>
      <c r="D203" s="186" t="n"/>
      <c r="E203" s="186" t="n"/>
      <c r="F203" s="209" t="n"/>
      <c r="G203" s="209" t="n"/>
      <c r="H203" s="209" t="n"/>
      <c r="I203" s="209" t="n"/>
      <c r="J203" s="209" t="n"/>
      <c r="K203" s="186" t="n"/>
      <c r="L203" s="186" t="n"/>
      <c r="M203" s="186" t="n"/>
      <c r="N203" s="186" t="n"/>
      <c r="O203" s="186" t="n"/>
      <c r="P203" s="186" t="n"/>
      <c r="Q203" s="186" t="n"/>
      <c r="R203" s="186" t="n"/>
      <c r="S203" s="186" t="n"/>
      <c r="T203" s="186" t="n"/>
      <c r="U203" s="186" t="n"/>
      <c r="V203" s="186" t="n"/>
      <c r="W203" s="186" t="n"/>
      <c r="X203" s="186" t="n"/>
      <c r="Y203" s="186" t="n"/>
      <c r="Z203" s="186" t="n"/>
      <c r="AA203" s="186" t="n"/>
      <c r="AB203" s="186" t="n"/>
    </row>
    <row r="204">
      <c r="A204" s="186" t="n"/>
      <c r="B204" s="186" t="n"/>
      <c r="C204" s="186" t="n"/>
      <c r="D204" s="186" t="n"/>
      <c r="E204" s="186" t="n"/>
      <c r="F204" s="209" t="n"/>
      <c r="G204" s="209" t="n"/>
      <c r="H204" s="209" t="n"/>
      <c r="I204" s="209" t="n"/>
      <c r="J204" s="209" t="n"/>
      <c r="K204" s="186" t="n"/>
      <c r="L204" s="186" t="n"/>
      <c r="M204" s="186" t="n"/>
      <c r="N204" s="186" t="n"/>
      <c r="O204" s="186" t="n"/>
      <c r="P204" s="186" t="n"/>
      <c r="Q204" s="186" t="n"/>
      <c r="R204" s="186" t="n"/>
      <c r="S204" s="186" t="n"/>
      <c r="T204" s="186" t="n"/>
      <c r="U204" s="186" t="n"/>
      <c r="V204" s="186" t="n"/>
      <c r="W204" s="186" t="n"/>
      <c r="X204" s="186" t="n"/>
      <c r="Y204" s="186" t="n"/>
      <c r="Z204" s="186" t="n"/>
      <c r="AA204" s="186" t="n"/>
      <c r="AB204" s="186" t="n"/>
    </row>
    <row r="205">
      <c r="A205" s="186" t="n"/>
      <c r="B205" s="186" t="n"/>
      <c r="C205" s="186" t="n"/>
      <c r="D205" s="186" t="n"/>
      <c r="E205" s="186" t="n"/>
      <c r="F205" s="209" t="n"/>
      <c r="G205" s="209" t="n"/>
      <c r="H205" s="209" t="n"/>
      <c r="I205" s="209" t="n"/>
      <c r="J205" s="209" t="n"/>
      <c r="K205" s="186" t="n"/>
      <c r="L205" s="186" t="n"/>
      <c r="M205" s="186" t="n"/>
      <c r="N205" s="186" t="n"/>
      <c r="O205" s="186" t="n"/>
      <c r="P205" s="186" t="n"/>
      <c r="Q205" s="186" t="n"/>
      <c r="R205" s="186" t="n"/>
      <c r="S205" s="186" t="n"/>
      <c r="T205" s="186" t="n"/>
      <c r="U205" s="186" t="n"/>
      <c r="V205" s="186" t="n"/>
      <c r="W205" s="186" t="n"/>
      <c r="X205" s="186" t="n"/>
      <c r="Y205" s="186" t="n"/>
      <c r="Z205" s="186" t="n"/>
      <c r="AA205" s="186" t="n"/>
      <c r="AB205" s="186" t="n"/>
    </row>
    <row r="206">
      <c r="A206" s="186" t="n"/>
      <c r="B206" s="186" t="n"/>
      <c r="C206" s="186" t="n"/>
      <c r="D206" s="186" t="n"/>
      <c r="E206" s="186" t="n"/>
      <c r="F206" s="209" t="n"/>
      <c r="G206" s="209" t="n"/>
      <c r="H206" s="209" t="n"/>
      <c r="I206" s="209" t="n"/>
      <c r="J206" s="209" t="n"/>
      <c r="K206" s="186" t="n"/>
      <c r="L206" s="186" t="n"/>
      <c r="M206" s="186" t="n"/>
      <c r="N206" s="186" t="n"/>
      <c r="O206" s="186" t="n"/>
      <c r="P206" s="186" t="n"/>
      <c r="Q206" s="186" t="n"/>
      <c r="R206" s="186" t="n"/>
      <c r="S206" s="186" t="n"/>
      <c r="T206" s="186" t="n"/>
      <c r="U206" s="186" t="n"/>
      <c r="V206" s="186" t="n"/>
      <c r="W206" s="186" t="n"/>
      <c r="X206" s="186" t="n"/>
      <c r="Y206" s="186" t="n"/>
      <c r="Z206" s="186" t="n"/>
      <c r="AA206" s="186" t="n"/>
      <c r="AB206" s="186" t="n"/>
    </row>
    <row r="207">
      <c r="A207" s="186" t="n"/>
      <c r="B207" s="186" t="n"/>
      <c r="C207" s="186" t="n"/>
      <c r="D207" s="186" t="n"/>
      <c r="E207" s="186" t="n"/>
      <c r="F207" s="209" t="n"/>
      <c r="G207" s="209" t="n"/>
      <c r="H207" s="209" t="n"/>
      <c r="I207" s="209" t="n"/>
      <c r="J207" s="209" t="n"/>
      <c r="K207" s="186" t="n"/>
      <c r="L207" s="186" t="n"/>
      <c r="M207" s="186" t="n"/>
      <c r="N207" s="186" t="n"/>
      <c r="O207" s="186" t="n"/>
      <c r="P207" s="186" t="n"/>
      <c r="Q207" s="186" t="n"/>
      <c r="R207" s="186" t="n"/>
      <c r="S207" s="186" t="n"/>
      <c r="T207" s="186" t="n"/>
      <c r="U207" s="186" t="n"/>
      <c r="V207" s="186" t="n"/>
      <c r="W207" s="186" t="n"/>
      <c r="X207" s="186" t="n"/>
      <c r="Y207" s="186" t="n"/>
      <c r="Z207" s="186" t="n"/>
      <c r="AA207" s="186" t="n"/>
      <c r="AB207" s="186" t="n"/>
    </row>
    <row r="208">
      <c r="A208" s="186" t="n"/>
      <c r="B208" s="186" t="n"/>
      <c r="C208" s="186" t="n"/>
      <c r="D208" s="186" t="n"/>
      <c r="E208" s="186" t="n"/>
      <c r="F208" s="209" t="n"/>
      <c r="G208" s="209" t="n"/>
      <c r="H208" s="209" t="n"/>
      <c r="I208" s="209" t="n"/>
      <c r="J208" s="209" t="n"/>
      <c r="K208" s="186" t="n"/>
      <c r="L208" s="186" t="n"/>
      <c r="M208" s="186" t="n"/>
      <c r="N208" s="186" t="n"/>
      <c r="O208" s="186" t="n"/>
      <c r="P208" s="186" t="n"/>
      <c r="Q208" s="186" t="n"/>
      <c r="R208" s="186" t="n"/>
      <c r="S208" s="186" t="n"/>
      <c r="T208" s="186" t="n"/>
      <c r="U208" s="186" t="n"/>
      <c r="V208" s="186" t="n"/>
      <c r="W208" s="186" t="n"/>
      <c r="X208" s="186" t="n"/>
      <c r="Y208" s="186" t="n"/>
      <c r="Z208" s="186" t="n"/>
      <c r="AA208" s="186" t="n"/>
      <c r="AB208" s="186" t="n"/>
    </row>
    <row r="209">
      <c r="A209" s="186" t="n"/>
      <c r="B209" s="186" t="n"/>
      <c r="C209" s="186" t="n"/>
      <c r="D209" s="186" t="n"/>
      <c r="E209" s="186" t="n"/>
      <c r="F209" s="209" t="n"/>
      <c r="G209" s="209" t="n"/>
      <c r="H209" s="209" t="n"/>
      <c r="I209" s="209" t="n"/>
      <c r="J209" s="209" t="n"/>
      <c r="K209" s="186" t="n"/>
      <c r="L209" s="186" t="n"/>
      <c r="M209" s="186" t="n"/>
      <c r="N209" s="186" t="n"/>
      <c r="O209" s="186" t="n"/>
      <c r="P209" s="186" t="n"/>
      <c r="Q209" s="186" t="n"/>
      <c r="R209" s="186" t="n"/>
      <c r="S209" s="186" t="n"/>
      <c r="T209" s="186" t="n"/>
      <c r="U209" s="186" t="n"/>
      <c r="V209" s="186" t="n"/>
      <c r="W209" s="186" t="n"/>
      <c r="X209" s="186" t="n"/>
      <c r="Y209" s="186" t="n"/>
      <c r="Z209" s="186" t="n"/>
      <c r="AA209" s="186" t="n"/>
      <c r="AB209" s="186" t="n"/>
    </row>
    <row r="210">
      <c r="A210" s="186" t="n"/>
      <c r="B210" s="186" t="n"/>
      <c r="C210" s="186" t="n"/>
      <c r="D210" s="186" t="n"/>
      <c r="E210" s="186" t="n"/>
      <c r="F210" s="209" t="n"/>
      <c r="G210" s="209" t="n"/>
      <c r="H210" s="209" t="n"/>
      <c r="I210" s="209" t="n"/>
      <c r="J210" s="209" t="n"/>
      <c r="K210" s="186" t="n"/>
      <c r="L210" s="186" t="n"/>
      <c r="M210" s="186" t="n"/>
      <c r="N210" s="186" t="n"/>
      <c r="O210" s="186" t="n"/>
      <c r="P210" s="186" t="n"/>
      <c r="Q210" s="186" t="n"/>
      <c r="R210" s="186" t="n"/>
      <c r="S210" s="186" t="n"/>
      <c r="T210" s="186" t="n"/>
      <c r="U210" s="186" t="n"/>
      <c r="V210" s="186" t="n"/>
      <c r="W210" s="186" t="n"/>
      <c r="X210" s="186" t="n"/>
      <c r="Y210" s="186" t="n"/>
      <c r="Z210" s="186" t="n"/>
      <c r="AA210" s="186" t="n"/>
      <c r="AB210" s="186" t="n"/>
    </row>
    <row r="211">
      <c r="A211" s="186" t="n"/>
      <c r="B211" s="186" t="n"/>
      <c r="C211" s="186" t="n"/>
      <c r="D211" s="186" t="n"/>
      <c r="E211" s="186" t="n"/>
      <c r="F211" s="209" t="n"/>
      <c r="G211" s="209" t="n"/>
      <c r="H211" s="209" t="n"/>
      <c r="I211" s="209" t="n"/>
      <c r="J211" s="209" t="n"/>
      <c r="K211" s="186" t="n"/>
      <c r="L211" s="186" t="n"/>
      <c r="M211" s="186" t="n"/>
      <c r="N211" s="186" t="n"/>
      <c r="O211" s="186" t="n"/>
      <c r="P211" s="186" t="n"/>
      <c r="Q211" s="186" t="n"/>
      <c r="R211" s="186" t="n"/>
      <c r="S211" s="186" t="n"/>
      <c r="T211" s="186" t="n"/>
      <c r="U211" s="186" t="n"/>
      <c r="V211" s="186" t="n"/>
      <c r="W211" s="186" t="n"/>
      <c r="X211" s="186" t="n"/>
      <c r="Y211" s="186" t="n"/>
      <c r="Z211" s="186" t="n"/>
      <c r="AA211" s="186" t="n"/>
      <c r="AB211" s="186" t="n"/>
    </row>
    <row r="212">
      <c r="A212" s="186" t="n"/>
      <c r="B212" s="186" t="n"/>
      <c r="C212" s="186" t="n"/>
      <c r="D212" s="186" t="n"/>
      <c r="E212" s="186" t="n"/>
      <c r="F212" s="209" t="n"/>
      <c r="G212" s="209" t="n"/>
      <c r="H212" s="209" t="n"/>
      <c r="I212" s="209" t="n"/>
      <c r="J212" s="209" t="n"/>
      <c r="K212" s="186" t="n"/>
      <c r="L212" s="186" t="n"/>
      <c r="M212" s="186" t="n"/>
      <c r="N212" s="186" t="n"/>
      <c r="O212" s="186" t="n"/>
      <c r="P212" s="186" t="n"/>
      <c r="Q212" s="186" t="n"/>
      <c r="R212" s="186" t="n"/>
      <c r="S212" s="186" t="n"/>
      <c r="T212" s="186" t="n"/>
      <c r="U212" s="186" t="n"/>
      <c r="V212" s="186" t="n"/>
      <c r="W212" s="186" t="n"/>
      <c r="X212" s="186" t="n"/>
      <c r="Y212" s="186" t="n"/>
      <c r="Z212" s="186" t="n"/>
      <c r="AA212" s="186" t="n"/>
      <c r="AB212" s="186" t="n"/>
    </row>
    <row r="213">
      <c r="A213" s="186" t="n"/>
      <c r="B213" s="186" t="n"/>
      <c r="C213" s="186" t="n"/>
      <c r="D213" s="186" t="n"/>
      <c r="E213" s="186" t="n"/>
      <c r="F213" s="209" t="n"/>
      <c r="G213" s="209" t="n"/>
      <c r="H213" s="209" t="n"/>
      <c r="I213" s="209" t="n"/>
      <c r="J213" s="209" t="n"/>
      <c r="K213" s="186" t="n"/>
      <c r="L213" s="186" t="n"/>
      <c r="M213" s="186" t="n"/>
      <c r="N213" s="186" t="n"/>
      <c r="O213" s="186" t="n"/>
      <c r="P213" s="186" t="n"/>
      <c r="Q213" s="186" t="n"/>
      <c r="R213" s="186" t="n"/>
      <c r="S213" s="186" t="n"/>
      <c r="T213" s="186" t="n"/>
      <c r="U213" s="186" t="n"/>
      <c r="V213" s="186" t="n"/>
      <c r="W213" s="186" t="n"/>
      <c r="X213" s="186" t="n"/>
      <c r="Y213" s="186" t="n"/>
      <c r="Z213" s="186" t="n"/>
      <c r="AA213" s="186" t="n"/>
      <c r="AB213" s="186" t="n"/>
    </row>
    <row r="214">
      <c r="A214" s="186" t="n"/>
      <c r="B214" s="186" t="n"/>
      <c r="C214" s="186" t="n"/>
      <c r="D214" s="186" t="n"/>
      <c r="E214" s="186" t="n"/>
      <c r="F214" s="209" t="n"/>
      <c r="G214" s="209" t="n"/>
      <c r="H214" s="209" t="n"/>
      <c r="I214" s="209" t="n"/>
      <c r="J214" s="209" t="n"/>
      <c r="K214" s="186" t="n"/>
      <c r="L214" s="186" t="n"/>
      <c r="M214" s="186" t="n"/>
      <c r="N214" s="186" t="n"/>
      <c r="O214" s="186" t="n"/>
      <c r="P214" s="186" t="n"/>
      <c r="Q214" s="186" t="n"/>
      <c r="R214" s="186" t="n"/>
      <c r="S214" s="186" t="n"/>
      <c r="T214" s="186" t="n"/>
      <c r="U214" s="186" t="n"/>
      <c r="V214" s="186" t="n"/>
      <c r="W214" s="186" t="n"/>
      <c r="X214" s="186" t="n"/>
      <c r="Y214" s="186" t="n"/>
      <c r="Z214" s="186" t="n"/>
      <c r="AA214" s="186" t="n"/>
      <c r="AB214" s="186" t="n"/>
    </row>
    <row r="215">
      <c r="A215" s="186" t="n"/>
      <c r="B215" s="186" t="n"/>
      <c r="C215" s="186" t="n"/>
      <c r="D215" s="186" t="n"/>
      <c r="E215" s="186" t="n"/>
      <c r="F215" s="209" t="n"/>
      <c r="G215" s="209" t="n"/>
      <c r="H215" s="209" t="n"/>
      <c r="I215" s="209" t="n"/>
      <c r="J215" s="209" t="n"/>
      <c r="K215" s="186" t="n"/>
      <c r="L215" s="186" t="n"/>
      <c r="M215" s="186" t="n"/>
      <c r="N215" s="186" t="n"/>
      <c r="O215" s="186" t="n"/>
      <c r="P215" s="186" t="n"/>
      <c r="Q215" s="186" t="n"/>
      <c r="R215" s="186" t="n"/>
      <c r="S215" s="186" t="n"/>
      <c r="T215" s="186" t="n"/>
      <c r="U215" s="186" t="n"/>
      <c r="V215" s="186" t="n"/>
      <c r="W215" s="186" t="n"/>
      <c r="X215" s="186" t="n"/>
      <c r="Y215" s="186" t="n"/>
      <c r="Z215" s="186" t="n"/>
      <c r="AA215" s="186" t="n"/>
      <c r="AB215" s="186" t="n"/>
    </row>
    <row r="216">
      <c r="A216" s="186" t="n"/>
      <c r="B216" s="186" t="n"/>
      <c r="C216" s="186" t="n"/>
      <c r="D216" s="186" t="n"/>
      <c r="E216" s="186" t="n"/>
      <c r="F216" s="209" t="n"/>
      <c r="G216" s="209" t="n"/>
      <c r="H216" s="209" t="n"/>
      <c r="I216" s="209" t="n"/>
      <c r="J216" s="209" t="n"/>
      <c r="K216" s="186" t="n"/>
      <c r="L216" s="186" t="n"/>
      <c r="M216" s="186" t="n"/>
      <c r="N216" s="186" t="n"/>
      <c r="O216" s="186" t="n"/>
      <c r="P216" s="186" t="n"/>
      <c r="Q216" s="186" t="n"/>
      <c r="R216" s="186" t="n"/>
      <c r="S216" s="186" t="n"/>
      <c r="T216" s="186" t="n"/>
      <c r="U216" s="186" t="n"/>
      <c r="V216" s="186" t="n"/>
      <c r="W216" s="186" t="n"/>
      <c r="X216" s="186" t="n"/>
      <c r="Y216" s="186" t="n"/>
      <c r="Z216" s="186" t="n"/>
      <c r="AA216" s="186" t="n"/>
      <c r="AB216" s="186" t="n"/>
    </row>
    <row r="217">
      <c r="A217" s="186" t="n"/>
      <c r="B217" s="186" t="n"/>
      <c r="C217" s="186" t="n"/>
      <c r="D217" s="186" t="n"/>
      <c r="E217" s="186" t="n"/>
      <c r="F217" s="209" t="n"/>
      <c r="G217" s="209" t="n"/>
      <c r="H217" s="209" t="n"/>
      <c r="I217" s="209" t="n"/>
      <c r="J217" s="209" t="n"/>
      <c r="K217" s="186" t="n"/>
      <c r="L217" s="186" t="n"/>
      <c r="M217" s="186" t="n"/>
      <c r="N217" s="186" t="n"/>
      <c r="O217" s="186" t="n"/>
      <c r="P217" s="186" t="n"/>
      <c r="Q217" s="186" t="n"/>
      <c r="R217" s="186" t="n"/>
      <c r="S217" s="186" t="n"/>
      <c r="T217" s="186" t="n"/>
      <c r="U217" s="186" t="n"/>
      <c r="V217" s="186" t="n"/>
      <c r="W217" s="186" t="n"/>
      <c r="X217" s="186" t="n"/>
      <c r="Y217" s="186" t="n"/>
      <c r="Z217" s="186" t="n"/>
      <c r="AA217" s="186" t="n"/>
      <c r="AB217" s="186" t="n"/>
    </row>
    <row r="218">
      <c r="A218" s="186" t="n"/>
      <c r="B218" s="186" t="n"/>
      <c r="C218" s="186" t="n"/>
      <c r="D218" s="186" t="n"/>
      <c r="E218" s="186" t="n"/>
      <c r="F218" s="209" t="n"/>
      <c r="G218" s="209" t="n"/>
      <c r="H218" s="209" t="n"/>
      <c r="I218" s="209" t="n"/>
      <c r="J218" s="209" t="n"/>
      <c r="K218" s="186" t="n"/>
      <c r="L218" s="186" t="n"/>
      <c r="M218" s="186" t="n"/>
      <c r="N218" s="186" t="n"/>
      <c r="O218" s="186" t="n"/>
      <c r="P218" s="186" t="n"/>
      <c r="Q218" s="186" t="n"/>
      <c r="R218" s="186" t="n"/>
      <c r="S218" s="186" t="n"/>
      <c r="T218" s="186" t="n"/>
      <c r="U218" s="186" t="n"/>
      <c r="V218" s="186" t="n"/>
      <c r="W218" s="186" t="n"/>
      <c r="X218" s="186" t="n"/>
      <c r="Y218" s="186" t="n"/>
      <c r="Z218" s="186" t="n"/>
      <c r="AA218" s="186" t="n"/>
      <c r="AB218" s="186" t="n"/>
    </row>
    <row r="219">
      <c r="A219" s="186" t="n"/>
      <c r="B219" s="186" t="n"/>
      <c r="C219" s="186" t="n"/>
      <c r="D219" s="186" t="n"/>
      <c r="E219" s="186" t="n"/>
      <c r="F219" s="209" t="n"/>
      <c r="G219" s="209" t="n"/>
      <c r="H219" s="209" t="n"/>
      <c r="I219" s="209" t="n"/>
      <c r="J219" s="209" t="n"/>
      <c r="K219" s="186" t="n"/>
      <c r="L219" s="186" t="n"/>
      <c r="M219" s="186" t="n"/>
      <c r="N219" s="186" t="n"/>
      <c r="O219" s="186" t="n"/>
      <c r="P219" s="186" t="n"/>
      <c r="Q219" s="186" t="n"/>
      <c r="R219" s="186" t="n"/>
      <c r="S219" s="186" t="n"/>
      <c r="T219" s="186" t="n"/>
      <c r="U219" s="186" t="n"/>
      <c r="V219" s="186" t="n"/>
      <c r="W219" s="186" t="n"/>
      <c r="X219" s="186" t="n"/>
      <c r="Y219" s="186" t="n"/>
      <c r="Z219" s="186" t="n"/>
      <c r="AA219" s="186" t="n"/>
      <c r="AB219" s="186" t="n"/>
    </row>
    <row r="220">
      <c r="A220" s="186" t="n"/>
      <c r="B220" s="186" t="n"/>
      <c r="C220" s="186" t="n"/>
      <c r="D220" s="186" t="n"/>
      <c r="E220" s="186" t="n"/>
      <c r="F220" s="209" t="n"/>
      <c r="G220" s="209" t="n"/>
      <c r="H220" s="209" t="n"/>
      <c r="I220" s="209" t="n"/>
      <c r="J220" s="209" t="n"/>
      <c r="K220" s="186" t="n"/>
      <c r="L220" s="186" t="n"/>
      <c r="M220" s="186" t="n"/>
      <c r="N220" s="186" t="n"/>
      <c r="O220" s="186" t="n"/>
      <c r="P220" s="186" t="n"/>
      <c r="Q220" s="186" t="n"/>
      <c r="R220" s="186" t="n"/>
      <c r="S220" s="186" t="n"/>
      <c r="T220" s="186" t="n"/>
      <c r="U220" s="186" t="n"/>
      <c r="V220" s="186" t="n"/>
      <c r="W220" s="186" t="n"/>
      <c r="X220" s="186" t="n"/>
      <c r="Y220" s="186" t="n"/>
      <c r="Z220" s="186" t="n"/>
      <c r="AA220" s="186" t="n"/>
      <c r="AB220" s="186" t="n"/>
    </row>
    <row r="221">
      <c r="A221" s="186" t="n"/>
      <c r="B221" s="186" t="n"/>
      <c r="C221" s="186" t="n"/>
      <c r="D221" s="186" t="n"/>
      <c r="E221" s="186" t="n"/>
      <c r="F221" s="209" t="n"/>
      <c r="G221" s="209" t="n"/>
      <c r="H221" s="209" t="n"/>
      <c r="I221" s="209" t="n"/>
      <c r="J221" s="209" t="n"/>
      <c r="K221" s="186" t="n"/>
      <c r="L221" s="186" t="n"/>
      <c r="M221" s="186" t="n"/>
      <c r="N221" s="186" t="n"/>
      <c r="O221" s="186" t="n"/>
      <c r="P221" s="186" t="n"/>
      <c r="Q221" s="186" t="n"/>
      <c r="R221" s="186" t="n"/>
      <c r="S221" s="186" t="n"/>
      <c r="T221" s="186" t="n"/>
      <c r="U221" s="186" t="n"/>
      <c r="V221" s="186" t="n"/>
      <c r="W221" s="186" t="n"/>
      <c r="X221" s="186" t="n"/>
      <c r="Y221" s="186" t="n"/>
      <c r="Z221" s="186" t="n"/>
      <c r="AA221" s="186" t="n"/>
      <c r="AB221" s="186" t="n"/>
    </row>
    <row r="222">
      <c r="A222" s="186" t="n"/>
      <c r="B222" s="186" t="n"/>
      <c r="C222" s="186" t="n"/>
      <c r="D222" s="186" t="n"/>
      <c r="E222" s="186" t="n"/>
      <c r="F222" s="209" t="n"/>
      <c r="G222" s="209" t="n"/>
      <c r="H222" s="209" t="n"/>
      <c r="I222" s="209" t="n"/>
      <c r="J222" s="209" t="n"/>
      <c r="K222" s="186" t="n"/>
      <c r="L222" s="186" t="n"/>
      <c r="M222" s="186" t="n"/>
      <c r="N222" s="186" t="n"/>
      <c r="O222" s="186" t="n"/>
      <c r="P222" s="186" t="n"/>
      <c r="Q222" s="186" t="n"/>
      <c r="R222" s="186" t="n"/>
      <c r="S222" s="186" t="n"/>
      <c r="T222" s="186" t="n"/>
      <c r="U222" s="186" t="n"/>
      <c r="V222" s="186" t="n"/>
      <c r="W222" s="186" t="n"/>
      <c r="X222" s="186" t="n"/>
      <c r="Y222" s="186" t="n"/>
      <c r="Z222" s="186" t="n"/>
      <c r="AA222" s="186" t="n"/>
      <c r="AB222" s="186" t="n"/>
    </row>
    <row r="223">
      <c r="A223" s="186" t="n"/>
      <c r="B223" s="186" t="n"/>
      <c r="C223" s="186" t="n"/>
      <c r="D223" s="186" t="n"/>
      <c r="E223" s="186" t="n"/>
      <c r="F223" s="209" t="n"/>
      <c r="G223" s="209" t="n"/>
      <c r="H223" s="209" t="n"/>
      <c r="I223" s="209" t="n"/>
      <c r="J223" s="209" t="n"/>
      <c r="K223" s="186" t="n"/>
      <c r="L223" s="186" t="n"/>
      <c r="M223" s="186" t="n"/>
      <c r="N223" s="186" t="n"/>
      <c r="O223" s="186" t="n"/>
      <c r="P223" s="186" t="n"/>
      <c r="Q223" s="186" t="n"/>
      <c r="R223" s="186" t="n"/>
      <c r="S223" s="186" t="n"/>
      <c r="T223" s="186" t="n"/>
      <c r="U223" s="186" t="n"/>
      <c r="V223" s="186" t="n"/>
      <c r="W223" s="186" t="n"/>
      <c r="X223" s="186" t="n"/>
      <c r="Y223" s="186" t="n"/>
      <c r="Z223" s="186" t="n"/>
      <c r="AA223" s="186" t="n"/>
      <c r="AB223" s="186" t="n"/>
    </row>
    <row r="224">
      <c r="A224" s="186" t="n"/>
      <c r="B224" s="186" t="n"/>
      <c r="C224" s="186" t="n"/>
      <c r="D224" s="186" t="n"/>
      <c r="E224" s="186" t="n"/>
      <c r="F224" s="209" t="n"/>
      <c r="G224" s="209" t="n"/>
      <c r="H224" s="209" t="n"/>
      <c r="I224" s="209" t="n"/>
      <c r="J224" s="209" t="n"/>
      <c r="K224" s="186" t="n"/>
      <c r="L224" s="186" t="n"/>
      <c r="M224" s="186" t="n"/>
      <c r="N224" s="186" t="n"/>
      <c r="O224" s="186" t="n"/>
      <c r="P224" s="186" t="n"/>
      <c r="Q224" s="186" t="n"/>
      <c r="R224" s="186" t="n"/>
      <c r="S224" s="186" t="n"/>
      <c r="T224" s="186" t="n"/>
      <c r="U224" s="186" t="n"/>
      <c r="V224" s="186" t="n"/>
      <c r="W224" s="186" t="n"/>
      <c r="X224" s="186" t="n"/>
      <c r="Y224" s="186" t="n"/>
      <c r="Z224" s="186" t="n"/>
      <c r="AA224" s="186" t="n"/>
      <c r="AB224" s="186" t="n"/>
    </row>
    <row r="225">
      <c r="A225" s="186" t="n"/>
      <c r="B225" s="186" t="n"/>
      <c r="C225" s="186" t="n"/>
      <c r="D225" s="186" t="n"/>
      <c r="E225" s="186" t="n"/>
      <c r="F225" s="209" t="n"/>
      <c r="G225" s="209" t="n"/>
      <c r="H225" s="209" t="n"/>
      <c r="I225" s="209" t="n"/>
      <c r="J225" s="209" t="n"/>
      <c r="K225" s="186" t="n"/>
      <c r="L225" s="186" t="n"/>
      <c r="M225" s="186" t="n"/>
      <c r="N225" s="186" t="n"/>
      <c r="O225" s="186" t="n"/>
      <c r="P225" s="186" t="n"/>
      <c r="Q225" s="186" t="n"/>
      <c r="R225" s="186" t="n"/>
      <c r="S225" s="186" t="n"/>
      <c r="T225" s="186" t="n"/>
      <c r="U225" s="186" t="n"/>
      <c r="V225" s="186" t="n"/>
      <c r="W225" s="186" t="n"/>
      <c r="X225" s="186" t="n"/>
      <c r="Y225" s="186" t="n"/>
      <c r="Z225" s="186" t="n"/>
      <c r="AA225" s="186" t="n"/>
      <c r="AB225" s="186" t="n"/>
    </row>
    <row r="226">
      <c r="A226" s="186" t="n"/>
      <c r="B226" s="186" t="n"/>
      <c r="C226" s="186" t="n"/>
      <c r="D226" s="186" t="n"/>
      <c r="E226" s="186" t="n"/>
      <c r="F226" s="209" t="n"/>
      <c r="G226" s="209" t="n"/>
      <c r="H226" s="209" t="n"/>
      <c r="I226" s="209" t="n"/>
      <c r="J226" s="209" t="n"/>
      <c r="K226" s="186" t="n"/>
      <c r="L226" s="186" t="n"/>
      <c r="M226" s="186" t="n"/>
      <c r="N226" s="186" t="n"/>
      <c r="O226" s="186" t="n"/>
      <c r="P226" s="186" t="n"/>
      <c r="Q226" s="186" t="n"/>
      <c r="R226" s="186" t="n"/>
      <c r="S226" s="186" t="n"/>
      <c r="T226" s="186" t="n"/>
      <c r="U226" s="186" t="n"/>
      <c r="V226" s="186" t="n"/>
      <c r="W226" s="186" t="n"/>
      <c r="X226" s="186" t="n"/>
      <c r="Y226" s="186" t="n"/>
      <c r="Z226" s="186" t="n"/>
      <c r="AA226" s="186" t="n"/>
      <c r="AB226" s="186" t="n"/>
    </row>
    <row r="227">
      <c r="A227" s="186" t="n"/>
      <c r="B227" s="186" t="n"/>
      <c r="C227" s="186" t="n"/>
      <c r="D227" s="186" t="n"/>
      <c r="E227" s="186" t="n"/>
      <c r="F227" s="209" t="n"/>
      <c r="G227" s="209" t="n"/>
      <c r="H227" s="209" t="n"/>
      <c r="I227" s="209" t="n"/>
      <c r="J227" s="209" t="n"/>
      <c r="K227" s="186" t="n"/>
      <c r="L227" s="186" t="n"/>
      <c r="M227" s="186" t="n"/>
      <c r="N227" s="186" t="n"/>
      <c r="O227" s="186" t="n"/>
      <c r="P227" s="186" t="n"/>
      <c r="Q227" s="186" t="n"/>
      <c r="R227" s="186" t="n"/>
      <c r="S227" s="186" t="n"/>
      <c r="T227" s="186" t="n"/>
      <c r="U227" s="186" t="n"/>
      <c r="V227" s="186" t="n"/>
      <c r="W227" s="186" t="n"/>
      <c r="X227" s="186" t="n"/>
      <c r="Y227" s="186" t="n"/>
      <c r="Z227" s="186" t="n"/>
      <c r="AA227" s="186" t="n"/>
      <c r="AB227" s="186" t="n"/>
    </row>
    <row r="228">
      <c r="A228" s="186" t="n"/>
      <c r="B228" s="186" t="n"/>
      <c r="C228" s="186" t="n"/>
      <c r="D228" s="186" t="n"/>
      <c r="E228" s="186" t="n"/>
      <c r="F228" s="209" t="n"/>
      <c r="G228" s="209" t="n"/>
      <c r="H228" s="209" t="n"/>
      <c r="I228" s="209" t="n"/>
      <c r="J228" s="209" t="n"/>
      <c r="K228" s="186" t="n"/>
      <c r="L228" s="186" t="n"/>
      <c r="M228" s="186" t="n"/>
      <c r="N228" s="186" t="n"/>
      <c r="O228" s="186" t="n"/>
      <c r="P228" s="186" t="n"/>
      <c r="Q228" s="186" t="n"/>
      <c r="R228" s="186" t="n"/>
      <c r="S228" s="186" t="n"/>
      <c r="T228" s="186" t="n"/>
      <c r="U228" s="186" t="n"/>
      <c r="V228" s="186" t="n"/>
      <c r="W228" s="186" t="n"/>
      <c r="X228" s="186" t="n"/>
      <c r="Y228" s="186" t="n"/>
      <c r="Z228" s="186" t="n"/>
      <c r="AA228" s="186" t="n"/>
      <c r="AB228" s="186" t="n"/>
    </row>
    <row r="229">
      <c r="A229" s="186" t="n"/>
      <c r="B229" s="186" t="n"/>
      <c r="C229" s="186" t="n"/>
      <c r="D229" s="186" t="n"/>
      <c r="E229" s="186" t="n"/>
      <c r="F229" s="209" t="n"/>
      <c r="G229" s="209" t="n"/>
      <c r="H229" s="209" t="n"/>
      <c r="I229" s="209" t="n"/>
      <c r="J229" s="209" t="n"/>
      <c r="K229" s="186" t="n"/>
      <c r="L229" s="186" t="n"/>
      <c r="M229" s="186" t="n"/>
      <c r="N229" s="186" t="n"/>
      <c r="O229" s="186" t="n"/>
      <c r="P229" s="186" t="n"/>
      <c r="Q229" s="186" t="n"/>
      <c r="R229" s="186" t="n"/>
      <c r="S229" s="186" t="n"/>
      <c r="T229" s="186" t="n"/>
      <c r="U229" s="186" t="n"/>
      <c r="V229" s="186" t="n"/>
      <c r="W229" s="186" t="n"/>
      <c r="X229" s="186" t="n"/>
      <c r="Y229" s="186" t="n"/>
      <c r="Z229" s="186" t="n"/>
      <c r="AA229" s="186" t="n"/>
      <c r="AB229" s="186" t="n"/>
    </row>
    <row r="230">
      <c r="A230" s="186" t="n"/>
      <c r="B230" s="186" t="n"/>
      <c r="C230" s="186" t="n"/>
      <c r="D230" s="186" t="n"/>
      <c r="E230" s="186" t="n"/>
      <c r="F230" s="209" t="n"/>
      <c r="G230" s="209" t="n"/>
      <c r="H230" s="209" t="n"/>
      <c r="I230" s="209" t="n"/>
      <c r="J230" s="209" t="n"/>
      <c r="K230" s="186" t="n"/>
      <c r="L230" s="186" t="n"/>
      <c r="M230" s="186" t="n"/>
      <c r="N230" s="186" t="n"/>
      <c r="O230" s="186" t="n"/>
      <c r="P230" s="186" t="n"/>
      <c r="Q230" s="186" t="n"/>
      <c r="R230" s="186" t="n"/>
      <c r="S230" s="186" t="n"/>
      <c r="T230" s="186" t="n"/>
      <c r="U230" s="186" t="n"/>
      <c r="V230" s="186" t="n"/>
      <c r="W230" s="186" t="n"/>
      <c r="X230" s="186" t="n"/>
      <c r="Y230" s="186" t="n"/>
      <c r="Z230" s="186" t="n"/>
      <c r="AA230" s="186" t="n"/>
      <c r="AB230" s="186" t="n"/>
    </row>
    <row r="231">
      <c r="A231" s="186" t="n"/>
      <c r="B231" s="186" t="n"/>
      <c r="C231" s="186" t="n"/>
      <c r="D231" s="186" t="n"/>
      <c r="E231" s="186" t="n"/>
      <c r="F231" s="209" t="n"/>
      <c r="G231" s="209" t="n"/>
      <c r="H231" s="209" t="n"/>
      <c r="I231" s="209" t="n"/>
      <c r="J231" s="209" t="n"/>
      <c r="K231" s="186" t="n"/>
      <c r="L231" s="186" t="n"/>
      <c r="M231" s="186" t="n"/>
      <c r="N231" s="186" t="n"/>
      <c r="O231" s="186" t="n"/>
      <c r="P231" s="186" t="n"/>
      <c r="Q231" s="186" t="n"/>
      <c r="R231" s="186" t="n"/>
      <c r="S231" s="186" t="n"/>
      <c r="T231" s="186" t="n"/>
      <c r="U231" s="186" t="n"/>
      <c r="V231" s="186" t="n"/>
      <c r="W231" s="186" t="n"/>
      <c r="X231" s="186" t="n"/>
      <c r="Y231" s="186" t="n"/>
      <c r="Z231" s="186" t="n"/>
      <c r="AA231" s="186" t="n"/>
      <c r="AB231" s="186" t="n"/>
    </row>
    <row r="232">
      <c r="A232" s="186" t="n"/>
      <c r="B232" s="186" t="n"/>
      <c r="C232" s="186" t="n"/>
      <c r="D232" s="186" t="n"/>
      <c r="E232" s="186" t="n"/>
      <c r="F232" s="209" t="n"/>
      <c r="G232" s="209" t="n"/>
      <c r="H232" s="209" t="n"/>
      <c r="I232" s="209" t="n"/>
      <c r="J232" s="209" t="n"/>
      <c r="K232" s="186" t="n"/>
      <c r="L232" s="186" t="n"/>
      <c r="M232" s="186" t="n"/>
      <c r="N232" s="186" t="n"/>
      <c r="O232" s="186" t="n"/>
      <c r="P232" s="186" t="n"/>
      <c r="Q232" s="186" t="n"/>
      <c r="R232" s="186" t="n"/>
      <c r="S232" s="186" t="n"/>
      <c r="T232" s="186" t="n"/>
      <c r="U232" s="186" t="n"/>
      <c r="V232" s="186" t="n"/>
      <c r="W232" s="186" t="n"/>
      <c r="X232" s="186" t="n"/>
      <c r="Y232" s="186" t="n"/>
      <c r="Z232" s="186" t="n"/>
      <c r="AA232" s="186" t="n"/>
      <c r="AB232" s="186" t="n"/>
    </row>
    <row r="233">
      <c r="A233" s="186" t="n"/>
      <c r="B233" s="186" t="n"/>
      <c r="C233" s="186" t="n"/>
      <c r="D233" s="186" t="n"/>
      <c r="E233" s="186" t="n"/>
      <c r="F233" s="209" t="n"/>
      <c r="G233" s="209" t="n"/>
      <c r="H233" s="209" t="n"/>
      <c r="I233" s="209" t="n"/>
      <c r="J233" s="209" t="n"/>
      <c r="K233" s="186" t="n"/>
      <c r="L233" s="186" t="n"/>
      <c r="M233" s="186" t="n"/>
      <c r="N233" s="186" t="n"/>
      <c r="O233" s="186" t="n"/>
      <c r="P233" s="186" t="n"/>
      <c r="Q233" s="186" t="n"/>
      <c r="R233" s="186" t="n"/>
      <c r="S233" s="186" t="n"/>
      <c r="T233" s="186" t="n"/>
      <c r="U233" s="186" t="n"/>
      <c r="V233" s="186" t="n"/>
      <c r="W233" s="186" t="n"/>
      <c r="X233" s="186" t="n"/>
      <c r="Y233" s="186" t="n"/>
      <c r="Z233" s="186" t="n"/>
      <c r="AA233" s="186" t="n"/>
      <c r="AB233" s="186" t="n"/>
    </row>
    <row r="234">
      <c r="A234" s="186" t="n"/>
      <c r="B234" s="186" t="n"/>
      <c r="C234" s="186" t="n"/>
      <c r="D234" s="186" t="n"/>
      <c r="E234" s="186" t="n"/>
      <c r="F234" s="209" t="n"/>
      <c r="G234" s="209" t="n"/>
      <c r="H234" s="209" t="n"/>
      <c r="I234" s="209" t="n"/>
      <c r="J234" s="209" t="n"/>
      <c r="K234" s="186" t="n"/>
      <c r="L234" s="186" t="n"/>
      <c r="M234" s="186" t="n"/>
      <c r="N234" s="186" t="n"/>
      <c r="O234" s="186" t="n"/>
      <c r="P234" s="186" t="n"/>
      <c r="Q234" s="186" t="n"/>
      <c r="R234" s="186" t="n"/>
      <c r="S234" s="186" t="n"/>
      <c r="T234" s="186" t="n"/>
      <c r="U234" s="186" t="n"/>
      <c r="V234" s="186" t="n"/>
      <c r="W234" s="186" t="n"/>
      <c r="X234" s="186" t="n"/>
      <c r="Y234" s="186" t="n"/>
      <c r="Z234" s="186" t="n"/>
      <c r="AA234" s="186" t="n"/>
      <c r="AB234" s="186" t="n"/>
    </row>
    <row r="235">
      <c r="A235" s="186" t="n"/>
      <c r="B235" s="186" t="n"/>
      <c r="C235" s="186" t="n"/>
      <c r="D235" s="186" t="n"/>
      <c r="E235" s="186" t="n"/>
      <c r="F235" s="209" t="n"/>
      <c r="G235" s="209" t="n"/>
      <c r="H235" s="209" t="n"/>
      <c r="I235" s="209" t="n"/>
      <c r="J235" s="209" t="n"/>
      <c r="K235" s="186" t="n"/>
      <c r="L235" s="186" t="n"/>
      <c r="M235" s="186" t="n"/>
      <c r="N235" s="186" t="n"/>
      <c r="O235" s="186" t="n"/>
      <c r="P235" s="186" t="n"/>
      <c r="Q235" s="186" t="n"/>
      <c r="R235" s="186" t="n"/>
      <c r="S235" s="186" t="n"/>
      <c r="T235" s="186" t="n"/>
      <c r="U235" s="186" t="n"/>
      <c r="V235" s="186" t="n"/>
      <c r="W235" s="186" t="n"/>
      <c r="X235" s="186" t="n"/>
      <c r="Y235" s="186" t="n"/>
      <c r="Z235" s="186" t="n"/>
      <c r="AA235" s="186" t="n"/>
      <c r="AB235" s="186" t="n"/>
    </row>
    <row r="236">
      <c r="A236" s="186" t="n"/>
      <c r="B236" s="186" t="n"/>
      <c r="C236" s="186" t="n"/>
      <c r="D236" s="186" t="n"/>
      <c r="E236" s="186" t="n"/>
      <c r="F236" s="209" t="n"/>
      <c r="G236" s="209" t="n"/>
      <c r="H236" s="209" t="n"/>
      <c r="I236" s="209" t="n"/>
      <c r="J236" s="209" t="n"/>
      <c r="K236" s="186" t="n"/>
      <c r="L236" s="186" t="n"/>
      <c r="M236" s="186" t="n"/>
      <c r="N236" s="186" t="n"/>
      <c r="O236" s="186" t="n"/>
      <c r="P236" s="186" t="n"/>
      <c r="Q236" s="186" t="n"/>
      <c r="R236" s="186" t="n"/>
      <c r="S236" s="186" t="n"/>
      <c r="T236" s="186" t="n"/>
      <c r="U236" s="186" t="n"/>
      <c r="V236" s="186" t="n"/>
      <c r="W236" s="186" t="n"/>
      <c r="X236" s="186" t="n"/>
      <c r="Y236" s="186" t="n"/>
      <c r="Z236" s="186" t="n"/>
      <c r="AA236" s="186" t="n"/>
      <c r="AB236" s="186" t="n"/>
    </row>
    <row r="237">
      <c r="A237" s="186" t="n"/>
      <c r="B237" s="186" t="n"/>
      <c r="C237" s="186" t="n"/>
      <c r="D237" s="186" t="n"/>
      <c r="E237" s="186" t="n"/>
      <c r="F237" s="209" t="n"/>
      <c r="G237" s="209" t="n"/>
      <c r="H237" s="209" t="n"/>
      <c r="I237" s="209" t="n"/>
      <c r="J237" s="209" t="n"/>
      <c r="K237" s="186" t="n"/>
      <c r="L237" s="186" t="n"/>
      <c r="M237" s="186" t="n"/>
      <c r="N237" s="186" t="n"/>
      <c r="O237" s="186" t="n"/>
      <c r="P237" s="186" t="n"/>
      <c r="Q237" s="186" t="n"/>
      <c r="R237" s="186" t="n"/>
      <c r="S237" s="186" t="n"/>
      <c r="T237" s="186" t="n"/>
      <c r="U237" s="186" t="n"/>
      <c r="V237" s="186" t="n"/>
      <c r="W237" s="186" t="n"/>
      <c r="X237" s="186" t="n"/>
      <c r="Y237" s="186" t="n"/>
      <c r="Z237" s="186" t="n"/>
      <c r="AA237" s="186" t="n"/>
      <c r="AB237" s="186" t="n"/>
    </row>
    <row r="238">
      <c r="A238" s="186" t="n"/>
      <c r="B238" s="186" t="n"/>
      <c r="C238" s="186" t="n"/>
      <c r="D238" s="186" t="n"/>
      <c r="E238" s="186" t="n"/>
      <c r="F238" s="209" t="n"/>
      <c r="G238" s="209" t="n"/>
      <c r="H238" s="209" t="n"/>
      <c r="I238" s="209" t="n"/>
      <c r="J238" s="209" t="n"/>
      <c r="K238" s="186" t="n"/>
      <c r="L238" s="186" t="n"/>
      <c r="M238" s="186" t="n"/>
      <c r="N238" s="186" t="n"/>
      <c r="O238" s="186" t="n"/>
      <c r="P238" s="186" t="n"/>
      <c r="Q238" s="186" t="n"/>
      <c r="R238" s="186" t="n"/>
      <c r="S238" s="186" t="n"/>
      <c r="T238" s="186" t="n"/>
      <c r="U238" s="186" t="n"/>
      <c r="V238" s="186" t="n"/>
      <c r="W238" s="186" t="n"/>
      <c r="X238" s="186" t="n"/>
      <c r="Y238" s="186" t="n"/>
      <c r="Z238" s="186" t="n"/>
      <c r="AA238" s="186" t="n"/>
      <c r="AB238" s="186" t="n"/>
    </row>
    <row r="239">
      <c r="A239" s="186" t="n"/>
      <c r="B239" s="186" t="n"/>
      <c r="C239" s="186" t="n"/>
      <c r="D239" s="186" t="n"/>
      <c r="E239" s="186" t="n"/>
      <c r="F239" s="209" t="n"/>
      <c r="G239" s="209" t="n"/>
      <c r="H239" s="209" t="n"/>
      <c r="I239" s="209" t="n"/>
      <c r="J239" s="209" t="n"/>
      <c r="K239" s="186" t="n"/>
      <c r="L239" s="186" t="n"/>
      <c r="M239" s="186" t="n"/>
      <c r="N239" s="186" t="n"/>
      <c r="O239" s="186" t="n"/>
      <c r="P239" s="186" t="n"/>
      <c r="Q239" s="186" t="n"/>
      <c r="R239" s="186" t="n"/>
      <c r="S239" s="186" t="n"/>
      <c r="T239" s="186" t="n"/>
      <c r="U239" s="186" t="n"/>
      <c r="V239" s="186" t="n"/>
      <c r="W239" s="186" t="n"/>
      <c r="X239" s="186" t="n"/>
      <c r="Y239" s="186" t="n"/>
      <c r="Z239" s="186" t="n"/>
      <c r="AA239" s="186" t="n"/>
      <c r="AB239" s="186" t="n"/>
    </row>
    <row r="240">
      <c r="A240" s="186" t="n"/>
      <c r="B240" s="186" t="n"/>
      <c r="C240" s="186" t="n"/>
      <c r="D240" s="186" t="n"/>
      <c r="E240" s="186" t="n"/>
      <c r="F240" s="209" t="n"/>
      <c r="G240" s="209" t="n"/>
      <c r="H240" s="209" t="n"/>
      <c r="I240" s="209" t="n"/>
      <c r="J240" s="209" t="n"/>
      <c r="K240" s="186" t="n"/>
      <c r="L240" s="186" t="n"/>
      <c r="M240" s="186" t="n"/>
      <c r="N240" s="186" t="n"/>
      <c r="O240" s="186" t="n"/>
      <c r="P240" s="186" t="n"/>
      <c r="Q240" s="186" t="n"/>
      <c r="R240" s="186" t="n"/>
      <c r="S240" s="186" t="n"/>
      <c r="T240" s="186" t="n"/>
      <c r="U240" s="186" t="n"/>
      <c r="V240" s="186" t="n"/>
      <c r="W240" s="186" t="n"/>
      <c r="X240" s="186" t="n"/>
      <c r="Y240" s="186" t="n"/>
      <c r="Z240" s="186" t="n"/>
      <c r="AA240" s="186" t="n"/>
      <c r="AB240" s="186" t="n"/>
    </row>
    <row r="241">
      <c r="A241" s="186" t="n"/>
      <c r="B241" s="186" t="n"/>
      <c r="C241" s="186" t="n"/>
      <c r="D241" s="186" t="n"/>
      <c r="E241" s="186" t="n"/>
      <c r="F241" s="209" t="n"/>
      <c r="G241" s="209" t="n"/>
      <c r="H241" s="209" t="n"/>
      <c r="I241" s="209" t="n"/>
      <c r="J241" s="209" t="n"/>
      <c r="K241" s="186" t="n"/>
      <c r="L241" s="186" t="n"/>
      <c r="M241" s="186" t="n"/>
      <c r="N241" s="186" t="n"/>
      <c r="O241" s="186" t="n"/>
      <c r="P241" s="186" t="n"/>
      <c r="Q241" s="186" t="n"/>
      <c r="R241" s="186" t="n"/>
      <c r="S241" s="186" t="n"/>
      <c r="T241" s="186" t="n"/>
      <c r="U241" s="186" t="n"/>
      <c r="V241" s="186" t="n"/>
      <c r="W241" s="186" t="n"/>
      <c r="X241" s="186" t="n"/>
      <c r="Y241" s="186" t="n"/>
      <c r="Z241" s="186" t="n"/>
      <c r="AA241" s="186" t="n"/>
      <c r="AB241" s="186" t="n"/>
    </row>
    <row r="242">
      <c r="A242" s="186" t="n"/>
      <c r="B242" s="186" t="n"/>
      <c r="C242" s="186" t="n"/>
      <c r="D242" s="186" t="n"/>
      <c r="E242" s="186" t="n"/>
      <c r="F242" s="209" t="n"/>
      <c r="G242" s="209" t="n"/>
      <c r="H242" s="209" t="n"/>
      <c r="I242" s="209" t="n"/>
      <c r="J242" s="209" t="n"/>
      <c r="K242" s="186" t="n"/>
      <c r="L242" s="186" t="n"/>
      <c r="M242" s="186" t="n"/>
      <c r="N242" s="186" t="n"/>
      <c r="O242" s="186" t="n"/>
      <c r="P242" s="186" t="n"/>
      <c r="Q242" s="186" t="n"/>
      <c r="R242" s="186" t="n"/>
      <c r="S242" s="186" t="n"/>
      <c r="T242" s="186" t="n"/>
      <c r="U242" s="186" t="n"/>
      <c r="V242" s="186" t="n"/>
      <c r="W242" s="186" t="n"/>
      <c r="X242" s="186" t="n"/>
      <c r="Y242" s="186" t="n"/>
      <c r="Z242" s="186" t="n"/>
      <c r="AA242" s="186" t="n"/>
      <c r="AB242" s="186" t="n"/>
    </row>
    <row r="243">
      <c r="A243" s="186" t="n"/>
      <c r="B243" s="186" t="n"/>
      <c r="C243" s="186" t="n"/>
      <c r="D243" s="186" t="n"/>
      <c r="E243" s="186" t="n"/>
      <c r="F243" s="209" t="n"/>
      <c r="G243" s="209" t="n"/>
      <c r="H243" s="209" t="n"/>
      <c r="I243" s="209" t="n"/>
      <c r="J243" s="209" t="n"/>
      <c r="K243" s="186" t="n"/>
      <c r="L243" s="186" t="n"/>
      <c r="M243" s="186" t="n"/>
      <c r="N243" s="186" t="n"/>
      <c r="O243" s="186" t="n"/>
      <c r="P243" s="186" t="n"/>
      <c r="Q243" s="186" t="n"/>
      <c r="R243" s="186" t="n"/>
      <c r="S243" s="186" t="n"/>
      <c r="T243" s="186" t="n"/>
      <c r="U243" s="186" t="n"/>
      <c r="V243" s="186" t="n"/>
      <c r="W243" s="186" t="n"/>
      <c r="X243" s="186" t="n"/>
      <c r="Y243" s="186" t="n"/>
      <c r="Z243" s="186" t="n"/>
      <c r="AA243" s="186" t="n"/>
      <c r="AB243" s="186" t="n"/>
    </row>
    <row r="244">
      <c r="A244" s="186" t="n"/>
      <c r="B244" s="186" t="n"/>
      <c r="C244" s="186" t="n"/>
      <c r="D244" s="186" t="n"/>
      <c r="E244" s="186" t="n"/>
      <c r="F244" s="209" t="n"/>
      <c r="G244" s="209" t="n"/>
      <c r="H244" s="209" t="n"/>
      <c r="I244" s="209" t="n"/>
      <c r="J244" s="209" t="n"/>
      <c r="K244" s="186" t="n"/>
      <c r="L244" s="186" t="n"/>
      <c r="M244" s="186" t="n"/>
      <c r="N244" s="186" t="n"/>
      <c r="O244" s="186" t="n"/>
      <c r="P244" s="186" t="n"/>
      <c r="Q244" s="186" t="n"/>
      <c r="R244" s="186" t="n"/>
      <c r="S244" s="186" t="n"/>
      <c r="T244" s="186" t="n"/>
      <c r="U244" s="186" t="n"/>
      <c r="V244" s="186" t="n"/>
      <c r="W244" s="186" t="n"/>
      <c r="X244" s="186" t="n"/>
      <c r="Y244" s="186" t="n"/>
      <c r="Z244" s="186" t="n"/>
      <c r="AA244" s="186" t="n"/>
      <c r="AB244" s="186" t="n"/>
    </row>
    <row r="245">
      <c r="A245" s="186" t="n"/>
      <c r="B245" s="186" t="n"/>
      <c r="C245" s="186" t="n"/>
      <c r="D245" s="186" t="n"/>
      <c r="E245" s="186" t="n"/>
      <c r="F245" s="209" t="n"/>
      <c r="G245" s="209" t="n"/>
      <c r="H245" s="209" t="n"/>
      <c r="I245" s="209" t="n"/>
      <c r="J245" s="209" t="n"/>
      <c r="K245" s="186" t="n"/>
      <c r="L245" s="186" t="n"/>
      <c r="M245" s="186" t="n"/>
      <c r="N245" s="186" t="n"/>
      <c r="O245" s="186" t="n"/>
      <c r="P245" s="186" t="n"/>
      <c r="Q245" s="186" t="n"/>
      <c r="R245" s="186" t="n"/>
      <c r="S245" s="186" t="n"/>
      <c r="T245" s="186" t="n"/>
      <c r="U245" s="186" t="n"/>
      <c r="V245" s="186" t="n"/>
      <c r="W245" s="186" t="n"/>
      <c r="X245" s="186" t="n"/>
      <c r="Y245" s="186" t="n"/>
      <c r="Z245" s="186" t="n"/>
      <c r="AA245" s="186" t="n"/>
      <c r="AB245" s="186" t="n"/>
    </row>
    <row r="246">
      <c r="A246" s="186" t="n"/>
      <c r="B246" s="186" t="n"/>
      <c r="C246" s="186" t="n"/>
      <c r="D246" s="186" t="n"/>
      <c r="E246" s="186" t="n"/>
      <c r="F246" s="209" t="n"/>
      <c r="G246" s="209" t="n"/>
      <c r="H246" s="209" t="n"/>
      <c r="I246" s="209" t="n"/>
      <c r="J246" s="209" t="n"/>
      <c r="K246" s="186" t="n"/>
      <c r="L246" s="186" t="n"/>
      <c r="M246" s="186" t="n"/>
      <c r="N246" s="186" t="n"/>
      <c r="O246" s="186" t="n"/>
      <c r="P246" s="186" t="n"/>
      <c r="Q246" s="186" t="n"/>
      <c r="R246" s="186" t="n"/>
      <c r="S246" s="186" t="n"/>
      <c r="T246" s="186" t="n"/>
      <c r="U246" s="186" t="n"/>
      <c r="V246" s="186" t="n"/>
      <c r="W246" s="186" t="n"/>
      <c r="X246" s="186" t="n"/>
      <c r="Y246" s="186" t="n"/>
      <c r="Z246" s="186" t="n"/>
      <c r="AA246" s="186" t="n"/>
      <c r="AB246" s="186" t="n"/>
    </row>
    <row r="247">
      <c r="A247" s="186" t="n"/>
      <c r="B247" s="186" t="n"/>
      <c r="C247" s="186" t="n"/>
      <c r="D247" s="186" t="n"/>
      <c r="E247" s="186" t="n"/>
      <c r="F247" s="209" t="n"/>
      <c r="G247" s="209" t="n"/>
      <c r="H247" s="209" t="n"/>
      <c r="I247" s="209" t="n"/>
      <c r="J247" s="209" t="n"/>
      <c r="K247" s="186" t="n"/>
      <c r="L247" s="186" t="n"/>
      <c r="M247" s="186" t="n"/>
      <c r="N247" s="186" t="n"/>
      <c r="O247" s="186" t="n"/>
      <c r="P247" s="186" t="n"/>
      <c r="Q247" s="186" t="n"/>
      <c r="R247" s="186" t="n"/>
      <c r="S247" s="186" t="n"/>
      <c r="T247" s="186" t="n"/>
      <c r="U247" s="186" t="n"/>
      <c r="V247" s="186" t="n"/>
      <c r="W247" s="186" t="n"/>
      <c r="X247" s="186" t="n"/>
      <c r="Y247" s="186" t="n"/>
      <c r="Z247" s="186" t="n"/>
      <c r="AA247" s="186" t="n"/>
      <c r="AB247" s="186" t="n"/>
    </row>
    <row r="248">
      <c r="A248" s="186" t="n"/>
      <c r="B248" s="186" t="n"/>
      <c r="C248" s="186" t="n"/>
      <c r="D248" s="186" t="n"/>
      <c r="E248" s="186" t="n"/>
      <c r="F248" s="209" t="n"/>
      <c r="G248" s="209" t="n"/>
      <c r="H248" s="209" t="n"/>
      <c r="I248" s="209" t="n"/>
      <c r="J248" s="209" t="n"/>
      <c r="K248" s="186" t="n"/>
      <c r="L248" s="186" t="n"/>
      <c r="M248" s="186" t="n"/>
      <c r="N248" s="186" t="n"/>
      <c r="O248" s="186" t="n"/>
      <c r="P248" s="186" t="n"/>
      <c r="Q248" s="186" t="n"/>
      <c r="R248" s="186" t="n"/>
      <c r="S248" s="186" t="n"/>
      <c r="T248" s="186" t="n"/>
      <c r="U248" s="186" t="n"/>
      <c r="V248" s="186" t="n"/>
      <c r="W248" s="186" t="n"/>
      <c r="X248" s="186" t="n"/>
      <c r="Y248" s="186" t="n"/>
      <c r="Z248" s="186" t="n"/>
      <c r="AA248" s="186" t="n"/>
      <c r="AB248" s="186" t="n"/>
    </row>
    <row r="249">
      <c r="A249" s="186" t="n"/>
      <c r="B249" s="186" t="n"/>
      <c r="C249" s="186" t="n"/>
      <c r="D249" s="186" t="n"/>
      <c r="E249" s="186" t="n"/>
      <c r="F249" s="209" t="n"/>
      <c r="G249" s="209" t="n"/>
      <c r="H249" s="209" t="n"/>
      <c r="I249" s="209" t="n"/>
      <c r="J249" s="209" t="n"/>
      <c r="K249" s="186" t="n"/>
      <c r="L249" s="186" t="n"/>
      <c r="M249" s="186" t="n"/>
      <c r="N249" s="186" t="n"/>
      <c r="O249" s="186" t="n"/>
      <c r="P249" s="186" t="n"/>
      <c r="Q249" s="186" t="n"/>
      <c r="R249" s="186" t="n"/>
      <c r="S249" s="186" t="n"/>
      <c r="T249" s="186" t="n"/>
      <c r="U249" s="186" t="n"/>
      <c r="V249" s="186" t="n"/>
      <c r="W249" s="186" t="n"/>
      <c r="X249" s="186" t="n"/>
      <c r="Y249" s="186" t="n"/>
      <c r="Z249" s="186" t="n"/>
      <c r="AA249" s="186" t="n"/>
      <c r="AB249" s="186" t="n"/>
    </row>
    <row r="250">
      <c r="A250" s="186" t="n"/>
      <c r="B250" s="186" t="n"/>
      <c r="C250" s="186" t="n"/>
      <c r="D250" s="186" t="n"/>
      <c r="E250" s="186" t="n"/>
      <c r="F250" s="209" t="n"/>
      <c r="G250" s="209" t="n"/>
      <c r="H250" s="209" t="n"/>
      <c r="I250" s="209" t="n"/>
      <c r="J250" s="209" t="n"/>
      <c r="K250" s="186" t="n"/>
      <c r="L250" s="186" t="n"/>
      <c r="M250" s="186" t="n"/>
      <c r="N250" s="186" t="n"/>
      <c r="O250" s="186" t="n"/>
      <c r="P250" s="186" t="n"/>
      <c r="Q250" s="186" t="n"/>
      <c r="R250" s="186" t="n"/>
      <c r="S250" s="186" t="n"/>
      <c r="T250" s="186" t="n"/>
      <c r="U250" s="186" t="n"/>
      <c r="V250" s="186" t="n"/>
      <c r="W250" s="186" t="n"/>
      <c r="X250" s="186" t="n"/>
      <c r="Y250" s="186" t="n"/>
      <c r="Z250" s="186" t="n"/>
      <c r="AA250" s="186" t="n"/>
      <c r="AB250" s="186" t="n"/>
    </row>
    <row r="251">
      <c r="A251" s="186" t="n"/>
      <c r="B251" s="186" t="n"/>
      <c r="C251" s="186" t="n"/>
      <c r="D251" s="186" t="n"/>
      <c r="E251" s="186" t="n"/>
      <c r="F251" s="209" t="n"/>
      <c r="G251" s="209" t="n"/>
      <c r="H251" s="209" t="n"/>
      <c r="I251" s="209" t="n"/>
      <c r="J251" s="209" t="n"/>
      <c r="K251" s="186" t="n"/>
      <c r="L251" s="186" t="n"/>
      <c r="M251" s="186" t="n"/>
      <c r="N251" s="186" t="n"/>
      <c r="O251" s="186" t="n"/>
      <c r="P251" s="186" t="n"/>
      <c r="Q251" s="186" t="n"/>
      <c r="R251" s="186" t="n"/>
      <c r="S251" s="186" t="n"/>
      <c r="T251" s="186" t="n"/>
      <c r="U251" s="186" t="n"/>
      <c r="V251" s="186" t="n"/>
      <c r="W251" s="186" t="n"/>
      <c r="X251" s="186" t="n"/>
      <c r="Y251" s="186" t="n"/>
      <c r="Z251" s="186" t="n"/>
      <c r="AA251" s="186" t="n"/>
      <c r="AB251" s="186" t="n"/>
    </row>
    <row r="252">
      <c r="A252" s="186" t="n"/>
      <c r="B252" s="186" t="n"/>
      <c r="C252" s="186" t="n"/>
      <c r="D252" s="186" t="n"/>
      <c r="E252" s="186" t="n"/>
      <c r="F252" s="209" t="n"/>
      <c r="G252" s="209" t="n"/>
      <c r="H252" s="209" t="n"/>
      <c r="I252" s="209" t="n"/>
      <c r="J252" s="209" t="n"/>
      <c r="K252" s="186" t="n"/>
      <c r="L252" s="186" t="n"/>
      <c r="M252" s="186" t="n"/>
      <c r="N252" s="186" t="n"/>
      <c r="O252" s="186" t="n"/>
      <c r="P252" s="186" t="n"/>
      <c r="Q252" s="186" t="n"/>
      <c r="R252" s="186" t="n"/>
      <c r="S252" s="186" t="n"/>
      <c r="T252" s="186" t="n"/>
      <c r="U252" s="186" t="n"/>
      <c r="V252" s="186" t="n"/>
      <c r="W252" s="186" t="n"/>
      <c r="X252" s="186" t="n"/>
      <c r="Y252" s="186" t="n"/>
      <c r="Z252" s="186" t="n"/>
      <c r="AA252" s="186" t="n"/>
      <c r="AB252" s="186" t="n"/>
    </row>
    <row r="253">
      <c r="A253" s="186" t="n"/>
      <c r="B253" s="186" t="n"/>
      <c r="C253" s="186" t="n"/>
      <c r="D253" s="186" t="n"/>
      <c r="E253" s="186" t="n"/>
      <c r="F253" s="209" t="n"/>
      <c r="G253" s="209" t="n"/>
      <c r="H253" s="209" t="n"/>
      <c r="I253" s="209" t="n"/>
      <c r="J253" s="209" t="n"/>
      <c r="K253" s="186" t="n"/>
      <c r="L253" s="186" t="n"/>
      <c r="M253" s="186" t="n"/>
      <c r="N253" s="186" t="n"/>
      <c r="O253" s="186" t="n"/>
      <c r="P253" s="186" t="n"/>
      <c r="Q253" s="186" t="n"/>
      <c r="R253" s="186" t="n"/>
      <c r="S253" s="186" t="n"/>
      <c r="T253" s="186" t="n"/>
      <c r="U253" s="186" t="n"/>
      <c r="V253" s="186" t="n"/>
      <c r="W253" s="186" t="n"/>
      <c r="X253" s="186" t="n"/>
      <c r="Y253" s="186" t="n"/>
      <c r="Z253" s="186" t="n"/>
      <c r="AA253" s="186" t="n"/>
      <c r="AB253" s="186" t="n"/>
    </row>
    <row r="254">
      <c r="A254" s="186" t="n"/>
      <c r="B254" s="186" t="n"/>
      <c r="C254" s="186" t="n"/>
      <c r="D254" s="186" t="n"/>
      <c r="E254" s="186" t="n"/>
      <c r="F254" s="209" t="n"/>
      <c r="G254" s="209" t="n"/>
      <c r="H254" s="209" t="n"/>
      <c r="I254" s="209" t="n"/>
      <c r="J254" s="209" t="n"/>
      <c r="K254" s="186" t="n"/>
      <c r="L254" s="186" t="n"/>
      <c r="M254" s="186" t="n"/>
      <c r="N254" s="186" t="n"/>
      <c r="O254" s="186" t="n"/>
      <c r="P254" s="186" t="n"/>
      <c r="Q254" s="186" t="n"/>
      <c r="R254" s="186" t="n"/>
      <c r="S254" s="186" t="n"/>
      <c r="T254" s="186" t="n"/>
      <c r="U254" s="186" t="n"/>
      <c r="V254" s="186" t="n"/>
      <c r="W254" s="186" t="n"/>
      <c r="X254" s="186" t="n"/>
      <c r="Y254" s="186" t="n"/>
      <c r="Z254" s="186" t="n"/>
      <c r="AA254" s="186" t="n"/>
      <c r="AB254" s="186" t="n"/>
    </row>
    <row r="255">
      <c r="A255" s="186" t="n"/>
      <c r="B255" s="186" t="n"/>
      <c r="C255" s="186" t="n"/>
      <c r="D255" s="186" t="n"/>
      <c r="E255" s="186" t="n"/>
      <c r="F255" s="209" t="n"/>
      <c r="G255" s="209" t="n"/>
      <c r="H255" s="209" t="n"/>
      <c r="I255" s="209" t="n"/>
      <c r="J255" s="209" t="n"/>
      <c r="K255" s="186" t="n"/>
      <c r="L255" s="186" t="n"/>
      <c r="M255" s="186" t="n"/>
      <c r="N255" s="186" t="n"/>
      <c r="O255" s="186" t="n"/>
      <c r="P255" s="186" t="n"/>
      <c r="Q255" s="186" t="n"/>
      <c r="R255" s="186" t="n"/>
      <c r="S255" s="186" t="n"/>
      <c r="T255" s="186" t="n"/>
      <c r="U255" s="186" t="n"/>
      <c r="V255" s="186" t="n"/>
      <c r="W255" s="186" t="n"/>
      <c r="X255" s="186" t="n"/>
      <c r="Y255" s="186" t="n"/>
      <c r="Z255" s="186" t="n"/>
      <c r="AA255" s="186" t="n"/>
      <c r="AB255" s="186" t="n"/>
    </row>
    <row r="256">
      <c r="A256" s="186" t="n"/>
      <c r="B256" s="186" t="n"/>
      <c r="C256" s="186" t="n"/>
      <c r="D256" s="186" t="n"/>
      <c r="E256" s="186" t="n"/>
      <c r="F256" s="209" t="n"/>
      <c r="G256" s="209" t="n"/>
      <c r="H256" s="209" t="n"/>
      <c r="I256" s="209" t="n"/>
      <c r="J256" s="209" t="n"/>
      <c r="K256" s="186" t="n"/>
      <c r="L256" s="186" t="n"/>
      <c r="M256" s="186" t="n"/>
      <c r="N256" s="186" t="n"/>
      <c r="O256" s="186" t="n"/>
      <c r="P256" s="186" t="n"/>
      <c r="Q256" s="186" t="n"/>
      <c r="R256" s="186" t="n"/>
      <c r="S256" s="186" t="n"/>
      <c r="T256" s="186" t="n"/>
      <c r="U256" s="186" t="n"/>
      <c r="V256" s="186" t="n"/>
      <c r="W256" s="186" t="n"/>
      <c r="X256" s="186" t="n"/>
      <c r="Y256" s="186" t="n"/>
      <c r="Z256" s="186" t="n"/>
      <c r="AA256" s="186" t="n"/>
      <c r="AB256" s="186" t="n"/>
    </row>
    <row r="257">
      <c r="A257" s="186" t="n"/>
      <c r="B257" s="186" t="n"/>
      <c r="C257" s="186" t="n"/>
      <c r="D257" s="186" t="n"/>
      <c r="E257" s="186" t="n"/>
      <c r="F257" s="209" t="n"/>
      <c r="G257" s="209" t="n"/>
      <c r="H257" s="209" t="n"/>
      <c r="I257" s="209" t="n"/>
      <c r="J257" s="209" t="n"/>
      <c r="K257" s="186" t="n"/>
      <c r="L257" s="186" t="n"/>
      <c r="M257" s="186" t="n"/>
      <c r="N257" s="186" t="n"/>
      <c r="O257" s="186" t="n"/>
      <c r="P257" s="186" t="n"/>
      <c r="Q257" s="186" t="n"/>
      <c r="R257" s="186" t="n"/>
      <c r="S257" s="186" t="n"/>
      <c r="T257" s="186" t="n"/>
      <c r="U257" s="186" t="n"/>
      <c r="V257" s="186" t="n"/>
      <c r="W257" s="186" t="n"/>
      <c r="X257" s="186" t="n"/>
      <c r="Y257" s="186" t="n"/>
      <c r="Z257" s="186" t="n"/>
      <c r="AA257" s="186" t="n"/>
      <c r="AB257" s="186" t="n"/>
    </row>
    <row r="258">
      <c r="A258" s="186" t="n"/>
      <c r="B258" s="186" t="n"/>
      <c r="C258" s="186" t="n"/>
      <c r="D258" s="186" t="n"/>
      <c r="E258" s="186" t="n"/>
      <c r="F258" s="209" t="n"/>
      <c r="G258" s="209" t="n"/>
      <c r="H258" s="209" t="n"/>
      <c r="I258" s="209" t="n"/>
      <c r="J258" s="209" t="n"/>
      <c r="K258" s="186" t="n"/>
      <c r="L258" s="186" t="n"/>
      <c r="M258" s="186" t="n"/>
      <c r="N258" s="186" t="n"/>
      <c r="O258" s="186" t="n"/>
      <c r="P258" s="186" t="n"/>
      <c r="Q258" s="186" t="n"/>
      <c r="R258" s="186" t="n"/>
      <c r="S258" s="186" t="n"/>
      <c r="T258" s="186" t="n"/>
      <c r="U258" s="186" t="n"/>
      <c r="V258" s="186" t="n"/>
      <c r="W258" s="186" t="n"/>
      <c r="X258" s="186" t="n"/>
      <c r="Y258" s="186" t="n"/>
      <c r="Z258" s="186" t="n"/>
      <c r="AA258" s="186" t="n"/>
      <c r="AB258" s="186" t="n"/>
    </row>
    <row r="259">
      <c r="A259" s="186" t="n"/>
      <c r="B259" s="186" t="n"/>
      <c r="C259" s="186" t="n"/>
      <c r="D259" s="186" t="n"/>
      <c r="E259" s="186" t="n"/>
      <c r="F259" s="209" t="n"/>
      <c r="G259" s="209" t="n"/>
      <c r="H259" s="209" t="n"/>
      <c r="I259" s="209" t="n"/>
      <c r="J259" s="209" t="n"/>
      <c r="K259" s="186" t="n"/>
      <c r="L259" s="186" t="n"/>
      <c r="M259" s="186" t="n"/>
      <c r="N259" s="186" t="n"/>
      <c r="O259" s="186" t="n"/>
      <c r="P259" s="186" t="n"/>
      <c r="Q259" s="186" t="n"/>
      <c r="R259" s="186" t="n"/>
      <c r="S259" s="186" t="n"/>
      <c r="T259" s="186" t="n"/>
      <c r="U259" s="186" t="n"/>
      <c r="V259" s="186" t="n"/>
      <c r="W259" s="186" t="n"/>
      <c r="X259" s="186" t="n"/>
      <c r="Y259" s="186" t="n"/>
      <c r="Z259" s="186" t="n"/>
      <c r="AA259" s="186" t="n"/>
      <c r="AB259" s="186" t="n"/>
    </row>
    <row r="260">
      <c r="A260" s="186" t="n"/>
      <c r="B260" s="186" t="n"/>
      <c r="C260" s="186" t="n"/>
      <c r="D260" s="186" t="n"/>
      <c r="E260" s="186" t="n"/>
      <c r="F260" s="209" t="n"/>
      <c r="G260" s="209" t="n"/>
      <c r="H260" s="209" t="n"/>
      <c r="I260" s="209" t="n"/>
      <c r="J260" s="209" t="n"/>
      <c r="K260" s="186" t="n"/>
      <c r="L260" s="186" t="n"/>
      <c r="M260" s="186" t="n"/>
      <c r="N260" s="186" t="n"/>
      <c r="O260" s="186" t="n"/>
      <c r="P260" s="186" t="n"/>
      <c r="Q260" s="186" t="n"/>
      <c r="R260" s="186" t="n"/>
      <c r="S260" s="186" t="n"/>
      <c r="T260" s="186" t="n"/>
      <c r="U260" s="186" t="n"/>
      <c r="V260" s="186" t="n"/>
      <c r="W260" s="186" t="n"/>
      <c r="X260" s="186" t="n"/>
      <c r="Y260" s="186" t="n"/>
      <c r="Z260" s="186" t="n"/>
      <c r="AA260" s="186" t="n"/>
      <c r="AB260" s="186" t="n"/>
    </row>
    <row r="261">
      <c r="A261" s="186" t="n"/>
      <c r="B261" s="186" t="n"/>
      <c r="C261" s="186" t="n"/>
      <c r="D261" s="186" t="n"/>
      <c r="E261" s="186" t="n"/>
      <c r="F261" s="209" t="n"/>
      <c r="G261" s="209" t="n"/>
      <c r="H261" s="209" t="n"/>
      <c r="I261" s="209" t="n"/>
      <c r="J261" s="209" t="n"/>
      <c r="K261" s="186" t="n"/>
      <c r="L261" s="186" t="n"/>
      <c r="M261" s="186" t="n"/>
      <c r="N261" s="186" t="n"/>
      <c r="O261" s="186" t="n"/>
      <c r="P261" s="186" t="n"/>
      <c r="Q261" s="186" t="n"/>
      <c r="R261" s="186" t="n"/>
      <c r="S261" s="186" t="n"/>
      <c r="T261" s="186" t="n"/>
      <c r="U261" s="186" t="n"/>
      <c r="V261" s="186" t="n"/>
      <c r="W261" s="186" t="n"/>
      <c r="X261" s="186" t="n"/>
      <c r="Y261" s="186" t="n"/>
      <c r="Z261" s="186" t="n"/>
      <c r="AA261" s="186" t="n"/>
      <c r="AB261" s="186" t="n"/>
    </row>
    <row r="262">
      <c r="A262" s="186" t="n"/>
      <c r="B262" s="186" t="n"/>
      <c r="C262" s="186" t="n"/>
      <c r="D262" s="186" t="n"/>
      <c r="E262" s="186" t="n"/>
      <c r="F262" s="209" t="n"/>
      <c r="G262" s="209" t="n"/>
      <c r="H262" s="209" t="n"/>
      <c r="I262" s="209" t="n"/>
      <c r="J262" s="209" t="n"/>
      <c r="K262" s="186" t="n"/>
      <c r="L262" s="186" t="n"/>
      <c r="M262" s="186" t="n"/>
      <c r="N262" s="186" t="n"/>
      <c r="O262" s="186" t="n"/>
      <c r="P262" s="186" t="n"/>
      <c r="Q262" s="186" t="n"/>
      <c r="R262" s="186" t="n"/>
      <c r="S262" s="186" t="n"/>
      <c r="T262" s="186" t="n"/>
      <c r="U262" s="186" t="n"/>
      <c r="V262" s="186" t="n"/>
      <c r="W262" s="186" t="n"/>
      <c r="X262" s="186" t="n"/>
      <c r="Y262" s="186" t="n"/>
      <c r="Z262" s="186" t="n"/>
      <c r="AA262" s="186" t="n"/>
      <c r="AB262" s="186" t="n"/>
    </row>
    <row r="263">
      <c r="A263" s="186" t="n"/>
      <c r="B263" s="186" t="n"/>
      <c r="C263" s="186" t="n"/>
      <c r="D263" s="186" t="n"/>
      <c r="E263" s="186" t="n"/>
      <c r="F263" s="209" t="n"/>
      <c r="G263" s="209" t="n"/>
      <c r="H263" s="209" t="n"/>
      <c r="I263" s="209" t="n"/>
      <c r="J263" s="209" t="n"/>
      <c r="K263" s="186" t="n"/>
      <c r="L263" s="186" t="n"/>
      <c r="M263" s="186" t="n"/>
      <c r="N263" s="186" t="n"/>
      <c r="O263" s="186" t="n"/>
      <c r="P263" s="186" t="n"/>
      <c r="Q263" s="186" t="n"/>
      <c r="R263" s="186" t="n"/>
      <c r="S263" s="186" t="n"/>
      <c r="T263" s="186" t="n"/>
      <c r="U263" s="186" t="n"/>
      <c r="V263" s="186" t="n"/>
      <c r="W263" s="186" t="n"/>
      <c r="X263" s="186" t="n"/>
      <c r="Y263" s="186" t="n"/>
      <c r="Z263" s="186" t="n"/>
      <c r="AA263" s="186" t="n"/>
      <c r="AB263" s="186" t="n"/>
    </row>
    <row r="264">
      <c r="A264" s="186" t="n"/>
      <c r="B264" s="186" t="n"/>
      <c r="C264" s="186" t="n"/>
      <c r="D264" s="186" t="n"/>
      <c r="E264" s="186" t="n"/>
      <c r="F264" s="209" t="n"/>
      <c r="G264" s="209" t="n"/>
      <c r="H264" s="209" t="n"/>
      <c r="I264" s="209" t="n"/>
      <c r="J264" s="209" t="n"/>
      <c r="K264" s="186" t="n"/>
      <c r="L264" s="186" t="n"/>
      <c r="M264" s="186" t="n"/>
      <c r="N264" s="186" t="n"/>
      <c r="O264" s="186" t="n"/>
      <c r="P264" s="186" t="n"/>
      <c r="Q264" s="186" t="n"/>
      <c r="R264" s="186" t="n"/>
      <c r="S264" s="186" t="n"/>
      <c r="T264" s="186" t="n"/>
      <c r="U264" s="186" t="n"/>
      <c r="V264" s="186" t="n"/>
      <c r="W264" s="186" t="n"/>
      <c r="X264" s="186" t="n"/>
      <c r="Y264" s="186" t="n"/>
      <c r="Z264" s="186" t="n"/>
      <c r="AA264" s="186" t="n"/>
      <c r="AB264" s="186" t="n"/>
    </row>
    <row r="265">
      <c r="A265" s="186" t="n"/>
      <c r="B265" s="186" t="n"/>
      <c r="C265" s="186" t="n"/>
      <c r="D265" s="186" t="n"/>
      <c r="E265" s="186" t="n"/>
      <c r="F265" s="209" t="n"/>
      <c r="G265" s="209" t="n"/>
      <c r="H265" s="209" t="n"/>
      <c r="I265" s="209" t="n"/>
      <c r="J265" s="209" t="n"/>
      <c r="K265" s="186" t="n"/>
      <c r="L265" s="186" t="n"/>
      <c r="M265" s="186" t="n"/>
      <c r="N265" s="186" t="n"/>
      <c r="O265" s="186" t="n"/>
      <c r="P265" s="186" t="n"/>
      <c r="Q265" s="186" t="n"/>
      <c r="R265" s="186" t="n"/>
      <c r="S265" s="186" t="n"/>
      <c r="T265" s="186" t="n"/>
      <c r="U265" s="186" t="n"/>
      <c r="V265" s="186" t="n"/>
      <c r="W265" s="186" t="n"/>
      <c r="X265" s="186" t="n"/>
      <c r="Y265" s="186" t="n"/>
      <c r="Z265" s="186" t="n"/>
      <c r="AA265" s="186" t="n"/>
      <c r="AB265" s="186" t="n"/>
    </row>
    <row r="266">
      <c r="A266" s="186" t="n"/>
      <c r="B266" s="186" t="n"/>
      <c r="C266" s="186" t="n"/>
      <c r="D266" s="186" t="n"/>
      <c r="E266" s="186" t="n"/>
      <c r="F266" s="209" t="n"/>
      <c r="G266" s="209" t="n"/>
      <c r="H266" s="209" t="n"/>
      <c r="I266" s="209" t="n"/>
      <c r="J266" s="209" t="n"/>
      <c r="K266" s="186" t="n"/>
      <c r="L266" s="186" t="n"/>
      <c r="M266" s="186" t="n"/>
      <c r="N266" s="186" t="n"/>
      <c r="O266" s="186" t="n"/>
      <c r="P266" s="186" t="n"/>
      <c r="Q266" s="186" t="n"/>
      <c r="R266" s="186" t="n"/>
      <c r="S266" s="186" t="n"/>
      <c r="T266" s="186" t="n"/>
      <c r="U266" s="186" t="n"/>
      <c r="V266" s="186" t="n"/>
      <c r="W266" s="186" t="n"/>
      <c r="X266" s="186" t="n"/>
      <c r="Y266" s="186" t="n"/>
      <c r="Z266" s="186" t="n"/>
      <c r="AA266" s="186" t="n"/>
      <c r="AB266" s="186" t="n"/>
    </row>
    <row r="267">
      <c r="A267" s="186" t="n"/>
      <c r="B267" s="186" t="n"/>
      <c r="C267" s="186" t="n"/>
      <c r="D267" s="186" t="n"/>
      <c r="E267" s="186" t="n"/>
      <c r="F267" s="209" t="n"/>
      <c r="G267" s="209" t="n"/>
      <c r="H267" s="209" t="n"/>
      <c r="I267" s="209" t="n"/>
      <c r="J267" s="209" t="n"/>
      <c r="K267" s="186" t="n"/>
      <c r="L267" s="186" t="n"/>
      <c r="M267" s="186" t="n"/>
      <c r="N267" s="186" t="n"/>
      <c r="O267" s="186" t="n"/>
      <c r="P267" s="186" t="n"/>
      <c r="Q267" s="186" t="n"/>
      <c r="R267" s="186" t="n"/>
      <c r="S267" s="186" t="n"/>
      <c r="T267" s="186" t="n"/>
      <c r="U267" s="186" t="n"/>
      <c r="V267" s="186" t="n"/>
      <c r="W267" s="186" t="n"/>
      <c r="X267" s="186" t="n"/>
      <c r="Y267" s="186" t="n"/>
      <c r="Z267" s="186" t="n"/>
      <c r="AA267" s="186" t="n"/>
      <c r="AB267" s="186" t="n"/>
    </row>
    <row r="268">
      <c r="A268" s="186" t="n"/>
      <c r="B268" s="186" t="n"/>
      <c r="C268" s="186" t="n"/>
      <c r="D268" s="186" t="n"/>
      <c r="E268" s="186" t="n"/>
      <c r="F268" s="209" t="n"/>
      <c r="G268" s="209" t="n"/>
      <c r="H268" s="209" t="n"/>
      <c r="I268" s="209" t="n"/>
      <c r="J268" s="209" t="n"/>
      <c r="K268" s="186" t="n"/>
      <c r="L268" s="186" t="n"/>
      <c r="M268" s="186" t="n"/>
      <c r="N268" s="186" t="n"/>
      <c r="O268" s="186" t="n"/>
      <c r="P268" s="186" t="n"/>
      <c r="Q268" s="186" t="n"/>
      <c r="R268" s="186" t="n"/>
      <c r="S268" s="186" t="n"/>
      <c r="T268" s="186" t="n"/>
      <c r="U268" s="186" t="n"/>
      <c r="V268" s="186" t="n"/>
      <c r="W268" s="186" t="n"/>
      <c r="X268" s="186" t="n"/>
      <c r="Y268" s="186" t="n"/>
      <c r="Z268" s="186" t="n"/>
      <c r="AA268" s="186" t="n"/>
      <c r="AB268" s="186" t="n"/>
    </row>
    <row r="269">
      <c r="A269" s="186" t="n"/>
      <c r="B269" s="186" t="n"/>
      <c r="C269" s="186" t="n"/>
      <c r="D269" s="186" t="n"/>
      <c r="E269" s="186" t="n"/>
      <c r="F269" s="209" t="n"/>
      <c r="G269" s="209" t="n"/>
      <c r="H269" s="209" t="n"/>
      <c r="I269" s="209" t="n"/>
      <c r="J269" s="209" t="n"/>
      <c r="K269" s="186" t="n"/>
      <c r="L269" s="186" t="n"/>
      <c r="M269" s="186" t="n"/>
      <c r="N269" s="186" t="n"/>
      <c r="O269" s="186" t="n"/>
      <c r="P269" s="186" t="n"/>
      <c r="Q269" s="186" t="n"/>
      <c r="R269" s="186" t="n"/>
      <c r="S269" s="186" t="n"/>
      <c r="T269" s="186" t="n"/>
      <c r="U269" s="186" t="n"/>
      <c r="V269" s="186" t="n"/>
      <c r="W269" s="186" t="n"/>
      <c r="X269" s="186" t="n"/>
      <c r="Y269" s="186" t="n"/>
      <c r="Z269" s="186" t="n"/>
      <c r="AA269" s="186" t="n"/>
      <c r="AB269" s="186" t="n"/>
    </row>
    <row r="270">
      <c r="A270" s="186" t="n"/>
      <c r="B270" s="186" t="n"/>
      <c r="C270" s="186" t="n"/>
      <c r="D270" s="186" t="n"/>
      <c r="E270" s="186" t="n"/>
      <c r="F270" s="209" t="n"/>
      <c r="G270" s="209" t="n"/>
      <c r="H270" s="209" t="n"/>
      <c r="I270" s="209" t="n"/>
      <c r="J270" s="209" t="n"/>
      <c r="K270" s="186" t="n"/>
      <c r="L270" s="186" t="n"/>
      <c r="M270" s="186" t="n"/>
      <c r="N270" s="186" t="n"/>
      <c r="O270" s="186" t="n"/>
      <c r="P270" s="186" t="n"/>
      <c r="Q270" s="186" t="n"/>
      <c r="R270" s="186" t="n"/>
      <c r="S270" s="186" t="n"/>
      <c r="T270" s="186" t="n"/>
      <c r="U270" s="186" t="n"/>
      <c r="V270" s="186" t="n"/>
      <c r="W270" s="186" t="n"/>
      <c r="X270" s="186" t="n"/>
      <c r="Y270" s="186" t="n"/>
      <c r="Z270" s="186" t="n"/>
      <c r="AA270" s="186" t="n"/>
      <c r="AB270" s="186" t="n"/>
    </row>
    <row r="271">
      <c r="A271" s="186" t="n"/>
      <c r="B271" s="186" t="n"/>
      <c r="C271" s="186" t="n"/>
      <c r="D271" s="186" t="n"/>
      <c r="E271" s="186" t="n"/>
      <c r="F271" s="209" t="n"/>
      <c r="G271" s="209" t="n"/>
      <c r="H271" s="209" t="n"/>
      <c r="I271" s="209" t="n"/>
      <c r="J271" s="209" t="n"/>
      <c r="K271" s="186" t="n"/>
      <c r="L271" s="186" t="n"/>
      <c r="M271" s="186" t="n"/>
      <c r="N271" s="186" t="n"/>
      <c r="O271" s="186" t="n"/>
      <c r="P271" s="186" t="n"/>
      <c r="Q271" s="186" t="n"/>
      <c r="R271" s="186" t="n"/>
      <c r="S271" s="186" t="n"/>
      <c r="T271" s="186" t="n"/>
      <c r="U271" s="186" t="n"/>
      <c r="V271" s="186" t="n"/>
      <c r="W271" s="186" t="n"/>
      <c r="X271" s="186" t="n"/>
      <c r="Y271" s="186" t="n"/>
      <c r="Z271" s="186" t="n"/>
      <c r="AA271" s="186" t="n"/>
      <c r="AB271" s="186" t="n"/>
    </row>
    <row r="272">
      <c r="A272" s="186" t="n"/>
      <c r="B272" s="186" t="n"/>
      <c r="C272" s="186" t="n"/>
      <c r="D272" s="186" t="n"/>
      <c r="E272" s="186" t="n"/>
      <c r="F272" s="209" t="n"/>
      <c r="G272" s="209" t="n"/>
      <c r="H272" s="209" t="n"/>
      <c r="I272" s="209" t="n"/>
      <c r="J272" s="209" t="n"/>
      <c r="K272" s="186" t="n"/>
      <c r="L272" s="186" t="n"/>
      <c r="M272" s="186" t="n"/>
      <c r="N272" s="186" t="n"/>
      <c r="O272" s="186" t="n"/>
      <c r="P272" s="186" t="n"/>
      <c r="Q272" s="186" t="n"/>
      <c r="R272" s="186" t="n"/>
      <c r="S272" s="186" t="n"/>
      <c r="T272" s="186" t="n"/>
      <c r="U272" s="186" t="n"/>
      <c r="V272" s="186" t="n"/>
      <c r="W272" s="186" t="n"/>
      <c r="X272" s="186" t="n"/>
      <c r="Y272" s="186" t="n"/>
      <c r="Z272" s="186" t="n"/>
      <c r="AA272" s="186" t="n"/>
      <c r="AB272" s="186" t="n"/>
    </row>
    <row r="273">
      <c r="A273" s="186" t="n"/>
      <c r="B273" s="186" t="n"/>
      <c r="C273" s="186" t="n"/>
      <c r="D273" s="186" t="n"/>
      <c r="E273" s="186" t="n"/>
      <c r="F273" s="209" t="n"/>
      <c r="G273" s="209" t="n"/>
      <c r="H273" s="209" t="n"/>
      <c r="I273" s="209" t="n"/>
      <c r="J273" s="209" t="n"/>
      <c r="K273" s="186" t="n"/>
      <c r="L273" s="186" t="n"/>
      <c r="M273" s="186" t="n"/>
      <c r="N273" s="186" t="n"/>
      <c r="O273" s="186" t="n"/>
      <c r="P273" s="186" t="n"/>
      <c r="Q273" s="186" t="n"/>
      <c r="R273" s="186" t="n"/>
      <c r="S273" s="186" t="n"/>
      <c r="T273" s="186" t="n"/>
      <c r="U273" s="186" t="n"/>
      <c r="V273" s="186" t="n"/>
      <c r="W273" s="186" t="n"/>
      <c r="X273" s="186" t="n"/>
      <c r="Y273" s="186" t="n"/>
      <c r="Z273" s="186" t="n"/>
      <c r="AA273" s="186" t="n"/>
      <c r="AB273" s="186" t="n"/>
    </row>
    <row r="274">
      <c r="A274" s="186" t="n"/>
      <c r="B274" s="186" t="n"/>
      <c r="C274" s="186" t="n"/>
      <c r="D274" s="186" t="n"/>
      <c r="E274" s="186" t="n"/>
      <c r="F274" s="209" t="n"/>
      <c r="G274" s="209" t="n"/>
      <c r="H274" s="209" t="n"/>
      <c r="I274" s="209" t="n"/>
      <c r="J274" s="209" t="n"/>
      <c r="K274" s="186" t="n"/>
      <c r="L274" s="186" t="n"/>
      <c r="M274" s="186" t="n"/>
      <c r="N274" s="186" t="n"/>
      <c r="O274" s="186" t="n"/>
      <c r="P274" s="186" t="n"/>
      <c r="Q274" s="186" t="n"/>
      <c r="R274" s="186" t="n"/>
      <c r="S274" s="186" t="n"/>
      <c r="T274" s="186" t="n"/>
      <c r="U274" s="186" t="n"/>
      <c r="V274" s="186" t="n"/>
      <c r="W274" s="186" t="n"/>
      <c r="X274" s="186" t="n"/>
      <c r="Y274" s="186" t="n"/>
      <c r="Z274" s="186" t="n"/>
      <c r="AA274" s="186" t="n"/>
      <c r="AB274" s="186" t="n"/>
    </row>
    <row r="275">
      <c r="A275" s="186" t="n"/>
      <c r="B275" s="186" t="n"/>
      <c r="C275" s="186" t="n"/>
      <c r="D275" s="186" t="n"/>
      <c r="E275" s="186" t="n"/>
      <c r="F275" s="209" t="n"/>
      <c r="G275" s="209" t="n"/>
      <c r="H275" s="209" t="n"/>
      <c r="I275" s="209" t="n"/>
      <c r="J275" s="209" t="n"/>
      <c r="K275" s="186" t="n"/>
      <c r="L275" s="186" t="n"/>
      <c r="M275" s="186" t="n"/>
      <c r="N275" s="186" t="n"/>
      <c r="O275" s="186" t="n"/>
      <c r="P275" s="186" t="n"/>
      <c r="Q275" s="186" t="n"/>
      <c r="R275" s="186" t="n"/>
      <c r="S275" s="186" t="n"/>
      <c r="T275" s="186" t="n"/>
      <c r="U275" s="186" t="n"/>
      <c r="V275" s="186" t="n"/>
      <c r="W275" s="186" t="n"/>
      <c r="X275" s="186" t="n"/>
      <c r="Y275" s="186" t="n"/>
      <c r="Z275" s="186" t="n"/>
      <c r="AA275" s="186" t="n"/>
      <c r="AB275" s="186" t="n"/>
    </row>
    <row r="276">
      <c r="A276" s="186" t="n"/>
      <c r="B276" s="186" t="n"/>
      <c r="C276" s="186" t="n"/>
      <c r="D276" s="186" t="n"/>
      <c r="E276" s="186" t="n"/>
      <c r="F276" s="209" t="n"/>
      <c r="G276" s="209" t="n"/>
      <c r="H276" s="209" t="n"/>
      <c r="I276" s="209" t="n"/>
      <c r="J276" s="209" t="n"/>
      <c r="K276" s="186" t="n"/>
      <c r="L276" s="186" t="n"/>
      <c r="M276" s="186" t="n"/>
      <c r="N276" s="186" t="n"/>
      <c r="O276" s="186" t="n"/>
      <c r="P276" s="186" t="n"/>
      <c r="Q276" s="186" t="n"/>
      <c r="R276" s="186" t="n"/>
      <c r="S276" s="186" t="n"/>
      <c r="T276" s="186" t="n"/>
      <c r="U276" s="186" t="n"/>
      <c r="V276" s="186" t="n"/>
      <c r="W276" s="186" t="n"/>
      <c r="X276" s="186" t="n"/>
      <c r="Y276" s="186" t="n"/>
      <c r="Z276" s="186" t="n"/>
      <c r="AA276" s="186" t="n"/>
      <c r="AB276" s="186" t="n"/>
    </row>
    <row r="277">
      <c r="A277" s="186" t="n"/>
      <c r="B277" s="186" t="n"/>
      <c r="C277" s="186" t="n"/>
      <c r="D277" s="186" t="n"/>
      <c r="E277" s="186" t="n"/>
      <c r="F277" s="209" t="n"/>
      <c r="G277" s="209" t="n"/>
      <c r="H277" s="209" t="n"/>
      <c r="I277" s="209" t="n"/>
      <c r="J277" s="209" t="n"/>
      <c r="K277" s="186" t="n"/>
      <c r="L277" s="186" t="n"/>
      <c r="M277" s="186" t="n"/>
      <c r="N277" s="186" t="n"/>
      <c r="O277" s="186" t="n"/>
      <c r="P277" s="186" t="n"/>
      <c r="Q277" s="186" t="n"/>
      <c r="R277" s="186" t="n"/>
      <c r="S277" s="186" t="n"/>
      <c r="T277" s="186" t="n"/>
      <c r="U277" s="186" t="n"/>
      <c r="V277" s="186" t="n"/>
      <c r="W277" s="186" t="n"/>
      <c r="X277" s="186" t="n"/>
      <c r="Y277" s="186" t="n"/>
      <c r="Z277" s="186" t="n"/>
      <c r="AA277" s="186" t="n"/>
      <c r="AB277" s="186" t="n"/>
    </row>
    <row r="278">
      <c r="A278" s="186" t="n"/>
      <c r="B278" s="186" t="n"/>
      <c r="C278" s="186" t="n"/>
      <c r="D278" s="186" t="n"/>
      <c r="E278" s="186" t="n"/>
      <c r="F278" s="209" t="n"/>
      <c r="G278" s="209" t="n"/>
      <c r="H278" s="209" t="n"/>
      <c r="I278" s="209" t="n"/>
      <c r="J278" s="209" t="n"/>
      <c r="K278" s="186" t="n"/>
      <c r="L278" s="186" t="n"/>
      <c r="M278" s="186" t="n"/>
      <c r="N278" s="186" t="n"/>
      <c r="O278" s="186" t="n"/>
      <c r="P278" s="186" t="n"/>
      <c r="Q278" s="186" t="n"/>
      <c r="R278" s="186" t="n"/>
      <c r="S278" s="186" t="n"/>
      <c r="T278" s="186" t="n"/>
      <c r="U278" s="186" t="n"/>
      <c r="V278" s="186" t="n"/>
      <c r="W278" s="186" t="n"/>
      <c r="X278" s="186" t="n"/>
      <c r="Y278" s="186" t="n"/>
      <c r="Z278" s="186" t="n"/>
      <c r="AA278" s="186" t="n"/>
      <c r="AB278" s="186" t="n"/>
    </row>
    <row r="279">
      <c r="A279" s="186" t="n"/>
      <c r="B279" s="186" t="n"/>
      <c r="C279" s="186" t="n"/>
      <c r="D279" s="186" t="n"/>
      <c r="E279" s="186" t="n"/>
      <c r="F279" s="209" t="n"/>
      <c r="G279" s="209" t="n"/>
      <c r="H279" s="209" t="n"/>
      <c r="I279" s="209" t="n"/>
      <c r="J279" s="209" t="n"/>
      <c r="K279" s="186" t="n"/>
      <c r="L279" s="186" t="n"/>
      <c r="M279" s="186" t="n"/>
      <c r="N279" s="186" t="n"/>
      <c r="O279" s="186" t="n"/>
      <c r="P279" s="186" t="n"/>
      <c r="Q279" s="186" t="n"/>
      <c r="R279" s="186" t="n"/>
      <c r="S279" s="186" t="n"/>
      <c r="T279" s="186" t="n"/>
      <c r="U279" s="186" t="n"/>
      <c r="V279" s="186" t="n"/>
      <c r="W279" s="186" t="n"/>
      <c r="X279" s="186" t="n"/>
      <c r="Y279" s="186" t="n"/>
      <c r="Z279" s="186" t="n"/>
      <c r="AA279" s="186" t="n"/>
      <c r="AB279" s="186" t="n"/>
    </row>
    <row r="280">
      <c r="A280" s="186" t="n"/>
      <c r="B280" s="186" t="n"/>
      <c r="C280" s="186" t="n"/>
      <c r="D280" s="186" t="n"/>
      <c r="E280" s="186" t="n"/>
      <c r="F280" s="209" t="n"/>
      <c r="G280" s="209" t="n"/>
      <c r="H280" s="209" t="n"/>
      <c r="I280" s="209" t="n"/>
      <c r="J280" s="209" t="n"/>
      <c r="K280" s="186" t="n"/>
      <c r="L280" s="186" t="n"/>
      <c r="M280" s="186" t="n"/>
      <c r="N280" s="186" t="n"/>
      <c r="O280" s="186" t="n"/>
      <c r="P280" s="186" t="n"/>
      <c r="Q280" s="186" t="n"/>
      <c r="R280" s="186" t="n"/>
      <c r="S280" s="186" t="n"/>
      <c r="T280" s="186" t="n"/>
      <c r="U280" s="186" t="n"/>
      <c r="V280" s="186" t="n"/>
      <c r="W280" s="186" t="n"/>
      <c r="X280" s="186" t="n"/>
      <c r="Y280" s="186" t="n"/>
      <c r="Z280" s="186" t="n"/>
      <c r="AA280" s="186" t="n"/>
      <c r="AB280" s="186" t="n"/>
    </row>
    <row r="281">
      <c r="A281" s="186" t="n"/>
      <c r="B281" s="186" t="n"/>
      <c r="C281" s="186" t="n"/>
      <c r="D281" s="186" t="n"/>
      <c r="E281" s="186" t="n"/>
      <c r="F281" s="209" t="n"/>
      <c r="G281" s="209" t="n"/>
      <c r="H281" s="209" t="n"/>
      <c r="I281" s="209" t="n"/>
      <c r="J281" s="209" t="n"/>
      <c r="K281" s="186" t="n"/>
      <c r="L281" s="186" t="n"/>
      <c r="M281" s="186" t="n"/>
      <c r="N281" s="186" t="n"/>
      <c r="O281" s="186" t="n"/>
      <c r="P281" s="186" t="n"/>
      <c r="Q281" s="186" t="n"/>
      <c r="R281" s="186" t="n"/>
      <c r="S281" s="186" t="n"/>
      <c r="T281" s="186" t="n"/>
      <c r="U281" s="186" t="n"/>
      <c r="V281" s="186" t="n"/>
      <c r="W281" s="186" t="n"/>
      <c r="X281" s="186" t="n"/>
      <c r="Y281" s="186" t="n"/>
      <c r="Z281" s="186" t="n"/>
      <c r="AA281" s="186" t="n"/>
      <c r="AB281" s="186" t="n"/>
    </row>
    <row r="282">
      <c r="A282" s="186" t="n"/>
      <c r="B282" s="186" t="n"/>
      <c r="C282" s="186" t="n"/>
      <c r="D282" s="186" t="n"/>
      <c r="E282" s="186" t="n"/>
      <c r="F282" s="209" t="n"/>
      <c r="G282" s="209" t="n"/>
      <c r="H282" s="209" t="n"/>
      <c r="I282" s="209" t="n"/>
      <c r="J282" s="209" t="n"/>
      <c r="K282" s="186" t="n"/>
      <c r="L282" s="186" t="n"/>
      <c r="M282" s="186" t="n"/>
      <c r="N282" s="186" t="n"/>
      <c r="O282" s="186" t="n"/>
      <c r="P282" s="186" t="n"/>
      <c r="Q282" s="186" t="n"/>
      <c r="R282" s="186" t="n"/>
      <c r="S282" s="186" t="n"/>
      <c r="T282" s="186" t="n"/>
      <c r="U282" s="186" t="n"/>
      <c r="V282" s="186" t="n"/>
      <c r="W282" s="186" t="n"/>
      <c r="X282" s="186" t="n"/>
      <c r="Y282" s="186" t="n"/>
      <c r="Z282" s="186" t="n"/>
      <c r="AA282" s="186" t="n"/>
      <c r="AB282" s="186" t="n"/>
    </row>
    <row r="283">
      <c r="A283" s="186" t="n"/>
      <c r="B283" s="186" t="n"/>
      <c r="C283" s="186" t="n"/>
      <c r="D283" s="186" t="n"/>
      <c r="E283" s="186" t="n"/>
      <c r="F283" s="209" t="n"/>
      <c r="G283" s="209" t="n"/>
      <c r="H283" s="209" t="n"/>
      <c r="I283" s="209" t="n"/>
      <c r="J283" s="209" t="n"/>
      <c r="K283" s="186" t="n"/>
      <c r="L283" s="186" t="n"/>
      <c r="M283" s="186" t="n"/>
      <c r="N283" s="186" t="n"/>
      <c r="O283" s="186" t="n"/>
      <c r="P283" s="186" t="n"/>
      <c r="Q283" s="186" t="n"/>
      <c r="R283" s="186" t="n"/>
      <c r="S283" s="186" t="n"/>
      <c r="T283" s="186" t="n"/>
      <c r="U283" s="186" t="n"/>
      <c r="V283" s="186" t="n"/>
      <c r="W283" s="186" t="n"/>
      <c r="X283" s="186" t="n"/>
      <c r="Y283" s="186" t="n"/>
      <c r="Z283" s="186" t="n"/>
      <c r="AA283" s="186" t="n"/>
      <c r="AB283" s="186" t="n"/>
    </row>
    <row r="284">
      <c r="A284" s="186" t="n"/>
      <c r="B284" s="186" t="n"/>
      <c r="C284" s="186" t="n"/>
      <c r="D284" s="186" t="n"/>
      <c r="E284" s="186" t="n"/>
      <c r="F284" s="209" t="n"/>
      <c r="G284" s="209" t="n"/>
      <c r="H284" s="209" t="n"/>
      <c r="I284" s="209" t="n"/>
      <c r="J284" s="209" t="n"/>
      <c r="K284" s="186" t="n"/>
      <c r="L284" s="186" t="n"/>
      <c r="M284" s="186" t="n"/>
      <c r="N284" s="186" t="n"/>
      <c r="O284" s="186" t="n"/>
      <c r="P284" s="186" t="n"/>
      <c r="Q284" s="186" t="n"/>
      <c r="R284" s="186" t="n"/>
      <c r="S284" s="186" t="n"/>
      <c r="T284" s="186" t="n"/>
      <c r="U284" s="186" t="n"/>
      <c r="V284" s="186" t="n"/>
      <c r="W284" s="186" t="n"/>
      <c r="X284" s="186" t="n"/>
      <c r="Y284" s="186" t="n"/>
      <c r="Z284" s="186" t="n"/>
      <c r="AA284" s="186" t="n"/>
      <c r="AB284" s="186" t="n"/>
    </row>
    <row r="285">
      <c r="A285" s="186" t="n"/>
      <c r="B285" s="186" t="n"/>
      <c r="C285" s="186" t="n"/>
      <c r="D285" s="186" t="n"/>
      <c r="E285" s="186" t="n"/>
      <c r="F285" s="209" t="n"/>
      <c r="G285" s="209" t="n"/>
      <c r="H285" s="209" t="n"/>
      <c r="I285" s="209" t="n"/>
      <c r="J285" s="209" t="n"/>
      <c r="K285" s="186" t="n"/>
      <c r="L285" s="186" t="n"/>
      <c r="M285" s="186" t="n"/>
      <c r="N285" s="186" t="n"/>
      <c r="O285" s="186" t="n"/>
      <c r="P285" s="186" t="n"/>
      <c r="Q285" s="186" t="n"/>
      <c r="R285" s="186" t="n"/>
      <c r="S285" s="186" t="n"/>
      <c r="T285" s="186" t="n"/>
      <c r="U285" s="186" t="n"/>
      <c r="V285" s="186" t="n"/>
      <c r="W285" s="186" t="n"/>
      <c r="X285" s="186" t="n"/>
      <c r="Y285" s="186" t="n"/>
      <c r="Z285" s="186" t="n"/>
      <c r="AA285" s="186" t="n"/>
      <c r="AB285" s="186" t="n"/>
    </row>
    <row r="286">
      <c r="A286" s="186" t="n"/>
      <c r="B286" s="186" t="n"/>
      <c r="C286" s="186" t="n"/>
      <c r="D286" s="186" t="n"/>
      <c r="E286" s="186" t="n"/>
      <c r="F286" s="209" t="n"/>
      <c r="G286" s="209" t="n"/>
      <c r="H286" s="209" t="n"/>
      <c r="I286" s="209" t="n"/>
      <c r="J286" s="209" t="n"/>
      <c r="K286" s="186" t="n"/>
      <c r="L286" s="186" t="n"/>
      <c r="M286" s="186" t="n"/>
      <c r="N286" s="186" t="n"/>
      <c r="O286" s="186" t="n"/>
      <c r="P286" s="186" t="n"/>
      <c r="Q286" s="186" t="n"/>
      <c r="R286" s="186" t="n"/>
      <c r="S286" s="186" t="n"/>
      <c r="T286" s="186" t="n"/>
      <c r="U286" s="186" t="n"/>
      <c r="V286" s="186" t="n"/>
      <c r="W286" s="186" t="n"/>
      <c r="X286" s="186" t="n"/>
      <c r="Y286" s="186" t="n"/>
      <c r="Z286" s="186" t="n"/>
      <c r="AA286" s="186" t="n"/>
      <c r="AB286" s="186" t="n"/>
    </row>
    <row r="287">
      <c r="A287" s="186" t="n"/>
      <c r="B287" s="186" t="n"/>
      <c r="C287" s="186" t="n"/>
      <c r="D287" s="186" t="n"/>
      <c r="E287" s="186" t="n"/>
      <c r="F287" s="209" t="n"/>
      <c r="G287" s="209" t="n"/>
      <c r="H287" s="209" t="n"/>
      <c r="I287" s="209" t="n"/>
      <c r="J287" s="209" t="n"/>
      <c r="K287" s="186" t="n"/>
      <c r="L287" s="186" t="n"/>
      <c r="M287" s="186" t="n"/>
      <c r="N287" s="186" t="n"/>
      <c r="O287" s="186" t="n"/>
      <c r="P287" s="186" t="n"/>
      <c r="Q287" s="186" t="n"/>
      <c r="R287" s="186" t="n"/>
      <c r="S287" s="186" t="n"/>
      <c r="T287" s="186" t="n"/>
      <c r="U287" s="186" t="n"/>
      <c r="V287" s="186" t="n"/>
      <c r="W287" s="186" t="n"/>
      <c r="X287" s="186" t="n"/>
      <c r="Y287" s="186" t="n"/>
      <c r="Z287" s="186" t="n"/>
      <c r="AA287" s="186" t="n"/>
      <c r="AB287" s="186" t="n"/>
    </row>
    <row r="288">
      <c r="A288" s="186" t="n"/>
      <c r="B288" s="186" t="n"/>
      <c r="C288" s="186" t="n"/>
      <c r="D288" s="186" t="n"/>
      <c r="E288" s="186" t="n"/>
      <c r="F288" s="209" t="n"/>
      <c r="G288" s="209" t="n"/>
      <c r="H288" s="209" t="n"/>
      <c r="I288" s="209" t="n"/>
      <c r="J288" s="209" t="n"/>
      <c r="K288" s="186" t="n"/>
      <c r="L288" s="186" t="n"/>
      <c r="M288" s="186" t="n"/>
      <c r="N288" s="186" t="n"/>
      <c r="O288" s="186" t="n"/>
      <c r="P288" s="186" t="n"/>
      <c r="Q288" s="186" t="n"/>
      <c r="R288" s="186" t="n"/>
      <c r="S288" s="186" t="n"/>
      <c r="T288" s="186" t="n"/>
      <c r="U288" s="186" t="n"/>
      <c r="V288" s="186" t="n"/>
      <c r="W288" s="186" t="n"/>
      <c r="X288" s="186" t="n"/>
      <c r="Y288" s="186" t="n"/>
      <c r="Z288" s="186" t="n"/>
      <c r="AA288" s="186" t="n"/>
      <c r="AB288" s="186" t="n"/>
    </row>
    <row r="289">
      <c r="A289" s="186" t="n"/>
      <c r="B289" s="186" t="n"/>
      <c r="C289" s="186" t="n"/>
      <c r="D289" s="186" t="n"/>
      <c r="E289" s="186" t="n"/>
      <c r="F289" s="209" t="n"/>
      <c r="G289" s="209" t="n"/>
      <c r="H289" s="209" t="n"/>
      <c r="I289" s="209" t="n"/>
      <c r="J289" s="209" t="n"/>
      <c r="K289" s="186" t="n"/>
      <c r="L289" s="186" t="n"/>
      <c r="M289" s="186" t="n"/>
      <c r="N289" s="186" t="n"/>
      <c r="O289" s="186" t="n"/>
      <c r="P289" s="186" t="n"/>
      <c r="Q289" s="186" t="n"/>
      <c r="R289" s="186" t="n"/>
      <c r="S289" s="186" t="n"/>
      <c r="T289" s="186" t="n"/>
      <c r="U289" s="186" t="n"/>
      <c r="V289" s="186" t="n"/>
      <c r="W289" s="186" t="n"/>
      <c r="X289" s="186" t="n"/>
      <c r="Y289" s="186" t="n"/>
      <c r="Z289" s="186" t="n"/>
      <c r="AA289" s="186" t="n"/>
      <c r="AB289" s="186" t="n"/>
    </row>
    <row r="290">
      <c r="A290" s="186" t="n"/>
      <c r="B290" s="186" t="n"/>
      <c r="C290" s="186" t="n"/>
      <c r="D290" s="186" t="n"/>
      <c r="E290" s="186" t="n"/>
      <c r="F290" s="209" t="n"/>
      <c r="G290" s="209" t="n"/>
      <c r="H290" s="209" t="n"/>
      <c r="I290" s="209" t="n"/>
      <c r="J290" s="209" t="n"/>
      <c r="K290" s="186" t="n"/>
      <c r="L290" s="186" t="n"/>
      <c r="M290" s="186" t="n"/>
      <c r="N290" s="186" t="n"/>
      <c r="O290" s="186" t="n"/>
      <c r="P290" s="186" t="n"/>
      <c r="Q290" s="186" t="n"/>
      <c r="R290" s="186" t="n"/>
      <c r="S290" s="186" t="n"/>
      <c r="T290" s="186" t="n"/>
      <c r="U290" s="186" t="n"/>
      <c r="V290" s="186" t="n"/>
      <c r="W290" s="186" t="n"/>
      <c r="X290" s="186" t="n"/>
      <c r="Y290" s="186" t="n"/>
      <c r="Z290" s="186" t="n"/>
      <c r="AA290" s="186" t="n"/>
      <c r="AB290" s="186" t="n"/>
    </row>
    <row r="291">
      <c r="A291" s="186" t="n"/>
      <c r="B291" s="186" t="n"/>
      <c r="C291" s="186" t="n"/>
      <c r="D291" s="186" t="n"/>
      <c r="E291" s="186" t="n"/>
      <c r="F291" s="209" t="n"/>
      <c r="G291" s="209" t="n"/>
      <c r="H291" s="209" t="n"/>
      <c r="I291" s="209" t="n"/>
      <c r="J291" s="209" t="n"/>
      <c r="K291" s="186" t="n"/>
      <c r="L291" s="186" t="n"/>
      <c r="M291" s="186" t="n"/>
      <c r="N291" s="186" t="n"/>
      <c r="O291" s="186" t="n"/>
      <c r="P291" s="186" t="n"/>
      <c r="Q291" s="186" t="n"/>
      <c r="R291" s="186" t="n"/>
      <c r="S291" s="186" t="n"/>
      <c r="T291" s="186" t="n"/>
      <c r="U291" s="186" t="n"/>
      <c r="V291" s="186" t="n"/>
      <c r="W291" s="186" t="n"/>
      <c r="X291" s="186" t="n"/>
      <c r="Y291" s="186" t="n"/>
      <c r="Z291" s="186" t="n"/>
      <c r="AA291" s="186" t="n"/>
      <c r="AB291" s="186" t="n"/>
    </row>
    <row r="292">
      <c r="A292" s="186" t="n"/>
      <c r="B292" s="186" t="n"/>
      <c r="C292" s="186" t="n"/>
      <c r="D292" s="186" t="n"/>
      <c r="E292" s="186" t="n"/>
      <c r="F292" s="209" t="n"/>
      <c r="G292" s="209" t="n"/>
      <c r="H292" s="209" t="n"/>
      <c r="I292" s="209" t="n"/>
      <c r="J292" s="209" t="n"/>
      <c r="K292" s="186" t="n"/>
      <c r="L292" s="186" t="n"/>
      <c r="M292" s="186" t="n"/>
      <c r="N292" s="186" t="n"/>
      <c r="O292" s="186" t="n"/>
      <c r="P292" s="186" t="n"/>
      <c r="Q292" s="186" t="n"/>
      <c r="R292" s="186" t="n"/>
      <c r="S292" s="186" t="n"/>
      <c r="T292" s="186" t="n"/>
      <c r="U292" s="186" t="n"/>
      <c r="V292" s="186" t="n"/>
      <c r="W292" s="186" t="n"/>
      <c r="X292" s="186" t="n"/>
      <c r="Y292" s="186" t="n"/>
      <c r="Z292" s="186" t="n"/>
      <c r="AA292" s="186" t="n"/>
      <c r="AB292" s="186" t="n"/>
    </row>
    <row r="293">
      <c r="A293" s="186" t="n"/>
      <c r="B293" s="186" t="n"/>
      <c r="C293" s="186" t="n"/>
      <c r="D293" s="186" t="n"/>
      <c r="E293" s="186" t="n"/>
      <c r="F293" s="209" t="n"/>
      <c r="G293" s="209" t="n"/>
      <c r="H293" s="209" t="n"/>
      <c r="I293" s="209" t="n"/>
      <c r="J293" s="209" t="n"/>
      <c r="K293" s="186" t="n"/>
      <c r="L293" s="186" t="n"/>
      <c r="M293" s="186" t="n"/>
      <c r="N293" s="186" t="n"/>
      <c r="O293" s="186" t="n"/>
      <c r="P293" s="186" t="n"/>
      <c r="Q293" s="186" t="n"/>
      <c r="R293" s="186" t="n"/>
      <c r="S293" s="186" t="n"/>
      <c r="T293" s="186" t="n"/>
      <c r="U293" s="186" t="n"/>
      <c r="V293" s="186" t="n"/>
      <c r="W293" s="186" t="n"/>
      <c r="X293" s="186" t="n"/>
      <c r="Y293" s="186" t="n"/>
      <c r="Z293" s="186" t="n"/>
      <c r="AA293" s="186" t="n"/>
      <c r="AB293" s="186" t="n"/>
    </row>
    <row r="294">
      <c r="A294" s="186" t="n"/>
      <c r="B294" s="186" t="n"/>
      <c r="C294" s="186" t="n"/>
      <c r="D294" s="186" t="n"/>
      <c r="E294" s="186" t="n"/>
      <c r="F294" s="209" t="n"/>
      <c r="G294" s="209" t="n"/>
      <c r="H294" s="209" t="n"/>
      <c r="I294" s="209" t="n"/>
      <c r="J294" s="209" t="n"/>
      <c r="K294" s="186" t="n"/>
      <c r="L294" s="186" t="n"/>
      <c r="M294" s="186" t="n"/>
      <c r="N294" s="186" t="n"/>
      <c r="O294" s="186" t="n"/>
      <c r="P294" s="186" t="n"/>
      <c r="Q294" s="186" t="n"/>
      <c r="R294" s="186" t="n"/>
      <c r="S294" s="186" t="n"/>
      <c r="T294" s="186" t="n"/>
      <c r="U294" s="186" t="n"/>
      <c r="V294" s="186" t="n"/>
      <c r="W294" s="186" t="n"/>
      <c r="X294" s="186" t="n"/>
      <c r="Y294" s="186" t="n"/>
      <c r="Z294" s="186" t="n"/>
      <c r="AA294" s="186" t="n"/>
      <c r="AB294" s="186" t="n"/>
    </row>
    <row r="295">
      <c r="A295" s="186" t="n"/>
      <c r="B295" s="186" t="n"/>
      <c r="C295" s="186" t="n"/>
      <c r="D295" s="186" t="n"/>
      <c r="E295" s="186" t="n"/>
      <c r="F295" s="209" t="n"/>
      <c r="G295" s="209" t="n"/>
      <c r="H295" s="209" t="n"/>
      <c r="I295" s="209" t="n"/>
      <c r="J295" s="209" t="n"/>
      <c r="K295" s="186" t="n"/>
      <c r="L295" s="186" t="n"/>
      <c r="M295" s="186" t="n"/>
      <c r="N295" s="186" t="n"/>
      <c r="O295" s="186" t="n"/>
      <c r="P295" s="186" t="n"/>
      <c r="Q295" s="186" t="n"/>
      <c r="R295" s="186" t="n"/>
      <c r="S295" s="186" t="n"/>
      <c r="T295" s="186" t="n"/>
      <c r="U295" s="186" t="n"/>
      <c r="V295" s="186" t="n"/>
      <c r="W295" s="186" t="n"/>
      <c r="X295" s="186" t="n"/>
      <c r="Y295" s="186" t="n"/>
      <c r="Z295" s="186" t="n"/>
      <c r="AA295" s="186" t="n"/>
      <c r="AB295" s="186" t="n"/>
    </row>
    <row r="296">
      <c r="A296" s="186" t="n"/>
      <c r="B296" s="186" t="n"/>
      <c r="C296" s="186" t="n"/>
      <c r="D296" s="186" t="n"/>
      <c r="E296" s="186" t="n"/>
      <c r="F296" s="209" t="n"/>
      <c r="G296" s="209" t="n"/>
      <c r="H296" s="209" t="n"/>
      <c r="I296" s="209" t="n"/>
      <c r="J296" s="209" t="n"/>
      <c r="K296" s="186" t="n"/>
      <c r="L296" s="186" t="n"/>
      <c r="M296" s="186" t="n"/>
      <c r="N296" s="186" t="n"/>
      <c r="O296" s="186" t="n"/>
      <c r="P296" s="186" t="n"/>
      <c r="Q296" s="186" t="n"/>
      <c r="R296" s="186" t="n"/>
      <c r="S296" s="186" t="n"/>
      <c r="T296" s="186" t="n"/>
      <c r="U296" s="186" t="n"/>
      <c r="V296" s="186" t="n"/>
      <c r="W296" s="186" t="n"/>
      <c r="X296" s="186" t="n"/>
      <c r="Y296" s="186" t="n"/>
      <c r="Z296" s="186" t="n"/>
      <c r="AA296" s="186" t="n"/>
      <c r="AB296" s="186" t="n"/>
    </row>
    <row r="297">
      <c r="A297" s="186" t="n"/>
      <c r="B297" s="186" t="n"/>
      <c r="C297" s="186" t="n"/>
      <c r="D297" s="186" t="n"/>
      <c r="E297" s="186" t="n"/>
      <c r="F297" s="209" t="n"/>
      <c r="G297" s="209" t="n"/>
      <c r="H297" s="209" t="n"/>
      <c r="I297" s="209" t="n"/>
      <c r="J297" s="209" t="n"/>
      <c r="K297" s="186" t="n"/>
      <c r="L297" s="186" t="n"/>
      <c r="M297" s="186" t="n"/>
      <c r="N297" s="186" t="n"/>
      <c r="O297" s="186" t="n"/>
      <c r="P297" s="186" t="n"/>
      <c r="Q297" s="186" t="n"/>
      <c r="R297" s="186" t="n"/>
      <c r="S297" s="186" t="n"/>
      <c r="T297" s="186" t="n"/>
      <c r="U297" s="186" t="n"/>
      <c r="V297" s="186" t="n"/>
      <c r="W297" s="186" t="n"/>
      <c r="X297" s="186" t="n"/>
      <c r="Y297" s="186" t="n"/>
      <c r="Z297" s="186" t="n"/>
      <c r="AA297" s="186" t="n"/>
      <c r="AB297" s="186" t="n"/>
    </row>
    <row r="298">
      <c r="A298" s="186" t="n"/>
      <c r="B298" s="186" t="n"/>
      <c r="C298" s="186" t="n"/>
      <c r="D298" s="186" t="n"/>
      <c r="E298" s="186" t="n"/>
      <c r="F298" s="209" t="n"/>
      <c r="G298" s="209" t="n"/>
      <c r="H298" s="209" t="n"/>
      <c r="I298" s="209" t="n"/>
      <c r="J298" s="209" t="n"/>
      <c r="K298" s="186" t="n"/>
      <c r="L298" s="186" t="n"/>
      <c r="M298" s="186" t="n"/>
      <c r="N298" s="186" t="n"/>
      <c r="O298" s="186" t="n"/>
      <c r="P298" s="186" t="n"/>
      <c r="Q298" s="186" t="n"/>
      <c r="R298" s="186" t="n"/>
      <c r="S298" s="186" t="n"/>
      <c r="T298" s="186" t="n"/>
      <c r="U298" s="186" t="n"/>
      <c r="V298" s="186" t="n"/>
      <c r="W298" s="186" t="n"/>
      <c r="X298" s="186" t="n"/>
      <c r="Y298" s="186" t="n"/>
      <c r="Z298" s="186" t="n"/>
      <c r="AA298" s="186" t="n"/>
      <c r="AB298" s="186" t="n"/>
    </row>
    <row r="299">
      <c r="A299" s="186" t="n"/>
      <c r="B299" s="186" t="n"/>
      <c r="C299" s="186" t="n"/>
      <c r="D299" s="186" t="n"/>
      <c r="E299" s="186" t="n"/>
      <c r="F299" s="209" t="n"/>
      <c r="G299" s="209" t="n"/>
      <c r="H299" s="209" t="n"/>
      <c r="I299" s="209" t="n"/>
      <c r="J299" s="209" t="n"/>
      <c r="K299" s="186" t="n"/>
      <c r="L299" s="186" t="n"/>
      <c r="M299" s="186" t="n"/>
      <c r="N299" s="186" t="n"/>
      <c r="O299" s="186" t="n"/>
      <c r="P299" s="186" t="n"/>
      <c r="Q299" s="186" t="n"/>
      <c r="R299" s="186" t="n"/>
      <c r="S299" s="186" t="n"/>
      <c r="T299" s="186" t="n"/>
      <c r="U299" s="186" t="n"/>
      <c r="V299" s="186" t="n"/>
      <c r="W299" s="186" t="n"/>
      <c r="X299" s="186" t="n"/>
      <c r="Y299" s="186" t="n"/>
      <c r="Z299" s="186" t="n"/>
      <c r="AA299" s="186" t="n"/>
      <c r="AB299" s="186" t="n"/>
    </row>
    <row r="300">
      <c r="A300" s="186" t="n"/>
      <c r="B300" s="186" t="n"/>
      <c r="C300" s="186" t="n"/>
      <c r="D300" s="186" t="n"/>
      <c r="E300" s="186" t="n"/>
      <c r="F300" s="209" t="n"/>
      <c r="G300" s="209" t="n"/>
      <c r="H300" s="209" t="n"/>
      <c r="I300" s="209" t="n"/>
      <c r="J300" s="209" t="n"/>
      <c r="K300" s="186" t="n"/>
      <c r="L300" s="186" t="n"/>
      <c r="M300" s="186" t="n"/>
      <c r="N300" s="186" t="n"/>
      <c r="O300" s="186" t="n"/>
      <c r="P300" s="186" t="n"/>
      <c r="Q300" s="186" t="n"/>
      <c r="R300" s="186" t="n"/>
      <c r="S300" s="186" t="n"/>
      <c r="T300" s="186" t="n"/>
      <c r="U300" s="186" t="n"/>
      <c r="V300" s="186" t="n"/>
      <c r="W300" s="186" t="n"/>
      <c r="X300" s="186" t="n"/>
      <c r="Y300" s="186" t="n"/>
      <c r="Z300" s="186" t="n"/>
      <c r="AA300" s="186" t="n"/>
      <c r="AB300" s="186" t="n"/>
    </row>
    <row r="301">
      <c r="A301" s="186" t="n"/>
      <c r="B301" s="186" t="n"/>
      <c r="C301" s="186" t="n"/>
      <c r="D301" s="186" t="n"/>
      <c r="E301" s="186" t="n"/>
      <c r="F301" s="209" t="n"/>
      <c r="G301" s="209" t="n"/>
      <c r="H301" s="209" t="n"/>
      <c r="I301" s="209" t="n"/>
      <c r="J301" s="209" t="n"/>
      <c r="K301" s="186" t="n"/>
      <c r="L301" s="186" t="n"/>
      <c r="M301" s="186" t="n"/>
      <c r="N301" s="186" t="n"/>
      <c r="O301" s="186" t="n"/>
      <c r="P301" s="186" t="n"/>
      <c r="Q301" s="186" t="n"/>
      <c r="R301" s="186" t="n"/>
      <c r="S301" s="186" t="n"/>
      <c r="T301" s="186" t="n"/>
      <c r="U301" s="186" t="n"/>
      <c r="V301" s="186" t="n"/>
      <c r="W301" s="186" t="n"/>
      <c r="X301" s="186" t="n"/>
      <c r="Y301" s="186" t="n"/>
      <c r="Z301" s="186" t="n"/>
      <c r="AA301" s="186" t="n"/>
      <c r="AB301" s="186" t="n"/>
    </row>
    <row r="302">
      <c r="A302" s="186" t="n"/>
      <c r="B302" s="186" t="n"/>
      <c r="C302" s="186" t="n"/>
      <c r="D302" s="186" t="n"/>
      <c r="E302" s="186" t="n"/>
      <c r="F302" s="209" t="n"/>
      <c r="G302" s="209" t="n"/>
      <c r="H302" s="209" t="n"/>
      <c r="I302" s="209" t="n"/>
      <c r="J302" s="209" t="n"/>
      <c r="K302" s="186" t="n"/>
      <c r="L302" s="186" t="n"/>
      <c r="M302" s="186" t="n"/>
      <c r="N302" s="186" t="n"/>
      <c r="O302" s="186" t="n"/>
      <c r="P302" s="186" t="n"/>
      <c r="Q302" s="186" t="n"/>
      <c r="R302" s="186" t="n"/>
      <c r="S302" s="186" t="n"/>
      <c r="T302" s="186" t="n"/>
      <c r="U302" s="186" t="n"/>
      <c r="V302" s="186" t="n"/>
      <c r="W302" s="186" t="n"/>
      <c r="X302" s="186" t="n"/>
      <c r="Y302" s="186" t="n"/>
      <c r="Z302" s="186" t="n"/>
      <c r="AA302" s="186" t="n"/>
      <c r="AB302" s="186" t="n"/>
    </row>
    <row r="303">
      <c r="A303" s="186" t="n"/>
      <c r="B303" s="186" t="n"/>
      <c r="C303" s="186" t="n"/>
      <c r="D303" s="186" t="n"/>
      <c r="E303" s="186" t="n"/>
      <c r="F303" s="209" t="n"/>
      <c r="G303" s="209" t="n"/>
      <c r="H303" s="209" t="n"/>
      <c r="I303" s="209" t="n"/>
      <c r="J303" s="209" t="n"/>
      <c r="K303" s="186" t="n"/>
      <c r="L303" s="186" t="n"/>
      <c r="M303" s="186" t="n"/>
      <c r="N303" s="186" t="n"/>
      <c r="O303" s="186" t="n"/>
      <c r="P303" s="186" t="n"/>
      <c r="Q303" s="186" t="n"/>
      <c r="R303" s="186" t="n"/>
      <c r="S303" s="186" t="n"/>
      <c r="T303" s="186" t="n"/>
      <c r="U303" s="186" t="n"/>
      <c r="V303" s="186" t="n"/>
      <c r="W303" s="186" t="n"/>
      <c r="X303" s="186" t="n"/>
      <c r="Y303" s="186" t="n"/>
      <c r="Z303" s="186" t="n"/>
      <c r="AA303" s="186" t="n"/>
      <c r="AB303" s="186" t="n"/>
    </row>
    <row r="304">
      <c r="A304" s="186" t="n"/>
      <c r="B304" s="186" t="n"/>
      <c r="C304" s="186" t="n"/>
      <c r="D304" s="186" t="n"/>
      <c r="E304" s="186" t="n"/>
      <c r="F304" s="209" t="n"/>
      <c r="G304" s="209" t="n"/>
      <c r="H304" s="209" t="n"/>
      <c r="I304" s="209" t="n"/>
      <c r="J304" s="209" t="n"/>
      <c r="K304" s="186" t="n"/>
      <c r="L304" s="186" t="n"/>
      <c r="M304" s="186" t="n"/>
      <c r="N304" s="186" t="n"/>
      <c r="O304" s="186" t="n"/>
      <c r="P304" s="186" t="n"/>
      <c r="Q304" s="186" t="n"/>
      <c r="R304" s="186" t="n"/>
      <c r="S304" s="186" t="n"/>
      <c r="T304" s="186" t="n"/>
      <c r="U304" s="186" t="n"/>
      <c r="V304" s="186" t="n"/>
      <c r="W304" s="186" t="n"/>
      <c r="X304" s="186" t="n"/>
      <c r="Y304" s="186" t="n"/>
      <c r="Z304" s="186" t="n"/>
      <c r="AA304" s="186" t="n"/>
      <c r="AB304" s="186" t="n"/>
    </row>
    <row r="305">
      <c r="A305" s="186" t="n"/>
      <c r="B305" s="186" t="n"/>
      <c r="C305" s="186" t="n"/>
      <c r="D305" s="186" t="n"/>
      <c r="E305" s="186" t="n"/>
      <c r="F305" s="209" t="n"/>
      <c r="G305" s="209" t="n"/>
      <c r="H305" s="209" t="n"/>
      <c r="I305" s="209" t="n"/>
      <c r="J305" s="209" t="n"/>
      <c r="K305" s="186" t="n"/>
      <c r="L305" s="186" t="n"/>
      <c r="M305" s="186" t="n"/>
      <c r="N305" s="186" t="n"/>
      <c r="O305" s="186" t="n"/>
      <c r="P305" s="186" t="n"/>
      <c r="Q305" s="186" t="n"/>
      <c r="R305" s="186" t="n"/>
      <c r="S305" s="186" t="n"/>
      <c r="T305" s="186" t="n"/>
      <c r="U305" s="186" t="n"/>
      <c r="V305" s="186" t="n"/>
      <c r="W305" s="186" t="n"/>
      <c r="X305" s="186" t="n"/>
      <c r="Y305" s="186" t="n"/>
      <c r="Z305" s="186" t="n"/>
      <c r="AA305" s="186" t="n"/>
      <c r="AB305" s="186" t="n"/>
    </row>
    <row r="306">
      <c r="A306" s="186" t="n"/>
      <c r="B306" s="186" t="n"/>
      <c r="C306" s="186" t="n"/>
      <c r="D306" s="186" t="n"/>
      <c r="E306" s="186" t="n"/>
      <c r="F306" s="209" t="n"/>
      <c r="G306" s="209" t="n"/>
      <c r="H306" s="209" t="n"/>
      <c r="I306" s="209" t="n"/>
      <c r="J306" s="209" t="n"/>
      <c r="K306" s="186" t="n"/>
      <c r="L306" s="186" t="n"/>
      <c r="M306" s="186" t="n"/>
      <c r="N306" s="186" t="n"/>
      <c r="O306" s="186" t="n"/>
      <c r="P306" s="186" t="n"/>
      <c r="Q306" s="186" t="n"/>
      <c r="R306" s="186" t="n"/>
      <c r="S306" s="186" t="n"/>
      <c r="T306" s="186" t="n"/>
      <c r="U306" s="186" t="n"/>
      <c r="V306" s="186" t="n"/>
      <c r="W306" s="186" t="n"/>
      <c r="X306" s="186" t="n"/>
      <c r="Y306" s="186" t="n"/>
      <c r="Z306" s="186" t="n"/>
      <c r="AA306" s="186" t="n"/>
      <c r="AB306" s="186" t="n"/>
    </row>
    <row r="307">
      <c r="A307" s="186" t="n"/>
      <c r="B307" s="186" t="n"/>
      <c r="C307" s="186" t="n"/>
      <c r="D307" s="186" t="n"/>
      <c r="E307" s="186" t="n"/>
      <c r="F307" s="209" t="n"/>
      <c r="G307" s="209" t="n"/>
      <c r="H307" s="209" t="n"/>
      <c r="I307" s="209" t="n"/>
      <c r="J307" s="209" t="n"/>
      <c r="K307" s="186" t="n"/>
      <c r="L307" s="186" t="n"/>
      <c r="M307" s="186" t="n"/>
      <c r="N307" s="186" t="n"/>
      <c r="O307" s="186" t="n"/>
      <c r="P307" s="186" t="n"/>
      <c r="Q307" s="186" t="n"/>
      <c r="R307" s="186" t="n"/>
      <c r="S307" s="186" t="n"/>
      <c r="T307" s="186" t="n"/>
      <c r="U307" s="186" t="n"/>
      <c r="V307" s="186" t="n"/>
      <c r="W307" s="186" t="n"/>
      <c r="X307" s="186" t="n"/>
      <c r="Y307" s="186" t="n"/>
      <c r="Z307" s="186" t="n"/>
      <c r="AA307" s="186" t="n"/>
      <c r="AB307" s="186" t="n"/>
    </row>
    <row r="308">
      <c r="A308" s="186" t="n"/>
      <c r="B308" s="186" t="n"/>
      <c r="C308" s="186" t="n"/>
      <c r="D308" s="186" t="n"/>
      <c r="E308" s="186" t="n"/>
      <c r="F308" s="209" t="n"/>
      <c r="G308" s="209" t="n"/>
      <c r="H308" s="209" t="n"/>
      <c r="I308" s="209" t="n"/>
      <c r="J308" s="209" t="n"/>
      <c r="K308" s="186" t="n"/>
      <c r="L308" s="186" t="n"/>
      <c r="M308" s="186" t="n"/>
      <c r="N308" s="186" t="n"/>
      <c r="O308" s="186" t="n"/>
      <c r="P308" s="186" t="n"/>
      <c r="Q308" s="186" t="n"/>
      <c r="R308" s="186" t="n"/>
      <c r="S308" s="186" t="n"/>
      <c r="T308" s="186" t="n"/>
      <c r="U308" s="186" t="n"/>
      <c r="V308" s="186" t="n"/>
      <c r="W308" s="186" t="n"/>
      <c r="X308" s="186" t="n"/>
      <c r="Y308" s="186" t="n"/>
      <c r="Z308" s="186" t="n"/>
      <c r="AA308" s="186" t="n"/>
      <c r="AB308" s="186" t="n"/>
    </row>
    <row r="309">
      <c r="A309" s="186" t="n"/>
      <c r="B309" s="186" t="n"/>
      <c r="C309" s="186" t="n"/>
      <c r="D309" s="186" t="n"/>
      <c r="E309" s="186" t="n"/>
      <c r="F309" s="209" t="n"/>
      <c r="G309" s="209" t="n"/>
      <c r="H309" s="209" t="n"/>
      <c r="I309" s="209" t="n"/>
      <c r="J309" s="209" t="n"/>
      <c r="K309" s="186" t="n"/>
      <c r="L309" s="186" t="n"/>
      <c r="M309" s="186" t="n"/>
      <c r="N309" s="186" t="n"/>
      <c r="O309" s="186" t="n"/>
      <c r="P309" s="186" t="n"/>
      <c r="Q309" s="186" t="n"/>
      <c r="R309" s="186" t="n"/>
      <c r="S309" s="186" t="n"/>
      <c r="T309" s="186" t="n"/>
      <c r="U309" s="186" t="n"/>
      <c r="V309" s="186" t="n"/>
      <c r="W309" s="186" t="n"/>
      <c r="X309" s="186" t="n"/>
      <c r="Y309" s="186" t="n"/>
      <c r="Z309" s="186" t="n"/>
      <c r="AA309" s="186" t="n"/>
      <c r="AB309" s="186" t="n"/>
    </row>
    <row r="310">
      <c r="A310" s="186" t="n"/>
      <c r="B310" s="186" t="n"/>
      <c r="C310" s="186" t="n"/>
      <c r="D310" s="186" t="n"/>
      <c r="E310" s="186" t="n"/>
      <c r="F310" s="209" t="n"/>
      <c r="G310" s="209" t="n"/>
      <c r="H310" s="209" t="n"/>
      <c r="I310" s="209" t="n"/>
      <c r="J310" s="209" t="n"/>
      <c r="K310" s="186" t="n"/>
      <c r="L310" s="186" t="n"/>
      <c r="M310" s="186" t="n"/>
      <c r="N310" s="186" t="n"/>
      <c r="O310" s="186" t="n"/>
      <c r="P310" s="186" t="n"/>
      <c r="Q310" s="186" t="n"/>
      <c r="R310" s="186" t="n"/>
      <c r="S310" s="186" t="n"/>
      <c r="T310" s="186" t="n"/>
      <c r="U310" s="186" t="n"/>
      <c r="V310" s="186" t="n"/>
      <c r="W310" s="186" t="n"/>
      <c r="X310" s="186" t="n"/>
      <c r="Y310" s="186" t="n"/>
      <c r="Z310" s="186" t="n"/>
      <c r="AA310" s="186" t="n"/>
      <c r="AB310" s="186" t="n"/>
    </row>
    <row r="311">
      <c r="A311" s="186" t="n"/>
      <c r="B311" s="186" t="n"/>
      <c r="C311" s="186" t="n"/>
      <c r="D311" s="186" t="n"/>
      <c r="E311" s="186" t="n"/>
      <c r="F311" s="209" t="n"/>
      <c r="G311" s="209" t="n"/>
      <c r="H311" s="209" t="n"/>
      <c r="I311" s="209" t="n"/>
      <c r="J311" s="209" t="n"/>
      <c r="K311" s="186" t="n"/>
      <c r="L311" s="186" t="n"/>
      <c r="M311" s="186" t="n"/>
      <c r="N311" s="186" t="n"/>
      <c r="O311" s="186" t="n"/>
      <c r="P311" s="186" t="n"/>
      <c r="Q311" s="186" t="n"/>
      <c r="R311" s="186" t="n"/>
      <c r="S311" s="186" t="n"/>
      <c r="T311" s="186" t="n"/>
      <c r="U311" s="186" t="n"/>
      <c r="V311" s="186" t="n"/>
      <c r="W311" s="186" t="n"/>
      <c r="X311" s="186" t="n"/>
      <c r="Y311" s="186" t="n"/>
      <c r="Z311" s="186" t="n"/>
      <c r="AA311" s="186" t="n"/>
      <c r="AB311" s="186" t="n"/>
    </row>
    <row r="312">
      <c r="A312" s="186" t="n"/>
      <c r="B312" s="186" t="n"/>
      <c r="C312" s="186" t="n"/>
      <c r="D312" s="186" t="n"/>
      <c r="E312" s="186" t="n"/>
      <c r="F312" s="209" t="n"/>
      <c r="G312" s="209" t="n"/>
      <c r="H312" s="209" t="n"/>
      <c r="I312" s="209" t="n"/>
      <c r="J312" s="209" t="n"/>
      <c r="K312" s="186" t="n"/>
      <c r="L312" s="186" t="n"/>
      <c r="M312" s="186" t="n"/>
      <c r="N312" s="186" t="n"/>
      <c r="O312" s="186" t="n"/>
      <c r="P312" s="186" t="n"/>
      <c r="Q312" s="186" t="n"/>
      <c r="R312" s="186" t="n"/>
      <c r="S312" s="186" t="n"/>
      <c r="T312" s="186" t="n"/>
      <c r="U312" s="186" t="n"/>
      <c r="V312" s="186" t="n"/>
      <c r="W312" s="186" t="n"/>
      <c r="X312" s="186" t="n"/>
      <c r="Y312" s="186" t="n"/>
      <c r="Z312" s="186" t="n"/>
      <c r="AA312" s="186" t="n"/>
      <c r="AB312" s="186" t="n"/>
    </row>
    <row r="313">
      <c r="A313" s="186" t="n"/>
      <c r="B313" s="186" t="n"/>
      <c r="C313" s="186" t="n"/>
      <c r="D313" s="186" t="n"/>
      <c r="E313" s="186" t="n"/>
      <c r="F313" s="209" t="n"/>
      <c r="G313" s="209" t="n"/>
      <c r="H313" s="209" t="n"/>
      <c r="I313" s="209" t="n"/>
      <c r="J313" s="209" t="n"/>
      <c r="K313" s="186" t="n"/>
      <c r="L313" s="186" t="n"/>
      <c r="M313" s="186" t="n"/>
      <c r="N313" s="186" t="n"/>
      <c r="O313" s="186" t="n"/>
      <c r="P313" s="186" t="n"/>
      <c r="Q313" s="186" t="n"/>
      <c r="R313" s="186" t="n"/>
      <c r="S313" s="186" t="n"/>
      <c r="T313" s="186" t="n"/>
      <c r="U313" s="186" t="n"/>
      <c r="V313" s="186" t="n"/>
      <c r="W313" s="186" t="n"/>
      <c r="X313" s="186" t="n"/>
      <c r="Y313" s="186" t="n"/>
      <c r="Z313" s="186" t="n"/>
      <c r="AA313" s="186" t="n"/>
      <c r="AB313" s="186" t="n"/>
    </row>
    <row r="314">
      <c r="A314" s="186" t="n"/>
      <c r="B314" s="186" t="n"/>
      <c r="C314" s="186" t="n"/>
      <c r="D314" s="186" t="n"/>
      <c r="E314" s="186" t="n"/>
      <c r="F314" s="209" t="n"/>
      <c r="G314" s="209" t="n"/>
      <c r="H314" s="209" t="n"/>
      <c r="I314" s="209" t="n"/>
      <c r="J314" s="209" t="n"/>
      <c r="K314" s="186" t="n"/>
      <c r="L314" s="186" t="n"/>
      <c r="M314" s="186" t="n"/>
      <c r="N314" s="186" t="n"/>
      <c r="O314" s="186" t="n"/>
      <c r="P314" s="186" t="n"/>
      <c r="Q314" s="186" t="n"/>
      <c r="R314" s="186" t="n"/>
      <c r="S314" s="186" t="n"/>
      <c r="T314" s="186" t="n"/>
      <c r="U314" s="186" t="n"/>
      <c r="V314" s="186" t="n"/>
      <c r="W314" s="186" t="n"/>
      <c r="X314" s="186" t="n"/>
      <c r="Y314" s="186" t="n"/>
      <c r="Z314" s="186" t="n"/>
      <c r="AA314" s="186" t="n"/>
      <c r="AB314" s="186" t="n"/>
    </row>
    <row r="315">
      <c r="A315" s="186" t="n"/>
      <c r="B315" s="186" t="n"/>
      <c r="C315" s="186" t="n"/>
      <c r="D315" s="186" t="n"/>
      <c r="E315" s="186" t="n"/>
      <c r="F315" s="209" t="n"/>
      <c r="G315" s="209" t="n"/>
      <c r="H315" s="209" t="n"/>
      <c r="I315" s="209" t="n"/>
      <c r="J315" s="209" t="n"/>
      <c r="K315" s="186" t="n"/>
      <c r="L315" s="186" t="n"/>
      <c r="M315" s="186" t="n"/>
      <c r="N315" s="186" t="n"/>
      <c r="O315" s="186" t="n"/>
      <c r="P315" s="186" t="n"/>
      <c r="Q315" s="186" t="n"/>
      <c r="R315" s="186" t="n"/>
      <c r="S315" s="186" t="n"/>
      <c r="T315" s="186" t="n"/>
      <c r="U315" s="186" t="n"/>
      <c r="V315" s="186" t="n"/>
      <c r="W315" s="186" t="n"/>
      <c r="X315" s="186" t="n"/>
      <c r="Y315" s="186" t="n"/>
      <c r="Z315" s="186" t="n"/>
      <c r="AA315" s="186" t="n"/>
      <c r="AB315" s="186" t="n"/>
    </row>
    <row r="316">
      <c r="A316" s="186" t="n"/>
      <c r="B316" s="186" t="n"/>
      <c r="C316" s="186" t="n"/>
      <c r="D316" s="186" t="n"/>
      <c r="E316" s="186" t="n"/>
      <c r="F316" s="209" t="n"/>
      <c r="G316" s="209" t="n"/>
      <c r="H316" s="209" t="n"/>
      <c r="I316" s="209" t="n"/>
      <c r="J316" s="209" t="n"/>
      <c r="K316" s="186" t="n"/>
      <c r="L316" s="186" t="n"/>
      <c r="M316" s="186" t="n"/>
      <c r="N316" s="186" t="n"/>
      <c r="O316" s="186" t="n"/>
      <c r="P316" s="186" t="n"/>
      <c r="Q316" s="186" t="n"/>
      <c r="R316" s="186" t="n"/>
      <c r="S316" s="186" t="n"/>
      <c r="T316" s="186" t="n"/>
      <c r="U316" s="186" t="n"/>
      <c r="V316" s="186" t="n"/>
      <c r="W316" s="186" t="n"/>
      <c r="X316" s="186" t="n"/>
      <c r="Y316" s="186" t="n"/>
      <c r="Z316" s="186" t="n"/>
      <c r="AA316" s="186" t="n"/>
      <c r="AB316" s="186" t="n"/>
    </row>
    <row r="317">
      <c r="A317" s="186" t="n"/>
      <c r="B317" s="186" t="n"/>
      <c r="C317" s="186" t="n"/>
      <c r="D317" s="186" t="n"/>
      <c r="E317" s="186" t="n"/>
      <c r="F317" s="209" t="n"/>
      <c r="G317" s="209" t="n"/>
      <c r="H317" s="209" t="n"/>
      <c r="I317" s="209" t="n"/>
      <c r="J317" s="209" t="n"/>
      <c r="K317" s="186" t="n"/>
      <c r="L317" s="186" t="n"/>
      <c r="M317" s="186" t="n"/>
      <c r="N317" s="186" t="n"/>
      <c r="O317" s="186" t="n"/>
      <c r="P317" s="186" t="n"/>
      <c r="Q317" s="186" t="n"/>
      <c r="R317" s="186" t="n"/>
      <c r="S317" s="186" t="n"/>
      <c r="T317" s="186" t="n"/>
      <c r="U317" s="186" t="n"/>
      <c r="V317" s="186" t="n"/>
      <c r="W317" s="186" t="n"/>
      <c r="X317" s="186" t="n"/>
      <c r="Y317" s="186" t="n"/>
      <c r="Z317" s="186" t="n"/>
      <c r="AA317" s="186" t="n"/>
      <c r="AB317" s="186" t="n"/>
    </row>
    <row r="318">
      <c r="A318" s="186" t="n"/>
      <c r="B318" s="186" t="n"/>
      <c r="C318" s="186" t="n"/>
      <c r="D318" s="186" t="n"/>
      <c r="E318" s="186" t="n"/>
      <c r="F318" s="209" t="n"/>
      <c r="G318" s="209" t="n"/>
      <c r="H318" s="209" t="n"/>
      <c r="I318" s="209" t="n"/>
      <c r="J318" s="209" t="n"/>
      <c r="K318" s="186" t="n"/>
      <c r="L318" s="186" t="n"/>
      <c r="M318" s="186" t="n"/>
      <c r="N318" s="186" t="n"/>
      <c r="O318" s="186" t="n"/>
      <c r="P318" s="186" t="n"/>
      <c r="Q318" s="186" t="n"/>
      <c r="R318" s="186" t="n"/>
      <c r="S318" s="186" t="n"/>
      <c r="T318" s="186" t="n"/>
      <c r="U318" s="186" t="n"/>
      <c r="V318" s="186" t="n"/>
      <c r="W318" s="186" t="n"/>
      <c r="X318" s="186" t="n"/>
      <c r="Y318" s="186" t="n"/>
      <c r="Z318" s="186" t="n"/>
      <c r="AA318" s="186" t="n"/>
      <c r="AB318" s="186" t="n"/>
    </row>
    <row r="319">
      <c r="A319" s="186" t="n"/>
      <c r="B319" s="186" t="n"/>
      <c r="C319" s="186" t="n"/>
      <c r="D319" s="186" t="n"/>
      <c r="E319" s="186" t="n"/>
      <c r="F319" s="209" t="n"/>
      <c r="G319" s="209" t="n"/>
      <c r="H319" s="209" t="n"/>
      <c r="I319" s="209" t="n"/>
      <c r="J319" s="209" t="n"/>
      <c r="K319" s="186" t="n"/>
      <c r="L319" s="186" t="n"/>
      <c r="M319" s="186" t="n"/>
      <c r="N319" s="186" t="n"/>
      <c r="O319" s="186" t="n"/>
      <c r="P319" s="186" t="n"/>
      <c r="Q319" s="186" t="n"/>
      <c r="R319" s="186" t="n"/>
      <c r="S319" s="186" t="n"/>
      <c r="T319" s="186" t="n"/>
      <c r="U319" s="186" t="n"/>
      <c r="V319" s="186" t="n"/>
      <c r="W319" s="186" t="n"/>
      <c r="X319" s="186" t="n"/>
      <c r="Y319" s="186" t="n"/>
      <c r="Z319" s="186" t="n"/>
      <c r="AA319" s="186" t="n"/>
      <c r="AB319" s="186" t="n"/>
    </row>
    <row r="320">
      <c r="A320" s="186" t="n"/>
      <c r="B320" s="186" t="n"/>
      <c r="C320" s="186" t="n"/>
      <c r="D320" s="186" t="n"/>
      <c r="E320" s="186" t="n"/>
      <c r="F320" s="209" t="n"/>
      <c r="G320" s="209" t="n"/>
      <c r="H320" s="209" t="n"/>
      <c r="I320" s="209" t="n"/>
      <c r="J320" s="209" t="n"/>
      <c r="K320" s="186" t="n"/>
      <c r="L320" s="186" t="n"/>
      <c r="M320" s="186" t="n"/>
      <c r="N320" s="186" t="n"/>
      <c r="O320" s="186" t="n"/>
      <c r="P320" s="186" t="n"/>
      <c r="Q320" s="186" t="n"/>
      <c r="R320" s="186" t="n"/>
      <c r="S320" s="186" t="n"/>
      <c r="T320" s="186" t="n"/>
      <c r="U320" s="186" t="n"/>
      <c r="V320" s="186" t="n"/>
      <c r="W320" s="186" t="n"/>
      <c r="X320" s="186" t="n"/>
      <c r="Y320" s="186" t="n"/>
      <c r="Z320" s="186" t="n"/>
      <c r="AA320" s="186" t="n"/>
      <c r="AB320" s="186" t="n"/>
    </row>
    <row r="321">
      <c r="A321" s="186" t="n"/>
      <c r="B321" s="186" t="n"/>
      <c r="C321" s="186" t="n"/>
      <c r="D321" s="186" t="n"/>
      <c r="E321" s="186" t="n"/>
      <c r="F321" s="209" t="n"/>
      <c r="G321" s="209" t="n"/>
      <c r="H321" s="209" t="n"/>
      <c r="I321" s="209" t="n"/>
      <c r="J321" s="209" t="n"/>
      <c r="K321" s="186" t="n"/>
      <c r="L321" s="186" t="n"/>
      <c r="M321" s="186" t="n"/>
      <c r="N321" s="186" t="n"/>
      <c r="O321" s="186" t="n"/>
      <c r="P321" s="186" t="n"/>
      <c r="Q321" s="186" t="n"/>
      <c r="R321" s="186" t="n"/>
      <c r="S321" s="186" t="n"/>
      <c r="T321" s="186" t="n"/>
      <c r="U321" s="186" t="n"/>
      <c r="V321" s="186" t="n"/>
      <c r="W321" s="186" t="n"/>
      <c r="X321" s="186" t="n"/>
      <c r="Y321" s="186" t="n"/>
      <c r="Z321" s="186" t="n"/>
      <c r="AA321" s="186" t="n"/>
      <c r="AB321" s="186" t="n"/>
    </row>
    <row r="322">
      <c r="A322" s="186" t="n"/>
      <c r="B322" s="186" t="n"/>
      <c r="C322" s="186" t="n"/>
      <c r="D322" s="186" t="n"/>
      <c r="E322" s="186" t="n"/>
      <c r="F322" s="209" t="n"/>
      <c r="G322" s="209" t="n"/>
      <c r="H322" s="209" t="n"/>
      <c r="I322" s="209" t="n"/>
      <c r="J322" s="209" t="n"/>
      <c r="K322" s="186" t="n"/>
      <c r="L322" s="186" t="n"/>
      <c r="M322" s="186" t="n"/>
      <c r="N322" s="186" t="n"/>
      <c r="O322" s="186" t="n"/>
      <c r="P322" s="186" t="n"/>
      <c r="Q322" s="186" t="n"/>
      <c r="R322" s="186" t="n"/>
      <c r="S322" s="186" t="n"/>
      <c r="T322" s="186" t="n"/>
      <c r="U322" s="186" t="n"/>
      <c r="V322" s="186" t="n"/>
      <c r="W322" s="186" t="n"/>
      <c r="X322" s="186" t="n"/>
      <c r="Y322" s="186" t="n"/>
      <c r="Z322" s="186" t="n"/>
      <c r="AA322" s="186" t="n"/>
      <c r="AB322" s="186" t="n"/>
    </row>
    <row r="323">
      <c r="A323" s="186" t="n"/>
      <c r="B323" s="186" t="n"/>
      <c r="C323" s="186" t="n"/>
      <c r="D323" s="186" t="n"/>
      <c r="E323" s="186" t="n"/>
      <c r="F323" s="209" t="n"/>
      <c r="G323" s="209" t="n"/>
      <c r="H323" s="209" t="n"/>
      <c r="I323" s="209" t="n"/>
      <c r="J323" s="209" t="n"/>
      <c r="K323" s="186" t="n"/>
      <c r="L323" s="186" t="n"/>
      <c r="M323" s="186" t="n"/>
      <c r="N323" s="186" t="n"/>
      <c r="O323" s="186" t="n"/>
      <c r="P323" s="186" t="n"/>
      <c r="Q323" s="186" t="n"/>
      <c r="R323" s="186" t="n"/>
      <c r="S323" s="186" t="n"/>
      <c r="T323" s="186" t="n"/>
      <c r="U323" s="186" t="n"/>
      <c r="V323" s="186" t="n"/>
      <c r="W323" s="186" t="n"/>
      <c r="X323" s="186" t="n"/>
      <c r="Y323" s="186" t="n"/>
      <c r="Z323" s="186" t="n"/>
      <c r="AA323" s="186" t="n"/>
      <c r="AB323" s="186" t="n"/>
    </row>
    <row r="324">
      <c r="A324" s="186" t="n"/>
      <c r="B324" s="186" t="n"/>
      <c r="C324" s="186" t="n"/>
      <c r="D324" s="186" t="n"/>
      <c r="E324" s="186" t="n"/>
      <c r="F324" s="209" t="n"/>
      <c r="G324" s="209" t="n"/>
      <c r="H324" s="209" t="n"/>
      <c r="I324" s="209" t="n"/>
      <c r="J324" s="209" t="n"/>
      <c r="K324" s="186" t="n"/>
      <c r="L324" s="186" t="n"/>
      <c r="M324" s="186" t="n"/>
      <c r="N324" s="186" t="n"/>
      <c r="O324" s="186" t="n"/>
      <c r="P324" s="186" t="n"/>
      <c r="Q324" s="186" t="n"/>
      <c r="R324" s="186" t="n"/>
      <c r="S324" s="186" t="n"/>
      <c r="T324" s="186" t="n"/>
      <c r="U324" s="186" t="n"/>
      <c r="V324" s="186" t="n"/>
      <c r="W324" s="186" t="n"/>
      <c r="X324" s="186" t="n"/>
      <c r="Y324" s="186" t="n"/>
      <c r="Z324" s="186" t="n"/>
      <c r="AA324" s="186" t="n"/>
      <c r="AB324" s="186" t="n"/>
    </row>
    <row r="325">
      <c r="A325" s="186" t="n"/>
      <c r="B325" s="186" t="n"/>
      <c r="C325" s="186" t="n"/>
      <c r="D325" s="186" t="n"/>
      <c r="E325" s="186" t="n"/>
      <c r="F325" s="209" t="n"/>
      <c r="G325" s="209" t="n"/>
      <c r="H325" s="209" t="n"/>
      <c r="I325" s="209" t="n"/>
      <c r="J325" s="209" t="n"/>
      <c r="K325" s="186" t="n"/>
      <c r="L325" s="186" t="n"/>
      <c r="M325" s="186" t="n"/>
      <c r="N325" s="186" t="n"/>
      <c r="O325" s="186" t="n"/>
      <c r="P325" s="186" t="n"/>
      <c r="Q325" s="186" t="n"/>
      <c r="R325" s="186" t="n"/>
      <c r="S325" s="186" t="n"/>
      <c r="T325" s="186" t="n"/>
      <c r="U325" s="186" t="n"/>
      <c r="V325" s="186" t="n"/>
      <c r="W325" s="186" t="n"/>
      <c r="X325" s="186" t="n"/>
      <c r="Y325" s="186" t="n"/>
      <c r="Z325" s="186" t="n"/>
      <c r="AA325" s="186" t="n"/>
      <c r="AB325" s="186" t="n"/>
    </row>
    <row r="326">
      <c r="A326" s="186" t="n"/>
      <c r="B326" s="186" t="n"/>
      <c r="C326" s="186" t="n"/>
      <c r="D326" s="186" t="n"/>
      <c r="E326" s="186" t="n"/>
      <c r="F326" s="209" t="n"/>
      <c r="G326" s="209" t="n"/>
      <c r="H326" s="209" t="n"/>
      <c r="I326" s="209" t="n"/>
      <c r="J326" s="209" t="n"/>
      <c r="K326" s="186" t="n"/>
      <c r="L326" s="186" t="n"/>
      <c r="M326" s="186" t="n"/>
      <c r="N326" s="186" t="n"/>
      <c r="O326" s="186" t="n"/>
      <c r="P326" s="186" t="n"/>
      <c r="Q326" s="186" t="n"/>
      <c r="R326" s="186" t="n"/>
      <c r="S326" s="186" t="n"/>
      <c r="T326" s="186" t="n"/>
      <c r="U326" s="186" t="n"/>
      <c r="V326" s="186" t="n"/>
      <c r="W326" s="186" t="n"/>
      <c r="X326" s="186" t="n"/>
      <c r="Y326" s="186" t="n"/>
      <c r="Z326" s="186" t="n"/>
      <c r="AA326" s="186" t="n"/>
      <c r="AB326" s="186" t="n"/>
    </row>
    <row r="327">
      <c r="A327" s="186" t="n"/>
      <c r="B327" s="186" t="n"/>
      <c r="C327" s="186" t="n"/>
      <c r="D327" s="186" t="n"/>
      <c r="E327" s="186" t="n"/>
      <c r="F327" s="209" t="n"/>
      <c r="G327" s="209" t="n"/>
      <c r="H327" s="209" t="n"/>
      <c r="I327" s="209" t="n"/>
      <c r="J327" s="209" t="n"/>
      <c r="K327" s="186" t="n"/>
      <c r="L327" s="186" t="n"/>
      <c r="M327" s="186" t="n"/>
      <c r="N327" s="186" t="n"/>
      <c r="O327" s="186" t="n"/>
      <c r="P327" s="186" t="n"/>
      <c r="Q327" s="186" t="n"/>
      <c r="R327" s="186" t="n"/>
      <c r="S327" s="186" t="n"/>
      <c r="T327" s="186" t="n"/>
      <c r="U327" s="186" t="n"/>
      <c r="V327" s="186" t="n"/>
      <c r="W327" s="186" t="n"/>
      <c r="X327" s="186" t="n"/>
      <c r="Y327" s="186" t="n"/>
      <c r="Z327" s="186" t="n"/>
      <c r="AA327" s="186" t="n"/>
      <c r="AB327" s="186" t="n"/>
    </row>
    <row r="328">
      <c r="A328" s="186" t="n"/>
      <c r="B328" s="186" t="n"/>
      <c r="C328" s="186" t="n"/>
      <c r="D328" s="186" t="n"/>
      <c r="E328" s="186" t="n"/>
      <c r="F328" s="209" t="n"/>
      <c r="G328" s="209" t="n"/>
      <c r="H328" s="209" t="n"/>
      <c r="I328" s="209" t="n"/>
      <c r="J328" s="209" t="n"/>
      <c r="K328" s="186" t="n"/>
      <c r="L328" s="186" t="n"/>
      <c r="M328" s="186" t="n"/>
      <c r="N328" s="186" t="n"/>
      <c r="O328" s="186" t="n"/>
      <c r="P328" s="186" t="n"/>
      <c r="Q328" s="186" t="n"/>
      <c r="R328" s="186" t="n"/>
      <c r="S328" s="186" t="n"/>
      <c r="T328" s="186" t="n"/>
      <c r="U328" s="186" t="n"/>
      <c r="V328" s="186" t="n"/>
      <c r="W328" s="186" t="n"/>
      <c r="X328" s="186" t="n"/>
      <c r="Y328" s="186" t="n"/>
      <c r="Z328" s="186" t="n"/>
      <c r="AA328" s="186" t="n"/>
      <c r="AB328" s="186" t="n"/>
    </row>
    <row r="329">
      <c r="A329" s="186" t="n"/>
      <c r="B329" s="186" t="n"/>
      <c r="C329" s="186" t="n"/>
      <c r="D329" s="186" t="n"/>
      <c r="E329" s="186" t="n"/>
      <c r="F329" s="209" t="n"/>
      <c r="G329" s="209" t="n"/>
      <c r="H329" s="209" t="n"/>
      <c r="I329" s="209" t="n"/>
      <c r="J329" s="209" t="n"/>
      <c r="K329" s="186" t="n"/>
      <c r="L329" s="186" t="n"/>
      <c r="M329" s="186" t="n"/>
      <c r="N329" s="186" t="n"/>
      <c r="O329" s="186" t="n"/>
      <c r="P329" s="186" t="n"/>
      <c r="Q329" s="186" t="n"/>
      <c r="R329" s="186" t="n"/>
      <c r="S329" s="186" t="n"/>
      <c r="T329" s="186" t="n"/>
      <c r="U329" s="186" t="n"/>
      <c r="V329" s="186" t="n"/>
      <c r="W329" s="186" t="n"/>
      <c r="X329" s="186" t="n"/>
      <c r="Y329" s="186" t="n"/>
      <c r="Z329" s="186" t="n"/>
      <c r="AA329" s="186" t="n"/>
      <c r="AB329" s="186" t="n"/>
    </row>
    <row r="330">
      <c r="A330" s="186" t="n"/>
      <c r="B330" s="186" t="n"/>
      <c r="C330" s="186" t="n"/>
      <c r="D330" s="186" t="n"/>
      <c r="E330" s="186" t="n"/>
      <c r="F330" s="209" t="n"/>
      <c r="G330" s="209" t="n"/>
      <c r="H330" s="209" t="n"/>
      <c r="I330" s="209" t="n"/>
      <c r="J330" s="209" t="n"/>
      <c r="K330" s="186" t="n"/>
      <c r="L330" s="186" t="n"/>
      <c r="M330" s="186" t="n"/>
      <c r="N330" s="186" t="n"/>
      <c r="O330" s="186" t="n"/>
      <c r="P330" s="186" t="n"/>
      <c r="Q330" s="186" t="n"/>
      <c r="R330" s="186" t="n"/>
      <c r="S330" s="186" t="n"/>
      <c r="T330" s="186" t="n"/>
      <c r="U330" s="186" t="n"/>
      <c r="V330" s="186" t="n"/>
      <c r="W330" s="186" t="n"/>
      <c r="X330" s="186" t="n"/>
      <c r="Y330" s="186" t="n"/>
      <c r="Z330" s="186" t="n"/>
      <c r="AA330" s="186" t="n"/>
      <c r="AB330" s="186" t="n"/>
    </row>
    <row r="331">
      <c r="A331" s="186" t="n"/>
      <c r="B331" s="186" t="n"/>
      <c r="C331" s="186" t="n"/>
      <c r="D331" s="186" t="n"/>
      <c r="E331" s="186" t="n"/>
      <c r="F331" s="209" t="n"/>
      <c r="G331" s="209" t="n"/>
      <c r="H331" s="209" t="n"/>
      <c r="I331" s="209" t="n"/>
      <c r="J331" s="209" t="n"/>
      <c r="K331" s="186" t="n"/>
      <c r="L331" s="186" t="n"/>
      <c r="M331" s="186" t="n"/>
      <c r="N331" s="186" t="n"/>
      <c r="O331" s="186" t="n"/>
      <c r="P331" s="186" t="n"/>
      <c r="Q331" s="186" t="n"/>
      <c r="R331" s="186" t="n"/>
      <c r="S331" s="186" t="n"/>
      <c r="T331" s="186" t="n"/>
      <c r="U331" s="186" t="n"/>
      <c r="V331" s="186" t="n"/>
      <c r="W331" s="186" t="n"/>
      <c r="X331" s="186" t="n"/>
      <c r="Y331" s="186" t="n"/>
      <c r="Z331" s="186" t="n"/>
      <c r="AA331" s="186" t="n"/>
      <c r="AB331" s="186" t="n"/>
    </row>
    <row r="332">
      <c r="A332" s="186" t="n"/>
      <c r="B332" s="186" t="n"/>
      <c r="C332" s="186" t="n"/>
      <c r="D332" s="186" t="n"/>
      <c r="E332" s="186" t="n"/>
      <c r="F332" s="209" t="n"/>
      <c r="G332" s="209" t="n"/>
      <c r="H332" s="209" t="n"/>
      <c r="I332" s="209" t="n"/>
      <c r="J332" s="209" t="n"/>
      <c r="K332" s="186" t="n"/>
      <c r="L332" s="186" t="n"/>
      <c r="M332" s="186" t="n"/>
      <c r="N332" s="186" t="n"/>
      <c r="O332" s="186" t="n"/>
      <c r="P332" s="186" t="n"/>
      <c r="Q332" s="186" t="n"/>
      <c r="R332" s="186" t="n"/>
      <c r="S332" s="186" t="n"/>
      <c r="T332" s="186" t="n"/>
      <c r="U332" s="186" t="n"/>
      <c r="V332" s="186" t="n"/>
      <c r="W332" s="186" t="n"/>
      <c r="X332" s="186" t="n"/>
      <c r="Y332" s="186" t="n"/>
      <c r="Z332" s="186" t="n"/>
      <c r="AA332" s="186" t="n"/>
      <c r="AB332" s="186" t="n"/>
    </row>
    <row r="333">
      <c r="A333" s="186" t="n"/>
      <c r="B333" s="186" t="n"/>
      <c r="C333" s="186" t="n"/>
      <c r="D333" s="186" t="n"/>
      <c r="E333" s="186" t="n"/>
      <c r="F333" s="209" t="n"/>
      <c r="G333" s="209" t="n"/>
      <c r="H333" s="209" t="n"/>
      <c r="I333" s="209" t="n"/>
      <c r="J333" s="209" t="n"/>
      <c r="K333" s="186" t="n"/>
      <c r="L333" s="186" t="n"/>
      <c r="M333" s="186" t="n"/>
      <c r="N333" s="186" t="n"/>
      <c r="O333" s="186" t="n"/>
      <c r="P333" s="186" t="n"/>
      <c r="Q333" s="186" t="n"/>
      <c r="R333" s="186" t="n"/>
      <c r="S333" s="186" t="n"/>
      <c r="T333" s="186" t="n"/>
      <c r="U333" s="186" t="n"/>
      <c r="V333" s="186" t="n"/>
      <c r="W333" s="186" t="n"/>
      <c r="X333" s="186" t="n"/>
      <c r="Y333" s="186" t="n"/>
      <c r="Z333" s="186" t="n"/>
      <c r="AA333" s="186" t="n"/>
      <c r="AB333" s="186" t="n"/>
    </row>
    <row r="334">
      <c r="A334" s="186" t="n"/>
      <c r="B334" s="186" t="n"/>
      <c r="C334" s="186" t="n"/>
      <c r="D334" s="186" t="n"/>
      <c r="E334" s="186" t="n"/>
      <c r="F334" s="209" t="n"/>
      <c r="G334" s="209" t="n"/>
      <c r="H334" s="209" t="n"/>
      <c r="I334" s="209" t="n"/>
      <c r="J334" s="209" t="n"/>
      <c r="K334" s="186" t="n"/>
      <c r="L334" s="186" t="n"/>
      <c r="M334" s="186" t="n"/>
      <c r="N334" s="186" t="n"/>
      <c r="O334" s="186" t="n"/>
      <c r="P334" s="186" t="n"/>
      <c r="Q334" s="186" t="n"/>
      <c r="R334" s="186" t="n"/>
      <c r="S334" s="186" t="n"/>
      <c r="T334" s="186" t="n"/>
      <c r="U334" s="186" t="n"/>
      <c r="V334" s="186" t="n"/>
      <c r="W334" s="186" t="n"/>
      <c r="X334" s="186" t="n"/>
      <c r="Y334" s="186" t="n"/>
      <c r="Z334" s="186" t="n"/>
      <c r="AA334" s="186" t="n"/>
      <c r="AB334" s="186" t="n"/>
    </row>
    <row r="335">
      <c r="A335" s="186" t="n"/>
      <c r="B335" s="186" t="n"/>
      <c r="C335" s="186" t="n"/>
      <c r="D335" s="186" t="n"/>
      <c r="E335" s="186" t="n"/>
      <c r="F335" s="209" t="n"/>
      <c r="G335" s="209" t="n"/>
      <c r="H335" s="209" t="n"/>
      <c r="I335" s="209" t="n"/>
      <c r="J335" s="209" t="n"/>
      <c r="K335" s="186" t="n"/>
      <c r="L335" s="186" t="n"/>
      <c r="M335" s="186" t="n"/>
      <c r="N335" s="186" t="n"/>
      <c r="O335" s="186" t="n"/>
      <c r="P335" s="186" t="n"/>
      <c r="Q335" s="186" t="n"/>
      <c r="R335" s="186" t="n"/>
      <c r="S335" s="186" t="n"/>
      <c r="T335" s="186" t="n"/>
      <c r="U335" s="186" t="n"/>
      <c r="V335" s="186" t="n"/>
      <c r="W335" s="186" t="n"/>
      <c r="X335" s="186" t="n"/>
      <c r="Y335" s="186" t="n"/>
      <c r="Z335" s="186" t="n"/>
      <c r="AA335" s="186" t="n"/>
      <c r="AB335" s="186" t="n"/>
    </row>
    <row r="336">
      <c r="A336" s="186" t="n"/>
      <c r="B336" s="186" t="n"/>
      <c r="C336" s="186" t="n"/>
      <c r="D336" s="186" t="n"/>
      <c r="E336" s="186" t="n"/>
      <c r="F336" s="209" t="n"/>
      <c r="G336" s="209" t="n"/>
      <c r="H336" s="209" t="n"/>
      <c r="I336" s="209" t="n"/>
      <c r="J336" s="209" t="n"/>
      <c r="K336" s="186" t="n"/>
      <c r="L336" s="186" t="n"/>
      <c r="M336" s="186" t="n"/>
      <c r="N336" s="186" t="n"/>
      <c r="O336" s="186" t="n"/>
      <c r="P336" s="186" t="n"/>
      <c r="Q336" s="186" t="n"/>
      <c r="R336" s="186" t="n"/>
      <c r="S336" s="186" t="n"/>
      <c r="T336" s="186" t="n"/>
      <c r="U336" s="186" t="n"/>
      <c r="V336" s="186" t="n"/>
      <c r="W336" s="186" t="n"/>
      <c r="X336" s="186" t="n"/>
      <c r="Y336" s="186" t="n"/>
      <c r="Z336" s="186" t="n"/>
      <c r="AA336" s="186" t="n"/>
      <c r="AB336" s="186" t="n"/>
    </row>
    <row r="337">
      <c r="A337" s="186" t="n"/>
      <c r="B337" s="186" t="n"/>
      <c r="C337" s="186" t="n"/>
      <c r="D337" s="186" t="n"/>
      <c r="E337" s="186" t="n"/>
      <c r="F337" s="209" t="n"/>
      <c r="G337" s="209" t="n"/>
      <c r="H337" s="209" t="n"/>
      <c r="I337" s="209" t="n"/>
      <c r="J337" s="209" t="n"/>
      <c r="K337" s="186" t="n"/>
      <c r="L337" s="186" t="n"/>
      <c r="M337" s="186" t="n"/>
      <c r="N337" s="186" t="n"/>
      <c r="O337" s="186" t="n"/>
      <c r="P337" s="186" t="n"/>
      <c r="Q337" s="186" t="n"/>
      <c r="R337" s="186" t="n"/>
      <c r="S337" s="186" t="n"/>
      <c r="T337" s="186" t="n"/>
      <c r="U337" s="186" t="n"/>
      <c r="V337" s="186" t="n"/>
      <c r="W337" s="186" t="n"/>
      <c r="X337" s="186" t="n"/>
      <c r="Y337" s="186" t="n"/>
      <c r="Z337" s="186" t="n"/>
      <c r="AA337" s="186" t="n"/>
      <c r="AB337" s="186" t="n"/>
    </row>
    <row r="338">
      <c r="A338" s="186" t="n"/>
      <c r="B338" s="186" t="n"/>
      <c r="C338" s="186" t="n"/>
      <c r="D338" s="186" t="n"/>
      <c r="E338" s="186" t="n"/>
      <c r="F338" s="209" t="n"/>
      <c r="G338" s="209" t="n"/>
      <c r="H338" s="209" t="n"/>
      <c r="I338" s="209" t="n"/>
      <c r="J338" s="209" t="n"/>
      <c r="K338" s="186" t="n"/>
      <c r="L338" s="186" t="n"/>
      <c r="M338" s="186" t="n"/>
      <c r="N338" s="186" t="n"/>
      <c r="O338" s="186" t="n"/>
      <c r="P338" s="186" t="n"/>
      <c r="Q338" s="186" t="n"/>
      <c r="R338" s="186" t="n"/>
      <c r="S338" s="186" t="n"/>
      <c r="T338" s="186" t="n"/>
      <c r="U338" s="186" t="n"/>
      <c r="V338" s="186" t="n"/>
      <c r="W338" s="186" t="n"/>
      <c r="X338" s="186" t="n"/>
      <c r="Y338" s="186" t="n"/>
      <c r="Z338" s="186" t="n"/>
      <c r="AA338" s="186" t="n"/>
      <c r="AB338" s="186" t="n"/>
    </row>
    <row r="339">
      <c r="A339" s="186" t="n"/>
      <c r="B339" s="186" t="n"/>
      <c r="C339" s="186" t="n"/>
      <c r="D339" s="186" t="n"/>
      <c r="E339" s="186" t="n"/>
      <c r="F339" s="209" t="n"/>
      <c r="G339" s="209" t="n"/>
      <c r="H339" s="209" t="n"/>
      <c r="I339" s="209" t="n"/>
      <c r="J339" s="209" t="n"/>
      <c r="K339" s="186" t="n"/>
      <c r="L339" s="186" t="n"/>
      <c r="M339" s="186" t="n"/>
      <c r="N339" s="186" t="n"/>
      <c r="O339" s="186" t="n"/>
      <c r="P339" s="186" t="n"/>
      <c r="Q339" s="186" t="n"/>
      <c r="R339" s="186" t="n"/>
      <c r="S339" s="186" t="n"/>
      <c r="T339" s="186" t="n"/>
      <c r="U339" s="186" t="n"/>
      <c r="V339" s="186" t="n"/>
      <c r="W339" s="186" t="n"/>
      <c r="X339" s="186" t="n"/>
      <c r="Y339" s="186" t="n"/>
      <c r="Z339" s="186" t="n"/>
      <c r="AA339" s="186" t="n"/>
      <c r="AB339" s="186" t="n"/>
    </row>
    <row r="340">
      <c r="A340" s="186" t="n"/>
      <c r="B340" s="186" t="n"/>
      <c r="C340" s="186" t="n"/>
      <c r="D340" s="186" t="n"/>
      <c r="E340" s="186" t="n"/>
      <c r="F340" s="209" t="n"/>
      <c r="G340" s="209" t="n"/>
      <c r="H340" s="209" t="n"/>
      <c r="I340" s="209" t="n"/>
      <c r="J340" s="209" t="n"/>
      <c r="K340" s="186" t="n"/>
      <c r="L340" s="186" t="n"/>
      <c r="M340" s="186" t="n"/>
      <c r="N340" s="186" t="n"/>
      <c r="O340" s="186" t="n"/>
      <c r="P340" s="186" t="n"/>
      <c r="Q340" s="186" t="n"/>
      <c r="R340" s="186" t="n"/>
      <c r="S340" s="186" t="n"/>
      <c r="T340" s="186" t="n"/>
      <c r="U340" s="186" t="n"/>
      <c r="V340" s="186" t="n"/>
      <c r="W340" s="186" t="n"/>
      <c r="X340" s="186" t="n"/>
      <c r="Y340" s="186" t="n"/>
      <c r="Z340" s="186" t="n"/>
      <c r="AA340" s="186" t="n"/>
      <c r="AB340" s="186" t="n"/>
    </row>
    <row r="341">
      <c r="A341" s="186" t="n"/>
      <c r="B341" s="186" t="n"/>
      <c r="C341" s="186" t="n"/>
      <c r="D341" s="186" t="n"/>
      <c r="E341" s="186" t="n"/>
      <c r="F341" s="209" t="n"/>
      <c r="G341" s="209" t="n"/>
      <c r="H341" s="209" t="n"/>
      <c r="I341" s="209" t="n"/>
      <c r="J341" s="209" t="n"/>
      <c r="K341" s="186" t="n"/>
      <c r="L341" s="186" t="n"/>
      <c r="M341" s="186" t="n"/>
      <c r="N341" s="186" t="n"/>
      <c r="O341" s="186" t="n"/>
      <c r="P341" s="186" t="n"/>
      <c r="Q341" s="186" t="n"/>
      <c r="R341" s="186" t="n"/>
      <c r="S341" s="186" t="n"/>
      <c r="T341" s="186" t="n"/>
      <c r="U341" s="186" t="n"/>
      <c r="V341" s="186" t="n"/>
      <c r="W341" s="186" t="n"/>
      <c r="X341" s="186" t="n"/>
      <c r="Y341" s="186" t="n"/>
      <c r="Z341" s="186" t="n"/>
      <c r="AA341" s="186" t="n"/>
      <c r="AB341" s="186" t="n"/>
    </row>
    <row r="342">
      <c r="A342" s="186" t="n"/>
      <c r="B342" s="186" t="n"/>
      <c r="C342" s="186" t="n"/>
      <c r="D342" s="186" t="n"/>
      <c r="E342" s="186" t="n"/>
      <c r="F342" s="209" t="n"/>
      <c r="G342" s="209" t="n"/>
      <c r="H342" s="209" t="n"/>
      <c r="I342" s="209" t="n"/>
      <c r="J342" s="209" t="n"/>
      <c r="K342" s="186" t="n"/>
      <c r="L342" s="186" t="n"/>
      <c r="M342" s="186" t="n"/>
      <c r="N342" s="186" t="n"/>
      <c r="O342" s="186" t="n"/>
      <c r="P342" s="186" t="n"/>
      <c r="Q342" s="186" t="n"/>
      <c r="R342" s="186" t="n"/>
      <c r="S342" s="186" t="n"/>
      <c r="T342" s="186" t="n"/>
      <c r="U342" s="186" t="n"/>
      <c r="V342" s="186" t="n"/>
      <c r="W342" s="186" t="n"/>
      <c r="X342" s="186" t="n"/>
      <c r="Y342" s="186" t="n"/>
      <c r="Z342" s="186" t="n"/>
      <c r="AA342" s="186" t="n"/>
      <c r="AB342" s="186" t="n"/>
    </row>
    <row r="343">
      <c r="A343" s="186" t="n"/>
      <c r="B343" s="186" t="n"/>
      <c r="C343" s="186" t="n"/>
      <c r="D343" s="186" t="n"/>
      <c r="E343" s="186" t="n"/>
      <c r="F343" s="209" t="n"/>
      <c r="G343" s="209" t="n"/>
      <c r="H343" s="209" t="n"/>
      <c r="I343" s="209" t="n"/>
      <c r="J343" s="209" t="n"/>
      <c r="K343" s="186" t="n"/>
      <c r="L343" s="186" t="n"/>
      <c r="M343" s="186" t="n"/>
      <c r="N343" s="186" t="n"/>
      <c r="O343" s="186" t="n"/>
      <c r="P343" s="186" t="n"/>
      <c r="Q343" s="186" t="n"/>
      <c r="R343" s="186" t="n"/>
      <c r="S343" s="186" t="n"/>
      <c r="T343" s="186" t="n"/>
      <c r="U343" s="186" t="n"/>
      <c r="V343" s="186" t="n"/>
      <c r="W343" s="186" t="n"/>
      <c r="X343" s="186" t="n"/>
      <c r="Y343" s="186" t="n"/>
      <c r="Z343" s="186" t="n"/>
      <c r="AA343" s="186" t="n"/>
      <c r="AB343" s="186" t="n"/>
    </row>
    <row r="344">
      <c r="A344" s="186" t="n"/>
      <c r="B344" s="186" t="n"/>
      <c r="C344" s="186" t="n"/>
      <c r="D344" s="186" t="n"/>
      <c r="E344" s="186" t="n"/>
      <c r="F344" s="209" t="n"/>
      <c r="G344" s="209" t="n"/>
      <c r="H344" s="209" t="n"/>
      <c r="I344" s="209" t="n"/>
      <c r="J344" s="209" t="n"/>
      <c r="K344" s="186" t="n"/>
      <c r="L344" s="186" t="n"/>
      <c r="M344" s="186" t="n"/>
      <c r="N344" s="186" t="n"/>
      <c r="O344" s="186" t="n"/>
      <c r="P344" s="186" t="n"/>
      <c r="Q344" s="186" t="n"/>
      <c r="R344" s="186" t="n"/>
      <c r="S344" s="186" t="n"/>
      <c r="T344" s="186" t="n"/>
      <c r="U344" s="186" t="n"/>
      <c r="V344" s="186" t="n"/>
      <c r="W344" s="186" t="n"/>
      <c r="X344" s="186" t="n"/>
      <c r="Y344" s="186" t="n"/>
      <c r="Z344" s="186" t="n"/>
      <c r="AA344" s="186" t="n"/>
      <c r="AB344" s="186" t="n"/>
    </row>
    <row r="345">
      <c r="A345" s="186" t="n"/>
      <c r="B345" s="186" t="n"/>
      <c r="C345" s="186" t="n"/>
      <c r="D345" s="186" t="n"/>
      <c r="E345" s="186" t="n"/>
      <c r="F345" s="209" t="n"/>
      <c r="G345" s="209" t="n"/>
      <c r="H345" s="209" t="n"/>
      <c r="I345" s="209" t="n"/>
      <c r="J345" s="209" t="n"/>
      <c r="K345" s="186" t="n"/>
      <c r="L345" s="186" t="n"/>
      <c r="M345" s="186" t="n"/>
      <c r="N345" s="186" t="n"/>
      <c r="O345" s="186" t="n"/>
      <c r="P345" s="186" t="n"/>
      <c r="Q345" s="186" t="n"/>
      <c r="R345" s="186" t="n"/>
      <c r="S345" s="186" t="n"/>
      <c r="T345" s="186" t="n"/>
      <c r="U345" s="186" t="n"/>
      <c r="V345" s="186" t="n"/>
      <c r="W345" s="186" t="n"/>
      <c r="X345" s="186" t="n"/>
      <c r="Y345" s="186" t="n"/>
      <c r="Z345" s="186" t="n"/>
      <c r="AA345" s="186" t="n"/>
      <c r="AB345" s="186" t="n"/>
    </row>
    <row r="346">
      <c r="A346" s="186" t="n"/>
      <c r="B346" s="186" t="n"/>
      <c r="C346" s="186" t="n"/>
      <c r="D346" s="186" t="n"/>
      <c r="E346" s="186" t="n"/>
      <c r="F346" s="209" t="n"/>
      <c r="G346" s="209" t="n"/>
      <c r="H346" s="209" t="n"/>
      <c r="I346" s="209" t="n"/>
      <c r="J346" s="209" t="n"/>
      <c r="K346" s="186" t="n"/>
      <c r="L346" s="186" t="n"/>
      <c r="M346" s="186" t="n"/>
      <c r="N346" s="186" t="n"/>
      <c r="O346" s="186" t="n"/>
      <c r="P346" s="186" t="n"/>
      <c r="Q346" s="186" t="n"/>
      <c r="R346" s="186" t="n"/>
      <c r="S346" s="186" t="n"/>
      <c r="T346" s="186" t="n"/>
      <c r="U346" s="186" t="n"/>
      <c r="V346" s="186" t="n"/>
      <c r="W346" s="186" t="n"/>
      <c r="X346" s="186" t="n"/>
      <c r="Y346" s="186" t="n"/>
      <c r="Z346" s="186" t="n"/>
      <c r="AA346" s="186" t="n"/>
      <c r="AB346" s="186" t="n"/>
    </row>
    <row r="347">
      <c r="A347" s="186" t="n"/>
      <c r="B347" s="186" t="n"/>
      <c r="C347" s="186" t="n"/>
      <c r="D347" s="186" t="n"/>
      <c r="E347" s="186" t="n"/>
      <c r="F347" s="209" t="n"/>
      <c r="G347" s="209" t="n"/>
      <c r="H347" s="209" t="n"/>
      <c r="I347" s="209" t="n"/>
      <c r="J347" s="209" t="n"/>
      <c r="K347" s="186" t="n"/>
      <c r="L347" s="186" t="n"/>
      <c r="M347" s="186" t="n"/>
      <c r="N347" s="186" t="n"/>
      <c r="O347" s="186" t="n"/>
      <c r="P347" s="186" t="n"/>
      <c r="Q347" s="186" t="n"/>
      <c r="R347" s="186" t="n"/>
      <c r="S347" s="186" t="n"/>
      <c r="T347" s="186" t="n"/>
      <c r="U347" s="186" t="n"/>
      <c r="V347" s="186" t="n"/>
      <c r="W347" s="186" t="n"/>
      <c r="X347" s="186" t="n"/>
      <c r="Y347" s="186" t="n"/>
      <c r="Z347" s="186" t="n"/>
      <c r="AA347" s="186" t="n"/>
      <c r="AB347" s="186" t="n"/>
    </row>
    <row r="348">
      <c r="A348" s="186" t="n"/>
      <c r="B348" s="186" t="n"/>
      <c r="C348" s="186" t="n"/>
      <c r="D348" s="186" t="n"/>
      <c r="E348" s="186" t="n"/>
      <c r="F348" s="209" t="n"/>
      <c r="G348" s="209" t="n"/>
      <c r="H348" s="209" t="n"/>
      <c r="I348" s="209" t="n"/>
      <c r="J348" s="209" t="n"/>
      <c r="K348" s="186" t="n"/>
      <c r="L348" s="186" t="n"/>
      <c r="M348" s="186" t="n"/>
      <c r="N348" s="186" t="n"/>
      <c r="O348" s="186" t="n"/>
      <c r="P348" s="186" t="n"/>
      <c r="Q348" s="186" t="n"/>
      <c r="R348" s="186" t="n"/>
      <c r="S348" s="186" t="n"/>
      <c r="T348" s="186" t="n"/>
      <c r="U348" s="186" t="n"/>
      <c r="V348" s="186" t="n"/>
      <c r="W348" s="186" t="n"/>
      <c r="X348" s="186" t="n"/>
      <c r="Y348" s="186" t="n"/>
      <c r="Z348" s="186" t="n"/>
      <c r="AA348" s="186" t="n"/>
      <c r="AB348" s="186" t="n"/>
    </row>
    <row r="349">
      <c r="A349" s="186" t="n"/>
      <c r="B349" s="186" t="n"/>
      <c r="C349" s="186" t="n"/>
      <c r="D349" s="186" t="n"/>
      <c r="E349" s="186" t="n"/>
      <c r="F349" s="209" t="n"/>
      <c r="G349" s="209" t="n"/>
      <c r="H349" s="209" t="n"/>
      <c r="I349" s="209" t="n"/>
      <c r="J349" s="209" t="n"/>
      <c r="K349" s="186" t="n"/>
      <c r="L349" s="186" t="n"/>
      <c r="M349" s="186" t="n"/>
      <c r="N349" s="186" t="n"/>
      <c r="O349" s="186" t="n"/>
      <c r="P349" s="186" t="n"/>
      <c r="Q349" s="186" t="n"/>
      <c r="R349" s="186" t="n"/>
      <c r="S349" s="186" t="n"/>
      <c r="T349" s="186" t="n"/>
      <c r="U349" s="186" t="n"/>
      <c r="V349" s="186" t="n"/>
      <c r="W349" s="186" t="n"/>
      <c r="X349" s="186" t="n"/>
      <c r="Y349" s="186" t="n"/>
      <c r="Z349" s="186" t="n"/>
      <c r="AA349" s="186" t="n"/>
      <c r="AB349" s="186" t="n"/>
    </row>
    <row r="350">
      <c r="A350" s="186" t="n"/>
      <c r="B350" s="186" t="n"/>
      <c r="C350" s="186" t="n"/>
      <c r="D350" s="186" t="n"/>
      <c r="E350" s="186" t="n"/>
      <c r="F350" s="209" t="n"/>
      <c r="G350" s="209" t="n"/>
      <c r="H350" s="209" t="n"/>
      <c r="I350" s="209" t="n"/>
      <c r="J350" s="209" t="n"/>
      <c r="K350" s="186" t="n"/>
      <c r="L350" s="186" t="n"/>
      <c r="M350" s="186" t="n"/>
      <c r="N350" s="186" t="n"/>
      <c r="O350" s="186" t="n"/>
      <c r="P350" s="186" t="n"/>
      <c r="Q350" s="186" t="n"/>
      <c r="R350" s="186" t="n"/>
      <c r="S350" s="186" t="n"/>
      <c r="T350" s="186" t="n"/>
      <c r="U350" s="186" t="n"/>
      <c r="V350" s="186" t="n"/>
      <c r="W350" s="186" t="n"/>
      <c r="X350" s="186" t="n"/>
      <c r="Y350" s="186" t="n"/>
      <c r="Z350" s="186" t="n"/>
      <c r="AA350" s="186" t="n"/>
      <c r="AB350" s="186" t="n"/>
    </row>
    <row r="351">
      <c r="A351" s="186" t="n"/>
      <c r="B351" s="186" t="n"/>
      <c r="C351" s="186" t="n"/>
      <c r="D351" s="186" t="n"/>
      <c r="E351" s="186" t="n"/>
      <c r="F351" s="209" t="n"/>
      <c r="G351" s="209" t="n"/>
      <c r="H351" s="209" t="n"/>
      <c r="I351" s="209" t="n"/>
      <c r="J351" s="209" t="n"/>
      <c r="K351" s="186" t="n"/>
      <c r="L351" s="186" t="n"/>
      <c r="M351" s="186" t="n"/>
      <c r="N351" s="186" t="n"/>
      <c r="O351" s="186" t="n"/>
      <c r="P351" s="186" t="n"/>
      <c r="Q351" s="186" t="n"/>
      <c r="R351" s="186" t="n"/>
      <c r="S351" s="186" t="n"/>
      <c r="T351" s="186" t="n"/>
      <c r="U351" s="186" t="n"/>
      <c r="V351" s="186" t="n"/>
      <c r="W351" s="186" t="n"/>
      <c r="X351" s="186" t="n"/>
      <c r="Y351" s="186" t="n"/>
      <c r="Z351" s="186" t="n"/>
      <c r="AA351" s="186" t="n"/>
      <c r="AB351" s="186" t="n"/>
    </row>
    <row r="352">
      <c r="A352" s="186" t="n"/>
      <c r="B352" s="186" t="n"/>
      <c r="C352" s="186" t="n"/>
      <c r="D352" s="186" t="n"/>
      <c r="E352" s="186" t="n"/>
      <c r="F352" s="209" t="n"/>
      <c r="G352" s="209" t="n"/>
      <c r="H352" s="209" t="n"/>
      <c r="I352" s="209" t="n"/>
      <c r="J352" s="209" t="n"/>
      <c r="K352" s="186" t="n"/>
      <c r="L352" s="186" t="n"/>
      <c r="M352" s="186" t="n"/>
      <c r="N352" s="186" t="n"/>
      <c r="O352" s="186" t="n"/>
      <c r="P352" s="186" t="n"/>
      <c r="Q352" s="186" t="n"/>
      <c r="R352" s="186" t="n"/>
      <c r="S352" s="186" t="n"/>
      <c r="T352" s="186" t="n"/>
      <c r="U352" s="186" t="n"/>
      <c r="V352" s="186" t="n"/>
      <c r="W352" s="186" t="n"/>
      <c r="X352" s="186" t="n"/>
      <c r="Y352" s="186" t="n"/>
      <c r="Z352" s="186" t="n"/>
      <c r="AA352" s="186" t="n"/>
      <c r="AB352" s="186" t="n"/>
    </row>
    <row r="353">
      <c r="A353" s="186" t="n"/>
      <c r="B353" s="186" t="n"/>
      <c r="C353" s="186" t="n"/>
      <c r="D353" s="186" t="n"/>
      <c r="E353" s="186" t="n"/>
      <c r="F353" s="209" t="n"/>
      <c r="G353" s="209" t="n"/>
      <c r="H353" s="209" t="n"/>
      <c r="I353" s="209" t="n"/>
      <c r="J353" s="209" t="n"/>
      <c r="K353" s="186" t="n"/>
      <c r="L353" s="186" t="n"/>
      <c r="M353" s="186" t="n"/>
      <c r="N353" s="186" t="n"/>
      <c r="O353" s="186" t="n"/>
      <c r="P353" s="186" t="n"/>
      <c r="Q353" s="186" t="n"/>
      <c r="R353" s="186" t="n"/>
      <c r="S353" s="186" t="n"/>
      <c r="T353" s="186" t="n"/>
      <c r="U353" s="186" t="n"/>
      <c r="V353" s="186" t="n"/>
      <c r="W353" s="186" t="n"/>
      <c r="X353" s="186" t="n"/>
      <c r="Y353" s="186" t="n"/>
      <c r="Z353" s="186" t="n"/>
      <c r="AA353" s="186" t="n"/>
      <c r="AB353" s="186" t="n"/>
    </row>
    <row r="354">
      <c r="A354" s="186" t="n"/>
      <c r="B354" s="186" t="n"/>
      <c r="C354" s="186" t="n"/>
      <c r="D354" s="186" t="n"/>
      <c r="E354" s="186" t="n"/>
      <c r="F354" s="209" t="n"/>
      <c r="G354" s="209" t="n"/>
      <c r="H354" s="209" t="n"/>
      <c r="I354" s="209" t="n"/>
      <c r="J354" s="209" t="n"/>
      <c r="K354" s="186" t="n"/>
      <c r="L354" s="186" t="n"/>
      <c r="M354" s="186" t="n"/>
      <c r="N354" s="186" t="n"/>
      <c r="O354" s="186" t="n"/>
      <c r="P354" s="186" t="n"/>
      <c r="Q354" s="186" t="n"/>
      <c r="R354" s="186" t="n"/>
      <c r="S354" s="186" t="n"/>
      <c r="T354" s="186" t="n"/>
      <c r="U354" s="186" t="n"/>
      <c r="V354" s="186" t="n"/>
      <c r="W354" s="186" t="n"/>
      <c r="X354" s="186" t="n"/>
      <c r="Y354" s="186" t="n"/>
      <c r="Z354" s="186" t="n"/>
      <c r="AA354" s="186" t="n"/>
      <c r="AB354" s="186" t="n"/>
    </row>
    <row r="355">
      <c r="A355" s="186" t="n"/>
      <c r="B355" s="186" t="n"/>
      <c r="C355" s="186" t="n"/>
      <c r="D355" s="186" t="n"/>
      <c r="E355" s="186" t="n"/>
      <c r="F355" s="209" t="n"/>
      <c r="G355" s="209" t="n"/>
      <c r="H355" s="209" t="n"/>
      <c r="I355" s="209" t="n"/>
      <c r="J355" s="209" t="n"/>
      <c r="K355" s="186" t="n"/>
      <c r="L355" s="186" t="n"/>
      <c r="M355" s="186" t="n"/>
      <c r="N355" s="186" t="n"/>
      <c r="O355" s="186" t="n"/>
      <c r="P355" s="186" t="n"/>
      <c r="Q355" s="186" t="n"/>
      <c r="R355" s="186" t="n"/>
      <c r="S355" s="186" t="n"/>
      <c r="T355" s="186" t="n"/>
      <c r="U355" s="186" t="n"/>
      <c r="V355" s="186" t="n"/>
      <c r="W355" s="186" t="n"/>
      <c r="X355" s="186" t="n"/>
      <c r="Y355" s="186" t="n"/>
      <c r="Z355" s="186" t="n"/>
      <c r="AA355" s="186" t="n"/>
      <c r="AB355" s="186" t="n"/>
    </row>
    <row r="356">
      <c r="A356" s="186" t="n"/>
      <c r="B356" s="186" t="n"/>
      <c r="C356" s="186" t="n"/>
      <c r="D356" s="186" t="n"/>
      <c r="E356" s="186" t="n"/>
      <c r="F356" s="209" t="n"/>
      <c r="G356" s="209" t="n"/>
      <c r="H356" s="209" t="n"/>
      <c r="I356" s="209" t="n"/>
      <c r="J356" s="209" t="n"/>
      <c r="K356" s="186" t="n"/>
      <c r="L356" s="186" t="n"/>
      <c r="M356" s="186" t="n"/>
      <c r="N356" s="186" t="n"/>
      <c r="O356" s="186" t="n"/>
      <c r="P356" s="186" t="n"/>
      <c r="Q356" s="186" t="n"/>
      <c r="R356" s="186" t="n"/>
      <c r="S356" s="186" t="n"/>
      <c r="T356" s="186" t="n"/>
      <c r="U356" s="186" t="n"/>
      <c r="V356" s="186" t="n"/>
      <c r="W356" s="186" t="n"/>
      <c r="X356" s="186" t="n"/>
      <c r="Y356" s="186" t="n"/>
      <c r="Z356" s="186" t="n"/>
      <c r="AA356" s="186" t="n"/>
      <c r="AB356" s="186" t="n"/>
    </row>
    <row r="357">
      <c r="A357" s="186" t="n"/>
      <c r="B357" s="186" t="n"/>
      <c r="C357" s="186" t="n"/>
      <c r="D357" s="186" t="n"/>
      <c r="E357" s="186" t="n"/>
      <c r="F357" s="209" t="n"/>
      <c r="G357" s="209" t="n"/>
      <c r="H357" s="209" t="n"/>
      <c r="I357" s="209" t="n"/>
      <c r="J357" s="209" t="n"/>
      <c r="K357" s="186" t="n"/>
      <c r="L357" s="186" t="n"/>
      <c r="M357" s="186" t="n"/>
      <c r="N357" s="186" t="n"/>
      <c r="O357" s="186" t="n"/>
      <c r="P357" s="186" t="n"/>
      <c r="Q357" s="186" t="n"/>
      <c r="R357" s="186" t="n"/>
      <c r="S357" s="186" t="n"/>
      <c r="T357" s="186" t="n"/>
      <c r="U357" s="186" t="n"/>
      <c r="V357" s="186" t="n"/>
      <c r="W357" s="186" t="n"/>
      <c r="X357" s="186" t="n"/>
      <c r="Y357" s="186" t="n"/>
      <c r="Z357" s="186" t="n"/>
      <c r="AA357" s="186" t="n"/>
      <c r="AB357" s="186" t="n"/>
    </row>
    <row r="358">
      <c r="A358" s="186" t="n"/>
      <c r="B358" s="186" t="n"/>
      <c r="C358" s="186" t="n"/>
      <c r="D358" s="186" t="n"/>
      <c r="E358" s="186" t="n"/>
      <c r="F358" s="209" t="n"/>
      <c r="G358" s="209" t="n"/>
      <c r="H358" s="209" t="n"/>
      <c r="I358" s="209" t="n"/>
      <c r="J358" s="209" t="n"/>
      <c r="K358" s="186" t="n"/>
      <c r="L358" s="186" t="n"/>
      <c r="M358" s="186" t="n"/>
      <c r="N358" s="186" t="n"/>
      <c r="O358" s="186" t="n"/>
      <c r="P358" s="186" t="n"/>
      <c r="Q358" s="186" t="n"/>
      <c r="R358" s="186" t="n"/>
      <c r="S358" s="186" t="n"/>
      <c r="T358" s="186" t="n"/>
      <c r="U358" s="186" t="n"/>
      <c r="V358" s="186" t="n"/>
      <c r="W358" s="186" t="n"/>
      <c r="X358" s="186" t="n"/>
      <c r="Y358" s="186" t="n"/>
      <c r="Z358" s="186" t="n"/>
      <c r="AA358" s="186" t="n"/>
      <c r="AB358" s="186" t="n"/>
    </row>
    <row r="359">
      <c r="A359" s="186" t="n"/>
      <c r="B359" s="186" t="n"/>
      <c r="C359" s="186" t="n"/>
      <c r="D359" s="186" t="n"/>
      <c r="E359" s="186" t="n"/>
      <c r="F359" s="209" t="n"/>
      <c r="G359" s="209" t="n"/>
      <c r="H359" s="209" t="n"/>
      <c r="I359" s="209" t="n"/>
      <c r="J359" s="209" t="n"/>
      <c r="K359" s="186" t="n"/>
      <c r="L359" s="186" t="n"/>
      <c r="M359" s="186" t="n"/>
      <c r="N359" s="186" t="n"/>
      <c r="O359" s="186" t="n"/>
      <c r="P359" s="186" t="n"/>
      <c r="Q359" s="186" t="n"/>
      <c r="R359" s="186" t="n"/>
      <c r="S359" s="186" t="n"/>
      <c r="T359" s="186" t="n"/>
      <c r="U359" s="186" t="n"/>
      <c r="V359" s="186" t="n"/>
      <c r="W359" s="186" t="n"/>
      <c r="X359" s="186" t="n"/>
      <c r="Y359" s="186" t="n"/>
      <c r="Z359" s="186" t="n"/>
      <c r="AA359" s="186" t="n"/>
      <c r="AB359" s="186" t="n"/>
    </row>
    <row r="360">
      <c r="A360" s="186" t="n"/>
      <c r="B360" s="186" t="n"/>
      <c r="C360" s="186" t="n"/>
      <c r="D360" s="186" t="n"/>
      <c r="E360" s="186" t="n"/>
      <c r="F360" s="209" t="n"/>
      <c r="G360" s="209" t="n"/>
      <c r="H360" s="209" t="n"/>
      <c r="I360" s="209" t="n"/>
      <c r="J360" s="209" t="n"/>
      <c r="K360" s="186" t="n"/>
      <c r="L360" s="186" t="n"/>
      <c r="M360" s="186" t="n"/>
      <c r="N360" s="186" t="n"/>
      <c r="O360" s="186" t="n"/>
      <c r="P360" s="186" t="n"/>
      <c r="Q360" s="186" t="n"/>
      <c r="R360" s="186" t="n"/>
      <c r="S360" s="186" t="n"/>
      <c r="T360" s="186" t="n"/>
      <c r="U360" s="186" t="n"/>
      <c r="V360" s="186" t="n"/>
      <c r="W360" s="186" t="n"/>
      <c r="X360" s="186" t="n"/>
      <c r="Y360" s="186" t="n"/>
      <c r="Z360" s="186" t="n"/>
      <c r="AA360" s="186" t="n"/>
      <c r="AB360" s="186" t="n"/>
    </row>
    <row r="361">
      <c r="A361" s="186" t="n"/>
      <c r="B361" s="186" t="n"/>
      <c r="C361" s="186" t="n"/>
      <c r="D361" s="186" t="n"/>
      <c r="E361" s="186" t="n"/>
      <c r="F361" s="209" t="n"/>
      <c r="G361" s="209" t="n"/>
      <c r="H361" s="209" t="n"/>
      <c r="I361" s="209" t="n"/>
      <c r="J361" s="209" t="n"/>
      <c r="K361" s="186" t="n"/>
      <c r="L361" s="186" t="n"/>
      <c r="M361" s="186" t="n"/>
      <c r="N361" s="186" t="n"/>
      <c r="O361" s="186" t="n"/>
      <c r="P361" s="186" t="n"/>
      <c r="Q361" s="186" t="n"/>
      <c r="R361" s="186" t="n"/>
      <c r="S361" s="186" t="n"/>
      <c r="T361" s="186" t="n"/>
      <c r="U361" s="186" t="n"/>
      <c r="V361" s="186" t="n"/>
      <c r="W361" s="186" t="n"/>
      <c r="X361" s="186" t="n"/>
      <c r="Y361" s="186" t="n"/>
      <c r="Z361" s="186" t="n"/>
      <c r="AA361" s="186" t="n"/>
      <c r="AB361" s="186" t="n"/>
    </row>
    <row r="362">
      <c r="A362" s="186" t="n"/>
      <c r="B362" s="186" t="n"/>
      <c r="C362" s="186" t="n"/>
      <c r="D362" s="186" t="n"/>
      <c r="E362" s="186" t="n"/>
      <c r="F362" s="209" t="n"/>
      <c r="G362" s="209" t="n"/>
      <c r="H362" s="209" t="n"/>
      <c r="I362" s="209" t="n"/>
      <c r="J362" s="209" t="n"/>
      <c r="K362" s="186" t="n"/>
      <c r="L362" s="186" t="n"/>
      <c r="M362" s="186" t="n"/>
      <c r="N362" s="186" t="n"/>
      <c r="O362" s="186" t="n"/>
      <c r="P362" s="186" t="n"/>
      <c r="Q362" s="186" t="n"/>
      <c r="R362" s="186" t="n"/>
      <c r="S362" s="186" t="n"/>
      <c r="T362" s="186" t="n"/>
      <c r="U362" s="186" t="n"/>
      <c r="V362" s="186" t="n"/>
      <c r="W362" s="186" t="n"/>
      <c r="X362" s="186" t="n"/>
      <c r="Y362" s="186" t="n"/>
      <c r="Z362" s="186" t="n"/>
      <c r="AA362" s="186" t="n"/>
      <c r="AB362" s="186" t="n"/>
    </row>
    <row r="363">
      <c r="A363" s="186" t="n"/>
      <c r="B363" s="186" t="n"/>
      <c r="C363" s="186" t="n"/>
      <c r="D363" s="186" t="n"/>
      <c r="E363" s="186" t="n"/>
      <c r="F363" s="209" t="n"/>
      <c r="G363" s="209" t="n"/>
      <c r="H363" s="209" t="n"/>
      <c r="I363" s="209" t="n"/>
      <c r="J363" s="209" t="n"/>
      <c r="K363" s="186" t="n"/>
      <c r="L363" s="186" t="n"/>
      <c r="M363" s="186" t="n"/>
      <c r="N363" s="186" t="n"/>
      <c r="O363" s="186" t="n"/>
      <c r="P363" s="186" t="n"/>
      <c r="Q363" s="186" t="n"/>
      <c r="R363" s="186" t="n"/>
      <c r="S363" s="186" t="n"/>
      <c r="T363" s="186" t="n"/>
      <c r="U363" s="186" t="n"/>
      <c r="V363" s="186" t="n"/>
      <c r="W363" s="186" t="n"/>
      <c r="X363" s="186" t="n"/>
      <c r="Y363" s="186" t="n"/>
      <c r="Z363" s="186" t="n"/>
      <c r="AA363" s="186" t="n"/>
      <c r="AB363" s="186" t="n"/>
    </row>
    <row r="364">
      <c r="A364" s="186" t="n"/>
      <c r="B364" s="186" t="n"/>
      <c r="C364" s="186" t="n"/>
      <c r="D364" s="186" t="n"/>
      <c r="E364" s="186" t="n"/>
      <c r="F364" s="209" t="n"/>
      <c r="G364" s="209" t="n"/>
      <c r="H364" s="209" t="n"/>
      <c r="I364" s="209" t="n"/>
      <c r="J364" s="209" t="n"/>
      <c r="K364" s="186" t="n"/>
      <c r="L364" s="186" t="n"/>
      <c r="M364" s="186" t="n"/>
      <c r="N364" s="186" t="n"/>
      <c r="O364" s="186" t="n"/>
      <c r="P364" s="186" t="n"/>
      <c r="Q364" s="186" t="n"/>
      <c r="R364" s="186" t="n"/>
      <c r="S364" s="186" t="n"/>
      <c r="T364" s="186" t="n"/>
      <c r="U364" s="186" t="n"/>
      <c r="V364" s="186" t="n"/>
      <c r="W364" s="186" t="n"/>
      <c r="X364" s="186" t="n"/>
      <c r="Y364" s="186" t="n"/>
      <c r="Z364" s="186" t="n"/>
      <c r="AA364" s="186" t="n"/>
      <c r="AB364" s="186" t="n"/>
    </row>
    <row r="365">
      <c r="A365" s="186" t="n"/>
      <c r="B365" s="186" t="n"/>
      <c r="C365" s="186" t="n"/>
      <c r="D365" s="186" t="n"/>
      <c r="E365" s="186" t="n"/>
      <c r="F365" s="209" t="n"/>
      <c r="G365" s="209" t="n"/>
      <c r="H365" s="209" t="n"/>
      <c r="I365" s="209" t="n"/>
      <c r="J365" s="209" t="n"/>
      <c r="K365" s="186" t="n"/>
      <c r="L365" s="186" t="n"/>
      <c r="M365" s="186" t="n"/>
      <c r="N365" s="186" t="n"/>
      <c r="O365" s="186" t="n"/>
      <c r="P365" s="186" t="n"/>
      <c r="Q365" s="186" t="n"/>
      <c r="R365" s="186" t="n"/>
      <c r="S365" s="186" t="n"/>
      <c r="T365" s="186" t="n"/>
      <c r="U365" s="186" t="n"/>
      <c r="V365" s="186" t="n"/>
      <c r="W365" s="186" t="n"/>
      <c r="X365" s="186" t="n"/>
      <c r="Y365" s="186" t="n"/>
      <c r="Z365" s="186" t="n"/>
      <c r="AA365" s="186" t="n"/>
      <c r="AB365" s="186" t="n"/>
    </row>
    <row r="366">
      <c r="A366" s="186" t="n"/>
      <c r="B366" s="186" t="n"/>
      <c r="C366" s="186" t="n"/>
      <c r="D366" s="186" t="n"/>
      <c r="E366" s="186" t="n"/>
      <c r="F366" s="209" t="n"/>
      <c r="G366" s="209" t="n"/>
      <c r="H366" s="209" t="n"/>
      <c r="I366" s="209" t="n"/>
      <c r="J366" s="209" t="n"/>
      <c r="K366" s="186" t="n"/>
      <c r="L366" s="186" t="n"/>
      <c r="M366" s="186" t="n"/>
      <c r="N366" s="186" t="n"/>
      <c r="O366" s="186" t="n"/>
      <c r="P366" s="186" t="n"/>
      <c r="Q366" s="186" t="n"/>
      <c r="R366" s="186" t="n"/>
      <c r="S366" s="186" t="n"/>
      <c r="T366" s="186" t="n"/>
      <c r="U366" s="186" t="n"/>
      <c r="V366" s="186" t="n"/>
      <c r="W366" s="186" t="n"/>
      <c r="X366" s="186" t="n"/>
      <c r="Y366" s="186" t="n"/>
      <c r="Z366" s="186" t="n"/>
      <c r="AA366" s="186" t="n"/>
      <c r="AB366" s="186" t="n"/>
    </row>
    <row r="367">
      <c r="A367" s="186" t="n"/>
      <c r="B367" s="186" t="n"/>
      <c r="C367" s="186" t="n"/>
      <c r="D367" s="186" t="n"/>
      <c r="E367" s="186" t="n"/>
      <c r="F367" s="209" t="n"/>
      <c r="G367" s="209" t="n"/>
      <c r="H367" s="209" t="n"/>
      <c r="I367" s="209" t="n"/>
      <c r="J367" s="209" t="n"/>
      <c r="K367" s="186" t="n"/>
      <c r="L367" s="186" t="n"/>
      <c r="M367" s="186" t="n"/>
      <c r="N367" s="186" t="n"/>
      <c r="O367" s="186" t="n"/>
      <c r="P367" s="186" t="n"/>
      <c r="Q367" s="186" t="n"/>
      <c r="R367" s="186" t="n"/>
      <c r="S367" s="186" t="n"/>
      <c r="T367" s="186" t="n"/>
      <c r="U367" s="186" t="n"/>
      <c r="V367" s="186" t="n"/>
      <c r="W367" s="186" t="n"/>
      <c r="X367" s="186" t="n"/>
      <c r="Y367" s="186" t="n"/>
      <c r="Z367" s="186" t="n"/>
      <c r="AA367" s="186" t="n"/>
      <c r="AB367" s="186" t="n"/>
    </row>
    <row r="368">
      <c r="A368" s="186" t="n"/>
      <c r="B368" s="186" t="n"/>
      <c r="C368" s="186" t="n"/>
      <c r="D368" s="186" t="n"/>
      <c r="E368" s="186" t="n"/>
      <c r="F368" s="209" t="n"/>
      <c r="G368" s="209" t="n"/>
      <c r="H368" s="209" t="n"/>
      <c r="I368" s="209" t="n"/>
      <c r="J368" s="209" t="n"/>
      <c r="K368" s="186" t="n"/>
      <c r="L368" s="186" t="n"/>
      <c r="M368" s="186" t="n"/>
      <c r="N368" s="186" t="n"/>
      <c r="O368" s="186" t="n"/>
      <c r="P368" s="186" t="n"/>
      <c r="Q368" s="186" t="n"/>
      <c r="R368" s="186" t="n"/>
      <c r="S368" s="186" t="n"/>
      <c r="T368" s="186" t="n"/>
      <c r="U368" s="186" t="n"/>
      <c r="V368" s="186" t="n"/>
      <c r="W368" s="186" t="n"/>
      <c r="X368" s="186" t="n"/>
      <c r="Y368" s="186" t="n"/>
      <c r="Z368" s="186" t="n"/>
      <c r="AA368" s="186" t="n"/>
      <c r="AB368" s="186" t="n"/>
    </row>
    <row r="369">
      <c r="A369" s="186" t="n"/>
      <c r="B369" s="186" t="n"/>
      <c r="C369" s="186" t="n"/>
      <c r="D369" s="186" t="n"/>
      <c r="E369" s="186" t="n"/>
      <c r="F369" s="209" t="n"/>
      <c r="G369" s="209" t="n"/>
      <c r="H369" s="209" t="n"/>
      <c r="I369" s="209" t="n"/>
      <c r="J369" s="209" t="n"/>
      <c r="K369" s="186" t="n"/>
      <c r="L369" s="186" t="n"/>
      <c r="M369" s="186" t="n"/>
      <c r="N369" s="186" t="n"/>
      <c r="O369" s="186" t="n"/>
      <c r="P369" s="186" t="n"/>
      <c r="Q369" s="186" t="n"/>
      <c r="R369" s="186" t="n"/>
      <c r="S369" s="186" t="n"/>
      <c r="T369" s="186" t="n"/>
      <c r="U369" s="186" t="n"/>
      <c r="V369" s="186" t="n"/>
      <c r="W369" s="186" t="n"/>
      <c r="X369" s="186" t="n"/>
      <c r="Y369" s="186" t="n"/>
      <c r="Z369" s="186" t="n"/>
      <c r="AA369" s="186" t="n"/>
      <c r="AB369" s="186" t="n"/>
    </row>
    <row r="370">
      <c r="A370" s="186" t="n"/>
      <c r="B370" s="186" t="n"/>
      <c r="C370" s="186" t="n"/>
      <c r="D370" s="186" t="n"/>
      <c r="E370" s="186" t="n"/>
      <c r="F370" s="209" t="n"/>
      <c r="G370" s="209" t="n"/>
      <c r="H370" s="209" t="n"/>
      <c r="I370" s="209" t="n"/>
      <c r="J370" s="209" t="n"/>
      <c r="K370" s="186" t="n"/>
      <c r="L370" s="186" t="n"/>
      <c r="M370" s="186" t="n"/>
      <c r="N370" s="186" t="n"/>
      <c r="O370" s="186" t="n"/>
      <c r="P370" s="186" t="n"/>
      <c r="Q370" s="186" t="n"/>
      <c r="R370" s="186" t="n"/>
      <c r="S370" s="186" t="n"/>
      <c r="T370" s="186" t="n"/>
      <c r="U370" s="186" t="n"/>
      <c r="V370" s="186" t="n"/>
      <c r="W370" s="186" t="n"/>
      <c r="X370" s="186" t="n"/>
      <c r="Y370" s="186" t="n"/>
      <c r="Z370" s="186" t="n"/>
      <c r="AA370" s="186" t="n"/>
      <c r="AB370" s="186" t="n"/>
    </row>
    <row r="371">
      <c r="A371" s="186" t="n"/>
      <c r="B371" s="186" t="n"/>
      <c r="C371" s="186" t="n"/>
      <c r="D371" s="186" t="n"/>
      <c r="E371" s="186" t="n"/>
      <c r="F371" s="209" t="n"/>
      <c r="G371" s="209" t="n"/>
      <c r="H371" s="209" t="n"/>
      <c r="I371" s="209" t="n"/>
      <c r="J371" s="209" t="n"/>
      <c r="K371" s="186" t="n"/>
      <c r="L371" s="186" t="n"/>
      <c r="M371" s="186" t="n"/>
      <c r="N371" s="186" t="n"/>
      <c r="O371" s="186" t="n"/>
      <c r="P371" s="186" t="n"/>
      <c r="Q371" s="186" t="n"/>
      <c r="R371" s="186" t="n"/>
      <c r="S371" s="186" t="n"/>
      <c r="T371" s="186" t="n"/>
      <c r="U371" s="186" t="n"/>
      <c r="V371" s="186" t="n"/>
      <c r="W371" s="186" t="n"/>
      <c r="X371" s="186" t="n"/>
      <c r="Y371" s="186" t="n"/>
      <c r="Z371" s="186" t="n"/>
      <c r="AA371" s="186" t="n"/>
      <c r="AB371" s="186" t="n"/>
    </row>
    <row r="372">
      <c r="A372" s="186" t="n"/>
      <c r="B372" s="186" t="n"/>
      <c r="C372" s="186" t="n"/>
      <c r="D372" s="186" t="n"/>
      <c r="E372" s="186" t="n"/>
      <c r="F372" s="209" t="n"/>
      <c r="G372" s="209" t="n"/>
      <c r="H372" s="209" t="n"/>
      <c r="I372" s="209" t="n"/>
      <c r="J372" s="209" t="n"/>
      <c r="K372" s="186" t="n"/>
      <c r="L372" s="186" t="n"/>
      <c r="M372" s="186" t="n"/>
      <c r="N372" s="186" t="n"/>
      <c r="O372" s="186" t="n"/>
      <c r="P372" s="186" t="n"/>
      <c r="Q372" s="186" t="n"/>
      <c r="R372" s="186" t="n"/>
      <c r="S372" s="186" t="n"/>
      <c r="T372" s="186" t="n"/>
      <c r="U372" s="186" t="n"/>
      <c r="V372" s="186" t="n"/>
      <c r="W372" s="186" t="n"/>
      <c r="X372" s="186" t="n"/>
      <c r="Y372" s="186" t="n"/>
      <c r="Z372" s="186" t="n"/>
      <c r="AA372" s="186" t="n"/>
      <c r="AB372" s="186" t="n"/>
    </row>
    <row r="373">
      <c r="A373" s="186" t="n"/>
      <c r="B373" s="186" t="n"/>
      <c r="C373" s="186" t="n"/>
      <c r="D373" s="186" t="n"/>
      <c r="E373" s="186" t="n"/>
      <c r="F373" s="209" t="n"/>
      <c r="G373" s="209" t="n"/>
      <c r="H373" s="209" t="n"/>
      <c r="I373" s="209" t="n"/>
      <c r="J373" s="209" t="n"/>
      <c r="K373" s="186" t="n"/>
      <c r="L373" s="186" t="n"/>
      <c r="M373" s="186" t="n"/>
      <c r="N373" s="186" t="n"/>
      <c r="O373" s="186" t="n"/>
      <c r="P373" s="186" t="n"/>
      <c r="Q373" s="186" t="n"/>
      <c r="R373" s="186" t="n"/>
      <c r="S373" s="186" t="n"/>
      <c r="T373" s="186" t="n"/>
      <c r="U373" s="186" t="n"/>
      <c r="V373" s="186" t="n"/>
      <c r="W373" s="186" t="n"/>
      <c r="X373" s="186" t="n"/>
      <c r="Y373" s="186" t="n"/>
      <c r="Z373" s="186" t="n"/>
      <c r="AA373" s="186" t="n"/>
      <c r="AB373" s="186" t="n"/>
    </row>
    <row r="374">
      <c r="A374" s="186" t="n"/>
      <c r="B374" s="186" t="n"/>
      <c r="C374" s="186" t="n"/>
      <c r="D374" s="186" t="n"/>
      <c r="E374" s="186" t="n"/>
      <c r="F374" s="209" t="n"/>
      <c r="G374" s="209" t="n"/>
      <c r="H374" s="209" t="n"/>
      <c r="I374" s="209" t="n"/>
      <c r="J374" s="209" t="n"/>
      <c r="K374" s="186" t="n"/>
      <c r="L374" s="186" t="n"/>
      <c r="M374" s="186" t="n"/>
      <c r="N374" s="186" t="n"/>
      <c r="O374" s="186" t="n"/>
      <c r="P374" s="186" t="n"/>
      <c r="Q374" s="186" t="n"/>
      <c r="R374" s="186" t="n"/>
      <c r="S374" s="186" t="n"/>
      <c r="T374" s="186" t="n"/>
      <c r="U374" s="186" t="n"/>
      <c r="V374" s="186" t="n"/>
      <c r="W374" s="186" t="n"/>
      <c r="X374" s="186" t="n"/>
      <c r="Y374" s="186" t="n"/>
      <c r="Z374" s="186" t="n"/>
      <c r="AA374" s="186" t="n"/>
      <c r="AB374" s="186" t="n"/>
    </row>
    <row r="375">
      <c r="A375" s="186" t="n"/>
      <c r="B375" s="186" t="n"/>
      <c r="C375" s="186" t="n"/>
      <c r="D375" s="186" t="n"/>
      <c r="E375" s="186" t="n"/>
      <c r="F375" s="209" t="n"/>
      <c r="G375" s="209" t="n"/>
      <c r="H375" s="209" t="n"/>
      <c r="I375" s="209" t="n"/>
      <c r="J375" s="209" t="n"/>
      <c r="K375" s="186" t="n"/>
      <c r="L375" s="186" t="n"/>
      <c r="M375" s="186" t="n"/>
      <c r="N375" s="186" t="n"/>
      <c r="O375" s="186" t="n"/>
      <c r="P375" s="186" t="n"/>
      <c r="Q375" s="186" t="n"/>
      <c r="R375" s="186" t="n"/>
      <c r="S375" s="186" t="n"/>
      <c r="T375" s="186" t="n"/>
      <c r="U375" s="186" t="n"/>
      <c r="V375" s="186" t="n"/>
      <c r="W375" s="186" t="n"/>
      <c r="X375" s="186" t="n"/>
      <c r="Y375" s="186" t="n"/>
      <c r="Z375" s="186" t="n"/>
      <c r="AA375" s="186" t="n"/>
      <c r="AB375" s="186" t="n"/>
    </row>
    <row r="376">
      <c r="A376" s="186" t="n"/>
      <c r="B376" s="186" t="n"/>
      <c r="C376" s="186" t="n"/>
      <c r="D376" s="186" t="n"/>
      <c r="E376" s="186" t="n"/>
      <c r="F376" s="209" t="n"/>
      <c r="G376" s="209" t="n"/>
      <c r="H376" s="209" t="n"/>
      <c r="I376" s="209" t="n"/>
      <c r="J376" s="209" t="n"/>
      <c r="K376" s="186" t="n"/>
      <c r="L376" s="186" t="n"/>
      <c r="M376" s="186" t="n"/>
      <c r="N376" s="186" t="n"/>
      <c r="O376" s="186" t="n"/>
      <c r="P376" s="186" t="n"/>
      <c r="Q376" s="186" t="n"/>
      <c r="R376" s="186" t="n"/>
      <c r="S376" s="186" t="n"/>
      <c r="T376" s="186" t="n"/>
      <c r="U376" s="186" t="n"/>
      <c r="V376" s="186" t="n"/>
      <c r="W376" s="186" t="n"/>
      <c r="X376" s="186" t="n"/>
      <c r="Y376" s="186" t="n"/>
      <c r="Z376" s="186" t="n"/>
      <c r="AA376" s="186" t="n"/>
      <c r="AB376" s="186" t="n"/>
    </row>
    <row r="377">
      <c r="A377" s="186" t="n"/>
      <c r="B377" s="186" t="n"/>
      <c r="C377" s="186" t="n"/>
      <c r="D377" s="186" t="n"/>
      <c r="E377" s="186" t="n"/>
      <c r="F377" s="209" t="n"/>
      <c r="G377" s="209" t="n"/>
      <c r="H377" s="209" t="n"/>
      <c r="I377" s="209" t="n"/>
      <c r="J377" s="209" t="n"/>
      <c r="K377" s="186" t="n"/>
      <c r="L377" s="186" t="n"/>
      <c r="M377" s="186" t="n"/>
      <c r="N377" s="186" t="n"/>
      <c r="O377" s="186" t="n"/>
      <c r="P377" s="186" t="n"/>
      <c r="Q377" s="186" t="n"/>
      <c r="R377" s="186" t="n"/>
      <c r="S377" s="186" t="n"/>
      <c r="T377" s="186" t="n"/>
      <c r="U377" s="186" t="n"/>
      <c r="V377" s="186" t="n"/>
      <c r="W377" s="186" t="n"/>
      <c r="X377" s="186" t="n"/>
      <c r="Y377" s="186" t="n"/>
      <c r="Z377" s="186" t="n"/>
      <c r="AA377" s="186" t="n"/>
      <c r="AB377" s="186" t="n"/>
    </row>
    <row r="378">
      <c r="A378" s="186" t="n"/>
      <c r="B378" s="186" t="n"/>
      <c r="C378" s="186" t="n"/>
      <c r="D378" s="186" t="n"/>
      <c r="E378" s="186" t="n"/>
      <c r="F378" s="209" t="n"/>
      <c r="G378" s="209" t="n"/>
      <c r="H378" s="209" t="n"/>
      <c r="I378" s="209" t="n"/>
      <c r="J378" s="209" t="n"/>
      <c r="K378" s="186" t="n"/>
      <c r="L378" s="186" t="n"/>
      <c r="M378" s="186" t="n"/>
      <c r="N378" s="186" t="n"/>
      <c r="O378" s="186" t="n"/>
      <c r="P378" s="186" t="n"/>
      <c r="Q378" s="186" t="n"/>
      <c r="R378" s="186" t="n"/>
      <c r="S378" s="186" t="n"/>
      <c r="T378" s="186" t="n"/>
      <c r="U378" s="186" t="n"/>
      <c r="V378" s="186" t="n"/>
      <c r="W378" s="186" t="n"/>
      <c r="X378" s="186" t="n"/>
      <c r="Y378" s="186" t="n"/>
      <c r="Z378" s="186" t="n"/>
      <c r="AA378" s="186" t="n"/>
      <c r="AB378" s="186" t="n"/>
    </row>
    <row r="379">
      <c r="A379" s="186" t="n"/>
      <c r="B379" s="186" t="n"/>
      <c r="C379" s="186" t="n"/>
      <c r="D379" s="186" t="n"/>
      <c r="E379" s="186" t="n"/>
      <c r="F379" s="209" t="n"/>
      <c r="G379" s="209" t="n"/>
      <c r="H379" s="209" t="n"/>
      <c r="I379" s="209" t="n"/>
      <c r="J379" s="209" t="n"/>
      <c r="K379" s="186" t="n"/>
      <c r="L379" s="186" t="n"/>
      <c r="M379" s="186" t="n"/>
      <c r="N379" s="186" t="n"/>
      <c r="O379" s="186" t="n"/>
      <c r="P379" s="186" t="n"/>
      <c r="Q379" s="186" t="n"/>
      <c r="R379" s="186" t="n"/>
      <c r="S379" s="186" t="n"/>
      <c r="T379" s="186" t="n"/>
      <c r="U379" s="186" t="n"/>
      <c r="V379" s="186" t="n"/>
      <c r="W379" s="186" t="n"/>
      <c r="X379" s="186" t="n"/>
      <c r="Y379" s="186" t="n"/>
      <c r="Z379" s="186" t="n"/>
      <c r="AA379" s="186" t="n"/>
      <c r="AB379" s="186" t="n"/>
    </row>
    <row r="380">
      <c r="A380" s="186" t="n"/>
      <c r="B380" s="186" t="n"/>
      <c r="C380" s="186" t="n"/>
      <c r="D380" s="186" t="n"/>
      <c r="E380" s="186" t="n"/>
      <c r="F380" s="209" t="n"/>
      <c r="G380" s="209" t="n"/>
      <c r="H380" s="209" t="n"/>
      <c r="I380" s="209" t="n"/>
      <c r="J380" s="209" t="n"/>
      <c r="K380" s="186" t="n"/>
      <c r="L380" s="186" t="n"/>
      <c r="M380" s="186" t="n"/>
      <c r="N380" s="186" t="n"/>
      <c r="O380" s="186" t="n"/>
      <c r="P380" s="186" t="n"/>
      <c r="Q380" s="186" t="n"/>
      <c r="R380" s="186" t="n"/>
      <c r="S380" s="186" t="n"/>
      <c r="T380" s="186" t="n"/>
      <c r="U380" s="186" t="n"/>
      <c r="V380" s="186" t="n"/>
      <c r="W380" s="186" t="n"/>
      <c r="X380" s="186" t="n"/>
      <c r="Y380" s="186" t="n"/>
      <c r="Z380" s="186" t="n"/>
      <c r="AA380" s="186" t="n"/>
      <c r="AB380" s="186" t="n"/>
    </row>
    <row r="381">
      <c r="A381" s="186" t="n"/>
      <c r="B381" s="186" t="n"/>
      <c r="C381" s="186" t="n"/>
      <c r="D381" s="186" t="n"/>
      <c r="E381" s="186" t="n"/>
      <c r="F381" s="209" t="n"/>
      <c r="G381" s="209" t="n"/>
      <c r="H381" s="209" t="n"/>
      <c r="I381" s="209" t="n"/>
      <c r="J381" s="209" t="n"/>
      <c r="K381" s="186" t="n"/>
      <c r="L381" s="186" t="n"/>
      <c r="M381" s="186" t="n"/>
      <c r="N381" s="186" t="n"/>
      <c r="O381" s="186" t="n"/>
      <c r="P381" s="186" t="n"/>
      <c r="Q381" s="186" t="n"/>
      <c r="R381" s="186" t="n"/>
      <c r="S381" s="186" t="n"/>
      <c r="T381" s="186" t="n"/>
      <c r="U381" s="186" t="n"/>
      <c r="V381" s="186" t="n"/>
      <c r="W381" s="186" t="n"/>
      <c r="X381" s="186" t="n"/>
      <c r="Y381" s="186" t="n"/>
      <c r="Z381" s="186" t="n"/>
      <c r="AA381" s="186" t="n"/>
      <c r="AB381" s="186" t="n"/>
    </row>
    <row r="382">
      <c r="A382" s="186" t="n"/>
      <c r="B382" s="186" t="n"/>
      <c r="C382" s="186" t="n"/>
      <c r="D382" s="186" t="n"/>
      <c r="E382" s="186" t="n"/>
      <c r="F382" s="209" t="n"/>
      <c r="G382" s="209" t="n"/>
      <c r="H382" s="209" t="n"/>
      <c r="I382" s="209" t="n"/>
      <c r="J382" s="209" t="n"/>
      <c r="K382" s="186" t="n"/>
      <c r="L382" s="186" t="n"/>
      <c r="M382" s="186" t="n"/>
      <c r="N382" s="186" t="n"/>
      <c r="O382" s="186" t="n"/>
      <c r="P382" s="186" t="n"/>
      <c r="Q382" s="186" t="n"/>
      <c r="R382" s="186" t="n"/>
      <c r="S382" s="186" t="n"/>
      <c r="T382" s="186" t="n"/>
      <c r="U382" s="186" t="n"/>
      <c r="V382" s="186" t="n"/>
      <c r="W382" s="186" t="n"/>
      <c r="X382" s="186" t="n"/>
      <c r="Y382" s="186" t="n"/>
      <c r="Z382" s="186" t="n"/>
      <c r="AA382" s="186" t="n"/>
      <c r="AB382" s="186" t="n"/>
    </row>
    <row r="383">
      <c r="A383" s="186" t="n"/>
      <c r="B383" s="186" t="n"/>
      <c r="C383" s="186" t="n"/>
      <c r="D383" s="186" t="n"/>
      <c r="E383" s="186" t="n"/>
      <c r="F383" s="209" t="n"/>
      <c r="G383" s="209" t="n"/>
      <c r="H383" s="209" t="n"/>
      <c r="I383" s="209" t="n"/>
      <c r="J383" s="209" t="n"/>
      <c r="K383" s="186" t="n"/>
      <c r="L383" s="186" t="n"/>
      <c r="M383" s="186" t="n"/>
      <c r="N383" s="186" t="n"/>
      <c r="O383" s="186" t="n"/>
      <c r="P383" s="186" t="n"/>
      <c r="Q383" s="186" t="n"/>
      <c r="R383" s="186" t="n"/>
      <c r="S383" s="186" t="n"/>
      <c r="T383" s="186" t="n"/>
      <c r="U383" s="186" t="n"/>
      <c r="V383" s="186" t="n"/>
      <c r="W383" s="186" t="n"/>
      <c r="X383" s="186" t="n"/>
      <c r="Y383" s="186" t="n"/>
      <c r="Z383" s="186" t="n"/>
      <c r="AA383" s="186" t="n"/>
      <c r="AB383" s="186" t="n"/>
    </row>
    <row r="384">
      <c r="A384" s="186" t="n"/>
      <c r="B384" s="186" t="n"/>
      <c r="C384" s="186" t="n"/>
      <c r="D384" s="186" t="n"/>
      <c r="E384" s="186" t="n"/>
      <c r="F384" s="209" t="n"/>
      <c r="G384" s="209" t="n"/>
      <c r="H384" s="209" t="n"/>
      <c r="I384" s="209" t="n"/>
      <c r="J384" s="209" t="n"/>
      <c r="K384" s="186" t="n"/>
      <c r="L384" s="186" t="n"/>
      <c r="M384" s="186" t="n"/>
      <c r="N384" s="186" t="n"/>
      <c r="O384" s="186" t="n"/>
      <c r="P384" s="186" t="n"/>
      <c r="Q384" s="186" t="n"/>
      <c r="R384" s="186" t="n"/>
      <c r="S384" s="186" t="n"/>
      <c r="T384" s="186" t="n"/>
      <c r="U384" s="186" t="n"/>
      <c r="V384" s="186" t="n"/>
      <c r="W384" s="186" t="n"/>
      <c r="X384" s="186" t="n"/>
      <c r="Y384" s="186" t="n"/>
      <c r="Z384" s="186" t="n"/>
      <c r="AA384" s="186" t="n"/>
      <c r="AB384" s="186" t="n"/>
    </row>
    <row r="385">
      <c r="A385" s="186" t="n"/>
      <c r="B385" s="186" t="n"/>
      <c r="C385" s="186" t="n"/>
      <c r="D385" s="186" t="n"/>
      <c r="E385" s="186" t="n"/>
      <c r="F385" s="209" t="n"/>
      <c r="G385" s="209" t="n"/>
      <c r="H385" s="209" t="n"/>
      <c r="I385" s="209" t="n"/>
      <c r="J385" s="209" t="n"/>
      <c r="K385" s="186" t="n"/>
      <c r="L385" s="186" t="n"/>
      <c r="M385" s="186" t="n"/>
      <c r="N385" s="186" t="n"/>
      <c r="O385" s="186" t="n"/>
      <c r="P385" s="186" t="n"/>
      <c r="Q385" s="186" t="n"/>
      <c r="R385" s="186" t="n"/>
      <c r="S385" s="186" t="n"/>
      <c r="T385" s="186" t="n"/>
      <c r="U385" s="186" t="n"/>
      <c r="V385" s="186" t="n"/>
      <c r="W385" s="186" t="n"/>
      <c r="X385" s="186" t="n"/>
      <c r="Y385" s="186" t="n"/>
      <c r="Z385" s="186" t="n"/>
      <c r="AA385" s="186" t="n"/>
      <c r="AB385" s="186" t="n"/>
    </row>
    <row r="386">
      <c r="A386" s="186" t="n"/>
      <c r="B386" s="186" t="n"/>
      <c r="C386" s="186" t="n"/>
      <c r="D386" s="186" t="n"/>
      <c r="E386" s="186" t="n"/>
      <c r="F386" s="209" t="n"/>
      <c r="G386" s="209" t="n"/>
      <c r="H386" s="209" t="n"/>
      <c r="I386" s="209" t="n"/>
      <c r="J386" s="209" t="n"/>
      <c r="K386" s="186" t="n"/>
      <c r="L386" s="186" t="n"/>
      <c r="M386" s="186" t="n"/>
      <c r="N386" s="186" t="n"/>
      <c r="O386" s="186" t="n"/>
      <c r="P386" s="186" t="n"/>
      <c r="Q386" s="186" t="n"/>
      <c r="R386" s="186" t="n"/>
      <c r="S386" s="186" t="n"/>
      <c r="T386" s="186" t="n"/>
      <c r="U386" s="186" t="n"/>
      <c r="V386" s="186" t="n"/>
      <c r="W386" s="186" t="n"/>
      <c r="X386" s="186" t="n"/>
      <c r="Y386" s="186" t="n"/>
      <c r="Z386" s="186" t="n"/>
      <c r="AA386" s="186" t="n"/>
      <c r="AB386" s="186" t="n"/>
    </row>
    <row r="387">
      <c r="A387" s="186" t="n"/>
      <c r="B387" s="186" t="n"/>
      <c r="C387" s="186" t="n"/>
      <c r="D387" s="186" t="n"/>
      <c r="E387" s="186" t="n"/>
      <c r="F387" s="209" t="n"/>
      <c r="G387" s="209" t="n"/>
      <c r="H387" s="209" t="n"/>
      <c r="I387" s="209" t="n"/>
      <c r="J387" s="209" t="n"/>
      <c r="K387" s="186" t="n"/>
      <c r="L387" s="186" t="n"/>
      <c r="M387" s="186" t="n"/>
      <c r="N387" s="186" t="n"/>
      <c r="O387" s="186" t="n"/>
      <c r="P387" s="186" t="n"/>
      <c r="Q387" s="186" t="n"/>
      <c r="R387" s="186" t="n"/>
      <c r="S387" s="186" t="n"/>
      <c r="T387" s="186" t="n"/>
      <c r="U387" s="186" t="n"/>
      <c r="V387" s="186" t="n"/>
      <c r="W387" s="186" t="n"/>
      <c r="X387" s="186" t="n"/>
      <c r="Y387" s="186" t="n"/>
      <c r="Z387" s="186" t="n"/>
      <c r="AA387" s="186" t="n"/>
      <c r="AB387" s="186" t="n"/>
    </row>
    <row r="388">
      <c r="A388" s="186" t="n"/>
      <c r="B388" s="186" t="n"/>
      <c r="C388" s="186" t="n"/>
      <c r="D388" s="186" t="n"/>
      <c r="E388" s="186" t="n"/>
      <c r="F388" s="209" t="n"/>
      <c r="G388" s="209" t="n"/>
      <c r="H388" s="209" t="n"/>
      <c r="I388" s="209" t="n"/>
      <c r="J388" s="209" t="n"/>
      <c r="K388" s="186" t="n"/>
      <c r="L388" s="186" t="n"/>
      <c r="M388" s="186" t="n"/>
      <c r="N388" s="186" t="n"/>
      <c r="O388" s="186" t="n"/>
      <c r="P388" s="186" t="n"/>
      <c r="Q388" s="186" t="n"/>
      <c r="R388" s="186" t="n"/>
      <c r="S388" s="186" t="n"/>
      <c r="T388" s="186" t="n"/>
      <c r="U388" s="186" t="n"/>
      <c r="V388" s="186" t="n"/>
      <c r="W388" s="186" t="n"/>
      <c r="X388" s="186" t="n"/>
      <c r="Y388" s="186" t="n"/>
      <c r="Z388" s="186" t="n"/>
      <c r="AA388" s="186" t="n"/>
      <c r="AB388" s="186" t="n"/>
    </row>
    <row r="389">
      <c r="A389" s="186" t="n"/>
      <c r="B389" s="186" t="n"/>
      <c r="C389" s="186" t="n"/>
      <c r="D389" s="186" t="n"/>
      <c r="E389" s="186" t="n"/>
      <c r="F389" s="209" t="n"/>
      <c r="G389" s="209" t="n"/>
      <c r="H389" s="209" t="n"/>
      <c r="I389" s="209" t="n"/>
      <c r="J389" s="209" t="n"/>
      <c r="K389" s="186" t="n"/>
      <c r="L389" s="186" t="n"/>
      <c r="M389" s="186" t="n"/>
      <c r="N389" s="186" t="n"/>
      <c r="O389" s="186" t="n"/>
      <c r="P389" s="186" t="n"/>
      <c r="Q389" s="186" t="n"/>
      <c r="R389" s="186" t="n"/>
      <c r="S389" s="186" t="n"/>
      <c r="T389" s="186" t="n"/>
      <c r="U389" s="186" t="n"/>
      <c r="V389" s="186" t="n"/>
      <c r="W389" s="186" t="n"/>
      <c r="X389" s="186" t="n"/>
      <c r="Y389" s="186" t="n"/>
      <c r="Z389" s="186" t="n"/>
      <c r="AA389" s="186" t="n"/>
      <c r="AB389" s="186" t="n"/>
    </row>
    <row r="390">
      <c r="A390" s="186" t="n"/>
      <c r="B390" s="186" t="n"/>
      <c r="C390" s="186" t="n"/>
      <c r="D390" s="186" t="n"/>
      <c r="E390" s="186" t="n"/>
      <c r="F390" s="209" t="n"/>
      <c r="G390" s="209" t="n"/>
      <c r="H390" s="209" t="n"/>
      <c r="I390" s="209" t="n"/>
      <c r="J390" s="209" t="n"/>
      <c r="K390" s="186" t="n"/>
      <c r="L390" s="186" t="n"/>
      <c r="M390" s="186" t="n"/>
      <c r="N390" s="186" t="n"/>
      <c r="O390" s="186" t="n"/>
      <c r="P390" s="186" t="n"/>
      <c r="Q390" s="186" t="n"/>
      <c r="R390" s="186" t="n"/>
      <c r="S390" s="186" t="n"/>
      <c r="T390" s="186" t="n"/>
      <c r="U390" s="186" t="n"/>
      <c r="V390" s="186" t="n"/>
      <c r="W390" s="186" t="n"/>
      <c r="X390" s="186" t="n"/>
      <c r="Y390" s="186" t="n"/>
      <c r="Z390" s="186" t="n"/>
      <c r="AA390" s="186" t="n"/>
      <c r="AB390" s="186" t="n"/>
    </row>
    <row r="391">
      <c r="A391" s="186" t="n"/>
      <c r="B391" s="186" t="n"/>
      <c r="C391" s="186" t="n"/>
      <c r="D391" s="186" t="n"/>
      <c r="E391" s="186" t="n"/>
      <c r="F391" s="209" t="n"/>
      <c r="G391" s="209" t="n"/>
      <c r="H391" s="209" t="n"/>
      <c r="I391" s="209" t="n"/>
      <c r="J391" s="209" t="n"/>
      <c r="K391" s="186" t="n"/>
      <c r="L391" s="186" t="n"/>
      <c r="M391" s="186" t="n"/>
      <c r="N391" s="186" t="n"/>
      <c r="O391" s="186" t="n"/>
      <c r="P391" s="186" t="n"/>
      <c r="Q391" s="186" t="n"/>
      <c r="R391" s="186" t="n"/>
      <c r="S391" s="186" t="n"/>
      <c r="T391" s="186" t="n"/>
      <c r="U391" s="186" t="n"/>
      <c r="V391" s="186" t="n"/>
      <c r="W391" s="186" t="n"/>
      <c r="X391" s="186" t="n"/>
      <c r="Y391" s="186" t="n"/>
      <c r="Z391" s="186" t="n"/>
      <c r="AA391" s="186" t="n"/>
      <c r="AB391" s="186" t="n"/>
    </row>
    <row r="392">
      <c r="A392" s="186" t="n"/>
      <c r="B392" s="186" t="n"/>
      <c r="C392" s="186" t="n"/>
      <c r="D392" s="186" t="n"/>
      <c r="E392" s="186" t="n"/>
      <c r="F392" s="209" t="n"/>
      <c r="G392" s="209" t="n"/>
      <c r="H392" s="209" t="n"/>
      <c r="I392" s="209" t="n"/>
      <c r="J392" s="209" t="n"/>
      <c r="K392" s="186" t="n"/>
      <c r="L392" s="186" t="n"/>
      <c r="M392" s="186" t="n"/>
      <c r="N392" s="186" t="n"/>
      <c r="O392" s="186" t="n"/>
      <c r="P392" s="186" t="n"/>
      <c r="Q392" s="186" t="n"/>
      <c r="R392" s="186" t="n"/>
      <c r="S392" s="186" t="n"/>
      <c r="T392" s="186" t="n"/>
      <c r="U392" s="186" t="n"/>
      <c r="V392" s="186" t="n"/>
      <c r="W392" s="186" t="n"/>
      <c r="X392" s="186" t="n"/>
      <c r="Y392" s="186" t="n"/>
      <c r="Z392" s="186" t="n"/>
      <c r="AA392" s="186" t="n"/>
      <c r="AB392" s="186" t="n"/>
    </row>
    <row r="393">
      <c r="A393" s="186" t="n"/>
      <c r="B393" s="186" t="n"/>
      <c r="C393" s="186" t="n"/>
      <c r="D393" s="186" t="n"/>
      <c r="E393" s="186" t="n"/>
      <c r="F393" s="209" t="n"/>
      <c r="G393" s="209" t="n"/>
      <c r="H393" s="209" t="n"/>
      <c r="I393" s="209" t="n"/>
      <c r="J393" s="209" t="n"/>
      <c r="K393" s="186" t="n"/>
      <c r="L393" s="186" t="n"/>
      <c r="M393" s="186" t="n"/>
      <c r="N393" s="186" t="n"/>
      <c r="O393" s="186" t="n"/>
      <c r="P393" s="186" t="n"/>
      <c r="Q393" s="186" t="n"/>
      <c r="R393" s="186" t="n"/>
      <c r="S393" s="186" t="n"/>
      <c r="T393" s="186" t="n"/>
      <c r="U393" s="186" t="n"/>
      <c r="V393" s="186" t="n"/>
      <c r="W393" s="186" t="n"/>
      <c r="X393" s="186" t="n"/>
      <c r="Y393" s="186" t="n"/>
      <c r="Z393" s="186" t="n"/>
      <c r="AA393" s="186" t="n"/>
      <c r="AB393" s="186" t="n"/>
    </row>
    <row r="394">
      <c r="A394" s="186" t="n"/>
      <c r="B394" s="186" t="n"/>
      <c r="C394" s="186" t="n"/>
      <c r="D394" s="186" t="n"/>
      <c r="E394" s="186" t="n"/>
      <c r="F394" s="209" t="n"/>
      <c r="G394" s="209" t="n"/>
      <c r="H394" s="209" t="n"/>
      <c r="I394" s="209" t="n"/>
      <c r="J394" s="209" t="n"/>
      <c r="K394" s="186" t="n"/>
      <c r="L394" s="186" t="n"/>
      <c r="M394" s="186" t="n"/>
      <c r="N394" s="186" t="n"/>
      <c r="O394" s="186" t="n"/>
      <c r="P394" s="186" t="n"/>
      <c r="Q394" s="186" t="n"/>
      <c r="R394" s="186" t="n"/>
      <c r="S394" s="186" t="n"/>
      <c r="T394" s="186" t="n"/>
      <c r="U394" s="186" t="n"/>
      <c r="V394" s="186" t="n"/>
      <c r="W394" s="186" t="n"/>
      <c r="X394" s="186" t="n"/>
      <c r="Y394" s="186" t="n"/>
      <c r="Z394" s="186" t="n"/>
      <c r="AA394" s="186" t="n"/>
      <c r="AB394" s="186" t="n"/>
    </row>
    <row r="395">
      <c r="A395" s="186" t="n"/>
      <c r="B395" s="186" t="n"/>
      <c r="C395" s="186" t="n"/>
      <c r="D395" s="186" t="n"/>
      <c r="E395" s="186" t="n"/>
      <c r="F395" s="209" t="n"/>
      <c r="G395" s="209" t="n"/>
      <c r="H395" s="209" t="n"/>
      <c r="I395" s="209" t="n"/>
      <c r="J395" s="209" t="n"/>
      <c r="K395" s="186" t="n"/>
      <c r="L395" s="186" t="n"/>
      <c r="M395" s="186" t="n"/>
      <c r="N395" s="186" t="n"/>
      <c r="O395" s="186" t="n"/>
      <c r="P395" s="186" t="n"/>
      <c r="Q395" s="186" t="n"/>
      <c r="R395" s="186" t="n"/>
      <c r="S395" s="186" t="n"/>
      <c r="T395" s="186" t="n"/>
      <c r="U395" s="186" t="n"/>
      <c r="V395" s="186" t="n"/>
      <c r="W395" s="186" t="n"/>
      <c r="X395" s="186" t="n"/>
      <c r="Y395" s="186" t="n"/>
      <c r="Z395" s="186" t="n"/>
      <c r="AA395" s="186" t="n"/>
      <c r="AB395" s="186" t="n"/>
    </row>
    <row r="396">
      <c r="A396" s="186" t="n"/>
      <c r="B396" s="186" t="n"/>
      <c r="C396" s="186" t="n"/>
      <c r="D396" s="186" t="n"/>
      <c r="E396" s="186" t="n"/>
      <c r="F396" s="209" t="n"/>
      <c r="G396" s="209" t="n"/>
      <c r="H396" s="209" t="n"/>
      <c r="I396" s="209" t="n"/>
      <c r="J396" s="209" t="n"/>
      <c r="K396" s="186" t="n"/>
      <c r="L396" s="186" t="n"/>
      <c r="M396" s="186" t="n"/>
      <c r="N396" s="186" t="n"/>
      <c r="O396" s="186" t="n"/>
      <c r="P396" s="186" t="n"/>
      <c r="Q396" s="186" t="n"/>
      <c r="R396" s="186" t="n"/>
      <c r="S396" s="186" t="n"/>
      <c r="T396" s="186" t="n"/>
      <c r="U396" s="186" t="n"/>
      <c r="V396" s="186" t="n"/>
      <c r="W396" s="186" t="n"/>
      <c r="X396" s="186" t="n"/>
      <c r="Y396" s="186" t="n"/>
      <c r="Z396" s="186" t="n"/>
      <c r="AA396" s="186" t="n"/>
      <c r="AB396" s="186" t="n"/>
    </row>
    <row r="397">
      <c r="A397" s="186" t="n"/>
      <c r="B397" s="186" t="n"/>
      <c r="C397" s="186" t="n"/>
      <c r="D397" s="186" t="n"/>
      <c r="E397" s="186" t="n"/>
      <c r="F397" s="209" t="n"/>
      <c r="G397" s="209" t="n"/>
      <c r="H397" s="209" t="n"/>
      <c r="I397" s="209" t="n"/>
      <c r="J397" s="209" t="n"/>
      <c r="K397" s="186" t="n"/>
      <c r="L397" s="186" t="n"/>
      <c r="M397" s="186" t="n"/>
      <c r="N397" s="186" t="n"/>
      <c r="O397" s="186" t="n"/>
      <c r="P397" s="186" t="n"/>
      <c r="Q397" s="186" t="n"/>
      <c r="R397" s="186" t="n"/>
      <c r="S397" s="186" t="n"/>
      <c r="T397" s="186" t="n"/>
      <c r="U397" s="186" t="n"/>
      <c r="V397" s="186" t="n"/>
      <c r="W397" s="186" t="n"/>
      <c r="X397" s="186" t="n"/>
      <c r="Y397" s="186" t="n"/>
      <c r="Z397" s="186" t="n"/>
      <c r="AA397" s="186" t="n"/>
      <c r="AB397" s="186" t="n"/>
    </row>
    <row r="398">
      <c r="A398" s="186" t="n"/>
      <c r="B398" s="186" t="n"/>
      <c r="C398" s="186" t="n"/>
      <c r="D398" s="186" t="n"/>
      <c r="E398" s="186" t="n"/>
      <c r="F398" s="209" t="n"/>
      <c r="G398" s="209" t="n"/>
      <c r="H398" s="209" t="n"/>
      <c r="I398" s="209" t="n"/>
      <c r="J398" s="209" t="n"/>
      <c r="K398" s="186" t="n"/>
      <c r="L398" s="186" t="n"/>
      <c r="M398" s="186" t="n"/>
      <c r="N398" s="186" t="n"/>
      <c r="O398" s="186" t="n"/>
      <c r="P398" s="186" t="n"/>
      <c r="Q398" s="186" t="n"/>
      <c r="R398" s="186" t="n"/>
      <c r="S398" s="186" t="n"/>
      <c r="T398" s="186" t="n"/>
      <c r="U398" s="186" t="n"/>
      <c r="V398" s="186" t="n"/>
      <c r="W398" s="186" t="n"/>
      <c r="X398" s="186" t="n"/>
      <c r="Y398" s="186" t="n"/>
      <c r="Z398" s="186" t="n"/>
      <c r="AA398" s="186" t="n"/>
      <c r="AB398" s="186" t="n"/>
    </row>
    <row r="399">
      <c r="A399" s="186" t="n"/>
      <c r="B399" s="186" t="n"/>
      <c r="C399" s="186" t="n"/>
      <c r="D399" s="186" t="n"/>
      <c r="E399" s="186" t="n"/>
      <c r="F399" s="209" t="n"/>
      <c r="G399" s="209" t="n"/>
      <c r="H399" s="209" t="n"/>
      <c r="I399" s="209" t="n"/>
      <c r="J399" s="209" t="n"/>
      <c r="K399" s="186" t="n"/>
      <c r="L399" s="186" t="n"/>
      <c r="M399" s="186" t="n"/>
      <c r="N399" s="186" t="n"/>
      <c r="O399" s="186" t="n"/>
      <c r="P399" s="186" t="n"/>
      <c r="Q399" s="186" t="n"/>
      <c r="R399" s="186" t="n"/>
      <c r="S399" s="186" t="n"/>
      <c r="T399" s="186" t="n"/>
      <c r="U399" s="186" t="n"/>
      <c r="V399" s="186" t="n"/>
      <c r="W399" s="186" t="n"/>
      <c r="X399" s="186" t="n"/>
      <c r="Y399" s="186" t="n"/>
      <c r="Z399" s="186" t="n"/>
      <c r="AA399" s="186" t="n"/>
      <c r="AB399" s="186" t="n"/>
    </row>
    <row r="400">
      <c r="A400" s="186" t="n"/>
      <c r="B400" s="186" t="n"/>
      <c r="C400" s="186" t="n"/>
      <c r="D400" s="186" t="n"/>
      <c r="E400" s="186" t="n"/>
      <c r="F400" s="209" t="n"/>
      <c r="G400" s="209" t="n"/>
      <c r="H400" s="209" t="n"/>
      <c r="I400" s="209" t="n"/>
      <c r="J400" s="209" t="n"/>
      <c r="K400" s="186" t="n"/>
      <c r="L400" s="186" t="n"/>
      <c r="M400" s="186" t="n"/>
      <c r="N400" s="186" t="n"/>
      <c r="O400" s="186" t="n"/>
      <c r="P400" s="186" t="n"/>
      <c r="Q400" s="186" t="n"/>
      <c r="R400" s="186" t="n"/>
      <c r="S400" s="186" t="n"/>
      <c r="T400" s="186" t="n"/>
      <c r="U400" s="186" t="n"/>
      <c r="V400" s="186" t="n"/>
      <c r="W400" s="186" t="n"/>
      <c r="X400" s="186" t="n"/>
      <c r="Y400" s="186" t="n"/>
      <c r="Z400" s="186" t="n"/>
      <c r="AA400" s="186" t="n"/>
      <c r="AB400" s="186" t="n"/>
    </row>
    <row r="401">
      <c r="A401" s="186" t="n"/>
      <c r="B401" s="186" t="n"/>
      <c r="C401" s="186" t="n"/>
      <c r="D401" s="186" t="n"/>
      <c r="E401" s="186" t="n"/>
      <c r="F401" s="209" t="n"/>
      <c r="G401" s="209" t="n"/>
      <c r="H401" s="209" t="n"/>
      <c r="I401" s="209" t="n"/>
      <c r="J401" s="209" t="n"/>
      <c r="K401" s="186" t="n"/>
      <c r="L401" s="186" t="n"/>
      <c r="M401" s="186" t="n"/>
      <c r="N401" s="186" t="n"/>
      <c r="O401" s="186" t="n"/>
      <c r="P401" s="186" t="n"/>
      <c r="Q401" s="186" t="n"/>
      <c r="R401" s="186" t="n"/>
      <c r="S401" s="186" t="n"/>
      <c r="T401" s="186" t="n"/>
      <c r="U401" s="186" t="n"/>
      <c r="V401" s="186" t="n"/>
      <c r="W401" s="186" t="n"/>
      <c r="X401" s="186" t="n"/>
      <c r="Y401" s="186" t="n"/>
      <c r="Z401" s="186" t="n"/>
      <c r="AA401" s="186" t="n"/>
      <c r="AB401" s="186" t="n"/>
    </row>
    <row r="402">
      <c r="A402" s="186" t="n"/>
      <c r="B402" s="186" t="n"/>
      <c r="C402" s="186" t="n"/>
      <c r="D402" s="186" t="n"/>
      <c r="E402" s="186" t="n"/>
      <c r="F402" s="209" t="n"/>
      <c r="G402" s="209" t="n"/>
      <c r="H402" s="209" t="n"/>
      <c r="I402" s="209" t="n"/>
      <c r="J402" s="209" t="n"/>
      <c r="K402" s="186" t="n"/>
      <c r="L402" s="186" t="n"/>
      <c r="M402" s="186" t="n"/>
      <c r="N402" s="186" t="n"/>
      <c r="O402" s="186" t="n"/>
      <c r="P402" s="186" t="n"/>
      <c r="Q402" s="186" t="n"/>
      <c r="R402" s="186" t="n"/>
      <c r="S402" s="186" t="n"/>
      <c r="T402" s="186" t="n"/>
      <c r="U402" s="186" t="n"/>
      <c r="V402" s="186" t="n"/>
      <c r="W402" s="186" t="n"/>
      <c r="X402" s="186" t="n"/>
      <c r="Y402" s="186" t="n"/>
      <c r="Z402" s="186" t="n"/>
      <c r="AA402" s="186" t="n"/>
      <c r="AB402" s="186" t="n"/>
    </row>
    <row r="403">
      <c r="A403" s="186" t="n"/>
      <c r="B403" s="186" t="n"/>
      <c r="C403" s="176" t="n"/>
      <c r="D403" s="176" t="n"/>
      <c r="E403" s="186" t="n"/>
      <c r="F403" s="209" t="n"/>
      <c r="G403" s="209" t="n"/>
      <c r="H403" s="209" t="n"/>
      <c r="I403" s="209" t="n"/>
      <c r="J403" s="209" t="n"/>
      <c r="K403" s="186" t="n"/>
      <c r="L403" s="186" t="n"/>
      <c r="M403" s="186" t="n"/>
      <c r="N403" s="186" t="n"/>
      <c r="O403" s="186" t="n"/>
      <c r="P403" s="186" t="n"/>
      <c r="Q403" s="186" t="n"/>
      <c r="R403" s="186" t="n"/>
      <c r="S403" s="186" t="n"/>
      <c r="T403" s="186" t="n"/>
      <c r="U403" s="186" t="n"/>
      <c r="V403" s="186" t="n"/>
      <c r="W403" s="186" t="n"/>
      <c r="X403" s="186" t="n"/>
      <c r="Y403" s="186" t="n"/>
      <c r="Z403" s="186" t="n"/>
      <c r="AA403" s="186" t="n"/>
      <c r="AB403" s="186" t="n"/>
    </row>
    <row r="404">
      <c r="A404" s="186" t="n"/>
      <c r="B404" s="186" t="n"/>
      <c r="C404" s="176" t="n"/>
      <c r="D404" s="176" t="n"/>
      <c r="E404" s="186" t="n"/>
      <c r="F404" s="209" t="n"/>
      <c r="G404" s="209" t="n"/>
      <c r="H404" s="209" t="n"/>
      <c r="I404" s="209" t="n"/>
      <c r="J404" s="209" t="n"/>
      <c r="K404" s="186" t="n"/>
      <c r="L404" s="186" t="n"/>
      <c r="M404" s="186" t="n"/>
      <c r="N404" s="186" t="n"/>
      <c r="O404" s="186" t="n"/>
      <c r="P404" s="186" t="n"/>
      <c r="Q404" s="186" t="n"/>
      <c r="R404" s="186" t="n"/>
      <c r="S404" s="186" t="n"/>
      <c r="T404" s="186" t="n"/>
      <c r="U404" s="186" t="n"/>
      <c r="V404" s="186" t="n"/>
      <c r="W404" s="186" t="n"/>
      <c r="X404" s="186" t="n"/>
      <c r="Y404" s="186" t="n"/>
      <c r="Z404" s="186" t="n"/>
      <c r="AA404" s="186" t="n"/>
      <c r="AB404" s="186" t="n"/>
    </row>
    <row r="405">
      <c r="A405" s="186" t="n"/>
      <c r="B405" s="186" t="n"/>
      <c r="C405" s="176" t="n"/>
      <c r="D405" s="176" t="n"/>
      <c r="E405" s="186" t="n"/>
      <c r="F405" s="209" t="n"/>
      <c r="G405" s="209" t="n"/>
      <c r="H405" s="209" t="n"/>
      <c r="I405" s="209" t="n"/>
      <c r="J405" s="209" t="n"/>
      <c r="K405" s="186" t="n"/>
      <c r="L405" s="186" t="n"/>
      <c r="M405" s="186" t="n"/>
      <c r="N405" s="186" t="n"/>
      <c r="O405" s="186" t="n"/>
      <c r="P405" s="186" t="n"/>
      <c r="Q405" s="186" t="n"/>
      <c r="R405" s="186" t="n"/>
      <c r="S405" s="186" t="n"/>
      <c r="T405" s="186" t="n"/>
      <c r="U405" s="186" t="n"/>
      <c r="V405" s="186" t="n"/>
      <c r="W405" s="186" t="n"/>
      <c r="X405" s="186" t="n"/>
      <c r="Y405" s="186" t="n"/>
      <c r="Z405" s="186" t="n"/>
      <c r="AA405" s="186" t="n"/>
      <c r="AB405" s="186" t="n"/>
    </row>
    <row r="406">
      <c r="A406" s="186" t="n"/>
      <c r="B406" s="186" t="n"/>
      <c r="C406" s="176" t="n"/>
      <c r="D406" s="176" t="n"/>
      <c r="E406" s="186" t="n"/>
      <c r="F406" s="209" t="n"/>
      <c r="G406" s="209" t="n"/>
      <c r="H406" s="209" t="n"/>
      <c r="I406" s="209" t="n"/>
      <c r="J406" s="209" t="n"/>
      <c r="K406" s="186" t="n"/>
      <c r="L406" s="186" t="n"/>
      <c r="M406" s="186" t="n"/>
      <c r="N406" s="186" t="n"/>
      <c r="O406" s="186" t="n"/>
      <c r="P406" s="186" t="n"/>
      <c r="Q406" s="186" t="n"/>
      <c r="R406" s="186" t="n"/>
      <c r="S406" s="186" t="n"/>
      <c r="T406" s="186" t="n"/>
      <c r="U406" s="186" t="n"/>
      <c r="V406" s="186" t="n"/>
      <c r="W406" s="186" t="n"/>
      <c r="X406" s="186" t="n"/>
      <c r="Y406" s="186" t="n"/>
      <c r="Z406" s="186" t="n"/>
      <c r="AA406" s="186" t="n"/>
      <c r="AB406" s="186" t="n"/>
    </row>
    <row r="407">
      <c r="A407" s="186" t="n"/>
      <c r="B407" s="186" t="n"/>
      <c r="C407" s="176" t="n"/>
      <c r="D407" s="176" t="n"/>
      <c r="E407" s="186" t="n"/>
      <c r="F407" s="209" t="n"/>
      <c r="G407" s="209" t="n"/>
      <c r="H407" s="209" t="n"/>
      <c r="I407" s="209" t="n"/>
      <c r="J407" s="209" t="n"/>
      <c r="K407" s="186" t="n"/>
      <c r="L407" s="186" t="n"/>
      <c r="M407" s="186" t="n"/>
      <c r="N407" s="186" t="n"/>
      <c r="O407" s="186" t="n"/>
      <c r="P407" s="186" t="n"/>
      <c r="Q407" s="186" t="n"/>
      <c r="R407" s="186" t="n"/>
      <c r="S407" s="186" t="n"/>
      <c r="T407" s="186" t="n"/>
      <c r="U407" s="186" t="n"/>
      <c r="V407" s="186" t="n"/>
      <c r="W407" s="186" t="n"/>
      <c r="X407" s="186" t="n"/>
      <c r="Y407" s="186" t="n"/>
      <c r="Z407" s="186" t="n"/>
      <c r="AA407" s="186" t="n"/>
      <c r="AB407" s="186" t="n"/>
    </row>
    <row r="408">
      <c r="A408" s="186" t="n"/>
      <c r="B408" s="186" t="n"/>
      <c r="C408" s="176" t="n"/>
      <c r="D408" s="176" t="n"/>
      <c r="E408" s="186" t="n"/>
      <c r="F408" s="209" t="n"/>
      <c r="G408" s="209" t="n"/>
      <c r="H408" s="209" t="n"/>
      <c r="I408" s="209" t="n"/>
      <c r="J408" s="209" t="n"/>
      <c r="K408" s="186" t="n"/>
      <c r="L408" s="186" t="n"/>
      <c r="M408" s="186" t="n"/>
      <c r="N408" s="186" t="n"/>
      <c r="O408" s="186" t="n"/>
      <c r="P408" s="186" t="n"/>
      <c r="Q408" s="186" t="n"/>
      <c r="R408" s="186" t="n"/>
      <c r="S408" s="186" t="n"/>
      <c r="T408" s="186" t="n"/>
      <c r="U408" s="186" t="n"/>
      <c r="V408" s="186" t="n"/>
      <c r="W408" s="186" t="n"/>
      <c r="X408" s="186" t="n"/>
      <c r="Y408" s="186" t="n"/>
      <c r="Z408" s="186" t="n"/>
      <c r="AA408" s="186" t="n"/>
      <c r="AB408" s="186" t="n"/>
    </row>
    <row r="409">
      <c r="A409" s="186" t="n"/>
      <c r="B409" s="186" t="n"/>
      <c r="C409" s="176" t="n"/>
      <c r="D409" s="176" t="n"/>
      <c r="E409" s="186" t="n"/>
      <c r="F409" s="209" t="n"/>
      <c r="G409" s="209" t="n"/>
      <c r="H409" s="209" t="n"/>
      <c r="I409" s="209" t="n"/>
      <c r="J409" s="209" t="n"/>
      <c r="K409" s="186" t="n"/>
      <c r="L409" s="186" t="n"/>
      <c r="M409" s="186" t="n"/>
      <c r="N409" s="186" t="n"/>
      <c r="O409" s="186" t="n"/>
      <c r="P409" s="186" t="n"/>
      <c r="Q409" s="186" t="n"/>
      <c r="R409" s="186" t="n"/>
      <c r="S409" s="186" t="n"/>
      <c r="T409" s="186" t="n"/>
      <c r="U409" s="186" t="n"/>
      <c r="V409" s="186" t="n"/>
      <c r="W409" s="186" t="n"/>
      <c r="X409" s="186" t="n"/>
      <c r="Y409" s="186" t="n"/>
      <c r="Z409" s="186" t="n"/>
      <c r="AA409" s="186" t="n"/>
      <c r="AB409" s="186" t="n"/>
    </row>
    <row r="410">
      <c r="A410" s="186" t="n"/>
      <c r="B410" s="186" t="n"/>
      <c r="C410" s="176" t="n"/>
      <c r="D410" s="176" t="n"/>
      <c r="E410" s="186" t="n"/>
      <c r="F410" s="209" t="n"/>
      <c r="G410" s="209" t="n"/>
      <c r="H410" s="209" t="n"/>
      <c r="I410" s="209" t="n"/>
      <c r="J410" s="209" t="n"/>
      <c r="K410" s="186" t="n"/>
      <c r="L410" s="186" t="n"/>
      <c r="M410" s="186" t="n"/>
      <c r="N410" s="186" t="n"/>
      <c r="O410" s="186" t="n"/>
      <c r="P410" s="186" t="n"/>
      <c r="Q410" s="186" t="n"/>
      <c r="R410" s="186" t="n"/>
      <c r="S410" s="186" t="n"/>
      <c r="T410" s="186" t="n"/>
      <c r="U410" s="186" t="n"/>
      <c r="V410" s="186" t="n"/>
      <c r="W410" s="186" t="n"/>
      <c r="X410" s="186" t="n"/>
      <c r="Y410" s="186" t="n"/>
      <c r="Z410" s="186" t="n"/>
      <c r="AA410" s="186" t="n"/>
      <c r="AB410" s="186" t="n"/>
    </row>
    <row r="411">
      <c r="A411" s="186" t="n"/>
      <c r="B411" s="186" t="n"/>
      <c r="C411" s="176" t="n"/>
      <c r="D411" s="176" t="n"/>
      <c r="E411" s="186" t="n"/>
      <c r="F411" s="209" t="n"/>
      <c r="G411" s="209" t="n"/>
      <c r="H411" s="209" t="n"/>
      <c r="I411" s="209" t="n"/>
      <c r="J411" s="209" t="n"/>
      <c r="K411" s="186" t="n"/>
      <c r="L411" s="186" t="n"/>
      <c r="M411" s="186" t="n"/>
      <c r="N411" s="186" t="n"/>
      <c r="O411" s="186" t="n"/>
      <c r="P411" s="186" t="n"/>
      <c r="Q411" s="186" t="n"/>
      <c r="R411" s="186" t="n"/>
      <c r="S411" s="186" t="n"/>
      <c r="T411" s="186" t="n"/>
      <c r="U411" s="186" t="n"/>
      <c r="V411" s="186" t="n"/>
      <c r="W411" s="186" t="n"/>
      <c r="X411" s="186" t="n"/>
      <c r="Y411" s="186" t="n"/>
      <c r="Z411" s="186" t="n"/>
      <c r="AA411" s="186" t="n"/>
      <c r="AB411" s="186" t="n"/>
    </row>
    <row r="412">
      <c r="A412" s="186" t="n"/>
      <c r="B412" s="186" t="n"/>
      <c r="C412" s="176" t="n"/>
      <c r="D412" s="176" t="n"/>
      <c r="E412" s="186" t="n"/>
      <c r="F412" s="209" t="n"/>
      <c r="G412" s="209" t="n"/>
      <c r="H412" s="209" t="n"/>
      <c r="I412" s="209" t="n"/>
      <c r="J412" s="209" t="n"/>
      <c r="K412" s="186" t="n"/>
      <c r="L412" s="186" t="n"/>
      <c r="M412" s="186" t="n"/>
      <c r="N412" s="186" t="n"/>
      <c r="O412" s="186" t="n"/>
      <c r="P412" s="186" t="n"/>
      <c r="Q412" s="186" t="n"/>
      <c r="R412" s="186" t="n"/>
      <c r="S412" s="186" t="n"/>
      <c r="T412" s="186" t="n"/>
      <c r="U412" s="186" t="n"/>
      <c r="V412" s="186" t="n"/>
      <c r="W412" s="186" t="n"/>
      <c r="X412" s="186" t="n"/>
      <c r="Y412" s="186" t="n"/>
      <c r="Z412" s="186" t="n"/>
      <c r="AA412" s="186" t="n"/>
      <c r="AB412" s="186" t="n"/>
    </row>
    <row r="413">
      <c r="A413" s="186" t="n"/>
      <c r="B413" s="186" t="n"/>
      <c r="C413" s="176" t="n"/>
      <c r="D413" s="176" t="n"/>
      <c r="E413" s="186" t="n"/>
      <c r="F413" s="209" t="n"/>
      <c r="G413" s="209" t="n"/>
      <c r="H413" s="209" t="n"/>
      <c r="I413" s="209" t="n"/>
      <c r="J413" s="209" t="n"/>
      <c r="K413" s="186" t="n"/>
      <c r="L413" s="186" t="n"/>
      <c r="M413" s="186" t="n"/>
      <c r="N413" s="186" t="n"/>
      <c r="O413" s="186" t="n"/>
      <c r="P413" s="186" t="n"/>
      <c r="Q413" s="186" t="n"/>
      <c r="R413" s="186" t="n"/>
      <c r="S413" s="186" t="n"/>
      <c r="T413" s="186" t="n"/>
      <c r="U413" s="186" t="n"/>
      <c r="V413" s="186" t="n"/>
      <c r="W413" s="186" t="n"/>
      <c r="X413" s="186" t="n"/>
      <c r="Y413" s="186" t="n"/>
      <c r="Z413" s="186" t="n"/>
      <c r="AA413" s="186" t="n"/>
      <c r="AB413" s="186" t="n"/>
    </row>
    <row r="414">
      <c r="A414" s="186" t="n"/>
      <c r="B414" s="186" t="n"/>
      <c r="C414" s="176" t="n"/>
      <c r="D414" s="176" t="n"/>
      <c r="E414" s="186" t="n"/>
      <c r="F414" s="209" t="n"/>
      <c r="G414" s="209" t="n"/>
      <c r="H414" s="209" t="n"/>
      <c r="I414" s="209" t="n"/>
      <c r="J414" s="209" t="n"/>
      <c r="K414" s="186" t="n"/>
      <c r="L414" s="186" t="n"/>
      <c r="M414" s="186" t="n"/>
      <c r="N414" s="186" t="n"/>
      <c r="O414" s="186" t="n"/>
      <c r="P414" s="186" t="n"/>
      <c r="Q414" s="186" t="n"/>
      <c r="R414" s="186" t="n"/>
      <c r="S414" s="186" t="n"/>
      <c r="T414" s="186" t="n"/>
      <c r="U414" s="186" t="n"/>
      <c r="V414" s="186" t="n"/>
      <c r="W414" s="186" t="n"/>
      <c r="X414" s="186" t="n"/>
      <c r="Y414" s="186" t="n"/>
      <c r="Z414" s="186" t="n"/>
      <c r="AA414" s="186" t="n"/>
      <c r="AB414" s="186" t="n"/>
    </row>
    <row r="415">
      <c r="A415" s="186" t="n"/>
      <c r="B415" s="186" t="n"/>
      <c r="C415" s="176" t="n"/>
      <c r="D415" s="176" t="n"/>
      <c r="E415" s="186" t="n"/>
      <c r="F415" s="209" t="n"/>
      <c r="G415" s="209" t="n"/>
      <c r="H415" s="209" t="n"/>
      <c r="I415" s="209" t="n"/>
      <c r="J415" s="209" t="n"/>
      <c r="K415" s="186" t="n"/>
      <c r="L415" s="186" t="n"/>
      <c r="M415" s="186" t="n"/>
      <c r="N415" s="186" t="n"/>
      <c r="O415" s="186" t="n"/>
      <c r="P415" s="186" t="n"/>
      <c r="Q415" s="186" t="n"/>
      <c r="R415" s="186" t="n"/>
      <c r="S415" s="186" t="n"/>
      <c r="T415" s="186" t="n"/>
      <c r="U415" s="186" t="n"/>
      <c r="V415" s="186" t="n"/>
      <c r="W415" s="186" t="n"/>
      <c r="X415" s="186" t="n"/>
      <c r="Y415" s="186" t="n"/>
      <c r="Z415" s="186" t="n"/>
      <c r="AA415" s="186" t="n"/>
      <c r="AB415" s="186" t="n"/>
    </row>
    <row r="416">
      <c r="A416" s="186" t="n"/>
      <c r="B416" s="186" t="n"/>
      <c r="C416" s="176" t="n"/>
      <c r="D416" s="176" t="n"/>
      <c r="E416" s="186" t="n"/>
      <c r="F416" s="209" t="n"/>
      <c r="G416" s="209" t="n"/>
      <c r="H416" s="209" t="n"/>
      <c r="I416" s="209" t="n"/>
      <c r="J416" s="209" t="n"/>
      <c r="K416" s="186" t="n"/>
      <c r="L416" s="186" t="n"/>
      <c r="M416" s="186" t="n"/>
      <c r="N416" s="186" t="n"/>
      <c r="O416" s="186" t="n"/>
      <c r="P416" s="186" t="n"/>
      <c r="Q416" s="186" t="n"/>
      <c r="R416" s="186" t="n"/>
      <c r="S416" s="186" t="n"/>
      <c r="T416" s="186" t="n"/>
      <c r="U416" s="186" t="n"/>
      <c r="V416" s="186" t="n"/>
      <c r="W416" s="186" t="n"/>
      <c r="X416" s="186" t="n"/>
      <c r="Y416" s="186" t="n"/>
      <c r="Z416" s="186" t="n"/>
      <c r="AA416" s="186" t="n"/>
      <c r="AB416" s="186" t="n"/>
    </row>
    <row r="417">
      <c r="A417" s="186" t="n"/>
      <c r="B417" s="186" t="n"/>
      <c r="C417" s="176" t="n"/>
      <c r="D417" s="176" t="n"/>
      <c r="E417" s="186" t="n"/>
      <c r="F417" s="209" t="n"/>
      <c r="G417" s="209" t="n"/>
      <c r="H417" s="209" t="n"/>
      <c r="I417" s="209" t="n"/>
      <c r="J417" s="209" t="n"/>
      <c r="K417" s="186" t="n"/>
      <c r="L417" s="186" t="n"/>
      <c r="M417" s="186" t="n"/>
      <c r="N417" s="186" t="n"/>
      <c r="O417" s="186" t="n"/>
      <c r="P417" s="186" t="n"/>
      <c r="Q417" s="186" t="n"/>
      <c r="R417" s="186" t="n"/>
      <c r="S417" s="186" t="n"/>
      <c r="T417" s="186" t="n"/>
      <c r="U417" s="186" t="n"/>
      <c r="V417" s="186" t="n"/>
      <c r="W417" s="186" t="n"/>
      <c r="X417" s="186" t="n"/>
      <c r="Y417" s="186" t="n"/>
      <c r="Z417" s="186" t="n"/>
      <c r="AA417" s="186" t="n"/>
      <c r="AB417" s="186" t="n"/>
    </row>
    <row r="418">
      <c r="A418" s="186" t="n"/>
      <c r="B418" s="186" t="n"/>
      <c r="C418" s="176" t="n"/>
      <c r="D418" s="176" t="n"/>
      <c r="E418" s="186" t="n"/>
      <c r="F418" s="209" t="n"/>
      <c r="G418" s="209" t="n"/>
      <c r="H418" s="209" t="n"/>
      <c r="I418" s="209" t="n"/>
      <c r="J418" s="209" t="n"/>
      <c r="K418" s="186" t="n"/>
      <c r="L418" s="186" t="n"/>
      <c r="M418" s="186" t="n"/>
      <c r="N418" s="186" t="n"/>
      <c r="O418" s="186" t="n"/>
      <c r="P418" s="186" t="n"/>
      <c r="Q418" s="186" t="n"/>
      <c r="R418" s="186" t="n"/>
      <c r="S418" s="186" t="n"/>
      <c r="T418" s="186" t="n"/>
      <c r="U418" s="186" t="n"/>
      <c r="V418" s="186" t="n"/>
      <c r="W418" s="186" t="n"/>
      <c r="X418" s="186" t="n"/>
      <c r="Y418" s="186" t="n"/>
      <c r="Z418" s="186" t="n"/>
      <c r="AA418" s="186" t="n"/>
      <c r="AB418" s="186" t="n"/>
    </row>
    <row r="419">
      <c r="A419" s="176" t="n"/>
      <c r="B419" s="176" t="n"/>
      <c r="C419" s="176" t="n"/>
      <c r="D419" s="176" t="n"/>
      <c r="E419" s="186" t="n"/>
      <c r="F419" s="209" t="n"/>
      <c r="G419" s="209" t="n"/>
      <c r="H419" s="209" t="n"/>
      <c r="I419" s="209" t="n"/>
      <c r="J419" s="209" t="n"/>
      <c r="K419" s="186" t="n"/>
      <c r="L419" s="186" t="n"/>
      <c r="M419" s="186" t="n"/>
      <c r="N419" s="186" t="n"/>
      <c r="O419" s="186" t="n"/>
      <c r="P419" s="186" t="n"/>
      <c r="Q419" s="186" t="n"/>
      <c r="R419" s="186" t="n"/>
      <c r="S419" s="186" t="n"/>
      <c r="T419" s="186" t="n"/>
      <c r="U419" s="186" t="n"/>
      <c r="V419" s="186" t="n"/>
      <c r="W419" s="186" t="n"/>
      <c r="X419" s="186" t="n"/>
      <c r="Y419" s="186" t="n"/>
      <c r="Z419" s="186" t="n"/>
      <c r="AA419" s="186" t="n"/>
      <c r="AB419" s="186" t="n"/>
    </row>
    <row r="420">
      <c r="A420" s="176" t="n"/>
      <c r="B420" s="176" t="n"/>
      <c r="C420" s="176" t="n"/>
      <c r="D420" s="176" t="n"/>
      <c r="E420" s="186" t="n"/>
      <c r="F420" s="209" t="n"/>
      <c r="G420" s="209" t="n"/>
      <c r="H420" s="209" t="n"/>
      <c r="I420" s="209" t="n"/>
      <c r="J420" s="209" t="n"/>
      <c r="K420" s="186" t="n"/>
      <c r="L420" s="186" t="n"/>
      <c r="M420" s="186" t="n"/>
      <c r="N420" s="186" t="n"/>
      <c r="O420" s="186" t="n"/>
      <c r="P420" s="186" t="n"/>
      <c r="Q420" s="186" t="n"/>
      <c r="R420" s="186" t="n"/>
      <c r="S420" s="186" t="n"/>
      <c r="T420" s="186" t="n"/>
      <c r="U420" s="186" t="n"/>
      <c r="V420" s="186" t="n"/>
      <c r="W420" s="186" t="n"/>
      <c r="X420" s="186" t="n"/>
      <c r="Y420" s="186" t="n"/>
      <c r="Z420" s="186" t="n"/>
      <c r="AA420" s="186" t="n"/>
      <c r="AB420" s="186" t="n"/>
    </row>
    <row r="421">
      <c r="A421" s="176" t="n"/>
      <c r="B421" s="176" t="n"/>
      <c r="C421" s="176" t="n"/>
      <c r="D421" s="176" t="n"/>
      <c r="E421" s="186" t="n"/>
      <c r="F421" s="209" t="n"/>
      <c r="G421" s="209" t="n"/>
      <c r="H421" s="209" t="n"/>
      <c r="I421" s="209" t="n"/>
      <c r="J421" s="209" t="n"/>
      <c r="K421" s="186" t="n"/>
      <c r="L421" s="186" t="n"/>
      <c r="M421" s="186" t="n"/>
      <c r="N421" s="186" t="n"/>
      <c r="O421" s="186" t="n"/>
      <c r="P421" s="186" t="n"/>
      <c r="Q421" s="186" t="n"/>
      <c r="R421" s="186" t="n"/>
      <c r="S421" s="186" t="n"/>
      <c r="T421" s="186" t="n"/>
      <c r="U421" s="186" t="n"/>
      <c r="V421" s="186" t="n"/>
      <c r="W421" s="186" t="n"/>
      <c r="X421" s="186" t="n"/>
      <c r="Y421" s="186" t="n"/>
      <c r="Z421" s="186" t="n"/>
      <c r="AA421" s="186" t="n"/>
      <c r="AB421" s="186" t="n"/>
    </row>
    <row r="422">
      <c r="A422" s="176" t="n"/>
      <c r="B422" s="176" t="n"/>
      <c r="C422" s="176" t="n"/>
      <c r="D422" s="176" t="n"/>
      <c r="E422" s="186" t="n"/>
      <c r="F422" s="209" t="n"/>
      <c r="G422" s="209" t="n"/>
      <c r="H422" s="209" t="n"/>
      <c r="I422" s="209" t="n"/>
      <c r="J422" s="209" t="n"/>
      <c r="K422" s="186" t="n"/>
      <c r="L422" s="176" t="n"/>
      <c r="M422" s="176" t="n"/>
      <c r="N422" s="176" t="n"/>
      <c r="O422" s="176" t="n"/>
      <c r="P422" s="176" t="n"/>
      <c r="Q422" s="176" t="n"/>
      <c r="R422" s="176" t="n"/>
      <c r="S422" s="176" t="n"/>
      <c r="T422" s="176" t="n"/>
      <c r="U422" s="176" t="n"/>
      <c r="V422" s="176" t="n"/>
      <c r="W422" s="176" t="n"/>
      <c r="X422" s="176" t="n"/>
      <c r="Y422" s="176" t="n"/>
      <c r="Z422" s="176" t="n"/>
      <c r="AA422" s="176" t="n"/>
      <c r="AB422" s="176" t="n"/>
    </row>
    <row r="423">
      <c r="A423" s="176" t="n"/>
      <c r="B423" s="176" t="n"/>
      <c r="C423" s="176" t="n"/>
      <c r="D423" s="176" t="n"/>
      <c r="E423" s="186" t="n"/>
      <c r="F423" s="209" t="n"/>
      <c r="G423" s="209" t="n"/>
      <c r="H423" s="209" t="n"/>
      <c r="I423" s="209" t="n"/>
      <c r="J423" s="209" t="n"/>
      <c r="K423" s="186" t="n"/>
      <c r="L423" s="176" t="n"/>
      <c r="M423" s="176" t="n"/>
      <c r="N423" s="176" t="n"/>
      <c r="O423" s="176" t="n"/>
      <c r="P423" s="176" t="n"/>
      <c r="Q423" s="176" t="n"/>
      <c r="R423" s="176" t="n"/>
      <c r="S423" s="176" t="n"/>
      <c r="T423" s="176" t="n"/>
      <c r="U423" s="176" t="n"/>
      <c r="V423" s="176" t="n"/>
      <c r="W423" s="176" t="n"/>
      <c r="X423" s="176" t="n"/>
      <c r="Y423" s="176" t="n"/>
      <c r="Z423" s="176" t="n"/>
      <c r="AA423" s="176" t="n"/>
      <c r="AB423" s="176" t="n"/>
    </row>
    <row r="424">
      <c r="A424" s="176" t="n"/>
      <c r="B424" s="176" t="n"/>
      <c r="C424" s="176" t="n"/>
      <c r="D424" s="176" t="n"/>
      <c r="E424" s="186" t="n"/>
      <c r="F424" s="209" t="n"/>
      <c r="G424" s="209" t="n"/>
      <c r="H424" s="209" t="n"/>
      <c r="I424" s="209" t="n"/>
      <c r="J424" s="209" t="n"/>
      <c r="K424" s="186" t="n"/>
      <c r="L424" s="176" t="n"/>
      <c r="M424" s="176" t="n"/>
      <c r="N424" s="176" t="n"/>
      <c r="O424" s="176" t="n"/>
      <c r="P424" s="176" t="n"/>
      <c r="Q424" s="176" t="n"/>
      <c r="R424" s="176" t="n"/>
      <c r="S424" s="176" t="n"/>
      <c r="T424" s="176" t="n"/>
      <c r="U424" s="176" t="n"/>
      <c r="V424" s="176" t="n"/>
      <c r="W424" s="176" t="n"/>
      <c r="X424" s="176" t="n"/>
      <c r="Y424" s="176" t="n"/>
      <c r="Z424" s="176" t="n"/>
      <c r="AA424" s="176" t="n"/>
      <c r="AB424" s="176" t="n"/>
    </row>
    <row r="425">
      <c r="A425" s="176" t="n"/>
      <c r="B425" s="176" t="n"/>
      <c r="C425" s="176" t="n"/>
      <c r="D425" s="176" t="n"/>
      <c r="E425" s="186" t="n"/>
      <c r="F425" s="209" t="n"/>
      <c r="G425" s="209" t="n"/>
      <c r="H425" s="209" t="n"/>
      <c r="I425" s="209" t="n"/>
      <c r="J425" s="209" t="n"/>
      <c r="K425" s="186" t="n"/>
      <c r="L425" s="176" t="n"/>
      <c r="M425" s="176" t="n"/>
      <c r="N425" s="176" t="n"/>
      <c r="O425" s="176" t="n"/>
      <c r="P425" s="176" t="n"/>
      <c r="Q425" s="176" t="n"/>
      <c r="R425" s="176" t="n"/>
      <c r="S425" s="176" t="n"/>
      <c r="T425" s="176" t="n"/>
      <c r="U425" s="176" t="n"/>
      <c r="V425" s="176" t="n"/>
      <c r="W425" s="176" t="n"/>
      <c r="X425" s="176" t="n"/>
      <c r="Y425" s="176" t="n"/>
      <c r="Z425" s="176" t="n"/>
      <c r="AA425" s="176" t="n"/>
      <c r="AB425" s="176" t="n"/>
    </row>
    <row r="426">
      <c r="A426" s="176" t="n"/>
      <c r="B426" s="176" t="n"/>
      <c r="C426" s="176" t="n"/>
      <c r="D426" s="176" t="n"/>
      <c r="E426" s="186" t="n"/>
      <c r="F426" s="209" t="n"/>
      <c r="G426" s="209" t="n"/>
      <c r="H426" s="209" t="n"/>
      <c r="I426" s="209" t="n"/>
      <c r="J426" s="209" t="n"/>
      <c r="K426" s="186" t="n"/>
      <c r="L426" s="176" t="n"/>
      <c r="M426" s="176" t="n"/>
      <c r="N426" s="176" t="n"/>
      <c r="O426" s="176" t="n"/>
      <c r="P426" s="176" t="n"/>
      <c r="Q426" s="176" t="n"/>
      <c r="R426" s="176" t="n"/>
      <c r="S426" s="176" t="n"/>
      <c r="T426" s="176" t="n"/>
      <c r="U426" s="176" t="n"/>
      <c r="V426" s="176" t="n"/>
      <c r="W426" s="176" t="n"/>
      <c r="X426" s="176" t="n"/>
      <c r="Y426" s="176" t="n"/>
      <c r="Z426" s="176" t="n"/>
      <c r="AA426" s="176" t="n"/>
      <c r="AB426" s="176" t="n"/>
    </row>
    <row r="427">
      <c r="A427" s="176" t="n"/>
      <c r="B427" s="176" t="n"/>
      <c r="C427" s="176" t="n"/>
      <c r="D427" s="176" t="n"/>
      <c r="E427" s="186" t="n"/>
      <c r="F427" s="209" t="n"/>
      <c r="G427" s="209" t="n"/>
      <c r="H427" s="209" t="n"/>
      <c r="I427" s="209" t="n"/>
      <c r="J427" s="209" t="n"/>
      <c r="K427" s="186" t="n"/>
      <c r="L427" s="176" t="n"/>
      <c r="M427" s="176" t="n"/>
      <c r="N427" s="176" t="n"/>
      <c r="O427" s="176" t="n"/>
      <c r="P427" s="176" t="n"/>
      <c r="Q427" s="176" t="n"/>
      <c r="R427" s="176" t="n"/>
      <c r="S427" s="176" t="n"/>
      <c r="T427" s="176" t="n"/>
      <c r="U427" s="176" t="n"/>
      <c r="V427" s="176" t="n"/>
      <c r="W427" s="176" t="n"/>
      <c r="X427" s="176" t="n"/>
      <c r="Y427" s="176" t="n"/>
      <c r="Z427" s="176" t="n"/>
      <c r="AA427" s="176" t="n"/>
      <c r="AB427" s="176" t="n"/>
    </row>
    <row r="428">
      <c r="A428" s="176" t="n"/>
      <c r="B428" s="176" t="n"/>
      <c r="C428" s="176" t="n"/>
      <c r="D428" s="176" t="n"/>
      <c r="E428" s="186" t="n"/>
      <c r="F428" s="209" t="n"/>
      <c r="G428" s="209" t="n"/>
      <c r="H428" s="209" t="n"/>
      <c r="I428" s="209" t="n"/>
      <c r="J428" s="209" t="n"/>
      <c r="K428" s="186" t="n"/>
      <c r="L428" s="176" t="n"/>
      <c r="M428" s="176" t="n"/>
      <c r="N428" s="176" t="n"/>
      <c r="O428" s="176" t="n"/>
      <c r="P428" s="176" t="n"/>
      <c r="Q428" s="176" t="n"/>
      <c r="R428" s="176" t="n"/>
      <c r="S428" s="176" t="n"/>
      <c r="T428" s="176" t="n"/>
      <c r="U428" s="176" t="n"/>
      <c r="V428" s="176" t="n"/>
      <c r="W428" s="176" t="n"/>
      <c r="X428" s="176" t="n"/>
      <c r="Y428" s="176" t="n"/>
      <c r="Z428" s="176" t="n"/>
      <c r="AA428" s="176" t="n"/>
      <c r="AB428" s="176" t="n"/>
    </row>
    <row r="429">
      <c r="A429" s="176" t="n"/>
      <c r="B429" s="176" t="n"/>
      <c r="C429" s="176" t="n"/>
      <c r="D429" s="176" t="n"/>
      <c r="E429" s="186" t="n"/>
      <c r="F429" s="209" t="n"/>
      <c r="G429" s="209" t="n"/>
      <c r="H429" s="209" t="n"/>
      <c r="I429" s="209" t="n"/>
      <c r="J429" s="209" t="n"/>
      <c r="K429" s="186" t="n"/>
      <c r="L429" s="176" t="n"/>
      <c r="M429" s="176" t="n"/>
      <c r="N429" s="176" t="n"/>
      <c r="O429" s="176" t="n"/>
      <c r="P429" s="176" t="n"/>
      <c r="Q429" s="176" t="n"/>
      <c r="R429" s="176" t="n"/>
      <c r="S429" s="176" t="n"/>
      <c r="T429" s="176" t="n"/>
      <c r="U429" s="176" t="n"/>
      <c r="V429" s="176" t="n"/>
      <c r="W429" s="176" t="n"/>
      <c r="X429" s="176" t="n"/>
      <c r="Y429" s="176" t="n"/>
      <c r="Z429" s="176" t="n"/>
      <c r="AA429" s="176" t="n"/>
      <c r="AB429" s="176" t="n"/>
    </row>
    <row r="430">
      <c r="A430" s="176" t="n"/>
      <c r="B430" s="176" t="n"/>
      <c r="C430" s="176" t="n"/>
      <c r="D430" s="176" t="n"/>
      <c r="E430" s="186" t="n"/>
      <c r="F430" s="209" t="n"/>
      <c r="G430" s="209" t="n"/>
      <c r="H430" s="209" t="n"/>
      <c r="I430" s="209" t="n"/>
      <c r="J430" s="209" t="n"/>
      <c r="K430" s="186" t="n"/>
      <c r="L430" s="176" t="n"/>
      <c r="M430" s="176" t="n"/>
      <c r="N430" s="176" t="n"/>
      <c r="O430" s="176" t="n"/>
      <c r="P430" s="176" t="n"/>
      <c r="Q430" s="176" t="n"/>
      <c r="R430" s="176" t="n"/>
      <c r="S430" s="176" t="n"/>
      <c r="T430" s="176" t="n"/>
      <c r="U430" s="176" t="n"/>
      <c r="V430" s="176" t="n"/>
      <c r="W430" s="176" t="n"/>
      <c r="X430" s="176" t="n"/>
      <c r="Y430" s="176" t="n"/>
      <c r="Z430" s="176" t="n"/>
      <c r="AA430" s="176" t="n"/>
      <c r="AB430" s="176" t="n"/>
    </row>
    <row r="431">
      <c r="A431" s="176" t="n"/>
      <c r="B431" s="176" t="n"/>
      <c r="C431" s="176" t="n"/>
      <c r="D431" s="176" t="n"/>
      <c r="E431" s="186" t="n"/>
      <c r="F431" s="209" t="n"/>
      <c r="G431" s="209" t="n"/>
      <c r="H431" s="209" t="n"/>
      <c r="I431" s="209" t="n"/>
      <c r="J431" s="209" t="n"/>
      <c r="K431" s="186" t="n"/>
      <c r="L431" s="176" t="n"/>
      <c r="M431" s="176" t="n"/>
      <c r="N431" s="176" t="n"/>
      <c r="O431" s="176" t="n"/>
      <c r="P431" s="176" t="n"/>
      <c r="Q431" s="176" t="n"/>
      <c r="R431" s="176" t="n"/>
      <c r="S431" s="176" t="n"/>
      <c r="T431" s="176" t="n"/>
      <c r="U431" s="176" t="n"/>
      <c r="V431" s="176" t="n"/>
      <c r="W431" s="176" t="n"/>
      <c r="X431" s="176" t="n"/>
      <c r="Y431" s="176" t="n"/>
      <c r="Z431" s="176" t="n"/>
      <c r="AA431" s="176" t="n"/>
      <c r="AB431" s="176" t="n"/>
    </row>
    <row r="432">
      <c r="A432" s="176" t="n"/>
      <c r="B432" s="176" t="n"/>
      <c r="C432" s="176" t="n"/>
      <c r="D432" s="176" t="n"/>
      <c r="E432" s="186" t="n"/>
      <c r="F432" s="209" t="n"/>
      <c r="G432" s="209" t="n"/>
      <c r="H432" s="209" t="n"/>
      <c r="I432" s="209" t="n"/>
      <c r="J432" s="209" t="n"/>
      <c r="K432" s="186" t="n"/>
      <c r="L432" s="176" t="n"/>
      <c r="M432" s="176" t="n"/>
      <c r="N432" s="176" t="n"/>
      <c r="O432" s="176" t="n"/>
      <c r="P432" s="176" t="n"/>
      <c r="Q432" s="176" t="n"/>
      <c r="R432" s="176" t="n"/>
      <c r="S432" s="176" t="n"/>
      <c r="T432" s="176" t="n"/>
      <c r="U432" s="176" t="n"/>
      <c r="V432" s="176" t="n"/>
      <c r="W432" s="176" t="n"/>
      <c r="X432" s="176" t="n"/>
      <c r="Y432" s="176" t="n"/>
      <c r="Z432" s="176" t="n"/>
      <c r="AA432" s="176" t="n"/>
      <c r="AB432" s="176" t="n"/>
    </row>
    <row r="433">
      <c r="A433" s="176" t="n"/>
      <c r="B433" s="176" t="n"/>
      <c r="C433" s="176" t="n"/>
      <c r="D433" s="176" t="n"/>
      <c r="E433" s="186" t="n"/>
      <c r="F433" s="209" t="n"/>
      <c r="G433" s="209" t="n"/>
      <c r="H433" s="209" t="n"/>
      <c r="I433" s="209" t="n"/>
      <c r="J433" s="209" t="n"/>
      <c r="K433" s="186" t="n"/>
      <c r="L433" s="176" t="n"/>
      <c r="M433" s="176" t="n"/>
      <c r="N433" s="176" t="n"/>
      <c r="O433" s="176" t="n"/>
      <c r="P433" s="176" t="n"/>
      <c r="Q433" s="176" t="n"/>
      <c r="R433" s="176" t="n"/>
      <c r="S433" s="176" t="n"/>
      <c r="T433" s="176" t="n"/>
      <c r="U433" s="176" t="n"/>
      <c r="V433" s="176" t="n"/>
      <c r="W433" s="176" t="n"/>
      <c r="X433" s="176" t="n"/>
      <c r="Y433" s="176" t="n"/>
      <c r="Z433" s="176" t="n"/>
      <c r="AA433" s="176" t="n"/>
      <c r="AB433" s="176" t="n"/>
    </row>
    <row r="434">
      <c r="A434" s="176" t="n"/>
      <c r="B434" s="176" t="n"/>
      <c r="C434" s="176" t="n"/>
      <c r="D434" s="176" t="n"/>
      <c r="E434" s="186" t="n"/>
      <c r="F434" s="209" t="n"/>
      <c r="G434" s="209" t="n"/>
      <c r="H434" s="209" t="n"/>
      <c r="I434" s="209" t="n"/>
      <c r="J434" s="209" t="n"/>
      <c r="K434" s="186" t="n"/>
      <c r="L434" s="176" t="n"/>
      <c r="M434" s="176" t="n"/>
      <c r="N434" s="176" t="n"/>
      <c r="O434" s="176" t="n"/>
      <c r="P434" s="176" t="n"/>
      <c r="Q434" s="176" t="n"/>
      <c r="R434" s="176" t="n"/>
      <c r="S434" s="176" t="n"/>
      <c r="T434" s="176" t="n"/>
      <c r="U434" s="176" t="n"/>
      <c r="V434" s="176" t="n"/>
      <c r="W434" s="176" t="n"/>
      <c r="X434" s="176" t="n"/>
      <c r="Y434" s="176" t="n"/>
      <c r="Z434" s="176" t="n"/>
      <c r="AA434" s="176" t="n"/>
      <c r="AB434" s="176" t="n"/>
    </row>
    <row r="435">
      <c r="A435" s="176" t="n"/>
      <c r="B435" s="176" t="n"/>
      <c r="C435" s="176" t="n"/>
      <c r="D435" s="176" t="n"/>
      <c r="E435" s="186" t="n"/>
      <c r="F435" s="209" t="n"/>
      <c r="G435" s="209" t="n"/>
      <c r="H435" s="209" t="n"/>
      <c r="I435" s="209" t="n"/>
      <c r="J435" s="209" t="n"/>
      <c r="K435" s="186" t="n"/>
      <c r="L435" s="176" t="n"/>
      <c r="M435" s="176" t="n"/>
      <c r="N435" s="176" t="n"/>
      <c r="O435" s="176" t="n"/>
      <c r="P435" s="176" t="n"/>
      <c r="Q435" s="176" t="n"/>
      <c r="R435" s="176" t="n"/>
      <c r="S435" s="176" t="n"/>
      <c r="T435" s="176" t="n"/>
      <c r="U435" s="176" t="n"/>
      <c r="V435" s="176" t="n"/>
      <c r="W435" s="176" t="n"/>
      <c r="X435" s="176" t="n"/>
      <c r="Y435" s="176" t="n"/>
      <c r="Z435" s="176" t="n"/>
      <c r="AA435" s="176" t="n"/>
      <c r="AB435" s="176" t="n"/>
    </row>
    <row r="436">
      <c r="A436" s="176" t="n"/>
      <c r="B436" s="176" t="n"/>
      <c r="C436" s="176" t="n"/>
      <c r="D436" s="176" t="n"/>
      <c r="E436" s="186" t="n"/>
      <c r="F436" s="209" t="n"/>
      <c r="G436" s="209" t="n"/>
      <c r="H436" s="209" t="n"/>
      <c r="I436" s="209" t="n"/>
      <c r="J436" s="209" t="n"/>
      <c r="K436" s="186" t="n"/>
      <c r="L436" s="176" t="n"/>
      <c r="M436" s="176" t="n"/>
      <c r="N436" s="176" t="n"/>
      <c r="O436" s="176" t="n"/>
      <c r="P436" s="176" t="n"/>
      <c r="Q436" s="176" t="n"/>
      <c r="R436" s="176" t="n"/>
      <c r="S436" s="176" t="n"/>
      <c r="T436" s="176" t="n"/>
      <c r="U436" s="176" t="n"/>
      <c r="V436" s="176" t="n"/>
      <c r="W436" s="176" t="n"/>
      <c r="X436" s="176" t="n"/>
      <c r="Y436" s="176" t="n"/>
      <c r="Z436" s="176" t="n"/>
      <c r="AA436" s="176" t="n"/>
      <c r="AB436" s="176" t="n"/>
    </row>
    <row r="437">
      <c r="A437" s="176" t="n"/>
      <c r="B437" s="176" t="n"/>
      <c r="C437" s="176" t="n"/>
      <c r="D437" s="176" t="n"/>
      <c r="E437" s="186" t="n"/>
      <c r="F437" s="209" t="n"/>
      <c r="G437" s="209" t="n"/>
      <c r="H437" s="209" t="n"/>
      <c r="I437" s="209" t="n"/>
      <c r="J437" s="209" t="n"/>
      <c r="K437" s="186" t="n"/>
      <c r="L437" s="176" t="n"/>
      <c r="M437" s="176" t="n"/>
      <c r="N437" s="176" t="n"/>
      <c r="O437" s="176" t="n"/>
      <c r="P437" s="176" t="n"/>
      <c r="Q437" s="176" t="n"/>
      <c r="R437" s="176" t="n"/>
      <c r="S437" s="176" t="n"/>
      <c r="T437" s="176" t="n"/>
      <c r="U437" s="176" t="n"/>
      <c r="V437" s="176" t="n"/>
      <c r="W437" s="176" t="n"/>
      <c r="X437" s="176" t="n"/>
      <c r="Y437" s="176" t="n"/>
      <c r="Z437" s="176" t="n"/>
      <c r="AA437" s="176" t="n"/>
      <c r="AB437" s="176" t="n"/>
    </row>
    <row r="438">
      <c r="A438" s="176" t="n"/>
      <c r="B438" s="176" t="n"/>
      <c r="C438" s="176" t="n"/>
      <c r="D438" s="176" t="n"/>
      <c r="E438" s="186" t="n"/>
      <c r="F438" s="209" t="n"/>
      <c r="G438" s="209" t="n"/>
      <c r="H438" s="209" t="n"/>
      <c r="I438" s="209" t="n"/>
      <c r="J438" s="209" t="n"/>
      <c r="K438" s="186" t="n"/>
      <c r="L438" s="176" t="n"/>
      <c r="M438" s="176" t="n"/>
      <c r="N438" s="176" t="n"/>
      <c r="O438" s="176" t="n"/>
      <c r="P438" s="176" t="n"/>
      <c r="Q438" s="176" t="n"/>
      <c r="R438" s="176" t="n"/>
      <c r="S438" s="176" t="n"/>
      <c r="T438" s="176" t="n"/>
      <c r="U438" s="176" t="n"/>
      <c r="V438" s="176" t="n"/>
      <c r="W438" s="176" t="n"/>
      <c r="X438" s="176" t="n"/>
      <c r="Y438" s="176" t="n"/>
      <c r="Z438" s="176" t="n"/>
      <c r="AA438" s="176" t="n"/>
      <c r="AB438" s="176" t="n"/>
    </row>
    <row r="439">
      <c r="A439" s="176" t="n"/>
      <c r="B439" s="176" t="n"/>
      <c r="C439" s="176" t="n"/>
      <c r="D439" s="176" t="n"/>
      <c r="E439" s="186" t="n"/>
      <c r="F439" s="209" t="n"/>
      <c r="G439" s="209" t="n"/>
      <c r="H439" s="209" t="n"/>
      <c r="I439" s="209" t="n"/>
      <c r="J439" s="209" t="n"/>
      <c r="K439" s="186" t="n"/>
      <c r="L439" s="176" t="n"/>
      <c r="M439" s="176" t="n"/>
      <c r="N439" s="176" t="n"/>
      <c r="O439" s="176" t="n"/>
      <c r="P439" s="176" t="n"/>
      <c r="Q439" s="176" t="n"/>
      <c r="R439" s="176" t="n"/>
      <c r="S439" s="176" t="n"/>
      <c r="T439" s="176" t="n"/>
      <c r="U439" s="176" t="n"/>
      <c r="V439" s="176" t="n"/>
      <c r="W439" s="176" t="n"/>
      <c r="X439" s="176" t="n"/>
      <c r="Y439" s="176" t="n"/>
      <c r="Z439" s="176" t="n"/>
      <c r="AA439" s="176" t="n"/>
      <c r="AB439" s="176" t="n"/>
    </row>
    <row r="440">
      <c r="A440" s="176" t="n"/>
      <c r="B440" s="176" t="n"/>
      <c r="C440" s="176" t="n"/>
      <c r="D440" s="176" t="n"/>
      <c r="E440" s="186" t="n"/>
      <c r="F440" s="209" t="n"/>
      <c r="G440" s="209" t="n"/>
      <c r="H440" s="209" t="n"/>
      <c r="I440" s="209" t="n"/>
      <c r="J440" s="209" t="n"/>
      <c r="K440" s="186" t="n"/>
      <c r="L440" s="176" t="n"/>
      <c r="M440" s="176" t="n"/>
      <c r="N440" s="176" t="n"/>
      <c r="O440" s="176" t="n"/>
      <c r="P440" s="176" t="n"/>
      <c r="Q440" s="176" t="n"/>
      <c r="R440" s="176" t="n"/>
      <c r="S440" s="176" t="n"/>
      <c r="T440" s="176" t="n"/>
      <c r="U440" s="176" t="n"/>
      <c r="V440" s="176" t="n"/>
      <c r="W440" s="176" t="n"/>
      <c r="X440" s="176" t="n"/>
      <c r="Y440" s="176" t="n"/>
      <c r="Z440" s="176" t="n"/>
      <c r="AA440" s="176" t="n"/>
      <c r="AB440" s="176" t="n"/>
    </row>
    <row r="441">
      <c r="A441" s="176" t="n"/>
      <c r="B441" s="176" t="n"/>
      <c r="C441" s="176" t="n"/>
      <c r="D441" s="176" t="n"/>
      <c r="E441" s="186" t="n"/>
      <c r="F441" s="209" t="n"/>
      <c r="G441" s="209" t="n"/>
      <c r="H441" s="209" t="n"/>
      <c r="I441" s="209" t="n"/>
      <c r="J441" s="209" t="n"/>
      <c r="K441" s="186" t="n"/>
      <c r="L441" s="176" t="n"/>
      <c r="M441" s="176" t="n"/>
      <c r="N441" s="176" t="n"/>
      <c r="O441" s="176" t="n"/>
      <c r="P441" s="176" t="n"/>
      <c r="Q441" s="176" t="n"/>
      <c r="R441" s="176" t="n"/>
      <c r="S441" s="176" t="n"/>
      <c r="T441" s="176" t="n"/>
      <c r="U441" s="176" t="n"/>
      <c r="V441" s="176" t="n"/>
      <c r="W441" s="176" t="n"/>
      <c r="X441" s="176" t="n"/>
      <c r="Y441" s="176" t="n"/>
      <c r="Z441" s="176" t="n"/>
      <c r="AA441" s="176" t="n"/>
      <c r="AB441" s="176" t="n"/>
    </row>
    <row r="442">
      <c r="A442" s="176" t="n"/>
      <c r="B442" s="176" t="n"/>
      <c r="C442" s="176" t="n"/>
      <c r="D442" s="176" t="n"/>
      <c r="E442" s="186" t="n"/>
      <c r="F442" s="209" t="n"/>
      <c r="G442" s="209" t="n"/>
      <c r="H442" s="209" t="n"/>
      <c r="I442" s="209" t="n"/>
      <c r="J442" s="209" t="n"/>
      <c r="K442" s="186" t="n"/>
      <c r="L442" s="176" t="n"/>
      <c r="M442" s="176" t="n"/>
      <c r="N442" s="176" t="n"/>
      <c r="O442" s="176" t="n"/>
      <c r="P442" s="176" t="n"/>
      <c r="Q442" s="176" t="n"/>
      <c r="R442" s="176" t="n"/>
      <c r="S442" s="176" t="n"/>
      <c r="T442" s="176" t="n"/>
      <c r="U442" s="176" t="n"/>
      <c r="V442" s="176" t="n"/>
      <c r="W442" s="176" t="n"/>
      <c r="X442" s="176" t="n"/>
      <c r="Y442" s="176" t="n"/>
      <c r="Z442" s="176" t="n"/>
      <c r="AA442" s="176" t="n"/>
      <c r="AB442" s="176" t="n"/>
    </row>
    <row r="443">
      <c r="A443" s="176" t="n"/>
      <c r="B443" s="176" t="n"/>
      <c r="C443" s="176" t="n"/>
      <c r="D443" s="176" t="n"/>
      <c r="E443" s="186" t="n"/>
      <c r="F443" s="209" t="n"/>
      <c r="G443" s="209" t="n"/>
      <c r="H443" s="209" t="n"/>
      <c r="I443" s="209" t="n"/>
      <c r="J443" s="209" t="n"/>
      <c r="K443" s="186" t="n"/>
      <c r="L443" s="176" t="n"/>
      <c r="M443" s="176" t="n"/>
      <c r="N443" s="176" t="n"/>
      <c r="O443" s="176" t="n"/>
      <c r="P443" s="176" t="n"/>
      <c r="Q443" s="176" t="n"/>
      <c r="R443" s="176" t="n"/>
      <c r="S443" s="176" t="n"/>
      <c r="T443" s="176" t="n"/>
      <c r="U443" s="176" t="n"/>
      <c r="V443" s="176" t="n"/>
      <c r="W443" s="176" t="n"/>
      <c r="X443" s="176" t="n"/>
      <c r="Y443" s="176" t="n"/>
      <c r="Z443" s="176" t="n"/>
      <c r="AA443" s="176" t="n"/>
      <c r="AB443" s="176" t="n"/>
    </row>
    <row r="444">
      <c r="A444" s="176" t="n"/>
      <c r="B444" s="176" t="n"/>
      <c r="C444" s="176" t="n"/>
      <c r="D444" s="176" t="n"/>
      <c r="E444" s="186" t="n"/>
      <c r="F444" s="209" t="n"/>
      <c r="G444" s="209" t="n"/>
      <c r="H444" s="209" t="n"/>
      <c r="I444" s="209" t="n"/>
      <c r="J444" s="209" t="n"/>
      <c r="K444" s="186" t="n"/>
      <c r="L444" s="176" t="n"/>
      <c r="M444" s="176" t="n"/>
      <c r="N444" s="176" t="n"/>
      <c r="O444" s="176" t="n"/>
      <c r="P444" s="176" t="n"/>
      <c r="Q444" s="176" t="n"/>
      <c r="R444" s="176" t="n"/>
      <c r="S444" s="176" t="n"/>
      <c r="T444" s="176" t="n"/>
      <c r="U444" s="176" t="n"/>
      <c r="V444" s="176" t="n"/>
      <c r="W444" s="176" t="n"/>
      <c r="X444" s="176" t="n"/>
      <c r="Y444" s="176" t="n"/>
      <c r="Z444" s="176" t="n"/>
      <c r="AA444" s="176" t="n"/>
      <c r="AB444" s="176" t="n"/>
    </row>
    <row r="445">
      <c r="A445" s="176" t="n"/>
      <c r="B445" s="176" t="n"/>
      <c r="C445" s="176" t="n"/>
      <c r="D445" s="176" t="n"/>
      <c r="E445" s="186" t="n"/>
      <c r="F445" s="209" t="n"/>
      <c r="G445" s="209" t="n"/>
      <c r="H445" s="209" t="n"/>
      <c r="I445" s="209" t="n"/>
      <c r="J445" s="209" t="n"/>
      <c r="K445" s="186" t="n"/>
      <c r="L445" s="176" t="n"/>
      <c r="M445" s="176" t="n"/>
      <c r="N445" s="176" t="n"/>
      <c r="O445" s="176" t="n"/>
      <c r="P445" s="176" t="n"/>
      <c r="Q445" s="176" t="n"/>
      <c r="R445" s="176" t="n"/>
      <c r="S445" s="176" t="n"/>
      <c r="T445" s="176" t="n"/>
      <c r="U445" s="176" t="n"/>
      <c r="V445" s="176" t="n"/>
      <c r="W445" s="176" t="n"/>
      <c r="X445" s="176" t="n"/>
      <c r="Y445" s="176" t="n"/>
      <c r="Z445" s="176" t="n"/>
      <c r="AA445" s="176" t="n"/>
      <c r="AB445" s="176" t="n"/>
    </row>
    <row r="446">
      <c r="A446" s="176" t="n"/>
      <c r="B446" s="176" t="n"/>
      <c r="C446" s="176" t="n"/>
      <c r="D446" s="176" t="n"/>
      <c r="E446" s="186" t="n"/>
      <c r="F446" s="209" t="n"/>
      <c r="G446" s="209" t="n"/>
      <c r="H446" s="209" t="n"/>
      <c r="I446" s="209" t="n"/>
      <c r="J446" s="209" t="n"/>
      <c r="K446" s="186" t="n"/>
      <c r="L446" s="176" t="n"/>
      <c r="M446" s="176" t="n"/>
      <c r="N446" s="176" t="n"/>
      <c r="O446" s="176" t="n"/>
      <c r="P446" s="176" t="n"/>
      <c r="Q446" s="176" t="n"/>
      <c r="R446" s="176" t="n"/>
      <c r="S446" s="176" t="n"/>
      <c r="T446" s="176" t="n"/>
      <c r="U446" s="176" t="n"/>
      <c r="V446" s="176" t="n"/>
      <c r="W446" s="176" t="n"/>
      <c r="X446" s="176" t="n"/>
      <c r="Y446" s="176" t="n"/>
      <c r="Z446" s="176" t="n"/>
      <c r="AA446" s="176" t="n"/>
      <c r="AB446" s="176" t="n"/>
    </row>
    <row r="447">
      <c r="A447" s="176" t="n"/>
      <c r="B447" s="176" t="n"/>
      <c r="C447" s="176" t="n"/>
      <c r="D447" s="176" t="n"/>
      <c r="E447" s="186" t="n"/>
      <c r="F447" s="209" t="n"/>
      <c r="G447" s="209" t="n"/>
      <c r="H447" s="209" t="n"/>
      <c r="I447" s="209" t="n"/>
      <c r="J447" s="209" t="n"/>
      <c r="K447" s="186" t="n"/>
      <c r="L447" s="176" t="n"/>
      <c r="M447" s="176" t="n"/>
      <c r="N447" s="176" t="n"/>
      <c r="O447" s="176" t="n"/>
      <c r="P447" s="176" t="n"/>
      <c r="Q447" s="176" t="n"/>
      <c r="R447" s="176" t="n"/>
      <c r="S447" s="176" t="n"/>
      <c r="T447" s="176" t="n"/>
      <c r="U447" s="176" t="n"/>
      <c r="V447" s="176" t="n"/>
      <c r="W447" s="176" t="n"/>
      <c r="X447" s="176" t="n"/>
      <c r="Y447" s="176" t="n"/>
      <c r="Z447" s="176" t="n"/>
      <c r="AA447" s="176" t="n"/>
      <c r="AB447" s="176" t="n"/>
    </row>
    <row r="448">
      <c r="A448" s="176" t="n"/>
      <c r="B448" s="176" t="n"/>
      <c r="C448" s="176" t="n"/>
      <c r="D448" s="176" t="n"/>
      <c r="E448" s="186" t="n"/>
      <c r="F448" s="209" t="n"/>
      <c r="G448" s="209" t="n"/>
      <c r="H448" s="209" t="n"/>
      <c r="I448" s="209" t="n"/>
      <c r="J448" s="209" t="n"/>
      <c r="K448" s="186" t="n"/>
      <c r="L448" s="176" t="n"/>
      <c r="M448" s="176" t="n"/>
      <c r="N448" s="176" t="n"/>
      <c r="O448" s="176" t="n"/>
      <c r="P448" s="176" t="n"/>
      <c r="Q448" s="176" t="n"/>
      <c r="R448" s="176" t="n"/>
      <c r="S448" s="176" t="n"/>
      <c r="T448" s="176" t="n"/>
      <c r="U448" s="176" t="n"/>
      <c r="V448" s="176" t="n"/>
      <c r="W448" s="176" t="n"/>
      <c r="X448" s="176" t="n"/>
      <c r="Y448" s="176" t="n"/>
      <c r="Z448" s="176" t="n"/>
      <c r="AA448" s="176" t="n"/>
      <c r="AB448" s="176" t="n"/>
    </row>
    <row r="449">
      <c r="A449" s="176" t="n"/>
      <c r="B449" s="176" t="n"/>
      <c r="C449" s="176" t="n"/>
      <c r="D449" s="176" t="n"/>
      <c r="E449" s="186" t="n"/>
      <c r="F449" s="209" t="n"/>
      <c r="G449" s="209" t="n"/>
      <c r="H449" s="209" t="n"/>
      <c r="I449" s="209" t="n"/>
      <c r="J449" s="209" t="n"/>
      <c r="K449" s="186" t="n"/>
      <c r="L449" s="176" t="n"/>
      <c r="M449" s="176" t="n"/>
      <c r="N449" s="176" t="n"/>
      <c r="O449" s="176" t="n"/>
      <c r="P449" s="176" t="n"/>
      <c r="Q449" s="176" t="n"/>
      <c r="R449" s="176" t="n"/>
      <c r="S449" s="176" t="n"/>
      <c r="T449" s="176" t="n"/>
      <c r="U449" s="176" t="n"/>
      <c r="V449" s="176" t="n"/>
      <c r="W449" s="176" t="n"/>
      <c r="X449" s="176" t="n"/>
      <c r="Y449" s="176" t="n"/>
      <c r="Z449" s="176" t="n"/>
      <c r="AA449" s="176" t="n"/>
      <c r="AB449" s="176" t="n"/>
    </row>
    <row r="450">
      <c r="A450" s="176" t="n"/>
      <c r="B450" s="176" t="n"/>
      <c r="C450" s="176" t="n"/>
      <c r="D450" s="176" t="n"/>
      <c r="E450" s="186" t="n"/>
      <c r="F450" s="209" t="n"/>
      <c r="G450" s="209" t="n"/>
      <c r="H450" s="209" t="n"/>
      <c r="I450" s="209" t="n"/>
      <c r="J450" s="209" t="n"/>
      <c r="K450" s="186" t="n"/>
      <c r="L450" s="176" t="n"/>
      <c r="M450" s="176" t="n"/>
      <c r="N450" s="176" t="n"/>
      <c r="O450" s="176" t="n"/>
      <c r="P450" s="176" t="n"/>
      <c r="Q450" s="176" t="n"/>
      <c r="R450" s="176" t="n"/>
      <c r="S450" s="176" t="n"/>
      <c r="T450" s="176" t="n"/>
      <c r="U450" s="176" t="n"/>
      <c r="V450" s="176" t="n"/>
      <c r="W450" s="176" t="n"/>
      <c r="X450" s="176" t="n"/>
      <c r="Y450" s="176" t="n"/>
      <c r="Z450" s="176" t="n"/>
      <c r="AA450" s="176" t="n"/>
      <c r="AB450" s="176" t="n"/>
    </row>
    <row r="451">
      <c r="A451" s="176" t="n"/>
      <c r="B451" s="176" t="n"/>
      <c r="C451" s="176" t="n"/>
      <c r="D451" s="176" t="n"/>
      <c r="E451" s="186" t="n"/>
      <c r="F451" s="209" t="n"/>
      <c r="G451" s="209" t="n"/>
      <c r="H451" s="209" t="n"/>
      <c r="I451" s="209" t="n"/>
      <c r="J451" s="209" t="n"/>
      <c r="K451" s="186" t="n"/>
      <c r="L451" s="176" t="n"/>
      <c r="M451" s="176" t="n"/>
      <c r="N451" s="176" t="n"/>
      <c r="O451" s="176" t="n"/>
      <c r="P451" s="176" t="n"/>
      <c r="Q451" s="176" t="n"/>
      <c r="R451" s="176" t="n"/>
      <c r="S451" s="176" t="n"/>
      <c r="T451" s="176" t="n"/>
      <c r="U451" s="176" t="n"/>
      <c r="V451" s="176" t="n"/>
      <c r="W451" s="176" t="n"/>
      <c r="X451" s="176" t="n"/>
      <c r="Y451" s="176" t="n"/>
      <c r="Z451" s="176" t="n"/>
      <c r="AA451" s="176" t="n"/>
      <c r="AB451" s="176" t="n"/>
    </row>
    <row r="452">
      <c r="A452" s="176" t="n"/>
      <c r="B452" s="176" t="n"/>
      <c r="C452" s="176" t="n"/>
      <c r="D452" s="176" t="n"/>
      <c r="E452" s="186" t="n"/>
      <c r="F452" s="209" t="n"/>
      <c r="G452" s="209" t="n"/>
      <c r="H452" s="209" t="n"/>
      <c r="I452" s="209" t="n"/>
      <c r="J452" s="209" t="n"/>
      <c r="K452" s="186" t="n"/>
      <c r="L452" s="176" t="n"/>
      <c r="M452" s="176" t="n"/>
      <c r="N452" s="176" t="n"/>
      <c r="O452" s="176" t="n"/>
      <c r="P452" s="176" t="n"/>
      <c r="Q452" s="176" t="n"/>
      <c r="R452" s="176" t="n"/>
      <c r="S452" s="176" t="n"/>
      <c r="T452" s="176" t="n"/>
      <c r="U452" s="176" t="n"/>
      <c r="V452" s="176" t="n"/>
      <c r="W452" s="176" t="n"/>
      <c r="X452" s="176" t="n"/>
      <c r="Y452" s="176" t="n"/>
      <c r="Z452" s="176" t="n"/>
      <c r="AA452" s="176" t="n"/>
      <c r="AB452" s="176" t="n"/>
    </row>
    <row r="453">
      <c r="A453" s="176" t="n"/>
      <c r="B453" s="176" t="n"/>
      <c r="C453" s="176" t="n"/>
      <c r="D453" s="176" t="n"/>
      <c r="E453" s="186" t="n"/>
      <c r="F453" s="209" t="n"/>
      <c r="G453" s="209" t="n"/>
      <c r="H453" s="209" t="n"/>
      <c r="I453" s="209" t="n"/>
      <c r="J453" s="209" t="n"/>
      <c r="K453" s="186" t="n"/>
      <c r="L453" s="176" t="n"/>
      <c r="M453" s="176" t="n"/>
      <c r="N453" s="176" t="n"/>
      <c r="O453" s="176" t="n"/>
      <c r="P453" s="176" t="n"/>
      <c r="Q453" s="176" t="n"/>
      <c r="R453" s="176" t="n"/>
      <c r="S453" s="176" t="n"/>
      <c r="T453" s="176" t="n"/>
      <c r="U453" s="176" t="n"/>
      <c r="V453" s="176" t="n"/>
      <c r="W453" s="176" t="n"/>
      <c r="X453" s="176" t="n"/>
      <c r="Y453" s="176" t="n"/>
      <c r="Z453" s="176" t="n"/>
      <c r="AA453" s="176" t="n"/>
      <c r="AB453" s="176" t="n"/>
    </row>
    <row r="454">
      <c r="A454" s="176" t="n"/>
      <c r="B454" s="176" t="n"/>
      <c r="C454" s="176" t="n"/>
      <c r="D454" s="176" t="n"/>
      <c r="E454" s="186" t="n"/>
      <c r="F454" s="209" t="n"/>
      <c r="G454" s="209" t="n"/>
      <c r="H454" s="209" t="n"/>
      <c r="I454" s="209" t="n"/>
      <c r="J454" s="209" t="n"/>
      <c r="K454" s="186" t="n"/>
      <c r="L454" s="176" t="n"/>
      <c r="M454" s="176" t="n"/>
      <c r="N454" s="176" t="n"/>
      <c r="O454" s="176" t="n"/>
      <c r="P454" s="176" t="n"/>
      <c r="Q454" s="176" t="n"/>
      <c r="R454" s="176" t="n"/>
      <c r="S454" s="176" t="n"/>
      <c r="T454" s="176" t="n"/>
      <c r="U454" s="176" t="n"/>
      <c r="V454" s="176" t="n"/>
      <c r="W454" s="176" t="n"/>
      <c r="X454" s="176" t="n"/>
      <c r="Y454" s="176" t="n"/>
      <c r="Z454" s="176" t="n"/>
      <c r="AA454" s="176" t="n"/>
      <c r="AB454" s="176" t="n"/>
    </row>
    <row r="455">
      <c r="A455" s="176" t="n"/>
      <c r="B455" s="176" t="n"/>
      <c r="C455" s="176" t="n"/>
      <c r="D455" s="176" t="n"/>
      <c r="E455" s="186" t="n"/>
      <c r="F455" s="209" t="n"/>
      <c r="G455" s="209" t="n"/>
      <c r="H455" s="209" t="n"/>
      <c r="I455" s="209" t="n"/>
      <c r="J455" s="209" t="n"/>
      <c r="K455" s="186" t="n"/>
      <c r="L455" s="176" t="n"/>
      <c r="M455" s="176" t="n"/>
      <c r="N455" s="176" t="n"/>
      <c r="O455" s="176" t="n"/>
      <c r="P455" s="176" t="n"/>
      <c r="Q455" s="176" t="n"/>
      <c r="R455" s="176" t="n"/>
      <c r="S455" s="176" t="n"/>
      <c r="T455" s="176" t="n"/>
      <c r="U455" s="176" t="n"/>
      <c r="V455" s="176" t="n"/>
      <c r="W455" s="176" t="n"/>
      <c r="X455" s="176" t="n"/>
      <c r="Y455" s="176" t="n"/>
      <c r="Z455" s="176" t="n"/>
      <c r="AA455" s="176" t="n"/>
      <c r="AB455" s="176" t="n"/>
    </row>
    <row r="456">
      <c r="A456" s="176" t="n"/>
      <c r="B456" s="176" t="n"/>
      <c r="C456" s="176" t="n"/>
      <c r="D456" s="176" t="n"/>
      <c r="E456" s="186" t="n"/>
      <c r="F456" s="209" t="n"/>
      <c r="G456" s="209" t="n"/>
      <c r="H456" s="209" t="n"/>
      <c r="I456" s="209" t="n"/>
      <c r="J456" s="209" t="n"/>
      <c r="K456" s="186" t="n"/>
      <c r="L456" s="176" t="n"/>
      <c r="M456" s="176" t="n"/>
      <c r="N456" s="176" t="n"/>
      <c r="O456" s="176" t="n"/>
      <c r="P456" s="176" t="n"/>
      <c r="Q456" s="176" t="n"/>
      <c r="R456" s="176" t="n"/>
      <c r="S456" s="176" t="n"/>
      <c r="T456" s="176" t="n"/>
      <c r="U456" s="176" t="n"/>
      <c r="V456" s="176" t="n"/>
      <c r="W456" s="176" t="n"/>
      <c r="X456" s="176" t="n"/>
      <c r="Y456" s="176" t="n"/>
      <c r="Z456" s="176" t="n"/>
      <c r="AA456" s="176" t="n"/>
      <c r="AB456" s="176" t="n"/>
    </row>
    <row r="457">
      <c r="A457" s="176" t="n"/>
      <c r="B457" s="176" t="n"/>
      <c r="C457" s="176" t="n"/>
      <c r="D457" s="176" t="n"/>
      <c r="E457" s="186" t="n"/>
      <c r="F457" s="209" t="n"/>
      <c r="G457" s="209" t="n"/>
      <c r="H457" s="209" t="n"/>
      <c r="I457" s="209" t="n"/>
      <c r="J457" s="209" t="n"/>
      <c r="K457" s="186" t="n"/>
      <c r="L457" s="176" t="n"/>
      <c r="M457" s="176" t="n"/>
      <c r="N457" s="176" t="n"/>
      <c r="O457" s="176" t="n"/>
      <c r="P457" s="176" t="n"/>
      <c r="Q457" s="176" t="n"/>
      <c r="R457" s="176" t="n"/>
      <c r="S457" s="176" t="n"/>
      <c r="T457" s="176" t="n"/>
      <c r="U457" s="176" t="n"/>
      <c r="V457" s="176" t="n"/>
      <c r="W457" s="176" t="n"/>
      <c r="X457" s="176" t="n"/>
      <c r="Y457" s="176" t="n"/>
      <c r="Z457" s="176" t="n"/>
      <c r="AA457" s="176" t="n"/>
      <c r="AB457" s="176" t="n"/>
    </row>
    <row r="458">
      <c r="A458" s="176" t="n"/>
      <c r="B458" s="176" t="n"/>
      <c r="C458" s="176" t="n"/>
      <c r="D458" s="176" t="n"/>
      <c r="E458" s="186" t="n"/>
      <c r="F458" s="209" t="n"/>
      <c r="G458" s="209" t="n"/>
      <c r="H458" s="209" t="n"/>
      <c r="I458" s="209" t="n"/>
      <c r="J458" s="209" t="n"/>
      <c r="K458" s="186" t="n"/>
      <c r="L458" s="176" t="n"/>
      <c r="M458" s="176" t="n"/>
      <c r="N458" s="176" t="n"/>
      <c r="O458" s="176" t="n"/>
      <c r="P458" s="176" t="n"/>
      <c r="Q458" s="176" t="n"/>
      <c r="R458" s="176" t="n"/>
      <c r="S458" s="176" t="n"/>
      <c r="T458" s="176" t="n"/>
      <c r="U458" s="176" t="n"/>
      <c r="V458" s="176" t="n"/>
      <c r="W458" s="176" t="n"/>
      <c r="X458" s="176" t="n"/>
      <c r="Y458" s="176" t="n"/>
      <c r="Z458" s="176" t="n"/>
      <c r="AA458" s="176" t="n"/>
      <c r="AB458" s="176" t="n"/>
    </row>
    <row r="459">
      <c r="A459" s="176" t="n"/>
      <c r="B459" s="176" t="n"/>
      <c r="C459" s="176" t="n"/>
      <c r="D459" s="176" t="n"/>
      <c r="E459" s="186" t="n"/>
      <c r="F459" s="209" t="n"/>
      <c r="G459" s="209" t="n"/>
      <c r="H459" s="209" t="n"/>
      <c r="I459" s="209" t="n"/>
      <c r="J459" s="209" t="n"/>
      <c r="K459" s="186" t="n"/>
      <c r="L459" s="176" t="n"/>
      <c r="M459" s="176" t="n"/>
      <c r="N459" s="176" t="n"/>
      <c r="O459" s="176" t="n"/>
      <c r="P459" s="176" t="n"/>
      <c r="Q459" s="176" t="n"/>
      <c r="R459" s="176" t="n"/>
      <c r="S459" s="176" t="n"/>
      <c r="T459" s="176" t="n"/>
      <c r="U459" s="176" t="n"/>
      <c r="V459" s="176" t="n"/>
      <c r="W459" s="176" t="n"/>
      <c r="X459" s="176" t="n"/>
      <c r="Y459" s="176" t="n"/>
      <c r="Z459" s="176" t="n"/>
      <c r="AA459" s="176" t="n"/>
      <c r="AB459" s="176" t="n"/>
    </row>
    <row r="460">
      <c r="A460" s="176" t="n"/>
      <c r="B460" s="176" t="n"/>
      <c r="C460" s="176" t="n"/>
      <c r="D460" s="176" t="n"/>
      <c r="E460" s="186" t="n"/>
      <c r="F460" s="209" t="n"/>
      <c r="G460" s="209" t="n"/>
      <c r="H460" s="209" t="n"/>
      <c r="I460" s="209" t="n"/>
      <c r="J460" s="209" t="n"/>
      <c r="K460" s="186" t="n"/>
      <c r="L460" s="176" t="n"/>
      <c r="M460" s="176" t="n"/>
      <c r="N460" s="176" t="n"/>
      <c r="O460" s="176" t="n"/>
      <c r="P460" s="176" t="n"/>
      <c r="Q460" s="176" t="n"/>
      <c r="R460" s="176" t="n"/>
      <c r="S460" s="176" t="n"/>
      <c r="T460" s="176" t="n"/>
      <c r="U460" s="176" t="n"/>
      <c r="V460" s="176" t="n"/>
      <c r="W460" s="176" t="n"/>
      <c r="X460" s="176" t="n"/>
      <c r="Y460" s="176" t="n"/>
      <c r="Z460" s="176" t="n"/>
      <c r="AA460" s="176" t="n"/>
      <c r="AB460" s="176" t="n"/>
    </row>
    <row r="461">
      <c r="A461" s="176" t="n"/>
      <c r="B461" s="176" t="n"/>
      <c r="C461" s="176" t="n"/>
      <c r="D461" s="176" t="n"/>
      <c r="E461" s="186" t="n"/>
      <c r="F461" s="209" t="n"/>
      <c r="G461" s="209" t="n"/>
      <c r="H461" s="209" t="n"/>
      <c r="I461" s="209" t="n"/>
      <c r="J461" s="209" t="n"/>
      <c r="K461" s="186" t="n"/>
      <c r="L461" s="176" t="n"/>
      <c r="M461" s="176" t="n"/>
      <c r="N461" s="176" t="n"/>
      <c r="O461" s="176" t="n"/>
      <c r="P461" s="176" t="n"/>
      <c r="Q461" s="176" t="n"/>
      <c r="R461" s="176" t="n"/>
      <c r="S461" s="176" t="n"/>
      <c r="T461" s="176" t="n"/>
      <c r="U461" s="176" t="n"/>
      <c r="V461" s="176" t="n"/>
      <c r="W461" s="176" t="n"/>
      <c r="X461" s="176" t="n"/>
      <c r="Y461" s="176" t="n"/>
      <c r="Z461" s="176" t="n"/>
      <c r="AA461" s="176" t="n"/>
      <c r="AB461" s="176" t="n"/>
    </row>
    <row r="462">
      <c r="A462" s="176" t="n"/>
      <c r="B462" s="176" t="n"/>
      <c r="C462" s="176" t="n"/>
      <c r="D462" s="176" t="n"/>
      <c r="E462" s="186" t="n"/>
      <c r="F462" s="209" t="n"/>
      <c r="G462" s="209" t="n"/>
      <c r="H462" s="209" t="n"/>
      <c r="I462" s="209" t="n"/>
      <c r="J462" s="209" t="n"/>
      <c r="K462" s="186" t="n"/>
      <c r="L462" s="176" t="n"/>
      <c r="M462" s="176" t="n"/>
      <c r="N462" s="176" t="n"/>
      <c r="O462" s="176" t="n"/>
      <c r="P462" s="176" t="n"/>
      <c r="Q462" s="176" t="n"/>
      <c r="R462" s="176" t="n"/>
      <c r="S462" s="176" t="n"/>
      <c r="T462" s="176" t="n"/>
      <c r="U462" s="176" t="n"/>
      <c r="V462" s="176" t="n"/>
      <c r="W462" s="176" t="n"/>
      <c r="X462" s="176" t="n"/>
      <c r="Y462" s="176" t="n"/>
      <c r="Z462" s="176" t="n"/>
      <c r="AA462" s="176" t="n"/>
      <c r="AB462" s="176" t="n"/>
    </row>
    <row r="463">
      <c r="A463" s="176" t="n"/>
      <c r="B463" s="176" t="n"/>
      <c r="C463" s="176" t="n"/>
      <c r="D463" s="176" t="n"/>
      <c r="E463" s="186" t="n"/>
      <c r="F463" s="209" t="n"/>
      <c r="G463" s="209" t="n"/>
      <c r="H463" s="209" t="n"/>
      <c r="I463" s="209" t="n"/>
      <c r="J463" s="209" t="n"/>
      <c r="K463" s="186" t="n"/>
      <c r="L463" s="176" t="n"/>
      <c r="M463" s="176" t="n"/>
      <c r="N463" s="176" t="n"/>
      <c r="O463" s="176" t="n"/>
      <c r="P463" s="176" t="n"/>
      <c r="Q463" s="176" t="n"/>
      <c r="R463" s="176" t="n"/>
      <c r="S463" s="176" t="n"/>
      <c r="T463" s="176" t="n"/>
      <c r="U463" s="176" t="n"/>
      <c r="V463" s="176" t="n"/>
      <c r="W463" s="176" t="n"/>
      <c r="X463" s="176" t="n"/>
      <c r="Y463" s="176" t="n"/>
      <c r="Z463" s="176" t="n"/>
      <c r="AA463" s="176" t="n"/>
      <c r="AB463" s="176" t="n"/>
    </row>
    <row r="464">
      <c r="A464" s="176" t="n"/>
      <c r="B464" s="176" t="n"/>
      <c r="C464" s="176" t="n"/>
      <c r="D464" s="176" t="n"/>
      <c r="E464" s="186" t="n"/>
      <c r="F464" s="209" t="n"/>
      <c r="G464" s="209" t="n"/>
      <c r="H464" s="209" t="n"/>
      <c r="I464" s="209" t="n"/>
      <c r="J464" s="209" t="n"/>
      <c r="K464" s="186" t="n"/>
      <c r="L464" s="176" t="n"/>
      <c r="M464" s="176" t="n"/>
      <c r="N464" s="176" t="n"/>
      <c r="O464" s="176" t="n"/>
      <c r="P464" s="176" t="n"/>
      <c r="Q464" s="176" t="n"/>
      <c r="R464" s="176" t="n"/>
      <c r="S464" s="176" t="n"/>
      <c r="T464" s="176" t="n"/>
      <c r="U464" s="176" t="n"/>
      <c r="V464" s="176" t="n"/>
      <c r="W464" s="176" t="n"/>
      <c r="X464" s="176" t="n"/>
      <c r="Y464" s="176" t="n"/>
      <c r="Z464" s="176" t="n"/>
      <c r="AA464" s="176" t="n"/>
      <c r="AB464" s="176" t="n"/>
    </row>
    <row r="465">
      <c r="A465" s="176" t="n"/>
      <c r="B465" s="176" t="n"/>
      <c r="C465" s="176" t="n"/>
      <c r="D465" s="176" t="n"/>
      <c r="E465" s="186" t="n"/>
      <c r="F465" s="209" t="n"/>
      <c r="G465" s="209" t="n"/>
      <c r="H465" s="209" t="n"/>
      <c r="I465" s="209" t="n"/>
      <c r="J465" s="209" t="n"/>
      <c r="K465" s="186" t="n"/>
      <c r="L465" s="176" t="n"/>
      <c r="M465" s="176" t="n"/>
      <c r="N465" s="176" t="n"/>
      <c r="O465" s="176" t="n"/>
      <c r="P465" s="176" t="n"/>
      <c r="Q465" s="176" t="n"/>
      <c r="R465" s="176" t="n"/>
      <c r="S465" s="176" t="n"/>
      <c r="T465" s="176" t="n"/>
      <c r="U465" s="176" t="n"/>
      <c r="V465" s="176" t="n"/>
      <c r="W465" s="176" t="n"/>
      <c r="X465" s="176" t="n"/>
      <c r="Y465" s="176" t="n"/>
      <c r="Z465" s="176" t="n"/>
      <c r="AA465" s="176" t="n"/>
      <c r="AB465" s="176" t="n"/>
    </row>
    <row r="466">
      <c r="A466" s="176" t="n"/>
      <c r="B466" s="176" t="n"/>
      <c r="C466" s="176" t="n"/>
      <c r="D466" s="176" t="n"/>
      <c r="E466" s="186" t="n"/>
      <c r="F466" s="209" t="n"/>
      <c r="G466" s="209" t="n"/>
      <c r="H466" s="209" t="n"/>
      <c r="I466" s="209" t="n"/>
      <c r="J466" s="209" t="n"/>
      <c r="K466" s="186" t="n"/>
      <c r="L466" s="176" t="n"/>
      <c r="M466" s="176" t="n"/>
      <c r="N466" s="176" t="n"/>
      <c r="O466" s="176" t="n"/>
      <c r="P466" s="176" t="n"/>
      <c r="Q466" s="176" t="n"/>
      <c r="R466" s="176" t="n"/>
      <c r="S466" s="176" t="n"/>
      <c r="T466" s="176" t="n"/>
      <c r="U466" s="176" t="n"/>
      <c r="V466" s="176" t="n"/>
      <c r="W466" s="176" t="n"/>
      <c r="X466" s="176" t="n"/>
      <c r="Y466" s="176" t="n"/>
      <c r="Z466" s="176" t="n"/>
      <c r="AA466" s="176" t="n"/>
      <c r="AB466" s="176" t="n"/>
    </row>
    <row r="467">
      <c r="A467" s="176" t="n"/>
      <c r="B467" s="176" t="n"/>
      <c r="C467" s="176" t="n"/>
      <c r="D467" s="176" t="n"/>
      <c r="E467" s="186" t="n"/>
      <c r="F467" s="209" t="n"/>
      <c r="G467" s="209" t="n"/>
      <c r="H467" s="209" t="n"/>
      <c r="I467" s="209" t="n"/>
      <c r="J467" s="209" t="n"/>
      <c r="K467" s="186" t="n"/>
      <c r="L467" s="176" t="n"/>
      <c r="M467" s="176" t="n"/>
      <c r="N467" s="176" t="n"/>
      <c r="O467" s="176" t="n"/>
      <c r="P467" s="176" t="n"/>
      <c r="Q467" s="176" t="n"/>
      <c r="R467" s="176" t="n"/>
      <c r="S467" s="176" t="n"/>
      <c r="T467" s="176" t="n"/>
      <c r="U467" s="176" t="n"/>
      <c r="V467" s="176" t="n"/>
      <c r="W467" s="176" t="n"/>
      <c r="X467" s="176" t="n"/>
      <c r="Y467" s="176" t="n"/>
      <c r="Z467" s="176" t="n"/>
      <c r="AA467" s="176" t="n"/>
      <c r="AB467" s="176" t="n"/>
    </row>
    <row r="468">
      <c r="A468" s="176" t="n"/>
      <c r="B468" s="176" t="n"/>
      <c r="C468" s="176" t="n"/>
      <c r="D468" s="176" t="n"/>
      <c r="E468" s="186" t="n"/>
      <c r="F468" s="209" t="n"/>
      <c r="G468" s="209" t="n"/>
      <c r="H468" s="209" t="n"/>
      <c r="I468" s="209" t="n"/>
      <c r="J468" s="209" t="n"/>
      <c r="K468" s="186" t="n"/>
      <c r="L468" s="176" t="n"/>
      <c r="M468" s="176" t="n"/>
      <c r="N468" s="176" t="n"/>
      <c r="O468" s="176" t="n"/>
      <c r="P468" s="176" t="n"/>
      <c r="Q468" s="176" t="n"/>
      <c r="R468" s="176" t="n"/>
      <c r="S468" s="176" t="n"/>
      <c r="T468" s="176" t="n"/>
      <c r="U468" s="176" t="n"/>
      <c r="V468" s="176" t="n"/>
      <c r="W468" s="176" t="n"/>
      <c r="X468" s="176" t="n"/>
      <c r="Y468" s="176" t="n"/>
      <c r="Z468" s="176" t="n"/>
      <c r="AA468" s="176" t="n"/>
      <c r="AB468" s="176" t="n"/>
    </row>
    <row r="469">
      <c r="A469" s="176" t="n"/>
      <c r="B469" s="176" t="n"/>
      <c r="C469" s="176" t="n"/>
      <c r="D469" s="176" t="n"/>
      <c r="E469" s="186" t="n"/>
      <c r="F469" s="209" t="n"/>
      <c r="G469" s="209" t="n"/>
      <c r="H469" s="209" t="n"/>
      <c r="I469" s="209" t="n"/>
      <c r="J469" s="209" t="n"/>
      <c r="K469" s="186" t="n"/>
      <c r="L469" s="176" t="n"/>
      <c r="M469" s="176" t="n"/>
      <c r="N469" s="176" t="n"/>
      <c r="O469" s="176" t="n"/>
      <c r="P469" s="176" t="n"/>
      <c r="Q469" s="176" t="n"/>
      <c r="R469" s="176" t="n"/>
      <c r="S469" s="176" t="n"/>
      <c r="T469" s="176" t="n"/>
      <c r="U469" s="176" t="n"/>
      <c r="V469" s="176" t="n"/>
      <c r="W469" s="176" t="n"/>
      <c r="X469" s="176" t="n"/>
      <c r="Y469" s="176" t="n"/>
      <c r="Z469" s="176" t="n"/>
      <c r="AA469" s="176" t="n"/>
      <c r="AB469" s="176" t="n"/>
    </row>
    <row r="470">
      <c r="A470" s="176" t="n"/>
      <c r="B470" s="176" t="n"/>
      <c r="C470" s="176" t="n"/>
      <c r="D470" s="176" t="n"/>
      <c r="E470" s="186" t="n"/>
      <c r="F470" s="209" t="n"/>
      <c r="G470" s="209" t="n"/>
      <c r="H470" s="209" t="n"/>
      <c r="I470" s="209" t="n"/>
      <c r="J470" s="209" t="n"/>
      <c r="K470" s="186" t="n"/>
      <c r="L470" s="176" t="n"/>
      <c r="M470" s="176" t="n"/>
      <c r="N470" s="176" t="n"/>
      <c r="O470" s="176" t="n"/>
      <c r="P470" s="176" t="n"/>
      <c r="Q470" s="176" t="n"/>
      <c r="R470" s="176" t="n"/>
      <c r="S470" s="176" t="n"/>
      <c r="T470" s="176" t="n"/>
      <c r="U470" s="176" t="n"/>
      <c r="V470" s="176" t="n"/>
      <c r="W470" s="176" t="n"/>
      <c r="X470" s="176" t="n"/>
      <c r="Y470" s="176" t="n"/>
      <c r="Z470" s="176" t="n"/>
      <c r="AA470" s="176" t="n"/>
      <c r="AB470" s="176" t="n"/>
    </row>
    <row r="471">
      <c r="A471" s="176" t="n"/>
      <c r="B471" s="176" t="n"/>
      <c r="C471" s="176" t="n"/>
      <c r="D471" s="176" t="n"/>
      <c r="E471" s="186" t="n"/>
      <c r="F471" s="209" t="n"/>
      <c r="G471" s="209" t="n"/>
      <c r="H471" s="209" t="n"/>
      <c r="I471" s="209" t="n"/>
      <c r="J471" s="209" t="n"/>
      <c r="K471" s="186" t="n"/>
      <c r="L471" s="176" t="n"/>
      <c r="M471" s="176" t="n"/>
      <c r="N471" s="176" t="n"/>
      <c r="O471" s="176" t="n"/>
      <c r="P471" s="176" t="n"/>
      <c r="Q471" s="176" t="n"/>
      <c r="R471" s="176" t="n"/>
      <c r="S471" s="176" t="n"/>
      <c r="T471" s="176" t="n"/>
      <c r="U471" s="176" t="n"/>
      <c r="V471" s="176" t="n"/>
      <c r="W471" s="176" t="n"/>
      <c r="X471" s="176" t="n"/>
      <c r="Y471" s="176" t="n"/>
      <c r="Z471" s="176" t="n"/>
      <c r="AA471" s="176" t="n"/>
      <c r="AB471" s="176" t="n"/>
    </row>
    <row r="472">
      <c r="A472" s="176" t="n"/>
      <c r="B472" s="176" t="n"/>
      <c r="C472" s="176" t="n"/>
      <c r="D472" s="176" t="n"/>
      <c r="E472" s="186" t="n"/>
      <c r="F472" s="209" t="n"/>
      <c r="G472" s="209" t="n"/>
      <c r="H472" s="209" t="n"/>
      <c r="I472" s="209" t="n"/>
      <c r="J472" s="209" t="n"/>
      <c r="K472" s="186" t="n"/>
      <c r="L472" s="176" t="n"/>
      <c r="M472" s="176" t="n"/>
      <c r="N472" s="176" t="n"/>
      <c r="O472" s="176" t="n"/>
      <c r="P472" s="176" t="n"/>
      <c r="Q472" s="176" t="n"/>
      <c r="R472" s="176" t="n"/>
      <c r="S472" s="176" t="n"/>
      <c r="T472" s="176" t="n"/>
      <c r="U472" s="176" t="n"/>
      <c r="V472" s="176" t="n"/>
      <c r="W472" s="176" t="n"/>
      <c r="X472" s="176" t="n"/>
      <c r="Y472" s="176" t="n"/>
      <c r="Z472" s="176" t="n"/>
      <c r="AA472" s="176" t="n"/>
      <c r="AB472" s="176" t="n"/>
    </row>
    <row r="473">
      <c r="A473" s="176" t="n"/>
      <c r="B473" s="176" t="n"/>
      <c r="C473" s="176" t="n"/>
      <c r="D473" s="176" t="n"/>
      <c r="E473" s="186" t="n"/>
      <c r="F473" s="209" t="n"/>
      <c r="G473" s="209" t="n"/>
      <c r="H473" s="209" t="n"/>
      <c r="I473" s="209" t="n"/>
      <c r="J473" s="209" t="n"/>
      <c r="K473" s="186" t="n"/>
      <c r="L473" s="176" t="n"/>
      <c r="M473" s="176" t="n"/>
      <c r="N473" s="176" t="n"/>
      <c r="O473" s="176" t="n"/>
      <c r="P473" s="176" t="n"/>
      <c r="Q473" s="176" t="n"/>
      <c r="R473" s="176" t="n"/>
      <c r="S473" s="176" t="n"/>
      <c r="T473" s="176" t="n"/>
      <c r="U473" s="176" t="n"/>
      <c r="V473" s="176" t="n"/>
      <c r="W473" s="176" t="n"/>
      <c r="X473" s="176" t="n"/>
      <c r="Y473" s="176" t="n"/>
      <c r="Z473" s="176" t="n"/>
      <c r="AA473" s="176" t="n"/>
      <c r="AB473" s="176" t="n"/>
    </row>
    <row r="474">
      <c r="A474" s="176" t="n"/>
      <c r="B474" s="176" t="n"/>
      <c r="C474" s="176" t="n"/>
      <c r="D474" s="176" t="n"/>
      <c r="E474" s="186" t="n"/>
      <c r="F474" s="209" t="n"/>
      <c r="G474" s="209" t="n"/>
      <c r="H474" s="209" t="n"/>
      <c r="I474" s="209" t="n"/>
      <c r="J474" s="209" t="n"/>
      <c r="K474" s="186" t="n"/>
      <c r="L474" s="176" t="n"/>
      <c r="M474" s="176" t="n"/>
      <c r="N474" s="176" t="n"/>
      <c r="O474" s="176" t="n"/>
      <c r="P474" s="176" t="n"/>
      <c r="Q474" s="176" t="n"/>
      <c r="R474" s="176" t="n"/>
      <c r="S474" s="176" t="n"/>
      <c r="T474" s="176" t="n"/>
      <c r="U474" s="176" t="n"/>
      <c r="V474" s="176" t="n"/>
      <c r="W474" s="176" t="n"/>
      <c r="X474" s="176" t="n"/>
      <c r="Y474" s="176" t="n"/>
      <c r="Z474" s="176" t="n"/>
      <c r="AA474" s="176" t="n"/>
      <c r="AB474" s="176" t="n"/>
    </row>
    <row r="475">
      <c r="A475" s="176" t="n"/>
      <c r="B475" s="176" t="n"/>
      <c r="C475" s="176" t="n"/>
      <c r="D475" s="176" t="n"/>
      <c r="E475" s="186" t="n"/>
      <c r="F475" s="209" t="n"/>
      <c r="G475" s="209" t="n"/>
      <c r="H475" s="209" t="n"/>
      <c r="I475" s="209" t="n"/>
      <c r="J475" s="209" t="n"/>
      <c r="K475" s="186" t="n"/>
      <c r="L475" s="176" t="n"/>
      <c r="M475" s="176" t="n"/>
      <c r="N475" s="176" t="n"/>
      <c r="O475" s="176" t="n"/>
      <c r="P475" s="176" t="n"/>
      <c r="Q475" s="176" t="n"/>
      <c r="R475" s="176" t="n"/>
      <c r="S475" s="176" t="n"/>
      <c r="T475" s="176" t="n"/>
      <c r="U475" s="176" t="n"/>
      <c r="V475" s="176" t="n"/>
      <c r="W475" s="176" t="n"/>
      <c r="X475" s="176" t="n"/>
      <c r="Y475" s="176" t="n"/>
      <c r="Z475" s="176" t="n"/>
      <c r="AA475" s="176" t="n"/>
      <c r="AB475" s="176" t="n"/>
    </row>
    <row r="476">
      <c r="A476" s="176" t="n"/>
      <c r="B476" s="176" t="n"/>
      <c r="C476" s="176" t="n"/>
      <c r="D476" s="176" t="n"/>
      <c r="E476" s="186" t="n"/>
      <c r="F476" s="209" t="n"/>
      <c r="G476" s="209" t="n"/>
      <c r="H476" s="209" t="n"/>
      <c r="I476" s="209" t="n"/>
      <c r="J476" s="209" t="n"/>
      <c r="K476" s="186" t="n"/>
      <c r="L476" s="176" t="n"/>
      <c r="M476" s="176" t="n"/>
      <c r="N476" s="176" t="n"/>
      <c r="O476" s="176" t="n"/>
      <c r="P476" s="176" t="n"/>
      <c r="Q476" s="176" t="n"/>
      <c r="R476" s="176" t="n"/>
      <c r="S476" s="176" t="n"/>
      <c r="T476" s="176" t="n"/>
      <c r="U476" s="176" t="n"/>
      <c r="V476" s="176" t="n"/>
      <c r="W476" s="176" t="n"/>
      <c r="X476" s="176" t="n"/>
      <c r="Y476" s="176" t="n"/>
      <c r="Z476" s="176" t="n"/>
      <c r="AA476" s="176" t="n"/>
      <c r="AB476" s="176" t="n"/>
    </row>
    <row r="477">
      <c r="A477" s="176" t="n"/>
      <c r="B477" s="176" t="n"/>
      <c r="C477" s="176" t="n"/>
      <c r="D477" s="176" t="n"/>
      <c r="E477" s="186" t="n"/>
      <c r="F477" s="209" t="n"/>
      <c r="G477" s="209" t="n"/>
      <c r="H477" s="209" t="n"/>
      <c r="I477" s="209" t="n"/>
      <c r="J477" s="209" t="n"/>
      <c r="K477" s="186" t="n"/>
      <c r="L477" s="176" t="n"/>
      <c r="M477" s="176" t="n"/>
      <c r="N477" s="176" t="n"/>
      <c r="O477" s="176" t="n"/>
      <c r="P477" s="176" t="n"/>
      <c r="Q477" s="176" t="n"/>
      <c r="R477" s="176" t="n"/>
      <c r="S477" s="176" t="n"/>
      <c r="T477" s="176" t="n"/>
      <c r="U477" s="176" t="n"/>
      <c r="V477" s="176" t="n"/>
      <c r="W477" s="176" t="n"/>
      <c r="X477" s="176" t="n"/>
      <c r="Y477" s="176" t="n"/>
      <c r="Z477" s="176" t="n"/>
      <c r="AA477" s="176" t="n"/>
      <c r="AB477" s="176" t="n"/>
    </row>
    <row r="478">
      <c r="A478" s="176" t="n"/>
      <c r="B478" s="176" t="n"/>
      <c r="C478" s="176" t="n"/>
      <c r="D478" s="176" t="n"/>
      <c r="E478" s="186" t="n"/>
      <c r="F478" s="209" t="n"/>
      <c r="G478" s="209" t="n"/>
      <c r="H478" s="209" t="n"/>
      <c r="I478" s="209" t="n"/>
      <c r="J478" s="209" t="n"/>
      <c r="K478" s="186" t="n"/>
      <c r="L478" s="176" t="n"/>
      <c r="M478" s="176" t="n"/>
      <c r="N478" s="176" t="n"/>
      <c r="O478" s="176" t="n"/>
      <c r="P478" s="176" t="n"/>
      <c r="Q478" s="176" t="n"/>
      <c r="R478" s="176" t="n"/>
      <c r="S478" s="176" t="n"/>
      <c r="T478" s="176" t="n"/>
      <c r="U478" s="176" t="n"/>
      <c r="V478" s="176" t="n"/>
      <c r="W478" s="176" t="n"/>
      <c r="X478" s="176" t="n"/>
      <c r="Y478" s="176" t="n"/>
      <c r="Z478" s="176" t="n"/>
      <c r="AA478" s="176" t="n"/>
      <c r="AB478" s="176" t="n"/>
    </row>
    <row r="479">
      <c r="A479" s="176" t="n"/>
      <c r="B479" s="176" t="n"/>
      <c r="C479" s="176" t="n"/>
      <c r="D479" s="176" t="n"/>
      <c r="E479" s="186" t="n"/>
      <c r="F479" s="209" t="n"/>
      <c r="G479" s="209" t="n"/>
      <c r="H479" s="209" t="n"/>
      <c r="I479" s="209" t="n"/>
      <c r="J479" s="209" t="n"/>
      <c r="K479" s="186" t="n"/>
      <c r="L479" s="176" t="n"/>
      <c r="M479" s="176" t="n"/>
      <c r="N479" s="176" t="n"/>
      <c r="O479" s="176" t="n"/>
      <c r="P479" s="176" t="n"/>
      <c r="Q479" s="176" t="n"/>
      <c r="R479" s="176" t="n"/>
      <c r="S479" s="176" t="n"/>
      <c r="T479" s="176" t="n"/>
      <c r="U479" s="176" t="n"/>
      <c r="V479" s="176" t="n"/>
      <c r="W479" s="176" t="n"/>
      <c r="X479" s="176" t="n"/>
      <c r="Y479" s="176" t="n"/>
      <c r="Z479" s="176" t="n"/>
      <c r="AA479" s="176" t="n"/>
      <c r="AB479" s="176" t="n"/>
    </row>
    <row r="480">
      <c r="A480" s="176" t="n"/>
      <c r="B480" s="176" t="n"/>
      <c r="C480" s="176" t="n"/>
      <c r="D480" s="176" t="n"/>
      <c r="E480" s="186" t="n"/>
      <c r="F480" s="209" t="n"/>
      <c r="G480" s="209" t="n"/>
      <c r="H480" s="209" t="n"/>
      <c r="I480" s="209" t="n"/>
      <c r="J480" s="209" t="n"/>
      <c r="K480" s="186" t="n"/>
      <c r="L480" s="176" t="n"/>
      <c r="M480" s="176" t="n"/>
      <c r="N480" s="176" t="n"/>
      <c r="O480" s="176" t="n"/>
      <c r="P480" s="176" t="n"/>
      <c r="Q480" s="176" t="n"/>
      <c r="R480" s="176" t="n"/>
      <c r="S480" s="176" t="n"/>
      <c r="T480" s="176" t="n"/>
      <c r="U480" s="176" t="n"/>
      <c r="V480" s="176" t="n"/>
      <c r="W480" s="176" t="n"/>
      <c r="X480" s="176" t="n"/>
      <c r="Y480" s="176" t="n"/>
      <c r="Z480" s="176" t="n"/>
      <c r="AA480" s="176" t="n"/>
      <c r="AB480" s="176" t="n"/>
    </row>
    <row r="481">
      <c r="A481" s="176" t="n"/>
      <c r="B481" s="176" t="n"/>
      <c r="C481" s="176" t="n"/>
      <c r="D481" s="176" t="n"/>
      <c r="E481" s="186" t="n"/>
      <c r="F481" s="209" t="n"/>
      <c r="G481" s="209" t="n"/>
      <c r="H481" s="209" t="n"/>
      <c r="I481" s="209" t="n"/>
      <c r="J481" s="209" t="n"/>
      <c r="K481" s="186" t="n"/>
      <c r="L481" s="176" t="n"/>
      <c r="M481" s="176" t="n"/>
      <c r="N481" s="176" t="n"/>
      <c r="O481" s="176" t="n"/>
      <c r="P481" s="176" t="n"/>
      <c r="Q481" s="176" t="n"/>
      <c r="R481" s="176" t="n"/>
      <c r="S481" s="176" t="n"/>
      <c r="T481" s="176" t="n"/>
      <c r="U481" s="176" t="n"/>
      <c r="V481" s="176" t="n"/>
      <c r="W481" s="176" t="n"/>
      <c r="X481" s="176" t="n"/>
      <c r="Y481" s="176" t="n"/>
      <c r="Z481" s="176" t="n"/>
      <c r="AA481" s="176" t="n"/>
      <c r="AB481" s="176" t="n"/>
    </row>
    <row r="482">
      <c r="A482" s="176" t="n"/>
      <c r="B482" s="176" t="n"/>
      <c r="C482" s="176" t="n"/>
      <c r="D482" s="176" t="n"/>
      <c r="E482" s="186" t="n"/>
      <c r="F482" s="209" t="n"/>
      <c r="G482" s="209" t="n"/>
      <c r="H482" s="209" t="n"/>
      <c r="I482" s="209" t="n"/>
      <c r="J482" s="209" t="n"/>
      <c r="K482" s="186" t="n"/>
      <c r="L482" s="176" t="n"/>
      <c r="M482" s="176" t="n"/>
      <c r="N482" s="176" t="n"/>
      <c r="O482" s="176" t="n"/>
      <c r="P482" s="176" t="n"/>
      <c r="Q482" s="176" t="n"/>
      <c r="R482" s="176" t="n"/>
      <c r="S482" s="176" t="n"/>
      <c r="T482" s="176" t="n"/>
      <c r="U482" s="176" t="n"/>
      <c r="V482" s="176" t="n"/>
      <c r="W482" s="176" t="n"/>
      <c r="X482" s="176" t="n"/>
      <c r="Y482" s="176" t="n"/>
      <c r="Z482" s="176" t="n"/>
      <c r="AA482" s="176" t="n"/>
      <c r="AB482" s="176" t="n"/>
    </row>
    <row r="483">
      <c r="A483" s="176" t="n"/>
      <c r="B483" s="176" t="n"/>
      <c r="C483" s="176" t="n"/>
      <c r="D483" s="176" t="n"/>
      <c r="E483" s="186" t="n"/>
      <c r="F483" s="209" t="n"/>
      <c r="G483" s="209" t="n"/>
      <c r="H483" s="209" t="n"/>
      <c r="I483" s="209" t="n"/>
      <c r="J483" s="209" t="n"/>
      <c r="K483" s="186" t="n"/>
      <c r="L483" s="176" t="n"/>
      <c r="M483" s="176" t="n"/>
      <c r="N483" s="176" t="n"/>
      <c r="O483" s="176" t="n"/>
      <c r="P483" s="176" t="n"/>
      <c r="Q483" s="176" t="n"/>
      <c r="R483" s="176" t="n"/>
      <c r="S483" s="176" t="n"/>
      <c r="T483" s="176" t="n"/>
      <c r="U483" s="176" t="n"/>
      <c r="V483" s="176" t="n"/>
      <c r="W483" s="176" t="n"/>
      <c r="X483" s="176" t="n"/>
      <c r="Y483" s="176" t="n"/>
      <c r="Z483" s="176" t="n"/>
      <c r="AA483" s="176" t="n"/>
      <c r="AB483" s="176" t="n"/>
    </row>
    <row r="484">
      <c r="A484" s="176" t="n"/>
      <c r="B484" s="176" t="n"/>
      <c r="C484" s="176" t="n"/>
      <c r="D484" s="176" t="n"/>
      <c r="E484" s="186" t="n"/>
      <c r="F484" s="209" t="n"/>
      <c r="G484" s="209" t="n"/>
      <c r="H484" s="209" t="n"/>
      <c r="I484" s="209" t="n"/>
      <c r="J484" s="209" t="n"/>
      <c r="K484" s="186" t="n"/>
      <c r="L484" s="176" t="n"/>
      <c r="M484" s="176" t="n"/>
      <c r="N484" s="176" t="n"/>
      <c r="O484" s="176" t="n"/>
      <c r="P484" s="176" t="n"/>
      <c r="Q484" s="176" t="n"/>
      <c r="R484" s="176" t="n"/>
      <c r="S484" s="176" t="n"/>
      <c r="T484" s="176" t="n"/>
      <c r="U484" s="176" t="n"/>
      <c r="V484" s="176" t="n"/>
      <c r="W484" s="176" t="n"/>
      <c r="X484" s="176" t="n"/>
      <c r="Y484" s="176" t="n"/>
      <c r="Z484" s="176" t="n"/>
      <c r="AA484" s="176" t="n"/>
      <c r="AB484" s="176" t="n"/>
    </row>
    <row r="485">
      <c r="A485" s="176" t="n"/>
      <c r="B485" s="176" t="n"/>
      <c r="C485" s="176" t="n"/>
      <c r="D485" s="176" t="n"/>
      <c r="E485" s="186" t="n"/>
      <c r="F485" s="209" t="n"/>
      <c r="G485" s="209" t="n"/>
      <c r="H485" s="209" t="n"/>
      <c r="I485" s="209" t="n"/>
      <c r="J485" s="209" t="n"/>
      <c r="K485" s="186" t="n"/>
      <c r="L485" s="176" t="n"/>
      <c r="M485" s="176" t="n"/>
      <c r="N485" s="176" t="n"/>
      <c r="O485" s="176" t="n"/>
      <c r="P485" s="176" t="n"/>
      <c r="Q485" s="176" t="n"/>
      <c r="R485" s="176" t="n"/>
      <c r="S485" s="176" t="n"/>
      <c r="T485" s="176" t="n"/>
      <c r="U485" s="176" t="n"/>
      <c r="V485" s="176" t="n"/>
      <c r="W485" s="176" t="n"/>
      <c r="X485" s="176" t="n"/>
      <c r="Y485" s="176" t="n"/>
      <c r="Z485" s="176" t="n"/>
      <c r="AA485" s="176" t="n"/>
      <c r="AB485" s="176" t="n"/>
    </row>
    <row r="486">
      <c r="A486" s="176" t="n"/>
      <c r="B486" s="176" t="n"/>
      <c r="C486" s="176" t="n"/>
      <c r="D486" s="176" t="n"/>
      <c r="E486" s="186" t="n"/>
      <c r="F486" s="209" t="n"/>
      <c r="G486" s="209" t="n"/>
      <c r="H486" s="209" t="n"/>
      <c r="I486" s="209" t="n"/>
      <c r="J486" s="209" t="n"/>
      <c r="K486" s="186" t="n"/>
      <c r="L486" s="176" t="n"/>
      <c r="M486" s="176" t="n"/>
      <c r="N486" s="176" t="n"/>
      <c r="O486" s="176" t="n"/>
      <c r="P486" s="176" t="n"/>
      <c r="Q486" s="176" t="n"/>
      <c r="R486" s="176" t="n"/>
      <c r="S486" s="176" t="n"/>
      <c r="T486" s="176" t="n"/>
      <c r="U486" s="176" t="n"/>
      <c r="V486" s="176" t="n"/>
      <c r="W486" s="176" t="n"/>
      <c r="X486" s="176" t="n"/>
      <c r="Y486" s="176" t="n"/>
      <c r="Z486" s="176" t="n"/>
      <c r="AA486" s="176" t="n"/>
      <c r="AB486" s="176" t="n"/>
    </row>
    <row r="487">
      <c r="A487" s="176" t="n"/>
      <c r="B487" s="176" t="n"/>
      <c r="C487" s="176" t="n"/>
      <c r="D487" s="176" t="n"/>
      <c r="E487" s="186" t="n"/>
      <c r="F487" s="209" t="n"/>
      <c r="G487" s="209" t="n"/>
      <c r="H487" s="209" t="n"/>
      <c r="I487" s="209" t="n"/>
      <c r="J487" s="209" t="n"/>
      <c r="K487" s="186" t="n"/>
      <c r="L487" s="176" t="n"/>
      <c r="M487" s="176" t="n"/>
      <c r="N487" s="176" t="n"/>
      <c r="O487" s="176" t="n"/>
      <c r="P487" s="176" t="n"/>
      <c r="Q487" s="176" t="n"/>
      <c r="R487" s="176" t="n"/>
      <c r="S487" s="176" t="n"/>
      <c r="T487" s="176" t="n"/>
      <c r="U487" s="176" t="n"/>
      <c r="V487" s="176" t="n"/>
      <c r="W487" s="176" t="n"/>
      <c r="X487" s="176" t="n"/>
      <c r="Y487" s="176" t="n"/>
      <c r="Z487" s="176" t="n"/>
      <c r="AA487" s="176" t="n"/>
      <c r="AB487" s="176" t="n"/>
    </row>
    <row r="488">
      <c r="A488" s="176" t="n"/>
      <c r="B488" s="176" t="n"/>
      <c r="C488" s="176" t="n"/>
      <c r="D488" s="176" t="n"/>
      <c r="E488" s="186" t="n"/>
      <c r="F488" s="209" t="n"/>
      <c r="G488" s="209" t="n"/>
      <c r="H488" s="209" t="n"/>
      <c r="I488" s="209" t="n"/>
      <c r="J488" s="209" t="n"/>
      <c r="K488" s="186" t="n"/>
      <c r="L488" s="176" t="n"/>
      <c r="M488" s="176" t="n"/>
      <c r="N488" s="176" t="n"/>
      <c r="O488" s="176" t="n"/>
      <c r="P488" s="176" t="n"/>
      <c r="Q488" s="176" t="n"/>
      <c r="R488" s="176" t="n"/>
      <c r="S488" s="176" t="n"/>
      <c r="T488" s="176" t="n"/>
      <c r="U488" s="176" t="n"/>
      <c r="V488" s="176" t="n"/>
      <c r="W488" s="176" t="n"/>
      <c r="X488" s="176" t="n"/>
      <c r="Y488" s="176" t="n"/>
      <c r="Z488" s="176" t="n"/>
      <c r="AA488" s="176" t="n"/>
      <c r="AB488" s="176" t="n"/>
    </row>
    <row r="489">
      <c r="A489" s="176" t="n"/>
      <c r="B489" s="176" t="n"/>
      <c r="C489" s="176" t="n"/>
      <c r="D489" s="176" t="n"/>
      <c r="E489" s="186" t="n"/>
      <c r="F489" s="209" t="n"/>
      <c r="G489" s="209" t="n"/>
      <c r="H489" s="209" t="n"/>
      <c r="I489" s="209" t="n"/>
      <c r="J489" s="209" t="n"/>
      <c r="K489" s="186" t="n"/>
      <c r="L489" s="176" t="n"/>
      <c r="M489" s="176" t="n"/>
      <c r="N489" s="176" t="n"/>
      <c r="O489" s="176" t="n"/>
      <c r="P489" s="176" t="n"/>
      <c r="Q489" s="176" t="n"/>
      <c r="R489" s="176" t="n"/>
      <c r="S489" s="176" t="n"/>
      <c r="T489" s="176" t="n"/>
      <c r="U489" s="176" t="n"/>
      <c r="V489" s="176" t="n"/>
      <c r="W489" s="176" t="n"/>
      <c r="X489" s="176" t="n"/>
      <c r="Y489" s="176" t="n"/>
      <c r="Z489" s="176" t="n"/>
      <c r="AA489" s="176" t="n"/>
      <c r="AB489" s="176" t="n"/>
    </row>
    <row r="490">
      <c r="A490" s="176" t="n"/>
      <c r="B490" s="176" t="n"/>
      <c r="C490" s="176" t="n"/>
      <c r="D490" s="176" t="n"/>
      <c r="E490" s="186" t="n"/>
      <c r="F490" s="209" t="n"/>
      <c r="G490" s="209" t="n"/>
      <c r="H490" s="209" t="n"/>
      <c r="I490" s="209" t="n"/>
      <c r="J490" s="209" t="n"/>
      <c r="K490" s="186" t="n"/>
      <c r="L490" s="176" t="n"/>
      <c r="M490" s="176" t="n"/>
      <c r="N490" s="176" t="n"/>
      <c r="O490" s="176" t="n"/>
      <c r="P490" s="176" t="n"/>
      <c r="Q490" s="176" t="n"/>
      <c r="R490" s="176" t="n"/>
      <c r="S490" s="176" t="n"/>
      <c r="T490" s="176" t="n"/>
      <c r="U490" s="176" t="n"/>
      <c r="V490" s="176" t="n"/>
      <c r="W490" s="176" t="n"/>
      <c r="X490" s="176" t="n"/>
      <c r="Y490" s="176" t="n"/>
      <c r="Z490" s="176" t="n"/>
      <c r="AA490" s="176" t="n"/>
      <c r="AB490" s="176" t="n"/>
    </row>
    <row r="491">
      <c r="A491" s="176" t="n"/>
      <c r="B491" s="176" t="n"/>
      <c r="C491" s="176" t="n"/>
      <c r="D491" s="176" t="n"/>
      <c r="E491" s="186" t="n"/>
      <c r="F491" s="209" t="n"/>
      <c r="G491" s="209" t="n"/>
      <c r="H491" s="209" t="n"/>
      <c r="I491" s="209" t="n"/>
      <c r="J491" s="209" t="n"/>
      <c r="K491" s="186" t="n"/>
      <c r="L491" s="176" t="n"/>
      <c r="M491" s="176" t="n"/>
      <c r="N491" s="176" t="n"/>
      <c r="O491" s="176" t="n"/>
      <c r="P491" s="176" t="n"/>
      <c r="Q491" s="176" t="n"/>
      <c r="R491" s="176" t="n"/>
      <c r="S491" s="176" t="n"/>
      <c r="T491" s="176" t="n"/>
      <c r="U491" s="176" t="n"/>
      <c r="V491" s="176" t="n"/>
      <c r="W491" s="176" t="n"/>
      <c r="X491" s="176" t="n"/>
      <c r="Y491" s="176" t="n"/>
      <c r="Z491" s="176" t="n"/>
      <c r="AA491" s="176" t="n"/>
      <c r="AB491" s="176" t="n"/>
    </row>
    <row r="492">
      <c r="A492" s="176" t="n"/>
      <c r="B492" s="176" t="n"/>
      <c r="C492" s="176" t="n"/>
      <c r="D492" s="176" t="n"/>
      <c r="E492" s="186" t="n"/>
      <c r="F492" s="209" t="n"/>
      <c r="G492" s="209" t="n"/>
      <c r="H492" s="209" t="n"/>
      <c r="I492" s="209" t="n"/>
      <c r="J492" s="209" t="n"/>
      <c r="K492" s="186" t="n"/>
      <c r="L492" s="176" t="n"/>
      <c r="M492" s="176" t="n"/>
      <c r="N492" s="176" t="n"/>
      <c r="O492" s="176" t="n"/>
      <c r="P492" s="176" t="n"/>
      <c r="Q492" s="176" t="n"/>
      <c r="R492" s="176" t="n"/>
      <c r="S492" s="176" t="n"/>
      <c r="T492" s="176" t="n"/>
      <c r="U492" s="176" t="n"/>
      <c r="V492" s="176" t="n"/>
      <c r="W492" s="176" t="n"/>
      <c r="X492" s="176" t="n"/>
      <c r="Y492" s="176" t="n"/>
      <c r="Z492" s="176" t="n"/>
      <c r="AA492" s="176" t="n"/>
      <c r="AB492" s="176" t="n"/>
    </row>
    <row r="493">
      <c r="A493" s="176" t="n"/>
      <c r="B493" s="176" t="n"/>
      <c r="C493" s="176" t="n"/>
      <c r="D493" s="176" t="n"/>
      <c r="E493" s="186" t="n"/>
      <c r="F493" s="209" t="n"/>
      <c r="G493" s="209" t="n"/>
      <c r="H493" s="209" t="n"/>
      <c r="I493" s="209" t="n"/>
      <c r="J493" s="209" t="n"/>
      <c r="K493" s="186" t="n"/>
      <c r="L493" s="176" t="n"/>
      <c r="M493" s="176" t="n"/>
      <c r="N493" s="176" t="n"/>
      <c r="O493" s="176" t="n"/>
      <c r="P493" s="176" t="n"/>
      <c r="Q493" s="176" t="n"/>
      <c r="R493" s="176" t="n"/>
      <c r="S493" s="176" t="n"/>
      <c r="T493" s="176" t="n"/>
      <c r="U493" s="176" t="n"/>
      <c r="V493" s="176" t="n"/>
      <c r="W493" s="176" t="n"/>
      <c r="X493" s="176" t="n"/>
      <c r="Y493" s="176" t="n"/>
      <c r="Z493" s="176" t="n"/>
      <c r="AA493" s="176" t="n"/>
      <c r="AB493" s="176" t="n"/>
    </row>
    <row r="494">
      <c r="A494" s="176" t="n"/>
      <c r="B494" s="176" t="n"/>
      <c r="C494" s="176" t="n"/>
      <c r="D494" s="176" t="n"/>
      <c r="E494" s="186" t="n"/>
      <c r="F494" s="209" t="n"/>
      <c r="G494" s="209" t="n"/>
      <c r="H494" s="209" t="n"/>
      <c r="I494" s="209" t="n"/>
      <c r="J494" s="209" t="n"/>
      <c r="K494" s="186" t="n"/>
      <c r="L494" s="176" t="n"/>
      <c r="M494" s="176" t="n"/>
      <c r="N494" s="176" t="n"/>
      <c r="O494" s="176" t="n"/>
      <c r="P494" s="176" t="n"/>
      <c r="Q494" s="176" t="n"/>
      <c r="R494" s="176" t="n"/>
      <c r="S494" s="176" t="n"/>
      <c r="T494" s="176" t="n"/>
      <c r="U494" s="176" t="n"/>
      <c r="V494" s="176" t="n"/>
      <c r="W494" s="176" t="n"/>
      <c r="X494" s="176" t="n"/>
      <c r="Y494" s="176" t="n"/>
      <c r="Z494" s="176" t="n"/>
      <c r="AA494" s="176" t="n"/>
      <c r="AB494" s="176" t="n"/>
    </row>
    <row r="495">
      <c r="A495" s="176" t="n"/>
      <c r="B495" s="176" t="n"/>
      <c r="C495" s="176" t="n"/>
      <c r="D495" s="176" t="n"/>
      <c r="E495" s="186" t="n"/>
      <c r="F495" s="209" t="n"/>
      <c r="G495" s="209" t="n"/>
      <c r="H495" s="209" t="n"/>
      <c r="I495" s="209" t="n"/>
      <c r="J495" s="209" t="n"/>
      <c r="K495" s="186" t="n"/>
      <c r="L495" s="176" t="n"/>
      <c r="M495" s="176" t="n"/>
      <c r="N495" s="176" t="n"/>
      <c r="O495" s="176" t="n"/>
      <c r="P495" s="176" t="n"/>
      <c r="Q495" s="176" t="n"/>
      <c r="R495" s="176" t="n"/>
      <c r="S495" s="176" t="n"/>
      <c r="T495" s="176" t="n"/>
      <c r="U495" s="176" t="n"/>
      <c r="V495" s="176" t="n"/>
      <c r="W495" s="176" t="n"/>
      <c r="X495" s="176" t="n"/>
      <c r="Y495" s="176" t="n"/>
      <c r="Z495" s="176" t="n"/>
      <c r="AA495" s="176" t="n"/>
      <c r="AB495" s="176" t="n"/>
    </row>
    <row r="496">
      <c r="A496" s="176" t="n"/>
      <c r="B496" s="176" t="n"/>
      <c r="C496" s="176" t="n"/>
      <c r="D496" s="176" t="n"/>
      <c r="E496" s="186" t="n"/>
      <c r="F496" s="209" t="n"/>
      <c r="G496" s="209" t="n"/>
      <c r="H496" s="209" t="n"/>
      <c r="I496" s="209" t="n"/>
      <c r="J496" s="209" t="n"/>
      <c r="K496" s="186" t="n"/>
      <c r="L496" s="176" t="n"/>
      <c r="M496" s="176" t="n"/>
      <c r="N496" s="176" t="n"/>
      <c r="O496" s="176" t="n"/>
      <c r="P496" s="176" t="n"/>
      <c r="Q496" s="176" t="n"/>
      <c r="R496" s="176" t="n"/>
      <c r="S496" s="176" t="n"/>
      <c r="T496" s="176" t="n"/>
      <c r="U496" s="176" t="n"/>
      <c r="V496" s="176" t="n"/>
      <c r="W496" s="176" t="n"/>
      <c r="X496" s="176" t="n"/>
      <c r="Y496" s="176" t="n"/>
      <c r="Z496" s="176" t="n"/>
      <c r="AA496" s="176" t="n"/>
      <c r="AB496" s="176" t="n"/>
    </row>
    <row r="497">
      <c r="A497" s="176" t="n"/>
      <c r="B497" s="176" t="n"/>
      <c r="C497" s="176" t="n"/>
      <c r="D497" s="176" t="n"/>
      <c r="E497" s="186" t="n"/>
      <c r="F497" s="209" t="n"/>
      <c r="G497" s="209" t="n"/>
      <c r="H497" s="209" t="n"/>
      <c r="I497" s="209" t="n"/>
      <c r="J497" s="209" t="n"/>
      <c r="K497" s="186" t="n"/>
      <c r="L497" s="176" t="n"/>
      <c r="M497" s="176" t="n"/>
      <c r="N497" s="176" t="n"/>
      <c r="O497" s="176" t="n"/>
      <c r="P497" s="176" t="n"/>
      <c r="Q497" s="176" t="n"/>
      <c r="R497" s="176" t="n"/>
      <c r="S497" s="176" t="n"/>
      <c r="T497" s="176" t="n"/>
      <c r="U497" s="176" t="n"/>
      <c r="V497" s="176" t="n"/>
      <c r="W497" s="176" t="n"/>
      <c r="X497" s="176" t="n"/>
      <c r="Y497" s="176" t="n"/>
      <c r="Z497" s="176" t="n"/>
      <c r="AA497" s="176" t="n"/>
      <c r="AB497" s="176" t="n"/>
    </row>
    <row r="498">
      <c r="A498" s="176" t="n"/>
      <c r="B498" s="176" t="n"/>
      <c r="C498" s="176" t="n"/>
      <c r="D498" s="176" t="n"/>
      <c r="E498" s="186" t="n"/>
      <c r="F498" s="209" t="n"/>
      <c r="G498" s="209" t="n"/>
      <c r="H498" s="209" t="n"/>
      <c r="I498" s="209" t="n"/>
      <c r="J498" s="209" t="n"/>
      <c r="K498" s="186" t="n"/>
      <c r="L498" s="176" t="n"/>
      <c r="M498" s="176" t="n"/>
      <c r="N498" s="176" t="n"/>
      <c r="O498" s="176" t="n"/>
      <c r="P498" s="176" t="n"/>
      <c r="Q498" s="176" t="n"/>
      <c r="R498" s="176" t="n"/>
      <c r="S498" s="176" t="n"/>
      <c r="T498" s="176" t="n"/>
      <c r="U498" s="176" t="n"/>
      <c r="V498" s="176" t="n"/>
      <c r="W498" s="176" t="n"/>
      <c r="X498" s="176" t="n"/>
      <c r="Y498" s="176" t="n"/>
      <c r="Z498" s="176" t="n"/>
      <c r="AA498" s="176" t="n"/>
      <c r="AB498" s="176" t="n"/>
    </row>
    <row r="499">
      <c r="A499" s="176" t="n"/>
      <c r="B499" s="176" t="n"/>
      <c r="C499" s="176" t="n"/>
      <c r="D499" s="176" t="n"/>
      <c r="E499" s="186" t="n"/>
      <c r="F499" s="209" t="n"/>
      <c r="G499" s="209" t="n"/>
      <c r="H499" s="209" t="n"/>
      <c r="I499" s="209" t="n"/>
      <c r="J499" s="209" t="n"/>
      <c r="K499" s="186" t="n"/>
      <c r="L499" s="176" t="n"/>
      <c r="M499" s="176" t="n"/>
      <c r="N499" s="176" t="n"/>
      <c r="O499" s="176" t="n"/>
      <c r="P499" s="176" t="n"/>
      <c r="Q499" s="176" t="n"/>
      <c r="R499" s="176" t="n"/>
      <c r="S499" s="176" t="n"/>
      <c r="T499" s="176" t="n"/>
      <c r="U499" s="176" t="n"/>
      <c r="V499" s="176" t="n"/>
      <c r="W499" s="176" t="n"/>
      <c r="X499" s="176" t="n"/>
      <c r="Y499" s="176" t="n"/>
      <c r="Z499" s="176" t="n"/>
      <c r="AA499" s="176" t="n"/>
      <c r="AB499" s="176" t="n"/>
    </row>
    <row r="500">
      <c r="A500" s="176" t="n"/>
      <c r="B500" s="176" t="n"/>
      <c r="C500" s="176" t="n"/>
      <c r="D500" s="176" t="n"/>
      <c r="E500" s="186" t="n"/>
      <c r="F500" s="209" t="n"/>
      <c r="G500" s="209" t="n"/>
      <c r="H500" s="209" t="n"/>
      <c r="I500" s="209" t="n"/>
      <c r="J500" s="209" t="n"/>
      <c r="K500" s="186" t="n"/>
      <c r="L500" s="176" t="n"/>
      <c r="M500" s="176" t="n"/>
      <c r="N500" s="176" t="n"/>
      <c r="O500" s="176" t="n"/>
      <c r="P500" s="176" t="n"/>
      <c r="Q500" s="176" t="n"/>
      <c r="R500" s="176" t="n"/>
      <c r="S500" s="176" t="n"/>
      <c r="T500" s="176" t="n"/>
      <c r="U500" s="176" t="n"/>
      <c r="V500" s="176" t="n"/>
      <c r="W500" s="176" t="n"/>
      <c r="X500" s="176" t="n"/>
      <c r="Y500" s="176" t="n"/>
      <c r="Z500" s="176" t="n"/>
      <c r="AA500" s="176" t="n"/>
      <c r="AB500" s="176" t="n"/>
    </row>
    <row r="501">
      <c r="A501" s="176" t="n"/>
      <c r="B501" s="176" t="n"/>
      <c r="C501" s="176" t="n"/>
      <c r="D501" s="176" t="n"/>
      <c r="E501" s="186" t="n"/>
      <c r="F501" s="209" t="n"/>
      <c r="G501" s="209" t="n"/>
      <c r="H501" s="209" t="n"/>
      <c r="I501" s="209" t="n"/>
      <c r="J501" s="209" t="n"/>
      <c r="K501" s="186" t="n"/>
      <c r="L501" s="176" t="n"/>
      <c r="M501" s="176" t="n"/>
      <c r="N501" s="176" t="n"/>
      <c r="O501" s="176" t="n"/>
      <c r="P501" s="176" t="n"/>
      <c r="Q501" s="176" t="n"/>
      <c r="R501" s="176" t="n"/>
      <c r="S501" s="176" t="n"/>
      <c r="T501" s="176" t="n"/>
      <c r="U501" s="176" t="n"/>
      <c r="V501" s="176" t="n"/>
      <c r="W501" s="176" t="n"/>
      <c r="X501" s="176" t="n"/>
      <c r="Y501" s="176" t="n"/>
      <c r="Z501" s="176" t="n"/>
      <c r="AA501" s="176" t="n"/>
      <c r="AB501" s="176" t="n"/>
    </row>
    <row r="502">
      <c r="A502" s="176" t="n"/>
      <c r="B502" s="176" t="n"/>
      <c r="C502" s="176" t="n"/>
      <c r="D502" s="176" t="n"/>
      <c r="E502" s="186" t="n"/>
      <c r="F502" s="209" t="n"/>
      <c r="G502" s="209" t="n"/>
      <c r="H502" s="209" t="n"/>
      <c r="I502" s="209" t="n"/>
      <c r="J502" s="209" t="n"/>
      <c r="K502" s="186" t="n"/>
      <c r="L502" s="176" t="n"/>
      <c r="M502" s="176" t="n"/>
      <c r="N502" s="176" t="n"/>
      <c r="O502" s="176" t="n"/>
      <c r="P502" s="176" t="n"/>
      <c r="Q502" s="176" t="n"/>
      <c r="R502" s="176" t="n"/>
      <c r="S502" s="176" t="n"/>
      <c r="T502" s="176" t="n"/>
      <c r="U502" s="176" t="n"/>
      <c r="V502" s="176" t="n"/>
      <c r="W502" s="176" t="n"/>
      <c r="X502" s="176" t="n"/>
      <c r="Y502" s="176" t="n"/>
      <c r="Z502" s="176" t="n"/>
      <c r="AA502" s="176" t="n"/>
      <c r="AB502" s="176" t="n"/>
    </row>
    <row r="503">
      <c r="A503" s="176" t="n"/>
      <c r="B503" s="176" t="n"/>
      <c r="C503" s="176" t="n"/>
      <c r="D503" s="176" t="n"/>
      <c r="E503" s="186" t="n"/>
      <c r="F503" s="209" t="n"/>
      <c r="G503" s="209" t="n"/>
      <c r="H503" s="209" t="n"/>
      <c r="I503" s="209" t="n"/>
      <c r="J503" s="209" t="n"/>
      <c r="K503" s="186" t="n"/>
      <c r="L503" s="176" t="n"/>
      <c r="M503" s="176" t="n"/>
      <c r="N503" s="176" t="n"/>
      <c r="O503" s="176" t="n"/>
      <c r="P503" s="176" t="n"/>
      <c r="Q503" s="176" t="n"/>
      <c r="R503" s="176" t="n"/>
      <c r="S503" s="176" t="n"/>
      <c r="T503" s="176" t="n"/>
      <c r="U503" s="176" t="n"/>
      <c r="V503" s="176" t="n"/>
      <c r="W503" s="176" t="n"/>
      <c r="X503" s="176" t="n"/>
      <c r="Y503" s="176" t="n"/>
      <c r="Z503" s="176" t="n"/>
      <c r="AA503" s="176" t="n"/>
      <c r="AB503" s="176" t="n"/>
    </row>
    <row r="504">
      <c r="A504" s="176" t="n"/>
      <c r="B504" s="176" t="n"/>
      <c r="C504" s="176" t="n"/>
      <c r="D504" s="176" t="n"/>
      <c r="E504" s="186" t="n"/>
      <c r="F504" s="209" t="n"/>
      <c r="G504" s="209" t="n"/>
      <c r="H504" s="209" t="n"/>
      <c r="I504" s="209" t="n"/>
      <c r="J504" s="209" t="n"/>
      <c r="K504" s="186" t="n"/>
      <c r="L504" s="176" t="n"/>
      <c r="M504" s="176" t="n"/>
      <c r="N504" s="176" t="n"/>
      <c r="O504" s="176" t="n"/>
      <c r="P504" s="176" t="n"/>
      <c r="Q504" s="176" t="n"/>
      <c r="R504" s="176" t="n"/>
      <c r="S504" s="176" t="n"/>
      <c r="T504" s="176" t="n"/>
      <c r="U504" s="176" t="n"/>
      <c r="V504" s="176" t="n"/>
      <c r="W504" s="176" t="n"/>
      <c r="X504" s="176" t="n"/>
      <c r="Y504" s="176" t="n"/>
      <c r="Z504" s="176" t="n"/>
      <c r="AA504" s="176" t="n"/>
      <c r="AB504" s="176" t="n"/>
    </row>
    <row r="505">
      <c r="A505" s="176" t="n"/>
      <c r="B505" s="176" t="n"/>
      <c r="C505" s="176" t="n"/>
      <c r="D505" s="176" t="n"/>
      <c r="E505" s="186" t="n"/>
      <c r="F505" s="209" t="n"/>
      <c r="G505" s="209" t="n"/>
      <c r="H505" s="209" t="n"/>
      <c r="I505" s="209" t="n"/>
      <c r="J505" s="209" t="n"/>
      <c r="K505" s="186" t="n"/>
      <c r="L505" s="176" t="n"/>
      <c r="M505" s="176" t="n"/>
      <c r="N505" s="176" t="n"/>
      <c r="O505" s="176" t="n"/>
      <c r="P505" s="176" t="n"/>
      <c r="Q505" s="176" t="n"/>
      <c r="R505" s="176" t="n"/>
      <c r="S505" s="176" t="n"/>
      <c r="T505" s="176" t="n"/>
      <c r="U505" s="176" t="n"/>
      <c r="V505" s="176" t="n"/>
      <c r="W505" s="176" t="n"/>
      <c r="X505" s="176" t="n"/>
      <c r="Y505" s="176" t="n"/>
      <c r="Z505" s="176" t="n"/>
      <c r="AA505" s="176" t="n"/>
      <c r="AB505" s="176" t="n"/>
    </row>
    <row r="506">
      <c r="A506" s="176" t="n"/>
      <c r="B506" s="176" t="n"/>
      <c r="C506" s="176" t="n"/>
      <c r="D506" s="176" t="n"/>
      <c r="E506" s="186" t="n"/>
      <c r="F506" s="209" t="n"/>
      <c r="G506" s="209" t="n"/>
      <c r="H506" s="209" t="n"/>
      <c r="I506" s="209" t="n"/>
      <c r="J506" s="209" t="n"/>
      <c r="K506" s="186" t="n"/>
      <c r="L506" s="176" t="n"/>
      <c r="M506" s="176" t="n"/>
      <c r="N506" s="176" t="n"/>
      <c r="O506" s="176" t="n"/>
      <c r="P506" s="176" t="n"/>
      <c r="Q506" s="176" t="n"/>
      <c r="R506" s="176" t="n"/>
      <c r="S506" s="176" t="n"/>
      <c r="T506" s="176" t="n"/>
      <c r="U506" s="176" t="n"/>
      <c r="V506" s="176" t="n"/>
      <c r="W506" s="176" t="n"/>
      <c r="X506" s="176" t="n"/>
      <c r="Y506" s="176" t="n"/>
      <c r="Z506" s="176" t="n"/>
      <c r="AA506" s="176" t="n"/>
      <c r="AB506" s="176" t="n"/>
    </row>
    <row r="507">
      <c r="A507" s="176" t="n"/>
      <c r="B507" s="176" t="n"/>
      <c r="C507" s="176" t="n"/>
      <c r="D507" s="176" t="n"/>
      <c r="E507" s="186" t="n"/>
      <c r="F507" s="209" t="n"/>
      <c r="G507" s="209" t="n"/>
      <c r="H507" s="209" t="n"/>
      <c r="I507" s="209" t="n"/>
      <c r="J507" s="209" t="n"/>
      <c r="K507" s="186" t="n"/>
      <c r="L507" s="176" t="n"/>
      <c r="M507" s="176" t="n"/>
      <c r="N507" s="176" t="n"/>
      <c r="O507" s="176" t="n"/>
      <c r="P507" s="176" t="n"/>
      <c r="Q507" s="176" t="n"/>
      <c r="R507" s="176" t="n"/>
      <c r="S507" s="176" t="n"/>
      <c r="T507" s="176" t="n"/>
      <c r="U507" s="176" t="n"/>
      <c r="V507" s="176" t="n"/>
      <c r="W507" s="176" t="n"/>
      <c r="X507" s="176" t="n"/>
      <c r="Y507" s="176" t="n"/>
      <c r="Z507" s="176" t="n"/>
      <c r="AA507" s="176" t="n"/>
      <c r="AB507" s="176" t="n"/>
    </row>
    <row r="508">
      <c r="A508" s="176" t="n"/>
      <c r="B508" s="176" t="n"/>
      <c r="C508" s="176" t="n"/>
      <c r="D508" s="176" t="n"/>
      <c r="E508" s="186" t="n"/>
      <c r="F508" s="209" t="n"/>
      <c r="G508" s="209" t="n"/>
      <c r="H508" s="209" t="n"/>
      <c r="I508" s="209" t="n"/>
      <c r="J508" s="209" t="n"/>
      <c r="K508" s="186" t="n"/>
      <c r="L508" s="176" t="n"/>
      <c r="M508" s="176" t="n"/>
      <c r="N508" s="176" t="n"/>
      <c r="O508" s="176" t="n"/>
      <c r="P508" s="176" t="n"/>
      <c r="Q508" s="176" t="n"/>
      <c r="R508" s="176" t="n"/>
      <c r="S508" s="176" t="n"/>
      <c r="T508" s="176" t="n"/>
      <c r="U508" s="176" t="n"/>
      <c r="V508" s="176" t="n"/>
      <c r="W508" s="176" t="n"/>
      <c r="X508" s="176" t="n"/>
      <c r="Y508" s="176" t="n"/>
      <c r="Z508" s="176" t="n"/>
      <c r="AA508" s="176" t="n"/>
      <c r="AB508" s="176" t="n"/>
    </row>
    <row r="509">
      <c r="A509" s="176" t="n"/>
      <c r="B509" s="176" t="n"/>
      <c r="C509" s="176" t="n"/>
      <c r="D509" s="176" t="n"/>
      <c r="E509" s="186" t="n"/>
      <c r="F509" s="209" t="n"/>
      <c r="G509" s="209" t="n"/>
      <c r="H509" s="209" t="n"/>
      <c r="I509" s="209" t="n"/>
      <c r="J509" s="209" t="n"/>
      <c r="K509" s="186" t="n"/>
      <c r="L509" s="176" t="n"/>
      <c r="M509" s="176" t="n"/>
      <c r="N509" s="176" t="n"/>
      <c r="O509" s="176" t="n"/>
      <c r="P509" s="176" t="n"/>
      <c r="Q509" s="176" t="n"/>
      <c r="R509" s="176" t="n"/>
      <c r="S509" s="176" t="n"/>
      <c r="T509" s="176" t="n"/>
      <c r="U509" s="176" t="n"/>
      <c r="V509" s="176" t="n"/>
      <c r="W509" s="176" t="n"/>
      <c r="X509" s="176" t="n"/>
      <c r="Y509" s="176" t="n"/>
      <c r="Z509" s="176" t="n"/>
      <c r="AA509" s="176" t="n"/>
      <c r="AB509" s="176" t="n"/>
    </row>
    <row r="510">
      <c r="A510" s="176" t="n"/>
      <c r="B510" s="176" t="n"/>
      <c r="C510" s="176" t="n"/>
      <c r="D510" s="176" t="n"/>
      <c r="E510" s="186" t="n"/>
      <c r="F510" s="209" t="n"/>
      <c r="G510" s="209" t="n"/>
      <c r="H510" s="209" t="n"/>
      <c r="I510" s="209" t="n"/>
      <c r="J510" s="209" t="n"/>
      <c r="K510" s="186" t="n"/>
      <c r="L510" s="176" t="n"/>
      <c r="M510" s="176" t="n"/>
      <c r="N510" s="176" t="n"/>
      <c r="O510" s="176" t="n"/>
      <c r="P510" s="176" t="n"/>
      <c r="Q510" s="176" t="n"/>
      <c r="R510" s="176" t="n"/>
      <c r="S510" s="176" t="n"/>
      <c r="T510" s="176" t="n"/>
      <c r="U510" s="176" t="n"/>
      <c r="V510" s="176" t="n"/>
      <c r="W510" s="176" t="n"/>
      <c r="X510" s="176" t="n"/>
      <c r="Y510" s="176" t="n"/>
      <c r="Z510" s="176" t="n"/>
      <c r="AA510" s="176" t="n"/>
      <c r="AB510" s="176" t="n"/>
    </row>
    <row r="511">
      <c r="A511" s="176" t="n"/>
      <c r="B511" s="176" t="n"/>
      <c r="C511" s="176" t="n"/>
      <c r="D511" s="176" t="n"/>
      <c r="E511" s="186" t="n"/>
      <c r="F511" s="209" t="n"/>
      <c r="G511" s="209" t="n"/>
      <c r="H511" s="209" t="n"/>
      <c r="I511" s="209" t="n"/>
      <c r="J511" s="209" t="n"/>
      <c r="K511" s="186" t="n"/>
      <c r="L511" s="176" t="n"/>
      <c r="M511" s="176" t="n"/>
      <c r="N511" s="176" t="n"/>
      <c r="O511" s="176" t="n"/>
      <c r="P511" s="176" t="n"/>
      <c r="Q511" s="176" t="n"/>
      <c r="R511" s="176" t="n"/>
      <c r="S511" s="176" t="n"/>
      <c r="T511" s="176" t="n"/>
      <c r="U511" s="176" t="n"/>
      <c r="V511" s="176" t="n"/>
      <c r="W511" s="176" t="n"/>
      <c r="X511" s="176" t="n"/>
      <c r="Y511" s="176" t="n"/>
      <c r="Z511" s="176" t="n"/>
      <c r="AA511" s="176" t="n"/>
      <c r="AB511" s="176" t="n"/>
    </row>
    <row r="512">
      <c r="A512" s="176" t="n"/>
      <c r="B512" s="176" t="n"/>
      <c r="C512" s="176" t="n"/>
      <c r="D512" s="176" t="n"/>
      <c r="E512" s="186" t="n"/>
      <c r="F512" s="209" t="n"/>
      <c r="G512" s="209" t="n"/>
      <c r="H512" s="209" t="n"/>
      <c r="I512" s="209" t="n"/>
      <c r="J512" s="209" t="n"/>
      <c r="K512" s="186" t="n"/>
      <c r="L512" s="176" t="n"/>
      <c r="M512" s="176" t="n"/>
      <c r="N512" s="176" t="n"/>
      <c r="O512" s="176" t="n"/>
      <c r="P512" s="176" t="n"/>
      <c r="Q512" s="176" t="n"/>
      <c r="R512" s="176" t="n"/>
      <c r="S512" s="176" t="n"/>
      <c r="T512" s="176" t="n"/>
      <c r="U512" s="176" t="n"/>
      <c r="V512" s="176" t="n"/>
      <c r="W512" s="176" t="n"/>
      <c r="X512" s="176" t="n"/>
      <c r="Y512" s="176" t="n"/>
      <c r="Z512" s="176" t="n"/>
      <c r="AA512" s="176" t="n"/>
      <c r="AB512" s="176" t="n"/>
    </row>
    <row r="513">
      <c r="A513" s="176" t="n"/>
      <c r="B513" s="176" t="n"/>
      <c r="C513" s="176" t="n"/>
      <c r="D513" s="176" t="n"/>
      <c r="E513" s="186" t="n"/>
      <c r="F513" s="209" t="n"/>
      <c r="G513" s="209" t="n"/>
      <c r="H513" s="209" t="n"/>
      <c r="I513" s="209" t="n"/>
      <c r="J513" s="209" t="n"/>
      <c r="K513" s="186" t="n"/>
      <c r="L513" s="176" t="n"/>
      <c r="M513" s="176" t="n"/>
      <c r="N513" s="176" t="n"/>
      <c r="O513" s="176" t="n"/>
      <c r="P513" s="176" t="n"/>
      <c r="Q513" s="176" t="n"/>
      <c r="R513" s="176" t="n"/>
      <c r="S513" s="176" t="n"/>
      <c r="T513" s="176" t="n"/>
      <c r="U513" s="176" t="n"/>
      <c r="V513" s="176" t="n"/>
      <c r="W513" s="176" t="n"/>
      <c r="X513" s="176" t="n"/>
      <c r="Y513" s="176" t="n"/>
      <c r="Z513" s="176" t="n"/>
      <c r="AA513" s="176" t="n"/>
      <c r="AB513" s="176" t="n"/>
    </row>
    <row r="514">
      <c r="A514" s="176" t="n"/>
      <c r="B514" s="176" t="n"/>
      <c r="C514" s="176" t="n"/>
      <c r="D514" s="176" t="n"/>
      <c r="E514" s="186" t="n"/>
      <c r="F514" s="209" t="n"/>
      <c r="G514" s="209" t="n"/>
      <c r="H514" s="209" t="n"/>
      <c r="I514" s="209" t="n"/>
      <c r="J514" s="209" t="n"/>
      <c r="K514" s="186" t="n"/>
      <c r="L514" s="176" t="n"/>
      <c r="M514" s="176" t="n"/>
      <c r="N514" s="176" t="n"/>
      <c r="O514" s="176" t="n"/>
      <c r="P514" s="176" t="n"/>
      <c r="Q514" s="176" t="n"/>
      <c r="R514" s="176" t="n"/>
      <c r="S514" s="176" t="n"/>
      <c r="T514" s="176" t="n"/>
      <c r="U514" s="176" t="n"/>
      <c r="V514" s="176" t="n"/>
      <c r="W514" s="176" t="n"/>
      <c r="X514" s="176" t="n"/>
      <c r="Y514" s="176" t="n"/>
      <c r="Z514" s="176" t="n"/>
      <c r="AA514" s="176" t="n"/>
      <c r="AB514" s="176" t="n"/>
    </row>
    <row r="515">
      <c r="A515" s="176" t="n"/>
      <c r="B515" s="176" t="n"/>
      <c r="C515" s="176" t="n"/>
      <c r="D515" s="176" t="n"/>
      <c r="E515" s="186" t="n"/>
      <c r="F515" s="209" t="n"/>
      <c r="G515" s="209" t="n"/>
      <c r="H515" s="209" t="n"/>
      <c r="I515" s="209" t="n"/>
      <c r="J515" s="209" t="n"/>
      <c r="K515" s="186" t="n"/>
      <c r="L515" s="176" t="n"/>
      <c r="M515" s="176" t="n"/>
      <c r="N515" s="176" t="n"/>
      <c r="O515" s="176" t="n"/>
      <c r="P515" s="176" t="n"/>
      <c r="Q515" s="176" t="n"/>
      <c r="R515" s="176" t="n"/>
      <c r="S515" s="176" t="n"/>
      <c r="T515" s="176" t="n"/>
      <c r="U515" s="176" t="n"/>
      <c r="V515" s="176" t="n"/>
      <c r="W515" s="176" t="n"/>
      <c r="X515" s="176" t="n"/>
      <c r="Y515" s="176" t="n"/>
      <c r="Z515" s="176" t="n"/>
      <c r="AA515" s="176" t="n"/>
      <c r="AB515" s="176" t="n"/>
    </row>
    <row r="516">
      <c r="A516" s="176" t="n"/>
      <c r="B516" s="176" t="n"/>
      <c r="C516" s="176" t="n"/>
      <c r="D516" s="176" t="n"/>
      <c r="E516" s="186" t="n"/>
      <c r="F516" s="209" t="n"/>
      <c r="G516" s="209" t="n"/>
      <c r="H516" s="209" t="n"/>
      <c r="I516" s="209" t="n"/>
      <c r="J516" s="209" t="n"/>
      <c r="K516" s="186" t="n"/>
      <c r="L516" s="176" t="n"/>
      <c r="M516" s="176" t="n"/>
      <c r="N516" s="176" t="n"/>
      <c r="O516" s="176" t="n"/>
      <c r="P516" s="176" t="n"/>
      <c r="Q516" s="176" t="n"/>
      <c r="R516" s="176" t="n"/>
      <c r="S516" s="176" t="n"/>
      <c r="T516" s="176" t="n"/>
      <c r="U516" s="176" t="n"/>
      <c r="V516" s="176" t="n"/>
      <c r="W516" s="176" t="n"/>
      <c r="X516" s="176" t="n"/>
      <c r="Y516" s="176" t="n"/>
      <c r="Z516" s="176" t="n"/>
      <c r="AA516" s="176" t="n"/>
      <c r="AB516" s="176" t="n"/>
    </row>
    <row r="517">
      <c r="A517" s="176" t="n"/>
      <c r="B517" s="176" t="n"/>
      <c r="C517" s="176" t="n"/>
      <c r="D517" s="176" t="n"/>
      <c r="E517" s="186" t="n"/>
      <c r="F517" s="209" t="n"/>
      <c r="G517" s="209" t="n"/>
      <c r="H517" s="209" t="n"/>
      <c r="I517" s="209" t="n"/>
      <c r="J517" s="209" t="n"/>
      <c r="K517" s="186" t="n"/>
      <c r="L517" s="176" t="n"/>
      <c r="M517" s="176" t="n"/>
      <c r="N517" s="176" t="n"/>
      <c r="O517" s="176" t="n"/>
      <c r="P517" s="176" t="n"/>
      <c r="Q517" s="176" t="n"/>
      <c r="R517" s="176" t="n"/>
      <c r="S517" s="176" t="n"/>
      <c r="T517" s="176" t="n"/>
      <c r="U517" s="176" t="n"/>
      <c r="V517" s="176" t="n"/>
      <c r="W517" s="176" t="n"/>
      <c r="X517" s="176" t="n"/>
      <c r="Y517" s="176" t="n"/>
      <c r="Z517" s="176" t="n"/>
      <c r="AA517" s="176" t="n"/>
      <c r="AB517" s="176" t="n"/>
    </row>
    <row r="518">
      <c r="A518" s="176" t="n"/>
      <c r="B518" s="176" t="n"/>
      <c r="C518" s="176" t="n"/>
      <c r="D518" s="176" t="n"/>
      <c r="E518" s="186" t="n"/>
      <c r="F518" s="209" t="n"/>
      <c r="G518" s="209" t="n"/>
      <c r="H518" s="209" t="n"/>
      <c r="I518" s="209" t="n"/>
      <c r="J518" s="209" t="n"/>
      <c r="K518" s="186" t="n"/>
      <c r="L518" s="176" t="n"/>
      <c r="M518" s="176" t="n"/>
      <c r="N518" s="176" t="n"/>
      <c r="O518" s="176" t="n"/>
      <c r="P518" s="176" t="n"/>
      <c r="Q518" s="176" t="n"/>
      <c r="R518" s="176" t="n"/>
      <c r="S518" s="176" t="n"/>
      <c r="T518" s="176" t="n"/>
      <c r="U518" s="176" t="n"/>
      <c r="V518" s="176" t="n"/>
      <c r="W518" s="176" t="n"/>
      <c r="X518" s="176" t="n"/>
      <c r="Y518" s="176" t="n"/>
      <c r="Z518" s="176" t="n"/>
      <c r="AA518" s="176" t="n"/>
      <c r="AB518" s="176" t="n"/>
    </row>
    <row r="519">
      <c r="A519" s="176" t="n"/>
      <c r="B519" s="176" t="n"/>
      <c r="C519" s="176" t="n"/>
      <c r="D519" s="176" t="n"/>
      <c r="E519" s="186" t="n"/>
      <c r="F519" s="209" t="n"/>
      <c r="G519" s="209" t="n"/>
      <c r="H519" s="209" t="n"/>
      <c r="I519" s="209" t="n"/>
      <c r="J519" s="209" t="n"/>
      <c r="K519" s="186" t="n"/>
      <c r="L519" s="176" t="n"/>
      <c r="M519" s="176" t="n"/>
      <c r="N519" s="176" t="n"/>
      <c r="O519" s="176" t="n"/>
      <c r="P519" s="176" t="n"/>
      <c r="Q519" s="176" t="n"/>
      <c r="R519" s="176" t="n"/>
      <c r="S519" s="176" t="n"/>
      <c r="T519" s="176" t="n"/>
      <c r="U519" s="176" t="n"/>
      <c r="V519" s="176" t="n"/>
      <c r="W519" s="176" t="n"/>
      <c r="X519" s="176" t="n"/>
      <c r="Y519" s="176" t="n"/>
      <c r="Z519" s="176" t="n"/>
      <c r="AA519" s="176" t="n"/>
      <c r="AB519" s="176" t="n"/>
    </row>
    <row r="520">
      <c r="A520" s="176" t="n"/>
      <c r="B520" s="176" t="n"/>
      <c r="C520" s="176" t="n"/>
      <c r="D520" s="176" t="n"/>
      <c r="E520" s="186" t="n"/>
      <c r="F520" s="209" t="n"/>
      <c r="G520" s="209" t="n"/>
      <c r="H520" s="209" t="n"/>
      <c r="I520" s="209" t="n"/>
      <c r="J520" s="209" t="n"/>
      <c r="K520" s="186" t="n"/>
      <c r="L520" s="176" t="n"/>
      <c r="M520" s="176" t="n"/>
      <c r="N520" s="176" t="n"/>
      <c r="O520" s="176" t="n"/>
      <c r="P520" s="176" t="n"/>
      <c r="Q520" s="176" t="n"/>
      <c r="R520" s="176" t="n"/>
      <c r="S520" s="176" t="n"/>
      <c r="T520" s="176" t="n"/>
      <c r="U520" s="176" t="n"/>
      <c r="V520" s="176" t="n"/>
      <c r="W520" s="176" t="n"/>
      <c r="X520" s="176" t="n"/>
      <c r="Y520" s="176" t="n"/>
      <c r="Z520" s="176" t="n"/>
      <c r="AA520" s="176" t="n"/>
      <c r="AB520" s="176" t="n"/>
    </row>
    <row r="521">
      <c r="A521" s="176" t="n"/>
      <c r="B521" s="176" t="n"/>
      <c r="C521" s="176" t="n"/>
      <c r="D521" s="176" t="n"/>
      <c r="E521" s="186" t="n"/>
      <c r="F521" s="209" t="n"/>
      <c r="G521" s="209" t="n"/>
      <c r="H521" s="209" t="n"/>
      <c r="I521" s="209" t="n"/>
      <c r="J521" s="209" t="n"/>
      <c r="K521" s="186" t="n"/>
      <c r="L521" s="176" t="n"/>
      <c r="M521" s="176" t="n"/>
      <c r="N521" s="176" t="n"/>
      <c r="O521" s="176" t="n"/>
      <c r="P521" s="176" t="n"/>
      <c r="Q521" s="176" t="n"/>
      <c r="R521" s="176" t="n"/>
      <c r="S521" s="176" t="n"/>
      <c r="T521" s="176" t="n"/>
      <c r="U521" s="176" t="n"/>
      <c r="V521" s="176" t="n"/>
      <c r="W521" s="176" t="n"/>
      <c r="X521" s="176" t="n"/>
      <c r="Y521" s="176" t="n"/>
      <c r="Z521" s="176" t="n"/>
      <c r="AA521" s="176" t="n"/>
      <c r="AB521" s="176" t="n"/>
    </row>
    <row r="522">
      <c r="A522" s="176" t="n"/>
      <c r="B522" s="176" t="n"/>
      <c r="C522" s="176" t="n"/>
      <c r="D522" s="176" t="n"/>
      <c r="E522" s="186" t="n"/>
      <c r="F522" s="209" t="n"/>
      <c r="G522" s="209" t="n"/>
      <c r="H522" s="209" t="n"/>
      <c r="I522" s="209" t="n"/>
      <c r="J522" s="209" t="n"/>
      <c r="K522" s="186" t="n"/>
      <c r="L522" s="176" t="n"/>
      <c r="M522" s="176" t="n"/>
      <c r="N522" s="176" t="n"/>
      <c r="O522" s="176" t="n"/>
      <c r="P522" s="176" t="n"/>
      <c r="Q522" s="176" t="n"/>
      <c r="R522" s="176" t="n"/>
      <c r="S522" s="176" t="n"/>
      <c r="T522" s="176" t="n"/>
      <c r="U522" s="176" t="n"/>
      <c r="V522" s="176" t="n"/>
      <c r="W522" s="176" t="n"/>
      <c r="X522" s="176" t="n"/>
      <c r="Y522" s="176" t="n"/>
      <c r="Z522" s="176" t="n"/>
      <c r="AA522" s="176" t="n"/>
      <c r="AB522" s="176" t="n"/>
    </row>
    <row r="523">
      <c r="A523" s="176" t="n"/>
      <c r="B523" s="176" t="n"/>
      <c r="C523" s="176" t="n"/>
      <c r="D523" s="176" t="n"/>
      <c r="E523" s="186" t="n"/>
      <c r="F523" s="209" t="n"/>
      <c r="G523" s="209" t="n"/>
      <c r="H523" s="209" t="n"/>
      <c r="I523" s="209" t="n"/>
      <c r="J523" s="209" t="n"/>
      <c r="K523" s="186" t="n"/>
      <c r="L523" s="176" t="n"/>
      <c r="M523" s="176" t="n"/>
      <c r="N523" s="176" t="n"/>
      <c r="O523" s="176" t="n"/>
      <c r="P523" s="176" t="n"/>
      <c r="Q523" s="176" t="n"/>
      <c r="R523" s="176" t="n"/>
      <c r="S523" s="176" t="n"/>
      <c r="T523" s="176" t="n"/>
      <c r="U523" s="176" t="n"/>
      <c r="V523" s="176" t="n"/>
      <c r="W523" s="176" t="n"/>
      <c r="X523" s="176" t="n"/>
      <c r="Y523" s="176" t="n"/>
      <c r="Z523" s="176" t="n"/>
      <c r="AA523" s="176" t="n"/>
      <c r="AB523" s="176" t="n"/>
    </row>
    <row r="524">
      <c r="A524" s="176" t="n"/>
      <c r="B524" s="176" t="n"/>
      <c r="C524" s="176" t="n"/>
      <c r="D524" s="176" t="n"/>
      <c r="E524" s="186" t="n"/>
      <c r="F524" s="209" t="n"/>
      <c r="G524" s="209" t="n"/>
      <c r="H524" s="209" t="n"/>
      <c r="I524" s="209" t="n"/>
      <c r="J524" s="209" t="n"/>
      <c r="K524" s="186" t="n"/>
      <c r="L524" s="176" t="n"/>
      <c r="M524" s="176" t="n"/>
      <c r="N524" s="176" t="n"/>
      <c r="O524" s="176" t="n"/>
      <c r="P524" s="176" t="n"/>
      <c r="Q524" s="176" t="n"/>
      <c r="R524" s="176" t="n"/>
      <c r="S524" s="176" t="n"/>
      <c r="T524" s="176" t="n"/>
      <c r="U524" s="176" t="n"/>
      <c r="V524" s="176" t="n"/>
      <c r="W524" s="176" t="n"/>
      <c r="X524" s="176" t="n"/>
      <c r="Y524" s="176" t="n"/>
      <c r="Z524" s="176" t="n"/>
      <c r="AA524" s="176" t="n"/>
      <c r="AB524" s="176" t="n"/>
    </row>
    <row r="525">
      <c r="A525" s="176" t="n"/>
      <c r="B525" s="176" t="n"/>
      <c r="C525" s="176" t="n"/>
      <c r="D525" s="176" t="n"/>
      <c r="E525" s="186" t="n"/>
      <c r="F525" s="209" t="n"/>
      <c r="G525" s="209" t="n"/>
      <c r="H525" s="209" t="n"/>
      <c r="I525" s="209" t="n"/>
      <c r="J525" s="209" t="n"/>
      <c r="K525" s="186" t="n"/>
      <c r="L525" s="176" t="n"/>
      <c r="M525" s="176" t="n"/>
      <c r="N525" s="176" t="n"/>
      <c r="O525" s="176" t="n"/>
      <c r="P525" s="176" t="n"/>
      <c r="Q525" s="176" t="n"/>
      <c r="R525" s="176" t="n"/>
      <c r="S525" s="176" t="n"/>
      <c r="T525" s="176" t="n"/>
      <c r="U525" s="176" t="n"/>
      <c r="V525" s="176" t="n"/>
      <c r="W525" s="176" t="n"/>
      <c r="X525" s="176" t="n"/>
      <c r="Y525" s="176" t="n"/>
      <c r="Z525" s="176" t="n"/>
      <c r="AA525" s="176" t="n"/>
      <c r="AB525" s="176" t="n"/>
    </row>
    <row r="526">
      <c r="A526" s="176" t="n"/>
      <c r="B526" s="176" t="n"/>
      <c r="C526" s="176" t="n"/>
      <c r="D526" s="176" t="n"/>
      <c r="E526" s="186" t="n"/>
      <c r="F526" s="209" t="n"/>
      <c r="G526" s="209" t="n"/>
      <c r="H526" s="209" t="n"/>
      <c r="I526" s="209" t="n"/>
      <c r="J526" s="209" t="n"/>
      <c r="K526" s="186" t="n"/>
      <c r="L526" s="176" t="n"/>
      <c r="M526" s="176" t="n"/>
      <c r="N526" s="176" t="n"/>
      <c r="O526" s="176" t="n"/>
      <c r="P526" s="176" t="n"/>
      <c r="Q526" s="176" t="n"/>
      <c r="R526" s="176" t="n"/>
      <c r="S526" s="176" t="n"/>
      <c r="T526" s="176" t="n"/>
      <c r="U526" s="176" t="n"/>
      <c r="V526" s="176" t="n"/>
      <c r="W526" s="176" t="n"/>
      <c r="X526" s="176" t="n"/>
      <c r="Y526" s="176" t="n"/>
      <c r="Z526" s="176" t="n"/>
      <c r="AA526" s="176" t="n"/>
      <c r="AB526" s="176" t="n"/>
    </row>
    <row r="527">
      <c r="A527" s="176" t="n"/>
      <c r="B527" s="176" t="n"/>
      <c r="C527" s="176" t="n"/>
      <c r="D527" s="176" t="n"/>
      <c r="E527" s="186" t="n"/>
      <c r="F527" s="209" t="n"/>
      <c r="G527" s="209" t="n"/>
      <c r="H527" s="209" t="n"/>
      <c r="I527" s="209" t="n"/>
      <c r="J527" s="209" t="n"/>
      <c r="K527" s="186" t="n"/>
      <c r="L527" s="176" t="n"/>
      <c r="M527" s="176" t="n"/>
      <c r="N527" s="176" t="n"/>
      <c r="O527" s="176" t="n"/>
      <c r="P527" s="176" t="n"/>
      <c r="Q527" s="176" t="n"/>
      <c r="R527" s="176" t="n"/>
      <c r="S527" s="176" t="n"/>
      <c r="T527" s="176" t="n"/>
      <c r="U527" s="176" t="n"/>
      <c r="V527" s="176" t="n"/>
      <c r="W527" s="176" t="n"/>
      <c r="X527" s="176" t="n"/>
      <c r="Y527" s="176" t="n"/>
      <c r="Z527" s="176" t="n"/>
      <c r="AA527" s="176" t="n"/>
      <c r="AB527" s="176" t="n"/>
    </row>
    <row r="528">
      <c r="A528" s="176" t="n"/>
      <c r="B528" s="176" t="n"/>
      <c r="C528" s="176" t="n"/>
      <c r="D528" s="176" t="n"/>
      <c r="E528" s="186" t="n"/>
      <c r="F528" s="209" t="n"/>
      <c r="G528" s="209" t="n"/>
      <c r="H528" s="209" t="n"/>
      <c r="I528" s="209" t="n"/>
      <c r="J528" s="209" t="n"/>
      <c r="K528" s="186" t="n"/>
      <c r="L528" s="176" t="n"/>
      <c r="M528" s="176" t="n"/>
      <c r="N528" s="176" t="n"/>
      <c r="O528" s="176" t="n"/>
      <c r="P528" s="176" t="n"/>
      <c r="Q528" s="176" t="n"/>
      <c r="R528" s="176" t="n"/>
      <c r="S528" s="176" t="n"/>
      <c r="T528" s="176" t="n"/>
      <c r="U528" s="176" t="n"/>
      <c r="V528" s="176" t="n"/>
      <c r="W528" s="176" t="n"/>
      <c r="X528" s="176" t="n"/>
      <c r="Y528" s="176" t="n"/>
      <c r="Z528" s="176" t="n"/>
      <c r="AA528" s="176" t="n"/>
      <c r="AB528" s="176" t="n"/>
    </row>
    <row r="529">
      <c r="A529" s="176" t="n"/>
      <c r="B529" s="176" t="n"/>
      <c r="C529" s="176" t="n"/>
      <c r="D529" s="176" t="n"/>
      <c r="E529" s="186" t="n"/>
      <c r="F529" s="209" t="n"/>
      <c r="G529" s="209" t="n"/>
      <c r="H529" s="209" t="n"/>
      <c r="I529" s="209" t="n"/>
      <c r="J529" s="209" t="n"/>
      <c r="K529" s="186" t="n"/>
      <c r="L529" s="176" t="n"/>
      <c r="M529" s="176" t="n"/>
      <c r="N529" s="176" t="n"/>
      <c r="O529" s="176" t="n"/>
      <c r="P529" s="176" t="n"/>
      <c r="Q529" s="176" t="n"/>
      <c r="R529" s="176" t="n"/>
      <c r="S529" s="176" t="n"/>
      <c r="T529" s="176" t="n"/>
      <c r="U529" s="176" t="n"/>
      <c r="V529" s="176" t="n"/>
      <c r="W529" s="176" t="n"/>
      <c r="X529" s="176" t="n"/>
      <c r="Y529" s="176" t="n"/>
      <c r="Z529" s="176" t="n"/>
      <c r="AA529" s="176" t="n"/>
      <c r="AB529" s="176" t="n"/>
    </row>
    <row r="530">
      <c r="A530" s="176" t="n"/>
      <c r="B530" s="176" t="n"/>
      <c r="C530" s="176" t="n"/>
      <c r="D530" s="176" t="n"/>
      <c r="E530" s="186" t="n"/>
      <c r="F530" s="209" t="n"/>
      <c r="G530" s="209" t="n"/>
      <c r="H530" s="209" t="n"/>
      <c r="I530" s="209" t="n"/>
      <c r="J530" s="209" t="n"/>
      <c r="K530" s="186" t="n"/>
      <c r="L530" s="176" t="n"/>
      <c r="M530" s="176" t="n"/>
      <c r="N530" s="176" t="n"/>
      <c r="O530" s="176" t="n"/>
      <c r="P530" s="176" t="n"/>
      <c r="Q530" s="176" t="n"/>
      <c r="R530" s="176" t="n"/>
      <c r="S530" s="176" t="n"/>
      <c r="T530" s="176" t="n"/>
      <c r="U530" s="176" t="n"/>
      <c r="V530" s="176" t="n"/>
      <c r="W530" s="176" t="n"/>
      <c r="X530" s="176" t="n"/>
      <c r="Y530" s="176" t="n"/>
      <c r="Z530" s="176" t="n"/>
      <c r="AA530" s="176" t="n"/>
      <c r="AB530" s="176" t="n"/>
    </row>
    <row r="531">
      <c r="A531" s="176" t="n"/>
      <c r="B531" s="176" t="n"/>
      <c r="C531" s="176" t="n"/>
      <c r="D531" s="176" t="n"/>
      <c r="E531" s="186" t="n"/>
      <c r="F531" s="209" t="n"/>
      <c r="G531" s="209" t="n"/>
      <c r="H531" s="209" t="n"/>
      <c r="I531" s="209" t="n"/>
      <c r="J531" s="209" t="n"/>
      <c r="K531" s="186" t="n"/>
      <c r="L531" s="176" t="n"/>
      <c r="M531" s="176" t="n"/>
      <c r="N531" s="176" t="n"/>
      <c r="O531" s="176" t="n"/>
      <c r="P531" s="176" t="n"/>
      <c r="Q531" s="176" t="n"/>
      <c r="R531" s="176" t="n"/>
      <c r="S531" s="176" t="n"/>
      <c r="T531" s="176" t="n"/>
      <c r="U531" s="176" t="n"/>
      <c r="V531" s="176" t="n"/>
      <c r="W531" s="176" t="n"/>
      <c r="X531" s="176" t="n"/>
      <c r="Y531" s="176" t="n"/>
      <c r="Z531" s="176" t="n"/>
      <c r="AA531" s="176" t="n"/>
      <c r="AB531" s="176" t="n"/>
    </row>
    <row r="532">
      <c r="A532" s="176" t="n"/>
      <c r="B532" s="176" t="n"/>
      <c r="C532" s="176" t="n"/>
      <c r="D532" s="176" t="n"/>
      <c r="E532" s="186" t="n"/>
      <c r="F532" s="209" t="n"/>
      <c r="G532" s="209" t="n"/>
      <c r="H532" s="209" t="n"/>
      <c r="I532" s="209" t="n"/>
      <c r="J532" s="209" t="n"/>
      <c r="K532" s="186" t="n"/>
      <c r="L532" s="176" t="n"/>
      <c r="M532" s="176" t="n"/>
      <c r="N532" s="176" t="n"/>
      <c r="O532" s="176" t="n"/>
      <c r="P532" s="176" t="n"/>
      <c r="Q532" s="176" t="n"/>
      <c r="R532" s="176" t="n"/>
      <c r="S532" s="176" t="n"/>
      <c r="T532" s="176" t="n"/>
      <c r="U532" s="176" t="n"/>
      <c r="V532" s="176" t="n"/>
      <c r="W532" s="176" t="n"/>
      <c r="X532" s="176" t="n"/>
      <c r="Y532" s="176" t="n"/>
      <c r="Z532" s="176" t="n"/>
      <c r="AA532" s="176" t="n"/>
      <c r="AB532" s="176" t="n"/>
    </row>
    <row r="533">
      <c r="A533" s="176" t="n"/>
      <c r="B533" s="176" t="n"/>
      <c r="C533" s="176" t="n"/>
      <c r="D533" s="176" t="n"/>
      <c r="E533" s="186" t="n"/>
      <c r="F533" s="209" t="n"/>
      <c r="G533" s="209" t="n"/>
      <c r="H533" s="209" t="n"/>
      <c r="I533" s="209" t="n"/>
      <c r="J533" s="209" t="n"/>
      <c r="K533" s="186" t="n"/>
      <c r="L533" s="176" t="n"/>
      <c r="M533" s="176" t="n"/>
      <c r="N533" s="176" t="n"/>
      <c r="O533" s="176" t="n"/>
      <c r="P533" s="176" t="n"/>
      <c r="Q533" s="176" t="n"/>
      <c r="R533" s="176" t="n"/>
      <c r="S533" s="176" t="n"/>
      <c r="T533" s="176" t="n"/>
      <c r="U533" s="176" t="n"/>
      <c r="V533" s="176" t="n"/>
      <c r="W533" s="176" t="n"/>
      <c r="X533" s="176" t="n"/>
      <c r="Y533" s="176" t="n"/>
      <c r="Z533" s="176" t="n"/>
      <c r="AA533" s="176" t="n"/>
      <c r="AB533" s="176" t="n"/>
    </row>
    <row r="534">
      <c r="A534" s="176" t="n"/>
      <c r="B534" s="176" t="n"/>
      <c r="C534" s="176" t="n"/>
      <c r="D534" s="176" t="n"/>
      <c r="E534" s="186" t="n"/>
      <c r="F534" s="209" t="n"/>
      <c r="G534" s="209" t="n"/>
      <c r="H534" s="209" t="n"/>
      <c r="I534" s="209" t="n"/>
      <c r="J534" s="209" t="n"/>
      <c r="K534" s="186" t="n"/>
      <c r="L534" s="176" t="n"/>
      <c r="M534" s="176" t="n"/>
      <c r="N534" s="176" t="n"/>
      <c r="O534" s="176" t="n"/>
      <c r="P534" s="176" t="n"/>
      <c r="Q534" s="176" t="n"/>
      <c r="R534" s="176" t="n"/>
      <c r="S534" s="176" t="n"/>
      <c r="T534" s="176" t="n"/>
      <c r="U534" s="176" t="n"/>
      <c r="V534" s="176" t="n"/>
      <c r="W534" s="176" t="n"/>
      <c r="X534" s="176" t="n"/>
      <c r="Y534" s="176" t="n"/>
      <c r="Z534" s="176" t="n"/>
      <c r="AA534" s="176" t="n"/>
      <c r="AB534" s="176" t="n"/>
    </row>
    <row r="535">
      <c r="A535" s="176" t="n"/>
      <c r="B535" s="176" t="n"/>
      <c r="C535" s="176" t="n"/>
      <c r="D535" s="176" t="n"/>
      <c r="E535" s="186" t="n"/>
      <c r="F535" s="209" t="n"/>
      <c r="G535" s="209" t="n"/>
      <c r="H535" s="209" t="n"/>
      <c r="I535" s="209" t="n"/>
      <c r="J535" s="209" t="n"/>
      <c r="K535" s="186" t="n"/>
      <c r="L535" s="176" t="n"/>
      <c r="M535" s="176" t="n"/>
      <c r="N535" s="176" t="n"/>
      <c r="O535" s="176" t="n"/>
      <c r="P535" s="176" t="n"/>
      <c r="Q535" s="176" t="n"/>
      <c r="R535" s="176" t="n"/>
      <c r="S535" s="176" t="n"/>
      <c r="T535" s="176" t="n"/>
      <c r="U535" s="176" t="n"/>
      <c r="V535" s="176" t="n"/>
      <c r="W535" s="176" t="n"/>
      <c r="X535" s="176" t="n"/>
      <c r="Y535" s="176" t="n"/>
      <c r="Z535" s="176" t="n"/>
      <c r="AA535" s="176" t="n"/>
      <c r="AB535" s="176" t="n"/>
    </row>
    <row r="536">
      <c r="A536" s="176" t="n"/>
      <c r="B536" s="176" t="n"/>
      <c r="C536" s="176" t="n"/>
      <c r="D536" s="176" t="n"/>
      <c r="E536" s="186" t="n"/>
      <c r="F536" s="209" t="n"/>
      <c r="G536" s="209" t="n"/>
      <c r="H536" s="209" t="n"/>
      <c r="I536" s="209" t="n"/>
      <c r="J536" s="209" t="n"/>
      <c r="K536" s="186" t="n"/>
      <c r="L536" s="176" t="n"/>
      <c r="M536" s="176" t="n"/>
      <c r="N536" s="176" t="n"/>
      <c r="O536" s="176" t="n"/>
      <c r="P536" s="176" t="n"/>
      <c r="Q536" s="176" t="n"/>
      <c r="R536" s="176" t="n"/>
      <c r="S536" s="176" t="n"/>
      <c r="T536" s="176" t="n"/>
      <c r="U536" s="176" t="n"/>
      <c r="V536" s="176" t="n"/>
      <c r="W536" s="176" t="n"/>
      <c r="X536" s="176" t="n"/>
      <c r="Y536" s="176" t="n"/>
      <c r="Z536" s="176" t="n"/>
      <c r="AA536" s="176" t="n"/>
      <c r="AB536" s="176" t="n"/>
    </row>
    <row r="537">
      <c r="A537" s="176" t="n"/>
      <c r="B537" s="176" t="n"/>
      <c r="C537" s="176" t="n"/>
      <c r="D537" s="176" t="n"/>
      <c r="E537" s="186" t="n"/>
      <c r="F537" s="209" t="n"/>
      <c r="G537" s="209" t="n"/>
      <c r="H537" s="209" t="n"/>
      <c r="I537" s="209" t="n"/>
      <c r="J537" s="209" t="n"/>
      <c r="K537" s="186" t="n"/>
      <c r="L537" s="176" t="n"/>
      <c r="M537" s="176" t="n"/>
      <c r="N537" s="176" t="n"/>
      <c r="O537" s="176" t="n"/>
      <c r="P537" s="176" t="n"/>
      <c r="Q537" s="176" t="n"/>
      <c r="R537" s="176" t="n"/>
      <c r="S537" s="176" t="n"/>
      <c r="T537" s="176" t="n"/>
      <c r="U537" s="176" t="n"/>
      <c r="V537" s="176" t="n"/>
      <c r="W537" s="176" t="n"/>
      <c r="X537" s="176" t="n"/>
      <c r="Y537" s="176" t="n"/>
      <c r="Z537" s="176" t="n"/>
      <c r="AA537" s="176" t="n"/>
      <c r="AB537" s="176" t="n"/>
    </row>
    <row r="538">
      <c r="A538" s="176" t="n"/>
      <c r="B538" s="176" t="n"/>
      <c r="C538" s="176" t="n"/>
      <c r="D538" s="176" t="n"/>
      <c r="E538" s="186" t="n"/>
      <c r="F538" s="209" t="n"/>
      <c r="G538" s="209" t="n"/>
      <c r="H538" s="209" t="n"/>
      <c r="I538" s="209" t="n"/>
      <c r="J538" s="209" t="n"/>
      <c r="K538" s="186" t="n"/>
      <c r="L538" s="176" t="n"/>
      <c r="M538" s="176" t="n"/>
      <c r="N538" s="176" t="n"/>
      <c r="O538" s="176" t="n"/>
      <c r="P538" s="176" t="n"/>
      <c r="Q538" s="176" t="n"/>
      <c r="R538" s="176" t="n"/>
      <c r="S538" s="176" t="n"/>
      <c r="T538" s="176" t="n"/>
      <c r="U538" s="176" t="n"/>
      <c r="V538" s="176" t="n"/>
      <c r="W538" s="176" t="n"/>
      <c r="X538" s="176" t="n"/>
      <c r="Y538" s="176" t="n"/>
      <c r="Z538" s="176" t="n"/>
      <c r="AA538" s="176" t="n"/>
      <c r="AB538" s="176" t="n"/>
    </row>
    <row r="539">
      <c r="A539" s="176" t="n"/>
      <c r="B539" s="176" t="n"/>
      <c r="C539" s="176" t="n"/>
      <c r="D539" s="176" t="n"/>
      <c r="E539" s="186" t="n"/>
      <c r="F539" s="209" t="n"/>
      <c r="G539" s="209" t="n"/>
      <c r="H539" s="209" t="n"/>
      <c r="I539" s="209" t="n"/>
      <c r="J539" s="209" t="n"/>
      <c r="K539" s="186" t="n"/>
      <c r="L539" s="176" t="n"/>
      <c r="M539" s="176" t="n"/>
      <c r="N539" s="176" t="n"/>
      <c r="O539" s="176" t="n"/>
      <c r="P539" s="176" t="n"/>
      <c r="Q539" s="176" t="n"/>
      <c r="R539" s="176" t="n"/>
      <c r="S539" s="176" t="n"/>
      <c r="T539" s="176" t="n"/>
      <c r="U539" s="176" t="n"/>
      <c r="V539" s="176" t="n"/>
      <c r="W539" s="176" t="n"/>
      <c r="X539" s="176" t="n"/>
      <c r="Y539" s="176" t="n"/>
      <c r="Z539" s="176" t="n"/>
      <c r="AA539" s="176" t="n"/>
      <c r="AB539" s="176" t="n"/>
    </row>
    <row r="540">
      <c r="A540" s="176" t="n"/>
      <c r="B540" s="176" t="n"/>
      <c r="C540" s="176" t="n"/>
      <c r="D540" s="176" t="n"/>
      <c r="E540" s="186" t="n"/>
      <c r="F540" s="209" t="n"/>
      <c r="G540" s="209" t="n"/>
      <c r="H540" s="209" t="n"/>
      <c r="I540" s="209" t="n"/>
      <c r="J540" s="209" t="n"/>
      <c r="K540" s="186" t="n"/>
      <c r="L540" s="176" t="n"/>
      <c r="M540" s="176" t="n"/>
      <c r="N540" s="176" t="n"/>
      <c r="O540" s="176" t="n"/>
      <c r="P540" s="176" t="n"/>
      <c r="Q540" s="176" t="n"/>
      <c r="R540" s="176" t="n"/>
      <c r="S540" s="176" t="n"/>
      <c r="T540" s="176" t="n"/>
      <c r="U540" s="176" t="n"/>
      <c r="V540" s="176" t="n"/>
      <c r="W540" s="176" t="n"/>
      <c r="X540" s="176" t="n"/>
      <c r="Y540" s="176" t="n"/>
      <c r="Z540" s="176" t="n"/>
      <c r="AA540" s="176" t="n"/>
      <c r="AB540" s="176" t="n"/>
    </row>
    <row r="541">
      <c r="A541" s="176" t="n"/>
      <c r="B541" s="176" t="n"/>
      <c r="C541" s="176" t="n"/>
      <c r="D541" s="176" t="n"/>
      <c r="E541" s="186" t="n"/>
      <c r="F541" s="209" t="n"/>
      <c r="G541" s="209" t="n"/>
      <c r="H541" s="209" t="n"/>
      <c r="I541" s="209" t="n"/>
      <c r="J541" s="209" t="n"/>
      <c r="K541" s="186" t="n"/>
      <c r="L541" s="176" t="n"/>
      <c r="M541" s="176" t="n"/>
      <c r="N541" s="176" t="n"/>
      <c r="O541" s="176" t="n"/>
      <c r="P541" s="176" t="n"/>
      <c r="Q541" s="176" t="n"/>
      <c r="R541" s="176" t="n"/>
      <c r="S541" s="176" t="n"/>
      <c r="T541" s="176" t="n"/>
      <c r="U541" s="176" t="n"/>
      <c r="V541" s="176" t="n"/>
      <c r="W541" s="176" t="n"/>
      <c r="X541" s="176" t="n"/>
      <c r="Y541" s="176" t="n"/>
      <c r="Z541" s="176" t="n"/>
      <c r="AA541" s="176" t="n"/>
      <c r="AB541" s="176" t="n"/>
    </row>
    <row r="542">
      <c r="A542" s="176" t="n"/>
      <c r="B542" s="176" t="n"/>
      <c r="C542" s="176" t="n"/>
      <c r="D542" s="176" t="n"/>
      <c r="E542" s="186" t="n"/>
      <c r="F542" s="209" t="n"/>
      <c r="G542" s="209" t="n"/>
      <c r="H542" s="209" t="n"/>
      <c r="I542" s="209" t="n"/>
      <c r="J542" s="209" t="n"/>
      <c r="K542" s="186" t="n"/>
      <c r="L542" s="176" t="n"/>
      <c r="M542" s="176" t="n"/>
      <c r="N542" s="176" t="n"/>
      <c r="O542" s="176" t="n"/>
      <c r="P542" s="176" t="n"/>
      <c r="Q542" s="176" t="n"/>
      <c r="R542" s="176" t="n"/>
      <c r="S542" s="176" t="n"/>
      <c r="T542" s="176" t="n"/>
      <c r="U542" s="176" t="n"/>
      <c r="V542" s="176" t="n"/>
      <c r="W542" s="176" t="n"/>
      <c r="X542" s="176" t="n"/>
      <c r="Y542" s="176" t="n"/>
      <c r="Z542" s="176" t="n"/>
      <c r="AA542" s="176" t="n"/>
      <c r="AB542" s="176" t="n"/>
    </row>
    <row r="543">
      <c r="A543" s="176" t="n"/>
      <c r="B543" s="176" t="n"/>
      <c r="C543" s="176" t="n"/>
      <c r="D543" s="176" t="n"/>
      <c r="E543" s="186" t="n"/>
      <c r="F543" s="209" t="n"/>
      <c r="G543" s="209" t="n"/>
      <c r="H543" s="209" t="n"/>
      <c r="I543" s="209" t="n"/>
      <c r="J543" s="209" t="n"/>
      <c r="K543" s="186" t="n"/>
      <c r="L543" s="176" t="n"/>
      <c r="M543" s="176" t="n"/>
      <c r="N543" s="176" t="n"/>
      <c r="O543" s="176" t="n"/>
      <c r="P543" s="176" t="n"/>
      <c r="Q543" s="176" t="n"/>
      <c r="R543" s="176" t="n"/>
      <c r="S543" s="176" t="n"/>
      <c r="T543" s="176" t="n"/>
      <c r="U543" s="176" t="n"/>
      <c r="V543" s="176" t="n"/>
      <c r="W543" s="176" t="n"/>
      <c r="X543" s="176" t="n"/>
      <c r="Y543" s="176" t="n"/>
      <c r="Z543" s="176" t="n"/>
      <c r="AA543" s="176" t="n"/>
      <c r="AB543" s="176" t="n"/>
    </row>
    <row r="544">
      <c r="A544" s="176" t="n"/>
      <c r="B544" s="176" t="n"/>
      <c r="C544" s="176" t="n"/>
      <c r="D544" s="176" t="n"/>
      <c r="E544" s="186" t="n"/>
      <c r="F544" s="209" t="n"/>
      <c r="G544" s="209" t="n"/>
      <c r="H544" s="209" t="n"/>
      <c r="I544" s="209" t="n"/>
      <c r="J544" s="209" t="n"/>
      <c r="K544" s="186" t="n"/>
      <c r="L544" s="176" t="n"/>
      <c r="M544" s="176" t="n"/>
      <c r="N544" s="176" t="n"/>
      <c r="O544" s="176" t="n"/>
      <c r="P544" s="176" t="n"/>
      <c r="Q544" s="176" t="n"/>
      <c r="R544" s="176" t="n"/>
      <c r="S544" s="176" t="n"/>
      <c r="T544" s="176" t="n"/>
      <c r="U544" s="176" t="n"/>
      <c r="V544" s="176" t="n"/>
      <c r="W544" s="176" t="n"/>
      <c r="X544" s="176" t="n"/>
      <c r="Y544" s="176" t="n"/>
      <c r="Z544" s="176" t="n"/>
      <c r="AA544" s="176" t="n"/>
      <c r="AB544" s="176" t="n"/>
    </row>
    <row r="545">
      <c r="A545" s="176" t="n"/>
      <c r="B545" s="176" t="n"/>
      <c r="C545" s="176" t="n"/>
      <c r="D545" s="176" t="n"/>
      <c r="E545" s="186" t="n"/>
      <c r="F545" s="209" t="n"/>
      <c r="G545" s="209" t="n"/>
      <c r="H545" s="209" t="n"/>
      <c r="I545" s="209" t="n"/>
      <c r="J545" s="209" t="n"/>
      <c r="K545" s="186" t="n"/>
      <c r="L545" s="176" t="n"/>
      <c r="M545" s="176" t="n"/>
      <c r="N545" s="176" t="n"/>
      <c r="O545" s="176" t="n"/>
      <c r="P545" s="176" t="n"/>
      <c r="Q545" s="176" t="n"/>
      <c r="R545" s="176" t="n"/>
      <c r="S545" s="176" t="n"/>
      <c r="T545" s="176" t="n"/>
      <c r="U545" s="176" t="n"/>
      <c r="V545" s="176" t="n"/>
      <c r="W545" s="176" t="n"/>
      <c r="X545" s="176" t="n"/>
      <c r="Y545" s="176" t="n"/>
      <c r="Z545" s="176" t="n"/>
      <c r="AA545" s="176" t="n"/>
      <c r="AB545" s="176" t="n"/>
    </row>
    <row r="546">
      <c r="A546" s="176" t="n"/>
      <c r="B546" s="176" t="n"/>
      <c r="C546" s="176" t="n"/>
      <c r="D546" s="176" t="n"/>
      <c r="E546" s="186" t="n"/>
      <c r="F546" s="209" t="n"/>
      <c r="G546" s="209" t="n"/>
      <c r="H546" s="209" t="n"/>
      <c r="I546" s="209" t="n"/>
      <c r="J546" s="209" t="n"/>
      <c r="K546" s="186" t="n"/>
      <c r="L546" s="176" t="n"/>
      <c r="M546" s="176" t="n"/>
      <c r="N546" s="176" t="n"/>
      <c r="O546" s="176" t="n"/>
      <c r="P546" s="176" t="n"/>
      <c r="Q546" s="176" t="n"/>
      <c r="R546" s="176" t="n"/>
      <c r="S546" s="176" t="n"/>
      <c r="T546" s="176" t="n"/>
      <c r="U546" s="176" t="n"/>
      <c r="V546" s="176" t="n"/>
      <c r="W546" s="176" t="n"/>
      <c r="X546" s="176" t="n"/>
      <c r="Y546" s="176" t="n"/>
      <c r="Z546" s="176" t="n"/>
      <c r="AA546" s="176" t="n"/>
      <c r="AB546" s="176" t="n"/>
    </row>
    <row r="547">
      <c r="A547" s="176" t="n"/>
      <c r="B547" s="176" t="n"/>
      <c r="C547" s="176" t="n"/>
      <c r="D547" s="176" t="n"/>
      <c r="E547" s="186" t="n"/>
      <c r="F547" s="209" t="n"/>
      <c r="G547" s="209" t="n"/>
      <c r="H547" s="209" t="n"/>
      <c r="I547" s="209" t="n"/>
      <c r="J547" s="209" t="n"/>
      <c r="K547" s="186" t="n"/>
      <c r="L547" s="176" t="n"/>
      <c r="M547" s="176" t="n"/>
      <c r="N547" s="176" t="n"/>
      <c r="O547" s="176" t="n"/>
      <c r="P547" s="176" t="n"/>
      <c r="Q547" s="176" t="n"/>
      <c r="R547" s="176" t="n"/>
      <c r="S547" s="176" t="n"/>
      <c r="T547" s="176" t="n"/>
      <c r="U547" s="176" t="n"/>
      <c r="V547" s="176" t="n"/>
      <c r="W547" s="176" t="n"/>
      <c r="X547" s="176" t="n"/>
      <c r="Y547" s="176" t="n"/>
      <c r="Z547" s="176" t="n"/>
      <c r="AA547" s="176" t="n"/>
      <c r="AB547" s="176" t="n"/>
    </row>
    <row r="548">
      <c r="A548" s="176" t="n"/>
      <c r="B548" s="176" t="n"/>
      <c r="C548" s="176" t="n"/>
      <c r="D548" s="176" t="n"/>
      <c r="E548" s="186" t="n"/>
      <c r="F548" s="209" t="n"/>
      <c r="G548" s="209" t="n"/>
      <c r="H548" s="209" t="n"/>
      <c r="I548" s="209" t="n"/>
      <c r="J548" s="209" t="n"/>
      <c r="K548" s="186" t="n"/>
      <c r="L548" s="176" t="n"/>
      <c r="M548" s="176" t="n"/>
      <c r="N548" s="176" t="n"/>
      <c r="O548" s="176" t="n"/>
      <c r="P548" s="176" t="n"/>
      <c r="Q548" s="176" t="n"/>
      <c r="R548" s="176" t="n"/>
      <c r="S548" s="176" t="n"/>
      <c r="T548" s="176" t="n"/>
      <c r="U548" s="176" t="n"/>
      <c r="V548" s="176" t="n"/>
      <c r="W548" s="176" t="n"/>
      <c r="X548" s="176" t="n"/>
      <c r="Y548" s="176" t="n"/>
      <c r="Z548" s="176" t="n"/>
      <c r="AA548" s="176" t="n"/>
      <c r="AB548" s="176" t="n"/>
    </row>
    <row r="549">
      <c r="A549" s="176" t="n"/>
      <c r="B549" s="176" t="n"/>
      <c r="C549" s="176" t="n"/>
      <c r="D549" s="176" t="n"/>
      <c r="E549" s="186" t="n"/>
      <c r="F549" s="209" t="n"/>
      <c r="G549" s="209" t="n"/>
      <c r="H549" s="209" t="n"/>
      <c r="I549" s="209" t="n"/>
      <c r="J549" s="209" t="n"/>
      <c r="K549" s="186" t="n"/>
      <c r="L549" s="176" t="n"/>
      <c r="M549" s="176" t="n"/>
      <c r="N549" s="176" t="n"/>
      <c r="O549" s="176" t="n"/>
      <c r="P549" s="176" t="n"/>
      <c r="Q549" s="176" t="n"/>
      <c r="R549" s="176" t="n"/>
      <c r="S549" s="176" t="n"/>
      <c r="T549" s="176" t="n"/>
      <c r="U549" s="176" t="n"/>
      <c r="V549" s="176" t="n"/>
      <c r="W549" s="176" t="n"/>
      <c r="X549" s="176" t="n"/>
      <c r="Y549" s="176" t="n"/>
      <c r="Z549" s="176" t="n"/>
      <c r="AA549" s="176" t="n"/>
      <c r="AB549" s="176" t="n"/>
    </row>
    <row r="550">
      <c r="A550" s="176" t="n"/>
      <c r="B550" s="176" t="n"/>
      <c r="C550" s="176" t="n"/>
      <c r="D550" s="176" t="n"/>
      <c r="E550" s="186" t="n"/>
      <c r="F550" s="209" t="n"/>
      <c r="G550" s="209" t="n"/>
      <c r="H550" s="209" t="n"/>
      <c r="I550" s="209" t="n"/>
      <c r="J550" s="209" t="n"/>
      <c r="K550" s="186" t="n"/>
      <c r="L550" s="176" t="n"/>
      <c r="M550" s="176" t="n"/>
      <c r="N550" s="176" t="n"/>
      <c r="O550" s="176" t="n"/>
      <c r="P550" s="176" t="n"/>
      <c r="Q550" s="176" t="n"/>
      <c r="R550" s="176" t="n"/>
      <c r="S550" s="176" t="n"/>
      <c r="T550" s="176" t="n"/>
      <c r="U550" s="176" t="n"/>
      <c r="V550" s="176" t="n"/>
      <c r="W550" s="176" t="n"/>
      <c r="X550" s="176" t="n"/>
      <c r="Y550" s="176" t="n"/>
      <c r="Z550" s="176" t="n"/>
      <c r="AA550" s="176" t="n"/>
      <c r="AB550" s="176" t="n"/>
    </row>
    <row r="551">
      <c r="A551" s="176" t="n"/>
      <c r="B551" s="176" t="n"/>
      <c r="C551" s="176" t="n"/>
      <c r="D551" s="176" t="n"/>
      <c r="E551" s="186" t="n"/>
      <c r="F551" s="209" t="n"/>
      <c r="G551" s="209" t="n"/>
      <c r="H551" s="209" t="n"/>
      <c r="I551" s="209" t="n"/>
      <c r="J551" s="209" t="n"/>
      <c r="K551" s="186" t="n"/>
      <c r="L551" s="176" t="n"/>
      <c r="M551" s="176" t="n"/>
      <c r="N551" s="176" t="n"/>
      <c r="O551" s="176" t="n"/>
      <c r="P551" s="176" t="n"/>
      <c r="Q551" s="176" t="n"/>
      <c r="R551" s="176" t="n"/>
      <c r="S551" s="176" t="n"/>
      <c r="T551" s="176" t="n"/>
      <c r="U551" s="176" t="n"/>
      <c r="V551" s="176" t="n"/>
      <c r="W551" s="176" t="n"/>
      <c r="X551" s="176" t="n"/>
      <c r="Y551" s="176" t="n"/>
      <c r="Z551" s="176" t="n"/>
      <c r="AA551" s="176" t="n"/>
      <c r="AB551" s="176" t="n"/>
    </row>
    <row r="552">
      <c r="A552" s="176" t="n"/>
      <c r="B552" s="176" t="n"/>
      <c r="C552" s="176" t="n"/>
      <c r="D552" s="176" t="n"/>
      <c r="E552" s="186" t="n"/>
      <c r="F552" s="209" t="n"/>
      <c r="G552" s="209" t="n"/>
      <c r="H552" s="209" t="n"/>
      <c r="I552" s="209" t="n"/>
      <c r="J552" s="209" t="n"/>
      <c r="K552" s="186" t="n"/>
      <c r="L552" s="176" t="n"/>
      <c r="M552" s="176" t="n"/>
      <c r="N552" s="176" t="n"/>
      <c r="O552" s="176" t="n"/>
      <c r="P552" s="176" t="n"/>
      <c r="Q552" s="176" t="n"/>
      <c r="R552" s="176" t="n"/>
      <c r="S552" s="176" t="n"/>
      <c r="T552" s="176" t="n"/>
      <c r="U552" s="176" t="n"/>
      <c r="V552" s="176" t="n"/>
      <c r="W552" s="176" t="n"/>
      <c r="X552" s="176" t="n"/>
      <c r="Y552" s="176" t="n"/>
      <c r="Z552" s="176" t="n"/>
      <c r="AA552" s="176" t="n"/>
      <c r="AB552" s="176" t="n"/>
    </row>
    <row r="553">
      <c r="A553" s="176" t="n"/>
      <c r="B553" s="176" t="n"/>
      <c r="C553" s="176" t="n"/>
      <c r="D553" s="176" t="n"/>
      <c r="E553" s="186" t="n"/>
      <c r="F553" s="209" t="n"/>
      <c r="G553" s="209" t="n"/>
      <c r="H553" s="209" t="n"/>
      <c r="I553" s="209" t="n"/>
      <c r="J553" s="209" t="n"/>
      <c r="K553" s="186" t="n"/>
      <c r="L553" s="176" t="n"/>
      <c r="M553" s="176" t="n"/>
      <c r="N553" s="176" t="n"/>
      <c r="O553" s="176" t="n"/>
      <c r="P553" s="176" t="n"/>
      <c r="Q553" s="176" t="n"/>
      <c r="R553" s="176" t="n"/>
      <c r="S553" s="176" t="n"/>
      <c r="T553" s="176" t="n"/>
      <c r="U553" s="176" t="n"/>
      <c r="V553" s="176" t="n"/>
      <c r="W553" s="176" t="n"/>
      <c r="X553" s="176" t="n"/>
      <c r="Y553" s="176" t="n"/>
      <c r="Z553" s="176" t="n"/>
      <c r="AA553" s="176" t="n"/>
      <c r="AB553" s="176" t="n"/>
    </row>
    <row r="554">
      <c r="A554" s="176" t="n"/>
      <c r="B554" s="176" t="n"/>
      <c r="C554" s="176" t="n"/>
      <c r="D554" s="176" t="n"/>
      <c r="E554" s="186" t="n"/>
      <c r="F554" s="209" t="n"/>
      <c r="G554" s="209" t="n"/>
      <c r="H554" s="209" t="n"/>
      <c r="I554" s="209" t="n"/>
      <c r="J554" s="209" t="n"/>
      <c r="K554" s="186" t="n"/>
      <c r="L554" s="176" t="n"/>
      <c r="M554" s="176" t="n"/>
      <c r="N554" s="176" t="n"/>
      <c r="O554" s="176" t="n"/>
      <c r="P554" s="176" t="n"/>
      <c r="Q554" s="176" t="n"/>
      <c r="R554" s="176" t="n"/>
      <c r="S554" s="176" t="n"/>
      <c r="T554" s="176" t="n"/>
      <c r="U554" s="176" t="n"/>
      <c r="V554" s="176" t="n"/>
      <c r="W554" s="176" t="n"/>
      <c r="X554" s="176" t="n"/>
      <c r="Y554" s="176" t="n"/>
      <c r="Z554" s="176" t="n"/>
      <c r="AA554" s="176" t="n"/>
      <c r="AB554" s="176" t="n"/>
    </row>
    <row r="555">
      <c r="A555" s="176" t="n"/>
      <c r="B555" s="176" t="n"/>
      <c r="C555" s="176" t="n"/>
      <c r="D555" s="176" t="n"/>
      <c r="E555" s="186" t="n"/>
      <c r="F555" s="209" t="n"/>
      <c r="G555" s="209" t="n"/>
      <c r="H555" s="209" t="n"/>
      <c r="I555" s="209" t="n"/>
      <c r="J555" s="209" t="n"/>
      <c r="K555" s="186" t="n"/>
      <c r="L555" s="176" t="n"/>
      <c r="M555" s="176" t="n"/>
      <c r="N555" s="176" t="n"/>
      <c r="O555" s="176" t="n"/>
      <c r="P555" s="176" t="n"/>
      <c r="Q555" s="176" t="n"/>
      <c r="R555" s="176" t="n"/>
      <c r="S555" s="176" t="n"/>
      <c r="T555" s="176" t="n"/>
      <c r="U555" s="176" t="n"/>
      <c r="V555" s="176" t="n"/>
      <c r="W555" s="176" t="n"/>
      <c r="X555" s="176" t="n"/>
      <c r="Y555" s="176" t="n"/>
      <c r="Z555" s="176" t="n"/>
      <c r="AA555" s="176" t="n"/>
      <c r="AB555" s="176" t="n"/>
    </row>
    <row r="556">
      <c r="A556" s="176" t="n"/>
      <c r="B556" s="176" t="n"/>
      <c r="C556" s="176" t="n"/>
      <c r="D556" s="176" t="n"/>
      <c r="E556" s="186" t="n"/>
      <c r="F556" s="209" t="n"/>
      <c r="G556" s="209" t="n"/>
      <c r="H556" s="209" t="n"/>
      <c r="I556" s="209" t="n"/>
      <c r="J556" s="209" t="n"/>
      <c r="K556" s="186" t="n"/>
      <c r="L556" s="176" t="n"/>
      <c r="M556" s="176" t="n"/>
      <c r="N556" s="176" t="n"/>
      <c r="O556" s="176" t="n"/>
      <c r="P556" s="176" t="n"/>
      <c r="Q556" s="176" t="n"/>
      <c r="R556" s="176" t="n"/>
      <c r="S556" s="176" t="n"/>
      <c r="T556" s="176" t="n"/>
      <c r="U556" s="176" t="n"/>
      <c r="V556" s="176" t="n"/>
      <c r="W556" s="176" t="n"/>
      <c r="X556" s="176" t="n"/>
      <c r="Y556" s="176" t="n"/>
      <c r="Z556" s="176" t="n"/>
      <c r="AA556" s="176" t="n"/>
      <c r="AB556" s="176" t="n"/>
    </row>
    <row r="557">
      <c r="A557" s="176" t="n"/>
      <c r="B557" s="176" t="n"/>
      <c r="C557" s="176" t="n"/>
      <c r="D557" s="176" t="n"/>
      <c r="E557" s="186" t="n"/>
      <c r="F557" s="209" t="n"/>
      <c r="G557" s="209" t="n"/>
      <c r="H557" s="209" t="n"/>
      <c r="I557" s="209" t="n"/>
      <c r="J557" s="209" t="n"/>
      <c r="K557" s="186" t="n"/>
      <c r="L557" s="176" t="n"/>
      <c r="M557" s="176" t="n"/>
      <c r="N557" s="176" t="n"/>
      <c r="O557" s="176" t="n"/>
      <c r="P557" s="176" t="n"/>
      <c r="Q557" s="176" t="n"/>
      <c r="R557" s="176" t="n"/>
      <c r="S557" s="176" t="n"/>
      <c r="T557" s="176" t="n"/>
      <c r="U557" s="176" t="n"/>
      <c r="V557" s="176" t="n"/>
      <c r="W557" s="176" t="n"/>
      <c r="X557" s="176" t="n"/>
      <c r="Y557" s="176" t="n"/>
      <c r="Z557" s="176" t="n"/>
      <c r="AA557" s="176" t="n"/>
      <c r="AB557" s="176" t="n"/>
    </row>
    <row r="558">
      <c r="A558" s="176" t="n"/>
      <c r="B558" s="176" t="n"/>
      <c r="C558" s="176" t="n"/>
      <c r="D558" s="176" t="n"/>
      <c r="E558" s="186" t="n"/>
      <c r="F558" s="209" t="n"/>
      <c r="G558" s="209" t="n"/>
      <c r="H558" s="209" t="n"/>
      <c r="I558" s="209" t="n"/>
      <c r="J558" s="209" t="n"/>
      <c r="K558" s="186" t="n"/>
      <c r="L558" s="176" t="n"/>
      <c r="M558" s="176" t="n"/>
      <c r="N558" s="176" t="n"/>
      <c r="O558" s="176" t="n"/>
      <c r="P558" s="176" t="n"/>
      <c r="Q558" s="176" t="n"/>
      <c r="R558" s="176" t="n"/>
      <c r="S558" s="176" t="n"/>
      <c r="T558" s="176" t="n"/>
      <c r="U558" s="176" t="n"/>
      <c r="V558" s="176" t="n"/>
      <c r="W558" s="176" t="n"/>
      <c r="X558" s="176" t="n"/>
      <c r="Y558" s="176" t="n"/>
      <c r="Z558" s="176" t="n"/>
      <c r="AA558" s="176" t="n"/>
      <c r="AB558" s="176" t="n"/>
    </row>
    <row r="559">
      <c r="A559" s="176" t="n"/>
      <c r="B559" s="176" t="n"/>
      <c r="C559" s="176" t="n"/>
      <c r="D559" s="176" t="n"/>
      <c r="E559" s="186" t="n"/>
      <c r="F559" s="209" t="n"/>
      <c r="G559" s="209" t="n"/>
      <c r="H559" s="209" t="n"/>
      <c r="I559" s="209" t="n"/>
      <c r="J559" s="209" t="n"/>
      <c r="K559" s="186" t="n"/>
      <c r="L559" s="176" t="n"/>
      <c r="M559" s="176" t="n"/>
      <c r="N559" s="176" t="n"/>
      <c r="O559" s="176" t="n"/>
      <c r="P559" s="176" t="n"/>
      <c r="Q559" s="176" t="n"/>
      <c r="R559" s="176" t="n"/>
      <c r="S559" s="176" t="n"/>
      <c r="T559" s="176" t="n"/>
      <c r="U559" s="176" t="n"/>
      <c r="V559" s="176" t="n"/>
      <c r="W559" s="176" t="n"/>
      <c r="X559" s="176" t="n"/>
      <c r="Y559" s="176" t="n"/>
      <c r="Z559" s="176" t="n"/>
      <c r="AA559" s="176" t="n"/>
      <c r="AB559" s="176" t="n"/>
    </row>
    <row r="560">
      <c r="A560" s="176" t="n"/>
      <c r="B560" s="176" t="n"/>
      <c r="C560" s="176" t="n"/>
      <c r="D560" s="176" t="n"/>
      <c r="E560" s="186" t="n"/>
      <c r="F560" s="209" t="n"/>
      <c r="G560" s="209" t="n"/>
      <c r="H560" s="209" t="n"/>
      <c r="I560" s="209" t="n"/>
      <c r="J560" s="209" t="n"/>
      <c r="K560" s="186" t="n"/>
      <c r="L560" s="176" t="n"/>
      <c r="M560" s="176" t="n"/>
      <c r="N560" s="176" t="n"/>
      <c r="O560" s="176" t="n"/>
      <c r="P560" s="176" t="n"/>
      <c r="Q560" s="176" t="n"/>
      <c r="R560" s="176" t="n"/>
      <c r="S560" s="176" t="n"/>
      <c r="T560" s="176" t="n"/>
      <c r="U560" s="176" t="n"/>
      <c r="V560" s="176" t="n"/>
      <c r="W560" s="176" t="n"/>
      <c r="X560" s="176" t="n"/>
      <c r="Y560" s="176" t="n"/>
      <c r="Z560" s="176" t="n"/>
      <c r="AA560" s="176" t="n"/>
      <c r="AB560" s="176" t="n"/>
    </row>
    <row r="561">
      <c r="A561" s="176" t="n"/>
      <c r="B561" s="176" t="n"/>
      <c r="C561" s="176" t="n"/>
      <c r="D561" s="176" t="n"/>
      <c r="E561" s="186" t="n"/>
      <c r="F561" s="209" t="n"/>
      <c r="G561" s="209" t="n"/>
      <c r="H561" s="209" t="n"/>
      <c r="I561" s="209" t="n"/>
      <c r="J561" s="209" t="n"/>
      <c r="K561" s="186" t="n"/>
      <c r="L561" s="176" t="n"/>
      <c r="M561" s="176" t="n"/>
      <c r="N561" s="176" t="n"/>
      <c r="O561" s="176" t="n"/>
      <c r="P561" s="176" t="n"/>
      <c r="Q561" s="176" t="n"/>
      <c r="R561" s="176" t="n"/>
      <c r="S561" s="176" t="n"/>
      <c r="T561" s="176" t="n"/>
      <c r="U561" s="176" t="n"/>
      <c r="V561" s="176" t="n"/>
      <c r="W561" s="176" t="n"/>
      <c r="X561" s="176" t="n"/>
      <c r="Y561" s="176" t="n"/>
      <c r="Z561" s="176" t="n"/>
      <c r="AA561" s="176" t="n"/>
      <c r="AB561" s="176" t="n"/>
    </row>
    <row r="562">
      <c r="A562" s="176" t="n"/>
      <c r="B562" s="176" t="n"/>
      <c r="C562" s="176" t="n"/>
      <c r="D562" s="176" t="n"/>
      <c r="E562" s="186" t="n"/>
      <c r="F562" s="209" t="n"/>
      <c r="G562" s="209" t="n"/>
      <c r="H562" s="209" t="n"/>
      <c r="I562" s="209" t="n"/>
      <c r="J562" s="209" t="n"/>
      <c r="K562" s="186" t="n"/>
      <c r="L562" s="176" t="n"/>
      <c r="M562" s="176" t="n"/>
      <c r="N562" s="176" t="n"/>
      <c r="O562" s="176" t="n"/>
      <c r="P562" s="176" t="n"/>
      <c r="Q562" s="176" t="n"/>
      <c r="R562" s="176" t="n"/>
      <c r="S562" s="176" t="n"/>
      <c r="T562" s="176" t="n"/>
      <c r="U562" s="176" t="n"/>
      <c r="V562" s="176" t="n"/>
      <c r="W562" s="176" t="n"/>
      <c r="X562" s="176" t="n"/>
      <c r="Y562" s="176" t="n"/>
      <c r="Z562" s="176" t="n"/>
      <c r="AA562" s="176" t="n"/>
      <c r="AB562" s="176" t="n"/>
    </row>
    <row r="563">
      <c r="A563" s="176" t="n"/>
      <c r="B563" s="176" t="n"/>
      <c r="C563" s="176" t="n"/>
      <c r="D563" s="176" t="n"/>
      <c r="E563" s="186" t="n"/>
      <c r="F563" s="209" t="n"/>
      <c r="G563" s="209" t="n"/>
      <c r="H563" s="209" t="n"/>
      <c r="I563" s="209" t="n"/>
      <c r="J563" s="209" t="n"/>
      <c r="K563" s="186" t="n"/>
      <c r="L563" s="176" t="n"/>
      <c r="M563" s="176" t="n"/>
      <c r="N563" s="176" t="n"/>
      <c r="O563" s="176" t="n"/>
      <c r="P563" s="176" t="n"/>
      <c r="Q563" s="176" t="n"/>
      <c r="R563" s="176" t="n"/>
      <c r="S563" s="176" t="n"/>
      <c r="T563" s="176" t="n"/>
      <c r="U563" s="176" t="n"/>
      <c r="V563" s="176" t="n"/>
      <c r="W563" s="176" t="n"/>
      <c r="X563" s="176" t="n"/>
      <c r="Y563" s="176" t="n"/>
      <c r="Z563" s="176" t="n"/>
      <c r="AA563" s="176" t="n"/>
      <c r="AB563" s="176" t="n"/>
    </row>
    <row r="564">
      <c r="A564" s="176" t="n"/>
      <c r="B564" s="176" t="n"/>
      <c r="C564" s="176" t="n"/>
      <c r="D564" s="176" t="n"/>
      <c r="E564" s="186" t="n"/>
      <c r="F564" s="209" t="n"/>
      <c r="G564" s="209" t="n"/>
      <c r="H564" s="209" t="n"/>
      <c r="I564" s="209" t="n"/>
      <c r="J564" s="209" t="n"/>
      <c r="K564" s="186" t="n"/>
      <c r="L564" s="176" t="n"/>
      <c r="M564" s="176" t="n"/>
      <c r="N564" s="176" t="n"/>
      <c r="O564" s="176" t="n"/>
      <c r="P564" s="176" t="n"/>
      <c r="Q564" s="176" t="n"/>
      <c r="R564" s="176" t="n"/>
      <c r="S564" s="176" t="n"/>
      <c r="T564" s="176" t="n"/>
      <c r="U564" s="176" t="n"/>
      <c r="V564" s="176" t="n"/>
      <c r="W564" s="176" t="n"/>
      <c r="X564" s="176" t="n"/>
      <c r="Y564" s="176" t="n"/>
      <c r="Z564" s="176" t="n"/>
      <c r="AA564" s="176" t="n"/>
      <c r="AB564" s="176" t="n"/>
    </row>
    <row r="565">
      <c r="A565" s="176" t="n"/>
      <c r="B565" s="176" t="n"/>
      <c r="C565" s="176" t="n"/>
      <c r="D565" s="176" t="n"/>
      <c r="E565" s="186" t="n"/>
      <c r="F565" s="209" t="n"/>
      <c r="G565" s="209" t="n"/>
      <c r="H565" s="209" t="n"/>
      <c r="I565" s="209" t="n"/>
      <c r="J565" s="209" t="n"/>
      <c r="K565" s="186" t="n"/>
      <c r="L565" s="176" t="n"/>
      <c r="M565" s="176" t="n"/>
      <c r="N565" s="176" t="n"/>
      <c r="O565" s="176" t="n"/>
      <c r="P565" s="176" t="n"/>
      <c r="Q565" s="176" t="n"/>
      <c r="R565" s="176" t="n"/>
      <c r="S565" s="176" t="n"/>
      <c r="T565" s="176" t="n"/>
      <c r="U565" s="176" t="n"/>
      <c r="V565" s="176" t="n"/>
      <c r="W565" s="176" t="n"/>
      <c r="X565" s="176" t="n"/>
      <c r="Y565" s="176" t="n"/>
      <c r="Z565" s="176" t="n"/>
      <c r="AA565" s="176" t="n"/>
      <c r="AB565" s="176" t="n"/>
    </row>
    <row r="566">
      <c r="A566" s="176" t="n"/>
      <c r="B566" s="176" t="n"/>
      <c r="C566" s="176" t="n"/>
      <c r="D566" s="176" t="n"/>
      <c r="E566" s="186" t="n"/>
      <c r="F566" s="209" t="n"/>
      <c r="G566" s="209" t="n"/>
      <c r="H566" s="209" t="n"/>
      <c r="I566" s="209" t="n"/>
      <c r="J566" s="209" t="n"/>
      <c r="K566" s="186" t="n"/>
      <c r="L566" s="176" t="n"/>
      <c r="M566" s="176" t="n"/>
      <c r="N566" s="176" t="n"/>
      <c r="O566" s="176" t="n"/>
      <c r="P566" s="176" t="n"/>
      <c r="Q566" s="176" t="n"/>
      <c r="R566" s="176" t="n"/>
      <c r="S566" s="176" t="n"/>
      <c r="T566" s="176" t="n"/>
      <c r="U566" s="176" t="n"/>
      <c r="V566" s="176" t="n"/>
      <c r="W566" s="176" t="n"/>
      <c r="X566" s="176" t="n"/>
      <c r="Y566" s="176" t="n"/>
      <c r="Z566" s="176" t="n"/>
      <c r="AA566" s="176" t="n"/>
      <c r="AB566" s="176" t="n"/>
    </row>
    <row r="567">
      <c r="A567" s="176" t="n"/>
      <c r="B567" s="176" t="n"/>
      <c r="C567" s="176" t="n"/>
      <c r="D567" s="176" t="n"/>
      <c r="E567" s="186" t="n"/>
      <c r="F567" s="209" t="n"/>
      <c r="G567" s="209" t="n"/>
      <c r="H567" s="209" t="n"/>
      <c r="I567" s="209" t="n"/>
      <c r="J567" s="209" t="n"/>
      <c r="K567" s="186" t="n"/>
      <c r="L567" s="176" t="n"/>
      <c r="M567" s="176" t="n"/>
      <c r="N567" s="176" t="n"/>
      <c r="O567" s="176" t="n"/>
      <c r="P567" s="176" t="n"/>
      <c r="Q567" s="176" t="n"/>
      <c r="R567" s="176" t="n"/>
      <c r="S567" s="176" t="n"/>
      <c r="T567" s="176" t="n"/>
      <c r="U567" s="176" t="n"/>
      <c r="V567" s="176" t="n"/>
      <c r="W567" s="176" t="n"/>
      <c r="X567" s="176" t="n"/>
      <c r="Y567" s="176" t="n"/>
      <c r="Z567" s="176" t="n"/>
      <c r="AA567" s="176" t="n"/>
      <c r="AB567" s="176" t="n"/>
    </row>
    <row r="568">
      <c r="A568" s="176" t="n"/>
      <c r="B568" s="176" t="n"/>
      <c r="C568" s="176" t="n"/>
      <c r="D568" s="176" t="n"/>
      <c r="E568" s="186" t="n"/>
      <c r="F568" s="209" t="n"/>
      <c r="G568" s="209" t="n"/>
      <c r="H568" s="209" t="n"/>
      <c r="I568" s="209" t="n"/>
      <c r="J568" s="209" t="n"/>
      <c r="K568" s="186" t="n"/>
      <c r="L568" s="176" t="n"/>
      <c r="M568" s="176" t="n"/>
      <c r="N568" s="176" t="n"/>
      <c r="O568" s="176" t="n"/>
      <c r="P568" s="176" t="n"/>
      <c r="Q568" s="176" t="n"/>
      <c r="R568" s="176" t="n"/>
      <c r="S568" s="176" t="n"/>
      <c r="T568" s="176" t="n"/>
      <c r="U568" s="176" t="n"/>
      <c r="V568" s="176" t="n"/>
      <c r="W568" s="176" t="n"/>
      <c r="X568" s="176" t="n"/>
      <c r="Y568" s="176" t="n"/>
      <c r="Z568" s="176" t="n"/>
      <c r="AA568" s="176" t="n"/>
      <c r="AB568" s="176" t="n"/>
    </row>
    <row r="569">
      <c r="A569" s="176" t="n"/>
      <c r="B569" s="176" t="n"/>
      <c r="C569" s="176" t="n"/>
      <c r="D569" s="176" t="n"/>
      <c r="E569" s="186" t="n"/>
      <c r="F569" s="209" t="n"/>
      <c r="G569" s="209" t="n"/>
      <c r="H569" s="209" t="n"/>
      <c r="I569" s="209" t="n"/>
      <c r="J569" s="209" t="n"/>
      <c r="K569" s="186" t="n"/>
      <c r="L569" s="176" t="n"/>
      <c r="M569" s="176" t="n"/>
      <c r="N569" s="176" t="n"/>
      <c r="O569" s="176" t="n"/>
      <c r="P569" s="176" t="n"/>
      <c r="Q569" s="176" t="n"/>
      <c r="R569" s="176" t="n"/>
      <c r="S569" s="176" t="n"/>
      <c r="T569" s="176" t="n"/>
      <c r="U569" s="176" t="n"/>
      <c r="V569" s="176" t="n"/>
      <c r="W569" s="176" t="n"/>
      <c r="X569" s="176" t="n"/>
      <c r="Y569" s="176" t="n"/>
      <c r="Z569" s="176" t="n"/>
      <c r="AA569" s="176" t="n"/>
      <c r="AB569" s="176" t="n"/>
    </row>
    <row r="570">
      <c r="A570" s="176" t="n"/>
      <c r="B570" s="176" t="n"/>
      <c r="C570" s="176" t="n"/>
      <c r="D570" s="176" t="n"/>
      <c r="E570" s="186" t="n"/>
      <c r="F570" s="209" t="n"/>
      <c r="G570" s="209" t="n"/>
      <c r="H570" s="209" t="n"/>
      <c r="I570" s="209" t="n"/>
      <c r="J570" s="209" t="n"/>
      <c r="K570" s="186" t="n"/>
      <c r="L570" s="176" t="n"/>
      <c r="M570" s="176" t="n"/>
      <c r="N570" s="176" t="n"/>
      <c r="O570" s="176" t="n"/>
      <c r="P570" s="176" t="n"/>
      <c r="Q570" s="176" t="n"/>
      <c r="R570" s="176" t="n"/>
      <c r="S570" s="176" t="n"/>
      <c r="T570" s="176" t="n"/>
      <c r="U570" s="176" t="n"/>
      <c r="V570" s="176" t="n"/>
      <c r="W570" s="176" t="n"/>
      <c r="X570" s="176" t="n"/>
      <c r="Y570" s="176" t="n"/>
      <c r="Z570" s="176" t="n"/>
      <c r="AA570" s="176" t="n"/>
      <c r="AB570" s="176" t="n"/>
    </row>
    <row r="571">
      <c r="A571" s="176" t="n"/>
      <c r="B571" s="176" t="n"/>
      <c r="C571" s="176" t="n"/>
      <c r="D571" s="176" t="n"/>
      <c r="E571" s="186" t="n"/>
      <c r="F571" s="209" t="n"/>
      <c r="G571" s="209" t="n"/>
      <c r="H571" s="209" t="n"/>
      <c r="I571" s="209" t="n"/>
      <c r="J571" s="209" t="n"/>
      <c r="K571" s="186" t="n"/>
      <c r="L571" s="176" t="n"/>
      <c r="M571" s="176" t="n"/>
      <c r="N571" s="176" t="n"/>
      <c r="O571" s="176" t="n"/>
      <c r="P571" s="176" t="n"/>
      <c r="Q571" s="176" t="n"/>
      <c r="R571" s="176" t="n"/>
      <c r="S571" s="176" t="n"/>
      <c r="T571" s="176" t="n"/>
      <c r="U571" s="176" t="n"/>
      <c r="V571" s="176" t="n"/>
      <c r="W571" s="176" t="n"/>
      <c r="X571" s="176" t="n"/>
      <c r="Y571" s="176" t="n"/>
      <c r="Z571" s="176" t="n"/>
      <c r="AA571" s="176" t="n"/>
      <c r="AB571" s="176" t="n"/>
    </row>
    <row r="572">
      <c r="A572" s="176" t="n"/>
      <c r="B572" s="176" t="n"/>
      <c r="C572" s="176" t="n"/>
      <c r="D572" s="176" t="n"/>
      <c r="E572" s="186" t="n"/>
      <c r="F572" s="209" t="n"/>
      <c r="G572" s="209" t="n"/>
      <c r="H572" s="209" t="n"/>
      <c r="I572" s="209" t="n"/>
      <c r="J572" s="209" t="n"/>
      <c r="K572" s="186" t="n"/>
      <c r="L572" s="176" t="n"/>
      <c r="M572" s="176" t="n"/>
      <c r="N572" s="176" t="n"/>
      <c r="O572" s="176" t="n"/>
      <c r="P572" s="176" t="n"/>
      <c r="Q572" s="176" t="n"/>
      <c r="R572" s="176" t="n"/>
      <c r="S572" s="176" t="n"/>
      <c r="T572" s="176" t="n"/>
      <c r="U572" s="176" t="n"/>
      <c r="V572" s="176" t="n"/>
      <c r="W572" s="176" t="n"/>
      <c r="X572" s="176" t="n"/>
      <c r="Y572" s="176" t="n"/>
      <c r="Z572" s="176" t="n"/>
      <c r="AA572" s="176" t="n"/>
      <c r="AB572" s="176" t="n"/>
    </row>
    <row r="573">
      <c r="A573" s="176" t="n"/>
      <c r="B573" s="176" t="n"/>
      <c r="C573" s="176" t="n"/>
      <c r="D573" s="176" t="n"/>
      <c r="E573" s="186" t="n"/>
      <c r="F573" s="209" t="n"/>
      <c r="G573" s="209" t="n"/>
      <c r="H573" s="209" t="n"/>
      <c r="I573" s="209" t="n"/>
      <c r="J573" s="209" t="n"/>
      <c r="K573" s="186" t="n"/>
      <c r="L573" s="176" t="n"/>
      <c r="M573" s="176" t="n"/>
      <c r="N573" s="176" t="n"/>
      <c r="O573" s="176" t="n"/>
      <c r="P573" s="176" t="n"/>
      <c r="Q573" s="176" t="n"/>
      <c r="R573" s="176" t="n"/>
      <c r="S573" s="176" t="n"/>
      <c r="T573" s="176" t="n"/>
      <c r="U573" s="176" t="n"/>
      <c r="V573" s="176" t="n"/>
      <c r="W573" s="176" t="n"/>
      <c r="X573" s="176" t="n"/>
      <c r="Y573" s="176" t="n"/>
      <c r="Z573" s="176" t="n"/>
      <c r="AA573" s="176" t="n"/>
      <c r="AB573" s="176" t="n"/>
    </row>
    <row r="574">
      <c r="A574" s="176" t="n"/>
      <c r="B574" s="176" t="n"/>
      <c r="C574" s="176" t="n"/>
      <c r="D574" s="176" t="n"/>
      <c r="E574" s="186" t="n"/>
      <c r="F574" s="209" t="n"/>
      <c r="G574" s="209" t="n"/>
      <c r="H574" s="209" t="n"/>
      <c r="I574" s="209" t="n"/>
      <c r="J574" s="209" t="n"/>
      <c r="K574" s="186" t="n"/>
      <c r="L574" s="176" t="n"/>
      <c r="M574" s="176" t="n"/>
      <c r="N574" s="176" t="n"/>
      <c r="O574" s="176" t="n"/>
      <c r="P574" s="176" t="n"/>
      <c r="Q574" s="176" t="n"/>
      <c r="R574" s="176" t="n"/>
      <c r="S574" s="176" t="n"/>
      <c r="T574" s="176" t="n"/>
      <c r="U574" s="176" t="n"/>
      <c r="V574" s="176" t="n"/>
      <c r="W574" s="176" t="n"/>
      <c r="X574" s="176" t="n"/>
      <c r="Y574" s="176" t="n"/>
      <c r="Z574" s="176" t="n"/>
      <c r="AA574" s="176" t="n"/>
      <c r="AB574" s="176" t="n"/>
    </row>
    <row r="575">
      <c r="A575" s="176" t="n"/>
      <c r="B575" s="176" t="n"/>
      <c r="C575" s="176" t="n"/>
      <c r="D575" s="176" t="n"/>
      <c r="E575" s="186" t="n"/>
      <c r="F575" s="209" t="n"/>
      <c r="G575" s="209" t="n"/>
      <c r="H575" s="209" t="n"/>
      <c r="I575" s="209" t="n"/>
      <c r="J575" s="209" t="n"/>
      <c r="K575" s="186" t="n"/>
      <c r="L575" s="176" t="n"/>
      <c r="M575" s="176" t="n"/>
      <c r="N575" s="176" t="n"/>
      <c r="O575" s="176" t="n"/>
      <c r="P575" s="176" t="n"/>
      <c r="Q575" s="176" t="n"/>
      <c r="R575" s="176" t="n"/>
      <c r="S575" s="176" t="n"/>
      <c r="T575" s="176" t="n"/>
      <c r="U575" s="176" t="n"/>
      <c r="V575" s="176" t="n"/>
      <c r="W575" s="176" t="n"/>
      <c r="X575" s="176" t="n"/>
      <c r="Y575" s="176" t="n"/>
      <c r="Z575" s="176" t="n"/>
      <c r="AA575" s="176" t="n"/>
      <c r="AB575" s="176" t="n"/>
    </row>
    <row r="576">
      <c r="A576" s="176" t="n"/>
      <c r="B576" s="176" t="n"/>
      <c r="C576" s="176" t="n"/>
      <c r="D576" s="176" t="n"/>
      <c r="E576" s="186" t="n"/>
      <c r="F576" s="209" t="n"/>
      <c r="G576" s="209" t="n"/>
      <c r="H576" s="209" t="n"/>
      <c r="I576" s="209" t="n"/>
      <c r="J576" s="209" t="n"/>
      <c r="K576" s="186" t="n"/>
      <c r="L576" s="176" t="n"/>
      <c r="M576" s="176" t="n"/>
      <c r="N576" s="176" t="n"/>
      <c r="O576" s="176" t="n"/>
      <c r="P576" s="176" t="n"/>
      <c r="Q576" s="176" t="n"/>
      <c r="R576" s="176" t="n"/>
      <c r="S576" s="176" t="n"/>
      <c r="T576" s="176" t="n"/>
      <c r="U576" s="176" t="n"/>
      <c r="V576" s="176" t="n"/>
      <c r="W576" s="176" t="n"/>
      <c r="X576" s="176" t="n"/>
      <c r="Y576" s="176" t="n"/>
      <c r="Z576" s="176" t="n"/>
      <c r="AA576" s="176" t="n"/>
      <c r="AB576" s="176" t="n"/>
    </row>
    <row r="577">
      <c r="A577" s="176" t="n"/>
      <c r="B577" s="176" t="n"/>
      <c r="C577" s="176" t="n"/>
      <c r="D577" s="176" t="n"/>
      <c r="E577" s="186" t="n"/>
      <c r="F577" s="209" t="n"/>
      <c r="G577" s="209" t="n"/>
      <c r="H577" s="209" t="n"/>
      <c r="I577" s="209" t="n"/>
      <c r="J577" s="209" t="n"/>
      <c r="K577" s="186" t="n"/>
      <c r="L577" s="176" t="n"/>
      <c r="M577" s="176" t="n"/>
      <c r="N577" s="176" t="n"/>
      <c r="O577" s="176" t="n"/>
      <c r="P577" s="176" t="n"/>
      <c r="Q577" s="176" t="n"/>
      <c r="R577" s="176" t="n"/>
      <c r="S577" s="176" t="n"/>
      <c r="T577" s="176" t="n"/>
      <c r="U577" s="176" t="n"/>
      <c r="V577" s="176" t="n"/>
      <c r="W577" s="176" t="n"/>
      <c r="X577" s="176" t="n"/>
      <c r="Y577" s="176" t="n"/>
      <c r="Z577" s="176" t="n"/>
      <c r="AA577" s="176" t="n"/>
      <c r="AB577" s="176" t="n"/>
    </row>
    <row r="578">
      <c r="A578" s="176" t="n"/>
      <c r="B578" s="176" t="n"/>
      <c r="C578" s="176" t="n"/>
      <c r="D578" s="176" t="n"/>
      <c r="E578" s="186" t="n"/>
      <c r="F578" s="209" t="n"/>
      <c r="G578" s="209" t="n"/>
      <c r="H578" s="209" t="n"/>
      <c r="I578" s="209" t="n"/>
      <c r="J578" s="209" t="n"/>
      <c r="K578" s="186" t="n"/>
      <c r="L578" s="176" t="n"/>
      <c r="M578" s="176" t="n"/>
      <c r="N578" s="176" t="n"/>
      <c r="O578" s="176" t="n"/>
      <c r="P578" s="176" t="n"/>
      <c r="Q578" s="176" t="n"/>
      <c r="R578" s="176" t="n"/>
      <c r="S578" s="176" t="n"/>
      <c r="T578" s="176" t="n"/>
      <c r="U578" s="176" t="n"/>
      <c r="V578" s="176" t="n"/>
      <c r="W578" s="176" t="n"/>
      <c r="X578" s="176" t="n"/>
      <c r="Y578" s="176" t="n"/>
      <c r="Z578" s="176" t="n"/>
      <c r="AA578" s="176" t="n"/>
      <c r="AB578" s="176" t="n"/>
    </row>
    <row r="579">
      <c r="A579" s="176" t="n"/>
      <c r="B579" s="176" t="n"/>
      <c r="C579" s="176" t="n"/>
      <c r="D579" s="176" t="n"/>
      <c r="E579" s="186" t="n"/>
      <c r="F579" s="209" t="n"/>
      <c r="G579" s="209" t="n"/>
      <c r="H579" s="209" t="n"/>
      <c r="I579" s="209" t="n"/>
      <c r="J579" s="209" t="n"/>
      <c r="K579" s="186" t="n"/>
      <c r="L579" s="176" t="n"/>
      <c r="M579" s="176" t="n"/>
      <c r="N579" s="176" t="n"/>
      <c r="O579" s="176" t="n"/>
      <c r="P579" s="176" t="n"/>
      <c r="Q579" s="176" t="n"/>
      <c r="R579" s="176" t="n"/>
      <c r="S579" s="176" t="n"/>
      <c r="T579" s="176" t="n"/>
      <c r="U579" s="176" t="n"/>
      <c r="V579" s="176" t="n"/>
      <c r="W579" s="176" t="n"/>
      <c r="X579" s="176" t="n"/>
      <c r="Y579" s="176" t="n"/>
      <c r="Z579" s="176" t="n"/>
      <c r="AA579" s="176" t="n"/>
      <c r="AB579" s="176" t="n"/>
    </row>
    <row r="580">
      <c r="A580" s="176" t="n"/>
      <c r="B580" s="176" t="n"/>
      <c r="C580" s="176" t="n"/>
      <c r="D580" s="176" t="n"/>
      <c r="E580" s="186" t="n"/>
      <c r="F580" s="209" t="n"/>
      <c r="G580" s="209" t="n"/>
      <c r="H580" s="209" t="n"/>
      <c r="I580" s="209" t="n"/>
      <c r="J580" s="209" t="n"/>
      <c r="K580" s="186" t="n"/>
      <c r="L580" s="176" t="n"/>
      <c r="M580" s="176" t="n"/>
      <c r="N580" s="176" t="n"/>
      <c r="O580" s="176" t="n"/>
      <c r="P580" s="176" t="n"/>
      <c r="Q580" s="176" t="n"/>
      <c r="R580" s="176" t="n"/>
      <c r="S580" s="176" t="n"/>
      <c r="T580" s="176" t="n"/>
      <c r="U580" s="176" t="n"/>
      <c r="V580" s="176" t="n"/>
      <c r="W580" s="176" t="n"/>
      <c r="X580" s="176" t="n"/>
      <c r="Y580" s="176" t="n"/>
      <c r="Z580" s="176" t="n"/>
      <c r="AA580" s="176" t="n"/>
      <c r="AB580" s="176" t="n"/>
    </row>
    <row r="581">
      <c r="A581" s="176" t="n"/>
      <c r="B581" s="176" t="n"/>
      <c r="C581" s="176" t="n"/>
      <c r="D581" s="176" t="n"/>
      <c r="E581" s="186" t="n"/>
      <c r="F581" s="209" t="n"/>
      <c r="G581" s="209" t="n"/>
      <c r="H581" s="209" t="n"/>
      <c r="I581" s="209" t="n"/>
      <c r="J581" s="209" t="n"/>
      <c r="K581" s="186" t="n"/>
      <c r="L581" s="176" t="n"/>
      <c r="M581" s="176" t="n"/>
      <c r="N581" s="176" t="n"/>
      <c r="O581" s="176" t="n"/>
      <c r="P581" s="176" t="n"/>
      <c r="Q581" s="176" t="n"/>
      <c r="R581" s="176" t="n"/>
      <c r="S581" s="176" t="n"/>
      <c r="T581" s="176" t="n"/>
      <c r="U581" s="176" t="n"/>
      <c r="V581" s="176" t="n"/>
      <c r="W581" s="176" t="n"/>
      <c r="X581" s="176" t="n"/>
      <c r="Y581" s="176" t="n"/>
      <c r="Z581" s="176" t="n"/>
      <c r="AA581" s="176" t="n"/>
      <c r="AB581" s="176" t="n"/>
    </row>
    <row r="582">
      <c r="A582" s="176" t="n"/>
      <c r="B582" s="176" t="n"/>
      <c r="C582" s="176" t="n"/>
      <c r="D582" s="176" t="n"/>
      <c r="E582" s="186" t="n"/>
      <c r="F582" s="209" t="n"/>
      <c r="G582" s="209" t="n"/>
      <c r="H582" s="209" t="n"/>
      <c r="I582" s="209" t="n"/>
      <c r="J582" s="209" t="n"/>
      <c r="K582" s="186" t="n"/>
      <c r="L582" s="176" t="n"/>
      <c r="M582" s="176" t="n"/>
      <c r="N582" s="176" t="n"/>
      <c r="O582" s="176" t="n"/>
      <c r="P582" s="176" t="n"/>
      <c r="Q582" s="176" t="n"/>
      <c r="R582" s="176" t="n"/>
      <c r="S582" s="176" t="n"/>
      <c r="T582" s="176" t="n"/>
      <c r="U582" s="176" t="n"/>
      <c r="V582" s="176" t="n"/>
      <c r="W582" s="176" t="n"/>
      <c r="X582" s="176" t="n"/>
      <c r="Y582" s="176" t="n"/>
      <c r="Z582" s="176" t="n"/>
      <c r="AA582" s="176" t="n"/>
      <c r="AB582" s="176" t="n"/>
    </row>
    <row r="583">
      <c r="A583" s="176" t="n"/>
      <c r="B583" s="176" t="n"/>
      <c r="C583" s="176" t="n"/>
      <c r="D583" s="176" t="n"/>
      <c r="E583" s="186" t="n"/>
      <c r="F583" s="209" t="n"/>
      <c r="G583" s="209" t="n"/>
      <c r="H583" s="209" t="n"/>
      <c r="I583" s="209" t="n"/>
      <c r="J583" s="209" t="n"/>
      <c r="K583" s="186" t="n"/>
      <c r="L583" s="176" t="n"/>
      <c r="M583" s="176" t="n"/>
      <c r="N583" s="176" t="n"/>
      <c r="O583" s="176" t="n"/>
      <c r="P583" s="176" t="n"/>
      <c r="Q583" s="176" t="n"/>
      <c r="R583" s="176" t="n"/>
      <c r="S583" s="176" t="n"/>
      <c r="T583" s="176" t="n"/>
      <c r="U583" s="176" t="n"/>
      <c r="V583" s="176" t="n"/>
      <c r="W583" s="176" t="n"/>
      <c r="X583" s="176" t="n"/>
      <c r="Y583" s="176" t="n"/>
      <c r="Z583" s="176" t="n"/>
      <c r="AA583" s="176" t="n"/>
      <c r="AB583" s="176" t="n"/>
    </row>
    <row r="584">
      <c r="A584" s="176" t="n"/>
      <c r="B584" s="176" t="n"/>
      <c r="C584" s="176" t="n"/>
      <c r="D584" s="176" t="n"/>
      <c r="E584" s="186" t="n"/>
      <c r="F584" s="209" t="n"/>
      <c r="G584" s="209" t="n"/>
      <c r="H584" s="209" t="n"/>
      <c r="I584" s="209" t="n"/>
      <c r="J584" s="209" t="n"/>
      <c r="K584" s="186" t="n"/>
      <c r="L584" s="176" t="n"/>
      <c r="M584" s="176" t="n"/>
      <c r="N584" s="176" t="n"/>
      <c r="O584" s="176" t="n"/>
      <c r="P584" s="176" t="n"/>
      <c r="Q584" s="176" t="n"/>
      <c r="R584" s="176" t="n"/>
      <c r="S584" s="176" t="n"/>
      <c r="T584" s="176" t="n"/>
      <c r="U584" s="176" t="n"/>
      <c r="V584" s="176" t="n"/>
      <c r="W584" s="176" t="n"/>
      <c r="X584" s="176" t="n"/>
      <c r="Y584" s="176" t="n"/>
      <c r="Z584" s="176" t="n"/>
      <c r="AA584" s="176" t="n"/>
      <c r="AB584" s="176" t="n"/>
    </row>
    <row r="585">
      <c r="A585" s="176" t="n"/>
      <c r="B585" s="176" t="n"/>
      <c r="C585" s="176" t="n"/>
      <c r="D585" s="176" t="n"/>
      <c r="E585" s="186" t="n"/>
      <c r="F585" s="209" t="n"/>
      <c r="G585" s="209" t="n"/>
      <c r="H585" s="209" t="n"/>
      <c r="I585" s="209" t="n"/>
      <c r="J585" s="209" t="n"/>
      <c r="K585" s="186" t="n"/>
      <c r="L585" s="176" t="n"/>
      <c r="M585" s="176" t="n"/>
      <c r="N585" s="176" t="n"/>
      <c r="O585" s="176" t="n"/>
      <c r="P585" s="176" t="n"/>
      <c r="Q585" s="176" t="n"/>
      <c r="R585" s="176" t="n"/>
      <c r="S585" s="176" t="n"/>
      <c r="T585" s="176" t="n"/>
      <c r="U585" s="176" t="n"/>
      <c r="V585" s="176" t="n"/>
      <c r="W585" s="176" t="n"/>
      <c r="X585" s="176" t="n"/>
      <c r="Y585" s="176" t="n"/>
      <c r="Z585" s="176" t="n"/>
      <c r="AA585" s="176" t="n"/>
      <c r="AB585" s="176" t="n"/>
    </row>
    <row r="586">
      <c r="A586" s="176" t="n"/>
      <c r="B586" s="176" t="n"/>
      <c r="C586" s="176" t="n"/>
      <c r="D586" s="176" t="n"/>
      <c r="E586" s="186" t="n"/>
      <c r="F586" s="209" t="n"/>
      <c r="G586" s="209" t="n"/>
      <c r="H586" s="209" t="n"/>
      <c r="I586" s="209" t="n"/>
      <c r="J586" s="209" t="n"/>
      <c r="K586" s="186" t="n"/>
      <c r="L586" s="176" t="n"/>
      <c r="M586" s="176" t="n"/>
      <c r="N586" s="176" t="n"/>
      <c r="O586" s="176" t="n"/>
      <c r="P586" s="176" t="n"/>
      <c r="Q586" s="176" t="n"/>
      <c r="R586" s="176" t="n"/>
      <c r="S586" s="176" t="n"/>
      <c r="T586" s="176" t="n"/>
      <c r="U586" s="176" t="n"/>
      <c r="V586" s="176" t="n"/>
      <c r="W586" s="176" t="n"/>
      <c r="X586" s="176" t="n"/>
      <c r="Y586" s="176" t="n"/>
      <c r="Z586" s="176" t="n"/>
      <c r="AA586" s="176" t="n"/>
      <c r="AB586" s="176" t="n"/>
    </row>
    <row r="587">
      <c r="A587" s="176" t="n"/>
      <c r="B587" s="176" t="n"/>
      <c r="C587" s="176" t="n"/>
      <c r="D587" s="176" t="n"/>
      <c r="E587" s="186" t="n"/>
      <c r="F587" s="209" t="n"/>
      <c r="G587" s="209" t="n"/>
      <c r="H587" s="209" t="n"/>
      <c r="I587" s="209" t="n"/>
      <c r="J587" s="209" t="n"/>
      <c r="K587" s="186" t="n"/>
      <c r="L587" s="176" t="n"/>
      <c r="M587" s="176" t="n"/>
      <c r="N587" s="176" t="n"/>
      <c r="O587" s="176" t="n"/>
      <c r="P587" s="176" t="n"/>
      <c r="Q587" s="176" t="n"/>
      <c r="R587" s="176" t="n"/>
      <c r="S587" s="176" t="n"/>
      <c r="T587" s="176" t="n"/>
      <c r="U587" s="176" t="n"/>
      <c r="V587" s="176" t="n"/>
      <c r="W587" s="176" t="n"/>
      <c r="X587" s="176" t="n"/>
      <c r="Y587" s="176" t="n"/>
      <c r="Z587" s="176" t="n"/>
      <c r="AA587" s="176" t="n"/>
      <c r="AB587" s="176" t="n"/>
    </row>
    <row r="588">
      <c r="A588" s="176" t="n"/>
      <c r="B588" s="176" t="n"/>
      <c r="C588" s="176" t="n"/>
      <c r="D588" s="176" t="n"/>
      <c r="E588" s="186" t="n"/>
      <c r="F588" s="209" t="n"/>
      <c r="G588" s="209" t="n"/>
      <c r="H588" s="209" t="n"/>
      <c r="I588" s="209" t="n"/>
      <c r="J588" s="209" t="n"/>
      <c r="K588" s="186" t="n"/>
      <c r="L588" s="176" t="n"/>
      <c r="M588" s="176" t="n"/>
      <c r="N588" s="176" t="n"/>
      <c r="O588" s="176" t="n"/>
      <c r="P588" s="176" t="n"/>
      <c r="Q588" s="176" t="n"/>
      <c r="R588" s="176" t="n"/>
      <c r="S588" s="176" t="n"/>
      <c r="T588" s="176" t="n"/>
      <c r="U588" s="176" t="n"/>
      <c r="V588" s="176" t="n"/>
      <c r="W588" s="176" t="n"/>
      <c r="X588" s="176" t="n"/>
      <c r="Y588" s="176" t="n"/>
      <c r="Z588" s="176" t="n"/>
      <c r="AA588" s="176" t="n"/>
      <c r="AB588" s="176" t="n"/>
    </row>
    <row r="589">
      <c r="A589" s="176" t="n"/>
      <c r="B589" s="176" t="n"/>
      <c r="C589" s="176" t="n"/>
      <c r="D589" s="176" t="n"/>
      <c r="E589" s="186" t="n"/>
      <c r="F589" s="209" t="n"/>
      <c r="G589" s="209" t="n"/>
      <c r="H589" s="209" t="n"/>
      <c r="I589" s="209" t="n"/>
      <c r="J589" s="209" t="n"/>
      <c r="K589" s="186" t="n"/>
      <c r="L589" s="176" t="n"/>
      <c r="M589" s="176" t="n"/>
      <c r="N589" s="176" t="n"/>
      <c r="O589" s="176" t="n"/>
      <c r="P589" s="176" t="n"/>
      <c r="Q589" s="176" t="n"/>
      <c r="R589" s="176" t="n"/>
      <c r="S589" s="176" t="n"/>
      <c r="T589" s="176" t="n"/>
      <c r="U589" s="176" t="n"/>
      <c r="V589" s="176" t="n"/>
      <c r="W589" s="176" t="n"/>
      <c r="X589" s="176" t="n"/>
      <c r="Y589" s="176" t="n"/>
      <c r="Z589" s="176" t="n"/>
      <c r="AA589" s="176" t="n"/>
      <c r="AB589" s="176" t="n"/>
    </row>
    <row r="590">
      <c r="A590" s="176" t="n"/>
      <c r="B590" s="176" t="n"/>
      <c r="C590" s="176" t="n"/>
      <c r="D590" s="176" t="n"/>
      <c r="E590" s="186" t="n"/>
      <c r="F590" s="209" t="n"/>
      <c r="G590" s="209" t="n"/>
      <c r="H590" s="209" t="n"/>
      <c r="I590" s="209" t="n"/>
      <c r="J590" s="209" t="n"/>
      <c r="K590" s="186" t="n"/>
      <c r="L590" s="176" t="n"/>
      <c r="M590" s="176" t="n"/>
      <c r="N590" s="176" t="n"/>
      <c r="O590" s="176" t="n"/>
      <c r="P590" s="176" t="n"/>
      <c r="Q590" s="176" t="n"/>
      <c r="R590" s="176" t="n"/>
      <c r="S590" s="176" t="n"/>
      <c r="T590" s="176" t="n"/>
      <c r="U590" s="176" t="n"/>
      <c r="V590" s="176" t="n"/>
      <c r="W590" s="176" t="n"/>
      <c r="X590" s="176" t="n"/>
      <c r="Y590" s="176" t="n"/>
      <c r="Z590" s="176" t="n"/>
      <c r="AA590" s="176" t="n"/>
      <c r="AB590" s="176" t="n"/>
    </row>
    <row r="591">
      <c r="A591" s="176" t="n"/>
      <c r="B591" s="176" t="n"/>
      <c r="C591" s="176" t="n"/>
      <c r="D591" s="176" t="n"/>
      <c r="E591" s="186" t="n"/>
      <c r="F591" s="209" t="n"/>
      <c r="G591" s="209" t="n"/>
      <c r="H591" s="209" t="n"/>
      <c r="I591" s="209" t="n"/>
      <c r="J591" s="209" t="n"/>
      <c r="K591" s="186" t="n"/>
      <c r="L591" s="176" t="n"/>
      <c r="M591" s="176" t="n"/>
      <c r="N591" s="176" t="n"/>
      <c r="O591" s="176" t="n"/>
      <c r="P591" s="176" t="n"/>
      <c r="Q591" s="176" t="n"/>
      <c r="R591" s="176" t="n"/>
      <c r="S591" s="176" t="n"/>
      <c r="T591" s="176" t="n"/>
      <c r="U591" s="176" t="n"/>
      <c r="V591" s="176" t="n"/>
      <c r="W591" s="176" t="n"/>
      <c r="X591" s="176" t="n"/>
      <c r="Y591" s="176" t="n"/>
      <c r="Z591" s="176" t="n"/>
      <c r="AA591" s="176" t="n"/>
      <c r="AB591" s="176" t="n"/>
    </row>
    <row r="592">
      <c r="A592" s="176" t="n"/>
      <c r="B592" s="176" t="n"/>
      <c r="C592" s="176" t="n"/>
      <c r="D592" s="176" t="n"/>
      <c r="E592" s="186" t="n"/>
      <c r="F592" s="209" t="n"/>
      <c r="G592" s="209" t="n"/>
      <c r="H592" s="209" t="n"/>
      <c r="I592" s="209" t="n"/>
      <c r="J592" s="209" t="n"/>
      <c r="K592" s="186" t="n"/>
      <c r="L592" s="176" t="n"/>
      <c r="M592" s="176" t="n"/>
      <c r="N592" s="176" t="n"/>
      <c r="O592" s="176" t="n"/>
      <c r="P592" s="176" t="n"/>
      <c r="Q592" s="176" t="n"/>
      <c r="R592" s="176" t="n"/>
      <c r="S592" s="176" t="n"/>
      <c r="T592" s="176" t="n"/>
      <c r="U592" s="176" t="n"/>
      <c r="V592" s="176" t="n"/>
      <c r="W592" s="176" t="n"/>
      <c r="X592" s="176" t="n"/>
      <c r="Y592" s="176" t="n"/>
      <c r="Z592" s="176" t="n"/>
      <c r="AA592" s="176" t="n"/>
      <c r="AB592" s="176" t="n"/>
    </row>
    <row r="593">
      <c r="A593" s="176" t="n"/>
      <c r="B593" s="176" t="n"/>
      <c r="C593" s="176" t="n"/>
      <c r="D593" s="176" t="n"/>
      <c r="E593" s="186" t="n"/>
      <c r="F593" s="209" t="n"/>
      <c r="G593" s="209" t="n"/>
      <c r="H593" s="209" t="n"/>
      <c r="I593" s="209" t="n"/>
      <c r="J593" s="209" t="n"/>
      <c r="K593" s="186" t="n"/>
      <c r="L593" s="176" t="n"/>
      <c r="M593" s="176" t="n"/>
      <c r="N593" s="176" t="n"/>
      <c r="O593" s="176" t="n"/>
      <c r="P593" s="176" t="n"/>
      <c r="Q593" s="176" t="n"/>
      <c r="R593" s="176" t="n"/>
      <c r="S593" s="176" t="n"/>
      <c r="T593" s="176" t="n"/>
      <c r="U593" s="176" t="n"/>
      <c r="V593" s="176" t="n"/>
      <c r="W593" s="176" t="n"/>
      <c r="X593" s="176" t="n"/>
      <c r="Y593" s="176" t="n"/>
      <c r="Z593" s="176" t="n"/>
      <c r="AA593" s="176" t="n"/>
      <c r="AB593" s="176" t="n"/>
    </row>
    <row r="594">
      <c r="A594" s="176" t="n"/>
      <c r="B594" s="176" t="n"/>
      <c r="C594" s="176" t="n"/>
      <c r="D594" s="176" t="n"/>
      <c r="E594" s="186" t="n"/>
      <c r="F594" s="209" t="n"/>
      <c r="G594" s="209" t="n"/>
      <c r="H594" s="209" t="n"/>
      <c r="I594" s="209" t="n"/>
      <c r="J594" s="209" t="n"/>
      <c r="K594" s="186" t="n"/>
      <c r="L594" s="176" t="n"/>
      <c r="M594" s="176" t="n"/>
      <c r="N594" s="176" t="n"/>
      <c r="O594" s="176" t="n"/>
      <c r="P594" s="176" t="n"/>
      <c r="Q594" s="176" t="n"/>
      <c r="R594" s="176" t="n"/>
      <c r="S594" s="176" t="n"/>
      <c r="T594" s="176" t="n"/>
      <c r="U594" s="176" t="n"/>
      <c r="V594" s="176" t="n"/>
      <c r="W594" s="176" t="n"/>
      <c r="X594" s="176" t="n"/>
      <c r="Y594" s="176" t="n"/>
      <c r="Z594" s="176" t="n"/>
      <c r="AA594" s="176" t="n"/>
      <c r="AB594" s="176" t="n"/>
    </row>
    <row r="595">
      <c r="A595" s="176" t="n"/>
      <c r="B595" s="176" t="n"/>
      <c r="C595" s="176" t="n"/>
      <c r="D595" s="176" t="n"/>
      <c r="E595" s="186" t="n"/>
      <c r="F595" s="209" t="n"/>
      <c r="G595" s="209" t="n"/>
      <c r="H595" s="209" t="n"/>
      <c r="I595" s="209" t="n"/>
      <c r="J595" s="209" t="n"/>
      <c r="K595" s="186" t="n"/>
      <c r="L595" s="176" t="n"/>
      <c r="M595" s="176" t="n"/>
      <c r="N595" s="176" t="n"/>
      <c r="O595" s="176" t="n"/>
      <c r="P595" s="176" t="n"/>
      <c r="Q595" s="176" t="n"/>
      <c r="R595" s="176" t="n"/>
      <c r="S595" s="176" t="n"/>
      <c r="T595" s="176" t="n"/>
      <c r="U595" s="176" t="n"/>
      <c r="V595" s="176" t="n"/>
      <c r="W595" s="176" t="n"/>
      <c r="X595" s="176" t="n"/>
      <c r="Y595" s="176" t="n"/>
      <c r="Z595" s="176" t="n"/>
      <c r="AA595" s="176" t="n"/>
      <c r="AB595" s="176" t="n"/>
    </row>
    <row r="596">
      <c r="A596" s="176" t="n"/>
      <c r="B596" s="176" t="n"/>
      <c r="C596" s="176" t="n"/>
      <c r="D596" s="176" t="n"/>
      <c r="E596" s="186" t="n"/>
      <c r="F596" s="209" t="n"/>
      <c r="G596" s="209" t="n"/>
      <c r="H596" s="209" t="n"/>
      <c r="I596" s="209" t="n"/>
      <c r="J596" s="209" t="n"/>
      <c r="K596" s="186" t="n"/>
      <c r="L596" s="176" t="n"/>
      <c r="M596" s="176" t="n"/>
      <c r="N596" s="176" t="n"/>
      <c r="O596" s="176" t="n"/>
      <c r="P596" s="176" t="n"/>
      <c r="Q596" s="176" t="n"/>
      <c r="R596" s="176" t="n"/>
      <c r="S596" s="176" t="n"/>
      <c r="T596" s="176" t="n"/>
      <c r="U596" s="176" t="n"/>
      <c r="V596" s="176" t="n"/>
      <c r="W596" s="176" t="n"/>
      <c r="X596" s="176" t="n"/>
      <c r="Y596" s="176" t="n"/>
      <c r="Z596" s="176" t="n"/>
      <c r="AA596" s="176" t="n"/>
      <c r="AB596" s="176" t="n"/>
    </row>
    <row r="597">
      <c r="A597" s="176" t="n"/>
      <c r="B597" s="176" t="n"/>
      <c r="C597" s="176" t="n"/>
      <c r="D597" s="176" t="n"/>
      <c r="E597" s="186" t="n"/>
      <c r="F597" s="209" t="n"/>
      <c r="G597" s="209" t="n"/>
      <c r="H597" s="209" t="n"/>
      <c r="I597" s="209" t="n"/>
      <c r="J597" s="209" t="n"/>
      <c r="K597" s="186" t="n"/>
      <c r="L597" s="176" t="n"/>
      <c r="M597" s="176" t="n"/>
      <c r="N597" s="176" t="n"/>
      <c r="O597" s="176" t="n"/>
      <c r="P597" s="176" t="n"/>
      <c r="Q597" s="176" t="n"/>
      <c r="R597" s="176" t="n"/>
      <c r="S597" s="176" t="n"/>
      <c r="T597" s="176" t="n"/>
      <c r="U597" s="176" t="n"/>
      <c r="V597" s="176" t="n"/>
      <c r="W597" s="176" t="n"/>
      <c r="X597" s="176" t="n"/>
      <c r="Y597" s="176" t="n"/>
      <c r="Z597" s="176" t="n"/>
      <c r="AA597" s="176" t="n"/>
      <c r="AB597" s="176" t="n"/>
    </row>
    <row r="598">
      <c r="A598" s="176" t="n"/>
      <c r="B598" s="176" t="n"/>
      <c r="C598" s="176" t="n"/>
      <c r="D598" s="176" t="n"/>
      <c r="E598" s="186" t="n"/>
      <c r="F598" s="209" t="n"/>
      <c r="G598" s="209" t="n"/>
      <c r="H598" s="209" t="n"/>
      <c r="I598" s="209" t="n"/>
      <c r="J598" s="209" t="n"/>
      <c r="K598" s="186" t="n"/>
      <c r="L598" s="176" t="n"/>
      <c r="M598" s="176" t="n"/>
      <c r="N598" s="176" t="n"/>
      <c r="O598" s="176" t="n"/>
      <c r="P598" s="176" t="n"/>
      <c r="Q598" s="176" t="n"/>
      <c r="R598" s="176" t="n"/>
      <c r="S598" s="176" t="n"/>
      <c r="T598" s="176" t="n"/>
      <c r="U598" s="176" t="n"/>
      <c r="V598" s="176" t="n"/>
      <c r="W598" s="176" t="n"/>
      <c r="X598" s="176" t="n"/>
      <c r="Y598" s="176" t="n"/>
      <c r="Z598" s="176" t="n"/>
      <c r="AA598" s="176" t="n"/>
      <c r="AB598" s="176" t="n"/>
    </row>
    <row r="599">
      <c r="A599" s="176" t="n"/>
      <c r="B599" s="176" t="n"/>
      <c r="C599" s="176" t="n"/>
      <c r="D599" s="176" t="n"/>
      <c r="E599" s="186" t="n"/>
      <c r="F599" s="209" t="n"/>
      <c r="G599" s="209" t="n"/>
      <c r="H599" s="209" t="n"/>
      <c r="I599" s="209" t="n"/>
      <c r="J599" s="209" t="n"/>
      <c r="K599" s="186" t="n"/>
      <c r="L599" s="176" t="n"/>
      <c r="M599" s="176" t="n"/>
      <c r="N599" s="176" t="n"/>
      <c r="O599" s="176" t="n"/>
      <c r="P599" s="176" t="n"/>
      <c r="Q599" s="176" t="n"/>
      <c r="R599" s="176" t="n"/>
      <c r="S599" s="176" t="n"/>
      <c r="T599" s="176" t="n"/>
      <c r="U599" s="176" t="n"/>
      <c r="V599" s="176" t="n"/>
      <c r="W599" s="176" t="n"/>
      <c r="X599" s="176" t="n"/>
      <c r="Y599" s="176" t="n"/>
      <c r="Z599" s="176" t="n"/>
      <c r="AA599" s="176" t="n"/>
      <c r="AB599" s="176" t="n"/>
    </row>
    <row r="600">
      <c r="A600" s="176" t="n"/>
      <c r="B600" s="176" t="n"/>
      <c r="C600" s="176" t="n"/>
      <c r="D600" s="176" t="n"/>
      <c r="E600" s="186" t="n"/>
      <c r="F600" s="209" t="n"/>
      <c r="G600" s="209" t="n"/>
      <c r="H600" s="209" t="n"/>
      <c r="I600" s="209" t="n"/>
      <c r="J600" s="209" t="n"/>
      <c r="K600" s="186" t="n"/>
      <c r="L600" s="176" t="n"/>
      <c r="M600" s="176" t="n"/>
      <c r="N600" s="176" t="n"/>
      <c r="O600" s="176" t="n"/>
      <c r="P600" s="176" t="n"/>
      <c r="Q600" s="176" t="n"/>
      <c r="R600" s="176" t="n"/>
      <c r="S600" s="176" t="n"/>
      <c r="T600" s="176" t="n"/>
      <c r="U600" s="176" t="n"/>
      <c r="V600" s="176" t="n"/>
      <c r="W600" s="176" t="n"/>
      <c r="X600" s="176" t="n"/>
      <c r="Y600" s="176" t="n"/>
      <c r="Z600" s="176" t="n"/>
      <c r="AA600" s="176" t="n"/>
      <c r="AB600" s="176" t="n"/>
    </row>
    <row r="601">
      <c r="A601" s="176" t="n"/>
      <c r="B601" s="176" t="n"/>
      <c r="C601" s="176" t="n"/>
      <c r="D601" s="176" t="n"/>
      <c r="E601" s="186" t="n"/>
      <c r="F601" s="209" t="n"/>
      <c r="G601" s="209" t="n"/>
      <c r="H601" s="209" t="n"/>
      <c r="I601" s="209" t="n"/>
      <c r="J601" s="209" t="n"/>
      <c r="K601" s="186" t="n"/>
      <c r="L601" s="176" t="n"/>
      <c r="M601" s="176" t="n"/>
      <c r="N601" s="176" t="n"/>
      <c r="O601" s="176" t="n"/>
      <c r="P601" s="176" t="n"/>
      <c r="Q601" s="176" t="n"/>
      <c r="R601" s="176" t="n"/>
      <c r="S601" s="176" t="n"/>
      <c r="T601" s="176" t="n"/>
      <c r="U601" s="176" t="n"/>
      <c r="V601" s="176" t="n"/>
      <c r="W601" s="176" t="n"/>
      <c r="X601" s="176" t="n"/>
      <c r="Y601" s="176" t="n"/>
      <c r="Z601" s="176" t="n"/>
      <c r="AA601" s="176" t="n"/>
      <c r="AB601" s="176" t="n"/>
    </row>
    <row r="602">
      <c r="A602" s="176" t="n"/>
      <c r="B602" s="176" t="n"/>
      <c r="C602" s="176" t="n"/>
      <c r="D602" s="176" t="n"/>
      <c r="E602" s="186" t="n"/>
      <c r="F602" s="209" t="n"/>
      <c r="G602" s="209" t="n"/>
      <c r="H602" s="209" t="n"/>
      <c r="I602" s="209" t="n"/>
      <c r="J602" s="209" t="n"/>
      <c r="K602" s="186" t="n"/>
      <c r="L602" s="176" t="n"/>
      <c r="M602" s="176" t="n"/>
      <c r="N602" s="176" t="n"/>
      <c r="O602" s="176" t="n"/>
      <c r="P602" s="176" t="n"/>
      <c r="Q602" s="176" t="n"/>
      <c r="R602" s="176" t="n"/>
      <c r="S602" s="176" t="n"/>
      <c r="T602" s="176" t="n"/>
      <c r="U602" s="176" t="n"/>
      <c r="V602" s="176" t="n"/>
      <c r="W602" s="176" t="n"/>
      <c r="X602" s="176" t="n"/>
      <c r="Y602" s="176" t="n"/>
      <c r="Z602" s="176" t="n"/>
      <c r="AA602" s="176" t="n"/>
      <c r="AB602" s="176" t="n"/>
    </row>
    <row r="603">
      <c r="A603" s="176" t="n"/>
      <c r="B603" s="176" t="n"/>
      <c r="C603" s="176" t="n"/>
      <c r="D603" s="176" t="n"/>
      <c r="E603" s="186" t="n"/>
      <c r="F603" s="209" t="n"/>
      <c r="G603" s="209" t="n"/>
      <c r="H603" s="209" t="n"/>
      <c r="I603" s="209" t="n"/>
      <c r="J603" s="209" t="n"/>
      <c r="K603" s="186" t="n"/>
      <c r="L603" s="176" t="n"/>
      <c r="M603" s="176" t="n"/>
      <c r="N603" s="176" t="n"/>
      <c r="O603" s="176" t="n"/>
      <c r="P603" s="176" t="n"/>
      <c r="Q603" s="176" t="n"/>
      <c r="R603" s="176" t="n"/>
      <c r="S603" s="176" t="n"/>
      <c r="T603" s="176" t="n"/>
      <c r="U603" s="176" t="n"/>
      <c r="V603" s="176" t="n"/>
      <c r="W603" s="176" t="n"/>
      <c r="X603" s="176" t="n"/>
      <c r="Y603" s="176" t="n"/>
      <c r="Z603" s="176" t="n"/>
      <c r="AA603" s="176" t="n"/>
      <c r="AB603" s="176" t="n"/>
    </row>
    <row r="604">
      <c r="A604" s="176" t="n"/>
      <c r="B604" s="176" t="n"/>
      <c r="C604" s="176" t="n"/>
      <c r="D604" s="176" t="n"/>
      <c r="E604" s="186" t="n"/>
      <c r="F604" s="209" t="n"/>
      <c r="G604" s="209" t="n"/>
      <c r="H604" s="209" t="n"/>
      <c r="I604" s="209" t="n"/>
      <c r="J604" s="209" t="n"/>
      <c r="K604" s="186" t="n"/>
      <c r="L604" s="176" t="n"/>
      <c r="M604" s="176" t="n"/>
      <c r="N604" s="176" t="n"/>
      <c r="O604" s="176" t="n"/>
      <c r="P604" s="176" t="n"/>
      <c r="Q604" s="176" t="n"/>
      <c r="R604" s="176" t="n"/>
      <c r="S604" s="176" t="n"/>
      <c r="T604" s="176" t="n"/>
      <c r="U604" s="176" t="n"/>
      <c r="V604" s="176" t="n"/>
      <c r="W604" s="176" t="n"/>
      <c r="X604" s="176" t="n"/>
      <c r="Y604" s="176" t="n"/>
      <c r="Z604" s="176" t="n"/>
      <c r="AA604" s="176" t="n"/>
      <c r="AB604" s="176" t="n"/>
    </row>
    <row r="605">
      <c r="A605" s="176" t="n"/>
      <c r="B605" s="176" t="n"/>
      <c r="C605" s="176" t="n"/>
      <c r="D605" s="176" t="n"/>
      <c r="E605" s="186" t="n"/>
      <c r="F605" s="209" t="n"/>
      <c r="G605" s="209" t="n"/>
      <c r="H605" s="209" t="n"/>
      <c r="I605" s="209" t="n"/>
      <c r="J605" s="209" t="n"/>
      <c r="K605" s="186" t="n"/>
      <c r="L605" s="176" t="n"/>
      <c r="M605" s="176" t="n"/>
      <c r="N605" s="176" t="n"/>
      <c r="O605" s="176" t="n"/>
      <c r="P605" s="176" t="n"/>
      <c r="Q605" s="176" t="n"/>
      <c r="R605" s="176" t="n"/>
      <c r="S605" s="176" t="n"/>
      <c r="T605" s="176" t="n"/>
      <c r="U605" s="176" t="n"/>
      <c r="V605" s="176" t="n"/>
      <c r="W605" s="176" t="n"/>
      <c r="X605" s="176" t="n"/>
      <c r="Y605" s="176" t="n"/>
      <c r="Z605" s="176" t="n"/>
      <c r="AA605" s="176" t="n"/>
      <c r="AB605" s="176" t="n"/>
    </row>
    <row r="606">
      <c r="A606" s="176" t="n"/>
      <c r="B606" s="176" t="n"/>
      <c r="C606" s="176" t="n"/>
      <c r="D606" s="176" t="n"/>
      <c r="E606" s="186" t="n"/>
      <c r="F606" s="209" t="n"/>
      <c r="G606" s="209" t="n"/>
      <c r="H606" s="209" t="n"/>
      <c r="I606" s="209" t="n"/>
      <c r="J606" s="209" t="n"/>
      <c r="K606" s="186" t="n"/>
      <c r="L606" s="176" t="n"/>
      <c r="M606" s="176" t="n"/>
      <c r="N606" s="176" t="n"/>
      <c r="O606" s="176" t="n"/>
      <c r="P606" s="176" t="n"/>
      <c r="Q606" s="176" t="n"/>
      <c r="R606" s="176" t="n"/>
      <c r="S606" s="176" t="n"/>
      <c r="T606" s="176" t="n"/>
      <c r="U606" s="176" t="n"/>
      <c r="V606" s="176" t="n"/>
      <c r="W606" s="176" t="n"/>
      <c r="X606" s="176" t="n"/>
      <c r="Y606" s="176" t="n"/>
      <c r="Z606" s="176" t="n"/>
      <c r="AA606" s="176" t="n"/>
      <c r="AB606" s="176" t="n"/>
    </row>
    <row r="607">
      <c r="A607" s="176" t="n"/>
      <c r="B607" s="176" t="n"/>
      <c r="C607" s="176" t="n"/>
      <c r="D607" s="176" t="n"/>
      <c r="E607" s="186" t="n"/>
      <c r="F607" s="209" t="n"/>
      <c r="G607" s="209" t="n"/>
      <c r="H607" s="209" t="n"/>
      <c r="I607" s="209" t="n"/>
      <c r="J607" s="209" t="n"/>
      <c r="K607" s="186" t="n"/>
      <c r="L607" s="176" t="n"/>
      <c r="M607" s="176" t="n"/>
      <c r="N607" s="176" t="n"/>
      <c r="O607" s="176" t="n"/>
      <c r="P607" s="176" t="n"/>
      <c r="Q607" s="176" t="n"/>
      <c r="R607" s="176" t="n"/>
      <c r="S607" s="176" t="n"/>
      <c r="T607" s="176" t="n"/>
      <c r="U607" s="176" t="n"/>
      <c r="V607" s="176" t="n"/>
      <c r="W607" s="176" t="n"/>
      <c r="X607" s="176" t="n"/>
      <c r="Y607" s="176" t="n"/>
      <c r="Z607" s="176" t="n"/>
      <c r="AA607" s="176" t="n"/>
      <c r="AB607" s="176" t="n"/>
    </row>
    <row r="608">
      <c r="A608" s="176" t="n"/>
      <c r="B608" s="176" t="n"/>
      <c r="C608" s="176" t="n"/>
      <c r="D608" s="176" t="n"/>
      <c r="E608" s="186" t="n"/>
      <c r="F608" s="209" t="n"/>
      <c r="G608" s="209" t="n"/>
      <c r="H608" s="209" t="n"/>
      <c r="I608" s="209" t="n"/>
      <c r="J608" s="209" t="n"/>
      <c r="K608" s="186" t="n"/>
      <c r="L608" s="176" t="n"/>
      <c r="M608" s="176" t="n"/>
      <c r="N608" s="176" t="n"/>
      <c r="O608" s="176" t="n"/>
      <c r="P608" s="176" t="n"/>
      <c r="Q608" s="176" t="n"/>
      <c r="R608" s="176" t="n"/>
      <c r="S608" s="176" t="n"/>
      <c r="T608" s="176" t="n"/>
      <c r="U608" s="176" t="n"/>
      <c r="V608" s="176" t="n"/>
      <c r="W608" s="176" t="n"/>
      <c r="X608" s="176" t="n"/>
      <c r="Y608" s="176" t="n"/>
      <c r="Z608" s="176" t="n"/>
      <c r="AA608" s="176" t="n"/>
      <c r="AB608" s="176" t="n"/>
    </row>
    <row r="609">
      <c r="A609" s="176" t="n"/>
      <c r="B609" s="176" t="n"/>
      <c r="C609" s="176" t="n"/>
      <c r="D609" s="176" t="n"/>
      <c r="E609" s="186" t="n"/>
      <c r="F609" s="209" t="n"/>
      <c r="G609" s="209" t="n"/>
      <c r="H609" s="209" t="n"/>
      <c r="I609" s="209" t="n"/>
      <c r="J609" s="209" t="n"/>
      <c r="K609" s="186" t="n"/>
      <c r="L609" s="176" t="n"/>
      <c r="M609" s="176" t="n"/>
      <c r="N609" s="176" t="n"/>
      <c r="O609" s="176" t="n"/>
      <c r="P609" s="176" t="n"/>
      <c r="Q609" s="176" t="n"/>
      <c r="R609" s="176" t="n"/>
      <c r="S609" s="176" t="n"/>
      <c r="T609" s="176" t="n"/>
      <c r="U609" s="176" t="n"/>
      <c r="V609" s="176" t="n"/>
      <c r="W609" s="176" t="n"/>
      <c r="X609" s="176" t="n"/>
      <c r="Y609" s="176" t="n"/>
      <c r="Z609" s="176" t="n"/>
      <c r="AA609" s="176" t="n"/>
      <c r="AB609" s="176" t="n"/>
    </row>
    <row r="610">
      <c r="A610" s="176" t="n"/>
      <c r="B610" s="176" t="n"/>
      <c r="C610" s="176" t="n"/>
      <c r="D610" s="176" t="n"/>
      <c r="E610" s="186" t="n"/>
      <c r="F610" s="209" t="n"/>
      <c r="G610" s="209" t="n"/>
      <c r="H610" s="209" t="n"/>
      <c r="I610" s="209" t="n"/>
      <c r="J610" s="209" t="n"/>
      <c r="K610" s="186" t="n"/>
      <c r="L610" s="176" t="n"/>
      <c r="M610" s="176" t="n"/>
      <c r="N610" s="176" t="n"/>
      <c r="O610" s="176" t="n"/>
      <c r="P610" s="176" t="n"/>
      <c r="Q610" s="176" t="n"/>
      <c r="R610" s="176" t="n"/>
      <c r="S610" s="176" t="n"/>
      <c r="T610" s="176" t="n"/>
      <c r="U610" s="176" t="n"/>
      <c r="V610" s="176" t="n"/>
      <c r="W610" s="176" t="n"/>
      <c r="X610" s="176" t="n"/>
      <c r="Y610" s="176" t="n"/>
      <c r="Z610" s="176" t="n"/>
      <c r="AA610" s="176" t="n"/>
      <c r="AB610" s="176" t="n"/>
    </row>
    <row r="611">
      <c r="A611" s="176" t="n"/>
      <c r="B611" s="176" t="n"/>
      <c r="C611" s="176" t="n"/>
      <c r="D611" s="176" t="n"/>
      <c r="E611" s="186" t="n"/>
      <c r="F611" s="209" t="n"/>
      <c r="G611" s="209" t="n"/>
      <c r="H611" s="209" t="n"/>
      <c r="I611" s="209" t="n"/>
      <c r="J611" s="209" t="n"/>
      <c r="K611" s="186" t="n"/>
      <c r="L611" s="176" t="n"/>
      <c r="M611" s="176" t="n"/>
      <c r="N611" s="176" t="n"/>
      <c r="O611" s="176" t="n"/>
      <c r="P611" s="176" t="n"/>
      <c r="Q611" s="176" t="n"/>
      <c r="R611" s="176" t="n"/>
      <c r="S611" s="176" t="n"/>
      <c r="T611" s="176" t="n"/>
      <c r="U611" s="176" t="n"/>
      <c r="V611" s="176" t="n"/>
      <c r="W611" s="176" t="n"/>
      <c r="X611" s="176" t="n"/>
      <c r="Y611" s="176" t="n"/>
      <c r="Z611" s="176" t="n"/>
      <c r="AA611" s="176" t="n"/>
      <c r="AB611" s="176" t="n"/>
    </row>
    <row r="612">
      <c r="A612" s="176" t="n"/>
      <c r="B612" s="176" t="n"/>
      <c r="C612" s="176" t="n"/>
      <c r="D612" s="176" t="n"/>
      <c r="E612" s="186" t="n"/>
      <c r="F612" s="209" t="n"/>
      <c r="G612" s="209" t="n"/>
      <c r="H612" s="209" t="n"/>
      <c r="I612" s="209" t="n"/>
      <c r="J612" s="209" t="n"/>
      <c r="K612" s="186" t="n"/>
      <c r="L612" s="176" t="n"/>
      <c r="M612" s="176" t="n"/>
      <c r="N612" s="176" t="n"/>
      <c r="O612" s="176" t="n"/>
      <c r="P612" s="176" t="n"/>
      <c r="Q612" s="176" t="n"/>
      <c r="R612" s="176" t="n"/>
      <c r="S612" s="176" t="n"/>
      <c r="T612" s="176" t="n"/>
      <c r="U612" s="176" t="n"/>
      <c r="V612" s="176" t="n"/>
      <c r="W612" s="176" t="n"/>
      <c r="X612" s="176" t="n"/>
      <c r="Y612" s="176" t="n"/>
      <c r="Z612" s="176" t="n"/>
      <c r="AA612" s="176" t="n"/>
      <c r="AB612" s="176" t="n"/>
    </row>
    <row r="613">
      <c r="A613" s="176" t="n"/>
      <c r="B613" s="176" t="n"/>
      <c r="C613" s="176" t="n"/>
      <c r="D613" s="176" t="n"/>
      <c r="E613" s="186" t="n"/>
      <c r="F613" s="209" t="n"/>
      <c r="G613" s="209" t="n"/>
      <c r="H613" s="209" t="n"/>
      <c r="I613" s="209" t="n"/>
      <c r="J613" s="209" t="n"/>
      <c r="K613" s="186" t="n"/>
      <c r="L613" s="176" t="n"/>
      <c r="M613" s="176" t="n"/>
      <c r="N613" s="176" t="n"/>
      <c r="O613" s="176" t="n"/>
      <c r="P613" s="176" t="n"/>
      <c r="Q613" s="176" t="n"/>
      <c r="R613" s="176" t="n"/>
      <c r="S613" s="176" t="n"/>
      <c r="T613" s="176" t="n"/>
      <c r="U613" s="176" t="n"/>
      <c r="V613" s="176" t="n"/>
      <c r="W613" s="176" t="n"/>
      <c r="X613" s="176" t="n"/>
      <c r="Y613" s="176" t="n"/>
      <c r="Z613" s="176" t="n"/>
      <c r="AA613" s="176" t="n"/>
      <c r="AB613" s="176" t="n"/>
    </row>
    <row r="614">
      <c r="A614" s="176" t="n"/>
      <c r="B614" s="176" t="n"/>
      <c r="C614" s="176" t="n"/>
      <c r="D614" s="176" t="n"/>
      <c r="E614" s="186" t="n"/>
      <c r="F614" s="209" t="n"/>
      <c r="G614" s="209" t="n"/>
      <c r="H614" s="209" t="n"/>
      <c r="I614" s="209" t="n"/>
      <c r="J614" s="209" t="n"/>
      <c r="K614" s="186" t="n"/>
      <c r="L614" s="176" t="n"/>
      <c r="M614" s="176" t="n"/>
      <c r="N614" s="176" t="n"/>
      <c r="O614" s="176" t="n"/>
      <c r="P614" s="176" t="n"/>
      <c r="Q614" s="176" t="n"/>
      <c r="R614" s="176" t="n"/>
      <c r="S614" s="176" t="n"/>
      <c r="T614" s="176" t="n"/>
      <c r="U614" s="176" t="n"/>
      <c r="V614" s="176" t="n"/>
      <c r="W614" s="176" t="n"/>
      <c r="X614" s="176" t="n"/>
      <c r="Y614" s="176" t="n"/>
      <c r="Z614" s="176" t="n"/>
      <c r="AA614" s="176" t="n"/>
      <c r="AB614" s="176" t="n"/>
    </row>
    <row r="615">
      <c r="A615" s="176" t="n"/>
      <c r="B615" s="176" t="n"/>
      <c r="C615" s="176" t="n"/>
      <c r="D615" s="176" t="n"/>
      <c r="E615" s="186" t="n"/>
      <c r="F615" s="209" t="n"/>
      <c r="G615" s="209" t="n"/>
      <c r="H615" s="209" t="n"/>
      <c r="I615" s="209" t="n"/>
      <c r="J615" s="209" t="n"/>
      <c r="K615" s="186" t="n"/>
      <c r="L615" s="176" t="n"/>
      <c r="M615" s="176" t="n"/>
      <c r="N615" s="176" t="n"/>
      <c r="O615" s="176" t="n"/>
      <c r="P615" s="176" t="n"/>
      <c r="Q615" s="176" t="n"/>
      <c r="R615" s="176" t="n"/>
      <c r="S615" s="176" t="n"/>
      <c r="T615" s="176" t="n"/>
      <c r="U615" s="176" t="n"/>
      <c r="V615" s="176" t="n"/>
      <c r="W615" s="176" t="n"/>
      <c r="X615" s="176" t="n"/>
      <c r="Y615" s="176" t="n"/>
      <c r="Z615" s="176" t="n"/>
      <c r="AA615" s="176" t="n"/>
      <c r="AB615" s="176" t="n"/>
    </row>
    <row r="616">
      <c r="A616" s="176" t="n"/>
      <c r="B616" s="176" t="n"/>
      <c r="C616" s="176" t="n"/>
      <c r="D616" s="176" t="n"/>
      <c r="E616" s="186" t="n"/>
      <c r="F616" s="209" t="n"/>
      <c r="G616" s="209" t="n"/>
      <c r="H616" s="209" t="n"/>
      <c r="I616" s="209" t="n"/>
      <c r="J616" s="209" t="n"/>
      <c r="K616" s="186" t="n"/>
      <c r="L616" s="176" t="n"/>
      <c r="M616" s="176" t="n"/>
      <c r="N616" s="176" t="n"/>
      <c r="O616" s="176" t="n"/>
      <c r="P616" s="176" t="n"/>
      <c r="Q616" s="176" t="n"/>
      <c r="R616" s="176" t="n"/>
      <c r="S616" s="176" t="n"/>
      <c r="T616" s="176" t="n"/>
      <c r="U616" s="176" t="n"/>
      <c r="V616" s="176" t="n"/>
      <c r="W616" s="176" t="n"/>
      <c r="X616" s="176" t="n"/>
      <c r="Y616" s="176" t="n"/>
      <c r="Z616" s="176" t="n"/>
      <c r="AA616" s="176" t="n"/>
      <c r="AB616" s="176" t="n"/>
    </row>
    <row r="617">
      <c r="A617" s="176" t="n"/>
      <c r="B617" s="176" t="n"/>
      <c r="C617" s="176" t="n"/>
      <c r="D617" s="176" t="n"/>
      <c r="E617" s="186" t="n"/>
      <c r="F617" s="209" t="n"/>
      <c r="G617" s="209" t="n"/>
      <c r="H617" s="209" t="n"/>
      <c r="I617" s="209" t="n"/>
      <c r="J617" s="209" t="n"/>
      <c r="K617" s="186" t="n"/>
      <c r="L617" s="176" t="n"/>
      <c r="M617" s="176" t="n"/>
      <c r="N617" s="176" t="n"/>
      <c r="O617" s="176" t="n"/>
      <c r="P617" s="176" t="n"/>
      <c r="Q617" s="176" t="n"/>
      <c r="R617" s="176" t="n"/>
      <c r="S617" s="176" t="n"/>
      <c r="T617" s="176" t="n"/>
      <c r="U617" s="176" t="n"/>
      <c r="V617" s="176" t="n"/>
      <c r="W617" s="176" t="n"/>
      <c r="X617" s="176" t="n"/>
      <c r="Y617" s="176" t="n"/>
      <c r="Z617" s="176" t="n"/>
      <c r="AA617" s="176" t="n"/>
      <c r="AB617" s="176" t="n"/>
    </row>
    <row r="618">
      <c r="A618" s="176" t="n"/>
      <c r="B618" s="176" t="n"/>
      <c r="C618" s="176" t="n"/>
      <c r="D618" s="176" t="n"/>
      <c r="E618" s="186" t="n"/>
      <c r="F618" s="209" t="n"/>
      <c r="G618" s="209" t="n"/>
      <c r="H618" s="209" t="n"/>
      <c r="I618" s="209" t="n"/>
      <c r="J618" s="209" t="n"/>
      <c r="K618" s="186" t="n"/>
      <c r="L618" s="176" t="n"/>
      <c r="M618" s="176" t="n"/>
      <c r="N618" s="176" t="n"/>
      <c r="O618" s="176" t="n"/>
      <c r="P618" s="176" t="n"/>
      <c r="Q618" s="176" t="n"/>
      <c r="R618" s="176" t="n"/>
      <c r="S618" s="176" t="n"/>
      <c r="T618" s="176" t="n"/>
      <c r="U618" s="176" t="n"/>
      <c r="V618" s="176" t="n"/>
      <c r="W618" s="176" t="n"/>
      <c r="X618" s="176" t="n"/>
      <c r="Y618" s="176" t="n"/>
      <c r="Z618" s="176" t="n"/>
      <c r="AA618" s="176" t="n"/>
      <c r="AB618" s="176" t="n"/>
    </row>
    <row r="619">
      <c r="A619" s="176" t="n"/>
      <c r="B619" s="176" t="n"/>
      <c r="C619" s="176" t="n"/>
      <c r="D619" s="176" t="n"/>
      <c r="E619" s="186" t="n"/>
      <c r="F619" s="209" t="n"/>
      <c r="G619" s="209" t="n"/>
      <c r="H619" s="209" t="n"/>
      <c r="I619" s="209" t="n"/>
      <c r="J619" s="209" t="n"/>
      <c r="K619" s="186" t="n"/>
      <c r="L619" s="176" t="n"/>
      <c r="M619" s="176" t="n"/>
      <c r="N619" s="176" t="n"/>
      <c r="O619" s="176" t="n"/>
      <c r="P619" s="176" t="n"/>
      <c r="Q619" s="176" t="n"/>
      <c r="R619" s="176" t="n"/>
      <c r="S619" s="176" t="n"/>
      <c r="T619" s="176" t="n"/>
      <c r="U619" s="176" t="n"/>
      <c r="V619" s="176" t="n"/>
      <c r="W619" s="176" t="n"/>
      <c r="X619" s="176" t="n"/>
      <c r="Y619" s="176" t="n"/>
      <c r="Z619" s="176" t="n"/>
      <c r="AA619" s="176" t="n"/>
      <c r="AB619" s="176" t="n"/>
    </row>
    <row r="620">
      <c r="A620" s="176" t="n"/>
      <c r="B620" s="176" t="n"/>
      <c r="C620" s="176" t="n"/>
      <c r="D620" s="176" t="n"/>
      <c r="E620" s="186" t="n"/>
      <c r="F620" s="209" t="n"/>
      <c r="G620" s="209" t="n"/>
      <c r="H620" s="209" t="n"/>
      <c r="I620" s="209" t="n"/>
      <c r="J620" s="209" t="n"/>
      <c r="K620" s="186" t="n"/>
      <c r="L620" s="176" t="n"/>
      <c r="M620" s="176" t="n"/>
      <c r="N620" s="176" t="n"/>
      <c r="O620" s="176" t="n"/>
      <c r="P620" s="176" t="n"/>
      <c r="Q620" s="176" t="n"/>
      <c r="R620" s="176" t="n"/>
      <c r="S620" s="176" t="n"/>
      <c r="T620" s="176" t="n"/>
      <c r="U620" s="176" t="n"/>
      <c r="V620" s="176" t="n"/>
      <c r="W620" s="176" t="n"/>
      <c r="X620" s="176" t="n"/>
      <c r="Y620" s="176" t="n"/>
      <c r="Z620" s="176" t="n"/>
      <c r="AA620" s="176" t="n"/>
      <c r="AB620" s="176" t="n"/>
    </row>
    <row r="621">
      <c r="A621" s="176" t="n"/>
      <c r="B621" s="176" t="n"/>
      <c r="C621" s="176" t="n"/>
      <c r="D621" s="176" t="n"/>
      <c r="E621" s="186" t="n"/>
      <c r="F621" s="209" t="n"/>
      <c r="G621" s="209" t="n"/>
      <c r="H621" s="209" t="n"/>
      <c r="I621" s="209" t="n"/>
      <c r="J621" s="209" t="n"/>
      <c r="K621" s="186" t="n"/>
      <c r="L621" s="176" t="n"/>
      <c r="M621" s="176" t="n"/>
      <c r="N621" s="176" t="n"/>
      <c r="O621" s="176" t="n"/>
      <c r="P621" s="176" t="n"/>
      <c r="Q621" s="176" t="n"/>
      <c r="R621" s="176" t="n"/>
      <c r="S621" s="176" t="n"/>
      <c r="T621" s="176" t="n"/>
      <c r="U621" s="176" t="n"/>
      <c r="V621" s="176" t="n"/>
      <c r="W621" s="176" t="n"/>
      <c r="X621" s="176" t="n"/>
      <c r="Y621" s="176" t="n"/>
      <c r="Z621" s="176" t="n"/>
      <c r="AA621" s="176" t="n"/>
      <c r="AB621" s="176" t="n"/>
    </row>
    <row r="622">
      <c r="A622" s="176" t="n"/>
      <c r="B622" s="176" t="n"/>
      <c r="C622" s="176" t="n"/>
      <c r="D622" s="176" t="n"/>
      <c r="E622" s="186" t="n"/>
      <c r="F622" s="209" t="n"/>
      <c r="G622" s="209" t="n"/>
      <c r="H622" s="209" t="n"/>
      <c r="I622" s="209" t="n"/>
      <c r="J622" s="209" t="n"/>
      <c r="K622" s="186" t="n"/>
      <c r="L622" s="176" t="n"/>
      <c r="M622" s="176" t="n"/>
      <c r="N622" s="176" t="n"/>
      <c r="O622" s="176" t="n"/>
      <c r="P622" s="176" t="n"/>
      <c r="Q622" s="176" t="n"/>
      <c r="R622" s="176" t="n"/>
      <c r="S622" s="176" t="n"/>
      <c r="T622" s="176" t="n"/>
      <c r="U622" s="176" t="n"/>
      <c r="V622" s="176" t="n"/>
      <c r="W622" s="176" t="n"/>
      <c r="X622" s="176" t="n"/>
      <c r="Y622" s="176" t="n"/>
      <c r="Z622" s="176" t="n"/>
      <c r="AA622" s="176" t="n"/>
      <c r="AB622" s="176" t="n"/>
    </row>
    <row r="623">
      <c r="A623" s="176" t="n"/>
      <c r="B623" s="176" t="n"/>
      <c r="C623" s="176" t="n"/>
      <c r="D623" s="176" t="n"/>
      <c r="E623" s="186" t="n"/>
      <c r="F623" s="209" t="n"/>
      <c r="G623" s="209" t="n"/>
      <c r="H623" s="209" t="n"/>
      <c r="I623" s="209" t="n"/>
      <c r="J623" s="209" t="n"/>
      <c r="K623" s="186" t="n"/>
      <c r="L623" s="176" t="n"/>
      <c r="M623" s="176" t="n"/>
      <c r="N623" s="176" t="n"/>
      <c r="O623" s="176" t="n"/>
      <c r="P623" s="176" t="n"/>
      <c r="Q623" s="176" t="n"/>
      <c r="R623" s="176" t="n"/>
      <c r="S623" s="176" t="n"/>
      <c r="T623" s="176" t="n"/>
      <c r="U623" s="176" t="n"/>
      <c r="V623" s="176" t="n"/>
      <c r="W623" s="176" t="n"/>
      <c r="X623" s="176" t="n"/>
      <c r="Y623" s="176" t="n"/>
      <c r="Z623" s="176" t="n"/>
      <c r="AA623" s="176" t="n"/>
      <c r="AB623" s="176" t="n"/>
    </row>
    <row r="624">
      <c r="A624" s="176" t="n"/>
      <c r="B624" s="176" t="n"/>
      <c r="C624" s="176" t="n"/>
      <c r="D624" s="176" t="n"/>
      <c r="E624" s="186" t="n"/>
      <c r="F624" s="209" t="n"/>
      <c r="G624" s="209" t="n"/>
      <c r="H624" s="209" t="n"/>
      <c r="I624" s="209" t="n"/>
      <c r="J624" s="209" t="n"/>
      <c r="K624" s="186" t="n"/>
      <c r="L624" s="176" t="n"/>
      <c r="M624" s="176" t="n"/>
      <c r="N624" s="176" t="n"/>
      <c r="O624" s="176" t="n"/>
      <c r="P624" s="176" t="n"/>
      <c r="Q624" s="176" t="n"/>
      <c r="R624" s="176" t="n"/>
      <c r="S624" s="176" t="n"/>
      <c r="T624" s="176" t="n"/>
      <c r="U624" s="176" t="n"/>
      <c r="V624" s="176" t="n"/>
      <c r="W624" s="176" t="n"/>
      <c r="X624" s="176" t="n"/>
      <c r="Y624" s="176" t="n"/>
      <c r="Z624" s="176" t="n"/>
      <c r="AA624" s="176" t="n"/>
      <c r="AB624" s="176" t="n"/>
    </row>
    <row r="625">
      <c r="A625" s="176" t="n"/>
      <c r="B625" s="176" t="n"/>
      <c r="C625" s="176" t="n"/>
      <c r="D625" s="176" t="n"/>
      <c r="E625" s="186" t="n"/>
      <c r="F625" s="209" t="n"/>
      <c r="G625" s="209" t="n"/>
      <c r="H625" s="209" t="n"/>
      <c r="I625" s="209" t="n"/>
      <c r="J625" s="209" t="n"/>
      <c r="K625" s="186" t="n"/>
      <c r="L625" s="176" t="n"/>
      <c r="M625" s="176" t="n"/>
      <c r="N625" s="176" t="n"/>
      <c r="O625" s="176" t="n"/>
      <c r="P625" s="176" t="n"/>
      <c r="Q625" s="176" t="n"/>
      <c r="R625" s="176" t="n"/>
      <c r="S625" s="176" t="n"/>
      <c r="T625" s="176" t="n"/>
      <c r="U625" s="176" t="n"/>
      <c r="V625" s="176" t="n"/>
      <c r="W625" s="176" t="n"/>
      <c r="X625" s="176" t="n"/>
      <c r="Y625" s="176" t="n"/>
      <c r="Z625" s="176" t="n"/>
      <c r="AA625" s="176" t="n"/>
      <c r="AB625" s="176" t="n"/>
    </row>
    <row r="626">
      <c r="A626" s="176" t="n"/>
      <c r="B626" s="176" t="n"/>
      <c r="C626" s="176" t="n"/>
      <c r="D626" s="176" t="n"/>
      <c r="E626" s="186" t="n"/>
      <c r="F626" s="209" t="n"/>
      <c r="G626" s="209" t="n"/>
      <c r="H626" s="209" t="n"/>
      <c r="I626" s="209" t="n"/>
      <c r="J626" s="209" t="n"/>
      <c r="K626" s="186" t="n"/>
      <c r="L626" s="176" t="n"/>
      <c r="M626" s="176" t="n"/>
      <c r="N626" s="176" t="n"/>
      <c r="O626" s="176" t="n"/>
      <c r="P626" s="176" t="n"/>
      <c r="Q626" s="176" t="n"/>
      <c r="R626" s="176" t="n"/>
      <c r="S626" s="176" t="n"/>
      <c r="T626" s="176" t="n"/>
      <c r="U626" s="176" t="n"/>
      <c r="V626" s="176" t="n"/>
      <c r="W626" s="176" t="n"/>
      <c r="X626" s="176" t="n"/>
      <c r="Y626" s="176" t="n"/>
      <c r="Z626" s="176" t="n"/>
      <c r="AA626" s="176" t="n"/>
      <c r="AB626" s="176" t="n"/>
    </row>
    <row r="627">
      <c r="A627" s="176" t="n"/>
      <c r="B627" s="176" t="n"/>
      <c r="C627" s="176" t="n"/>
      <c r="D627" s="176" t="n"/>
      <c r="E627" s="186" t="n"/>
      <c r="F627" s="209" t="n"/>
      <c r="G627" s="209" t="n"/>
      <c r="H627" s="209" t="n"/>
      <c r="I627" s="209" t="n"/>
      <c r="J627" s="209" t="n"/>
      <c r="K627" s="186" t="n"/>
      <c r="L627" s="176" t="n"/>
      <c r="M627" s="176" t="n"/>
      <c r="N627" s="176" t="n"/>
      <c r="O627" s="176" t="n"/>
      <c r="P627" s="176" t="n"/>
      <c r="Q627" s="176" t="n"/>
      <c r="R627" s="176" t="n"/>
      <c r="S627" s="176" t="n"/>
      <c r="T627" s="176" t="n"/>
      <c r="U627" s="176" t="n"/>
      <c r="V627" s="176" t="n"/>
      <c r="W627" s="176" t="n"/>
      <c r="X627" s="176" t="n"/>
      <c r="Y627" s="176" t="n"/>
      <c r="Z627" s="176" t="n"/>
      <c r="AA627" s="176" t="n"/>
      <c r="AB627" s="176" t="n"/>
    </row>
    <row r="628">
      <c r="A628" s="176" t="n"/>
      <c r="B628" s="176" t="n"/>
      <c r="C628" s="176" t="n"/>
      <c r="D628" s="176" t="n"/>
      <c r="E628" s="186" t="n"/>
      <c r="F628" s="209" t="n"/>
      <c r="G628" s="209" t="n"/>
      <c r="H628" s="209" t="n"/>
      <c r="I628" s="209" t="n"/>
      <c r="J628" s="209" t="n"/>
      <c r="K628" s="186" t="n"/>
      <c r="L628" s="176" t="n"/>
      <c r="M628" s="176" t="n"/>
      <c r="N628" s="176" t="n"/>
      <c r="O628" s="176" t="n"/>
      <c r="P628" s="176" t="n"/>
      <c r="Q628" s="176" t="n"/>
      <c r="R628" s="176" t="n"/>
      <c r="S628" s="176" t="n"/>
      <c r="T628" s="176" t="n"/>
      <c r="U628" s="176" t="n"/>
      <c r="V628" s="176" t="n"/>
      <c r="W628" s="176" t="n"/>
      <c r="X628" s="176" t="n"/>
      <c r="Y628" s="176" t="n"/>
      <c r="Z628" s="176" t="n"/>
      <c r="AA628" s="176" t="n"/>
      <c r="AB628" s="176" t="n"/>
    </row>
    <row r="629">
      <c r="A629" s="176" t="n"/>
      <c r="B629" s="176" t="n"/>
      <c r="C629" s="176" t="n"/>
      <c r="D629" s="176" t="n"/>
      <c r="E629" s="186" t="n"/>
      <c r="F629" s="209" t="n"/>
      <c r="G629" s="209" t="n"/>
      <c r="H629" s="209" t="n"/>
      <c r="I629" s="209" t="n"/>
      <c r="J629" s="209" t="n"/>
      <c r="K629" s="186" t="n"/>
      <c r="L629" s="176" t="n"/>
      <c r="M629" s="176" t="n"/>
      <c r="N629" s="176" t="n"/>
      <c r="O629" s="176" t="n"/>
      <c r="P629" s="176" t="n"/>
      <c r="Q629" s="176" t="n"/>
      <c r="R629" s="176" t="n"/>
      <c r="S629" s="176" t="n"/>
      <c r="T629" s="176" t="n"/>
      <c r="U629" s="176" t="n"/>
      <c r="V629" s="176" t="n"/>
      <c r="W629" s="176" t="n"/>
      <c r="X629" s="176" t="n"/>
      <c r="Y629" s="176" t="n"/>
      <c r="Z629" s="176" t="n"/>
      <c r="AA629" s="176" t="n"/>
      <c r="AB629" s="176" t="n"/>
    </row>
    <row r="630">
      <c r="A630" s="176" t="n"/>
      <c r="B630" s="176" t="n"/>
      <c r="C630" s="176" t="n"/>
      <c r="D630" s="176" t="n"/>
      <c r="E630" s="186" t="n"/>
      <c r="F630" s="209" t="n"/>
      <c r="G630" s="209" t="n"/>
      <c r="H630" s="209" t="n"/>
      <c r="I630" s="209" t="n"/>
      <c r="J630" s="209" t="n"/>
      <c r="K630" s="186" t="n"/>
      <c r="L630" s="176" t="n"/>
      <c r="M630" s="176" t="n"/>
      <c r="N630" s="176" t="n"/>
      <c r="O630" s="176" t="n"/>
      <c r="P630" s="176" t="n"/>
      <c r="Q630" s="176" t="n"/>
      <c r="R630" s="176" t="n"/>
      <c r="S630" s="176" t="n"/>
      <c r="T630" s="176" t="n"/>
      <c r="U630" s="176" t="n"/>
      <c r="V630" s="176" t="n"/>
      <c r="W630" s="176" t="n"/>
      <c r="X630" s="176" t="n"/>
      <c r="Y630" s="176" t="n"/>
      <c r="Z630" s="176" t="n"/>
      <c r="AA630" s="176" t="n"/>
      <c r="AB630" s="176" t="n"/>
    </row>
    <row r="631">
      <c r="A631" s="176" t="n"/>
      <c r="B631" s="176" t="n"/>
      <c r="C631" s="176" t="n"/>
      <c r="D631" s="176" t="n"/>
      <c r="E631" s="186" t="n"/>
      <c r="F631" s="209" t="n"/>
      <c r="G631" s="209" t="n"/>
      <c r="H631" s="209" t="n"/>
      <c r="I631" s="209" t="n"/>
      <c r="J631" s="209" t="n"/>
      <c r="K631" s="186" t="n"/>
      <c r="L631" s="176" t="n"/>
      <c r="M631" s="176" t="n"/>
      <c r="N631" s="176" t="n"/>
      <c r="O631" s="176" t="n"/>
      <c r="P631" s="176" t="n"/>
      <c r="Q631" s="176" t="n"/>
      <c r="R631" s="176" t="n"/>
      <c r="S631" s="176" t="n"/>
      <c r="T631" s="176" t="n"/>
      <c r="U631" s="176" t="n"/>
      <c r="V631" s="176" t="n"/>
      <c r="W631" s="176" t="n"/>
      <c r="X631" s="176" t="n"/>
      <c r="Y631" s="176" t="n"/>
      <c r="Z631" s="176" t="n"/>
      <c r="AA631" s="176" t="n"/>
      <c r="AB631" s="176" t="n"/>
    </row>
    <row r="632">
      <c r="A632" s="176" t="n"/>
      <c r="B632" s="176" t="n"/>
      <c r="C632" s="176" t="n"/>
      <c r="D632" s="176" t="n"/>
      <c r="E632" s="186" t="n"/>
      <c r="F632" s="209" t="n"/>
      <c r="G632" s="209" t="n"/>
      <c r="H632" s="209" t="n"/>
      <c r="I632" s="209" t="n"/>
      <c r="J632" s="209" t="n"/>
      <c r="K632" s="186" t="n"/>
      <c r="L632" s="176" t="n"/>
      <c r="M632" s="176" t="n"/>
      <c r="N632" s="176" t="n"/>
      <c r="O632" s="176" t="n"/>
      <c r="P632" s="176" t="n"/>
      <c r="Q632" s="176" t="n"/>
      <c r="R632" s="176" t="n"/>
      <c r="S632" s="176" t="n"/>
      <c r="T632" s="176" t="n"/>
      <c r="U632" s="176" t="n"/>
      <c r="V632" s="176" t="n"/>
      <c r="W632" s="176" t="n"/>
      <c r="X632" s="176" t="n"/>
      <c r="Y632" s="176" t="n"/>
      <c r="Z632" s="176" t="n"/>
      <c r="AA632" s="176" t="n"/>
      <c r="AB632" s="176" t="n"/>
    </row>
    <row r="633">
      <c r="A633" s="176" t="n"/>
      <c r="B633" s="176" t="n"/>
      <c r="C633" s="176" t="n"/>
      <c r="D633" s="176" t="n"/>
      <c r="E633" s="186" t="n"/>
      <c r="F633" s="209" t="n"/>
      <c r="G633" s="209" t="n"/>
      <c r="H633" s="209" t="n"/>
      <c r="I633" s="209" t="n"/>
      <c r="J633" s="209" t="n"/>
      <c r="K633" s="186" t="n"/>
      <c r="L633" s="176" t="n"/>
      <c r="M633" s="176" t="n"/>
      <c r="N633" s="176" t="n"/>
      <c r="O633" s="176" t="n"/>
      <c r="P633" s="176" t="n"/>
      <c r="Q633" s="176" t="n"/>
      <c r="R633" s="176" t="n"/>
      <c r="S633" s="176" t="n"/>
      <c r="T633" s="176" t="n"/>
      <c r="U633" s="176" t="n"/>
      <c r="V633" s="176" t="n"/>
      <c r="W633" s="176" t="n"/>
      <c r="X633" s="176" t="n"/>
      <c r="Y633" s="176" t="n"/>
      <c r="Z633" s="176" t="n"/>
      <c r="AA633" s="176" t="n"/>
      <c r="AB633" s="176" t="n"/>
    </row>
    <row r="634">
      <c r="A634" s="176" t="n"/>
      <c r="B634" s="176" t="n"/>
      <c r="C634" s="176" t="n"/>
      <c r="D634" s="176" t="n"/>
      <c r="E634" s="186" t="n"/>
      <c r="F634" s="209" t="n"/>
      <c r="G634" s="209" t="n"/>
      <c r="H634" s="209" t="n"/>
      <c r="I634" s="209" t="n"/>
      <c r="J634" s="209" t="n"/>
      <c r="K634" s="186" t="n"/>
      <c r="L634" s="176" t="n"/>
      <c r="M634" s="176" t="n"/>
      <c r="N634" s="176" t="n"/>
      <c r="O634" s="176" t="n"/>
      <c r="P634" s="176" t="n"/>
      <c r="Q634" s="176" t="n"/>
      <c r="R634" s="176" t="n"/>
      <c r="S634" s="176" t="n"/>
      <c r="T634" s="176" t="n"/>
      <c r="U634" s="176" t="n"/>
      <c r="V634" s="176" t="n"/>
      <c r="W634" s="176" t="n"/>
      <c r="X634" s="176" t="n"/>
      <c r="Y634" s="176" t="n"/>
      <c r="Z634" s="176" t="n"/>
      <c r="AA634" s="176" t="n"/>
      <c r="AB634" s="176" t="n"/>
    </row>
    <row r="635">
      <c r="A635" s="176" t="n"/>
      <c r="B635" s="176" t="n"/>
      <c r="C635" s="176" t="n"/>
      <c r="D635" s="176" t="n"/>
      <c r="E635" s="186" t="n"/>
      <c r="F635" s="209" t="n"/>
      <c r="G635" s="209" t="n"/>
      <c r="H635" s="209" t="n"/>
      <c r="I635" s="209" t="n"/>
      <c r="J635" s="209" t="n"/>
      <c r="K635" s="186" t="n"/>
      <c r="L635" s="176" t="n"/>
      <c r="M635" s="176" t="n"/>
      <c r="N635" s="176" t="n"/>
      <c r="O635" s="176" t="n"/>
      <c r="P635" s="176" t="n"/>
      <c r="Q635" s="176" t="n"/>
      <c r="R635" s="176" t="n"/>
      <c r="S635" s="176" t="n"/>
      <c r="T635" s="176" t="n"/>
      <c r="U635" s="176" t="n"/>
      <c r="V635" s="176" t="n"/>
      <c r="W635" s="176" t="n"/>
      <c r="X635" s="176" t="n"/>
      <c r="Y635" s="176" t="n"/>
      <c r="Z635" s="176" t="n"/>
      <c r="AA635" s="176" t="n"/>
      <c r="AB635" s="176" t="n"/>
    </row>
    <row r="636">
      <c r="A636" s="176" t="n"/>
      <c r="B636" s="176" t="n"/>
      <c r="C636" s="176" t="n"/>
      <c r="D636" s="176" t="n"/>
      <c r="E636" s="186" t="n"/>
      <c r="F636" s="209" t="n"/>
      <c r="G636" s="209" t="n"/>
      <c r="H636" s="209" t="n"/>
      <c r="I636" s="209" t="n"/>
      <c r="J636" s="209" t="n"/>
      <c r="K636" s="186" t="n"/>
      <c r="L636" s="176" t="n"/>
      <c r="M636" s="176" t="n"/>
      <c r="N636" s="176" t="n"/>
      <c r="O636" s="176" t="n"/>
      <c r="P636" s="176" t="n"/>
      <c r="Q636" s="176" t="n"/>
      <c r="R636" s="176" t="n"/>
      <c r="S636" s="176" t="n"/>
      <c r="T636" s="176" t="n"/>
      <c r="U636" s="176" t="n"/>
      <c r="V636" s="176" t="n"/>
      <c r="W636" s="176" t="n"/>
      <c r="X636" s="176" t="n"/>
      <c r="Y636" s="176" t="n"/>
      <c r="Z636" s="176" t="n"/>
      <c r="AA636" s="176" t="n"/>
      <c r="AB636" s="176" t="n"/>
    </row>
    <row r="637">
      <c r="A637" s="176" t="n"/>
      <c r="B637" s="176" t="n"/>
      <c r="C637" s="176" t="n"/>
      <c r="D637" s="176" t="n"/>
      <c r="E637" s="186" t="n"/>
      <c r="F637" s="209" t="n"/>
      <c r="G637" s="209" t="n"/>
      <c r="H637" s="209" t="n"/>
      <c r="I637" s="209" t="n"/>
      <c r="J637" s="209" t="n"/>
      <c r="K637" s="186" t="n"/>
      <c r="L637" s="176" t="n"/>
      <c r="M637" s="176" t="n"/>
      <c r="N637" s="176" t="n"/>
      <c r="O637" s="176" t="n"/>
      <c r="P637" s="176" t="n"/>
      <c r="Q637" s="176" t="n"/>
      <c r="R637" s="176" t="n"/>
      <c r="S637" s="176" t="n"/>
      <c r="T637" s="176" t="n"/>
      <c r="U637" s="176" t="n"/>
      <c r="V637" s="176" t="n"/>
      <c r="W637" s="176" t="n"/>
      <c r="X637" s="176" t="n"/>
      <c r="Y637" s="176" t="n"/>
      <c r="Z637" s="176" t="n"/>
      <c r="AA637" s="176" t="n"/>
      <c r="AB637" s="176" t="n"/>
    </row>
    <row r="638">
      <c r="A638" s="176" t="n"/>
      <c r="B638" s="176" t="n"/>
      <c r="C638" s="176" t="n"/>
      <c r="D638" s="176" t="n"/>
      <c r="E638" s="186" t="n"/>
      <c r="F638" s="209" t="n"/>
      <c r="G638" s="209" t="n"/>
      <c r="H638" s="209" t="n"/>
      <c r="I638" s="209" t="n"/>
      <c r="J638" s="209" t="n"/>
      <c r="K638" s="186" t="n"/>
      <c r="L638" s="176" t="n"/>
      <c r="M638" s="176" t="n"/>
      <c r="N638" s="176" t="n"/>
      <c r="O638" s="176" t="n"/>
      <c r="P638" s="176" t="n"/>
      <c r="Q638" s="176" t="n"/>
      <c r="R638" s="176" t="n"/>
      <c r="S638" s="176" t="n"/>
      <c r="T638" s="176" t="n"/>
      <c r="U638" s="176" t="n"/>
      <c r="V638" s="176" t="n"/>
      <c r="W638" s="176" t="n"/>
      <c r="X638" s="176" t="n"/>
      <c r="Y638" s="176" t="n"/>
      <c r="Z638" s="176" t="n"/>
      <c r="AA638" s="176" t="n"/>
      <c r="AB638" s="176" t="n"/>
    </row>
    <row r="639">
      <c r="A639" s="176" t="n"/>
      <c r="B639" s="176" t="n"/>
      <c r="C639" s="176" t="n"/>
      <c r="D639" s="176" t="n"/>
      <c r="E639" s="186" t="n"/>
      <c r="F639" s="209" t="n"/>
      <c r="G639" s="209" t="n"/>
      <c r="H639" s="209" t="n"/>
      <c r="I639" s="209" t="n"/>
      <c r="J639" s="209" t="n"/>
      <c r="K639" s="186" t="n"/>
      <c r="L639" s="176" t="n"/>
      <c r="M639" s="176" t="n"/>
      <c r="N639" s="176" t="n"/>
      <c r="O639" s="176" t="n"/>
      <c r="P639" s="176" t="n"/>
      <c r="Q639" s="176" t="n"/>
      <c r="R639" s="176" t="n"/>
      <c r="S639" s="176" t="n"/>
      <c r="T639" s="176" t="n"/>
      <c r="U639" s="176" t="n"/>
      <c r="V639" s="176" t="n"/>
      <c r="W639" s="176" t="n"/>
      <c r="X639" s="176" t="n"/>
      <c r="Y639" s="176" t="n"/>
      <c r="Z639" s="176" t="n"/>
      <c r="AA639" s="176" t="n"/>
      <c r="AB639" s="176" t="n"/>
    </row>
    <row r="640">
      <c r="A640" s="176" t="n"/>
      <c r="B640" s="176" t="n"/>
      <c r="C640" s="176" t="n"/>
      <c r="D640" s="176" t="n"/>
      <c r="E640" s="186" t="n"/>
      <c r="F640" s="209" t="n"/>
      <c r="G640" s="209" t="n"/>
      <c r="H640" s="209" t="n"/>
      <c r="I640" s="209" t="n"/>
      <c r="J640" s="209" t="n"/>
      <c r="K640" s="186" t="n"/>
      <c r="L640" s="176" t="n"/>
      <c r="M640" s="176" t="n"/>
      <c r="N640" s="176" t="n"/>
      <c r="O640" s="176" t="n"/>
      <c r="P640" s="176" t="n"/>
      <c r="Q640" s="176" t="n"/>
      <c r="R640" s="176" t="n"/>
      <c r="S640" s="176" t="n"/>
      <c r="T640" s="176" t="n"/>
      <c r="U640" s="176" t="n"/>
      <c r="V640" s="176" t="n"/>
      <c r="W640" s="176" t="n"/>
      <c r="X640" s="176" t="n"/>
      <c r="Y640" s="176" t="n"/>
      <c r="Z640" s="176" t="n"/>
      <c r="AA640" s="176" t="n"/>
      <c r="AB640" s="176" t="n"/>
    </row>
    <row r="641">
      <c r="A641" s="176" t="n"/>
      <c r="B641" s="176" t="n"/>
      <c r="C641" s="176" t="n"/>
      <c r="D641" s="176" t="n"/>
      <c r="E641" s="186" t="n"/>
      <c r="F641" s="209" t="n"/>
      <c r="G641" s="209" t="n"/>
      <c r="H641" s="209" t="n"/>
      <c r="I641" s="209" t="n"/>
      <c r="J641" s="209" t="n"/>
      <c r="K641" s="186" t="n"/>
      <c r="L641" s="176" t="n"/>
      <c r="M641" s="176" t="n"/>
      <c r="N641" s="176" t="n"/>
      <c r="O641" s="176" t="n"/>
      <c r="P641" s="176" t="n"/>
      <c r="Q641" s="176" t="n"/>
      <c r="R641" s="176" t="n"/>
      <c r="S641" s="176" t="n"/>
      <c r="T641" s="176" t="n"/>
      <c r="U641" s="176" t="n"/>
      <c r="V641" s="176" t="n"/>
      <c r="W641" s="176" t="n"/>
      <c r="X641" s="176" t="n"/>
      <c r="Y641" s="176" t="n"/>
      <c r="Z641" s="176" t="n"/>
      <c r="AA641" s="176" t="n"/>
      <c r="AB641" s="176" t="n"/>
    </row>
    <row r="642">
      <c r="A642" s="176" t="n"/>
      <c r="B642" s="176" t="n"/>
      <c r="C642" s="176" t="n"/>
      <c r="D642" s="176" t="n"/>
      <c r="E642" s="186" t="n"/>
      <c r="F642" s="209" t="n"/>
      <c r="G642" s="209" t="n"/>
      <c r="H642" s="209" t="n"/>
      <c r="I642" s="209" t="n"/>
      <c r="J642" s="209" t="n"/>
      <c r="K642" s="186" t="n"/>
      <c r="L642" s="176" t="n"/>
      <c r="M642" s="176" t="n"/>
      <c r="N642" s="176" t="n"/>
      <c r="O642" s="176" t="n"/>
      <c r="P642" s="176" t="n"/>
      <c r="Q642" s="176" t="n"/>
      <c r="R642" s="176" t="n"/>
      <c r="S642" s="176" t="n"/>
      <c r="T642" s="176" t="n"/>
      <c r="U642" s="176" t="n"/>
      <c r="V642" s="176" t="n"/>
      <c r="W642" s="176" t="n"/>
      <c r="X642" s="176" t="n"/>
      <c r="Y642" s="176" t="n"/>
      <c r="Z642" s="176" t="n"/>
      <c r="AA642" s="176" t="n"/>
      <c r="AB642" s="176" t="n"/>
    </row>
    <row r="643">
      <c r="A643" s="176" t="n"/>
      <c r="B643" s="176" t="n"/>
      <c r="C643" s="176" t="n"/>
      <c r="D643" s="176" t="n"/>
      <c r="E643" s="186" t="n"/>
      <c r="F643" s="209" t="n"/>
      <c r="G643" s="209" t="n"/>
      <c r="H643" s="209" t="n"/>
      <c r="I643" s="209" t="n"/>
      <c r="J643" s="209" t="n"/>
      <c r="K643" s="186" t="n"/>
      <c r="L643" s="176" t="n"/>
      <c r="M643" s="176" t="n"/>
      <c r="N643" s="176" t="n"/>
      <c r="O643" s="176" t="n"/>
      <c r="P643" s="176" t="n"/>
      <c r="Q643" s="176" t="n"/>
      <c r="R643" s="176" t="n"/>
      <c r="S643" s="176" t="n"/>
      <c r="T643" s="176" t="n"/>
      <c r="U643" s="176" t="n"/>
      <c r="V643" s="176" t="n"/>
      <c r="W643" s="176" t="n"/>
      <c r="X643" s="176" t="n"/>
      <c r="Y643" s="176" t="n"/>
      <c r="Z643" s="176" t="n"/>
      <c r="AA643" s="176" t="n"/>
      <c r="AB643" s="176" t="n"/>
    </row>
    <row r="644">
      <c r="A644" s="176" t="n"/>
      <c r="B644" s="176" t="n"/>
      <c r="C644" s="176" t="n"/>
      <c r="D644" s="176" t="n"/>
      <c r="E644" s="186" t="n"/>
      <c r="F644" s="209" t="n"/>
      <c r="G644" s="209" t="n"/>
      <c r="H644" s="209" t="n"/>
      <c r="I644" s="209" t="n"/>
      <c r="J644" s="209" t="n"/>
      <c r="K644" s="186" t="n"/>
      <c r="L644" s="176" t="n"/>
      <c r="M644" s="176" t="n"/>
      <c r="N644" s="176" t="n"/>
      <c r="O644" s="176" t="n"/>
      <c r="P644" s="176" t="n"/>
      <c r="Q644" s="176" t="n"/>
      <c r="R644" s="176" t="n"/>
      <c r="S644" s="176" t="n"/>
      <c r="T644" s="176" t="n"/>
      <c r="U644" s="176" t="n"/>
      <c r="V644" s="176" t="n"/>
      <c r="W644" s="176" t="n"/>
      <c r="X644" s="176" t="n"/>
      <c r="Y644" s="176" t="n"/>
      <c r="Z644" s="176" t="n"/>
      <c r="AA644" s="176" t="n"/>
      <c r="AB644" s="176" t="n"/>
    </row>
    <row r="645">
      <c r="A645" s="176" t="n"/>
      <c r="B645" s="176" t="n"/>
      <c r="C645" s="176" t="n"/>
      <c r="D645" s="176" t="n"/>
      <c r="E645" s="186" t="n"/>
      <c r="F645" s="209" t="n"/>
      <c r="G645" s="209" t="n"/>
      <c r="H645" s="209" t="n"/>
      <c r="I645" s="209" t="n"/>
      <c r="J645" s="209" t="n"/>
      <c r="K645" s="186" t="n"/>
      <c r="L645" s="176" t="n"/>
      <c r="M645" s="176" t="n"/>
      <c r="N645" s="176" t="n"/>
      <c r="O645" s="176" t="n"/>
      <c r="P645" s="176" t="n"/>
      <c r="Q645" s="176" t="n"/>
      <c r="R645" s="176" t="n"/>
      <c r="S645" s="176" t="n"/>
      <c r="T645" s="176" t="n"/>
      <c r="U645" s="176" t="n"/>
      <c r="V645" s="176" t="n"/>
      <c r="W645" s="176" t="n"/>
      <c r="X645" s="176" t="n"/>
      <c r="Y645" s="176" t="n"/>
      <c r="Z645" s="176" t="n"/>
      <c r="AA645" s="176" t="n"/>
      <c r="AB645" s="176" t="n"/>
    </row>
    <row r="646">
      <c r="A646" s="176" t="n"/>
      <c r="B646" s="176" t="n"/>
      <c r="C646" s="176" t="n"/>
      <c r="D646" s="176" t="n"/>
      <c r="E646" s="186" t="n"/>
      <c r="F646" s="209" t="n"/>
      <c r="G646" s="209" t="n"/>
      <c r="H646" s="209" t="n"/>
      <c r="I646" s="209" t="n"/>
      <c r="J646" s="209" t="n"/>
      <c r="K646" s="186" t="n"/>
      <c r="L646" s="176" t="n"/>
      <c r="M646" s="176" t="n"/>
      <c r="N646" s="176" t="n"/>
      <c r="O646" s="176" t="n"/>
      <c r="P646" s="176" t="n"/>
      <c r="Q646" s="176" t="n"/>
      <c r="R646" s="176" t="n"/>
      <c r="S646" s="176" t="n"/>
      <c r="T646" s="176" t="n"/>
      <c r="U646" s="176" t="n"/>
      <c r="V646" s="176" t="n"/>
      <c r="W646" s="176" t="n"/>
      <c r="X646" s="176" t="n"/>
      <c r="Y646" s="176" t="n"/>
      <c r="Z646" s="176" t="n"/>
      <c r="AA646" s="176" t="n"/>
      <c r="AB646" s="176" t="n"/>
    </row>
    <row r="647">
      <c r="A647" s="176" t="n"/>
      <c r="B647" s="176" t="n"/>
      <c r="C647" s="176" t="n"/>
      <c r="D647" s="176" t="n"/>
      <c r="E647" s="186" t="n"/>
      <c r="F647" s="209" t="n"/>
      <c r="G647" s="209" t="n"/>
      <c r="H647" s="209" t="n"/>
      <c r="I647" s="209" t="n"/>
      <c r="J647" s="209" t="n"/>
      <c r="K647" s="186" t="n"/>
      <c r="L647" s="176" t="n"/>
      <c r="M647" s="176" t="n"/>
      <c r="N647" s="176" t="n"/>
      <c r="O647" s="176" t="n"/>
      <c r="P647" s="176" t="n"/>
      <c r="Q647" s="176" t="n"/>
      <c r="R647" s="176" t="n"/>
      <c r="S647" s="176" t="n"/>
      <c r="T647" s="176" t="n"/>
      <c r="U647" s="176" t="n"/>
      <c r="V647" s="176" t="n"/>
      <c r="W647" s="176" t="n"/>
      <c r="X647" s="176" t="n"/>
      <c r="Y647" s="176" t="n"/>
      <c r="Z647" s="176" t="n"/>
      <c r="AA647" s="176" t="n"/>
      <c r="AB647" s="176" t="n"/>
    </row>
    <row r="648">
      <c r="A648" s="176" t="n"/>
      <c r="B648" s="176" t="n"/>
      <c r="C648" s="176" t="n"/>
      <c r="D648" s="176" t="n"/>
      <c r="E648" s="186" t="n"/>
      <c r="F648" s="209" t="n"/>
      <c r="G648" s="209" t="n"/>
      <c r="H648" s="209" t="n"/>
      <c r="I648" s="209" t="n"/>
      <c r="J648" s="209" t="n"/>
      <c r="K648" s="186" t="n"/>
      <c r="L648" s="176" t="n"/>
      <c r="M648" s="176" t="n"/>
      <c r="N648" s="176" t="n"/>
      <c r="O648" s="176" t="n"/>
      <c r="P648" s="176" t="n"/>
      <c r="Q648" s="176" t="n"/>
      <c r="R648" s="176" t="n"/>
      <c r="S648" s="176" t="n"/>
      <c r="T648" s="176" t="n"/>
      <c r="U648" s="176" t="n"/>
      <c r="V648" s="176" t="n"/>
      <c r="W648" s="176" t="n"/>
      <c r="X648" s="176" t="n"/>
      <c r="Y648" s="176" t="n"/>
      <c r="Z648" s="176" t="n"/>
      <c r="AA648" s="176" t="n"/>
      <c r="AB648" s="176" t="n"/>
    </row>
    <row r="649">
      <c r="A649" s="176" t="n"/>
      <c r="B649" s="176" t="n"/>
      <c r="C649" s="176" t="n"/>
      <c r="D649" s="176" t="n"/>
      <c r="E649" s="186" t="n"/>
      <c r="F649" s="209" t="n"/>
      <c r="G649" s="209" t="n"/>
      <c r="H649" s="209" t="n"/>
      <c r="I649" s="209" t="n"/>
      <c r="J649" s="209" t="n"/>
      <c r="K649" s="186" t="n"/>
      <c r="L649" s="176" t="n"/>
      <c r="M649" s="176" t="n"/>
      <c r="N649" s="176" t="n"/>
      <c r="O649" s="176" t="n"/>
      <c r="P649" s="176" t="n"/>
      <c r="Q649" s="176" t="n"/>
      <c r="R649" s="176" t="n"/>
      <c r="S649" s="176" t="n"/>
      <c r="T649" s="176" t="n"/>
      <c r="U649" s="176" t="n"/>
      <c r="V649" s="176" t="n"/>
      <c r="W649" s="176" t="n"/>
      <c r="X649" s="176" t="n"/>
      <c r="Y649" s="176" t="n"/>
      <c r="Z649" s="176" t="n"/>
      <c r="AA649" s="176" t="n"/>
      <c r="AB649" s="176" t="n"/>
    </row>
    <row r="650">
      <c r="A650" s="176" t="n"/>
      <c r="B650" s="176" t="n"/>
      <c r="C650" s="176" t="n"/>
      <c r="D650" s="176" t="n"/>
      <c r="E650" s="186" t="n"/>
      <c r="F650" s="209" t="n"/>
      <c r="G650" s="209" t="n"/>
      <c r="H650" s="209" t="n"/>
      <c r="I650" s="209" t="n"/>
      <c r="J650" s="209" t="n"/>
      <c r="K650" s="186" t="n"/>
      <c r="L650" s="176" t="n"/>
      <c r="M650" s="176" t="n"/>
      <c r="N650" s="176" t="n"/>
      <c r="O650" s="176" t="n"/>
      <c r="P650" s="176" t="n"/>
      <c r="Q650" s="176" t="n"/>
      <c r="R650" s="176" t="n"/>
      <c r="S650" s="176" t="n"/>
      <c r="T650" s="176" t="n"/>
      <c r="U650" s="176" t="n"/>
      <c r="V650" s="176" t="n"/>
      <c r="W650" s="176" t="n"/>
      <c r="X650" s="176" t="n"/>
      <c r="Y650" s="176" t="n"/>
      <c r="Z650" s="176" t="n"/>
      <c r="AA650" s="176" t="n"/>
      <c r="AB650" s="176" t="n"/>
    </row>
    <row r="651">
      <c r="A651" s="176" t="n"/>
      <c r="B651" s="176" t="n"/>
      <c r="C651" s="176" t="n"/>
      <c r="D651" s="176" t="n"/>
      <c r="E651" s="186" t="n"/>
      <c r="F651" s="209" t="n"/>
      <c r="G651" s="209" t="n"/>
      <c r="H651" s="209" t="n"/>
      <c r="I651" s="209" t="n"/>
      <c r="J651" s="209" t="n"/>
      <c r="K651" s="186" t="n"/>
      <c r="L651" s="176" t="n"/>
      <c r="M651" s="176" t="n"/>
      <c r="N651" s="176" t="n"/>
      <c r="O651" s="176" t="n"/>
      <c r="P651" s="176" t="n"/>
      <c r="Q651" s="176" t="n"/>
      <c r="R651" s="176" t="n"/>
      <c r="S651" s="176" t="n"/>
      <c r="T651" s="176" t="n"/>
      <c r="U651" s="176" t="n"/>
      <c r="V651" s="176" t="n"/>
      <c r="W651" s="176" t="n"/>
      <c r="X651" s="176" t="n"/>
      <c r="Y651" s="176" t="n"/>
      <c r="Z651" s="176" t="n"/>
      <c r="AA651" s="176" t="n"/>
      <c r="AB651" s="176" t="n"/>
    </row>
    <row r="652">
      <c r="A652" s="176" t="n"/>
      <c r="B652" s="176" t="n"/>
      <c r="C652" s="176" t="n"/>
      <c r="D652" s="176" t="n"/>
      <c r="E652" s="186" t="n"/>
      <c r="F652" s="209" t="n"/>
      <c r="G652" s="209" t="n"/>
      <c r="H652" s="209" t="n"/>
      <c r="I652" s="209" t="n"/>
      <c r="J652" s="209" t="n"/>
      <c r="K652" s="186" t="n"/>
      <c r="L652" s="176" t="n"/>
      <c r="M652" s="176" t="n"/>
      <c r="N652" s="176" t="n"/>
      <c r="O652" s="176" t="n"/>
      <c r="P652" s="176" t="n"/>
      <c r="Q652" s="176" t="n"/>
      <c r="R652" s="176" t="n"/>
      <c r="S652" s="176" t="n"/>
      <c r="T652" s="176" t="n"/>
      <c r="U652" s="176" t="n"/>
      <c r="V652" s="176" t="n"/>
      <c r="W652" s="176" t="n"/>
      <c r="X652" s="176" t="n"/>
      <c r="Y652" s="176" t="n"/>
      <c r="Z652" s="176" t="n"/>
      <c r="AA652" s="176" t="n"/>
      <c r="AB652" s="176" t="n"/>
    </row>
    <row r="653">
      <c r="A653" s="176" t="n"/>
      <c r="B653" s="176" t="n"/>
      <c r="C653" s="176" t="n"/>
      <c r="D653" s="176" t="n"/>
      <c r="E653" s="186" t="n"/>
      <c r="F653" s="209" t="n"/>
      <c r="G653" s="209" t="n"/>
      <c r="H653" s="209" t="n"/>
      <c r="I653" s="209" t="n"/>
      <c r="J653" s="209" t="n"/>
      <c r="K653" s="186" t="n"/>
      <c r="L653" s="176" t="n"/>
      <c r="M653" s="176" t="n"/>
      <c r="N653" s="176" t="n"/>
      <c r="O653" s="176" t="n"/>
      <c r="P653" s="176" t="n"/>
      <c r="Q653" s="176" t="n"/>
      <c r="R653" s="176" t="n"/>
      <c r="S653" s="176" t="n"/>
      <c r="T653" s="176" t="n"/>
      <c r="U653" s="176" t="n"/>
      <c r="V653" s="176" t="n"/>
      <c r="W653" s="176" t="n"/>
      <c r="X653" s="176" t="n"/>
      <c r="Y653" s="176" t="n"/>
      <c r="Z653" s="176" t="n"/>
      <c r="AA653" s="176" t="n"/>
      <c r="AB653" s="176" t="n"/>
    </row>
    <row r="654">
      <c r="A654" s="176" t="n"/>
      <c r="B654" s="176" t="n"/>
      <c r="C654" s="176" t="n"/>
      <c r="D654" s="176" t="n"/>
      <c r="E654" s="186" t="n"/>
      <c r="F654" s="209" t="n"/>
      <c r="G654" s="209" t="n"/>
      <c r="H654" s="209" t="n"/>
      <c r="I654" s="209" t="n"/>
      <c r="J654" s="209" t="n"/>
      <c r="K654" s="186" t="n"/>
      <c r="L654" s="176" t="n"/>
      <c r="M654" s="176" t="n"/>
      <c r="N654" s="176" t="n"/>
      <c r="O654" s="176" t="n"/>
      <c r="P654" s="176" t="n"/>
      <c r="Q654" s="176" t="n"/>
      <c r="R654" s="176" t="n"/>
      <c r="S654" s="176" t="n"/>
      <c r="T654" s="176" t="n"/>
      <c r="U654" s="176" t="n"/>
      <c r="V654" s="176" t="n"/>
      <c r="W654" s="176" t="n"/>
      <c r="X654" s="176" t="n"/>
      <c r="Y654" s="176" t="n"/>
      <c r="Z654" s="176" t="n"/>
      <c r="AA654" s="176" t="n"/>
      <c r="AB654" s="176" t="n"/>
    </row>
    <row r="655">
      <c r="A655" s="176" t="n"/>
      <c r="B655" s="176" t="n"/>
      <c r="C655" s="176" t="n"/>
      <c r="D655" s="176" t="n"/>
      <c r="E655" s="186" t="n"/>
      <c r="F655" s="209" t="n"/>
      <c r="G655" s="209" t="n"/>
      <c r="H655" s="209" t="n"/>
      <c r="I655" s="209" t="n"/>
      <c r="J655" s="209" t="n"/>
      <c r="K655" s="186" t="n"/>
      <c r="L655" s="176" t="n"/>
      <c r="M655" s="176" t="n"/>
      <c r="N655" s="176" t="n"/>
      <c r="O655" s="176" t="n"/>
      <c r="P655" s="176" t="n"/>
      <c r="Q655" s="176" t="n"/>
      <c r="R655" s="176" t="n"/>
      <c r="S655" s="176" t="n"/>
      <c r="T655" s="176" t="n"/>
      <c r="U655" s="176" t="n"/>
      <c r="V655" s="176" t="n"/>
      <c r="W655" s="176" t="n"/>
      <c r="X655" s="176" t="n"/>
      <c r="Y655" s="176" t="n"/>
      <c r="Z655" s="176" t="n"/>
      <c r="AA655" s="176" t="n"/>
      <c r="AB655" s="176" t="n"/>
    </row>
    <row r="656">
      <c r="A656" s="176" t="n"/>
      <c r="B656" s="176" t="n"/>
      <c r="C656" s="176" t="n"/>
      <c r="D656" s="176" t="n"/>
      <c r="E656" s="186" t="n"/>
      <c r="F656" s="209" t="n"/>
      <c r="G656" s="209" t="n"/>
      <c r="H656" s="209" t="n"/>
      <c r="I656" s="209" t="n"/>
      <c r="J656" s="209" t="n"/>
      <c r="K656" s="186" t="n"/>
      <c r="L656" s="176" t="n"/>
      <c r="M656" s="176" t="n"/>
      <c r="N656" s="176" t="n"/>
      <c r="O656" s="176" t="n"/>
      <c r="P656" s="176" t="n"/>
      <c r="Q656" s="176" t="n"/>
      <c r="R656" s="176" t="n"/>
      <c r="S656" s="176" t="n"/>
      <c r="T656" s="176" t="n"/>
      <c r="U656" s="176" t="n"/>
      <c r="V656" s="176" t="n"/>
      <c r="W656" s="176" t="n"/>
      <c r="X656" s="176" t="n"/>
      <c r="Y656" s="176" t="n"/>
      <c r="Z656" s="176" t="n"/>
      <c r="AA656" s="176" t="n"/>
      <c r="AB656" s="176" t="n"/>
    </row>
    <row r="657">
      <c r="A657" s="176" t="n"/>
      <c r="B657" s="176" t="n"/>
      <c r="C657" s="176" t="n"/>
      <c r="D657" s="176" t="n"/>
      <c r="E657" s="186" t="n"/>
      <c r="F657" s="209" t="n"/>
      <c r="G657" s="209" t="n"/>
      <c r="H657" s="209" t="n"/>
      <c r="I657" s="209" t="n"/>
      <c r="J657" s="209" t="n"/>
      <c r="K657" s="186" t="n"/>
      <c r="L657" s="176" t="n"/>
      <c r="M657" s="176" t="n"/>
      <c r="N657" s="176" t="n"/>
      <c r="O657" s="176" t="n"/>
      <c r="P657" s="176" t="n"/>
      <c r="Q657" s="176" t="n"/>
      <c r="R657" s="176" t="n"/>
      <c r="S657" s="176" t="n"/>
      <c r="T657" s="176" t="n"/>
      <c r="U657" s="176" t="n"/>
      <c r="V657" s="176" t="n"/>
      <c r="W657" s="176" t="n"/>
      <c r="X657" s="176" t="n"/>
      <c r="Y657" s="176" t="n"/>
      <c r="Z657" s="176" t="n"/>
      <c r="AA657" s="176" t="n"/>
      <c r="AB657" s="176" t="n"/>
    </row>
    <row r="658">
      <c r="A658" s="176" t="n"/>
      <c r="B658" s="176" t="n"/>
      <c r="C658" s="176" t="n"/>
      <c r="D658" s="176" t="n"/>
      <c r="E658" s="186" t="n"/>
      <c r="F658" s="209" t="n"/>
      <c r="G658" s="209" t="n"/>
      <c r="H658" s="209" t="n"/>
      <c r="I658" s="209" t="n"/>
      <c r="J658" s="209" t="n"/>
      <c r="K658" s="186" t="n"/>
      <c r="L658" s="176" t="n"/>
      <c r="M658" s="176" t="n"/>
      <c r="N658" s="176" t="n"/>
      <c r="O658" s="176" t="n"/>
      <c r="P658" s="176" t="n"/>
      <c r="Q658" s="176" t="n"/>
      <c r="R658" s="176" t="n"/>
      <c r="S658" s="176" t="n"/>
      <c r="T658" s="176" t="n"/>
      <c r="U658" s="176" t="n"/>
      <c r="V658" s="176" t="n"/>
      <c r="W658" s="176" t="n"/>
      <c r="X658" s="176" t="n"/>
      <c r="Y658" s="176" t="n"/>
      <c r="Z658" s="176" t="n"/>
      <c r="AA658" s="176" t="n"/>
      <c r="AB658" s="176" t="n"/>
    </row>
    <row r="659">
      <c r="A659" s="176" t="n"/>
      <c r="B659" s="176" t="n"/>
      <c r="C659" s="176" t="n"/>
      <c r="D659" s="176" t="n"/>
      <c r="E659" s="186" t="n"/>
      <c r="F659" s="209" t="n"/>
      <c r="G659" s="209" t="n"/>
      <c r="H659" s="209" t="n"/>
      <c r="I659" s="209" t="n"/>
      <c r="J659" s="209" t="n"/>
      <c r="K659" s="186" t="n"/>
      <c r="L659" s="176" t="n"/>
      <c r="M659" s="176" t="n"/>
      <c r="N659" s="176" t="n"/>
      <c r="O659" s="176" t="n"/>
      <c r="P659" s="176" t="n"/>
      <c r="Q659" s="176" t="n"/>
      <c r="R659" s="176" t="n"/>
      <c r="S659" s="176" t="n"/>
      <c r="T659" s="176" t="n"/>
      <c r="U659" s="176" t="n"/>
      <c r="V659" s="176" t="n"/>
      <c r="W659" s="176" t="n"/>
      <c r="X659" s="176" t="n"/>
      <c r="Y659" s="176" t="n"/>
      <c r="Z659" s="176" t="n"/>
      <c r="AA659" s="176" t="n"/>
      <c r="AB659" s="176" t="n"/>
    </row>
    <row r="660">
      <c r="A660" s="176" t="n"/>
      <c r="B660" s="176" t="n"/>
      <c r="C660" s="176" t="n"/>
      <c r="D660" s="176" t="n"/>
      <c r="E660" s="186" t="n"/>
      <c r="F660" s="209" t="n"/>
      <c r="G660" s="209" t="n"/>
      <c r="H660" s="209" t="n"/>
      <c r="I660" s="209" t="n"/>
      <c r="J660" s="209" t="n"/>
      <c r="K660" s="186" t="n"/>
      <c r="L660" s="176" t="n"/>
      <c r="M660" s="176" t="n"/>
      <c r="N660" s="176" t="n"/>
      <c r="O660" s="176" t="n"/>
      <c r="P660" s="176" t="n"/>
      <c r="Q660" s="176" t="n"/>
      <c r="R660" s="176" t="n"/>
      <c r="S660" s="176" t="n"/>
      <c r="T660" s="176" t="n"/>
      <c r="U660" s="176" t="n"/>
      <c r="V660" s="176" t="n"/>
      <c r="W660" s="176" t="n"/>
      <c r="X660" s="176" t="n"/>
      <c r="Y660" s="176" t="n"/>
      <c r="Z660" s="176" t="n"/>
      <c r="AA660" s="176" t="n"/>
      <c r="AB660" s="176" t="n"/>
    </row>
    <row r="661">
      <c r="A661" s="176" t="n"/>
      <c r="B661" s="176" t="n"/>
      <c r="C661" s="176" t="n"/>
      <c r="D661" s="176" t="n"/>
      <c r="E661" s="186" t="n"/>
      <c r="F661" s="209" t="n"/>
      <c r="G661" s="209" t="n"/>
      <c r="H661" s="209" t="n"/>
      <c r="I661" s="209" t="n"/>
      <c r="J661" s="209" t="n"/>
      <c r="K661" s="186" t="n"/>
      <c r="L661" s="176" t="n"/>
      <c r="M661" s="176" t="n"/>
      <c r="N661" s="176" t="n"/>
      <c r="O661" s="176" t="n"/>
      <c r="P661" s="176" t="n"/>
      <c r="Q661" s="176" t="n"/>
      <c r="R661" s="176" t="n"/>
      <c r="S661" s="176" t="n"/>
      <c r="T661" s="176" t="n"/>
      <c r="U661" s="176" t="n"/>
      <c r="V661" s="176" t="n"/>
      <c r="W661" s="176" t="n"/>
      <c r="X661" s="176" t="n"/>
      <c r="Y661" s="176" t="n"/>
      <c r="Z661" s="176" t="n"/>
      <c r="AA661" s="176" t="n"/>
      <c r="AB661" s="176" t="n"/>
    </row>
    <row r="662">
      <c r="A662" s="176" t="n"/>
      <c r="B662" s="176" t="n"/>
      <c r="C662" s="176" t="n"/>
      <c r="D662" s="176" t="n"/>
      <c r="E662" s="186" t="n"/>
      <c r="F662" s="209" t="n"/>
      <c r="G662" s="209" t="n"/>
      <c r="H662" s="209" t="n"/>
      <c r="I662" s="209" t="n"/>
      <c r="J662" s="209" t="n"/>
      <c r="K662" s="186" t="n"/>
      <c r="L662" s="176" t="n"/>
      <c r="M662" s="176" t="n"/>
      <c r="N662" s="176" t="n"/>
      <c r="O662" s="176" t="n"/>
      <c r="P662" s="176" t="n"/>
      <c r="Q662" s="176" t="n"/>
      <c r="R662" s="176" t="n"/>
      <c r="S662" s="176" t="n"/>
      <c r="T662" s="176" t="n"/>
      <c r="U662" s="176" t="n"/>
      <c r="V662" s="176" t="n"/>
      <c r="W662" s="176" t="n"/>
      <c r="X662" s="176" t="n"/>
      <c r="Y662" s="176" t="n"/>
      <c r="Z662" s="176" t="n"/>
      <c r="AA662" s="176" t="n"/>
      <c r="AB662" s="176" t="n"/>
    </row>
    <row r="663">
      <c r="A663" s="176" t="n"/>
      <c r="B663" s="176" t="n"/>
      <c r="C663" s="176" t="n"/>
      <c r="D663" s="176" t="n"/>
      <c r="E663" s="186" t="n"/>
      <c r="F663" s="209" t="n"/>
      <c r="G663" s="209" t="n"/>
      <c r="H663" s="209" t="n"/>
      <c r="I663" s="209" t="n"/>
      <c r="J663" s="209" t="n"/>
      <c r="K663" s="186" t="n"/>
      <c r="L663" s="176" t="n"/>
      <c r="M663" s="176" t="n"/>
      <c r="N663" s="176" t="n"/>
      <c r="O663" s="176" t="n"/>
      <c r="P663" s="176" t="n"/>
      <c r="Q663" s="176" t="n"/>
      <c r="R663" s="176" t="n"/>
      <c r="S663" s="176" t="n"/>
      <c r="T663" s="176" t="n"/>
      <c r="U663" s="176" t="n"/>
      <c r="V663" s="176" t="n"/>
      <c r="W663" s="176" t="n"/>
      <c r="X663" s="176" t="n"/>
      <c r="Y663" s="176" t="n"/>
      <c r="Z663" s="176" t="n"/>
      <c r="AA663" s="176" t="n"/>
      <c r="AB663" s="176" t="n"/>
    </row>
    <row r="664">
      <c r="A664" s="176" t="n"/>
      <c r="B664" s="176" t="n"/>
      <c r="C664" s="176" t="n"/>
      <c r="D664" s="176" t="n"/>
      <c r="E664" s="186" t="n"/>
      <c r="F664" s="209" t="n"/>
      <c r="G664" s="209" t="n"/>
      <c r="H664" s="209" t="n"/>
      <c r="I664" s="209" t="n"/>
      <c r="J664" s="209" t="n"/>
      <c r="K664" s="186" t="n"/>
      <c r="L664" s="176" t="n"/>
      <c r="M664" s="176" t="n"/>
      <c r="N664" s="176" t="n"/>
      <c r="O664" s="176" t="n"/>
      <c r="P664" s="176" t="n"/>
      <c r="Q664" s="176" t="n"/>
      <c r="R664" s="176" t="n"/>
      <c r="S664" s="176" t="n"/>
      <c r="T664" s="176" t="n"/>
      <c r="U664" s="176" t="n"/>
      <c r="V664" s="176" t="n"/>
      <c r="W664" s="176" t="n"/>
      <c r="X664" s="176" t="n"/>
      <c r="Y664" s="176" t="n"/>
      <c r="Z664" s="176" t="n"/>
      <c r="AA664" s="176" t="n"/>
      <c r="AB664" s="176" t="n"/>
    </row>
    <row r="665">
      <c r="A665" s="176" t="n"/>
      <c r="B665" s="176" t="n"/>
      <c r="C665" s="176" t="n"/>
      <c r="D665" s="176" t="n"/>
      <c r="E665" s="186" t="n"/>
      <c r="F665" s="209" t="n"/>
      <c r="G665" s="209" t="n"/>
      <c r="H665" s="209" t="n"/>
      <c r="I665" s="209" t="n"/>
      <c r="J665" s="209" t="n"/>
      <c r="K665" s="186" t="n"/>
      <c r="L665" s="176" t="n"/>
      <c r="M665" s="176" t="n"/>
      <c r="N665" s="176" t="n"/>
      <c r="O665" s="176" t="n"/>
      <c r="P665" s="176" t="n"/>
      <c r="Q665" s="176" t="n"/>
      <c r="R665" s="176" t="n"/>
      <c r="S665" s="176" t="n"/>
      <c r="T665" s="176" t="n"/>
      <c r="U665" s="176" t="n"/>
      <c r="V665" s="176" t="n"/>
      <c r="W665" s="176" t="n"/>
      <c r="X665" s="176" t="n"/>
      <c r="Y665" s="176" t="n"/>
      <c r="Z665" s="176" t="n"/>
      <c r="AA665" s="176" t="n"/>
      <c r="AB665" s="176" t="n"/>
    </row>
    <row r="666">
      <c r="A666" s="176" t="n"/>
      <c r="B666" s="176" t="n"/>
      <c r="C666" s="176" t="n"/>
      <c r="D666" s="176" t="n"/>
      <c r="E666" s="186" t="n"/>
      <c r="F666" s="209" t="n"/>
      <c r="G666" s="209" t="n"/>
      <c r="H666" s="209" t="n"/>
      <c r="I666" s="209" t="n"/>
      <c r="J666" s="209" t="n"/>
      <c r="K666" s="186" t="n"/>
      <c r="L666" s="176" t="n"/>
      <c r="M666" s="176" t="n"/>
      <c r="N666" s="176" t="n"/>
      <c r="O666" s="176" t="n"/>
      <c r="P666" s="176" t="n"/>
      <c r="Q666" s="176" t="n"/>
      <c r="R666" s="176" t="n"/>
      <c r="S666" s="176" t="n"/>
      <c r="T666" s="176" t="n"/>
      <c r="U666" s="176" t="n"/>
      <c r="V666" s="176" t="n"/>
      <c r="W666" s="176" t="n"/>
      <c r="X666" s="176" t="n"/>
      <c r="Y666" s="176" t="n"/>
      <c r="Z666" s="176" t="n"/>
      <c r="AA666" s="176" t="n"/>
      <c r="AB666" s="176" t="n"/>
    </row>
    <row r="667">
      <c r="A667" s="176" t="n"/>
      <c r="B667" s="176" t="n"/>
      <c r="C667" s="176" t="n"/>
      <c r="D667" s="176" t="n"/>
      <c r="E667" s="186" t="n"/>
      <c r="F667" s="209" t="n"/>
      <c r="G667" s="209" t="n"/>
      <c r="H667" s="209" t="n"/>
      <c r="I667" s="209" t="n"/>
      <c r="J667" s="209" t="n"/>
      <c r="K667" s="186" t="n"/>
      <c r="L667" s="176" t="n"/>
      <c r="M667" s="176" t="n"/>
      <c r="N667" s="176" t="n"/>
      <c r="O667" s="176" t="n"/>
      <c r="P667" s="176" t="n"/>
      <c r="Q667" s="176" t="n"/>
      <c r="R667" s="176" t="n"/>
      <c r="S667" s="176" t="n"/>
      <c r="T667" s="176" t="n"/>
      <c r="U667" s="176" t="n"/>
      <c r="V667" s="176" t="n"/>
      <c r="W667" s="176" t="n"/>
      <c r="X667" s="176" t="n"/>
      <c r="Y667" s="176" t="n"/>
      <c r="Z667" s="176" t="n"/>
      <c r="AA667" s="176" t="n"/>
      <c r="AB667" s="176" t="n"/>
    </row>
    <row r="668">
      <c r="A668" s="176" t="n"/>
      <c r="B668" s="176" t="n"/>
      <c r="C668" s="176" t="n"/>
      <c r="D668" s="176" t="n"/>
      <c r="E668" s="186" t="n"/>
      <c r="F668" s="209" t="n"/>
      <c r="G668" s="209" t="n"/>
      <c r="H668" s="209" t="n"/>
      <c r="I668" s="209" t="n"/>
      <c r="J668" s="209" t="n"/>
      <c r="K668" s="186" t="n"/>
      <c r="L668" s="176" t="n"/>
      <c r="M668" s="176" t="n"/>
      <c r="N668" s="176" t="n"/>
      <c r="O668" s="176" t="n"/>
      <c r="P668" s="176" t="n"/>
      <c r="Q668" s="176" t="n"/>
      <c r="R668" s="176" t="n"/>
      <c r="S668" s="176" t="n"/>
      <c r="T668" s="176" t="n"/>
      <c r="U668" s="176" t="n"/>
      <c r="V668" s="176" t="n"/>
      <c r="W668" s="176" t="n"/>
      <c r="X668" s="176" t="n"/>
      <c r="Y668" s="176" t="n"/>
      <c r="Z668" s="176" t="n"/>
      <c r="AA668" s="176" t="n"/>
      <c r="AB668" s="176" t="n"/>
    </row>
    <row r="669">
      <c r="A669" s="176" t="n"/>
      <c r="B669" s="176" t="n"/>
      <c r="C669" s="176" t="n"/>
      <c r="D669" s="176" t="n"/>
      <c r="E669" s="186" t="n"/>
      <c r="F669" s="209" t="n"/>
      <c r="G669" s="209" t="n"/>
      <c r="H669" s="209" t="n"/>
      <c r="I669" s="209" t="n"/>
      <c r="J669" s="209" t="n"/>
      <c r="K669" s="186" t="n"/>
      <c r="L669" s="176" t="n"/>
      <c r="M669" s="176" t="n"/>
      <c r="N669" s="176" t="n"/>
      <c r="O669" s="176" t="n"/>
      <c r="P669" s="176" t="n"/>
      <c r="Q669" s="176" t="n"/>
      <c r="R669" s="176" t="n"/>
      <c r="S669" s="176" t="n"/>
      <c r="T669" s="176" t="n"/>
      <c r="U669" s="176" t="n"/>
      <c r="V669" s="176" t="n"/>
      <c r="W669" s="176" t="n"/>
      <c r="X669" s="176" t="n"/>
      <c r="Y669" s="176" t="n"/>
      <c r="Z669" s="176" t="n"/>
      <c r="AA669" s="176" t="n"/>
      <c r="AB669" s="176" t="n"/>
    </row>
    <row r="670">
      <c r="A670" s="176" t="n"/>
      <c r="B670" s="176" t="n"/>
      <c r="C670" s="176" t="n"/>
      <c r="D670" s="176" t="n"/>
      <c r="E670" s="186" t="n"/>
      <c r="F670" s="209" t="n"/>
      <c r="G670" s="209" t="n"/>
      <c r="H670" s="209" t="n"/>
      <c r="I670" s="209" t="n"/>
      <c r="J670" s="209" t="n"/>
      <c r="K670" s="186" t="n"/>
      <c r="L670" s="176" t="n"/>
      <c r="M670" s="176" t="n"/>
      <c r="N670" s="176" t="n"/>
      <c r="O670" s="176" t="n"/>
      <c r="P670" s="176" t="n"/>
      <c r="Q670" s="176" t="n"/>
      <c r="R670" s="176" t="n"/>
      <c r="S670" s="176" t="n"/>
      <c r="T670" s="176" t="n"/>
      <c r="U670" s="176" t="n"/>
      <c r="V670" s="176" t="n"/>
      <c r="W670" s="176" t="n"/>
      <c r="X670" s="176" t="n"/>
      <c r="Y670" s="176" t="n"/>
      <c r="Z670" s="176" t="n"/>
      <c r="AA670" s="176" t="n"/>
      <c r="AB670" s="176" t="n"/>
    </row>
    <row r="671">
      <c r="A671" s="176" t="n"/>
      <c r="B671" s="176" t="n"/>
      <c r="C671" s="176" t="n"/>
      <c r="D671" s="176" t="n"/>
      <c r="E671" s="186" t="n"/>
      <c r="F671" s="209" t="n"/>
      <c r="G671" s="209" t="n"/>
      <c r="H671" s="209" t="n"/>
      <c r="I671" s="209" t="n"/>
      <c r="J671" s="209" t="n"/>
      <c r="K671" s="186" t="n"/>
      <c r="L671" s="176" t="n"/>
      <c r="M671" s="176" t="n"/>
      <c r="N671" s="176" t="n"/>
      <c r="O671" s="176" t="n"/>
      <c r="P671" s="176" t="n"/>
      <c r="Q671" s="176" t="n"/>
      <c r="R671" s="176" t="n"/>
      <c r="S671" s="176" t="n"/>
      <c r="T671" s="176" t="n"/>
      <c r="U671" s="176" t="n"/>
      <c r="V671" s="176" t="n"/>
      <c r="W671" s="176" t="n"/>
      <c r="X671" s="176" t="n"/>
      <c r="Y671" s="176" t="n"/>
      <c r="Z671" s="176" t="n"/>
      <c r="AA671" s="176" t="n"/>
      <c r="AB671" s="176" t="n"/>
    </row>
    <row r="672">
      <c r="A672" s="176" t="n"/>
      <c r="B672" s="176" t="n"/>
      <c r="C672" s="176" t="n"/>
      <c r="D672" s="176" t="n"/>
      <c r="E672" s="186" t="n"/>
      <c r="F672" s="209" t="n"/>
      <c r="G672" s="209" t="n"/>
      <c r="H672" s="209" t="n"/>
      <c r="I672" s="209" t="n"/>
      <c r="J672" s="209" t="n"/>
      <c r="K672" s="186" t="n"/>
      <c r="L672" s="176" t="n"/>
      <c r="M672" s="176" t="n"/>
      <c r="N672" s="176" t="n"/>
      <c r="O672" s="176" t="n"/>
      <c r="P672" s="176" t="n"/>
      <c r="Q672" s="176" t="n"/>
      <c r="R672" s="176" t="n"/>
      <c r="S672" s="176" t="n"/>
      <c r="T672" s="176" t="n"/>
      <c r="U672" s="176" t="n"/>
      <c r="V672" s="176" t="n"/>
      <c r="W672" s="176" t="n"/>
      <c r="X672" s="176" t="n"/>
      <c r="Y672" s="176" t="n"/>
      <c r="Z672" s="176" t="n"/>
      <c r="AA672" s="176" t="n"/>
      <c r="AB672" s="176" t="n"/>
    </row>
    <row r="673">
      <c r="A673" s="176" t="n"/>
      <c r="B673" s="176" t="n"/>
      <c r="C673" s="176" t="n"/>
      <c r="D673" s="176" t="n"/>
      <c r="E673" s="186" t="n"/>
      <c r="F673" s="209" t="n"/>
      <c r="G673" s="209" t="n"/>
      <c r="H673" s="209" t="n"/>
      <c r="I673" s="209" t="n"/>
      <c r="J673" s="209" t="n"/>
      <c r="K673" s="186" t="n"/>
      <c r="L673" s="176" t="n"/>
      <c r="M673" s="176" t="n"/>
      <c r="N673" s="176" t="n"/>
      <c r="O673" s="176" t="n"/>
      <c r="P673" s="176" t="n"/>
      <c r="Q673" s="176" t="n"/>
      <c r="R673" s="176" t="n"/>
      <c r="S673" s="176" t="n"/>
      <c r="T673" s="176" t="n"/>
      <c r="U673" s="176" t="n"/>
      <c r="V673" s="176" t="n"/>
      <c r="W673" s="176" t="n"/>
      <c r="X673" s="176" t="n"/>
      <c r="Y673" s="176" t="n"/>
      <c r="Z673" s="176" t="n"/>
      <c r="AA673" s="176" t="n"/>
      <c r="AB673" s="176" t="n"/>
    </row>
    <row r="674">
      <c r="A674" s="176" t="n"/>
      <c r="B674" s="176" t="n"/>
      <c r="C674" s="176" t="n"/>
      <c r="D674" s="176" t="n"/>
      <c r="E674" s="186" t="n"/>
      <c r="F674" s="209" t="n"/>
      <c r="G674" s="209" t="n"/>
      <c r="H674" s="209" t="n"/>
      <c r="I674" s="209" t="n"/>
      <c r="J674" s="209" t="n"/>
      <c r="K674" s="186" t="n"/>
      <c r="L674" s="176" t="n"/>
      <c r="M674" s="176" t="n"/>
      <c r="N674" s="176" t="n"/>
      <c r="O674" s="176" t="n"/>
      <c r="P674" s="176" t="n"/>
      <c r="Q674" s="176" t="n"/>
      <c r="R674" s="176" t="n"/>
      <c r="S674" s="176" t="n"/>
      <c r="T674" s="176" t="n"/>
      <c r="U674" s="176" t="n"/>
      <c r="V674" s="176" t="n"/>
      <c r="W674" s="176" t="n"/>
      <c r="X674" s="176" t="n"/>
      <c r="Y674" s="176" t="n"/>
      <c r="Z674" s="176" t="n"/>
      <c r="AA674" s="176" t="n"/>
      <c r="AB674" s="176" t="n"/>
    </row>
    <row r="675">
      <c r="A675" s="176" t="n"/>
      <c r="B675" s="176" t="n"/>
      <c r="C675" s="176" t="n"/>
      <c r="D675" s="176" t="n"/>
      <c r="E675" s="186" t="n"/>
      <c r="F675" s="209" t="n"/>
      <c r="G675" s="209" t="n"/>
      <c r="H675" s="209" t="n"/>
      <c r="I675" s="209" t="n"/>
      <c r="J675" s="209" t="n"/>
      <c r="K675" s="186" t="n"/>
      <c r="L675" s="176" t="n"/>
      <c r="M675" s="176" t="n"/>
      <c r="N675" s="176" t="n"/>
      <c r="O675" s="176" t="n"/>
      <c r="P675" s="176" t="n"/>
      <c r="Q675" s="176" t="n"/>
      <c r="R675" s="176" t="n"/>
      <c r="S675" s="176" t="n"/>
      <c r="T675" s="176" t="n"/>
      <c r="U675" s="176" t="n"/>
      <c r="V675" s="176" t="n"/>
      <c r="W675" s="176" t="n"/>
      <c r="X675" s="176" t="n"/>
      <c r="Y675" s="176" t="n"/>
      <c r="Z675" s="176" t="n"/>
      <c r="AA675" s="176" t="n"/>
      <c r="AB675" s="176" t="n"/>
    </row>
    <row r="676">
      <c r="A676" s="176" t="n"/>
      <c r="B676" s="176" t="n"/>
      <c r="C676" s="176" t="n"/>
      <c r="D676" s="176" t="n"/>
      <c r="E676" s="186" t="n"/>
      <c r="F676" s="209" t="n"/>
      <c r="G676" s="209" t="n"/>
      <c r="H676" s="209" t="n"/>
      <c r="I676" s="209" t="n"/>
      <c r="J676" s="209" t="n"/>
      <c r="K676" s="186" t="n"/>
      <c r="L676" s="176" t="n"/>
      <c r="M676" s="176" t="n"/>
      <c r="N676" s="176" t="n"/>
      <c r="O676" s="176" t="n"/>
      <c r="P676" s="176" t="n"/>
      <c r="Q676" s="176" t="n"/>
      <c r="R676" s="176" t="n"/>
      <c r="S676" s="176" t="n"/>
      <c r="T676" s="176" t="n"/>
      <c r="U676" s="176" t="n"/>
      <c r="V676" s="176" t="n"/>
      <c r="W676" s="176" t="n"/>
      <c r="X676" s="176" t="n"/>
      <c r="Y676" s="176" t="n"/>
      <c r="Z676" s="176" t="n"/>
      <c r="AA676" s="176" t="n"/>
      <c r="AB676" s="176" t="n"/>
    </row>
    <row r="677">
      <c r="A677" s="176" t="n"/>
      <c r="B677" s="176" t="n"/>
      <c r="C677" s="176" t="n"/>
      <c r="D677" s="176" t="n"/>
      <c r="E677" s="186" t="n"/>
      <c r="F677" s="209" t="n"/>
      <c r="G677" s="209" t="n"/>
      <c r="H677" s="209" t="n"/>
      <c r="I677" s="209" t="n"/>
      <c r="J677" s="209" t="n"/>
      <c r="K677" s="186" t="n"/>
      <c r="L677" s="176" t="n"/>
      <c r="M677" s="176" t="n"/>
      <c r="N677" s="176" t="n"/>
      <c r="O677" s="176" t="n"/>
      <c r="P677" s="176" t="n"/>
      <c r="Q677" s="176" t="n"/>
      <c r="R677" s="176" t="n"/>
      <c r="S677" s="176" t="n"/>
      <c r="T677" s="176" t="n"/>
      <c r="U677" s="176" t="n"/>
      <c r="V677" s="176" t="n"/>
      <c r="W677" s="176" t="n"/>
      <c r="X677" s="176" t="n"/>
      <c r="Y677" s="176" t="n"/>
      <c r="Z677" s="176" t="n"/>
      <c r="AA677" s="176" t="n"/>
      <c r="AB677" s="176" t="n"/>
    </row>
    <row r="678">
      <c r="A678" s="176" t="n"/>
      <c r="B678" s="176" t="n"/>
      <c r="C678" s="176" t="n"/>
      <c r="D678" s="176" t="n"/>
      <c r="E678" s="186" t="n"/>
      <c r="F678" s="209" t="n"/>
      <c r="G678" s="209" t="n"/>
      <c r="H678" s="209" t="n"/>
      <c r="I678" s="209" t="n"/>
      <c r="J678" s="209" t="n"/>
      <c r="K678" s="186" t="n"/>
      <c r="L678" s="176" t="n"/>
      <c r="M678" s="176" t="n"/>
      <c r="N678" s="176" t="n"/>
      <c r="O678" s="176" t="n"/>
      <c r="P678" s="176" t="n"/>
      <c r="Q678" s="176" t="n"/>
      <c r="R678" s="176" t="n"/>
      <c r="S678" s="176" t="n"/>
      <c r="T678" s="176" t="n"/>
      <c r="U678" s="176" t="n"/>
      <c r="V678" s="176" t="n"/>
      <c r="W678" s="176" t="n"/>
      <c r="X678" s="176" t="n"/>
      <c r="Y678" s="176" t="n"/>
      <c r="Z678" s="176" t="n"/>
      <c r="AA678" s="176" t="n"/>
      <c r="AB678" s="176" t="n"/>
    </row>
    <row r="679">
      <c r="A679" s="176" t="n"/>
      <c r="B679" s="176" t="n"/>
      <c r="C679" s="176" t="n"/>
      <c r="D679" s="176" t="n"/>
      <c r="E679" s="186" t="n"/>
      <c r="F679" s="209" t="n"/>
      <c r="G679" s="209" t="n"/>
      <c r="H679" s="209" t="n"/>
      <c r="I679" s="209" t="n"/>
      <c r="J679" s="209" t="n"/>
      <c r="K679" s="186" t="n"/>
      <c r="L679" s="176" t="n"/>
      <c r="M679" s="176" t="n"/>
      <c r="N679" s="176" t="n"/>
      <c r="O679" s="176" t="n"/>
      <c r="P679" s="176" t="n"/>
      <c r="Q679" s="176" t="n"/>
      <c r="R679" s="176" t="n"/>
      <c r="S679" s="176" t="n"/>
      <c r="T679" s="176" t="n"/>
      <c r="U679" s="176" t="n"/>
      <c r="V679" s="176" t="n"/>
      <c r="W679" s="176" t="n"/>
      <c r="X679" s="176" t="n"/>
      <c r="Y679" s="176" t="n"/>
      <c r="Z679" s="176" t="n"/>
      <c r="AA679" s="176" t="n"/>
      <c r="AB679" s="176" t="n"/>
    </row>
    <row r="680">
      <c r="A680" s="176" t="n"/>
      <c r="B680" s="176" t="n"/>
      <c r="C680" s="176" t="n"/>
      <c r="D680" s="176" t="n"/>
      <c r="E680" s="186" t="n"/>
      <c r="F680" s="209" t="n"/>
      <c r="G680" s="209" t="n"/>
      <c r="H680" s="209" t="n"/>
      <c r="I680" s="209" t="n"/>
      <c r="J680" s="209" t="n"/>
      <c r="K680" s="186" t="n"/>
      <c r="L680" s="176" t="n"/>
      <c r="M680" s="176" t="n"/>
      <c r="N680" s="176" t="n"/>
      <c r="O680" s="176" t="n"/>
      <c r="P680" s="176" t="n"/>
      <c r="Q680" s="176" t="n"/>
      <c r="R680" s="176" t="n"/>
      <c r="S680" s="176" t="n"/>
      <c r="T680" s="176" t="n"/>
      <c r="U680" s="176" t="n"/>
      <c r="V680" s="176" t="n"/>
      <c r="W680" s="176" t="n"/>
      <c r="X680" s="176" t="n"/>
      <c r="Y680" s="176" t="n"/>
      <c r="Z680" s="176" t="n"/>
      <c r="AA680" s="176" t="n"/>
      <c r="AB680" s="176" t="n"/>
    </row>
    <row r="681">
      <c r="A681" s="176" t="n"/>
      <c r="B681" s="176" t="n"/>
      <c r="C681" s="176" t="n"/>
      <c r="D681" s="176" t="n"/>
      <c r="E681" s="186" t="n"/>
      <c r="F681" s="209" t="n"/>
      <c r="G681" s="209" t="n"/>
      <c r="H681" s="209" t="n"/>
      <c r="I681" s="209" t="n"/>
      <c r="J681" s="209" t="n"/>
      <c r="K681" s="186" t="n"/>
      <c r="L681" s="176" t="n"/>
      <c r="M681" s="176" t="n"/>
      <c r="N681" s="176" t="n"/>
      <c r="O681" s="176" t="n"/>
      <c r="P681" s="176" t="n"/>
      <c r="Q681" s="176" t="n"/>
      <c r="R681" s="176" t="n"/>
      <c r="S681" s="176" t="n"/>
      <c r="T681" s="176" t="n"/>
      <c r="U681" s="176" t="n"/>
      <c r="V681" s="176" t="n"/>
      <c r="W681" s="176" t="n"/>
      <c r="X681" s="176" t="n"/>
      <c r="Y681" s="176" t="n"/>
      <c r="Z681" s="176" t="n"/>
      <c r="AA681" s="176" t="n"/>
      <c r="AB681" s="176" t="n"/>
    </row>
    <row r="682">
      <c r="A682" s="176" t="n"/>
      <c r="B682" s="176" t="n"/>
      <c r="C682" s="176" t="n"/>
      <c r="D682" s="176" t="n"/>
      <c r="E682" s="186" t="n"/>
      <c r="F682" s="209" t="n"/>
      <c r="G682" s="209" t="n"/>
      <c r="H682" s="209" t="n"/>
      <c r="I682" s="209" t="n"/>
      <c r="J682" s="209" t="n"/>
      <c r="K682" s="186" t="n"/>
      <c r="L682" s="176" t="n"/>
      <c r="M682" s="176" t="n"/>
      <c r="N682" s="176" t="n"/>
      <c r="O682" s="176" t="n"/>
      <c r="P682" s="176" t="n"/>
      <c r="Q682" s="176" t="n"/>
      <c r="R682" s="176" t="n"/>
      <c r="S682" s="176" t="n"/>
      <c r="T682" s="176" t="n"/>
      <c r="U682" s="176" t="n"/>
      <c r="V682" s="176" t="n"/>
      <c r="W682" s="176" t="n"/>
      <c r="X682" s="176" t="n"/>
      <c r="Y682" s="176" t="n"/>
      <c r="Z682" s="176" t="n"/>
      <c r="AA682" s="176" t="n"/>
      <c r="AB682" s="176" t="n"/>
    </row>
    <row r="683">
      <c r="A683" s="176" t="n"/>
      <c r="B683" s="176" t="n"/>
      <c r="C683" s="176" t="n"/>
      <c r="D683" s="176" t="n"/>
      <c r="E683" s="186" t="n"/>
      <c r="F683" s="209" t="n"/>
      <c r="G683" s="209" t="n"/>
      <c r="H683" s="209" t="n"/>
      <c r="I683" s="209" t="n"/>
      <c r="J683" s="209" t="n"/>
      <c r="K683" s="186" t="n"/>
      <c r="L683" s="176" t="n"/>
      <c r="M683" s="176" t="n"/>
      <c r="N683" s="176" t="n"/>
      <c r="O683" s="176" t="n"/>
      <c r="P683" s="176" t="n"/>
      <c r="Q683" s="176" t="n"/>
      <c r="R683" s="176" t="n"/>
      <c r="S683" s="176" t="n"/>
      <c r="T683" s="176" t="n"/>
      <c r="U683" s="176" t="n"/>
      <c r="V683" s="176" t="n"/>
      <c r="W683" s="176" t="n"/>
      <c r="X683" s="176" t="n"/>
      <c r="Y683" s="176" t="n"/>
      <c r="Z683" s="176" t="n"/>
      <c r="AA683" s="176" t="n"/>
      <c r="AB683" s="176" t="n"/>
    </row>
    <row r="684">
      <c r="A684" s="176" t="n"/>
      <c r="B684" s="176" t="n"/>
      <c r="C684" s="176" t="n"/>
      <c r="D684" s="176" t="n"/>
      <c r="E684" s="186" t="n"/>
      <c r="F684" s="209" t="n"/>
      <c r="G684" s="209" t="n"/>
      <c r="H684" s="209" t="n"/>
      <c r="I684" s="209" t="n"/>
      <c r="J684" s="209" t="n"/>
      <c r="K684" s="186" t="n"/>
      <c r="L684" s="176" t="n"/>
      <c r="M684" s="176" t="n"/>
      <c r="N684" s="176" t="n"/>
      <c r="O684" s="176" t="n"/>
      <c r="P684" s="176" t="n"/>
      <c r="Q684" s="176" t="n"/>
      <c r="R684" s="176" t="n"/>
      <c r="S684" s="176" t="n"/>
      <c r="T684" s="176" t="n"/>
      <c r="U684" s="176" t="n"/>
      <c r="V684" s="176" t="n"/>
      <c r="W684" s="176" t="n"/>
      <c r="X684" s="176" t="n"/>
      <c r="Y684" s="176" t="n"/>
      <c r="Z684" s="176" t="n"/>
      <c r="AA684" s="176" t="n"/>
      <c r="AB684" s="176" t="n"/>
    </row>
    <row r="685">
      <c r="A685" s="176" t="n"/>
      <c r="B685" s="176" t="n"/>
      <c r="C685" s="176" t="n"/>
      <c r="D685" s="176" t="n"/>
      <c r="E685" s="186" t="n"/>
      <c r="F685" s="209" t="n"/>
      <c r="G685" s="209" t="n"/>
      <c r="H685" s="209" t="n"/>
      <c r="I685" s="209" t="n"/>
      <c r="J685" s="209" t="n"/>
      <c r="K685" s="186" t="n"/>
      <c r="L685" s="176" t="n"/>
      <c r="M685" s="176" t="n"/>
      <c r="N685" s="176" t="n"/>
      <c r="O685" s="176" t="n"/>
      <c r="P685" s="176" t="n"/>
      <c r="Q685" s="176" t="n"/>
      <c r="R685" s="176" t="n"/>
      <c r="S685" s="176" t="n"/>
      <c r="T685" s="176" t="n"/>
      <c r="U685" s="176" t="n"/>
      <c r="V685" s="176" t="n"/>
      <c r="W685" s="176" t="n"/>
      <c r="X685" s="176" t="n"/>
      <c r="Y685" s="176" t="n"/>
      <c r="Z685" s="176" t="n"/>
      <c r="AA685" s="176" t="n"/>
      <c r="AB685" s="176" t="n"/>
    </row>
    <row r="686">
      <c r="A686" s="176" t="n"/>
      <c r="B686" s="176" t="n"/>
      <c r="C686" s="176" t="n"/>
      <c r="D686" s="176" t="n"/>
      <c r="E686" s="186" t="n"/>
      <c r="F686" s="209" t="n"/>
      <c r="G686" s="209" t="n"/>
      <c r="H686" s="209" t="n"/>
      <c r="I686" s="209" t="n"/>
      <c r="J686" s="209" t="n"/>
      <c r="K686" s="186" t="n"/>
      <c r="L686" s="176" t="n"/>
      <c r="M686" s="176" t="n"/>
      <c r="N686" s="176" t="n"/>
      <c r="O686" s="176" t="n"/>
      <c r="P686" s="176" t="n"/>
      <c r="Q686" s="176" t="n"/>
      <c r="R686" s="176" t="n"/>
      <c r="S686" s="176" t="n"/>
      <c r="T686" s="176" t="n"/>
      <c r="U686" s="176" t="n"/>
      <c r="V686" s="176" t="n"/>
      <c r="W686" s="176" t="n"/>
      <c r="X686" s="176" t="n"/>
      <c r="Y686" s="176" t="n"/>
      <c r="Z686" s="176" t="n"/>
      <c r="AA686" s="176" t="n"/>
      <c r="AB686" s="176" t="n"/>
    </row>
    <row r="687">
      <c r="A687" s="176" t="n"/>
      <c r="B687" s="176" t="n"/>
      <c r="C687" s="176" t="n"/>
      <c r="D687" s="176" t="n"/>
      <c r="E687" s="186" t="n"/>
      <c r="F687" s="209" t="n"/>
      <c r="G687" s="209" t="n"/>
      <c r="H687" s="209" t="n"/>
      <c r="I687" s="209" t="n"/>
      <c r="J687" s="209" t="n"/>
      <c r="K687" s="186" t="n"/>
      <c r="L687" s="176" t="n"/>
      <c r="M687" s="176" t="n"/>
      <c r="N687" s="176" t="n"/>
      <c r="O687" s="176" t="n"/>
      <c r="P687" s="176" t="n"/>
      <c r="Q687" s="176" t="n"/>
      <c r="R687" s="176" t="n"/>
      <c r="S687" s="176" t="n"/>
      <c r="T687" s="176" t="n"/>
      <c r="U687" s="176" t="n"/>
      <c r="V687" s="176" t="n"/>
      <c r="W687" s="176" t="n"/>
      <c r="X687" s="176" t="n"/>
      <c r="Y687" s="176" t="n"/>
      <c r="Z687" s="176" t="n"/>
      <c r="AA687" s="176" t="n"/>
      <c r="AB687" s="176" t="n"/>
    </row>
    <row r="688">
      <c r="A688" s="176" t="n"/>
      <c r="B688" s="176" t="n"/>
      <c r="C688" s="176" t="n"/>
      <c r="D688" s="176" t="n"/>
      <c r="E688" s="186" t="n"/>
      <c r="F688" s="209" t="n"/>
      <c r="G688" s="209" t="n"/>
      <c r="H688" s="209" t="n"/>
      <c r="I688" s="209" t="n"/>
      <c r="J688" s="209" t="n"/>
      <c r="K688" s="186" t="n"/>
      <c r="L688" s="176" t="n"/>
      <c r="M688" s="176" t="n"/>
      <c r="N688" s="176" t="n"/>
      <c r="O688" s="176" t="n"/>
      <c r="P688" s="176" t="n"/>
      <c r="Q688" s="176" t="n"/>
      <c r="R688" s="176" t="n"/>
      <c r="S688" s="176" t="n"/>
      <c r="T688" s="176" t="n"/>
      <c r="U688" s="176" t="n"/>
      <c r="V688" s="176" t="n"/>
      <c r="W688" s="176" t="n"/>
      <c r="X688" s="176" t="n"/>
      <c r="Y688" s="176" t="n"/>
      <c r="Z688" s="176" t="n"/>
      <c r="AA688" s="176" t="n"/>
      <c r="AB688" s="176" t="n"/>
    </row>
    <row r="689">
      <c r="A689" s="176" t="n"/>
      <c r="B689" s="176" t="n"/>
      <c r="C689" s="176" t="n"/>
      <c r="D689" s="176" t="n"/>
      <c r="E689" s="186" t="n"/>
      <c r="F689" s="209" t="n"/>
      <c r="G689" s="209" t="n"/>
      <c r="H689" s="209" t="n"/>
      <c r="I689" s="209" t="n"/>
      <c r="J689" s="209" t="n"/>
      <c r="K689" s="186" t="n"/>
      <c r="L689" s="176" t="n"/>
      <c r="M689" s="176" t="n"/>
      <c r="N689" s="176" t="n"/>
      <c r="O689" s="176" t="n"/>
      <c r="P689" s="176" t="n"/>
      <c r="Q689" s="176" t="n"/>
      <c r="R689" s="176" t="n"/>
      <c r="S689" s="176" t="n"/>
      <c r="T689" s="176" t="n"/>
      <c r="U689" s="176" t="n"/>
      <c r="V689" s="176" t="n"/>
      <c r="W689" s="176" t="n"/>
      <c r="X689" s="176" t="n"/>
      <c r="Y689" s="176" t="n"/>
      <c r="Z689" s="176" t="n"/>
      <c r="AA689" s="176" t="n"/>
      <c r="AB689" s="176" t="n"/>
    </row>
    <row r="690">
      <c r="A690" s="176" t="n"/>
      <c r="B690" s="176" t="n"/>
      <c r="C690" s="176" t="n"/>
      <c r="D690" s="176" t="n"/>
      <c r="E690" s="186" t="n"/>
      <c r="F690" s="209" t="n"/>
      <c r="G690" s="209" t="n"/>
      <c r="H690" s="209" t="n"/>
      <c r="I690" s="209" t="n"/>
      <c r="J690" s="209" t="n"/>
      <c r="K690" s="186" t="n"/>
      <c r="L690" s="176" t="n"/>
      <c r="M690" s="176" t="n"/>
      <c r="N690" s="176" t="n"/>
      <c r="O690" s="176" t="n"/>
      <c r="P690" s="176" t="n"/>
      <c r="Q690" s="176" t="n"/>
      <c r="R690" s="176" t="n"/>
      <c r="S690" s="176" t="n"/>
      <c r="T690" s="176" t="n"/>
      <c r="U690" s="176" t="n"/>
      <c r="V690" s="176" t="n"/>
      <c r="W690" s="176" t="n"/>
      <c r="X690" s="176" t="n"/>
      <c r="Y690" s="176" t="n"/>
      <c r="Z690" s="176" t="n"/>
      <c r="AA690" s="176" t="n"/>
      <c r="AB690" s="176" t="n"/>
    </row>
    <row r="691">
      <c r="A691" s="176" t="n"/>
      <c r="B691" s="176" t="n"/>
      <c r="C691" s="176" t="n"/>
      <c r="D691" s="176" t="n"/>
      <c r="E691" s="186" t="n"/>
      <c r="F691" s="209" t="n"/>
      <c r="G691" s="209" t="n"/>
      <c r="H691" s="209" t="n"/>
      <c r="I691" s="209" t="n"/>
      <c r="J691" s="209" t="n"/>
      <c r="K691" s="186" t="n"/>
      <c r="L691" s="176" t="n"/>
      <c r="M691" s="176" t="n"/>
      <c r="N691" s="176" t="n"/>
      <c r="O691" s="176" t="n"/>
      <c r="P691" s="176" t="n"/>
      <c r="Q691" s="176" t="n"/>
      <c r="R691" s="176" t="n"/>
      <c r="S691" s="176" t="n"/>
      <c r="T691" s="176" t="n"/>
      <c r="U691" s="176" t="n"/>
      <c r="V691" s="176" t="n"/>
      <c r="W691" s="176" t="n"/>
      <c r="X691" s="176" t="n"/>
      <c r="Y691" s="176" t="n"/>
      <c r="Z691" s="176" t="n"/>
      <c r="AA691" s="176" t="n"/>
      <c r="AB691" s="176" t="n"/>
    </row>
    <row r="692">
      <c r="A692" s="176" t="n"/>
      <c r="B692" s="176" t="n"/>
      <c r="C692" s="176" t="n"/>
      <c r="D692" s="176" t="n"/>
      <c r="E692" s="186" t="n"/>
      <c r="F692" s="209" t="n"/>
      <c r="G692" s="209" t="n"/>
      <c r="H692" s="209" t="n"/>
      <c r="I692" s="209" t="n"/>
      <c r="J692" s="209" t="n"/>
      <c r="K692" s="186" t="n"/>
      <c r="L692" s="176" t="n"/>
      <c r="M692" s="176" t="n"/>
      <c r="N692" s="176" t="n"/>
      <c r="O692" s="176" t="n"/>
      <c r="P692" s="176" t="n"/>
      <c r="Q692" s="176" t="n"/>
      <c r="R692" s="176" t="n"/>
      <c r="S692" s="176" t="n"/>
      <c r="T692" s="176" t="n"/>
      <c r="U692" s="176" t="n"/>
      <c r="V692" s="176" t="n"/>
      <c r="W692" s="176" t="n"/>
      <c r="X692" s="176" t="n"/>
      <c r="Y692" s="176" t="n"/>
      <c r="Z692" s="176" t="n"/>
      <c r="AA692" s="176" t="n"/>
      <c r="AB692" s="176" t="n"/>
    </row>
    <row r="693">
      <c r="A693" s="176" t="n"/>
      <c r="B693" s="176" t="n"/>
      <c r="C693" s="176" t="n"/>
      <c r="D693" s="176" t="n"/>
      <c r="E693" s="186" t="n"/>
      <c r="F693" s="209" t="n"/>
      <c r="G693" s="209" t="n"/>
      <c r="H693" s="209" t="n"/>
      <c r="I693" s="209" t="n"/>
      <c r="J693" s="209" t="n"/>
      <c r="K693" s="186" t="n"/>
      <c r="L693" s="176" t="n"/>
      <c r="M693" s="176" t="n"/>
      <c r="N693" s="176" t="n"/>
      <c r="O693" s="176" t="n"/>
      <c r="P693" s="176" t="n"/>
      <c r="Q693" s="176" t="n"/>
      <c r="R693" s="176" t="n"/>
      <c r="S693" s="176" t="n"/>
      <c r="T693" s="176" t="n"/>
      <c r="U693" s="176" t="n"/>
      <c r="V693" s="176" t="n"/>
      <c r="W693" s="176" t="n"/>
      <c r="X693" s="176" t="n"/>
      <c r="Y693" s="176" t="n"/>
      <c r="Z693" s="176" t="n"/>
      <c r="AA693" s="176" t="n"/>
      <c r="AB693" s="176" t="n"/>
    </row>
    <row r="694">
      <c r="A694" s="176" t="n"/>
      <c r="B694" s="176" t="n"/>
      <c r="C694" s="176" t="n"/>
      <c r="D694" s="176" t="n"/>
      <c r="E694" s="186" t="n"/>
      <c r="F694" s="209" t="n"/>
      <c r="G694" s="209" t="n"/>
      <c r="H694" s="209" t="n"/>
      <c r="I694" s="209" t="n"/>
      <c r="J694" s="209" t="n"/>
      <c r="K694" s="186" t="n"/>
      <c r="L694" s="176" t="n"/>
      <c r="M694" s="176" t="n"/>
      <c r="N694" s="176" t="n"/>
      <c r="O694" s="176" t="n"/>
      <c r="P694" s="176" t="n"/>
      <c r="Q694" s="176" t="n"/>
      <c r="R694" s="176" t="n"/>
      <c r="S694" s="176" t="n"/>
      <c r="T694" s="176" t="n"/>
      <c r="U694" s="176" t="n"/>
      <c r="V694" s="176" t="n"/>
      <c r="W694" s="176" t="n"/>
      <c r="X694" s="176" t="n"/>
      <c r="Y694" s="176" t="n"/>
      <c r="Z694" s="176" t="n"/>
      <c r="AA694" s="176" t="n"/>
      <c r="AB694" s="176" t="n"/>
    </row>
    <row r="695">
      <c r="A695" s="176" t="n"/>
      <c r="B695" s="176" t="n"/>
      <c r="C695" s="176" t="n"/>
      <c r="D695" s="176" t="n"/>
      <c r="E695" s="186" t="n"/>
      <c r="F695" s="209" t="n"/>
      <c r="G695" s="209" t="n"/>
      <c r="H695" s="209" t="n"/>
      <c r="I695" s="209" t="n"/>
      <c r="J695" s="209" t="n"/>
      <c r="K695" s="186" t="n"/>
      <c r="L695" s="176" t="n"/>
      <c r="M695" s="176" t="n"/>
      <c r="N695" s="176" t="n"/>
      <c r="O695" s="176" t="n"/>
      <c r="P695" s="176" t="n"/>
      <c r="Q695" s="176" t="n"/>
      <c r="R695" s="176" t="n"/>
      <c r="S695" s="176" t="n"/>
      <c r="T695" s="176" t="n"/>
      <c r="U695" s="176" t="n"/>
      <c r="V695" s="176" t="n"/>
      <c r="W695" s="176" t="n"/>
      <c r="X695" s="176" t="n"/>
      <c r="Y695" s="176" t="n"/>
      <c r="Z695" s="176" t="n"/>
      <c r="AA695" s="176" t="n"/>
      <c r="AB695" s="176" t="n"/>
    </row>
    <row r="696">
      <c r="A696" s="176" t="n"/>
      <c r="B696" s="176" t="n"/>
      <c r="C696" s="176" t="n"/>
      <c r="D696" s="176" t="n"/>
      <c r="E696" s="186" t="n"/>
      <c r="F696" s="209" t="n"/>
      <c r="G696" s="209" t="n"/>
      <c r="H696" s="209" t="n"/>
      <c r="I696" s="209" t="n"/>
      <c r="J696" s="209" t="n"/>
      <c r="K696" s="186" t="n"/>
      <c r="L696" s="176" t="n"/>
      <c r="M696" s="176" t="n"/>
      <c r="N696" s="176" t="n"/>
      <c r="O696" s="176" t="n"/>
      <c r="P696" s="176" t="n"/>
      <c r="Q696" s="176" t="n"/>
      <c r="R696" s="176" t="n"/>
      <c r="S696" s="176" t="n"/>
      <c r="T696" s="176" t="n"/>
      <c r="U696" s="176" t="n"/>
      <c r="V696" s="176" t="n"/>
      <c r="W696" s="176" t="n"/>
      <c r="X696" s="176" t="n"/>
      <c r="Y696" s="176" t="n"/>
      <c r="Z696" s="176" t="n"/>
      <c r="AA696" s="176" t="n"/>
      <c r="AB696" s="176" t="n"/>
    </row>
    <row r="697">
      <c r="A697" s="176" t="n"/>
      <c r="B697" s="176" t="n"/>
      <c r="C697" s="176" t="n"/>
      <c r="D697" s="176" t="n"/>
      <c r="E697" s="186" t="n"/>
      <c r="F697" s="209" t="n"/>
      <c r="G697" s="209" t="n"/>
      <c r="H697" s="209" t="n"/>
      <c r="I697" s="209" t="n"/>
      <c r="J697" s="209" t="n"/>
      <c r="K697" s="186" t="n"/>
      <c r="L697" s="176" t="n"/>
      <c r="M697" s="176" t="n"/>
      <c r="N697" s="176" t="n"/>
      <c r="O697" s="176" t="n"/>
      <c r="P697" s="176" t="n"/>
      <c r="Q697" s="176" t="n"/>
      <c r="R697" s="176" t="n"/>
      <c r="S697" s="176" t="n"/>
      <c r="T697" s="176" t="n"/>
      <c r="U697" s="176" t="n"/>
      <c r="V697" s="176" t="n"/>
      <c r="W697" s="176" t="n"/>
      <c r="X697" s="176" t="n"/>
      <c r="Y697" s="176" t="n"/>
      <c r="Z697" s="176" t="n"/>
      <c r="AA697" s="176" t="n"/>
      <c r="AB697" s="176" t="n"/>
    </row>
    <row r="698">
      <c r="A698" s="176" t="n"/>
      <c r="B698" s="176" t="n"/>
      <c r="C698" s="176" t="n"/>
      <c r="D698" s="176" t="n"/>
      <c r="E698" s="186" t="n"/>
      <c r="F698" s="209" t="n"/>
      <c r="G698" s="209" t="n"/>
      <c r="H698" s="209" t="n"/>
      <c r="I698" s="209" t="n"/>
      <c r="J698" s="209" t="n"/>
      <c r="K698" s="186" t="n"/>
      <c r="L698" s="176" t="n"/>
      <c r="M698" s="176" t="n"/>
      <c r="N698" s="176" t="n"/>
      <c r="O698" s="176" t="n"/>
      <c r="P698" s="176" t="n"/>
      <c r="Q698" s="176" t="n"/>
      <c r="R698" s="176" t="n"/>
      <c r="S698" s="176" t="n"/>
      <c r="T698" s="176" t="n"/>
      <c r="U698" s="176" t="n"/>
      <c r="V698" s="176" t="n"/>
      <c r="W698" s="176" t="n"/>
      <c r="X698" s="176" t="n"/>
      <c r="Y698" s="176" t="n"/>
      <c r="Z698" s="176" t="n"/>
      <c r="AA698" s="176" t="n"/>
      <c r="AB698" s="176" t="n"/>
    </row>
    <row r="699">
      <c r="A699" s="176" t="n"/>
      <c r="B699" s="176" t="n"/>
      <c r="C699" s="176" t="n"/>
      <c r="D699" s="176" t="n"/>
      <c r="E699" s="186" t="n"/>
      <c r="F699" s="209" t="n"/>
      <c r="G699" s="209" t="n"/>
      <c r="H699" s="209" t="n"/>
      <c r="I699" s="209" t="n"/>
      <c r="J699" s="209" t="n"/>
      <c r="K699" s="186" t="n"/>
      <c r="L699" s="176" t="n"/>
      <c r="M699" s="176" t="n"/>
      <c r="N699" s="176" t="n"/>
      <c r="O699" s="176" t="n"/>
      <c r="P699" s="176" t="n"/>
      <c r="Q699" s="176" t="n"/>
      <c r="R699" s="176" t="n"/>
      <c r="S699" s="176" t="n"/>
      <c r="T699" s="176" t="n"/>
      <c r="U699" s="176" t="n"/>
      <c r="V699" s="176" t="n"/>
      <c r="W699" s="176" t="n"/>
      <c r="X699" s="176" t="n"/>
      <c r="Y699" s="176" t="n"/>
      <c r="Z699" s="176" t="n"/>
      <c r="AA699" s="176" t="n"/>
      <c r="AB699" s="176" t="n"/>
    </row>
    <row r="700">
      <c r="A700" s="176" t="n"/>
      <c r="B700" s="176" t="n"/>
      <c r="C700" s="176" t="n"/>
      <c r="D700" s="176" t="n"/>
      <c r="E700" s="186" t="n"/>
      <c r="F700" s="209" t="n"/>
      <c r="G700" s="209" t="n"/>
      <c r="H700" s="209" t="n"/>
      <c r="I700" s="209" t="n"/>
      <c r="J700" s="209" t="n"/>
      <c r="K700" s="186" t="n"/>
      <c r="L700" s="176" t="n"/>
      <c r="M700" s="176" t="n"/>
      <c r="N700" s="176" t="n"/>
      <c r="O700" s="176" t="n"/>
      <c r="P700" s="176" t="n"/>
      <c r="Q700" s="176" t="n"/>
      <c r="R700" s="176" t="n"/>
      <c r="S700" s="176" t="n"/>
      <c r="T700" s="176" t="n"/>
      <c r="U700" s="176" t="n"/>
      <c r="V700" s="176" t="n"/>
      <c r="W700" s="176" t="n"/>
      <c r="X700" s="176" t="n"/>
      <c r="Y700" s="176" t="n"/>
      <c r="Z700" s="176" t="n"/>
      <c r="AA700" s="176" t="n"/>
      <c r="AB700" s="176" t="n"/>
    </row>
    <row r="701">
      <c r="A701" s="176" t="n"/>
      <c r="B701" s="176" t="n"/>
      <c r="C701" s="176" t="n"/>
      <c r="D701" s="176" t="n"/>
      <c r="E701" s="186" t="n"/>
      <c r="F701" s="209" t="n"/>
      <c r="G701" s="209" t="n"/>
      <c r="H701" s="209" t="n"/>
      <c r="I701" s="209" t="n"/>
      <c r="J701" s="209" t="n"/>
      <c r="K701" s="186" t="n"/>
      <c r="L701" s="176" t="n"/>
      <c r="M701" s="176" t="n"/>
      <c r="N701" s="176" t="n"/>
      <c r="O701" s="176" t="n"/>
      <c r="P701" s="176" t="n"/>
      <c r="Q701" s="176" t="n"/>
      <c r="R701" s="176" t="n"/>
      <c r="S701" s="176" t="n"/>
      <c r="T701" s="176" t="n"/>
      <c r="U701" s="176" t="n"/>
      <c r="V701" s="176" t="n"/>
      <c r="W701" s="176" t="n"/>
      <c r="X701" s="176" t="n"/>
      <c r="Y701" s="176" t="n"/>
      <c r="Z701" s="176" t="n"/>
      <c r="AA701" s="176" t="n"/>
      <c r="AB701" s="176" t="n"/>
    </row>
    <row r="702">
      <c r="A702" s="176" t="n"/>
      <c r="B702" s="176" t="n"/>
      <c r="C702" s="176" t="n"/>
      <c r="D702" s="176" t="n"/>
      <c r="E702" s="186" t="n"/>
      <c r="F702" s="209" t="n"/>
      <c r="G702" s="209" t="n"/>
      <c r="H702" s="209" t="n"/>
      <c r="I702" s="209" t="n"/>
      <c r="J702" s="209" t="n"/>
      <c r="K702" s="186" t="n"/>
      <c r="L702" s="176" t="n"/>
      <c r="M702" s="176" t="n"/>
      <c r="N702" s="176" t="n"/>
      <c r="O702" s="176" t="n"/>
      <c r="P702" s="176" t="n"/>
      <c r="Q702" s="176" t="n"/>
      <c r="R702" s="176" t="n"/>
      <c r="S702" s="176" t="n"/>
      <c r="T702" s="176" t="n"/>
      <c r="U702" s="176" t="n"/>
      <c r="V702" s="176" t="n"/>
      <c r="W702" s="176" t="n"/>
      <c r="X702" s="176" t="n"/>
      <c r="Y702" s="176" t="n"/>
      <c r="Z702" s="176" t="n"/>
      <c r="AA702" s="176" t="n"/>
      <c r="AB702" s="176" t="n"/>
    </row>
    <row r="703">
      <c r="A703" s="176" t="n"/>
      <c r="B703" s="176" t="n"/>
      <c r="C703" s="176" t="n"/>
      <c r="D703" s="176" t="n"/>
      <c r="E703" s="186" t="n"/>
      <c r="F703" s="209" t="n"/>
      <c r="G703" s="209" t="n"/>
      <c r="H703" s="209" t="n"/>
      <c r="I703" s="209" t="n"/>
      <c r="J703" s="209" t="n"/>
      <c r="K703" s="186" t="n"/>
      <c r="L703" s="176" t="n"/>
      <c r="M703" s="176" t="n"/>
      <c r="N703" s="176" t="n"/>
      <c r="O703" s="176" t="n"/>
      <c r="P703" s="176" t="n"/>
      <c r="Q703" s="176" t="n"/>
      <c r="R703" s="176" t="n"/>
      <c r="S703" s="176" t="n"/>
      <c r="T703" s="176" t="n"/>
      <c r="U703" s="176" t="n"/>
      <c r="V703" s="176" t="n"/>
      <c r="W703" s="176" t="n"/>
      <c r="X703" s="176" t="n"/>
      <c r="Y703" s="176" t="n"/>
      <c r="Z703" s="176" t="n"/>
      <c r="AA703" s="176" t="n"/>
      <c r="AB703" s="176" t="n"/>
    </row>
    <row r="704">
      <c r="A704" s="176" t="n"/>
      <c r="B704" s="176" t="n"/>
      <c r="C704" s="176" t="n"/>
      <c r="D704" s="176" t="n"/>
      <c r="E704" s="186" t="n"/>
      <c r="F704" s="209" t="n"/>
      <c r="G704" s="209" t="n"/>
      <c r="H704" s="209" t="n"/>
      <c r="I704" s="209" t="n"/>
      <c r="J704" s="209" t="n"/>
      <c r="K704" s="186" t="n"/>
      <c r="L704" s="176" t="n"/>
      <c r="M704" s="176" t="n"/>
      <c r="N704" s="176" t="n"/>
      <c r="O704" s="176" t="n"/>
      <c r="P704" s="176" t="n"/>
      <c r="Q704" s="176" t="n"/>
      <c r="R704" s="176" t="n"/>
      <c r="S704" s="176" t="n"/>
      <c r="T704" s="176" t="n"/>
      <c r="U704" s="176" t="n"/>
      <c r="V704" s="176" t="n"/>
      <c r="W704" s="176" t="n"/>
      <c r="X704" s="176" t="n"/>
      <c r="Y704" s="176" t="n"/>
      <c r="Z704" s="176" t="n"/>
      <c r="AA704" s="176" t="n"/>
      <c r="AB704" s="176" t="n"/>
    </row>
    <row r="705">
      <c r="A705" s="176" t="n"/>
      <c r="B705" s="176" t="n"/>
      <c r="C705" s="176" t="n"/>
      <c r="D705" s="176" t="n"/>
      <c r="E705" s="186" t="n"/>
      <c r="F705" s="209" t="n"/>
      <c r="G705" s="209" t="n"/>
      <c r="H705" s="209" t="n"/>
      <c r="I705" s="209" t="n"/>
      <c r="J705" s="209" t="n"/>
      <c r="K705" s="186" t="n"/>
      <c r="L705" s="176" t="n"/>
      <c r="M705" s="176" t="n"/>
      <c r="N705" s="176" t="n"/>
      <c r="O705" s="176" t="n"/>
      <c r="P705" s="176" t="n"/>
      <c r="Q705" s="176" t="n"/>
      <c r="R705" s="176" t="n"/>
      <c r="S705" s="176" t="n"/>
      <c r="T705" s="176" t="n"/>
      <c r="U705" s="176" t="n"/>
      <c r="V705" s="176" t="n"/>
      <c r="W705" s="176" t="n"/>
      <c r="X705" s="176" t="n"/>
      <c r="Y705" s="176" t="n"/>
      <c r="Z705" s="176" t="n"/>
      <c r="AA705" s="176" t="n"/>
      <c r="AB705" s="176" t="n"/>
    </row>
    <row r="706">
      <c r="A706" s="176" t="n"/>
      <c r="B706" s="176" t="n"/>
      <c r="C706" s="176" t="n"/>
      <c r="D706" s="176" t="n"/>
      <c r="E706" s="186" t="n"/>
      <c r="F706" s="209" t="n"/>
      <c r="G706" s="209" t="n"/>
      <c r="H706" s="209" t="n"/>
      <c r="I706" s="209" t="n"/>
      <c r="J706" s="209" t="n"/>
      <c r="K706" s="186" t="n"/>
      <c r="L706" s="176" t="n"/>
      <c r="M706" s="176" t="n"/>
      <c r="N706" s="176" t="n"/>
      <c r="O706" s="176" t="n"/>
      <c r="P706" s="176" t="n"/>
      <c r="Q706" s="176" t="n"/>
      <c r="R706" s="176" t="n"/>
      <c r="S706" s="176" t="n"/>
      <c r="T706" s="176" t="n"/>
      <c r="U706" s="176" t="n"/>
      <c r="V706" s="176" t="n"/>
      <c r="W706" s="176" t="n"/>
      <c r="X706" s="176" t="n"/>
      <c r="Y706" s="176" t="n"/>
      <c r="Z706" s="176" t="n"/>
      <c r="AA706" s="176" t="n"/>
      <c r="AB706" s="176" t="n"/>
    </row>
    <row r="707">
      <c r="A707" s="176" t="n"/>
      <c r="B707" s="176" t="n"/>
      <c r="C707" s="176" t="n"/>
      <c r="D707" s="176" t="n"/>
      <c r="E707" s="186" t="n"/>
      <c r="F707" s="209" t="n"/>
      <c r="G707" s="209" t="n"/>
      <c r="H707" s="209" t="n"/>
      <c r="I707" s="209" t="n"/>
      <c r="J707" s="209" t="n"/>
      <c r="K707" s="186" t="n"/>
      <c r="L707" s="176" t="n"/>
      <c r="M707" s="176" t="n"/>
      <c r="N707" s="176" t="n"/>
      <c r="O707" s="176" t="n"/>
      <c r="P707" s="176" t="n"/>
      <c r="Q707" s="176" t="n"/>
      <c r="R707" s="176" t="n"/>
      <c r="S707" s="176" t="n"/>
      <c r="T707" s="176" t="n"/>
      <c r="U707" s="176" t="n"/>
      <c r="V707" s="176" t="n"/>
      <c r="W707" s="176" t="n"/>
      <c r="X707" s="176" t="n"/>
      <c r="Y707" s="176" t="n"/>
      <c r="Z707" s="176" t="n"/>
      <c r="AA707" s="176" t="n"/>
      <c r="AB707" s="176" t="n"/>
    </row>
    <row r="708">
      <c r="A708" s="176" t="n"/>
      <c r="B708" s="176" t="n"/>
      <c r="C708" s="176" t="n"/>
      <c r="D708" s="176" t="n"/>
      <c r="E708" s="186" t="n"/>
      <c r="F708" s="209" t="n"/>
      <c r="G708" s="209" t="n"/>
      <c r="H708" s="209" t="n"/>
      <c r="I708" s="209" t="n"/>
      <c r="J708" s="209" t="n"/>
      <c r="K708" s="186" t="n"/>
      <c r="L708" s="176" t="n"/>
      <c r="M708" s="176" t="n"/>
      <c r="N708" s="176" t="n"/>
      <c r="O708" s="176" t="n"/>
      <c r="P708" s="176" t="n"/>
      <c r="Q708" s="176" t="n"/>
      <c r="R708" s="176" t="n"/>
      <c r="S708" s="176" t="n"/>
      <c r="T708" s="176" t="n"/>
      <c r="U708" s="176" t="n"/>
      <c r="V708" s="176" t="n"/>
      <c r="W708" s="176" t="n"/>
      <c r="X708" s="176" t="n"/>
      <c r="Y708" s="176" t="n"/>
      <c r="Z708" s="176" t="n"/>
      <c r="AA708" s="176" t="n"/>
      <c r="AB708" s="176" t="n"/>
    </row>
    <row r="709">
      <c r="A709" s="176" t="n"/>
      <c r="B709" s="176" t="n"/>
      <c r="C709" s="176" t="n"/>
      <c r="D709" s="176" t="n"/>
      <c r="E709" s="186" t="n"/>
      <c r="F709" s="209" t="n"/>
      <c r="G709" s="209" t="n"/>
      <c r="H709" s="209" t="n"/>
      <c r="I709" s="209" t="n"/>
      <c r="J709" s="209" t="n"/>
      <c r="K709" s="186" t="n"/>
      <c r="L709" s="176" t="n"/>
      <c r="M709" s="176" t="n"/>
      <c r="N709" s="176" t="n"/>
      <c r="O709" s="176" t="n"/>
      <c r="P709" s="176" t="n"/>
      <c r="Q709" s="176" t="n"/>
      <c r="R709" s="176" t="n"/>
      <c r="S709" s="176" t="n"/>
      <c r="T709" s="176" t="n"/>
      <c r="U709" s="176" t="n"/>
      <c r="V709" s="176" t="n"/>
      <c r="W709" s="176" t="n"/>
      <c r="X709" s="176" t="n"/>
      <c r="Y709" s="176" t="n"/>
      <c r="Z709" s="176" t="n"/>
      <c r="AA709" s="176" t="n"/>
      <c r="AB709" s="176" t="n"/>
    </row>
    <row r="710">
      <c r="A710" s="176" t="n"/>
      <c r="B710" s="176" t="n"/>
      <c r="C710" s="176" t="n"/>
      <c r="D710" s="176" t="n"/>
      <c r="E710" s="186" t="n"/>
      <c r="F710" s="209" t="n"/>
      <c r="G710" s="209" t="n"/>
      <c r="H710" s="209" t="n"/>
      <c r="I710" s="209" t="n"/>
      <c r="J710" s="209" t="n"/>
      <c r="K710" s="186" t="n"/>
      <c r="L710" s="176" t="n"/>
      <c r="M710" s="176" t="n"/>
      <c r="N710" s="176" t="n"/>
      <c r="O710" s="176" t="n"/>
      <c r="P710" s="176" t="n"/>
      <c r="Q710" s="176" t="n"/>
      <c r="R710" s="176" t="n"/>
      <c r="S710" s="176" t="n"/>
      <c r="T710" s="176" t="n"/>
      <c r="U710" s="176" t="n"/>
      <c r="V710" s="176" t="n"/>
      <c r="W710" s="176" t="n"/>
      <c r="X710" s="176" t="n"/>
      <c r="Y710" s="176" t="n"/>
      <c r="Z710" s="176" t="n"/>
      <c r="AA710" s="176" t="n"/>
      <c r="AB710" s="176" t="n"/>
    </row>
    <row r="711">
      <c r="A711" s="176" t="n"/>
      <c r="B711" s="176" t="n"/>
      <c r="C711" s="176" t="n"/>
      <c r="D711" s="176" t="n"/>
      <c r="E711" s="186" t="n"/>
      <c r="F711" s="209" t="n"/>
      <c r="G711" s="209" t="n"/>
      <c r="H711" s="209" t="n"/>
      <c r="I711" s="209" t="n"/>
      <c r="J711" s="209" t="n"/>
      <c r="K711" s="186" t="n"/>
      <c r="L711" s="176" t="n"/>
      <c r="M711" s="176" t="n"/>
      <c r="N711" s="176" t="n"/>
      <c r="O711" s="176" t="n"/>
      <c r="P711" s="176" t="n"/>
      <c r="Q711" s="176" t="n"/>
      <c r="R711" s="176" t="n"/>
      <c r="S711" s="176" t="n"/>
      <c r="T711" s="176" t="n"/>
      <c r="U711" s="176" t="n"/>
      <c r="V711" s="176" t="n"/>
      <c r="W711" s="176" t="n"/>
      <c r="X711" s="176" t="n"/>
      <c r="Y711" s="176" t="n"/>
      <c r="Z711" s="176" t="n"/>
      <c r="AA711" s="176" t="n"/>
      <c r="AB711" s="176" t="n"/>
    </row>
    <row r="712">
      <c r="A712" s="176" t="n"/>
      <c r="B712" s="176" t="n"/>
      <c r="C712" s="176" t="n"/>
      <c r="D712" s="176" t="n"/>
      <c r="E712" s="186" t="n"/>
      <c r="F712" s="209" t="n"/>
      <c r="G712" s="209" t="n"/>
      <c r="H712" s="209" t="n"/>
      <c r="I712" s="209" t="n"/>
      <c r="J712" s="209" t="n"/>
      <c r="K712" s="186" t="n"/>
      <c r="L712" s="176" t="n"/>
      <c r="M712" s="176" t="n"/>
      <c r="N712" s="176" t="n"/>
      <c r="O712" s="176" t="n"/>
      <c r="P712" s="176" t="n"/>
      <c r="Q712" s="176" t="n"/>
      <c r="R712" s="176" t="n"/>
      <c r="S712" s="176" t="n"/>
      <c r="T712" s="176" t="n"/>
      <c r="U712" s="176" t="n"/>
      <c r="V712" s="176" t="n"/>
      <c r="W712" s="176" t="n"/>
      <c r="X712" s="176" t="n"/>
      <c r="Y712" s="176" t="n"/>
      <c r="Z712" s="176" t="n"/>
      <c r="AA712" s="176" t="n"/>
      <c r="AB712" s="176" t="n"/>
    </row>
    <row r="713">
      <c r="A713" s="176" t="n"/>
      <c r="B713" s="176" t="n"/>
      <c r="C713" s="176" t="n"/>
      <c r="D713" s="176" t="n"/>
      <c r="E713" s="186" t="n"/>
      <c r="F713" s="209" t="n"/>
      <c r="G713" s="209" t="n"/>
      <c r="H713" s="209" t="n"/>
      <c r="I713" s="209" t="n"/>
      <c r="J713" s="209" t="n"/>
      <c r="K713" s="186" t="n"/>
      <c r="L713" s="176" t="n"/>
      <c r="M713" s="176" t="n"/>
      <c r="N713" s="176" t="n"/>
      <c r="O713" s="176" t="n"/>
      <c r="P713" s="176" t="n"/>
      <c r="Q713" s="176" t="n"/>
      <c r="R713" s="176" t="n"/>
      <c r="S713" s="176" t="n"/>
      <c r="T713" s="176" t="n"/>
      <c r="U713" s="176" t="n"/>
      <c r="V713" s="176" t="n"/>
      <c r="W713" s="176" t="n"/>
      <c r="X713" s="176" t="n"/>
      <c r="Y713" s="176" t="n"/>
      <c r="Z713" s="176" t="n"/>
      <c r="AA713" s="176" t="n"/>
      <c r="AB713" s="176" t="n"/>
    </row>
    <row r="714">
      <c r="A714" s="176" t="n"/>
      <c r="B714" s="176" t="n"/>
      <c r="C714" s="176" t="n"/>
      <c r="D714" s="176" t="n"/>
      <c r="E714" s="186" t="n"/>
      <c r="F714" s="209" t="n"/>
      <c r="G714" s="209" t="n"/>
      <c r="H714" s="209" t="n"/>
      <c r="I714" s="209" t="n"/>
      <c r="J714" s="209" t="n"/>
      <c r="K714" s="186" t="n"/>
      <c r="L714" s="176" t="n"/>
      <c r="M714" s="176" t="n"/>
      <c r="N714" s="176" t="n"/>
      <c r="O714" s="176" t="n"/>
      <c r="P714" s="176" t="n"/>
      <c r="Q714" s="176" t="n"/>
      <c r="R714" s="176" t="n"/>
      <c r="S714" s="176" t="n"/>
      <c r="T714" s="176" t="n"/>
      <c r="U714" s="176" t="n"/>
      <c r="V714" s="176" t="n"/>
      <c r="W714" s="176" t="n"/>
      <c r="X714" s="176" t="n"/>
      <c r="Y714" s="176" t="n"/>
      <c r="Z714" s="176" t="n"/>
      <c r="AA714" s="176" t="n"/>
      <c r="AB714" s="176" t="n"/>
    </row>
    <row r="715">
      <c r="A715" s="176" t="n"/>
      <c r="B715" s="176" t="n"/>
      <c r="C715" s="176" t="n"/>
      <c r="D715" s="176" t="n"/>
      <c r="E715" s="186" t="n"/>
      <c r="F715" s="209" t="n"/>
      <c r="G715" s="209" t="n"/>
      <c r="H715" s="209" t="n"/>
      <c r="I715" s="209" t="n"/>
      <c r="J715" s="209" t="n"/>
      <c r="K715" s="186" t="n"/>
      <c r="L715" s="176" t="n"/>
      <c r="M715" s="176" t="n"/>
      <c r="N715" s="176" t="n"/>
      <c r="O715" s="176" t="n"/>
      <c r="P715" s="176" t="n"/>
      <c r="Q715" s="176" t="n"/>
      <c r="R715" s="176" t="n"/>
      <c r="S715" s="176" t="n"/>
      <c r="T715" s="176" t="n"/>
      <c r="U715" s="176" t="n"/>
      <c r="V715" s="176" t="n"/>
      <c r="W715" s="176" t="n"/>
      <c r="X715" s="176" t="n"/>
      <c r="Y715" s="176" t="n"/>
      <c r="Z715" s="176" t="n"/>
      <c r="AA715" s="176" t="n"/>
      <c r="AB715" s="176" t="n"/>
    </row>
    <row r="716">
      <c r="A716" s="176" t="n"/>
      <c r="B716" s="176" t="n"/>
      <c r="C716" s="176" t="n"/>
      <c r="D716" s="176" t="n"/>
      <c r="E716" s="186" t="n"/>
      <c r="F716" s="209" t="n"/>
      <c r="G716" s="209" t="n"/>
      <c r="H716" s="209" t="n"/>
      <c r="I716" s="209" t="n"/>
      <c r="J716" s="209" t="n"/>
      <c r="K716" s="186" t="n"/>
      <c r="L716" s="176" t="n"/>
      <c r="M716" s="176" t="n"/>
      <c r="N716" s="176" t="n"/>
      <c r="O716" s="176" t="n"/>
      <c r="P716" s="176" t="n"/>
      <c r="Q716" s="176" t="n"/>
      <c r="R716" s="176" t="n"/>
      <c r="S716" s="176" t="n"/>
      <c r="T716" s="176" t="n"/>
      <c r="U716" s="176" t="n"/>
      <c r="V716" s="176" t="n"/>
      <c r="W716" s="176" t="n"/>
      <c r="X716" s="176" t="n"/>
      <c r="Y716" s="176" t="n"/>
      <c r="Z716" s="176" t="n"/>
      <c r="AA716" s="176" t="n"/>
      <c r="AB716" s="176" t="n"/>
    </row>
    <row r="717">
      <c r="A717" s="176" t="n"/>
      <c r="B717" s="176" t="n"/>
      <c r="C717" s="176" t="n"/>
      <c r="D717" s="176" t="n"/>
      <c r="E717" s="186" t="n"/>
      <c r="F717" s="209" t="n"/>
      <c r="G717" s="209" t="n"/>
      <c r="H717" s="209" t="n"/>
      <c r="I717" s="209" t="n"/>
      <c r="J717" s="209" t="n"/>
      <c r="K717" s="186" t="n"/>
      <c r="L717" s="176" t="n"/>
      <c r="M717" s="176" t="n"/>
      <c r="N717" s="176" t="n"/>
      <c r="O717" s="176" t="n"/>
      <c r="P717" s="176" t="n"/>
      <c r="Q717" s="176" t="n"/>
      <c r="R717" s="176" t="n"/>
      <c r="S717" s="176" t="n"/>
      <c r="T717" s="176" t="n"/>
      <c r="U717" s="176" t="n"/>
      <c r="V717" s="176" t="n"/>
      <c r="W717" s="176" t="n"/>
      <c r="X717" s="176" t="n"/>
      <c r="Y717" s="176" t="n"/>
      <c r="Z717" s="176" t="n"/>
      <c r="AA717" s="176" t="n"/>
      <c r="AB717" s="176" t="n"/>
    </row>
    <row r="718">
      <c r="A718" s="176" t="n"/>
      <c r="B718" s="176" t="n"/>
      <c r="C718" s="176" t="n"/>
      <c r="D718" s="176" t="n"/>
      <c r="E718" s="186" t="n"/>
      <c r="F718" s="209" t="n"/>
      <c r="G718" s="209" t="n"/>
      <c r="H718" s="209" t="n"/>
      <c r="I718" s="209" t="n"/>
      <c r="J718" s="209" t="n"/>
      <c r="K718" s="186" t="n"/>
      <c r="L718" s="176" t="n"/>
      <c r="M718" s="176" t="n"/>
      <c r="N718" s="176" t="n"/>
      <c r="O718" s="176" t="n"/>
      <c r="P718" s="176" t="n"/>
      <c r="Q718" s="176" t="n"/>
      <c r="R718" s="176" t="n"/>
      <c r="S718" s="176" t="n"/>
      <c r="T718" s="176" t="n"/>
      <c r="U718" s="176" t="n"/>
      <c r="V718" s="176" t="n"/>
      <c r="W718" s="176" t="n"/>
      <c r="X718" s="176" t="n"/>
      <c r="Y718" s="176" t="n"/>
      <c r="Z718" s="176" t="n"/>
      <c r="AA718" s="176" t="n"/>
      <c r="AB718" s="176" t="n"/>
    </row>
    <row r="719">
      <c r="A719" s="176" t="n"/>
      <c r="B719" s="176" t="n"/>
      <c r="C719" s="176" t="n"/>
      <c r="D719" s="176" t="n"/>
      <c r="E719" s="186" t="n"/>
      <c r="F719" s="209" t="n"/>
      <c r="G719" s="209" t="n"/>
      <c r="H719" s="209" t="n"/>
      <c r="I719" s="209" t="n"/>
      <c r="J719" s="209" t="n"/>
      <c r="K719" s="186" t="n"/>
      <c r="L719" s="176" t="n"/>
      <c r="M719" s="176" t="n"/>
      <c r="N719" s="176" t="n"/>
      <c r="O719" s="176" t="n"/>
      <c r="P719" s="176" t="n"/>
      <c r="Q719" s="176" t="n"/>
      <c r="R719" s="176" t="n"/>
      <c r="S719" s="176" t="n"/>
      <c r="T719" s="176" t="n"/>
      <c r="U719" s="176" t="n"/>
      <c r="V719" s="176" t="n"/>
      <c r="W719" s="176" t="n"/>
      <c r="X719" s="176" t="n"/>
      <c r="Y719" s="176" t="n"/>
      <c r="Z719" s="176" t="n"/>
      <c r="AA719" s="176" t="n"/>
      <c r="AB719" s="176" t="n"/>
    </row>
    <row r="720">
      <c r="A720" s="176" t="n"/>
      <c r="B720" s="176" t="n"/>
      <c r="C720" s="176" t="n"/>
      <c r="D720" s="176" t="n"/>
      <c r="E720" s="186" t="n"/>
      <c r="F720" s="209" t="n"/>
      <c r="G720" s="209" t="n"/>
      <c r="H720" s="209" t="n"/>
      <c r="I720" s="209" t="n"/>
      <c r="J720" s="209" t="n"/>
      <c r="K720" s="186" t="n"/>
      <c r="L720" s="176" t="n"/>
      <c r="M720" s="176" t="n"/>
      <c r="N720" s="176" t="n"/>
      <c r="O720" s="176" t="n"/>
      <c r="P720" s="176" t="n"/>
      <c r="Q720" s="176" t="n"/>
      <c r="R720" s="176" t="n"/>
      <c r="S720" s="176" t="n"/>
      <c r="T720" s="176" t="n"/>
      <c r="U720" s="176" t="n"/>
      <c r="V720" s="176" t="n"/>
      <c r="W720" s="176" t="n"/>
      <c r="X720" s="176" t="n"/>
      <c r="Y720" s="176" t="n"/>
      <c r="Z720" s="176" t="n"/>
      <c r="AA720" s="176" t="n"/>
      <c r="AB720" s="176" t="n"/>
    </row>
    <row r="721">
      <c r="A721" s="176" t="n"/>
      <c r="B721" s="176" t="n"/>
      <c r="C721" s="176" t="n"/>
      <c r="D721" s="176" t="n"/>
      <c r="E721" s="186" t="n"/>
      <c r="F721" s="209" t="n"/>
      <c r="G721" s="209" t="n"/>
      <c r="H721" s="209" t="n"/>
      <c r="I721" s="209" t="n"/>
      <c r="J721" s="209" t="n"/>
      <c r="K721" s="186" t="n"/>
      <c r="L721" s="176" t="n"/>
      <c r="M721" s="176" t="n"/>
      <c r="N721" s="176" t="n"/>
      <c r="O721" s="176" t="n"/>
      <c r="P721" s="176" t="n"/>
      <c r="Q721" s="176" t="n"/>
      <c r="R721" s="176" t="n"/>
      <c r="S721" s="176" t="n"/>
      <c r="T721" s="176" t="n"/>
      <c r="U721" s="176" t="n"/>
      <c r="V721" s="176" t="n"/>
      <c r="W721" s="176" t="n"/>
      <c r="X721" s="176" t="n"/>
      <c r="Y721" s="176" t="n"/>
      <c r="Z721" s="176" t="n"/>
      <c r="AA721" s="176" t="n"/>
      <c r="AB721" s="176" t="n"/>
    </row>
    <row r="722">
      <c r="A722" s="176" t="n"/>
      <c r="B722" s="176" t="n"/>
      <c r="C722" s="176" t="n"/>
      <c r="D722" s="176" t="n"/>
      <c r="E722" s="186" t="n"/>
      <c r="F722" s="209" t="n"/>
      <c r="G722" s="209" t="n"/>
      <c r="H722" s="209" t="n"/>
      <c r="I722" s="209" t="n"/>
      <c r="J722" s="209" t="n"/>
      <c r="K722" s="186" t="n"/>
      <c r="L722" s="176" t="n"/>
      <c r="M722" s="176" t="n"/>
      <c r="N722" s="176" t="n"/>
      <c r="O722" s="176" t="n"/>
      <c r="P722" s="176" t="n"/>
      <c r="Q722" s="176" t="n"/>
      <c r="R722" s="176" t="n"/>
      <c r="S722" s="176" t="n"/>
      <c r="T722" s="176" t="n"/>
      <c r="U722" s="176" t="n"/>
      <c r="V722" s="176" t="n"/>
      <c r="W722" s="176" t="n"/>
      <c r="X722" s="176" t="n"/>
      <c r="Y722" s="176" t="n"/>
      <c r="Z722" s="176" t="n"/>
      <c r="AA722" s="176" t="n"/>
      <c r="AB722" s="176" t="n"/>
    </row>
    <row r="723">
      <c r="A723" s="176" t="n"/>
      <c r="B723" s="176" t="n"/>
      <c r="C723" s="176" t="n"/>
      <c r="D723" s="176" t="n"/>
      <c r="E723" s="186" t="n"/>
      <c r="F723" s="209" t="n"/>
      <c r="G723" s="209" t="n"/>
      <c r="H723" s="209" t="n"/>
      <c r="I723" s="209" t="n"/>
      <c r="J723" s="209" t="n"/>
      <c r="K723" s="186" t="n"/>
      <c r="L723" s="176" t="n"/>
      <c r="M723" s="176" t="n"/>
      <c r="N723" s="176" t="n"/>
      <c r="O723" s="176" t="n"/>
      <c r="P723" s="176" t="n"/>
      <c r="Q723" s="176" t="n"/>
      <c r="R723" s="176" t="n"/>
      <c r="S723" s="176" t="n"/>
      <c r="T723" s="176" t="n"/>
      <c r="U723" s="176" t="n"/>
      <c r="V723" s="176" t="n"/>
      <c r="W723" s="176" t="n"/>
      <c r="X723" s="176" t="n"/>
      <c r="Y723" s="176" t="n"/>
      <c r="Z723" s="176" t="n"/>
      <c r="AA723" s="176" t="n"/>
      <c r="AB723" s="176" t="n"/>
    </row>
    <row r="724">
      <c r="A724" s="176" t="n"/>
      <c r="B724" s="176" t="n"/>
      <c r="C724" s="176" t="n"/>
      <c r="D724" s="176" t="n"/>
      <c r="E724" s="186" t="n"/>
      <c r="F724" s="209" t="n"/>
      <c r="G724" s="209" t="n"/>
      <c r="H724" s="209" t="n"/>
      <c r="I724" s="209" t="n"/>
      <c r="J724" s="209" t="n"/>
      <c r="K724" s="186" t="n"/>
      <c r="L724" s="176" t="n"/>
      <c r="M724" s="176" t="n"/>
      <c r="N724" s="176" t="n"/>
      <c r="O724" s="176" t="n"/>
      <c r="P724" s="176" t="n"/>
      <c r="Q724" s="176" t="n"/>
      <c r="R724" s="176" t="n"/>
      <c r="S724" s="176" t="n"/>
      <c r="T724" s="176" t="n"/>
      <c r="U724" s="176" t="n"/>
      <c r="V724" s="176" t="n"/>
      <c r="W724" s="176" t="n"/>
      <c r="X724" s="176" t="n"/>
      <c r="Y724" s="176" t="n"/>
      <c r="Z724" s="176" t="n"/>
      <c r="AA724" s="176" t="n"/>
      <c r="AB724" s="176" t="n"/>
    </row>
    <row r="725">
      <c r="A725" s="176" t="n"/>
      <c r="B725" s="176" t="n"/>
      <c r="C725" s="176" t="n"/>
      <c r="D725" s="176" t="n"/>
      <c r="E725" s="186" t="n"/>
      <c r="F725" s="209" t="n"/>
      <c r="G725" s="209" t="n"/>
      <c r="H725" s="209" t="n"/>
      <c r="I725" s="209" t="n"/>
      <c r="J725" s="209" t="n"/>
      <c r="K725" s="186" t="n"/>
      <c r="L725" s="176" t="n"/>
      <c r="M725" s="176" t="n"/>
      <c r="N725" s="176" t="n"/>
      <c r="O725" s="176" t="n"/>
      <c r="P725" s="176" t="n"/>
      <c r="Q725" s="176" t="n"/>
      <c r="R725" s="176" t="n"/>
      <c r="S725" s="176" t="n"/>
      <c r="T725" s="176" t="n"/>
      <c r="U725" s="176" t="n"/>
      <c r="V725" s="176" t="n"/>
      <c r="W725" s="176" t="n"/>
      <c r="X725" s="176" t="n"/>
      <c r="Y725" s="176" t="n"/>
      <c r="Z725" s="176" t="n"/>
      <c r="AA725" s="176" t="n"/>
      <c r="AB725" s="176" t="n"/>
    </row>
    <row r="726">
      <c r="A726" s="176" t="n"/>
      <c r="B726" s="176" t="n"/>
      <c r="C726" s="176" t="n"/>
      <c r="D726" s="176" t="n"/>
      <c r="E726" s="186" t="n"/>
      <c r="F726" s="209" t="n"/>
      <c r="G726" s="209" t="n"/>
      <c r="H726" s="209" t="n"/>
      <c r="I726" s="209" t="n"/>
      <c r="J726" s="209" t="n"/>
      <c r="K726" s="186" t="n"/>
      <c r="L726" s="176" t="n"/>
      <c r="M726" s="176" t="n"/>
      <c r="N726" s="176" t="n"/>
      <c r="O726" s="176" t="n"/>
      <c r="P726" s="176" t="n"/>
      <c r="Q726" s="176" t="n"/>
      <c r="R726" s="176" t="n"/>
      <c r="S726" s="176" t="n"/>
      <c r="T726" s="176" t="n"/>
      <c r="U726" s="176" t="n"/>
      <c r="V726" s="176" t="n"/>
      <c r="W726" s="176" t="n"/>
      <c r="X726" s="176" t="n"/>
      <c r="Y726" s="176" t="n"/>
      <c r="Z726" s="176" t="n"/>
      <c r="AA726" s="176" t="n"/>
      <c r="AB726" s="176" t="n"/>
    </row>
    <row r="727">
      <c r="A727" s="176" t="n"/>
      <c r="B727" s="176" t="n"/>
      <c r="C727" s="176" t="n"/>
      <c r="D727" s="176" t="n"/>
      <c r="E727" s="186" t="n"/>
      <c r="F727" s="209" t="n"/>
      <c r="G727" s="209" t="n"/>
      <c r="H727" s="209" t="n"/>
      <c r="I727" s="209" t="n"/>
      <c r="J727" s="209" t="n"/>
      <c r="K727" s="186" t="n"/>
      <c r="L727" s="176" t="n"/>
      <c r="M727" s="176" t="n"/>
      <c r="N727" s="176" t="n"/>
      <c r="O727" s="176" t="n"/>
      <c r="P727" s="176" t="n"/>
      <c r="Q727" s="176" t="n"/>
      <c r="R727" s="176" t="n"/>
      <c r="S727" s="176" t="n"/>
      <c r="T727" s="176" t="n"/>
      <c r="U727" s="176" t="n"/>
      <c r="V727" s="176" t="n"/>
      <c r="W727" s="176" t="n"/>
      <c r="X727" s="176" t="n"/>
      <c r="Y727" s="176" t="n"/>
      <c r="Z727" s="176" t="n"/>
      <c r="AA727" s="176" t="n"/>
      <c r="AB727" s="176" t="n"/>
    </row>
    <row r="728">
      <c r="A728" s="176" t="n"/>
      <c r="B728" s="176" t="n"/>
      <c r="C728" s="176" t="n"/>
      <c r="D728" s="176" t="n"/>
      <c r="E728" s="186" t="n"/>
      <c r="F728" s="209" t="n"/>
      <c r="G728" s="209" t="n"/>
      <c r="H728" s="209" t="n"/>
      <c r="I728" s="209" t="n"/>
      <c r="J728" s="209" t="n"/>
      <c r="K728" s="186" t="n"/>
      <c r="L728" s="176" t="n"/>
      <c r="M728" s="176" t="n"/>
      <c r="N728" s="176" t="n"/>
      <c r="O728" s="176" t="n"/>
      <c r="P728" s="176" t="n"/>
      <c r="Q728" s="176" t="n"/>
      <c r="R728" s="176" t="n"/>
      <c r="S728" s="176" t="n"/>
      <c r="T728" s="176" t="n"/>
      <c r="U728" s="176" t="n"/>
      <c r="V728" s="176" t="n"/>
      <c r="W728" s="176" t="n"/>
      <c r="X728" s="176" t="n"/>
      <c r="Y728" s="176" t="n"/>
      <c r="Z728" s="176" t="n"/>
      <c r="AA728" s="176" t="n"/>
      <c r="AB728" s="176" t="n"/>
    </row>
    <row r="729">
      <c r="A729" s="176" t="n"/>
      <c r="B729" s="176" t="n"/>
      <c r="C729" s="176" t="n"/>
      <c r="D729" s="176" t="n"/>
      <c r="E729" s="186" t="n"/>
      <c r="F729" s="209" t="n"/>
      <c r="G729" s="209" t="n"/>
      <c r="H729" s="209" t="n"/>
      <c r="I729" s="209" t="n"/>
      <c r="J729" s="209" t="n"/>
      <c r="K729" s="186" t="n"/>
      <c r="L729" s="176" t="n"/>
      <c r="M729" s="176" t="n"/>
      <c r="N729" s="176" t="n"/>
      <c r="O729" s="176" t="n"/>
      <c r="P729" s="176" t="n"/>
      <c r="Q729" s="176" t="n"/>
      <c r="R729" s="176" t="n"/>
      <c r="S729" s="176" t="n"/>
      <c r="T729" s="176" t="n"/>
      <c r="U729" s="176" t="n"/>
      <c r="V729" s="176" t="n"/>
      <c r="W729" s="176" t="n"/>
      <c r="X729" s="176" t="n"/>
      <c r="Y729" s="176" t="n"/>
      <c r="Z729" s="176" t="n"/>
      <c r="AA729" s="176" t="n"/>
      <c r="AB729" s="176" t="n"/>
    </row>
    <row r="730">
      <c r="A730" s="176" t="n"/>
      <c r="B730" s="176" t="n"/>
      <c r="C730" s="176" t="n"/>
      <c r="D730" s="176" t="n"/>
      <c r="E730" s="186" t="n"/>
      <c r="F730" s="209" t="n"/>
      <c r="G730" s="209" t="n"/>
      <c r="H730" s="209" t="n"/>
      <c r="I730" s="209" t="n"/>
      <c r="J730" s="209" t="n"/>
      <c r="K730" s="186" t="n"/>
      <c r="L730" s="176" t="n"/>
      <c r="M730" s="176" t="n"/>
      <c r="N730" s="176" t="n"/>
      <c r="O730" s="176" t="n"/>
      <c r="P730" s="176" t="n"/>
      <c r="Q730" s="176" t="n"/>
      <c r="R730" s="176" t="n"/>
      <c r="S730" s="176" t="n"/>
      <c r="T730" s="176" t="n"/>
      <c r="U730" s="176" t="n"/>
      <c r="V730" s="176" t="n"/>
      <c r="W730" s="176" t="n"/>
      <c r="X730" s="176" t="n"/>
      <c r="Y730" s="176" t="n"/>
      <c r="Z730" s="176" t="n"/>
      <c r="AA730" s="176" t="n"/>
      <c r="AB730" s="176" t="n"/>
    </row>
    <row r="731">
      <c r="A731" s="176" t="n"/>
      <c r="B731" s="176" t="n"/>
      <c r="C731" s="176" t="n"/>
      <c r="D731" s="176" t="n"/>
      <c r="E731" s="186" t="n"/>
      <c r="F731" s="209" t="n"/>
      <c r="G731" s="209" t="n"/>
      <c r="H731" s="209" t="n"/>
      <c r="I731" s="209" t="n"/>
      <c r="J731" s="209" t="n"/>
      <c r="K731" s="186" t="n"/>
      <c r="L731" s="176" t="n"/>
      <c r="M731" s="176" t="n"/>
      <c r="N731" s="176" t="n"/>
      <c r="O731" s="176" t="n"/>
      <c r="P731" s="176" t="n"/>
      <c r="Q731" s="176" t="n"/>
      <c r="R731" s="176" t="n"/>
      <c r="S731" s="176" t="n"/>
      <c r="T731" s="176" t="n"/>
      <c r="U731" s="176" t="n"/>
      <c r="V731" s="176" t="n"/>
      <c r="W731" s="176" t="n"/>
      <c r="X731" s="176" t="n"/>
      <c r="Y731" s="176" t="n"/>
      <c r="Z731" s="176" t="n"/>
      <c r="AA731" s="176" t="n"/>
      <c r="AB731" s="176" t="n"/>
    </row>
    <row r="732">
      <c r="A732" s="176" t="n"/>
      <c r="B732" s="176" t="n"/>
      <c r="C732" s="176" t="n"/>
      <c r="D732" s="176" t="n"/>
      <c r="E732" s="186" t="n"/>
      <c r="F732" s="209" t="n"/>
      <c r="G732" s="209" t="n"/>
      <c r="H732" s="209" t="n"/>
      <c r="I732" s="209" t="n"/>
      <c r="J732" s="209" t="n"/>
      <c r="K732" s="186" t="n"/>
      <c r="L732" s="176" t="n"/>
      <c r="M732" s="176" t="n"/>
      <c r="N732" s="176" t="n"/>
      <c r="O732" s="176" t="n"/>
      <c r="P732" s="176" t="n"/>
      <c r="Q732" s="176" t="n"/>
      <c r="R732" s="176" t="n"/>
      <c r="S732" s="176" t="n"/>
      <c r="T732" s="176" t="n"/>
      <c r="U732" s="176" t="n"/>
      <c r="V732" s="176" t="n"/>
      <c r="W732" s="176" t="n"/>
      <c r="X732" s="176" t="n"/>
      <c r="Y732" s="176" t="n"/>
      <c r="Z732" s="176" t="n"/>
      <c r="AA732" s="176" t="n"/>
      <c r="AB732" s="176" t="n"/>
    </row>
    <row r="733">
      <c r="A733" s="176" t="n"/>
      <c r="B733" s="176" t="n"/>
      <c r="C733" s="176" t="n"/>
      <c r="D733" s="176" t="n"/>
      <c r="E733" s="186" t="n"/>
      <c r="F733" s="209" t="n"/>
      <c r="G733" s="209" t="n"/>
      <c r="H733" s="209" t="n"/>
      <c r="I733" s="209" t="n"/>
      <c r="J733" s="209" t="n"/>
      <c r="K733" s="186" t="n"/>
      <c r="L733" s="176" t="n"/>
      <c r="M733" s="176" t="n"/>
      <c r="N733" s="176" t="n"/>
      <c r="O733" s="176" t="n"/>
      <c r="P733" s="176" t="n"/>
      <c r="Q733" s="176" t="n"/>
      <c r="R733" s="176" t="n"/>
      <c r="S733" s="176" t="n"/>
      <c r="T733" s="176" t="n"/>
      <c r="U733" s="176" t="n"/>
      <c r="V733" s="176" t="n"/>
      <c r="W733" s="176" t="n"/>
      <c r="X733" s="176" t="n"/>
      <c r="Y733" s="176" t="n"/>
      <c r="Z733" s="176" t="n"/>
      <c r="AA733" s="176" t="n"/>
      <c r="AB733" s="176" t="n"/>
    </row>
    <row r="734">
      <c r="A734" s="176" t="n"/>
      <c r="B734" s="176" t="n"/>
      <c r="C734" s="176" t="n"/>
      <c r="D734" s="176" t="n"/>
      <c r="E734" s="186" t="n"/>
      <c r="F734" s="209" t="n"/>
      <c r="G734" s="209" t="n"/>
      <c r="H734" s="209" t="n"/>
      <c r="I734" s="209" t="n"/>
      <c r="J734" s="209" t="n"/>
      <c r="K734" s="186" t="n"/>
      <c r="L734" s="176" t="n"/>
      <c r="M734" s="176" t="n"/>
      <c r="N734" s="176" t="n"/>
      <c r="O734" s="176" t="n"/>
      <c r="P734" s="176" t="n"/>
      <c r="Q734" s="176" t="n"/>
      <c r="R734" s="176" t="n"/>
      <c r="S734" s="176" t="n"/>
      <c r="T734" s="176" t="n"/>
      <c r="U734" s="176" t="n"/>
      <c r="V734" s="176" t="n"/>
      <c r="W734" s="176" t="n"/>
      <c r="X734" s="176" t="n"/>
      <c r="Y734" s="176" t="n"/>
      <c r="Z734" s="176" t="n"/>
      <c r="AA734" s="176" t="n"/>
      <c r="AB734" s="176" t="n"/>
    </row>
    <row r="735">
      <c r="A735" s="176" t="n"/>
      <c r="B735" s="176" t="n"/>
      <c r="C735" s="176" t="n"/>
      <c r="D735" s="176" t="n"/>
      <c r="E735" s="186" t="n"/>
      <c r="F735" s="209" t="n"/>
      <c r="G735" s="209" t="n"/>
      <c r="H735" s="209" t="n"/>
      <c r="I735" s="209" t="n"/>
      <c r="J735" s="209" t="n"/>
      <c r="K735" s="186" t="n"/>
      <c r="L735" s="176" t="n"/>
      <c r="M735" s="176" t="n"/>
      <c r="N735" s="176" t="n"/>
      <c r="O735" s="176" t="n"/>
      <c r="P735" s="176" t="n"/>
      <c r="Q735" s="176" t="n"/>
      <c r="R735" s="176" t="n"/>
      <c r="S735" s="176" t="n"/>
      <c r="T735" s="176" t="n"/>
      <c r="U735" s="176" t="n"/>
      <c r="V735" s="176" t="n"/>
      <c r="W735" s="176" t="n"/>
      <c r="X735" s="176" t="n"/>
      <c r="Y735" s="176" t="n"/>
      <c r="Z735" s="176" t="n"/>
      <c r="AA735" s="176" t="n"/>
      <c r="AB735" s="176" t="n"/>
    </row>
    <row r="736">
      <c r="A736" s="176" t="n"/>
      <c r="B736" s="176" t="n"/>
      <c r="C736" s="176" t="n"/>
      <c r="D736" s="176" t="n"/>
      <c r="E736" s="186" t="n"/>
      <c r="F736" s="209" t="n"/>
      <c r="G736" s="209" t="n"/>
      <c r="H736" s="209" t="n"/>
      <c r="I736" s="209" t="n"/>
      <c r="J736" s="209" t="n"/>
      <c r="K736" s="186" t="n"/>
      <c r="L736" s="176" t="n"/>
      <c r="M736" s="176" t="n"/>
      <c r="N736" s="176" t="n"/>
      <c r="O736" s="176" t="n"/>
      <c r="P736" s="176" t="n"/>
      <c r="Q736" s="176" t="n"/>
      <c r="R736" s="176" t="n"/>
      <c r="S736" s="176" t="n"/>
      <c r="T736" s="176" t="n"/>
      <c r="U736" s="176" t="n"/>
      <c r="V736" s="176" t="n"/>
      <c r="W736" s="176" t="n"/>
      <c r="X736" s="176" t="n"/>
      <c r="Y736" s="176" t="n"/>
      <c r="Z736" s="176" t="n"/>
      <c r="AA736" s="176" t="n"/>
      <c r="AB736" s="176" t="n"/>
    </row>
    <row r="737">
      <c r="A737" s="176" t="n"/>
      <c r="B737" s="176" t="n"/>
      <c r="C737" s="176" t="n"/>
      <c r="D737" s="176" t="n"/>
      <c r="E737" s="186" t="n"/>
      <c r="F737" s="209" t="n"/>
      <c r="G737" s="209" t="n"/>
      <c r="H737" s="209" t="n"/>
      <c r="I737" s="209" t="n"/>
      <c r="J737" s="209" t="n"/>
      <c r="K737" s="186" t="n"/>
      <c r="L737" s="176" t="n"/>
      <c r="M737" s="176" t="n"/>
      <c r="N737" s="176" t="n"/>
      <c r="O737" s="176" t="n"/>
      <c r="P737" s="176" t="n"/>
      <c r="Q737" s="176" t="n"/>
      <c r="R737" s="176" t="n"/>
      <c r="S737" s="176" t="n"/>
      <c r="T737" s="176" t="n"/>
      <c r="U737" s="176" t="n"/>
      <c r="V737" s="176" t="n"/>
      <c r="W737" s="176" t="n"/>
      <c r="X737" s="176" t="n"/>
      <c r="Y737" s="176" t="n"/>
      <c r="Z737" s="176" t="n"/>
      <c r="AA737" s="176" t="n"/>
      <c r="AB737" s="176" t="n"/>
    </row>
    <row r="738">
      <c r="A738" s="176" t="n"/>
      <c r="B738" s="176" t="n"/>
      <c r="C738" s="176" t="n"/>
      <c r="D738" s="176" t="n"/>
      <c r="E738" s="186" t="n"/>
      <c r="F738" s="209" t="n"/>
      <c r="G738" s="209" t="n"/>
      <c r="H738" s="209" t="n"/>
      <c r="I738" s="209" t="n"/>
      <c r="J738" s="209" t="n"/>
      <c r="K738" s="186" t="n"/>
      <c r="L738" s="176" t="n"/>
      <c r="M738" s="176" t="n"/>
      <c r="N738" s="176" t="n"/>
      <c r="O738" s="176" t="n"/>
      <c r="P738" s="176" t="n"/>
      <c r="Q738" s="176" t="n"/>
      <c r="R738" s="176" t="n"/>
      <c r="S738" s="176" t="n"/>
      <c r="T738" s="176" t="n"/>
      <c r="U738" s="176" t="n"/>
      <c r="V738" s="176" t="n"/>
      <c r="W738" s="176" t="n"/>
      <c r="X738" s="176" t="n"/>
      <c r="Y738" s="176" t="n"/>
      <c r="Z738" s="176" t="n"/>
      <c r="AA738" s="176" t="n"/>
      <c r="AB738" s="176" t="n"/>
    </row>
    <row r="739">
      <c r="A739" s="176" t="n"/>
      <c r="B739" s="176" t="n"/>
      <c r="C739" s="176" t="n"/>
      <c r="D739" s="176" t="n"/>
      <c r="E739" s="186" t="n"/>
      <c r="F739" s="209" t="n"/>
      <c r="G739" s="209" t="n"/>
      <c r="H739" s="209" t="n"/>
      <c r="I739" s="209" t="n"/>
      <c r="J739" s="209" t="n"/>
      <c r="K739" s="186" t="n"/>
      <c r="L739" s="176" t="n"/>
      <c r="M739" s="176" t="n"/>
      <c r="N739" s="176" t="n"/>
      <c r="O739" s="176" t="n"/>
      <c r="P739" s="176" t="n"/>
      <c r="Q739" s="176" t="n"/>
      <c r="R739" s="176" t="n"/>
      <c r="S739" s="176" t="n"/>
      <c r="T739" s="176" t="n"/>
      <c r="U739" s="176" t="n"/>
      <c r="V739" s="176" t="n"/>
      <c r="W739" s="176" t="n"/>
      <c r="X739" s="176" t="n"/>
      <c r="Y739" s="176" t="n"/>
      <c r="Z739" s="176" t="n"/>
      <c r="AA739" s="176" t="n"/>
      <c r="AB739" s="176" t="n"/>
    </row>
    <row r="740">
      <c r="A740" s="176" t="n"/>
      <c r="B740" s="176" t="n"/>
      <c r="C740" s="176" t="n"/>
      <c r="D740" s="176" t="n"/>
      <c r="E740" s="186" t="n"/>
      <c r="F740" s="209" t="n"/>
      <c r="G740" s="209" t="n"/>
      <c r="H740" s="209" t="n"/>
      <c r="I740" s="209" t="n"/>
      <c r="J740" s="209" t="n"/>
      <c r="K740" s="186" t="n"/>
      <c r="L740" s="176" t="n"/>
      <c r="M740" s="176" t="n"/>
      <c r="N740" s="176" t="n"/>
      <c r="O740" s="176" t="n"/>
      <c r="P740" s="176" t="n"/>
      <c r="Q740" s="176" t="n"/>
      <c r="R740" s="176" t="n"/>
      <c r="S740" s="176" t="n"/>
      <c r="T740" s="176" t="n"/>
      <c r="U740" s="176" t="n"/>
      <c r="V740" s="176" t="n"/>
      <c r="W740" s="176" t="n"/>
      <c r="X740" s="176" t="n"/>
      <c r="Y740" s="176" t="n"/>
      <c r="Z740" s="176" t="n"/>
      <c r="AA740" s="176" t="n"/>
      <c r="AB740" s="176" t="n"/>
    </row>
    <row r="741">
      <c r="A741" s="176" t="n"/>
      <c r="B741" s="176" t="n"/>
      <c r="C741" s="176" t="n"/>
      <c r="D741" s="176" t="n"/>
      <c r="E741" s="186" t="n"/>
      <c r="F741" s="209" t="n"/>
      <c r="G741" s="209" t="n"/>
      <c r="H741" s="209" t="n"/>
      <c r="I741" s="209" t="n"/>
      <c r="J741" s="209" t="n"/>
      <c r="K741" s="186" t="n"/>
      <c r="L741" s="176" t="n"/>
      <c r="M741" s="176" t="n"/>
      <c r="N741" s="176" t="n"/>
      <c r="O741" s="176" t="n"/>
      <c r="P741" s="176" t="n"/>
      <c r="Q741" s="176" t="n"/>
      <c r="R741" s="176" t="n"/>
      <c r="S741" s="176" t="n"/>
      <c r="T741" s="176" t="n"/>
      <c r="U741" s="176" t="n"/>
      <c r="V741" s="176" t="n"/>
      <c r="W741" s="176" t="n"/>
      <c r="X741" s="176" t="n"/>
      <c r="Y741" s="176" t="n"/>
      <c r="Z741" s="176" t="n"/>
      <c r="AA741" s="176" t="n"/>
      <c r="AB741" s="176" t="n"/>
    </row>
    <row r="742">
      <c r="A742" s="176" t="n"/>
      <c r="B742" s="176" t="n"/>
      <c r="C742" s="176" t="n"/>
      <c r="D742" s="176" t="n"/>
      <c r="E742" s="186" t="n"/>
      <c r="F742" s="209" t="n"/>
      <c r="G742" s="209" t="n"/>
      <c r="H742" s="209" t="n"/>
      <c r="I742" s="209" t="n"/>
      <c r="J742" s="209" t="n"/>
      <c r="K742" s="186" t="n"/>
      <c r="L742" s="176" t="n"/>
      <c r="M742" s="176" t="n"/>
      <c r="N742" s="176" t="n"/>
      <c r="O742" s="176" t="n"/>
      <c r="P742" s="176" t="n"/>
      <c r="Q742" s="176" t="n"/>
      <c r="R742" s="176" t="n"/>
      <c r="S742" s="176" t="n"/>
      <c r="T742" s="176" t="n"/>
      <c r="U742" s="176" t="n"/>
      <c r="V742" s="176" t="n"/>
      <c r="W742" s="176" t="n"/>
      <c r="X742" s="176" t="n"/>
      <c r="Y742" s="176" t="n"/>
      <c r="Z742" s="176" t="n"/>
      <c r="AA742" s="176" t="n"/>
      <c r="AB742" s="176" t="n"/>
    </row>
    <row r="743">
      <c r="A743" s="176" t="n"/>
      <c r="B743" s="176" t="n"/>
      <c r="C743" s="176" t="n"/>
      <c r="D743" s="176" t="n"/>
      <c r="E743" s="186" t="n"/>
      <c r="F743" s="209" t="n"/>
      <c r="G743" s="209" t="n"/>
      <c r="H743" s="209" t="n"/>
      <c r="I743" s="209" t="n"/>
      <c r="J743" s="209" t="n"/>
      <c r="K743" s="186" t="n"/>
      <c r="L743" s="176" t="n"/>
      <c r="M743" s="176" t="n"/>
      <c r="N743" s="176" t="n"/>
      <c r="O743" s="176" t="n"/>
      <c r="P743" s="176" t="n"/>
      <c r="Q743" s="176" t="n"/>
      <c r="R743" s="176" t="n"/>
      <c r="S743" s="176" t="n"/>
      <c r="T743" s="176" t="n"/>
      <c r="U743" s="176" t="n"/>
      <c r="V743" s="176" t="n"/>
      <c r="W743" s="176" t="n"/>
      <c r="X743" s="176" t="n"/>
      <c r="Y743" s="176" t="n"/>
      <c r="Z743" s="176" t="n"/>
      <c r="AA743" s="176" t="n"/>
      <c r="AB743" s="176" t="n"/>
    </row>
    <row r="744">
      <c r="A744" s="176" t="n"/>
      <c r="B744" s="176" t="n"/>
      <c r="C744" s="176" t="n"/>
      <c r="D744" s="176" t="n"/>
      <c r="E744" s="186" t="n"/>
      <c r="F744" s="209" t="n"/>
      <c r="G744" s="209" t="n"/>
      <c r="H744" s="209" t="n"/>
      <c r="I744" s="209" t="n"/>
      <c r="J744" s="209" t="n"/>
      <c r="K744" s="186" t="n"/>
      <c r="L744" s="176" t="n"/>
      <c r="M744" s="176" t="n"/>
      <c r="N744" s="176" t="n"/>
      <c r="O744" s="176" t="n"/>
      <c r="P744" s="176" t="n"/>
      <c r="Q744" s="176" t="n"/>
      <c r="R744" s="176" t="n"/>
      <c r="S744" s="176" t="n"/>
      <c r="T744" s="176" t="n"/>
      <c r="U744" s="176" t="n"/>
      <c r="V744" s="176" t="n"/>
      <c r="W744" s="176" t="n"/>
      <c r="X744" s="176" t="n"/>
      <c r="Y744" s="176" t="n"/>
      <c r="Z744" s="176" t="n"/>
      <c r="AA744" s="176" t="n"/>
      <c r="AB744" s="176" t="n"/>
    </row>
    <row r="745">
      <c r="A745" s="176" t="n"/>
      <c r="B745" s="176" t="n"/>
      <c r="C745" s="176" t="n"/>
      <c r="D745" s="176" t="n"/>
      <c r="E745" s="186" t="n"/>
      <c r="F745" s="209" t="n"/>
      <c r="G745" s="209" t="n"/>
      <c r="H745" s="209" t="n"/>
      <c r="I745" s="209" t="n"/>
      <c r="J745" s="209" t="n"/>
      <c r="K745" s="186" t="n"/>
      <c r="L745" s="176" t="n"/>
      <c r="M745" s="176" t="n"/>
      <c r="N745" s="176" t="n"/>
      <c r="O745" s="176" t="n"/>
      <c r="P745" s="176" t="n"/>
      <c r="Q745" s="176" t="n"/>
      <c r="R745" s="176" t="n"/>
      <c r="S745" s="176" t="n"/>
      <c r="T745" s="176" t="n"/>
      <c r="U745" s="176" t="n"/>
      <c r="V745" s="176" t="n"/>
      <c r="W745" s="176" t="n"/>
      <c r="X745" s="176" t="n"/>
      <c r="Y745" s="176" t="n"/>
      <c r="Z745" s="176" t="n"/>
      <c r="AA745" s="176" t="n"/>
      <c r="AB745" s="176" t="n"/>
    </row>
    <row r="746">
      <c r="A746" s="176" t="n"/>
      <c r="B746" s="176" t="n"/>
      <c r="C746" s="176" t="n"/>
      <c r="D746" s="176" t="n"/>
      <c r="E746" s="186" t="n"/>
      <c r="F746" s="209" t="n"/>
      <c r="G746" s="209" t="n"/>
      <c r="H746" s="209" t="n"/>
      <c r="I746" s="209" t="n"/>
      <c r="J746" s="209" t="n"/>
      <c r="K746" s="186" t="n"/>
      <c r="L746" s="176" t="n"/>
      <c r="M746" s="176" t="n"/>
      <c r="N746" s="176" t="n"/>
      <c r="O746" s="176" t="n"/>
      <c r="P746" s="176" t="n"/>
      <c r="Q746" s="176" t="n"/>
      <c r="R746" s="176" t="n"/>
      <c r="S746" s="176" t="n"/>
      <c r="T746" s="176" t="n"/>
      <c r="U746" s="176" t="n"/>
      <c r="V746" s="176" t="n"/>
      <c r="W746" s="176" t="n"/>
      <c r="X746" s="176" t="n"/>
      <c r="Y746" s="176" t="n"/>
      <c r="Z746" s="176" t="n"/>
      <c r="AA746" s="176" t="n"/>
      <c r="AB746" s="176" t="n"/>
    </row>
    <row r="747">
      <c r="A747" s="176" t="n"/>
      <c r="B747" s="176" t="n"/>
      <c r="C747" s="176" t="n"/>
      <c r="D747" s="176" t="n"/>
      <c r="E747" s="186" t="n"/>
      <c r="F747" s="209" t="n"/>
      <c r="G747" s="209" t="n"/>
      <c r="H747" s="209" t="n"/>
      <c r="I747" s="209" t="n"/>
      <c r="J747" s="209" t="n"/>
      <c r="K747" s="186" t="n"/>
      <c r="L747" s="176" t="n"/>
      <c r="M747" s="176" t="n"/>
      <c r="N747" s="176" t="n"/>
      <c r="O747" s="176" t="n"/>
      <c r="P747" s="176" t="n"/>
      <c r="Q747" s="176" t="n"/>
      <c r="R747" s="176" t="n"/>
      <c r="S747" s="176" t="n"/>
      <c r="T747" s="176" t="n"/>
      <c r="U747" s="176" t="n"/>
      <c r="V747" s="176" t="n"/>
      <c r="W747" s="176" t="n"/>
      <c r="X747" s="176" t="n"/>
      <c r="Y747" s="176" t="n"/>
      <c r="Z747" s="176" t="n"/>
      <c r="AA747" s="176" t="n"/>
      <c r="AB747" s="176" t="n"/>
    </row>
    <row r="748">
      <c r="A748" s="176" t="n"/>
      <c r="B748" s="176" t="n"/>
      <c r="C748" s="176" t="n"/>
      <c r="D748" s="176" t="n"/>
      <c r="E748" s="186" t="n"/>
      <c r="F748" s="209" t="n"/>
      <c r="G748" s="209" t="n"/>
      <c r="H748" s="209" t="n"/>
      <c r="I748" s="209" t="n"/>
      <c r="J748" s="209" t="n"/>
      <c r="K748" s="186" t="n"/>
      <c r="L748" s="176" t="n"/>
      <c r="M748" s="176" t="n"/>
      <c r="N748" s="176" t="n"/>
      <c r="O748" s="176" t="n"/>
      <c r="P748" s="176" t="n"/>
      <c r="Q748" s="176" t="n"/>
      <c r="R748" s="176" t="n"/>
      <c r="S748" s="176" t="n"/>
      <c r="T748" s="176" t="n"/>
      <c r="U748" s="176" t="n"/>
      <c r="V748" s="176" t="n"/>
      <c r="W748" s="176" t="n"/>
      <c r="X748" s="176" t="n"/>
      <c r="Y748" s="176" t="n"/>
      <c r="Z748" s="176" t="n"/>
      <c r="AA748" s="176" t="n"/>
      <c r="AB748" s="176" t="n"/>
    </row>
    <row r="749">
      <c r="A749" s="176" t="n"/>
      <c r="B749" s="176" t="n"/>
      <c r="C749" s="176" t="n"/>
      <c r="D749" s="176" t="n"/>
      <c r="E749" s="186" t="n"/>
      <c r="F749" s="209" t="n"/>
      <c r="G749" s="209" t="n"/>
      <c r="H749" s="209" t="n"/>
      <c r="I749" s="209" t="n"/>
      <c r="J749" s="209" t="n"/>
      <c r="K749" s="186" t="n"/>
      <c r="L749" s="176" t="n"/>
      <c r="M749" s="176" t="n"/>
      <c r="N749" s="176" t="n"/>
      <c r="O749" s="176" t="n"/>
      <c r="P749" s="176" t="n"/>
      <c r="Q749" s="176" t="n"/>
      <c r="R749" s="176" t="n"/>
      <c r="S749" s="176" t="n"/>
      <c r="T749" s="176" t="n"/>
      <c r="U749" s="176" t="n"/>
      <c r="V749" s="176" t="n"/>
      <c r="W749" s="176" t="n"/>
      <c r="X749" s="176" t="n"/>
      <c r="Y749" s="176" t="n"/>
      <c r="Z749" s="176" t="n"/>
      <c r="AA749" s="176" t="n"/>
      <c r="AB749" s="176" t="n"/>
    </row>
    <row r="750">
      <c r="A750" s="176" t="n"/>
      <c r="B750" s="176" t="n"/>
      <c r="C750" s="176" t="n"/>
      <c r="D750" s="176" t="n"/>
      <c r="E750" s="186" t="n"/>
      <c r="F750" s="209" t="n"/>
      <c r="G750" s="209" t="n"/>
      <c r="H750" s="209" t="n"/>
      <c r="I750" s="209" t="n"/>
      <c r="J750" s="209" t="n"/>
      <c r="K750" s="186" t="n"/>
      <c r="L750" s="176" t="n"/>
      <c r="M750" s="176" t="n"/>
      <c r="N750" s="176" t="n"/>
      <c r="O750" s="176" t="n"/>
      <c r="P750" s="176" t="n"/>
      <c r="Q750" s="176" t="n"/>
      <c r="R750" s="176" t="n"/>
      <c r="S750" s="176" t="n"/>
      <c r="T750" s="176" t="n"/>
      <c r="U750" s="176" t="n"/>
      <c r="V750" s="176" t="n"/>
      <c r="W750" s="176" t="n"/>
      <c r="X750" s="176" t="n"/>
      <c r="Y750" s="176" t="n"/>
      <c r="Z750" s="176" t="n"/>
      <c r="AA750" s="176" t="n"/>
      <c r="AB750" s="176" t="n"/>
    </row>
    <row r="751">
      <c r="A751" s="176" t="n"/>
      <c r="B751" s="176" t="n"/>
      <c r="C751" s="176" t="n"/>
      <c r="D751" s="176" t="n"/>
      <c r="E751" s="186" t="n"/>
      <c r="F751" s="209" t="n"/>
      <c r="G751" s="209" t="n"/>
      <c r="H751" s="209" t="n"/>
      <c r="I751" s="209" t="n"/>
      <c r="J751" s="209" t="n"/>
      <c r="K751" s="186" t="n"/>
      <c r="L751" s="176" t="n"/>
      <c r="M751" s="176" t="n"/>
      <c r="N751" s="176" t="n"/>
      <c r="O751" s="176" t="n"/>
      <c r="P751" s="176" t="n"/>
      <c r="Q751" s="176" t="n"/>
      <c r="R751" s="176" t="n"/>
      <c r="S751" s="176" t="n"/>
      <c r="T751" s="176" t="n"/>
      <c r="U751" s="176" t="n"/>
      <c r="V751" s="176" t="n"/>
      <c r="W751" s="176" t="n"/>
      <c r="X751" s="176" t="n"/>
      <c r="Y751" s="176" t="n"/>
      <c r="Z751" s="176" t="n"/>
      <c r="AA751" s="176" t="n"/>
      <c r="AB751" s="176" t="n"/>
    </row>
    <row r="752">
      <c r="A752" s="176" t="n"/>
      <c r="B752" s="176" t="n"/>
      <c r="C752" s="176" t="n"/>
      <c r="D752" s="176" t="n"/>
      <c r="E752" s="186" t="n"/>
      <c r="F752" s="209" t="n"/>
      <c r="G752" s="209" t="n"/>
      <c r="H752" s="209" t="n"/>
      <c r="I752" s="209" t="n"/>
      <c r="J752" s="209" t="n"/>
      <c r="K752" s="186" t="n"/>
      <c r="L752" s="176" t="n"/>
      <c r="M752" s="176" t="n"/>
      <c r="N752" s="176" t="n"/>
      <c r="O752" s="176" t="n"/>
      <c r="P752" s="176" t="n"/>
      <c r="Q752" s="176" t="n"/>
      <c r="R752" s="176" t="n"/>
      <c r="S752" s="176" t="n"/>
      <c r="T752" s="176" t="n"/>
      <c r="U752" s="176" t="n"/>
      <c r="V752" s="176" t="n"/>
      <c r="W752" s="176" t="n"/>
      <c r="X752" s="176" t="n"/>
      <c r="Y752" s="176" t="n"/>
      <c r="Z752" s="176" t="n"/>
      <c r="AA752" s="176" t="n"/>
      <c r="AB752" s="176" t="n"/>
    </row>
    <row r="753">
      <c r="A753" s="176" t="n"/>
      <c r="B753" s="176" t="n"/>
      <c r="C753" s="176" t="n"/>
      <c r="D753" s="176" t="n"/>
      <c r="E753" s="186" t="n"/>
      <c r="F753" s="209" t="n"/>
      <c r="G753" s="209" t="n"/>
      <c r="H753" s="209" t="n"/>
      <c r="I753" s="209" t="n"/>
      <c r="J753" s="209" t="n"/>
      <c r="K753" s="186" t="n"/>
      <c r="L753" s="176" t="n"/>
      <c r="M753" s="176" t="n"/>
      <c r="N753" s="176" t="n"/>
      <c r="O753" s="176" t="n"/>
      <c r="P753" s="176" t="n"/>
      <c r="Q753" s="176" t="n"/>
      <c r="R753" s="176" t="n"/>
      <c r="S753" s="176" t="n"/>
      <c r="T753" s="176" t="n"/>
      <c r="U753" s="176" t="n"/>
      <c r="V753" s="176" t="n"/>
      <c r="W753" s="176" t="n"/>
      <c r="X753" s="176" t="n"/>
      <c r="Y753" s="176" t="n"/>
      <c r="Z753" s="176" t="n"/>
      <c r="AA753" s="176" t="n"/>
      <c r="AB753" s="176" t="n"/>
    </row>
    <row r="754">
      <c r="A754" s="176" t="n"/>
      <c r="B754" s="176" t="n"/>
      <c r="C754" s="176" t="n"/>
      <c r="D754" s="176" t="n"/>
      <c r="E754" s="186" t="n"/>
      <c r="F754" s="209" t="n"/>
      <c r="G754" s="209" t="n"/>
      <c r="H754" s="209" t="n"/>
      <c r="I754" s="209" t="n"/>
      <c r="J754" s="209" t="n"/>
      <c r="K754" s="186" t="n"/>
      <c r="L754" s="176" t="n"/>
      <c r="M754" s="176" t="n"/>
      <c r="N754" s="176" t="n"/>
      <c r="O754" s="176" t="n"/>
      <c r="P754" s="176" t="n"/>
      <c r="Q754" s="176" t="n"/>
      <c r="R754" s="176" t="n"/>
      <c r="S754" s="176" t="n"/>
      <c r="T754" s="176" t="n"/>
      <c r="U754" s="176" t="n"/>
      <c r="V754" s="176" t="n"/>
      <c r="W754" s="176" t="n"/>
      <c r="X754" s="176" t="n"/>
      <c r="Y754" s="176" t="n"/>
      <c r="Z754" s="176" t="n"/>
      <c r="AA754" s="176" t="n"/>
      <c r="AB754" s="176" t="n"/>
    </row>
    <row r="755">
      <c r="A755" s="176" t="n"/>
      <c r="B755" s="176" t="n"/>
      <c r="C755" s="176" t="n"/>
      <c r="D755" s="176" t="n"/>
      <c r="E755" s="186" t="n"/>
      <c r="F755" s="209" t="n"/>
      <c r="G755" s="209" t="n"/>
      <c r="H755" s="209" t="n"/>
      <c r="I755" s="209" t="n"/>
      <c r="J755" s="209" t="n"/>
      <c r="K755" s="186" t="n"/>
      <c r="L755" s="176" t="n"/>
      <c r="M755" s="176" t="n"/>
      <c r="N755" s="176" t="n"/>
      <c r="O755" s="176" t="n"/>
      <c r="P755" s="176" t="n"/>
      <c r="Q755" s="176" t="n"/>
      <c r="R755" s="176" t="n"/>
      <c r="S755" s="176" t="n"/>
      <c r="T755" s="176" t="n"/>
      <c r="U755" s="176" t="n"/>
      <c r="V755" s="176" t="n"/>
      <c r="W755" s="176" t="n"/>
      <c r="X755" s="176" t="n"/>
      <c r="Y755" s="176" t="n"/>
      <c r="Z755" s="176" t="n"/>
      <c r="AA755" s="176" t="n"/>
      <c r="AB755" s="176" t="n"/>
    </row>
    <row r="756">
      <c r="A756" s="176" t="n"/>
      <c r="B756" s="176" t="n"/>
      <c r="C756" s="176" t="n"/>
      <c r="D756" s="176" t="n"/>
      <c r="E756" s="186" t="n"/>
      <c r="F756" s="209" t="n"/>
      <c r="G756" s="209" t="n"/>
      <c r="H756" s="209" t="n"/>
      <c r="I756" s="209" t="n"/>
      <c r="J756" s="209" t="n"/>
      <c r="K756" s="186" t="n"/>
      <c r="L756" s="176" t="n"/>
      <c r="M756" s="176" t="n"/>
      <c r="N756" s="176" t="n"/>
      <c r="O756" s="176" t="n"/>
      <c r="P756" s="176" t="n"/>
      <c r="Q756" s="176" t="n"/>
      <c r="R756" s="176" t="n"/>
      <c r="S756" s="176" t="n"/>
      <c r="T756" s="176" t="n"/>
      <c r="U756" s="176" t="n"/>
      <c r="V756" s="176" t="n"/>
      <c r="W756" s="176" t="n"/>
      <c r="X756" s="176" t="n"/>
      <c r="Y756" s="176" t="n"/>
      <c r="Z756" s="176" t="n"/>
      <c r="AA756" s="176" t="n"/>
      <c r="AB756" s="176" t="n"/>
    </row>
    <row r="757">
      <c r="A757" s="176" t="n"/>
      <c r="B757" s="176" t="n"/>
      <c r="C757" s="176" t="n"/>
      <c r="D757" s="176" t="n"/>
      <c r="E757" s="186" t="n"/>
      <c r="F757" s="209" t="n"/>
      <c r="G757" s="209" t="n"/>
      <c r="H757" s="209" t="n"/>
      <c r="I757" s="209" t="n"/>
      <c r="J757" s="209" t="n"/>
      <c r="K757" s="186" t="n"/>
      <c r="L757" s="176" t="n"/>
      <c r="M757" s="176" t="n"/>
      <c r="N757" s="176" t="n"/>
      <c r="O757" s="176" t="n"/>
      <c r="P757" s="176" t="n"/>
      <c r="Q757" s="176" t="n"/>
      <c r="R757" s="176" t="n"/>
      <c r="S757" s="176" t="n"/>
      <c r="T757" s="176" t="n"/>
      <c r="U757" s="176" t="n"/>
      <c r="V757" s="176" t="n"/>
      <c r="W757" s="176" t="n"/>
      <c r="X757" s="176" t="n"/>
      <c r="Y757" s="176" t="n"/>
      <c r="Z757" s="176" t="n"/>
      <c r="AA757" s="176" t="n"/>
      <c r="AB757" s="176" t="n"/>
    </row>
    <row r="758">
      <c r="A758" s="176" t="n"/>
      <c r="B758" s="176" t="n"/>
      <c r="C758" s="176" t="n"/>
      <c r="D758" s="176" t="n"/>
      <c r="E758" s="186" t="n"/>
      <c r="F758" s="209" t="n"/>
      <c r="G758" s="209" t="n"/>
      <c r="H758" s="209" t="n"/>
      <c r="I758" s="209" t="n"/>
      <c r="J758" s="209" t="n"/>
      <c r="K758" s="186" t="n"/>
      <c r="L758" s="176" t="n"/>
      <c r="M758" s="176" t="n"/>
      <c r="N758" s="176" t="n"/>
      <c r="O758" s="176" t="n"/>
      <c r="P758" s="176" t="n"/>
      <c r="Q758" s="176" t="n"/>
      <c r="R758" s="176" t="n"/>
      <c r="S758" s="176" t="n"/>
      <c r="T758" s="176" t="n"/>
      <c r="U758" s="176" t="n"/>
      <c r="V758" s="176" t="n"/>
      <c r="W758" s="176" t="n"/>
      <c r="X758" s="176" t="n"/>
      <c r="Y758" s="176" t="n"/>
      <c r="Z758" s="176" t="n"/>
      <c r="AA758" s="176" t="n"/>
      <c r="AB758" s="176" t="n"/>
    </row>
    <row r="759">
      <c r="A759" s="176" t="n"/>
      <c r="B759" s="176" t="n"/>
      <c r="C759" s="176" t="n"/>
      <c r="D759" s="176" t="n"/>
      <c r="E759" s="186" t="n"/>
      <c r="F759" s="209" t="n"/>
      <c r="G759" s="209" t="n"/>
      <c r="H759" s="209" t="n"/>
      <c r="I759" s="209" t="n"/>
      <c r="J759" s="209" t="n"/>
      <c r="K759" s="186" t="n"/>
      <c r="L759" s="176" t="n"/>
      <c r="M759" s="176" t="n"/>
      <c r="N759" s="176" t="n"/>
      <c r="O759" s="176" t="n"/>
      <c r="P759" s="176" t="n"/>
      <c r="Q759" s="176" t="n"/>
      <c r="R759" s="176" t="n"/>
      <c r="S759" s="176" t="n"/>
      <c r="T759" s="176" t="n"/>
      <c r="U759" s="176" t="n"/>
      <c r="V759" s="176" t="n"/>
      <c r="W759" s="176" t="n"/>
      <c r="X759" s="176" t="n"/>
      <c r="Y759" s="176" t="n"/>
      <c r="Z759" s="176" t="n"/>
      <c r="AA759" s="176" t="n"/>
      <c r="AB759" s="176" t="n"/>
    </row>
    <row r="760">
      <c r="A760" s="176" t="n"/>
      <c r="B760" s="176" t="n"/>
      <c r="C760" s="176" t="n"/>
      <c r="D760" s="176" t="n"/>
      <c r="E760" s="186" t="n"/>
      <c r="F760" s="209" t="n"/>
      <c r="G760" s="209" t="n"/>
      <c r="H760" s="209" t="n"/>
      <c r="I760" s="209" t="n"/>
      <c r="J760" s="209" t="n"/>
      <c r="K760" s="186" t="n"/>
      <c r="L760" s="176" t="n"/>
      <c r="M760" s="176" t="n"/>
      <c r="N760" s="176" t="n"/>
      <c r="O760" s="176" t="n"/>
      <c r="P760" s="176" t="n"/>
      <c r="Q760" s="176" t="n"/>
      <c r="R760" s="176" t="n"/>
      <c r="S760" s="176" t="n"/>
      <c r="T760" s="176" t="n"/>
      <c r="U760" s="176" t="n"/>
      <c r="V760" s="176" t="n"/>
      <c r="W760" s="176" t="n"/>
      <c r="X760" s="176" t="n"/>
      <c r="Y760" s="176" t="n"/>
      <c r="Z760" s="176" t="n"/>
      <c r="AA760" s="176" t="n"/>
      <c r="AB760" s="176" t="n"/>
    </row>
    <row r="761">
      <c r="A761" s="176" t="n"/>
      <c r="B761" s="176" t="n"/>
      <c r="C761" s="176" t="n"/>
      <c r="D761" s="176" t="n"/>
      <c r="E761" s="186" t="n"/>
      <c r="F761" s="209" t="n"/>
      <c r="G761" s="209" t="n"/>
      <c r="H761" s="209" t="n"/>
      <c r="I761" s="209" t="n"/>
      <c r="J761" s="209" t="n"/>
      <c r="K761" s="186" t="n"/>
      <c r="L761" s="176" t="n"/>
      <c r="M761" s="176" t="n"/>
      <c r="N761" s="176" t="n"/>
      <c r="O761" s="176" t="n"/>
      <c r="P761" s="176" t="n"/>
      <c r="Q761" s="176" t="n"/>
      <c r="R761" s="176" t="n"/>
      <c r="S761" s="176" t="n"/>
      <c r="T761" s="176" t="n"/>
      <c r="U761" s="176" t="n"/>
      <c r="V761" s="176" t="n"/>
      <c r="W761" s="176" t="n"/>
      <c r="X761" s="176" t="n"/>
      <c r="Y761" s="176" t="n"/>
      <c r="Z761" s="176" t="n"/>
      <c r="AA761" s="176" t="n"/>
      <c r="AB761" s="176" t="n"/>
    </row>
    <row r="762">
      <c r="A762" s="176" t="n"/>
      <c r="B762" s="176" t="n"/>
      <c r="C762" s="176" t="n"/>
      <c r="D762" s="176" t="n"/>
      <c r="E762" s="186" t="n"/>
      <c r="F762" s="209" t="n"/>
      <c r="G762" s="209" t="n"/>
      <c r="H762" s="209" t="n"/>
      <c r="I762" s="209" t="n"/>
      <c r="J762" s="209" t="n"/>
      <c r="K762" s="186" t="n"/>
      <c r="L762" s="176" t="n"/>
      <c r="M762" s="176" t="n"/>
      <c r="N762" s="176" t="n"/>
      <c r="O762" s="176" t="n"/>
      <c r="P762" s="176" t="n"/>
      <c r="Q762" s="176" t="n"/>
      <c r="R762" s="176" t="n"/>
      <c r="S762" s="176" t="n"/>
      <c r="T762" s="176" t="n"/>
      <c r="U762" s="176" t="n"/>
      <c r="V762" s="176" t="n"/>
      <c r="W762" s="176" t="n"/>
      <c r="X762" s="176" t="n"/>
      <c r="Y762" s="176" t="n"/>
      <c r="Z762" s="176" t="n"/>
      <c r="AA762" s="176" t="n"/>
      <c r="AB762" s="176" t="n"/>
    </row>
    <row r="763">
      <c r="A763" s="176" t="n"/>
      <c r="B763" s="176" t="n"/>
      <c r="C763" s="176" t="n"/>
      <c r="D763" s="176" t="n"/>
      <c r="E763" s="186" t="n"/>
      <c r="F763" s="209" t="n"/>
      <c r="G763" s="209" t="n"/>
      <c r="H763" s="209" t="n"/>
      <c r="I763" s="209" t="n"/>
      <c r="J763" s="209" t="n"/>
      <c r="K763" s="186" t="n"/>
      <c r="L763" s="176" t="n"/>
      <c r="M763" s="176" t="n"/>
      <c r="N763" s="176" t="n"/>
      <c r="O763" s="176" t="n"/>
      <c r="P763" s="176" t="n"/>
      <c r="Q763" s="176" t="n"/>
      <c r="R763" s="176" t="n"/>
      <c r="S763" s="176" t="n"/>
      <c r="T763" s="176" t="n"/>
      <c r="U763" s="176" t="n"/>
      <c r="V763" s="176" t="n"/>
      <c r="W763" s="176" t="n"/>
      <c r="X763" s="176" t="n"/>
      <c r="Y763" s="176" t="n"/>
      <c r="Z763" s="176" t="n"/>
      <c r="AA763" s="176" t="n"/>
      <c r="AB763" s="176" t="n"/>
    </row>
    <row r="764">
      <c r="A764" s="176" t="n"/>
      <c r="B764" s="176" t="n"/>
      <c r="C764" s="176" t="n"/>
      <c r="D764" s="176" t="n"/>
      <c r="E764" s="186" t="n"/>
      <c r="F764" s="209" t="n"/>
      <c r="G764" s="209" t="n"/>
      <c r="H764" s="209" t="n"/>
      <c r="I764" s="209" t="n"/>
      <c r="J764" s="209" t="n"/>
      <c r="K764" s="186" t="n"/>
      <c r="L764" s="176" t="n"/>
      <c r="M764" s="176" t="n"/>
      <c r="N764" s="176" t="n"/>
      <c r="O764" s="176" t="n"/>
      <c r="P764" s="176" t="n"/>
      <c r="Q764" s="176" t="n"/>
      <c r="R764" s="176" t="n"/>
      <c r="S764" s="176" t="n"/>
      <c r="T764" s="176" t="n"/>
      <c r="U764" s="176" t="n"/>
      <c r="V764" s="176" t="n"/>
      <c r="W764" s="176" t="n"/>
      <c r="X764" s="176" t="n"/>
      <c r="Y764" s="176" t="n"/>
      <c r="Z764" s="176" t="n"/>
      <c r="AA764" s="176" t="n"/>
      <c r="AB764" s="176" t="n"/>
    </row>
    <row r="765">
      <c r="A765" s="176" t="n"/>
      <c r="B765" s="176" t="n"/>
      <c r="C765" s="176" t="n"/>
      <c r="D765" s="176" t="n"/>
      <c r="E765" s="186" t="n"/>
      <c r="F765" s="209" t="n"/>
      <c r="G765" s="209" t="n"/>
      <c r="H765" s="209" t="n"/>
      <c r="I765" s="209" t="n"/>
      <c r="J765" s="209" t="n"/>
      <c r="K765" s="186" t="n"/>
      <c r="L765" s="176" t="n"/>
      <c r="M765" s="176" t="n"/>
      <c r="N765" s="176" t="n"/>
      <c r="O765" s="176" t="n"/>
      <c r="P765" s="176" t="n"/>
      <c r="Q765" s="176" t="n"/>
      <c r="R765" s="176" t="n"/>
      <c r="S765" s="176" t="n"/>
      <c r="T765" s="176" t="n"/>
      <c r="U765" s="176" t="n"/>
      <c r="V765" s="176" t="n"/>
      <c r="W765" s="176" t="n"/>
      <c r="X765" s="176" t="n"/>
      <c r="Y765" s="176" t="n"/>
      <c r="Z765" s="176" t="n"/>
      <c r="AA765" s="176" t="n"/>
      <c r="AB765" s="176" t="n"/>
    </row>
    <row r="766">
      <c r="A766" s="176" t="n"/>
      <c r="B766" s="176" t="n"/>
      <c r="C766" s="176" t="n"/>
      <c r="D766" s="176" t="n"/>
      <c r="E766" s="186" t="n"/>
      <c r="F766" s="209" t="n"/>
      <c r="G766" s="209" t="n"/>
      <c r="H766" s="209" t="n"/>
      <c r="I766" s="209" t="n"/>
      <c r="J766" s="209" t="n"/>
      <c r="K766" s="186" t="n"/>
      <c r="L766" s="176" t="n"/>
      <c r="M766" s="176" t="n"/>
      <c r="N766" s="176" t="n"/>
      <c r="O766" s="176" t="n"/>
      <c r="P766" s="176" t="n"/>
      <c r="Q766" s="176" t="n"/>
      <c r="R766" s="176" t="n"/>
      <c r="S766" s="176" t="n"/>
      <c r="T766" s="176" t="n"/>
      <c r="U766" s="176" t="n"/>
      <c r="V766" s="176" t="n"/>
      <c r="W766" s="176" t="n"/>
      <c r="X766" s="176" t="n"/>
      <c r="Y766" s="176" t="n"/>
      <c r="Z766" s="176" t="n"/>
      <c r="AA766" s="176" t="n"/>
      <c r="AB766" s="176" t="n"/>
    </row>
    <row r="767">
      <c r="A767" s="176" t="n"/>
      <c r="B767" s="176" t="n"/>
      <c r="C767" s="176" t="n"/>
      <c r="D767" s="176" t="n"/>
      <c r="E767" s="186" t="n"/>
      <c r="F767" s="209" t="n"/>
      <c r="G767" s="209" t="n"/>
      <c r="H767" s="209" t="n"/>
      <c r="I767" s="209" t="n"/>
      <c r="J767" s="209" t="n"/>
      <c r="K767" s="186" t="n"/>
      <c r="L767" s="176" t="n"/>
      <c r="M767" s="176" t="n"/>
      <c r="N767" s="176" t="n"/>
      <c r="O767" s="176" t="n"/>
      <c r="P767" s="176" t="n"/>
      <c r="Q767" s="176" t="n"/>
      <c r="R767" s="176" t="n"/>
      <c r="S767" s="176" t="n"/>
      <c r="T767" s="176" t="n"/>
      <c r="U767" s="176" t="n"/>
      <c r="V767" s="176" t="n"/>
      <c r="W767" s="176" t="n"/>
      <c r="X767" s="176" t="n"/>
      <c r="Y767" s="176" t="n"/>
      <c r="Z767" s="176" t="n"/>
      <c r="AA767" s="176" t="n"/>
      <c r="AB767" s="176" t="n"/>
    </row>
    <row r="768">
      <c r="A768" s="176" t="n"/>
      <c r="B768" s="176" t="n"/>
      <c r="C768" s="176" t="n"/>
      <c r="D768" s="176" t="n"/>
      <c r="E768" s="186" t="n"/>
      <c r="F768" s="209" t="n"/>
      <c r="G768" s="209" t="n"/>
      <c r="H768" s="209" t="n"/>
      <c r="I768" s="209" t="n"/>
      <c r="J768" s="209" t="n"/>
      <c r="K768" s="186" t="n"/>
      <c r="L768" s="176" t="n"/>
      <c r="M768" s="176" t="n"/>
      <c r="N768" s="176" t="n"/>
      <c r="O768" s="176" t="n"/>
      <c r="P768" s="176" t="n"/>
      <c r="Q768" s="176" t="n"/>
      <c r="R768" s="176" t="n"/>
      <c r="S768" s="176" t="n"/>
      <c r="T768" s="176" t="n"/>
      <c r="U768" s="176" t="n"/>
      <c r="V768" s="176" t="n"/>
      <c r="W768" s="176" t="n"/>
      <c r="X768" s="176" t="n"/>
      <c r="Y768" s="176" t="n"/>
      <c r="Z768" s="176" t="n"/>
      <c r="AA768" s="176" t="n"/>
      <c r="AB768" s="176" t="n"/>
    </row>
    <row r="769">
      <c r="A769" s="176" t="n"/>
      <c r="B769" s="176" t="n"/>
      <c r="C769" s="176" t="n"/>
      <c r="D769" s="176" t="n"/>
      <c r="E769" s="186" t="n"/>
      <c r="F769" s="209" t="n"/>
      <c r="G769" s="209" t="n"/>
      <c r="H769" s="209" t="n"/>
      <c r="I769" s="209" t="n"/>
      <c r="J769" s="209" t="n"/>
      <c r="K769" s="186" t="n"/>
      <c r="L769" s="176" t="n"/>
      <c r="M769" s="176" t="n"/>
      <c r="N769" s="176" t="n"/>
      <c r="O769" s="176" t="n"/>
      <c r="P769" s="176" t="n"/>
      <c r="Q769" s="176" t="n"/>
      <c r="R769" s="176" t="n"/>
      <c r="S769" s="176" t="n"/>
      <c r="T769" s="176" t="n"/>
      <c r="U769" s="176" t="n"/>
      <c r="V769" s="176" t="n"/>
      <c r="W769" s="176" t="n"/>
      <c r="X769" s="176" t="n"/>
      <c r="Y769" s="176" t="n"/>
      <c r="Z769" s="176" t="n"/>
      <c r="AA769" s="176" t="n"/>
      <c r="AB769" s="176" t="n"/>
    </row>
    <row r="770">
      <c r="A770" s="176" t="n"/>
      <c r="B770" s="176" t="n"/>
      <c r="C770" s="176" t="n"/>
      <c r="D770" s="176" t="n"/>
      <c r="E770" s="186" t="n"/>
      <c r="F770" s="209" t="n"/>
      <c r="G770" s="209" t="n"/>
      <c r="H770" s="209" t="n"/>
      <c r="I770" s="209" t="n"/>
      <c r="J770" s="209" t="n"/>
      <c r="K770" s="186" t="n"/>
      <c r="L770" s="176" t="n"/>
      <c r="M770" s="176" t="n"/>
      <c r="N770" s="176" t="n"/>
      <c r="O770" s="176" t="n"/>
      <c r="P770" s="176" t="n"/>
      <c r="Q770" s="176" t="n"/>
      <c r="R770" s="176" t="n"/>
      <c r="S770" s="176" t="n"/>
      <c r="T770" s="176" t="n"/>
      <c r="U770" s="176" t="n"/>
      <c r="V770" s="176" t="n"/>
      <c r="W770" s="176" t="n"/>
      <c r="X770" s="176" t="n"/>
      <c r="Y770" s="176" t="n"/>
      <c r="Z770" s="176" t="n"/>
      <c r="AA770" s="176" t="n"/>
      <c r="AB770" s="176" t="n"/>
    </row>
    <row r="771">
      <c r="A771" s="176" t="n"/>
      <c r="B771" s="176" t="n"/>
      <c r="C771" s="176" t="n"/>
      <c r="D771" s="176" t="n"/>
      <c r="E771" s="176" t="n"/>
      <c r="F771" s="213" t="n"/>
      <c r="G771" s="213" t="n"/>
      <c r="H771" s="213" t="n"/>
      <c r="I771" s="213" t="n"/>
      <c r="J771" s="213" t="n"/>
      <c r="K771" s="186" t="n"/>
      <c r="L771" s="176" t="n"/>
      <c r="M771" s="176" t="n"/>
      <c r="N771" s="176" t="n"/>
      <c r="O771" s="176" t="n"/>
      <c r="P771" s="176" t="n"/>
      <c r="Q771" s="176" t="n"/>
      <c r="R771" s="176" t="n"/>
      <c r="S771" s="176" t="n"/>
      <c r="T771" s="176" t="n"/>
      <c r="U771" s="176" t="n"/>
      <c r="V771" s="176" t="n"/>
      <c r="W771" s="176" t="n"/>
      <c r="X771" s="176" t="n"/>
      <c r="Y771" s="176" t="n"/>
      <c r="Z771" s="176" t="n"/>
      <c r="AA771" s="176" t="n"/>
      <c r="AB771" s="176" t="n"/>
    </row>
    <row r="772">
      <c r="A772" s="176" t="n"/>
      <c r="B772" s="176" t="n"/>
      <c r="C772" s="176" t="n"/>
      <c r="D772" s="176" t="n"/>
      <c r="E772" s="176" t="n"/>
      <c r="F772" s="213" t="n"/>
      <c r="G772" s="213" t="n"/>
      <c r="H772" s="213" t="n"/>
      <c r="I772" s="213" t="n"/>
      <c r="J772" s="213" t="n"/>
      <c r="K772" s="186" t="n"/>
      <c r="L772" s="176" t="n"/>
      <c r="M772" s="176" t="n"/>
      <c r="N772" s="176" t="n"/>
      <c r="O772" s="176" t="n"/>
      <c r="P772" s="176" t="n"/>
      <c r="Q772" s="176" t="n"/>
      <c r="R772" s="176" t="n"/>
      <c r="S772" s="176" t="n"/>
      <c r="T772" s="176" t="n"/>
      <c r="U772" s="176" t="n"/>
      <c r="V772" s="176" t="n"/>
      <c r="W772" s="176" t="n"/>
      <c r="X772" s="176" t="n"/>
      <c r="Y772" s="176" t="n"/>
      <c r="Z772" s="176" t="n"/>
      <c r="AA772" s="176" t="n"/>
      <c r="AB772" s="176" t="n"/>
    </row>
    <row r="773">
      <c r="A773" s="176" t="n"/>
      <c r="B773" s="176" t="n"/>
      <c r="C773" s="176" t="n"/>
      <c r="D773" s="176" t="n"/>
      <c r="E773" s="176" t="n"/>
      <c r="F773" s="213" t="n"/>
      <c r="G773" s="213" t="n"/>
      <c r="H773" s="213" t="n"/>
      <c r="I773" s="213" t="n"/>
      <c r="J773" s="213" t="n"/>
      <c r="K773" s="186" t="n"/>
      <c r="L773" s="176" t="n"/>
      <c r="M773" s="176" t="n"/>
      <c r="N773" s="176" t="n"/>
      <c r="O773" s="176" t="n"/>
      <c r="P773" s="176" t="n"/>
      <c r="Q773" s="176" t="n"/>
      <c r="R773" s="176" t="n"/>
      <c r="S773" s="176" t="n"/>
      <c r="T773" s="176" t="n"/>
      <c r="U773" s="176" t="n"/>
      <c r="V773" s="176" t="n"/>
      <c r="W773" s="176" t="n"/>
      <c r="X773" s="176" t="n"/>
      <c r="Y773" s="176" t="n"/>
      <c r="Z773" s="176" t="n"/>
      <c r="AA773" s="176" t="n"/>
      <c r="AB773" s="176" t="n"/>
    </row>
    <row r="774">
      <c r="A774" s="176" t="n"/>
      <c r="B774" s="176" t="n"/>
      <c r="C774" s="176" t="n"/>
      <c r="D774" s="176" t="n"/>
      <c r="E774" s="176" t="n"/>
      <c r="F774" s="213" t="n"/>
      <c r="G774" s="213" t="n"/>
      <c r="H774" s="213" t="n"/>
      <c r="I774" s="213" t="n"/>
      <c r="J774" s="213" t="n"/>
      <c r="K774" s="186" t="n"/>
      <c r="L774" s="176" t="n"/>
      <c r="M774" s="176" t="n"/>
      <c r="N774" s="176" t="n"/>
      <c r="O774" s="176" t="n"/>
      <c r="P774" s="176" t="n"/>
      <c r="Q774" s="176" t="n"/>
      <c r="R774" s="176" t="n"/>
      <c r="S774" s="176" t="n"/>
      <c r="T774" s="176" t="n"/>
      <c r="U774" s="176" t="n"/>
      <c r="V774" s="176" t="n"/>
      <c r="W774" s="176" t="n"/>
      <c r="X774" s="176" t="n"/>
      <c r="Y774" s="176" t="n"/>
      <c r="Z774" s="176" t="n"/>
      <c r="AA774" s="176" t="n"/>
      <c r="AB774" s="176" t="n"/>
    </row>
    <row r="775">
      <c r="A775" s="176" t="n"/>
      <c r="B775" s="176" t="n"/>
      <c r="C775" s="176" t="n"/>
      <c r="D775" s="176" t="n"/>
      <c r="E775" s="176" t="n"/>
      <c r="F775" s="213" t="n"/>
      <c r="G775" s="213" t="n"/>
      <c r="H775" s="213" t="n"/>
      <c r="I775" s="213" t="n"/>
      <c r="J775" s="213" t="n"/>
      <c r="K775" s="186" t="n"/>
      <c r="L775" s="176" t="n"/>
      <c r="M775" s="176" t="n"/>
      <c r="N775" s="176" t="n"/>
      <c r="O775" s="176" t="n"/>
      <c r="P775" s="176" t="n"/>
      <c r="Q775" s="176" t="n"/>
      <c r="R775" s="176" t="n"/>
      <c r="S775" s="176" t="n"/>
      <c r="T775" s="176" t="n"/>
      <c r="U775" s="176" t="n"/>
      <c r="V775" s="176" t="n"/>
      <c r="W775" s="176" t="n"/>
      <c r="X775" s="176" t="n"/>
      <c r="Y775" s="176" t="n"/>
      <c r="Z775" s="176" t="n"/>
      <c r="AA775" s="176" t="n"/>
      <c r="AB775" s="176" t="n"/>
    </row>
    <row r="776">
      <c r="A776" s="176" t="n"/>
      <c r="B776" s="176" t="n"/>
      <c r="C776" s="176" t="n"/>
      <c r="D776" s="176" t="n"/>
      <c r="E776" s="176" t="n"/>
      <c r="F776" s="213" t="n"/>
      <c r="G776" s="213" t="n"/>
      <c r="H776" s="213" t="n"/>
      <c r="I776" s="213" t="n"/>
      <c r="J776" s="213" t="n"/>
      <c r="K776" s="186" t="n"/>
      <c r="L776" s="176" t="n"/>
      <c r="M776" s="176" t="n"/>
      <c r="N776" s="176" t="n"/>
      <c r="O776" s="176" t="n"/>
      <c r="P776" s="176" t="n"/>
      <c r="Q776" s="176" t="n"/>
      <c r="R776" s="176" t="n"/>
      <c r="S776" s="176" t="n"/>
      <c r="T776" s="176" t="n"/>
      <c r="U776" s="176" t="n"/>
      <c r="V776" s="176" t="n"/>
      <c r="W776" s="176" t="n"/>
      <c r="X776" s="176" t="n"/>
      <c r="Y776" s="176" t="n"/>
      <c r="Z776" s="176" t="n"/>
      <c r="AA776" s="176" t="n"/>
      <c r="AB776" s="176" t="n"/>
    </row>
    <row r="777">
      <c r="A777" s="176" t="n"/>
      <c r="B777" s="176" t="n"/>
      <c r="C777" s="176" t="n"/>
      <c r="D777" s="176" t="n"/>
      <c r="E777" s="176" t="n"/>
      <c r="F777" s="213" t="n"/>
      <c r="G777" s="213" t="n"/>
      <c r="H777" s="213" t="n"/>
      <c r="I777" s="213" t="n"/>
      <c r="J777" s="213" t="n"/>
      <c r="K777" s="186" t="n"/>
      <c r="L777" s="176" t="n"/>
      <c r="M777" s="176" t="n"/>
      <c r="N777" s="176" t="n"/>
      <c r="O777" s="176" t="n"/>
      <c r="P777" s="176" t="n"/>
      <c r="Q777" s="176" t="n"/>
      <c r="R777" s="176" t="n"/>
      <c r="S777" s="176" t="n"/>
      <c r="T777" s="176" t="n"/>
      <c r="U777" s="176" t="n"/>
      <c r="V777" s="176" t="n"/>
      <c r="W777" s="176" t="n"/>
      <c r="X777" s="176" t="n"/>
      <c r="Y777" s="176" t="n"/>
      <c r="Z777" s="176" t="n"/>
      <c r="AA777" s="176" t="n"/>
      <c r="AB777" s="176" t="n"/>
    </row>
    <row r="778">
      <c r="A778" s="176" t="n"/>
      <c r="B778" s="176" t="n"/>
      <c r="C778" s="176" t="n"/>
      <c r="D778" s="176" t="n"/>
      <c r="E778" s="176" t="n"/>
      <c r="F778" s="213" t="n"/>
      <c r="G778" s="213" t="n"/>
      <c r="H778" s="213" t="n"/>
      <c r="I778" s="213" t="n"/>
      <c r="J778" s="213" t="n"/>
      <c r="K778" s="186" t="n"/>
      <c r="L778" s="176" t="n"/>
      <c r="M778" s="176" t="n"/>
      <c r="N778" s="176" t="n"/>
      <c r="O778" s="176" t="n"/>
      <c r="P778" s="176" t="n"/>
      <c r="Q778" s="176" t="n"/>
      <c r="R778" s="176" t="n"/>
      <c r="S778" s="176" t="n"/>
      <c r="T778" s="176" t="n"/>
      <c r="U778" s="176" t="n"/>
      <c r="V778" s="176" t="n"/>
      <c r="W778" s="176" t="n"/>
      <c r="X778" s="176" t="n"/>
      <c r="Y778" s="176" t="n"/>
      <c r="Z778" s="176" t="n"/>
      <c r="AA778" s="176" t="n"/>
      <c r="AB778" s="176" t="n"/>
    </row>
    <row r="779">
      <c r="A779" s="176" t="n"/>
      <c r="B779" s="176" t="n"/>
      <c r="C779" s="176" t="n"/>
      <c r="D779" s="176" t="n"/>
      <c r="E779" s="176" t="n"/>
      <c r="F779" s="213" t="n"/>
      <c r="G779" s="213" t="n"/>
      <c r="H779" s="213" t="n"/>
      <c r="I779" s="213" t="n"/>
      <c r="J779" s="213" t="n"/>
      <c r="K779" s="186" t="n"/>
      <c r="L779" s="176" t="n"/>
      <c r="M779" s="176" t="n"/>
      <c r="N779" s="176" t="n"/>
      <c r="O779" s="176" t="n"/>
      <c r="P779" s="176" t="n"/>
      <c r="Q779" s="176" t="n"/>
      <c r="R779" s="176" t="n"/>
      <c r="S779" s="176" t="n"/>
      <c r="T779" s="176" t="n"/>
      <c r="U779" s="176" t="n"/>
      <c r="V779" s="176" t="n"/>
      <c r="W779" s="176" t="n"/>
      <c r="X779" s="176" t="n"/>
      <c r="Y779" s="176" t="n"/>
      <c r="Z779" s="176" t="n"/>
      <c r="AA779" s="176" t="n"/>
      <c r="AB779" s="176" t="n"/>
    </row>
    <row r="780">
      <c r="A780" s="176" t="n"/>
      <c r="B780" s="176" t="n"/>
      <c r="C780" s="176" t="n"/>
      <c r="D780" s="176" t="n"/>
      <c r="E780" s="176" t="n"/>
      <c r="F780" s="213" t="n"/>
      <c r="G780" s="213" t="n"/>
      <c r="H780" s="213" t="n"/>
      <c r="I780" s="213" t="n"/>
      <c r="J780" s="213" t="n"/>
      <c r="K780" s="186" t="n"/>
      <c r="L780" s="176" t="n"/>
      <c r="M780" s="176" t="n"/>
      <c r="N780" s="176" t="n"/>
      <c r="O780" s="176" t="n"/>
      <c r="P780" s="176" t="n"/>
      <c r="Q780" s="176" t="n"/>
      <c r="R780" s="176" t="n"/>
      <c r="S780" s="176" t="n"/>
      <c r="T780" s="176" t="n"/>
      <c r="U780" s="176" t="n"/>
      <c r="V780" s="176" t="n"/>
      <c r="W780" s="176" t="n"/>
      <c r="X780" s="176" t="n"/>
      <c r="Y780" s="176" t="n"/>
      <c r="Z780" s="176" t="n"/>
      <c r="AA780" s="176" t="n"/>
      <c r="AB780" s="176" t="n"/>
    </row>
    <row r="781">
      <c r="A781" s="176" t="n"/>
      <c r="B781" s="176" t="n"/>
      <c r="C781" s="176" t="n"/>
      <c r="D781" s="176" t="n"/>
      <c r="E781" s="176" t="n"/>
      <c r="F781" s="213" t="n"/>
      <c r="G781" s="213" t="n"/>
      <c r="H781" s="213" t="n"/>
      <c r="I781" s="213" t="n"/>
      <c r="J781" s="213" t="n"/>
      <c r="K781" s="186" t="n"/>
      <c r="L781" s="176" t="n"/>
      <c r="M781" s="176" t="n"/>
      <c r="N781" s="176" t="n"/>
      <c r="O781" s="176" t="n"/>
      <c r="P781" s="176" t="n"/>
      <c r="Q781" s="176" t="n"/>
      <c r="R781" s="176" t="n"/>
      <c r="S781" s="176" t="n"/>
      <c r="T781" s="176" t="n"/>
      <c r="U781" s="176" t="n"/>
      <c r="V781" s="176" t="n"/>
      <c r="W781" s="176" t="n"/>
      <c r="X781" s="176" t="n"/>
      <c r="Y781" s="176" t="n"/>
      <c r="Z781" s="176" t="n"/>
      <c r="AA781" s="176" t="n"/>
      <c r="AB781" s="176" t="n"/>
    </row>
    <row r="782">
      <c r="A782" s="176" t="n"/>
      <c r="B782" s="176" t="n"/>
      <c r="C782" s="176" t="n"/>
      <c r="D782" s="176" t="n"/>
      <c r="E782" s="176" t="n"/>
      <c r="F782" s="213" t="n"/>
      <c r="G782" s="213" t="n"/>
      <c r="H782" s="213" t="n"/>
      <c r="I782" s="213" t="n"/>
      <c r="J782" s="213" t="n"/>
      <c r="K782" s="186" t="n"/>
      <c r="L782" s="176" t="n"/>
      <c r="M782" s="176" t="n"/>
      <c r="N782" s="176" t="n"/>
      <c r="O782" s="176" t="n"/>
      <c r="P782" s="176" t="n"/>
      <c r="Q782" s="176" t="n"/>
      <c r="R782" s="176" t="n"/>
      <c r="S782" s="176" t="n"/>
      <c r="T782" s="176" t="n"/>
      <c r="U782" s="176" t="n"/>
      <c r="V782" s="176" t="n"/>
      <c r="W782" s="176" t="n"/>
      <c r="X782" s="176" t="n"/>
      <c r="Y782" s="176" t="n"/>
      <c r="Z782" s="176" t="n"/>
      <c r="AA782" s="176" t="n"/>
      <c r="AB782" s="176" t="n"/>
    </row>
    <row r="783">
      <c r="A783" s="176" t="n"/>
      <c r="B783" s="176" t="n"/>
      <c r="C783" s="176" t="n"/>
      <c r="D783" s="176" t="n"/>
      <c r="E783" s="176" t="n"/>
      <c r="F783" s="213" t="n"/>
      <c r="G783" s="213" t="n"/>
      <c r="H783" s="213" t="n"/>
      <c r="I783" s="213" t="n"/>
      <c r="J783" s="213" t="n"/>
      <c r="K783" s="186" t="n"/>
      <c r="L783" s="176" t="n"/>
      <c r="M783" s="176" t="n"/>
      <c r="N783" s="176" t="n"/>
      <c r="O783" s="176" t="n"/>
      <c r="P783" s="176" t="n"/>
      <c r="Q783" s="176" t="n"/>
      <c r="R783" s="176" t="n"/>
      <c r="S783" s="176" t="n"/>
      <c r="T783" s="176" t="n"/>
      <c r="U783" s="176" t="n"/>
      <c r="V783" s="176" t="n"/>
      <c r="W783" s="176" t="n"/>
      <c r="X783" s="176" t="n"/>
      <c r="Y783" s="176" t="n"/>
      <c r="Z783" s="176" t="n"/>
      <c r="AA783" s="176" t="n"/>
      <c r="AB783" s="176" t="n"/>
    </row>
    <row r="784">
      <c r="A784" s="176" t="n"/>
      <c r="B784" s="176" t="n"/>
      <c r="C784" s="176" t="n"/>
      <c r="D784" s="176" t="n"/>
      <c r="E784" s="176" t="n"/>
      <c r="F784" s="213" t="n"/>
      <c r="G784" s="213" t="n"/>
      <c r="H784" s="213" t="n"/>
      <c r="I784" s="213" t="n"/>
      <c r="J784" s="213" t="n"/>
      <c r="K784" s="186" t="n"/>
      <c r="L784" s="176" t="n"/>
      <c r="M784" s="176" t="n"/>
      <c r="N784" s="176" t="n"/>
      <c r="O784" s="176" t="n"/>
      <c r="P784" s="176" t="n"/>
      <c r="Q784" s="176" t="n"/>
      <c r="R784" s="176" t="n"/>
      <c r="S784" s="176" t="n"/>
      <c r="T784" s="176" t="n"/>
      <c r="U784" s="176" t="n"/>
      <c r="V784" s="176" t="n"/>
      <c r="W784" s="176" t="n"/>
      <c r="X784" s="176" t="n"/>
      <c r="Y784" s="176" t="n"/>
      <c r="Z784" s="176" t="n"/>
      <c r="AA784" s="176" t="n"/>
      <c r="AB784" s="176" t="n"/>
    </row>
    <row r="785">
      <c r="A785" s="176" t="n"/>
      <c r="B785" s="176" t="n"/>
      <c r="C785" s="176" t="n"/>
      <c r="D785" s="176" t="n"/>
      <c r="E785" s="176" t="n"/>
      <c r="F785" s="213" t="n"/>
      <c r="G785" s="213" t="n"/>
      <c r="H785" s="213" t="n"/>
      <c r="I785" s="213" t="n"/>
      <c r="J785" s="213" t="n"/>
      <c r="K785" s="186" t="n"/>
      <c r="L785" s="176" t="n"/>
      <c r="M785" s="176" t="n"/>
      <c r="N785" s="176" t="n"/>
      <c r="O785" s="176" t="n"/>
      <c r="P785" s="176" t="n"/>
      <c r="Q785" s="176" t="n"/>
      <c r="R785" s="176" t="n"/>
      <c r="S785" s="176" t="n"/>
      <c r="T785" s="176" t="n"/>
      <c r="U785" s="176" t="n"/>
      <c r="V785" s="176" t="n"/>
      <c r="W785" s="176" t="n"/>
      <c r="X785" s="176" t="n"/>
      <c r="Y785" s="176" t="n"/>
      <c r="Z785" s="176" t="n"/>
      <c r="AA785" s="176" t="n"/>
      <c r="AB785" s="176" t="n"/>
    </row>
    <row r="786">
      <c r="A786" s="176" t="n"/>
      <c r="B786" s="176" t="n"/>
      <c r="C786" s="176" t="n"/>
      <c r="D786" s="176" t="n"/>
      <c r="E786" s="176" t="n"/>
      <c r="F786" s="213" t="n"/>
      <c r="G786" s="213" t="n"/>
      <c r="H786" s="213" t="n"/>
      <c r="I786" s="213" t="n"/>
      <c r="J786" s="213" t="n"/>
      <c r="K786" s="186" t="n"/>
      <c r="L786" s="176" t="n"/>
      <c r="M786" s="176" t="n"/>
      <c r="N786" s="176" t="n"/>
      <c r="O786" s="176" t="n"/>
      <c r="P786" s="176" t="n"/>
      <c r="Q786" s="176" t="n"/>
      <c r="R786" s="176" t="n"/>
      <c r="S786" s="176" t="n"/>
      <c r="T786" s="176" t="n"/>
      <c r="U786" s="176" t="n"/>
      <c r="V786" s="176" t="n"/>
      <c r="W786" s="176" t="n"/>
      <c r="X786" s="176" t="n"/>
      <c r="Y786" s="176" t="n"/>
      <c r="Z786" s="176" t="n"/>
      <c r="AA786" s="176" t="n"/>
      <c r="AB786" s="176" t="n"/>
    </row>
    <row r="787">
      <c r="A787" s="176" t="n"/>
      <c r="B787" s="176" t="n"/>
      <c r="C787" s="176" t="n"/>
      <c r="D787" s="176" t="n"/>
      <c r="E787" s="176" t="n"/>
      <c r="F787" s="213" t="n"/>
      <c r="G787" s="213" t="n"/>
      <c r="H787" s="213" t="n"/>
      <c r="I787" s="213" t="n"/>
      <c r="J787" s="213" t="n"/>
      <c r="K787" s="186" t="n"/>
      <c r="L787" s="176" t="n"/>
      <c r="M787" s="176" t="n"/>
      <c r="N787" s="176" t="n"/>
      <c r="O787" s="176" t="n"/>
      <c r="P787" s="176" t="n"/>
      <c r="Q787" s="176" t="n"/>
      <c r="R787" s="176" t="n"/>
      <c r="S787" s="176" t="n"/>
      <c r="T787" s="176" t="n"/>
      <c r="U787" s="176" t="n"/>
      <c r="V787" s="176" t="n"/>
      <c r="W787" s="176" t="n"/>
      <c r="X787" s="176" t="n"/>
      <c r="Y787" s="176" t="n"/>
      <c r="Z787" s="176" t="n"/>
      <c r="AA787" s="176" t="n"/>
      <c r="AB787" s="176" t="n"/>
    </row>
    <row r="788">
      <c r="A788" s="176" t="n"/>
      <c r="B788" s="176" t="n"/>
      <c r="C788" s="176" t="n"/>
      <c r="D788" s="176" t="n"/>
      <c r="E788" s="176" t="n"/>
      <c r="F788" s="213" t="n"/>
      <c r="G788" s="213" t="n"/>
      <c r="H788" s="213" t="n"/>
      <c r="I788" s="213" t="n"/>
      <c r="J788" s="213" t="n"/>
      <c r="K788" s="186" t="n"/>
      <c r="L788" s="176" t="n"/>
      <c r="M788" s="176" t="n"/>
      <c r="N788" s="176" t="n"/>
      <c r="O788" s="176" t="n"/>
      <c r="P788" s="176" t="n"/>
      <c r="Q788" s="176" t="n"/>
      <c r="R788" s="176" t="n"/>
      <c r="S788" s="176" t="n"/>
      <c r="T788" s="176" t="n"/>
      <c r="U788" s="176" t="n"/>
      <c r="V788" s="176" t="n"/>
      <c r="W788" s="176" t="n"/>
      <c r="X788" s="176" t="n"/>
      <c r="Y788" s="176" t="n"/>
      <c r="Z788" s="176" t="n"/>
      <c r="AA788" s="176" t="n"/>
      <c r="AB788" s="176" t="n"/>
    </row>
    <row r="789">
      <c r="A789" s="176" t="n"/>
      <c r="B789" s="176" t="n"/>
      <c r="C789" s="176" t="n"/>
      <c r="D789" s="176" t="n"/>
      <c r="E789" s="176" t="n"/>
      <c r="F789" s="213" t="n"/>
      <c r="G789" s="213" t="n"/>
      <c r="H789" s="213" t="n"/>
      <c r="I789" s="213" t="n"/>
      <c r="J789" s="213" t="n"/>
      <c r="K789" s="186" t="n"/>
      <c r="L789" s="176" t="n"/>
      <c r="M789" s="176" t="n"/>
      <c r="N789" s="176" t="n"/>
      <c r="O789" s="176" t="n"/>
      <c r="P789" s="176" t="n"/>
      <c r="Q789" s="176" t="n"/>
      <c r="R789" s="176" t="n"/>
      <c r="S789" s="176" t="n"/>
      <c r="T789" s="176" t="n"/>
      <c r="U789" s="176" t="n"/>
      <c r="V789" s="176" t="n"/>
      <c r="W789" s="176" t="n"/>
      <c r="X789" s="176" t="n"/>
      <c r="Y789" s="176" t="n"/>
      <c r="Z789" s="176" t="n"/>
      <c r="AA789" s="176" t="n"/>
      <c r="AB789" s="176" t="n"/>
    </row>
    <row r="790">
      <c r="A790" s="176" t="n"/>
      <c r="B790" s="176" t="n"/>
      <c r="C790" s="176" t="n"/>
      <c r="D790" s="176" t="n"/>
      <c r="E790" s="176" t="n"/>
      <c r="F790" s="213" t="n"/>
      <c r="G790" s="213" t="n"/>
      <c r="H790" s="213" t="n"/>
      <c r="I790" s="213" t="n"/>
      <c r="J790" s="213" t="n"/>
      <c r="K790" s="186" t="n"/>
      <c r="L790" s="176" t="n"/>
      <c r="M790" s="176" t="n"/>
      <c r="N790" s="176" t="n"/>
      <c r="O790" s="176" t="n"/>
      <c r="P790" s="176" t="n"/>
      <c r="Q790" s="176" t="n"/>
      <c r="R790" s="176" t="n"/>
      <c r="S790" s="176" t="n"/>
      <c r="T790" s="176" t="n"/>
      <c r="U790" s="176" t="n"/>
      <c r="V790" s="176" t="n"/>
      <c r="W790" s="176" t="n"/>
      <c r="X790" s="176" t="n"/>
      <c r="Y790" s="176" t="n"/>
      <c r="Z790" s="176" t="n"/>
      <c r="AA790" s="176" t="n"/>
      <c r="AB790" s="176" t="n"/>
    </row>
    <row r="791">
      <c r="A791" s="176" t="n"/>
      <c r="B791" s="176" t="n"/>
      <c r="C791" s="176" t="n"/>
      <c r="D791" s="176" t="n"/>
      <c r="E791" s="176" t="n"/>
      <c r="F791" s="213" t="n"/>
      <c r="G791" s="213" t="n"/>
      <c r="H791" s="213" t="n"/>
      <c r="I791" s="213" t="n"/>
      <c r="J791" s="213" t="n"/>
      <c r="K791" s="186" t="n"/>
      <c r="L791" s="176" t="n"/>
      <c r="M791" s="176" t="n"/>
      <c r="N791" s="176" t="n"/>
      <c r="O791" s="176" t="n"/>
      <c r="P791" s="176" t="n"/>
      <c r="Q791" s="176" t="n"/>
      <c r="R791" s="176" t="n"/>
      <c r="S791" s="176" t="n"/>
      <c r="T791" s="176" t="n"/>
      <c r="U791" s="176" t="n"/>
      <c r="V791" s="176" t="n"/>
      <c r="W791" s="176" t="n"/>
      <c r="X791" s="176" t="n"/>
      <c r="Y791" s="176" t="n"/>
      <c r="Z791" s="176" t="n"/>
      <c r="AA791" s="176" t="n"/>
      <c r="AB791" s="176" t="n"/>
    </row>
    <row r="792">
      <c r="A792" s="176" t="n"/>
      <c r="B792" s="176" t="n"/>
      <c r="C792" s="176" t="n"/>
      <c r="D792" s="176" t="n"/>
      <c r="E792" s="176" t="n"/>
      <c r="F792" s="213" t="n"/>
      <c r="G792" s="213" t="n"/>
      <c r="H792" s="213" t="n"/>
      <c r="I792" s="213" t="n"/>
      <c r="J792" s="213" t="n"/>
      <c r="K792" s="186" t="n"/>
      <c r="L792" s="176" t="n"/>
      <c r="M792" s="176" t="n"/>
      <c r="N792" s="176" t="n"/>
      <c r="O792" s="176" t="n"/>
      <c r="P792" s="176" t="n"/>
      <c r="Q792" s="176" t="n"/>
      <c r="R792" s="176" t="n"/>
      <c r="S792" s="176" t="n"/>
      <c r="T792" s="176" t="n"/>
      <c r="U792" s="176" t="n"/>
      <c r="V792" s="176" t="n"/>
      <c r="W792" s="176" t="n"/>
      <c r="X792" s="176" t="n"/>
      <c r="Y792" s="176" t="n"/>
      <c r="Z792" s="176" t="n"/>
      <c r="AA792" s="176" t="n"/>
      <c r="AB792" s="176" t="n"/>
    </row>
    <row r="793">
      <c r="A793" s="176" t="n"/>
      <c r="B793" s="176" t="n"/>
      <c r="C793" s="176" t="n"/>
      <c r="D793" s="176" t="n"/>
      <c r="E793" s="176" t="n"/>
      <c r="F793" s="213" t="n"/>
      <c r="G793" s="213" t="n"/>
      <c r="H793" s="213" t="n"/>
      <c r="I793" s="213" t="n"/>
      <c r="J793" s="213" t="n"/>
      <c r="K793" s="186" t="n"/>
      <c r="L793" s="176" t="n"/>
      <c r="M793" s="176" t="n"/>
      <c r="N793" s="176" t="n"/>
      <c r="O793" s="176" t="n"/>
      <c r="P793" s="176" t="n"/>
      <c r="Q793" s="176" t="n"/>
      <c r="R793" s="176" t="n"/>
      <c r="S793" s="176" t="n"/>
      <c r="T793" s="176" t="n"/>
      <c r="U793" s="176" t="n"/>
      <c r="V793" s="176" t="n"/>
      <c r="W793" s="176" t="n"/>
      <c r="X793" s="176" t="n"/>
      <c r="Y793" s="176" t="n"/>
      <c r="Z793" s="176" t="n"/>
      <c r="AA793" s="176" t="n"/>
      <c r="AB793" s="176" t="n"/>
    </row>
    <row r="794">
      <c r="A794" s="176" t="n"/>
      <c r="B794" s="176" t="n"/>
      <c r="C794" s="176" t="n"/>
      <c r="D794" s="176" t="n"/>
      <c r="E794" s="176" t="n"/>
      <c r="F794" s="213" t="n"/>
      <c r="G794" s="213" t="n"/>
      <c r="H794" s="213" t="n"/>
      <c r="I794" s="213" t="n"/>
      <c r="J794" s="213" t="n"/>
      <c r="K794" s="186" t="n"/>
      <c r="L794" s="176" t="n"/>
      <c r="M794" s="176" t="n"/>
      <c r="N794" s="176" t="n"/>
      <c r="O794" s="176" t="n"/>
      <c r="P794" s="176" t="n"/>
      <c r="Q794" s="176" t="n"/>
      <c r="R794" s="176" t="n"/>
      <c r="S794" s="176" t="n"/>
      <c r="T794" s="176" t="n"/>
      <c r="U794" s="176" t="n"/>
      <c r="V794" s="176" t="n"/>
      <c r="W794" s="176" t="n"/>
      <c r="X794" s="176" t="n"/>
      <c r="Y794" s="176" t="n"/>
      <c r="Z794" s="176" t="n"/>
      <c r="AA794" s="176" t="n"/>
      <c r="AB794" s="176" t="n"/>
    </row>
    <row r="795">
      <c r="A795" s="176" t="n"/>
      <c r="B795" s="176" t="n"/>
      <c r="C795" s="176" t="n"/>
      <c r="D795" s="176" t="n"/>
      <c r="E795" s="176" t="n"/>
      <c r="F795" s="213" t="n"/>
      <c r="G795" s="213" t="n"/>
      <c r="H795" s="213" t="n"/>
      <c r="I795" s="213" t="n"/>
      <c r="J795" s="213" t="n"/>
      <c r="K795" s="186" t="n"/>
      <c r="L795" s="176" t="n"/>
      <c r="M795" s="176" t="n"/>
      <c r="N795" s="176" t="n"/>
      <c r="O795" s="176" t="n"/>
      <c r="P795" s="176" t="n"/>
      <c r="Q795" s="176" t="n"/>
      <c r="R795" s="176" t="n"/>
      <c r="S795" s="176" t="n"/>
      <c r="T795" s="176" t="n"/>
      <c r="U795" s="176" t="n"/>
      <c r="V795" s="176" t="n"/>
      <c r="W795" s="176" t="n"/>
      <c r="X795" s="176" t="n"/>
      <c r="Y795" s="176" t="n"/>
      <c r="Z795" s="176" t="n"/>
      <c r="AA795" s="176" t="n"/>
      <c r="AB795" s="176" t="n"/>
    </row>
    <row r="796">
      <c r="A796" s="176" t="n"/>
      <c r="B796" s="176" t="n"/>
      <c r="C796" s="176" t="n"/>
      <c r="D796" s="176" t="n"/>
      <c r="E796" s="176" t="n"/>
      <c r="F796" s="213" t="n"/>
      <c r="G796" s="213" t="n"/>
      <c r="H796" s="213" t="n"/>
      <c r="I796" s="213" t="n"/>
      <c r="J796" s="213" t="n"/>
      <c r="K796" s="186" t="n"/>
      <c r="L796" s="176" t="n"/>
      <c r="M796" s="176" t="n"/>
      <c r="N796" s="176" t="n"/>
      <c r="O796" s="176" t="n"/>
      <c r="P796" s="176" t="n"/>
      <c r="Q796" s="176" t="n"/>
      <c r="R796" s="176" t="n"/>
      <c r="S796" s="176" t="n"/>
      <c r="T796" s="176" t="n"/>
      <c r="U796" s="176" t="n"/>
      <c r="V796" s="176" t="n"/>
      <c r="W796" s="176" t="n"/>
      <c r="X796" s="176" t="n"/>
      <c r="Y796" s="176" t="n"/>
      <c r="Z796" s="176" t="n"/>
      <c r="AA796" s="176" t="n"/>
      <c r="AB796" s="176" t="n"/>
    </row>
    <row r="797">
      <c r="A797" s="176" t="n"/>
      <c r="B797" s="176" t="n"/>
      <c r="C797" s="176" t="n"/>
      <c r="D797" s="176" t="n"/>
      <c r="E797" s="176" t="n"/>
      <c r="F797" s="213" t="n"/>
      <c r="G797" s="213" t="n"/>
      <c r="H797" s="213" t="n"/>
      <c r="I797" s="213" t="n"/>
      <c r="J797" s="213" t="n"/>
      <c r="K797" s="186" t="n"/>
      <c r="L797" s="176" t="n"/>
      <c r="M797" s="176" t="n"/>
      <c r="N797" s="176" t="n"/>
      <c r="O797" s="176" t="n"/>
      <c r="P797" s="176" t="n"/>
      <c r="Q797" s="176" t="n"/>
      <c r="R797" s="176" t="n"/>
      <c r="S797" s="176" t="n"/>
      <c r="T797" s="176" t="n"/>
      <c r="U797" s="176" t="n"/>
      <c r="V797" s="176" t="n"/>
      <c r="W797" s="176" t="n"/>
      <c r="X797" s="176" t="n"/>
      <c r="Y797" s="176" t="n"/>
      <c r="Z797" s="176" t="n"/>
      <c r="AA797" s="176" t="n"/>
      <c r="AB797" s="176" t="n"/>
    </row>
    <row r="798">
      <c r="A798" s="176" t="n"/>
      <c r="B798" s="176" t="n"/>
      <c r="C798" s="176" t="n"/>
      <c r="D798" s="176" t="n"/>
      <c r="E798" s="176" t="n"/>
      <c r="F798" s="213" t="n"/>
      <c r="G798" s="213" t="n"/>
      <c r="H798" s="213" t="n"/>
      <c r="I798" s="213" t="n"/>
      <c r="J798" s="213" t="n"/>
      <c r="K798" s="186" t="n"/>
      <c r="L798" s="176" t="n"/>
      <c r="M798" s="176" t="n"/>
      <c r="N798" s="176" t="n"/>
      <c r="O798" s="176" t="n"/>
      <c r="P798" s="176" t="n"/>
      <c r="Q798" s="176" t="n"/>
      <c r="R798" s="176" t="n"/>
      <c r="S798" s="176" t="n"/>
      <c r="T798" s="176" t="n"/>
      <c r="U798" s="176" t="n"/>
      <c r="V798" s="176" t="n"/>
      <c r="W798" s="176" t="n"/>
      <c r="X798" s="176" t="n"/>
      <c r="Y798" s="176" t="n"/>
      <c r="Z798" s="176" t="n"/>
      <c r="AA798" s="176" t="n"/>
      <c r="AB798" s="176" t="n"/>
    </row>
    <row r="799">
      <c r="A799" s="176" t="n"/>
      <c r="B799" s="176" t="n"/>
      <c r="C799" s="176" t="n"/>
      <c r="D799" s="176" t="n"/>
      <c r="E799" s="176" t="n"/>
      <c r="F799" s="213" t="n"/>
      <c r="G799" s="213" t="n"/>
      <c r="H799" s="213" t="n"/>
      <c r="I799" s="213" t="n"/>
      <c r="J799" s="213" t="n"/>
      <c r="K799" s="186" t="n"/>
      <c r="L799" s="176" t="n"/>
      <c r="M799" s="176" t="n"/>
      <c r="N799" s="176" t="n"/>
      <c r="O799" s="176" t="n"/>
      <c r="P799" s="176" t="n"/>
      <c r="Q799" s="176" t="n"/>
      <c r="R799" s="176" t="n"/>
      <c r="S799" s="176" t="n"/>
      <c r="T799" s="176" t="n"/>
      <c r="U799" s="176" t="n"/>
      <c r="V799" s="176" t="n"/>
      <c r="W799" s="176" t="n"/>
      <c r="X799" s="176" t="n"/>
      <c r="Y799" s="176" t="n"/>
      <c r="Z799" s="176" t="n"/>
      <c r="AA799" s="176" t="n"/>
      <c r="AB799" s="176" t="n"/>
    </row>
    <row r="800">
      <c r="A800" s="176" t="n"/>
      <c r="B800" s="176" t="n"/>
      <c r="C800" s="176" t="n"/>
      <c r="D800" s="176" t="n"/>
      <c r="E800" s="176" t="n"/>
      <c r="F800" s="213" t="n"/>
      <c r="G800" s="213" t="n"/>
      <c r="H800" s="213" t="n"/>
      <c r="I800" s="213" t="n"/>
      <c r="J800" s="213" t="n"/>
      <c r="K800" s="186" t="n"/>
      <c r="L800" s="176" t="n"/>
      <c r="M800" s="176" t="n"/>
      <c r="N800" s="176" t="n"/>
      <c r="O800" s="176" t="n"/>
      <c r="P800" s="176" t="n"/>
      <c r="Q800" s="176" t="n"/>
      <c r="R800" s="176" t="n"/>
      <c r="S800" s="176" t="n"/>
      <c r="T800" s="176" t="n"/>
      <c r="U800" s="176" t="n"/>
      <c r="V800" s="176" t="n"/>
      <c r="W800" s="176" t="n"/>
      <c r="X800" s="176" t="n"/>
      <c r="Y800" s="176" t="n"/>
      <c r="Z800" s="176" t="n"/>
      <c r="AA800" s="176" t="n"/>
      <c r="AB800" s="176" t="n"/>
    </row>
    <row r="801">
      <c r="A801" s="176" t="n"/>
      <c r="B801" s="176" t="n"/>
      <c r="C801" s="176" t="n"/>
      <c r="D801" s="176" t="n"/>
      <c r="E801" s="176" t="n"/>
      <c r="F801" s="213" t="n"/>
      <c r="G801" s="213" t="n"/>
      <c r="H801" s="213" t="n"/>
      <c r="I801" s="213" t="n"/>
      <c r="J801" s="213" t="n"/>
      <c r="K801" s="186" t="n"/>
      <c r="L801" s="176" t="n"/>
      <c r="M801" s="176" t="n"/>
      <c r="N801" s="176" t="n"/>
      <c r="O801" s="176" t="n"/>
      <c r="P801" s="176" t="n"/>
      <c r="Q801" s="176" t="n"/>
      <c r="R801" s="176" t="n"/>
      <c r="S801" s="176" t="n"/>
      <c r="T801" s="176" t="n"/>
      <c r="U801" s="176" t="n"/>
      <c r="V801" s="176" t="n"/>
      <c r="W801" s="176" t="n"/>
      <c r="X801" s="176" t="n"/>
      <c r="Y801" s="176" t="n"/>
      <c r="Z801" s="176" t="n"/>
      <c r="AA801" s="176" t="n"/>
      <c r="AB801" s="176" t="n"/>
    </row>
    <row r="802">
      <c r="A802" s="176" t="n"/>
      <c r="B802" s="176" t="n"/>
      <c r="C802" s="176" t="n"/>
      <c r="D802" s="176" t="n"/>
      <c r="E802" s="176" t="n"/>
      <c r="F802" s="213" t="n"/>
      <c r="G802" s="213" t="n"/>
      <c r="H802" s="213" t="n"/>
      <c r="I802" s="213" t="n"/>
      <c r="J802" s="213" t="n"/>
      <c r="K802" s="186" t="n"/>
      <c r="L802" s="176" t="n"/>
      <c r="M802" s="176" t="n"/>
      <c r="N802" s="176" t="n"/>
      <c r="O802" s="176" t="n"/>
      <c r="P802" s="176" t="n"/>
      <c r="Q802" s="176" t="n"/>
      <c r="R802" s="176" t="n"/>
      <c r="S802" s="176" t="n"/>
      <c r="T802" s="176" t="n"/>
      <c r="U802" s="176" t="n"/>
      <c r="V802" s="176" t="n"/>
      <c r="W802" s="176" t="n"/>
      <c r="X802" s="176" t="n"/>
      <c r="Y802" s="176" t="n"/>
      <c r="Z802" s="176" t="n"/>
      <c r="AA802" s="176" t="n"/>
      <c r="AB802" s="176" t="n"/>
    </row>
    <row r="803">
      <c r="A803" s="176" t="n"/>
      <c r="B803" s="176" t="n"/>
      <c r="C803" s="176" t="n"/>
      <c r="D803" s="176" t="n"/>
      <c r="E803" s="176" t="n"/>
      <c r="F803" s="213" t="n"/>
      <c r="G803" s="213" t="n"/>
      <c r="H803" s="213" t="n"/>
      <c r="I803" s="213" t="n"/>
      <c r="J803" s="213" t="n"/>
      <c r="K803" s="186" t="n"/>
      <c r="L803" s="176" t="n"/>
      <c r="M803" s="176" t="n"/>
      <c r="N803" s="176" t="n"/>
      <c r="O803" s="176" t="n"/>
      <c r="P803" s="176" t="n"/>
      <c r="Q803" s="176" t="n"/>
      <c r="R803" s="176" t="n"/>
      <c r="S803" s="176" t="n"/>
      <c r="T803" s="176" t="n"/>
      <c r="U803" s="176" t="n"/>
      <c r="V803" s="176" t="n"/>
      <c r="W803" s="176" t="n"/>
      <c r="X803" s="176" t="n"/>
      <c r="Y803" s="176" t="n"/>
      <c r="Z803" s="176" t="n"/>
      <c r="AA803" s="176" t="n"/>
      <c r="AB803" s="176" t="n"/>
    </row>
    <row r="804">
      <c r="A804" s="176" t="n"/>
      <c r="B804" s="176" t="n"/>
      <c r="C804" s="176" t="n"/>
      <c r="D804" s="176" t="n"/>
      <c r="E804" s="176" t="n"/>
      <c r="F804" s="213" t="n"/>
      <c r="G804" s="213" t="n"/>
      <c r="H804" s="213" t="n"/>
      <c r="I804" s="213" t="n"/>
      <c r="J804" s="213" t="n"/>
      <c r="K804" s="186" t="n"/>
      <c r="L804" s="176" t="n"/>
      <c r="M804" s="176" t="n"/>
      <c r="N804" s="176" t="n"/>
      <c r="O804" s="176" t="n"/>
      <c r="P804" s="176" t="n"/>
      <c r="Q804" s="176" t="n"/>
      <c r="R804" s="176" t="n"/>
      <c r="S804" s="176" t="n"/>
      <c r="T804" s="176" t="n"/>
      <c r="U804" s="176" t="n"/>
      <c r="V804" s="176" t="n"/>
      <c r="W804" s="176" t="n"/>
      <c r="X804" s="176" t="n"/>
      <c r="Y804" s="176" t="n"/>
      <c r="Z804" s="176" t="n"/>
      <c r="AA804" s="176" t="n"/>
      <c r="AB804" s="176" t="n"/>
    </row>
    <row r="805">
      <c r="A805" s="176" t="n"/>
      <c r="B805" s="176" t="n"/>
      <c r="C805" s="176" t="n"/>
      <c r="D805" s="176" t="n"/>
      <c r="E805" s="176" t="n"/>
      <c r="F805" s="213" t="n"/>
      <c r="G805" s="213" t="n"/>
      <c r="H805" s="213" t="n"/>
      <c r="I805" s="213" t="n"/>
      <c r="J805" s="213" t="n"/>
      <c r="K805" s="186" t="n"/>
      <c r="L805" s="176" t="n"/>
      <c r="M805" s="176" t="n"/>
      <c r="N805" s="176" t="n"/>
      <c r="O805" s="176" t="n"/>
      <c r="P805" s="176" t="n"/>
      <c r="Q805" s="176" t="n"/>
      <c r="R805" s="176" t="n"/>
      <c r="S805" s="176" t="n"/>
      <c r="T805" s="176" t="n"/>
      <c r="U805" s="176" t="n"/>
      <c r="V805" s="176" t="n"/>
      <c r="W805" s="176" t="n"/>
      <c r="X805" s="176" t="n"/>
      <c r="Y805" s="176" t="n"/>
      <c r="Z805" s="176" t="n"/>
      <c r="AA805" s="176" t="n"/>
      <c r="AB805" s="176" t="n"/>
    </row>
    <row r="806">
      <c r="A806" s="176" t="n"/>
      <c r="B806" s="176" t="n"/>
      <c r="C806" s="176" t="n"/>
      <c r="D806" s="176" t="n"/>
      <c r="E806" s="176" t="n"/>
      <c r="F806" s="213" t="n"/>
      <c r="G806" s="213" t="n"/>
      <c r="H806" s="213" t="n"/>
      <c r="I806" s="213" t="n"/>
      <c r="J806" s="213" t="n"/>
      <c r="K806" s="186" t="n"/>
      <c r="L806" s="176" t="n"/>
      <c r="M806" s="176" t="n"/>
      <c r="N806" s="176" t="n"/>
      <c r="O806" s="176" t="n"/>
      <c r="P806" s="176" t="n"/>
      <c r="Q806" s="176" t="n"/>
      <c r="R806" s="176" t="n"/>
      <c r="S806" s="176" t="n"/>
      <c r="T806" s="176" t="n"/>
      <c r="U806" s="176" t="n"/>
      <c r="V806" s="176" t="n"/>
      <c r="W806" s="176" t="n"/>
      <c r="X806" s="176" t="n"/>
      <c r="Y806" s="176" t="n"/>
      <c r="Z806" s="176" t="n"/>
      <c r="AA806" s="176" t="n"/>
      <c r="AB806" s="176" t="n"/>
    </row>
    <row r="807">
      <c r="A807" s="176" t="n"/>
      <c r="B807" s="176" t="n"/>
      <c r="C807" s="176" t="n"/>
      <c r="D807" s="176" t="n"/>
      <c r="E807" s="176" t="n"/>
      <c r="F807" s="213" t="n"/>
      <c r="G807" s="213" t="n"/>
      <c r="H807" s="213" t="n"/>
      <c r="I807" s="213" t="n"/>
      <c r="J807" s="213" t="n"/>
      <c r="K807" s="186" t="n"/>
      <c r="L807" s="176" t="n"/>
      <c r="M807" s="176" t="n"/>
      <c r="N807" s="176" t="n"/>
      <c r="O807" s="176" t="n"/>
      <c r="P807" s="176" t="n"/>
      <c r="Q807" s="176" t="n"/>
      <c r="R807" s="176" t="n"/>
      <c r="S807" s="176" t="n"/>
      <c r="T807" s="176" t="n"/>
      <c r="U807" s="176" t="n"/>
      <c r="V807" s="176" t="n"/>
      <c r="W807" s="176" t="n"/>
      <c r="X807" s="176" t="n"/>
      <c r="Y807" s="176" t="n"/>
      <c r="Z807" s="176" t="n"/>
      <c r="AA807" s="176" t="n"/>
      <c r="AB807" s="176" t="n"/>
    </row>
    <row r="808">
      <c r="A808" s="176" t="n"/>
      <c r="B808" s="176" t="n"/>
      <c r="C808" s="176" t="n"/>
      <c r="D808" s="176" t="n"/>
      <c r="E808" s="176" t="n"/>
      <c r="F808" s="213" t="n"/>
      <c r="G808" s="213" t="n"/>
      <c r="H808" s="213" t="n"/>
      <c r="I808" s="213" t="n"/>
      <c r="J808" s="213" t="n"/>
      <c r="K808" s="186" t="n"/>
      <c r="L808" s="176" t="n"/>
      <c r="M808" s="176" t="n"/>
      <c r="N808" s="176" t="n"/>
      <c r="O808" s="176" t="n"/>
      <c r="P808" s="176" t="n"/>
      <c r="Q808" s="176" t="n"/>
      <c r="R808" s="176" t="n"/>
      <c r="S808" s="176" t="n"/>
      <c r="T808" s="176" t="n"/>
      <c r="U808" s="176" t="n"/>
      <c r="V808" s="176" t="n"/>
      <c r="W808" s="176" t="n"/>
      <c r="X808" s="176" t="n"/>
      <c r="Y808" s="176" t="n"/>
      <c r="Z808" s="176" t="n"/>
      <c r="AA808" s="176" t="n"/>
      <c r="AB808" s="176" t="n"/>
    </row>
    <row r="809">
      <c r="A809" s="176" t="n"/>
      <c r="B809" s="176" t="n"/>
      <c r="C809" s="176" t="n"/>
      <c r="D809" s="176" t="n"/>
      <c r="E809" s="176" t="n"/>
      <c r="F809" s="213" t="n"/>
      <c r="G809" s="213" t="n"/>
      <c r="H809" s="213" t="n"/>
      <c r="I809" s="213" t="n"/>
      <c r="J809" s="213" t="n"/>
      <c r="K809" s="186" t="n"/>
      <c r="L809" s="176" t="n"/>
      <c r="M809" s="176" t="n"/>
      <c r="N809" s="176" t="n"/>
      <c r="O809" s="176" t="n"/>
      <c r="P809" s="176" t="n"/>
      <c r="Q809" s="176" t="n"/>
      <c r="R809" s="176" t="n"/>
      <c r="S809" s="176" t="n"/>
      <c r="T809" s="176" t="n"/>
      <c r="U809" s="176" t="n"/>
      <c r="V809" s="176" t="n"/>
      <c r="W809" s="176" t="n"/>
      <c r="X809" s="176" t="n"/>
      <c r="Y809" s="176" t="n"/>
      <c r="Z809" s="176" t="n"/>
      <c r="AA809" s="176" t="n"/>
      <c r="AB809" s="176" t="n"/>
    </row>
    <row r="810">
      <c r="A810" s="176" t="n"/>
      <c r="B810" s="176" t="n"/>
      <c r="C810" s="176" t="n"/>
      <c r="D810" s="176" t="n"/>
      <c r="E810" s="176" t="n"/>
      <c r="F810" s="213" t="n"/>
      <c r="G810" s="213" t="n"/>
      <c r="H810" s="213" t="n"/>
      <c r="I810" s="213" t="n"/>
      <c r="J810" s="213" t="n"/>
      <c r="K810" s="186" t="n"/>
      <c r="L810" s="176" t="n"/>
      <c r="M810" s="176" t="n"/>
      <c r="N810" s="176" t="n"/>
      <c r="O810" s="176" t="n"/>
      <c r="P810" s="176" t="n"/>
      <c r="Q810" s="176" t="n"/>
      <c r="R810" s="176" t="n"/>
      <c r="S810" s="176" t="n"/>
      <c r="T810" s="176" t="n"/>
      <c r="U810" s="176" t="n"/>
      <c r="V810" s="176" t="n"/>
      <c r="W810" s="176" t="n"/>
      <c r="X810" s="176" t="n"/>
      <c r="Y810" s="176" t="n"/>
      <c r="Z810" s="176" t="n"/>
      <c r="AA810" s="176" t="n"/>
      <c r="AB810" s="176" t="n"/>
    </row>
    <row r="811">
      <c r="A811" s="176" t="n"/>
      <c r="B811" s="176" t="n"/>
      <c r="C811" s="176" t="n"/>
      <c r="D811" s="176" t="n"/>
      <c r="E811" s="176" t="n"/>
      <c r="F811" s="213" t="n"/>
      <c r="G811" s="213" t="n"/>
      <c r="H811" s="213" t="n"/>
      <c r="I811" s="213" t="n"/>
      <c r="J811" s="213" t="n"/>
      <c r="K811" s="186" t="n"/>
      <c r="L811" s="176" t="n"/>
      <c r="M811" s="176" t="n"/>
      <c r="N811" s="176" t="n"/>
      <c r="O811" s="176" t="n"/>
      <c r="P811" s="176" t="n"/>
      <c r="Q811" s="176" t="n"/>
      <c r="R811" s="176" t="n"/>
      <c r="S811" s="176" t="n"/>
      <c r="T811" s="176" t="n"/>
      <c r="U811" s="176" t="n"/>
      <c r="V811" s="176" t="n"/>
      <c r="W811" s="176" t="n"/>
      <c r="X811" s="176" t="n"/>
      <c r="Y811" s="176" t="n"/>
      <c r="Z811" s="176" t="n"/>
      <c r="AA811" s="176" t="n"/>
      <c r="AB811" s="176" t="n"/>
    </row>
    <row r="812">
      <c r="A812" s="176" t="n"/>
      <c r="B812" s="176" t="n"/>
      <c r="C812" s="176" t="n"/>
      <c r="D812" s="176" t="n"/>
      <c r="E812" s="176" t="n"/>
      <c r="F812" s="213" t="n"/>
      <c r="G812" s="213" t="n"/>
      <c r="H812" s="213" t="n"/>
      <c r="I812" s="213" t="n"/>
      <c r="J812" s="213" t="n"/>
      <c r="K812" s="186" t="n"/>
      <c r="L812" s="176" t="n"/>
      <c r="M812" s="176" t="n"/>
      <c r="N812" s="176" t="n"/>
      <c r="O812" s="176" t="n"/>
      <c r="P812" s="176" t="n"/>
      <c r="Q812" s="176" t="n"/>
      <c r="R812" s="176" t="n"/>
      <c r="S812" s="176" t="n"/>
      <c r="T812" s="176" t="n"/>
      <c r="U812" s="176" t="n"/>
      <c r="V812" s="176" t="n"/>
      <c r="W812" s="176" t="n"/>
      <c r="X812" s="176" t="n"/>
      <c r="Y812" s="176" t="n"/>
      <c r="Z812" s="176" t="n"/>
      <c r="AA812" s="176" t="n"/>
      <c r="AB812" s="176" t="n"/>
    </row>
    <row r="813">
      <c r="A813" s="176" t="n"/>
      <c r="B813" s="176" t="n"/>
      <c r="C813" s="176" t="n"/>
      <c r="D813" s="176" t="n"/>
      <c r="E813" s="176" t="n"/>
      <c r="F813" s="213" t="n"/>
      <c r="G813" s="213" t="n"/>
      <c r="H813" s="213" t="n"/>
      <c r="I813" s="213" t="n"/>
      <c r="J813" s="213" t="n"/>
      <c r="K813" s="186" t="n"/>
      <c r="L813" s="176" t="n"/>
      <c r="M813" s="176" t="n"/>
      <c r="N813" s="176" t="n"/>
      <c r="O813" s="176" t="n"/>
      <c r="P813" s="176" t="n"/>
      <c r="Q813" s="176" t="n"/>
      <c r="R813" s="176" t="n"/>
      <c r="S813" s="176" t="n"/>
      <c r="T813" s="176" t="n"/>
      <c r="U813" s="176" t="n"/>
      <c r="V813" s="176" t="n"/>
      <c r="W813" s="176" t="n"/>
      <c r="X813" s="176" t="n"/>
      <c r="Y813" s="176" t="n"/>
      <c r="Z813" s="176" t="n"/>
      <c r="AA813" s="176" t="n"/>
      <c r="AB813" s="176" t="n"/>
    </row>
    <row r="814">
      <c r="A814" s="176" t="n"/>
      <c r="B814" s="176" t="n"/>
      <c r="C814" s="176" t="n"/>
      <c r="D814" s="176" t="n"/>
      <c r="E814" s="176" t="n"/>
      <c r="F814" s="213" t="n"/>
      <c r="G814" s="213" t="n"/>
      <c r="H814" s="213" t="n"/>
      <c r="I814" s="213" t="n"/>
      <c r="J814" s="213" t="n"/>
      <c r="K814" s="186" t="n"/>
      <c r="L814" s="176" t="n"/>
      <c r="M814" s="176" t="n"/>
      <c r="N814" s="176" t="n"/>
      <c r="O814" s="176" t="n"/>
      <c r="P814" s="176" t="n"/>
      <c r="Q814" s="176" t="n"/>
      <c r="R814" s="176" t="n"/>
      <c r="S814" s="176" t="n"/>
      <c r="T814" s="176" t="n"/>
      <c r="U814" s="176" t="n"/>
      <c r="V814" s="176" t="n"/>
      <c r="W814" s="176" t="n"/>
      <c r="X814" s="176" t="n"/>
      <c r="Y814" s="176" t="n"/>
      <c r="Z814" s="176" t="n"/>
      <c r="AA814" s="176" t="n"/>
      <c r="AB814" s="176" t="n"/>
    </row>
    <row r="815">
      <c r="A815" s="176" t="n"/>
      <c r="B815" s="176" t="n"/>
      <c r="C815" s="176" t="n"/>
      <c r="D815" s="176" t="n"/>
      <c r="E815" s="176" t="n"/>
      <c r="F815" s="213" t="n"/>
      <c r="G815" s="213" t="n"/>
      <c r="H815" s="213" t="n"/>
      <c r="I815" s="213" t="n"/>
      <c r="J815" s="213" t="n"/>
      <c r="K815" s="186" t="n"/>
      <c r="L815" s="176" t="n"/>
      <c r="M815" s="176" t="n"/>
      <c r="N815" s="176" t="n"/>
      <c r="O815" s="176" t="n"/>
      <c r="P815" s="176" t="n"/>
      <c r="Q815" s="176" t="n"/>
      <c r="R815" s="176" t="n"/>
      <c r="S815" s="176" t="n"/>
      <c r="T815" s="176" t="n"/>
      <c r="U815" s="176" t="n"/>
      <c r="V815" s="176" t="n"/>
      <c r="W815" s="176" t="n"/>
      <c r="X815" s="176" t="n"/>
      <c r="Y815" s="176" t="n"/>
      <c r="Z815" s="176" t="n"/>
      <c r="AA815" s="176" t="n"/>
      <c r="AB815" s="176" t="n"/>
    </row>
    <row r="816">
      <c r="A816" s="176" t="n"/>
      <c r="B816" s="176" t="n"/>
      <c r="C816" s="176" t="n"/>
      <c r="D816" s="176" t="n"/>
      <c r="E816" s="176" t="n"/>
      <c r="F816" s="213" t="n"/>
      <c r="G816" s="213" t="n"/>
      <c r="H816" s="213" t="n"/>
      <c r="I816" s="213" t="n"/>
      <c r="J816" s="213" t="n"/>
      <c r="K816" s="186" t="n"/>
      <c r="L816" s="176" t="n"/>
      <c r="M816" s="176" t="n"/>
      <c r="N816" s="176" t="n"/>
      <c r="O816" s="176" t="n"/>
      <c r="P816" s="176" t="n"/>
      <c r="Q816" s="176" t="n"/>
      <c r="R816" s="176" t="n"/>
      <c r="S816" s="176" t="n"/>
      <c r="T816" s="176" t="n"/>
      <c r="U816" s="176" t="n"/>
      <c r="V816" s="176" t="n"/>
      <c r="W816" s="176" t="n"/>
      <c r="X816" s="176" t="n"/>
      <c r="Y816" s="176" t="n"/>
      <c r="Z816" s="176" t="n"/>
      <c r="AA816" s="176" t="n"/>
      <c r="AB816" s="176" t="n"/>
    </row>
    <row r="817">
      <c r="A817" s="176" t="n"/>
      <c r="B817" s="176" t="n"/>
      <c r="C817" s="176" t="n"/>
      <c r="D817" s="176" t="n"/>
      <c r="E817" s="176" t="n"/>
      <c r="F817" s="213" t="n"/>
      <c r="G817" s="213" t="n"/>
      <c r="H817" s="213" t="n"/>
      <c r="I817" s="213" t="n"/>
      <c r="J817" s="213" t="n"/>
      <c r="K817" s="186" t="n"/>
      <c r="L817" s="176" t="n"/>
      <c r="M817" s="176" t="n"/>
      <c r="N817" s="176" t="n"/>
      <c r="O817" s="176" t="n"/>
      <c r="P817" s="176" t="n"/>
      <c r="Q817" s="176" t="n"/>
      <c r="R817" s="176" t="n"/>
      <c r="S817" s="176" t="n"/>
      <c r="T817" s="176" t="n"/>
      <c r="U817" s="176" t="n"/>
      <c r="V817" s="176" t="n"/>
      <c r="W817" s="176" t="n"/>
      <c r="X817" s="176" t="n"/>
      <c r="Y817" s="176" t="n"/>
      <c r="Z817" s="176" t="n"/>
      <c r="AA817" s="176" t="n"/>
      <c r="AB817" s="176" t="n"/>
    </row>
    <row r="818">
      <c r="A818" s="176" t="n"/>
      <c r="B818" s="176" t="n"/>
      <c r="C818" s="176" t="n"/>
      <c r="D818" s="176" t="n"/>
      <c r="E818" s="176" t="n"/>
      <c r="F818" s="213" t="n"/>
      <c r="G818" s="213" t="n"/>
      <c r="H818" s="213" t="n"/>
      <c r="I818" s="213" t="n"/>
      <c r="J818" s="213" t="n"/>
      <c r="K818" s="186" t="n"/>
      <c r="L818" s="176" t="n"/>
      <c r="M818" s="176" t="n"/>
      <c r="N818" s="176" t="n"/>
      <c r="O818" s="176" t="n"/>
      <c r="P818" s="176" t="n"/>
      <c r="Q818" s="176" t="n"/>
      <c r="R818" s="176" t="n"/>
      <c r="S818" s="176" t="n"/>
      <c r="T818" s="176" t="n"/>
      <c r="U818" s="176" t="n"/>
      <c r="V818" s="176" t="n"/>
      <c r="W818" s="176" t="n"/>
      <c r="X818" s="176" t="n"/>
      <c r="Y818" s="176" t="n"/>
      <c r="Z818" s="176" t="n"/>
      <c r="AA818" s="176" t="n"/>
      <c r="AB818" s="176" t="n"/>
    </row>
    <row r="819">
      <c r="A819" s="176" t="n"/>
      <c r="B819" s="176" t="n"/>
      <c r="C819" s="176" t="n"/>
      <c r="D819" s="176" t="n"/>
      <c r="E819" s="176" t="n"/>
      <c r="F819" s="213" t="n"/>
      <c r="G819" s="213" t="n"/>
      <c r="H819" s="213" t="n"/>
      <c r="I819" s="213" t="n"/>
      <c r="J819" s="213" t="n"/>
      <c r="K819" s="186" t="n"/>
      <c r="L819" s="176" t="n"/>
      <c r="M819" s="176" t="n"/>
      <c r="N819" s="176" t="n"/>
      <c r="O819" s="176" t="n"/>
      <c r="P819" s="176" t="n"/>
      <c r="Q819" s="176" t="n"/>
      <c r="R819" s="176" t="n"/>
      <c r="S819" s="176" t="n"/>
      <c r="T819" s="176" t="n"/>
      <c r="U819" s="176" t="n"/>
      <c r="V819" s="176" t="n"/>
      <c r="W819" s="176" t="n"/>
      <c r="X819" s="176" t="n"/>
      <c r="Y819" s="176" t="n"/>
      <c r="Z819" s="176" t="n"/>
      <c r="AA819" s="176" t="n"/>
      <c r="AB819" s="176" t="n"/>
    </row>
    <row r="820">
      <c r="A820" s="176" t="n"/>
      <c r="B820" s="176" t="n"/>
      <c r="C820" s="176" t="n"/>
      <c r="D820" s="176" t="n"/>
      <c r="E820" s="176" t="n"/>
      <c r="F820" s="213" t="n"/>
      <c r="G820" s="213" t="n"/>
      <c r="H820" s="213" t="n"/>
      <c r="I820" s="213" t="n"/>
      <c r="J820" s="213" t="n"/>
      <c r="K820" s="186" t="n"/>
      <c r="L820" s="176" t="n"/>
      <c r="M820" s="176" t="n"/>
      <c r="N820" s="176" t="n"/>
      <c r="O820" s="176" t="n"/>
      <c r="P820" s="176" t="n"/>
      <c r="Q820" s="176" t="n"/>
      <c r="R820" s="176" t="n"/>
      <c r="S820" s="176" t="n"/>
      <c r="T820" s="176" t="n"/>
      <c r="U820" s="176" t="n"/>
      <c r="V820" s="176" t="n"/>
      <c r="W820" s="176" t="n"/>
      <c r="X820" s="176" t="n"/>
      <c r="Y820" s="176" t="n"/>
      <c r="Z820" s="176" t="n"/>
      <c r="AA820" s="176" t="n"/>
      <c r="AB820" s="176" t="n"/>
    </row>
    <row r="821">
      <c r="A821" s="176" t="n"/>
      <c r="B821" s="176" t="n"/>
      <c r="C821" s="176" t="n"/>
      <c r="D821" s="176" t="n"/>
      <c r="E821" s="176" t="n"/>
      <c r="F821" s="213" t="n"/>
      <c r="G821" s="213" t="n"/>
      <c r="H821" s="213" t="n"/>
      <c r="I821" s="213" t="n"/>
      <c r="J821" s="213" t="n"/>
      <c r="K821" s="186" t="n"/>
      <c r="L821" s="176" t="n"/>
      <c r="M821" s="176" t="n"/>
      <c r="N821" s="176" t="n"/>
      <c r="O821" s="176" t="n"/>
      <c r="P821" s="176" t="n"/>
      <c r="Q821" s="176" t="n"/>
      <c r="R821" s="176" t="n"/>
      <c r="S821" s="176" t="n"/>
      <c r="T821" s="176" t="n"/>
      <c r="U821" s="176" t="n"/>
      <c r="V821" s="176" t="n"/>
      <c r="W821" s="176" t="n"/>
      <c r="X821" s="176" t="n"/>
      <c r="Y821" s="176" t="n"/>
      <c r="Z821" s="176" t="n"/>
      <c r="AA821" s="176" t="n"/>
      <c r="AB821" s="176" t="n"/>
    </row>
    <row r="822">
      <c r="A822" s="176" t="n"/>
      <c r="B822" s="176" t="n"/>
      <c r="C822" s="176" t="n"/>
      <c r="D822" s="176" t="n"/>
      <c r="E822" s="176" t="n"/>
      <c r="F822" s="213" t="n"/>
      <c r="G822" s="213" t="n"/>
      <c r="H822" s="213" t="n"/>
      <c r="I822" s="213" t="n"/>
      <c r="J822" s="213" t="n"/>
      <c r="K822" s="186" t="n"/>
      <c r="L822" s="176" t="n"/>
      <c r="M822" s="176" t="n"/>
      <c r="N822" s="176" t="n"/>
      <c r="O822" s="176" t="n"/>
      <c r="P822" s="176" t="n"/>
      <c r="Q822" s="176" t="n"/>
      <c r="R822" s="176" t="n"/>
      <c r="S822" s="176" t="n"/>
      <c r="T822" s="176" t="n"/>
      <c r="U822" s="176" t="n"/>
      <c r="V822" s="176" t="n"/>
      <c r="W822" s="176" t="n"/>
      <c r="X822" s="176" t="n"/>
      <c r="Y822" s="176" t="n"/>
      <c r="Z822" s="176" t="n"/>
      <c r="AA822" s="176" t="n"/>
      <c r="AB822" s="176" t="n"/>
    </row>
    <row r="823">
      <c r="A823" s="176" t="n"/>
      <c r="B823" s="176" t="n"/>
      <c r="C823" s="176" t="n"/>
      <c r="D823" s="176" t="n"/>
      <c r="E823" s="176" t="n"/>
      <c r="F823" s="213" t="n"/>
      <c r="G823" s="213" t="n"/>
      <c r="H823" s="213" t="n"/>
      <c r="I823" s="213" t="n"/>
      <c r="J823" s="213" t="n"/>
      <c r="K823" s="186" t="n"/>
      <c r="L823" s="176" t="n"/>
      <c r="M823" s="176" t="n"/>
      <c r="N823" s="176" t="n"/>
      <c r="O823" s="176" t="n"/>
      <c r="P823" s="176" t="n"/>
      <c r="Q823" s="176" t="n"/>
      <c r="R823" s="176" t="n"/>
      <c r="S823" s="176" t="n"/>
      <c r="T823" s="176" t="n"/>
      <c r="U823" s="176" t="n"/>
      <c r="V823" s="176" t="n"/>
      <c r="W823" s="176" t="n"/>
      <c r="X823" s="176" t="n"/>
      <c r="Y823" s="176" t="n"/>
      <c r="Z823" s="176" t="n"/>
      <c r="AA823" s="176" t="n"/>
      <c r="AB823" s="176" t="n"/>
    </row>
    <row r="824">
      <c r="A824" s="176" t="n"/>
      <c r="B824" s="176" t="n"/>
      <c r="C824" s="176" t="n"/>
      <c r="D824" s="176" t="n"/>
      <c r="E824" s="176" t="n"/>
      <c r="F824" s="213" t="n"/>
      <c r="G824" s="213" t="n"/>
      <c r="H824" s="213" t="n"/>
      <c r="I824" s="213" t="n"/>
      <c r="J824" s="213" t="n"/>
      <c r="K824" s="186" t="n"/>
      <c r="L824" s="176" t="n"/>
      <c r="M824" s="176" t="n"/>
      <c r="N824" s="176" t="n"/>
      <c r="O824" s="176" t="n"/>
      <c r="P824" s="176" t="n"/>
      <c r="Q824" s="176" t="n"/>
      <c r="R824" s="176" t="n"/>
      <c r="S824" s="176" t="n"/>
      <c r="T824" s="176" t="n"/>
      <c r="U824" s="176" t="n"/>
      <c r="V824" s="176" t="n"/>
      <c r="W824" s="176" t="n"/>
      <c r="X824" s="176" t="n"/>
      <c r="Y824" s="176" t="n"/>
      <c r="Z824" s="176" t="n"/>
      <c r="AA824" s="176" t="n"/>
      <c r="AB824" s="176" t="n"/>
    </row>
    <row r="825">
      <c r="A825" s="176" t="n"/>
      <c r="B825" s="176" t="n"/>
      <c r="C825" s="176" t="n"/>
      <c r="D825" s="176" t="n"/>
      <c r="E825" s="176" t="n"/>
      <c r="F825" s="213" t="n"/>
      <c r="G825" s="213" t="n"/>
      <c r="H825" s="213" t="n"/>
      <c r="I825" s="213" t="n"/>
      <c r="J825" s="213" t="n"/>
      <c r="K825" s="186" t="n"/>
      <c r="L825" s="176" t="n"/>
      <c r="M825" s="176" t="n"/>
      <c r="N825" s="176" t="n"/>
      <c r="O825" s="176" t="n"/>
      <c r="P825" s="176" t="n"/>
      <c r="Q825" s="176" t="n"/>
      <c r="R825" s="176" t="n"/>
      <c r="S825" s="176" t="n"/>
      <c r="T825" s="176" t="n"/>
      <c r="U825" s="176" t="n"/>
      <c r="V825" s="176" t="n"/>
      <c r="W825" s="176" t="n"/>
      <c r="X825" s="176" t="n"/>
      <c r="Y825" s="176" t="n"/>
      <c r="Z825" s="176" t="n"/>
      <c r="AA825" s="176" t="n"/>
      <c r="AB825" s="176" t="n"/>
    </row>
    <row r="826">
      <c r="A826" s="176" t="n"/>
      <c r="B826" s="176" t="n"/>
      <c r="C826" s="176" t="n"/>
      <c r="D826" s="176" t="n"/>
      <c r="E826" s="176" t="n"/>
      <c r="F826" s="213" t="n"/>
      <c r="G826" s="213" t="n"/>
      <c r="H826" s="213" t="n"/>
      <c r="I826" s="213" t="n"/>
      <c r="J826" s="213" t="n"/>
      <c r="K826" s="186" t="n"/>
      <c r="L826" s="176" t="n"/>
      <c r="M826" s="176" t="n"/>
      <c r="N826" s="176" t="n"/>
      <c r="O826" s="176" t="n"/>
      <c r="P826" s="176" t="n"/>
      <c r="Q826" s="176" t="n"/>
      <c r="R826" s="176" t="n"/>
      <c r="S826" s="176" t="n"/>
      <c r="T826" s="176" t="n"/>
      <c r="U826" s="176" t="n"/>
      <c r="V826" s="176" t="n"/>
      <c r="W826" s="176" t="n"/>
      <c r="X826" s="176" t="n"/>
      <c r="Y826" s="176" t="n"/>
      <c r="Z826" s="176" t="n"/>
      <c r="AA826" s="176" t="n"/>
      <c r="AB826" s="176" t="n"/>
    </row>
    <row r="827">
      <c r="A827" s="176" t="n"/>
      <c r="B827" s="176" t="n"/>
      <c r="C827" s="176" t="n"/>
      <c r="D827" s="176" t="n"/>
      <c r="E827" s="176" t="n"/>
      <c r="F827" s="213" t="n"/>
      <c r="G827" s="213" t="n"/>
      <c r="H827" s="213" t="n"/>
      <c r="I827" s="213" t="n"/>
      <c r="J827" s="213" t="n"/>
      <c r="K827" s="186" t="n"/>
      <c r="L827" s="176" t="n"/>
      <c r="M827" s="176" t="n"/>
      <c r="N827" s="176" t="n"/>
      <c r="O827" s="176" t="n"/>
      <c r="P827" s="176" t="n"/>
      <c r="Q827" s="176" t="n"/>
      <c r="R827" s="176" t="n"/>
      <c r="S827" s="176" t="n"/>
      <c r="T827" s="176" t="n"/>
      <c r="U827" s="176" t="n"/>
      <c r="V827" s="176" t="n"/>
      <c r="W827" s="176" t="n"/>
      <c r="X827" s="176" t="n"/>
      <c r="Y827" s="176" t="n"/>
      <c r="Z827" s="176" t="n"/>
      <c r="AA827" s="176" t="n"/>
      <c r="AB827" s="176" t="n"/>
    </row>
    <row r="828">
      <c r="A828" s="176" t="n"/>
      <c r="B828" s="176" t="n"/>
      <c r="C828" s="176" t="n"/>
      <c r="D828" s="176" t="n"/>
      <c r="E828" s="176" t="n"/>
      <c r="F828" s="213" t="n"/>
      <c r="G828" s="213" t="n"/>
      <c r="H828" s="213" t="n"/>
      <c r="I828" s="213" t="n"/>
      <c r="J828" s="213" t="n"/>
      <c r="K828" s="186" t="n"/>
      <c r="L828" s="176" t="n"/>
      <c r="M828" s="176" t="n"/>
      <c r="N828" s="176" t="n"/>
      <c r="O828" s="176" t="n"/>
      <c r="P828" s="176" t="n"/>
      <c r="Q828" s="176" t="n"/>
      <c r="R828" s="176" t="n"/>
      <c r="S828" s="176" t="n"/>
      <c r="T828" s="176" t="n"/>
      <c r="U828" s="176" t="n"/>
      <c r="V828" s="176" t="n"/>
      <c r="W828" s="176" t="n"/>
      <c r="X828" s="176" t="n"/>
      <c r="Y828" s="176" t="n"/>
      <c r="Z828" s="176" t="n"/>
      <c r="AA828" s="176" t="n"/>
      <c r="AB828" s="176" t="n"/>
    </row>
    <row r="829">
      <c r="A829" s="176" t="n"/>
      <c r="B829" s="176" t="n"/>
      <c r="C829" s="176" t="n"/>
      <c r="D829" s="176" t="n"/>
      <c r="E829" s="176" t="n"/>
      <c r="F829" s="213" t="n"/>
      <c r="G829" s="213" t="n"/>
      <c r="H829" s="213" t="n"/>
      <c r="I829" s="213" t="n"/>
      <c r="J829" s="213" t="n"/>
      <c r="K829" s="186" t="n"/>
      <c r="L829" s="176" t="n"/>
      <c r="M829" s="176" t="n"/>
      <c r="N829" s="176" t="n"/>
      <c r="O829" s="176" t="n"/>
      <c r="P829" s="176" t="n"/>
      <c r="Q829" s="176" t="n"/>
      <c r="R829" s="176" t="n"/>
      <c r="S829" s="176" t="n"/>
      <c r="T829" s="176" t="n"/>
      <c r="U829" s="176" t="n"/>
      <c r="V829" s="176" t="n"/>
      <c r="W829" s="176" t="n"/>
      <c r="X829" s="176" t="n"/>
      <c r="Y829" s="176" t="n"/>
      <c r="Z829" s="176" t="n"/>
      <c r="AA829" s="176" t="n"/>
      <c r="AB829" s="176" t="n"/>
    </row>
    <row r="830">
      <c r="A830" s="176" t="n"/>
      <c r="B830" s="176" t="n"/>
      <c r="C830" s="176" t="n"/>
      <c r="D830" s="176" t="n"/>
      <c r="E830" s="176" t="n"/>
      <c r="F830" s="213" t="n"/>
      <c r="G830" s="213" t="n"/>
      <c r="H830" s="213" t="n"/>
      <c r="I830" s="213" t="n"/>
      <c r="J830" s="213" t="n"/>
      <c r="K830" s="186" t="n"/>
      <c r="L830" s="176" t="n"/>
      <c r="M830" s="176" t="n"/>
      <c r="N830" s="176" t="n"/>
      <c r="O830" s="176" t="n"/>
      <c r="P830" s="176" t="n"/>
      <c r="Q830" s="176" t="n"/>
      <c r="R830" s="176" t="n"/>
      <c r="S830" s="176" t="n"/>
      <c r="T830" s="176" t="n"/>
      <c r="U830" s="176" t="n"/>
      <c r="V830" s="176" t="n"/>
      <c r="W830" s="176" t="n"/>
      <c r="X830" s="176" t="n"/>
      <c r="Y830" s="176" t="n"/>
      <c r="Z830" s="176" t="n"/>
      <c r="AA830" s="176" t="n"/>
      <c r="AB830" s="176" t="n"/>
    </row>
    <row r="831">
      <c r="A831" s="176" t="n"/>
      <c r="B831" s="176" t="n"/>
      <c r="C831" s="176" t="n"/>
      <c r="D831" s="176" t="n"/>
      <c r="E831" s="176" t="n"/>
      <c r="F831" s="213" t="n"/>
      <c r="G831" s="213" t="n"/>
      <c r="H831" s="213" t="n"/>
      <c r="I831" s="213" t="n"/>
      <c r="J831" s="213" t="n"/>
      <c r="K831" s="186" t="n"/>
      <c r="L831" s="176" t="n"/>
      <c r="M831" s="176" t="n"/>
      <c r="N831" s="176" t="n"/>
      <c r="O831" s="176" t="n"/>
      <c r="P831" s="176" t="n"/>
      <c r="Q831" s="176" t="n"/>
      <c r="R831" s="176" t="n"/>
      <c r="S831" s="176" t="n"/>
      <c r="T831" s="176" t="n"/>
      <c r="U831" s="176" t="n"/>
      <c r="V831" s="176" t="n"/>
      <c r="W831" s="176" t="n"/>
      <c r="X831" s="176" t="n"/>
      <c r="Y831" s="176" t="n"/>
      <c r="Z831" s="176" t="n"/>
      <c r="AA831" s="176" t="n"/>
      <c r="AB831" s="176" t="n"/>
    </row>
    <row r="832">
      <c r="A832" s="176" t="n"/>
      <c r="B832" s="176" t="n"/>
      <c r="C832" s="176" t="n"/>
      <c r="D832" s="176" t="n"/>
      <c r="E832" s="176" t="n"/>
      <c r="F832" s="213" t="n"/>
      <c r="G832" s="213" t="n"/>
      <c r="H832" s="213" t="n"/>
      <c r="I832" s="213" t="n"/>
      <c r="J832" s="213" t="n"/>
      <c r="K832" s="186" t="n"/>
      <c r="L832" s="176" t="n"/>
      <c r="M832" s="176" t="n"/>
      <c r="N832" s="176" t="n"/>
      <c r="O832" s="176" t="n"/>
      <c r="P832" s="176" t="n"/>
      <c r="Q832" s="176" t="n"/>
      <c r="R832" s="176" t="n"/>
      <c r="S832" s="176" t="n"/>
      <c r="T832" s="176" t="n"/>
      <c r="U832" s="176" t="n"/>
      <c r="V832" s="176" t="n"/>
      <c r="W832" s="176" t="n"/>
      <c r="X832" s="176" t="n"/>
      <c r="Y832" s="176" t="n"/>
      <c r="Z832" s="176" t="n"/>
      <c r="AA832" s="176" t="n"/>
      <c r="AB832" s="176" t="n"/>
    </row>
    <row r="833">
      <c r="A833" s="176" t="n"/>
      <c r="B833" s="176" t="n"/>
      <c r="C833" s="176" t="n"/>
      <c r="D833" s="176" t="n"/>
      <c r="E833" s="176" t="n"/>
      <c r="F833" s="213" t="n"/>
      <c r="G833" s="213" t="n"/>
      <c r="H833" s="213" t="n"/>
      <c r="I833" s="213" t="n"/>
      <c r="J833" s="213" t="n"/>
      <c r="K833" s="186" t="n"/>
      <c r="L833" s="176" t="n"/>
      <c r="M833" s="176" t="n"/>
      <c r="N833" s="176" t="n"/>
      <c r="O833" s="176" t="n"/>
      <c r="P833" s="176" t="n"/>
      <c r="Q833" s="176" t="n"/>
      <c r="R833" s="176" t="n"/>
      <c r="S833" s="176" t="n"/>
      <c r="T833" s="176" t="n"/>
      <c r="U833" s="176" t="n"/>
      <c r="V833" s="176" t="n"/>
      <c r="W833" s="176" t="n"/>
      <c r="X833" s="176" t="n"/>
      <c r="Y833" s="176" t="n"/>
      <c r="Z833" s="176" t="n"/>
      <c r="AA833" s="176" t="n"/>
      <c r="AB833" s="176" t="n"/>
    </row>
    <row r="834">
      <c r="A834" s="176" t="n"/>
      <c r="B834" s="176" t="n"/>
      <c r="C834" s="176" t="n"/>
      <c r="D834" s="176" t="n"/>
      <c r="E834" s="176" t="n"/>
      <c r="F834" s="213" t="n"/>
      <c r="G834" s="213" t="n"/>
      <c r="H834" s="213" t="n"/>
      <c r="I834" s="213" t="n"/>
      <c r="J834" s="213" t="n"/>
      <c r="K834" s="186" t="n"/>
      <c r="L834" s="176" t="n"/>
      <c r="M834" s="176" t="n"/>
      <c r="N834" s="176" t="n"/>
      <c r="O834" s="176" t="n"/>
      <c r="P834" s="176" t="n"/>
      <c r="Q834" s="176" t="n"/>
      <c r="R834" s="176" t="n"/>
      <c r="S834" s="176" t="n"/>
      <c r="T834" s="176" t="n"/>
      <c r="U834" s="176" t="n"/>
      <c r="V834" s="176" t="n"/>
      <c r="W834" s="176" t="n"/>
      <c r="X834" s="176" t="n"/>
      <c r="Y834" s="176" t="n"/>
      <c r="Z834" s="176" t="n"/>
      <c r="AA834" s="176" t="n"/>
      <c r="AB834" s="176" t="n"/>
    </row>
    <row r="835">
      <c r="A835" s="176" t="n"/>
      <c r="B835" s="176" t="n"/>
      <c r="C835" s="176" t="n"/>
      <c r="D835" s="176" t="n"/>
      <c r="E835" s="176" t="n"/>
      <c r="F835" s="213" t="n"/>
      <c r="G835" s="213" t="n"/>
      <c r="H835" s="213" t="n"/>
      <c r="I835" s="213" t="n"/>
      <c r="J835" s="213" t="n"/>
      <c r="K835" s="186" t="n"/>
      <c r="L835" s="176" t="n"/>
      <c r="M835" s="176" t="n"/>
      <c r="N835" s="176" t="n"/>
      <c r="O835" s="176" t="n"/>
      <c r="P835" s="176" t="n"/>
      <c r="Q835" s="176" t="n"/>
      <c r="R835" s="176" t="n"/>
      <c r="S835" s="176" t="n"/>
      <c r="T835" s="176" t="n"/>
      <c r="U835" s="176" t="n"/>
      <c r="V835" s="176" t="n"/>
      <c r="W835" s="176" t="n"/>
      <c r="X835" s="176" t="n"/>
      <c r="Y835" s="176" t="n"/>
      <c r="Z835" s="176" t="n"/>
      <c r="AA835" s="176" t="n"/>
      <c r="AB835" s="176" t="n"/>
    </row>
    <row r="836">
      <c r="A836" s="176" t="n"/>
      <c r="B836" s="176" t="n"/>
      <c r="C836" s="176" t="n"/>
      <c r="D836" s="176" t="n"/>
      <c r="E836" s="176" t="n"/>
      <c r="F836" s="213" t="n"/>
      <c r="G836" s="213" t="n"/>
      <c r="H836" s="213" t="n"/>
      <c r="I836" s="213" t="n"/>
      <c r="J836" s="213" t="n"/>
      <c r="K836" s="186" t="n"/>
      <c r="L836" s="176" t="n"/>
      <c r="M836" s="176" t="n"/>
      <c r="N836" s="176" t="n"/>
      <c r="O836" s="176" t="n"/>
      <c r="P836" s="176" t="n"/>
      <c r="Q836" s="176" t="n"/>
      <c r="R836" s="176" t="n"/>
      <c r="S836" s="176" t="n"/>
      <c r="T836" s="176" t="n"/>
      <c r="U836" s="176" t="n"/>
      <c r="V836" s="176" t="n"/>
      <c r="W836" s="176" t="n"/>
      <c r="X836" s="176" t="n"/>
      <c r="Y836" s="176" t="n"/>
      <c r="Z836" s="176" t="n"/>
      <c r="AA836" s="176" t="n"/>
      <c r="AB836" s="176" t="n"/>
    </row>
    <row r="837">
      <c r="A837" s="176" t="n"/>
      <c r="B837" s="176" t="n"/>
      <c r="C837" s="176" t="n"/>
      <c r="D837" s="176" t="n"/>
      <c r="E837" s="176" t="n"/>
      <c r="F837" s="213" t="n"/>
      <c r="G837" s="213" t="n"/>
      <c r="H837" s="213" t="n"/>
      <c r="I837" s="213" t="n"/>
      <c r="J837" s="213" t="n"/>
      <c r="K837" s="186" t="n"/>
      <c r="L837" s="176" t="n"/>
      <c r="M837" s="176" t="n"/>
      <c r="N837" s="176" t="n"/>
      <c r="O837" s="176" t="n"/>
      <c r="P837" s="176" t="n"/>
      <c r="Q837" s="176" t="n"/>
      <c r="R837" s="176" t="n"/>
      <c r="S837" s="176" t="n"/>
      <c r="T837" s="176" t="n"/>
      <c r="U837" s="176" t="n"/>
      <c r="V837" s="176" t="n"/>
      <c r="W837" s="176" t="n"/>
      <c r="X837" s="176" t="n"/>
      <c r="Y837" s="176" t="n"/>
      <c r="Z837" s="176" t="n"/>
      <c r="AA837" s="176" t="n"/>
      <c r="AB837" s="176" t="n"/>
    </row>
    <row r="838">
      <c r="A838" s="176" t="n"/>
      <c r="B838" s="176" t="n"/>
      <c r="C838" s="176" t="n"/>
      <c r="D838" s="176" t="n"/>
      <c r="E838" s="176" t="n"/>
      <c r="F838" s="213" t="n"/>
      <c r="G838" s="213" t="n"/>
      <c r="H838" s="213" t="n"/>
      <c r="I838" s="213" t="n"/>
      <c r="J838" s="213" t="n"/>
      <c r="K838" s="186" t="n"/>
      <c r="L838" s="176" t="n"/>
      <c r="M838" s="176" t="n"/>
      <c r="N838" s="176" t="n"/>
      <c r="O838" s="176" t="n"/>
      <c r="P838" s="176" t="n"/>
      <c r="Q838" s="176" t="n"/>
      <c r="R838" s="176" t="n"/>
      <c r="S838" s="176" t="n"/>
      <c r="T838" s="176" t="n"/>
      <c r="U838" s="176" t="n"/>
      <c r="V838" s="176" t="n"/>
      <c r="W838" s="176" t="n"/>
      <c r="X838" s="176" t="n"/>
      <c r="Y838" s="176" t="n"/>
      <c r="Z838" s="176" t="n"/>
      <c r="AA838" s="176" t="n"/>
      <c r="AB838" s="176" t="n"/>
    </row>
    <row r="839">
      <c r="A839" s="176" t="n"/>
      <c r="B839" s="176" t="n"/>
      <c r="C839" s="176" t="n"/>
      <c r="D839" s="176" t="n"/>
      <c r="E839" s="176" t="n"/>
      <c r="F839" s="213" t="n"/>
      <c r="G839" s="213" t="n"/>
      <c r="H839" s="213" t="n"/>
      <c r="I839" s="213" t="n"/>
      <c r="J839" s="213" t="n"/>
      <c r="K839" s="186" t="n"/>
      <c r="L839" s="176" t="n"/>
      <c r="M839" s="176" t="n"/>
      <c r="N839" s="176" t="n"/>
      <c r="O839" s="176" t="n"/>
      <c r="P839" s="176" t="n"/>
      <c r="Q839" s="176" t="n"/>
      <c r="R839" s="176" t="n"/>
      <c r="S839" s="176" t="n"/>
      <c r="T839" s="176" t="n"/>
      <c r="U839" s="176" t="n"/>
      <c r="V839" s="176" t="n"/>
      <c r="W839" s="176" t="n"/>
      <c r="X839" s="176" t="n"/>
      <c r="Y839" s="176" t="n"/>
      <c r="Z839" s="176" t="n"/>
      <c r="AA839" s="176" t="n"/>
      <c r="AB839" s="176" t="n"/>
    </row>
    <row r="840">
      <c r="A840" s="176" t="n"/>
      <c r="B840" s="176" t="n"/>
      <c r="C840" s="176" t="n"/>
      <c r="D840" s="176" t="n"/>
      <c r="E840" s="176" t="n"/>
      <c r="F840" s="213" t="n"/>
      <c r="G840" s="213" t="n"/>
      <c r="H840" s="213" t="n"/>
      <c r="I840" s="213" t="n"/>
      <c r="J840" s="213" t="n"/>
      <c r="K840" s="186" t="n"/>
      <c r="L840" s="176" t="n"/>
      <c r="M840" s="176" t="n"/>
      <c r="N840" s="176" t="n"/>
      <c r="O840" s="176" t="n"/>
      <c r="P840" s="176" t="n"/>
      <c r="Q840" s="176" t="n"/>
      <c r="R840" s="176" t="n"/>
      <c r="S840" s="176" t="n"/>
      <c r="T840" s="176" t="n"/>
      <c r="U840" s="176" t="n"/>
      <c r="V840" s="176" t="n"/>
      <c r="W840" s="176" t="n"/>
      <c r="X840" s="176" t="n"/>
      <c r="Y840" s="176" t="n"/>
      <c r="Z840" s="176" t="n"/>
      <c r="AA840" s="176" t="n"/>
      <c r="AB840" s="176" t="n"/>
    </row>
    <row r="841">
      <c r="A841" s="176" t="n"/>
      <c r="B841" s="176" t="n"/>
      <c r="C841" s="176" t="n"/>
      <c r="D841" s="176" t="n"/>
      <c r="E841" s="176" t="n"/>
      <c r="F841" s="213" t="n"/>
      <c r="G841" s="213" t="n"/>
      <c r="H841" s="213" t="n"/>
      <c r="I841" s="213" t="n"/>
      <c r="J841" s="213" t="n"/>
      <c r="K841" s="186" t="n"/>
      <c r="L841" s="176" t="n"/>
      <c r="M841" s="176" t="n"/>
      <c r="N841" s="176" t="n"/>
      <c r="O841" s="176" t="n"/>
      <c r="P841" s="176" t="n"/>
      <c r="Q841" s="176" t="n"/>
      <c r="R841" s="176" t="n"/>
      <c r="S841" s="176" t="n"/>
      <c r="T841" s="176" t="n"/>
      <c r="U841" s="176" t="n"/>
      <c r="V841" s="176" t="n"/>
      <c r="W841" s="176" t="n"/>
      <c r="X841" s="176" t="n"/>
      <c r="Y841" s="176" t="n"/>
      <c r="Z841" s="176" t="n"/>
      <c r="AA841" s="176" t="n"/>
      <c r="AB841" s="176" t="n"/>
    </row>
    <row r="842">
      <c r="A842" s="176" t="n"/>
      <c r="B842" s="176" t="n"/>
      <c r="C842" s="176" t="n"/>
      <c r="D842" s="176" t="n"/>
      <c r="E842" s="176" t="n"/>
      <c r="F842" s="213" t="n"/>
      <c r="G842" s="213" t="n"/>
      <c r="H842" s="213" t="n"/>
      <c r="I842" s="213" t="n"/>
      <c r="J842" s="213" t="n"/>
      <c r="K842" s="186" t="n"/>
      <c r="L842" s="176" t="n"/>
      <c r="M842" s="176" t="n"/>
      <c r="N842" s="176" t="n"/>
      <c r="O842" s="176" t="n"/>
      <c r="P842" s="176" t="n"/>
      <c r="Q842" s="176" t="n"/>
      <c r="R842" s="176" t="n"/>
      <c r="S842" s="176" t="n"/>
      <c r="T842" s="176" t="n"/>
      <c r="U842" s="176" t="n"/>
      <c r="V842" s="176" t="n"/>
      <c r="W842" s="176" t="n"/>
      <c r="X842" s="176" t="n"/>
      <c r="Y842" s="176" t="n"/>
      <c r="Z842" s="176" t="n"/>
      <c r="AA842" s="176" t="n"/>
      <c r="AB842" s="176" t="n"/>
    </row>
    <row r="843">
      <c r="A843" s="176" t="n"/>
      <c r="B843" s="176" t="n"/>
      <c r="C843" s="176" t="n"/>
      <c r="D843" s="176" t="n"/>
      <c r="E843" s="176" t="n"/>
      <c r="F843" s="213" t="n"/>
      <c r="G843" s="213" t="n"/>
      <c r="H843" s="213" t="n"/>
      <c r="I843" s="213" t="n"/>
      <c r="J843" s="213" t="n"/>
      <c r="K843" s="186" t="n"/>
      <c r="L843" s="176" t="n"/>
      <c r="M843" s="176" t="n"/>
      <c r="N843" s="176" t="n"/>
      <c r="O843" s="176" t="n"/>
      <c r="P843" s="176" t="n"/>
      <c r="Q843" s="176" t="n"/>
      <c r="R843" s="176" t="n"/>
      <c r="S843" s="176" t="n"/>
      <c r="T843" s="176" t="n"/>
      <c r="U843" s="176" t="n"/>
      <c r="V843" s="176" t="n"/>
      <c r="W843" s="176" t="n"/>
      <c r="X843" s="176" t="n"/>
      <c r="Y843" s="176" t="n"/>
      <c r="Z843" s="176" t="n"/>
      <c r="AA843" s="176" t="n"/>
      <c r="AB843" s="176" t="n"/>
    </row>
    <row r="844">
      <c r="A844" s="176" t="n"/>
      <c r="B844" s="176" t="n"/>
      <c r="C844" s="176" t="n"/>
      <c r="D844" s="176" t="n"/>
      <c r="E844" s="176" t="n"/>
      <c r="F844" s="213" t="n"/>
      <c r="G844" s="213" t="n"/>
      <c r="H844" s="213" t="n"/>
      <c r="I844" s="213" t="n"/>
      <c r="J844" s="213" t="n"/>
      <c r="K844" s="186" t="n"/>
      <c r="L844" s="176" t="n"/>
      <c r="M844" s="176" t="n"/>
      <c r="N844" s="176" t="n"/>
      <c r="O844" s="176" t="n"/>
      <c r="P844" s="176" t="n"/>
      <c r="Q844" s="176" t="n"/>
      <c r="R844" s="176" t="n"/>
      <c r="S844" s="176" t="n"/>
      <c r="T844" s="176" t="n"/>
      <c r="U844" s="176" t="n"/>
      <c r="V844" s="176" t="n"/>
      <c r="W844" s="176" t="n"/>
      <c r="X844" s="176" t="n"/>
      <c r="Y844" s="176" t="n"/>
      <c r="Z844" s="176" t="n"/>
      <c r="AA844" s="176" t="n"/>
      <c r="AB844" s="176" t="n"/>
    </row>
    <row r="845">
      <c r="A845" s="176" t="n"/>
      <c r="B845" s="176" t="n"/>
      <c r="C845" s="176" t="n"/>
      <c r="D845" s="176" t="n"/>
      <c r="E845" s="176" t="n"/>
      <c r="F845" s="213" t="n"/>
      <c r="G845" s="213" t="n"/>
      <c r="H845" s="213" t="n"/>
      <c r="I845" s="213" t="n"/>
      <c r="J845" s="213" t="n"/>
      <c r="K845" s="186" t="n"/>
      <c r="L845" s="176" t="n"/>
      <c r="M845" s="176" t="n"/>
      <c r="N845" s="176" t="n"/>
      <c r="O845" s="176" t="n"/>
      <c r="P845" s="176" t="n"/>
      <c r="Q845" s="176" t="n"/>
      <c r="R845" s="176" t="n"/>
      <c r="S845" s="176" t="n"/>
      <c r="T845" s="176" t="n"/>
      <c r="U845" s="176" t="n"/>
      <c r="V845" s="176" t="n"/>
      <c r="W845" s="176" t="n"/>
      <c r="X845" s="176" t="n"/>
      <c r="Y845" s="176" t="n"/>
      <c r="Z845" s="176" t="n"/>
      <c r="AA845" s="176" t="n"/>
      <c r="AB845" s="176" t="n"/>
    </row>
    <row r="846">
      <c r="A846" s="176" t="n"/>
      <c r="B846" s="176" t="n"/>
      <c r="C846" s="176" t="n"/>
      <c r="D846" s="176" t="n"/>
      <c r="E846" s="176" t="n"/>
      <c r="F846" s="213" t="n"/>
      <c r="G846" s="213" t="n"/>
      <c r="H846" s="213" t="n"/>
      <c r="I846" s="213" t="n"/>
      <c r="J846" s="213" t="n"/>
      <c r="K846" s="186" t="n"/>
      <c r="L846" s="176" t="n"/>
      <c r="M846" s="176" t="n"/>
      <c r="N846" s="176" t="n"/>
      <c r="O846" s="176" t="n"/>
      <c r="P846" s="176" t="n"/>
      <c r="Q846" s="176" t="n"/>
      <c r="R846" s="176" t="n"/>
      <c r="S846" s="176" t="n"/>
      <c r="T846" s="176" t="n"/>
      <c r="U846" s="176" t="n"/>
      <c r="V846" s="176" t="n"/>
      <c r="W846" s="176" t="n"/>
      <c r="X846" s="176" t="n"/>
      <c r="Y846" s="176" t="n"/>
      <c r="Z846" s="176" t="n"/>
      <c r="AA846" s="176" t="n"/>
      <c r="AB846" s="176" t="n"/>
    </row>
    <row r="847">
      <c r="A847" s="176" t="n"/>
      <c r="B847" s="176" t="n"/>
      <c r="C847" s="176" t="n"/>
      <c r="D847" s="176" t="n"/>
      <c r="E847" s="176" t="n"/>
      <c r="F847" s="213" t="n"/>
      <c r="G847" s="213" t="n"/>
      <c r="H847" s="213" t="n"/>
      <c r="I847" s="213" t="n"/>
      <c r="J847" s="213" t="n"/>
      <c r="K847" s="186" t="n"/>
      <c r="L847" s="176" t="n"/>
      <c r="M847" s="176" t="n"/>
      <c r="N847" s="176" t="n"/>
      <c r="O847" s="176" t="n"/>
      <c r="P847" s="176" t="n"/>
      <c r="Q847" s="176" t="n"/>
      <c r="R847" s="176" t="n"/>
      <c r="S847" s="176" t="n"/>
      <c r="T847" s="176" t="n"/>
      <c r="U847" s="176" t="n"/>
      <c r="V847" s="176" t="n"/>
      <c r="W847" s="176" t="n"/>
      <c r="X847" s="176" t="n"/>
      <c r="Y847" s="176" t="n"/>
      <c r="Z847" s="176" t="n"/>
      <c r="AA847" s="176" t="n"/>
      <c r="AB847" s="176" t="n"/>
    </row>
    <row r="848">
      <c r="A848" s="176" t="n"/>
      <c r="B848" s="176" t="n"/>
      <c r="C848" s="176" t="n"/>
      <c r="D848" s="176" t="n"/>
      <c r="E848" s="176" t="n"/>
      <c r="F848" s="213" t="n"/>
      <c r="G848" s="213" t="n"/>
      <c r="H848" s="213" t="n"/>
      <c r="I848" s="213" t="n"/>
      <c r="J848" s="213" t="n"/>
      <c r="K848" s="186" t="n"/>
      <c r="L848" s="176" t="n"/>
      <c r="M848" s="176" t="n"/>
      <c r="N848" s="176" t="n"/>
      <c r="O848" s="176" t="n"/>
      <c r="P848" s="176" t="n"/>
      <c r="Q848" s="176" t="n"/>
      <c r="R848" s="176" t="n"/>
      <c r="S848" s="176" t="n"/>
      <c r="T848" s="176" t="n"/>
      <c r="U848" s="176" t="n"/>
      <c r="V848" s="176" t="n"/>
      <c r="W848" s="176" t="n"/>
      <c r="X848" s="176" t="n"/>
      <c r="Y848" s="176" t="n"/>
      <c r="Z848" s="176" t="n"/>
      <c r="AA848" s="176" t="n"/>
      <c r="AB848" s="176" t="n"/>
    </row>
    <row r="849">
      <c r="A849" s="176" t="n"/>
      <c r="B849" s="176" t="n"/>
      <c r="C849" s="176" t="n"/>
      <c r="D849" s="176" t="n"/>
      <c r="E849" s="176" t="n"/>
      <c r="F849" s="213" t="n"/>
      <c r="G849" s="213" t="n"/>
      <c r="H849" s="213" t="n"/>
      <c r="I849" s="213" t="n"/>
      <c r="J849" s="213" t="n"/>
      <c r="K849" s="186" t="n"/>
      <c r="L849" s="176" t="n"/>
      <c r="M849" s="176" t="n"/>
      <c r="N849" s="176" t="n"/>
      <c r="O849" s="176" t="n"/>
      <c r="P849" s="176" t="n"/>
      <c r="Q849" s="176" t="n"/>
      <c r="R849" s="176" t="n"/>
      <c r="S849" s="176" t="n"/>
      <c r="T849" s="176" t="n"/>
      <c r="U849" s="176" t="n"/>
      <c r="V849" s="176" t="n"/>
      <c r="W849" s="176" t="n"/>
      <c r="X849" s="176" t="n"/>
      <c r="Y849" s="176" t="n"/>
      <c r="Z849" s="176" t="n"/>
      <c r="AA849" s="176" t="n"/>
      <c r="AB849" s="176" t="n"/>
    </row>
    <row r="850">
      <c r="A850" s="176" t="n"/>
      <c r="B850" s="176" t="n"/>
      <c r="C850" s="176" t="n"/>
      <c r="D850" s="176" t="n"/>
      <c r="E850" s="176" t="n"/>
      <c r="F850" s="213" t="n"/>
      <c r="G850" s="213" t="n"/>
      <c r="H850" s="213" t="n"/>
      <c r="I850" s="213" t="n"/>
      <c r="J850" s="213" t="n"/>
      <c r="K850" s="186" t="n"/>
      <c r="L850" s="176" t="n"/>
      <c r="M850" s="176" t="n"/>
      <c r="N850" s="176" t="n"/>
      <c r="O850" s="176" t="n"/>
      <c r="P850" s="176" t="n"/>
      <c r="Q850" s="176" t="n"/>
      <c r="R850" s="176" t="n"/>
      <c r="S850" s="176" t="n"/>
      <c r="T850" s="176" t="n"/>
      <c r="U850" s="176" t="n"/>
      <c r="V850" s="176" t="n"/>
      <c r="W850" s="176" t="n"/>
      <c r="X850" s="176" t="n"/>
      <c r="Y850" s="176" t="n"/>
      <c r="Z850" s="176" t="n"/>
      <c r="AA850" s="176" t="n"/>
      <c r="AB850" s="176" t="n"/>
    </row>
    <row r="851">
      <c r="A851" s="176" t="n"/>
      <c r="B851" s="176" t="n"/>
      <c r="C851" s="176" t="n"/>
      <c r="D851" s="176" t="n"/>
      <c r="E851" s="176" t="n"/>
      <c r="F851" s="213" t="n"/>
      <c r="G851" s="213" t="n"/>
      <c r="H851" s="213" t="n"/>
      <c r="I851" s="213" t="n"/>
      <c r="J851" s="213" t="n"/>
      <c r="K851" s="186" t="n"/>
      <c r="L851" s="176" t="n"/>
      <c r="M851" s="176" t="n"/>
      <c r="N851" s="176" t="n"/>
      <c r="O851" s="176" t="n"/>
      <c r="P851" s="176" t="n"/>
      <c r="Q851" s="176" t="n"/>
      <c r="R851" s="176" t="n"/>
      <c r="S851" s="176" t="n"/>
      <c r="T851" s="176" t="n"/>
      <c r="U851" s="176" t="n"/>
      <c r="V851" s="176" t="n"/>
      <c r="W851" s="176" t="n"/>
      <c r="X851" s="176" t="n"/>
      <c r="Y851" s="176" t="n"/>
      <c r="Z851" s="176" t="n"/>
      <c r="AA851" s="176" t="n"/>
      <c r="AB851" s="176" t="n"/>
    </row>
    <row r="852">
      <c r="A852" s="176" t="n"/>
      <c r="B852" s="176" t="n"/>
      <c r="C852" s="176" t="n"/>
      <c r="D852" s="176" t="n"/>
      <c r="E852" s="176" t="n"/>
      <c r="F852" s="213" t="n"/>
      <c r="G852" s="213" t="n"/>
      <c r="H852" s="213" t="n"/>
      <c r="I852" s="213" t="n"/>
      <c r="J852" s="213" t="n"/>
      <c r="K852" s="186" t="n"/>
      <c r="L852" s="176" t="n"/>
      <c r="M852" s="176" t="n"/>
      <c r="N852" s="176" t="n"/>
      <c r="O852" s="176" t="n"/>
      <c r="P852" s="176" t="n"/>
      <c r="Q852" s="176" t="n"/>
      <c r="R852" s="176" t="n"/>
      <c r="S852" s="176" t="n"/>
      <c r="T852" s="176" t="n"/>
      <c r="U852" s="176" t="n"/>
      <c r="V852" s="176" t="n"/>
      <c r="W852" s="176" t="n"/>
      <c r="X852" s="176" t="n"/>
      <c r="Y852" s="176" t="n"/>
      <c r="Z852" s="176" t="n"/>
      <c r="AA852" s="176" t="n"/>
      <c r="AB852" s="176" t="n"/>
    </row>
    <row r="853">
      <c r="A853" s="176" t="n"/>
      <c r="B853" s="176" t="n"/>
      <c r="C853" s="176" t="n"/>
      <c r="D853" s="176" t="n"/>
      <c r="E853" s="176" t="n"/>
      <c r="F853" s="213" t="n"/>
      <c r="G853" s="213" t="n"/>
      <c r="H853" s="213" t="n"/>
      <c r="I853" s="213" t="n"/>
      <c r="J853" s="213" t="n"/>
      <c r="K853" s="186" t="n"/>
      <c r="L853" s="176" t="n"/>
      <c r="M853" s="176" t="n"/>
      <c r="N853" s="176" t="n"/>
      <c r="O853" s="176" t="n"/>
      <c r="P853" s="176" t="n"/>
      <c r="Q853" s="176" t="n"/>
      <c r="R853" s="176" t="n"/>
      <c r="S853" s="176" t="n"/>
      <c r="T853" s="176" t="n"/>
      <c r="U853" s="176" t="n"/>
      <c r="V853" s="176" t="n"/>
      <c r="W853" s="176" t="n"/>
      <c r="X853" s="176" t="n"/>
      <c r="Y853" s="176" t="n"/>
      <c r="Z853" s="176" t="n"/>
      <c r="AA853" s="176" t="n"/>
      <c r="AB853" s="176" t="n"/>
    </row>
    <row r="854">
      <c r="A854" s="176" t="n"/>
      <c r="B854" s="176" t="n"/>
      <c r="C854" s="176" t="n"/>
      <c r="D854" s="176" t="n"/>
      <c r="E854" s="176" t="n"/>
      <c r="F854" s="213" t="n"/>
      <c r="G854" s="213" t="n"/>
      <c r="H854" s="213" t="n"/>
      <c r="I854" s="213" t="n"/>
      <c r="J854" s="213" t="n"/>
      <c r="K854" s="186" t="n"/>
      <c r="L854" s="176" t="n"/>
      <c r="M854" s="176" t="n"/>
      <c r="N854" s="176" t="n"/>
      <c r="O854" s="176" t="n"/>
      <c r="P854" s="176" t="n"/>
      <c r="Q854" s="176" t="n"/>
      <c r="R854" s="176" t="n"/>
      <c r="S854" s="176" t="n"/>
      <c r="T854" s="176" t="n"/>
      <c r="U854" s="176" t="n"/>
      <c r="V854" s="176" t="n"/>
      <c r="W854" s="176" t="n"/>
      <c r="X854" s="176" t="n"/>
      <c r="Y854" s="176" t="n"/>
      <c r="Z854" s="176" t="n"/>
      <c r="AA854" s="176" t="n"/>
      <c r="AB854" s="176" t="n"/>
    </row>
    <row r="855">
      <c r="A855" s="176" t="n"/>
      <c r="B855" s="176" t="n"/>
      <c r="C855" s="176" t="n"/>
      <c r="D855" s="176" t="n"/>
      <c r="E855" s="176" t="n"/>
      <c r="F855" s="213" t="n"/>
      <c r="G855" s="213" t="n"/>
      <c r="H855" s="213" t="n"/>
      <c r="I855" s="213" t="n"/>
      <c r="J855" s="213" t="n"/>
      <c r="K855" s="186" t="n"/>
      <c r="L855" s="176" t="n"/>
      <c r="M855" s="176" t="n"/>
      <c r="N855" s="176" t="n"/>
      <c r="O855" s="176" t="n"/>
      <c r="P855" s="176" t="n"/>
      <c r="Q855" s="176" t="n"/>
      <c r="R855" s="176" t="n"/>
      <c r="S855" s="176" t="n"/>
      <c r="T855" s="176" t="n"/>
      <c r="U855" s="176" t="n"/>
      <c r="V855" s="176" t="n"/>
      <c r="W855" s="176" t="n"/>
      <c r="X855" s="176" t="n"/>
      <c r="Y855" s="176" t="n"/>
      <c r="Z855" s="176" t="n"/>
      <c r="AA855" s="176" t="n"/>
      <c r="AB855" s="176" t="n"/>
    </row>
    <row r="856">
      <c r="A856" s="176" t="n"/>
      <c r="B856" s="176" t="n"/>
      <c r="C856" s="176" t="n"/>
      <c r="D856" s="176" t="n"/>
      <c r="E856" s="176" t="n"/>
      <c r="F856" s="213" t="n"/>
      <c r="G856" s="213" t="n"/>
      <c r="H856" s="213" t="n"/>
      <c r="I856" s="213" t="n"/>
      <c r="J856" s="213" t="n"/>
      <c r="K856" s="186" t="n"/>
      <c r="L856" s="176" t="n"/>
      <c r="M856" s="176" t="n"/>
      <c r="N856" s="176" t="n"/>
      <c r="O856" s="176" t="n"/>
      <c r="P856" s="176" t="n"/>
      <c r="Q856" s="176" t="n"/>
      <c r="R856" s="176" t="n"/>
      <c r="S856" s="176" t="n"/>
      <c r="T856" s="176" t="n"/>
      <c r="U856" s="176" t="n"/>
      <c r="V856" s="176" t="n"/>
      <c r="W856" s="176" t="n"/>
      <c r="X856" s="176" t="n"/>
      <c r="Y856" s="176" t="n"/>
      <c r="Z856" s="176" t="n"/>
      <c r="AA856" s="176" t="n"/>
      <c r="AB856" s="176" t="n"/>
    </row>
    <row r="857">
      <c r="A857" s="176" t="n"/>
      <c r="B857" s="176" t="n"/>
      <c r="C857" s="176" t="n"/>
      <c r="D857" s="176" t="n"/>
      <c r="E857" s="176" t="n"/>
      <c r="F857" s="213" t="n"/>
      <c r="G857" s="213" t="n"/>
      <c r="H857" s="213" t="n"/>
      <c r="I857" s="213" t="n"/>
      <c r="J857" s="213" t="n"/>
      <c r="K857" s="186" t="n"/>
      <c r="L857" s="176" t="n"/>
      <c r="M857" s="176" t="n"/>
      <c r="N857" s="176" t="n"/>
      <c r="O857" s="176" t="n"/>
      <c r="P857" s="176" t="n"/>
      <c r="Q857" s="176" t="n"/>
      <c r="R857" s="176" t="n"/>
      <c r="S857" s="176" t="n"/>
      <c r="T857" s="176" t="n"/>
      <c r="U857" s="176" t="n"/>
      <c r="V857" s="176" t="n"/>
      <c r="W857" s="176" t="n"/>
      <c r="X857" s="176" t="n"/>
      <c r="Y857" s="176" t="n"/>
      <c r="Z857" s="176" t="n"/>
      <c r="AA857" s="176" t="n"/>
      <c r="AB857" s="176" t="n"/>
    </row>
    <row r="858">
      <c r="A858" s="176" t="n"/>
      <c r="B858" s="176" t="n"/>
      <c r="C858" s="176" t="n"/>
      <c r="D858" s="176" t="n"/>
      <c r="E858" s="176" t="n"/>
      <c r="F858" s="213" t="n"/>
      <c r="G858" s="213" t="n"/>
      <c r="H858" s="213" t="n"/>
      <c r="I858" s="213" t="n"/>
      <c r="J858" s="213" t="n"/>
      <c r="K858" s="186" t="n"/>
      <c r="L858" s="176" t="n"/>
      <c r="M858" s="176" t="n"/>
      <c r="N858" s="176" t="n"/>
      <c r="O858" s="176" t="n"/>
      <c r="P858" s="176" t="n"/>
      <c r="Q858" s="176" t="n"/>
      <c r="R858" s="176" t="n"/>
      <c r="S858" s="176" t="n"/>
      <c r="T858" s="176" t="n"/>
      <c r="U858" s="176" t="n"/>
      <c r="V858" s="176" t="n"/>
      <c r="W858" s="176" t="n"/>
      <c r="X858" s="176" t="n"/>
      <c r="Y858" s="176" t="n"/>
      <c r="Z858" s="176" t="n"/>
      <c r="AA858" s="176" t="n"/>
      <c r="AB858" s="176" t="n"/>
    </row>
    <row r="859">
      <c r="A859" s="176" t="n"/>
      <c r="B859" s="176" t="n"/>
      <c r="C859" s="176" t="n"/>
      <c r="D859" s="176" t="n"/>
      <c r="E859" s="176" t="n"/>
      <c r="F859" s="213" t="n"/>
      <c r="G859" s="213" t="n"/>
      <c r="H859" s="213" t="n"/>
      <c r="I859" s="213" t="n"/>
      <c r="J859" s="213" t="n"/>
      <c r="K859" s="186" t="n"/>
      <c r="L859" s="176" t="n"/>
      <c r="M859" s="176" t="n"/>
      <c r="N859" s="176" t="n"/>
      <c r="O859" s="176" t="n"/>
      <c r="P859" s="176" t="n"/>
      <c r="Q859" s="176" t="n"/>
      <c r="R859" s="176" t="n"/>
      <c r="S859" s="176" t="n"/>
      <c r="T859" s="176" t="n"/>
      <c r="U859" s="176" t="n"/>
      <c r="V859" s="176" t="n"/>
      <c r="W859" s="176" t="n"/>
      <c r="X859" s="176" t="n"/>
      <c r="Y859" s="176" t="n"/>
      <c r="Z859" s="176" t="n"/>
      <c r="AA859" s="176" t="n"/>
      <c r="AB859" s="176" t="n"/>
    </row>
    <row r="860">
      <c r="A860" s="176" t="n"/>
      <c r="B860" s="176" t="n"/>
      <c r="C860" s="176" t="n"/>
      <c r="D860" s="176" t="n"/>
      <c r="E860" s="176" t="n"/>
      <c r="F860" s="213" t="n"/>
      <c r="G860" s="213" t="n"/>
      <c r="H860" s="213" t="n"/>
      <c r="I860" s="213" t="n"/>
      <c r="J860" s="213" t="n"/>
      <c r="K860" s="186" t="n"/>
      <c r="L860" s="176" t="n"/>
      <c r="M860" s="176" t="n"/>
      <c r="N860" s="176" t="n"/>
      <c r="O860" s="176" t="n"/>
      <c r="P860" s="176" t="n"/>
      <c r="Q860" s="176" t="n"/>
      <c r="R860" s="176" t="n"/>
      <c r="S860" s="176" t="n"/>
      <c r="T860" s="176" t="n"/>
      <c r="U860" s="176" t="n"/>
      <c r="V860" s="176" t="n"/>
      <c r="W860" s="176" t="n"/>
      <c r="X860" s="176" t="n"/>
      <c r="Y860" s="176" t="n"/>
      <c r="Z860" s="176" t="n"/>
      <c r="AA860" s="176" t="n"/>
      <c r="AB860" s="176" t="n"/>
    </row>
    <row r="861">
      <c r="A861" s="176" t="n"/>
      <c r="B861" s="176" t="n"/>
      <c r="C861" s="176" t="n"/>
      <c r="D861" s="176" t="n"/>
      <c r="E861" s="176" t="n"/>
      <c r="F861" s="213" t="n"/>
      <c r="G861" s="213" t="n"/>
      <c r="H861" s="213" t="n"/>
      <c r="I861" s="213" t="n"/>
      <c r="J861" s="213" t="n"/>
      <c r="K861" s="186" t="n"/>
      <c r="L861" s="176" t="n"/>
      <c r="M861" s="176" t="n"/>
      <c r="N861" s="176" t="n"/>
      <c r="O861" s="176" t="n"/>
      <c r="P861" s="176" t="n"/>
      <c r="Q861" s="176" t="n"/>
      <c r="R861" s="176" t="n"/>
      <c r="S861" s="176" t="n"/>
      <c r="T861" s="176" t="n"/>
      <c r="U861" s="176" t="n"/>
      <c r="V861" s="176" t="n"/>
      <c r="W861" s="176" t="n"/>
      <c r="X861" s="176" t="n"/>
      <c r="Y861" s="176" t="n"/>
      <c r="Z861" s="176" t="n"/>
      <c r="AA861" s="176" t="n"/>
      <c r="AB861" s="176" t="n"/>
    </row>
    <row r="862">
      <c r="A862" s="176" t="n"/>
      <c r="B862" s="176" t="n"/>
      <c r="C862" s="176" t="n"/>
      <c r="D862" s="176" t="n"/>
      <c r="E862" s="176" t="n"/>
      <c r="F862" s="213" t="n"/>
      <c r="G862" s="213" t="n"/>
      <c r="H862" s="213" t="n"/>
      <c r="I862" s="213" t="n"/>
      <c r="J862" s="213" t="n"/>
      <c r="K862" s="186" t="n"/>
      <c r="L862" s="176" t="n"/>
      <c r="M862" s="176" t="n"/>
      <c r="N862" s="176" t="n"/>
      <c r="O862" s="176" t="n"/>
      <c r="P862" s="176" t="n"/>
      <c r="Q862" s="176" t="n"/>
      <c r="R862" s="176" t="n"/>
      <c r="S862" s="176" t="n"/>
      <c r="T862" s="176" t="n"/>
      <c r="U862" s="176" t="n"/>
      <c r="V862" s="176" t="n"/>
      <c r="W862" s="176" t="n"/>
      <c r="X862" s="176" t="n"/>
      <c r="Y862" s="176" t="n"/>
      <c r="Z862" s="176" t="n"/>
      <c r="AA862" s="176" t="n"/>
      <c r="AB862" s="176" t="n"/>
    </row>
    <row r="863">
      <c r="A863" s="176" t="n"/>
      <c r="B863" s="176" t="n"/>
      <c r="C863" s="176" t="n"/>
      <c r="D863" s="176" t="n"/>
      <c r="E863" s="176" t="n"/>
      <c r="F863" s="213" t="n"/>
      <c r="G863" s="213" t="n"/>
      <c r="H863" s="213" t="n"/>
      <c r="I863" s="213" t="n"/>
      <c r="J863" s="213" t="n"/>
      <c r="K863" s="186" t="n"/>
      <c r="L863" s="176" t="n"/>
      <c r="M863" s="176" t="n"/>
      <c r="N863" s="176" t="n"/>
      <c r="O863" s="176" t="n"/>
      <c r="P863" s="176" t="n"/>
      <c r="Q863" s="176" t="n"/>
      <c r="R863" s="176" t="n"/>
      <c r="S863" s="176" t="n"/>
      <c r="T863" s="176" t="n"/>
      <c r="U863" s="176" t="n"/>
      <c r="V863" s="176" t="n"/>
      <c r="W863" s="176" t="n"/>
      <c r="X863" s="176" t="n"/>
      <c r="Y863" s="176" t="n"/>
      <c r="Z863" s="176" t="n"/>
      <c r="AA863" s="176" t="n"/>
      <c r="AB863" s="176" t="n"/>
    </row>
    <row r="864">
      <c r="A864" s="176" t="n"/>
      <c r="B864" s="176" t="n"/>
      <c r="C864" s="176" t="n"/>
      <c r="D864" s="176" t="n"/>
      <c r="E864" s="176" t="n"/>
      <c r="F864" s="213" t="n"/>
      <c r="G864" s="213" t="n"/>
      <c r="H864" s="213" t="n"/>
      <c r="I864" s="213" t="n"/>
      <c r="J864" s="213" t="n"/>
      <c r="K864" s="186" t="n"/>
      <c r="L864" s="176" t="n"/>
      <c r="M864" s="176" t="n"/>
      <c r="N864" s="176" t="n"/>
      <c r="O864" s="176" t="n"/>
      <c r="P864" s="176" t="n"/>
      <c r="Q864" s="176" t="n"/>
      <c r="R864" s="176" t="n"/>
      <c r="S864" s="176" t="n"/>
      <c r="T864" s="176" t="n"/>
      <c r="U864" s="176" t="n"/>
      <c r="V864" s="176" t="n"/>
      <c r="W864" s="176" t="n"/>
      <c r="X864" s="176" t="n"/>
      <c r="Y864" s="176" t="n"/>
      <c r="Z864" s="176" t="n"/>
      <c r="AA864" s="176" t="n"/>
      <c r="AB864" s="176" t="n"/>
    </row>
    <row r="865">
      <c r="A865" s="176" t="n"/>
      <c r="B865" s="176" t="n"/>
      <c r="C865" s="176" t="n"/>
      <c r="D865" s="176" t="n"/>
      <c r="E865" s="176" t="n"/>
      <c r="F865" s="213" t="n"/>
      <c r="G865" s="213" t="n"/>
      <c r="H865" s="213" t="n"/>
      <c r="I865" s="213" t="n"/>
      <c r="J865" s="213" t="n"/>
      <c r="K865" s="186" t="n"/>
      <c r="L865" s="176" t="n"/>
      <c r="M865" s="176" t="n"/>
      <c r="N865" s="176" t="n"/>
      <c r="O865" s="176" t="n"/>
      <c r="P865" s="176" t="n"/>
      <c r="Q865" s="176" t="n"/>
      <c r="R865" s="176" t="n"/>
      <c r="S865" s="176" t="n"/>
      <c r="T865" s="176" t="n"/>
      <c r="U865" s="176" t="n"/>
      <c r="V865" s="176" t="n"/>
      <c r="W865" s="176" t="n"/>
      <c r="X865" s="176" t="n"/>
      <c r="Y865" s="176" t="n"/>
      <c r="Z865" s="176" t="n"/>
      <c r="AA865" s="176" t="n"/>
      <c r="AB865" s="176" t="n"/>
    </row>
    <row r="866">
      <c r="A866" s="176" t="n"/>
      <c r="B866" s="176" t="n"/>
      <c r="C866" s="176" t="n"/>
      <c r="D866" s="176" t="n"/>
      <c r="E866" s="176" t="n"/>
      <c r="F866" s="213" t="n"/>
      <c r="G866" s="213" t="n"/>
      <c r="H866" s="213" t="n"/>
      <c r="I866" s="213" t="n"/>
      <c r="J866" s="213" t="n"/>
      <c r="K866" s="186" t="n"/>
      <c r="L866" s="176" t="n"/>
      <c r="M866" s="176" t="n"/>
      <c r="N866" s="176" t="n"/>
      <c r="O866" s="176" t="n"/>
      <c r="P866" s="176" t="n"/>
      <c r="Q866" s="176" t="n"/>
      <c r="R866" s="176" t="n"/>
      <c r="S866" s="176" t="n"/>
      <c r="T866" s="176" t="n"/>
      <c r="U866" s="176" t="n"/>
      <c r="V866" s="176" t="n"/>
      <c r="W866" s="176" t="n"/>
      <c r="X866" s="176" t="n"/>
      <c r="Y866" s="176" t="n"/>
      <c r="Z866" s="176" t="n"/>
      <c r="AA866" s="176" t="n"/>
      <c r="AB866" s="176" t="n"/>
    </row>
    <row r="867">
      <c r="A867" s="176" t="n"/>
      <c r="B867" s="176" t="n"/>
      <c r="C867" s="176" t="n"/>
      <c r="D867" s="176" t="n"/>
      <c r="E867" s="176" t="n"/>
      <c r="F867" s="213" t="n"/>
      <c r="G867" s="213" t="n"/>
      <c r="H867" s="213" t="n"/>
      <c r="I867" s="213" t="n"/>
      <c r="J867" s="213" t="n"/>
      <c r="K867" s="186" t="n"/>
      <c r="L867" s="176" t="n"/>
      <c r="M867" s="176" t="n"/>
      <c r="N867" s="176" t="n"/>
      <c r="O867" s="176" t="n"/>
      <c r="P867" s="176" t="n"/>
      <c r="Q867" s="176" t="n"/>
      <c r="R867" s="176" t="n"/>
      <c r="S867" s="176" t="n"/>
      <c r="T867" s="176" t="n"/>
      <c r="U867" s="176" t="n"/>
      <c r="V867" s="176" t="n"/>
      <c r="W867" s="176" t="n"/>
      <c r="X867" s="176" t="n"/>
      <c r="Y867" s="176" t="n"/>
      <c r="Z867" s="176" t="n"/>
      <c r="AA867" s="176" t="n"/>
      <c r="AB867" s="176" t="n"/>
    </row>
    <row r="868">
      <c r="A868" s="176" t="n"/>
      <c r="B868" s="176" t="n"/>
      <c r="C868" s="176" t="n"/>
      <c r="D868" s="176" t="n"/>
      <c r="E868" s="176" t="n"/>
      <c r="F868" s="213" t="n"/>
      <c r="G868" s="213" t="n"/>
      <c r="H868" s="213" t="n"/>
      <c r="I868" s="213" t="n"/>
      <c r="J868" s="213" t="n"/>
      <c r="K868" s="186" t="n"/>
      <c r="L868" s="176" t="n"/>
      <c r="M868" s="176" t="n"/>
      <c r="N868" s="176" t="n"/>
      <c r="O868" s="176" t="n"/>
      <c r="P868" s="176" t="n"/>
      <c r="Q868" s="176" t="n"/>
      <c r="R868" s="176" t="n"/>
      <c r="S868" s="176" t="n"/>
      <c r="T868" s="176" t="n"/>
      <c r="U868" s="176" t="n"/>
      <c r="V868" s="176" t="n"/>
      <c r="W868" s="176" t="n"/>
      <c r="X868" s="176" t="n"/>
      <c r="Y868" s="176" t="n"/>
      <c r="Z868" s="176" t="n"/>
      <c r="AA868" s="176" t="n"/>
      <c r="AB868" s="176" t="n"/>
    </row>
    <row r="869">
      <c r="A869" s="176" t="n"/>
      <c r="B869" s="176" t="n"/>
      <c r="C869" s="176" t="n"/>
      <c r="D869" s="176" t="n"/>
      <c r="E869" s="176" t="n"/>
      <c r="F869" s="213" t="n"/>
      <c r="G869" s="213" t="n"/>
      <c r="H869" s="213" t="n"/>
      <c r="I869" s="213" t="n"/>
      <c r="J869" s="213" t="n"/>
      <c r="K869" s="186" t="n"/>
      <c r="L869" s="176" t="n"/>
      <c r="M869" s="176" t="n"/>
      <c r="N869" s="176" t="n"/>
      <c r="O869" s="176" t="n"/>
      <c r="P869" s="176" t="n"/>
      <c r="Q869" s="176" t="n"/>
      <c r="R869" s="176" t="n"/>
      <c r="S869" s="176" t="n"/>
      <c r="T869" s="176" t="n"/>
      <c r="U869" s="176" t="n"/>
      <c r="V869" s="176" t="n"/>
      <c r="W869" s="176" t="n"/>
      <c r="X869" s="176" t="n"/>
      <c r="Y869" s="176" t="n"/>
      <c r="Z869" s="176" t="n"/>
      <c r="AA869" s="176" t="n"/>
      <c r="AB869" s="176" t="n"/>
    </row>
    <row r="870">
      <c r="A870" s="176" t="n"/>
      <c r="B870" s="176" t="n"/>
      <c r="C870" s="176" t="n"/>
      <c r="D870" s="176" t="n"/>
      <c r="E870" s="176" t="n"/>
      <c r="F870" s="213" t="n"/>
      <c r="G870" s="213" t="n"/>
      <c r="H870" s="213" t="n"/>
      <c r="I870" s="213" t="n"/>
      <c r="J870" s="213" t="n"/>
      <c r="K870" s="186" t="n"/>
      <c r="L870" s="176" t="n"/>
      <c r="M870" s="176" t="n"/>
      <c r="N870" s="176" t="n"/>
      <c r="O870" s="176" t="n"/>
      <c r="P870" s="176" t="n"/>
      <c r="Q870" s="176" t="n"/>
      <c r="R870" s="176" t="n"/>
      <c r="S870" s="176" t="n"/>
      <c r="T870" s="176" t="n"/>
      <c r="U870" s="176" t="n"/>
      <c r="V870" s="176" t="n"/>
      <c r="W870" s="176" t="n"/>
      <c r="X870" s="176" t="n"/>
      <c r="Y870" s="176" t="n"/>
      <c r="Z870" s="176" t="n"/>
      <c r="AA870" s="176" t="n"/>
      <c r="AB870" s="176" t="n"/>
    </row>
    <row r="871">
      <c r="A871" s="176" t="n"/>
      <c r="B871" s="176" t="n"/>
      <c r="C871" s="176" t="n"/>
      <c r="D871" s="176" t="n"/>
      <c r="E871" s="176" t="n"/>
      <c r="F871" s="213" t="n"/>
      <c r="G871" s="213" t="n"/>
      <c r="H871" s="213" t="n"/>
      <c r="I871" s="213" t="n"/>
      <c r="J871" s="213" t="n"/>
      <c r="K871" s="186" t="n"/>
      <c r="L871" s="176" t="n"/>
      <c r="M871" s="176" t="n"/>
      <c r="N871" s="176" t="n"/>
      <c r="O871" s="176" t="n"/>
      <c r="P871" s="176" t="n"/>
      <c r="Q871" s="176" t="n"/>
      <c r="R871" s="176" t="n"/>
      <c r="S871" s="176" t="n"/>
      <c r="T871" s="176" t="n"/>
      <c r="U871" s="176" t="n"/>
      <c r="V871" s="176" t="n"/>
      <c r="W871" s="176" t="n"/>
      <c r="X871" s="176" t="n"/>
      <c r="Y871" s="176" t="n"/>
      <c r="Z871" s="176" t="n"/>
      <c r="AA871" s="176" t="n"/>
      <c r="AB871" s="176" t="n"/>
    </row>
    <row r="872">
      <c r="A872" s="176" t="n"/>
      <c r="B872" s="176" t="n"/>
      <c r="C872" s="176" t="n"/>
      <c r="D872" s="176" t="n"/>
      <c r="E872" s="176" t="n"/>
      <c r="F872" s="213" t="n"/>
      <c r="G872" s="213" t="n"/>
      <c r="H872" s="213" t="n"/>
      <c r="I872" s="213" t="n"/>
      <c r="J872" s="213" t="n"/>
      <c r="K872" s="186" t="n"/>
      <c r="L872" s="176" t="n"/>
      <c r="M872" s="176" t="n"/>
      <c r="N872" s="176" t="n"/>
      <c r="O872" s="176" t="n"/>
      <c r="P872" s="176" t="n"/>
      <c r="Q872" s="176" t="n"/>
      <c r="R872" s="176" t="n"/>
      <c r="S872" s="176" t="n"/>
      <c r="T872" s="176" t="n"/>
      <c r="U872" s="176" t="n"/>
      <c r="V872" s="176" t="n"/>
      <c r="W872" s="176" t="n"/>
      <c r="X872" s="176" t="n"/>
      <c r="Y872" s="176" t="n"/>
      <c r="Z872" s="176" t="n"/>
      <c r="AA872" s="176" t="n"/>
      <c r="AB872" s="176" t="n"/>
    </row>
    <row r="873">
      <c r="A873" s="176" t="n"/>
      <c r="B873" s="176" t="n"/>
      <c r="C873" s="176" t="n"/>
      <c r="D873" s="176" t="n"/>
      <c r="E873" s="176" t="n"/>
      <c r="F873" s="213" t="n"/>
      <c r="G873" s="213" t="n"/>
      <c r="H873" s="213" t="n"/>
      <c r="I873" s="213" t="n"/>
      <c r="J873" s="213" t="n"/>
      <c r="K873" s="186" t="n"/>
      <c r="L873" s="176" t="n"/>
      <c r="M873" s="176" t="n"/>
      <c r="N873" s="176" t="n"/>
      <c r="O873" s="176" t="n"/>
      <c r="P873" s="176" t="n"/>
      <c r="Q873" s="176" t="n"/>
      <c r="R873" s="176" t="n"/>
      <c r="S873" s="176" t="n"/>
      <c r="T873" s="176" t="n"/>
      <c r="U873" s="176" t="n"/>
      <c r="V873" s="176" t="n"/>
      <c r="W873" s="176" t="n"/>
      <c r="X873" s="176" t="n"/>
      <c r="Y873" s="176" t="n"/>
      <c r="Z873" s="176" t="n"/>
      <c r="AA873" s="176" t="n"/>
      <c r="AB873" s="176" t="n"/>
    </row>
    <row r="874">
      <c r="A874" s="176" t="n"/>
      <c r="B874" s="176" t="n"/>
      <c r="C874" s="176" t="n"/>
      <c r="D874" s="176" t="n"/>
      <c r="E874" s="176" t="n"/>
      <c r="F874" s="213" t="n"/>
      <c r="G874" s="213" t="n"/>
      <c r="H874" s="213" t="n"/>
      <c r="I874" s="213" t="n"/>
      <c r="J874" s="213" t="n"/>
      <c r="K874" s="186" t="n"/>
      <c r="L874" s="176" t="n"/>
      <c r="M874" s="176" t="n"/>
      <c r="N874" s="176" t="n"/>
      <c r="O874" s="176" t="n"/>
      <c r="P874" s="176" t="n"/>
      <c r="Q874" s="176" t="n"/>
      <c r="R874" s="176" t="n"/>
      <c r="S874" s="176" t="n"/>
      <c r="T874" s="176" t="n"/>
      <c r="U874" s="176" t="n"/>
      <c r="V874" s="176" t="n"/>
      <c r="W874" s="176" t="n"/>
      <c r="X874" s="176" t="n"/>
      <c r="Y874" s="176" t="n"/>
      <c r="Z874" s="176" t="n"/>
      <c r="AA874" s="176" t="n"/>
      <c r="AB874" s="176" t="n"/>
    </row>
    <row r="875">
      <c r="A875" s="176" t="n"/>
      <c r="B875" s="176" t="n"/>
      <c r="C875" s="176" t="n"/>
      <c r="D875" s="176" t="n"/>
      <c r="E875" s="176" t="n"/>
      <c r="F875" s="213" t="n"/>
      <c r="G875" s="213" t="n"/>
      <c r="H875" s="213" t="n"/>
      <c r="I875" s="213" t="n"/>
      <c r="J875" s="213" t="n"/>
      <c r="K875" s="186" t="n"/>
      <c r="L875" s="176" t="n"/>
      <c r="M875" s="176" t="n"/>
      <c r="N875" s="176" t="n"/>
      <c r="O875" s="176" t="n"/>
      <c r="P875" s="176" t="n"/>
      <c r="Q875" s="176" t="n"/>
      <c r="R875" s="176" t="n"/>
      <c r="S875" s="176" t="n"/>
      <c r="T875" s="176" t="n"/>
      <c r="U875" s="176" t="n"/>
      <c r="V875" s="176" t="n"/>
      <c r="W875" s="176" t="n"/>
      <c r="X875" s="176" t="n"/>
      <c r="Y875" s="176" t="n"/>
      <c r="Z875" s="176" t="n"/>
      <c r="AA875" s="176" t="n"/>
      <c r="AB875" s="176" t="n"/>
    </row>
    <row r="876">
      <c r="A876" s="176" t="n"/>
      <c r="B876" s="176" t="n"/>
      <c r="C876" s="176" t="n"/>
      <c r="D876" s="176" t="n"/>
      <c r="E876" s="176" t="n"/>
      <c r="F876" s="213" t="n"/>
      <c r="G876" s="213" t="n"/>
      <c r="H876" s="213" t="n"/>
      <c r="I876" s="213" t="n"/>
      <c r="J876" s="213" t="n"/>
      <c r="K876" s="186" t="n"/>
      <c r="L876" s="176" t="n"/>
      <c r="M876" s="176" t="n"/>
      <c r="N876" s="176" t="n"/>
      <c r="O876" s="176" t="n"/>
      <c r="P876" s="176" t="n"/>
      <c r="Q876" s="176" t="n"/>
      <c r="R876" s="176" t="n"/>
      <c r="S876" s="176" t="n"/>
      <c r="T876" s="176" t="n"/>
      <c r="U876" s="176" t="n"/>
      <c r="V876" s="176" t="n"/>
      <c r="W876" s="176" t="n"/>
      <c r="X876" s="176" t="n"/>
      <c r="Y876" s="176" t="n"/>
      <c r="Z876" s="176" t="n"/>
      <c r="AA876" s="176" t="n"/>
      <c r="AB876" s="176" t="n"/>
    </row>
    <row r="877">
      <c r="A877" s="176" t="n"/>
      <c r="B877" s="176" t="n"/>
      <c r="C877" s="176" t="n"/>
      <c r="D877" s="176" t="n"/>
      <c r="E877" s="176" t="n"/>
      <c r="F877" s="213" t="n"/>
      <c r="G877" s="213" t="n"/>
      <c r="H877" s="213" t="n"/>
      <c r="I877" s="213" t="n"/>
      <c r="J877" s="213" t="n"/>
      <c r="K877" s="186" t="n"/>
      <c r="L877" s="176" t="n"/>
      <c r="M877" s="176" t="n"/>
      <c r="N877" s="176" t="n"/>
      <c r="O877" s="176" t="n"/>
      <c r="P877" s="176" t="n"/>
      <c r="Q877" s="176" t="n"/>
      <c r="R877" s="176" t="n"/>
      <c r="S877" s="176" t="n"/>
      <c r="T877" s="176" t="n"/>
      <c r="U877" s="176" t="n"/>
      <c r="V877" s="176" t="n"/>
      <c r="W877" s="176" t="n"/>
      <c r="X877" s="176" t="n"/>
      <c r="Y877" s="176" t="n"/>
      <c r="Z877" s="176" t="n"/>
      <c r="AA877" s="176" t="n"/>
      <c r="AB877" s="176" t="n"/>
    </row>
    <row r="878">
      <c r="A878" s="176" t="n"/>
      <c r="B878" s="176" t="n"/>
      <c r="C878" s="176" t="n"/>
      <c r="D878" s="176" t="n"/>
      <c r="E878" s="176" t="n"/>
      <c r="F878" s="213" t="n"/>
      <c r="G878" s="213" t="n"/>
      <c r="H878" s="213" t="n"/>
      <c r="I878" s="213" t="n"/>
      <c r="J878" s="213" t="n"/>
      <c r="K878" s="186" t="n"/>
      <c r="L878" s="176" t="n"/>
      <c r="M878" s="176" t="n"/>
      <c r="N878" s="176" t="n"/>
      <c r="O878" s="176" t="n"/>
      <c r="P878" s="176" t="n"/>
      <c r="Q878" s="176" t="n"/>
      <c r="R878" s="176" t="n"/>
      <c r="S878" s="176" t="n"/>
      <c r="T878" s="176" t="n"/>
      <c r="U878" s="176" t="n"/>
      <c r="V878" s="176" t="n"/>
      <c r="W878" s="176" t="n"/>
      <c r="X878" s="176" t="n"/>
      <c r="Y878" s="176" t="n"/>
      <c r="Z878" s="176" t="n"/>
      <c r="AA878" s="176" t="n"/>
      <c r="AB878" s="176" t="n"/>
    </row>
    <row r="879">
      <c r="A879" s="176" t="n"/>
      <c r="B879" s="176" t="n"/>
      <c r="C879" s="176" t="n"/>
      <c r="D879" s="176" t="n"/>
      <c r="E879" s="176" t="n"/>
      <c r="F879" s="213" t="n"/>
      <c r="G879" s="213" t="n"/>
      <c r="H879" s="213" t="n"/>
      <c r="I879" s="213" t="n"/>
      <c r="J879" s="213" t="n"/>
      <c r="K879" s="186" t="n"/>
      <c r="L879" s="176" t="n"/>
      <c r="M879" s="176" t="n"/>
      <c r="N879" s="176" t="n"/>
      <c r="O879" s="176" t="n"/>
      <c r="P879" s="176" t="n"/>
      <c r="Q879" s="176" t="n"/>
      <c r="R879" s="176" t="n"/>
      <c r="S879" s="176" t="n"/>
      <c r="T879" s="176" t="n"/>
      <c r="U879" s="176" t="n"/>
      <c r="V879" s="176" t="n"/>
      <c r="W879" s="176" t="n"/>
      <c r="X879" s="176" t="n"/>
      <c r="Y879" s="176" t="n"/>
      <c r="Z879" s="176" t="n"/>
      <c r="AA879" s="176" t="n"/>
      <c r="AB879" s="176" t="n"/>
    </row>
    <row r="880">
      <c r="A880" s="176" t="n"/>
      <c r="B880" s="176" t="n"/>
      <c r="C880" s="176" t="n"/>
      <c r="D880" s="176" t="n"/>
      <c r="E880" s="176" t="n"/>
      <c r="F880" s="213" t="n"/>
      <c r="G880" s="213" t="n"/>
      <c r="H880" s="213" t="n"/>
      <c r="I880" s="213" t="n"/>
      <c r="J880" s="213" t="n"/>
      <c r="K880" s="186" t="n"/>
      <c r="L880" s="176" t="n"/>
      <c r="M880" s="176" t="n"/>
      <c r="N880" s="176" t="n"/>
      <c r="O880" s="176" t="n"/>
      <c r="P880" s="176" t="n"/>
      <c r="Q880" s="176" t="n"/>
      <c r="R880" s="176" t="n"/>
      <c r="S880" s="176" t="n"/>
      <c r="T880" s="176" t="n"/>
      <c r="U880" s="176" t="n"/>
      <c r="V880" s="176" t="n"/>
      <c r="W880" s="176" t="n"/>
      <c r="X880" s="176" t="n"/>
      <c r="Y880" s="176" t="n"/>
      <c r="Z880" s="176" t="n"/>
      <c r="AA880" s="176" t="n"/>
      <c r="AB880" s="176" t="n"/>
    </row>
    <row r="881">
      <c r="A881" s="176" t="n"/>
      <c r="B881" s="176" t="n"/>
      <c r="C881" s="176" t="n"/>
      <c r="D881" s="176" t="n"/>
      <c r="E881" s="176" t="n"/>
      <c r="F881" s="213" t="n"/>
      <c r="G881" s="213" t="n"/>
      <c r="H881" s="213" t="n"/>
      <c r="I881" s="213" t="n"/>
      <c r="J881" s="213" t="n"/>
      <c r="K881" s="186" t="n"/>
      <c r="L881" s="176" t="n"/>
      <c r="M881" s="176" t="n"/>
      <c r="N881" s="176" t="n"/>
      <c r="O881" s="176" t="n"/>
      <c r="P881" s="176" t="n"/>
      <c r="Q881" s="176" t="n"/>
      <c r="R881" s="176" t="n"/>
      <c r="S881" s="176" t="n"/>
      <c r="T881" s="176" t="n"/>
      <c r="U881" s="176" t="n"/>
      <c r="V881" s="176" t="n"/>
      <c r="W881" s="176" t="n"/>
      <c r="X881" s="176" t="n"/>
      <c r="Y881" s="176" t="n"/>
      <c r="Z881" s="176" t="n"/>
      <c r="AA881" s="176" t="n"/>
      <c r="AB881" s="176" t="n"/>
    </row>
    <row r="882">
      <c r="A882" s="176" t="n"/>
      <c r="B882" s="176" t="n"/>
      <c r="C882" s="176" t="n"/>
      <c r="D882" s="176" t="n"/>
      <c r="E882" s="176" t="n"/>
      <c r="F882" s="213" t="n"/>
      <c r="G882" s="213" t="n"/>
      <c r="H882" s="213" t="n"/>
      <c r="I882" s="213" t="n"/>
      <c r="J882" s="213" t="n"/>
      <c r="K882" s="186" t="n"/>
      <c r="L882" s="176" t="n"/>
      <c r="M882" s="176" t="n"/>
      <c r="N882" s="176" t="n"/>
      <c r="O882" s="176" t="n"/>
      <c r="P882" s="176" t="n"/>
      <c r="Q882" s="176" t="n"/>
      <c r="R882" s="176" t="n"/>
      <c r="S882" s="176" t="n"/>
      <c r="T882" s="176" t="n"/>
      <c r="U882" s="176" t="n"/>
      <c r="V882" s="176" t="n"/>
      <c r="W882" s="176" t="n"/>
      <c r="X882" s="176" t="n"/>
      <c r="Y882" s="176" t="n"/>
      <c r="Z882" s="176" t="n"/>
      <c r="AA882" s="176" t="n"/>
      <c r="AB882" s="176" t="n"/>
    </row>
    <row r="883">
      <c r="A883" s="176" t="n"/>
      <c r="B883" s="176" t="n"/>
      <c r="C883" s="176" t="n"/>
      <c r="D883" s="176" t="n"/>
      <c r="E883" s="176" t="n"/>
      <c r="F883" s="213" t="n"/>
      <c r="G883" s="213" t="n"/>
      <c r="H883" s="213" t="n"/>
      <c r="I883" s="213" t="n"/>
      <c r="J883" s="213" t="n"/>
      <c r="K883" s="186" t="n"/>
      <c r="L883" s="176" t="n"/>
      <c r="M883" s="176" t="n"/>
      <c r="N883" s="176" t="n"/>
      <c r="O883" s="176" t="n"/>
      <c r="P883" s="176" t="n"/>
      <c r="Q883" s="176" t="n"/>
      <c r="R883" s="176" t="n"/>
      <c r="S883" s="176" t="n"/>
      <c r="T883" s="176" t="n"/>
      <c r="U883" s="176" t="n"/>
      <c r="V883" s="176" t="n"/>
      <c r="W883" s="176" t="n"/>
      <c r="X883" s="176" t="n"/>
      <c r="Y883" s="176" t="n"/>
      <c r="Z883" s="176" t="n"/>
      <c r="AA883" s="176" t="n"/>
      <c r="AB883" s="176" t="n"/>
    </row>
    <row r="884">
      <c r="A884" s="176" t="n"/>
      <c r="B884" s="176" t="n"/>
      <c r="C884" s="176" t="n"/>
      <c r="D884" s="176" t="n"/>
      <c r="E884" s="176" t="n"/>
      <c r="F884" s="213" t="n"/>
      <c r="G884" s="213" t="n"/>
      <c r="H884" s="213" t="n"/>
      <c r="I884" s="213" t="n"/>
      <c r="J884" s="213" t="n"/>
      <c r="K884" s="186" t="n"/>
      <c r="L884" s="176" t="n"/>
      <c r="M884" s="176" t="n"/>
      <c r="N884" s="176" t="n"/>
      <c r="O884" s="176" t="n"/>
      <c r="P884" s="176" t="n"/>
      <c r="Q884" s="176" t="n"/>
      <c r="R884" s="176" t="n"/>
      <c r="S884" s="176" t="n"/>
      <c r="T884" s="176" t="n"/>
      <c r="U884" s="176" t="n"/>
      <c r="V884" s="176" t="n"/>
      <c r="W884" s="176" t="n"/>
      <c r="X884" s="176" t="n"/>
      <c r="Y884" s="176" t="n"/>
      <c r="Z884" s="176" t="n"/>
      <c r="AA884" s="176" t="n"/>
      <c r="AB884" s="176" t="n"/>
    </row>
    <row r="885">
      <c r="A885" s="176" t="n"/>
      <c r="B885" s="176" t="n"/>
      <c r="C885" s="176" t="n"/>
      <c r="D885" s="176" t="n"/>
      <c r="E885" s="176" t="n"/>
      <c r="F885" s="213" t="n"/>
      <c r="G885" s="213" t="n"/>
      <c r="H885" s="213" t="n"/>
      <c r="I885" s="213" t="n"/>
      <c r="J885" s="213" t="n"/>
      <c r="K885" s="186" t="n"/>
      <c r="L885" s="176" t="n"/>
      <c r="M885" s="176" t="n"/>
      <c r="N885" s="176" t="n"/>
      <c r="O885" s="176" t="n"/>
      <c r="P885" s="176" t="n"/>
      <c r="Q885" s="176" t="n"/>
      <c r="R885" s="176" t="n"/>
      <c r="S885" s="176" t="n"/>
      <c r="T885" s="176" t="n"/>
      <c r="U885" s="176" t="n"/>
      <c r="V885" s="176" t="n"/>
      <c r="W885" s="176" t="n"/>
      <c r="X885" s="176" t="n"/>
      <c r="Y885" s="176" t="n"/>
      <c r="Z885" s="176" t="n"/>
      <c r="AA885" s="176" t="n"/>
      <c r="AB885" s="176" t="n"/>
    </row>
    <row r="886">
      <c r="A886" s="176" t="n"/>
      <c r="B886" s="176" t="n"/>
      <c r="C886" s="176" t="n"/>
      <c r="D886" s="176" t="n"/>
      <c r="E886" s="176" t="n"/>
      <c r="F886" s="213" t="n"/>
      <c r="G886" s="213" t="n"/>
      <c r="H886" s="213" t="n"/>
      <c r="I886" s="213" t="n"/>
      <c r="J886" s="213" t="n"/>
      <c r="K886" s="186" t="n"/>
      <c r="L886" s="176" t="n"/>
      <c r="M886" s="176" t="n"/>
      <c r="N886" s="176" t="n"/>
      <c r="O886" s="176" t="n"/>
      <c r="P886" s="176" t="n"/>
      <c r="Q886" s="176" t="n"/>
      <c r="R886" s="176" t="n"/>
      <c r="S886" s="176" t="n"/>
      <c r="T886" s="176" t="n"/>
      <c r="U886" s="176" t="n"/>
      <c r="V886" s="176" t="n"/>
      <c r="W886" s="176" t="n"/>
      <c r="X886" s="176" t="n"/>
      <c r="Y886" s="176" t="n"/>
      <c r="Z886" s="176" t="n"/>
      <c r="AA886" s="176" t="n"/>
      <c r="AB886" s="176" t="n"/>
    </row>
    <row r="887">
      <c r="A887" s="176" t="n"/>
      <c r="B887" s="176" t="n"/>
      <c r="C887" s="176" t="n"/>
      <c r="D887" s="176" t="n"/>
      <c r="E887" s="176" t="n"/>
      <c r="F887" s="213" t="n"/>
      <c r="G887" s="213" t="n"/>
      <c r="H887" s="213" t="n"/>
      <c r="I887" s="213" t="n"/>
      <c r="J887" s="213" t="n"/>
      <c r="K887" s="186" t="n"/>
      <c r="L887" s="176" t="n"/>
      <c r="M887" s="176" t="n"/>
      <c r="N887" s="176" t="n"/>
      <c r="O887" s="176" t="n"/>
      <c r="P887" s="176" t="n"/>
      <c r="Q887" s="176" t="n"/>
      <c r="R887" s="176" t="n"/>
      <c r="S887" s="176" t="n"/>
      <c r="T887" s="176" t="n"/>
      <c r="U887" s="176" t="n"/>
      <c r="V887" s="176" t="n"/>
      <c r="W887" s="176" t="n"/>
      <c r="X887" s="176" t="n"/>
      <c r="Y887" s="176" t="n"/>
      <c r="Z887" s="176" t="n"/>
      <c r="AA887" s="176" t="n"/>
      <c r="AB887" s="176" t="n"/>
    </row>
    <row r="888">
      <c r="A888" s="176" t="n"/>
      <c r="B888" s="176" t="n"/>
      <c r="C888" s="176" t="n"/>
      <c r="D888" s="176" t="n"/>
      <c r="E888" s="176" t="n"/>
      <c r="F888" s="213" t="n"/>
      <c r="G888" s="213" t="n"/>
      <c r="H888" s="213" t="n"/>
      <c r="I888" s="213" t="n"/>
      <c r="J888" s="213" t="n"/>
      <c r="K888" s="186" t="n"/>
      <c r="L888" s="176" t="n"/>
      <c r="M888" s="176" t="n"/>
      <c r="N888" s="176" t="n"/>
      <c r="O888" s="176" t="n"/>
      <c r="P888" s="176" t="n"/>
      <c r="Q888" s="176" t="n"/>
      <c r="R888" s="176" t="n"/>
      <c r="S888" s="176" t="n"/>
      <c r="T888" s="176" t="n"/>
      <c r="U888" s="176" t="n"/>
      <c r="V888" s="176" t="n"/>
      <c r="W888" s="176" t="n"/>
      <c r="X888" s="176" t="n"/>
      <c r="Y888" s="176" t="n"/>
      <c r="Z888" s="176" t="n"/>
      <c r="AA888" s="176" t="n"/>
      <c r="AB888" s="176" t="n"/>
    </row>
    <row r="889">
      <c r="A889" s="176" t="n"/>
      <c r="B889" s="176" t="n"/>
      <c r="C889" s="176" t="n"/>
      <c r="D889" s="176" t="n"/>
      <c r="E889" s="176" t="n"/>
      <c r="F889" s="213" t="n"/>
      <c r="G889" s="213" t="n"/>
      <c r="H889" s="213" t="n"/>
      <c r="I889" s="213" t="n"/>
      <c r="J889" s="213" t="n"/>
      <c r="K889" s="186" t="n"/>
      <c r="L889" s="176" t="n"/>
      <c r="M889" s="176" t="n"/>
      <c r="N889" s="176" t="n"/>
      <c r="O889" s="176" t="n"/>
      <c r="P889" s="176" t="n"/>
      <c r="Q889" s="176" t="n"/>
      <c r="R889" s="176" t="n"/>
      <c r="S889" s="176" t="n"/>
      <c r="T889" s="176" t="n"/>
      <c r="U889" s="176" t="n"/>
      <c r="V889" s="176" t="n"/>
      <c r="W889" s="176" t="n"/>
      <c r="X889" s="176" t="n"/>
      <c r="Y889" s="176" t="n"/>
      <c r="Z889" s="176" t="n"/>
      <c r="AA889" s="176" t="n"/>
      <c r="AB889" s="176" t="n"/>
    </row>
    <row r="890">
      <c r="A890" s="176" t="n"/>
      <c r="B890" s="176" t="n"/>
      <c r="C890" s="176" t="n"/>
      <c r="D890" s="176" t="n"/>
      <c r="E890" s="176" t="n"/>
      <c r="F890" s="213" t="n"/>
      <c r="G890" s="213" t="n"/>
      <c r="H890" s="213" t="n"/>
      <c r="I890" s="213" t="n"/>
      <c r="J890" s="213" t="n"/>
      <c r="K890" s="186" t="n"/>
      <c r="L890" s="176" t="n"/>
      <c r="M890" s="176" t="n"/>
      <c r="N890" s="176" t="n"/>
      <c r="O890" s="176" t="n"/>
      <c r="P890" s="176" t="n"/>
      <c r="Q890" s="176" t="n"/>
      <c r="R890" s="176" t="n"/>
      <c r="S890" s="176" t="n"/>
      <c r="T890" s="176" t="n"/>
      <c r="U890" s="176" t="n"/>
      <c r="V890" s="176" t="n"/>
      <c r="W890" s="176" t="n"/>
      <c r="X890" s="176" t="n"/>
      <c r="Y890" s="176" t="n"/>
      <c r="Z890" s="176" t="n"/>
      <c r="AA890" s="176" t="n"/>
      <c r="AB890" s="176" t="n"/>
    </row>
    <row r="891">
      <c r="A891" s="176" t="n"/>
      <c r="B891" s="176" t="n"/>
      <c r="C891" s="176" t="n"/>
      <c r="D891" s="176" t="n"/>
      <c r="E891" s="176" t="n"/>
      <c r="F891" s="213" t="n"/>
      <c r="G891" s="213" t="n"/>
      <c r="H891" s="213" t="n"/>
      <c r="I891" s="213" t="n"/>
      <c r="J891" s="213" t="n"/>
      <c r="K891" s="186" t="n"/>
      <c r="L891" s="176" t="n"/>
      <c r="M891" s="176" t="n"/>
      <c r="N891" s="176" t="n"/>
      <c r="O891" s="176" t="n"/>
      <c r="P891" s="176" t="n"/>
      <c r="Q891" s="176" t="n"/>
      <c r="R891" s="176" t="n"/>
      <c r="S891" s="176" t="n"/>
      <c r="T891" s="176" t="n"/>
      <c r="U891" s="176" t="n"/>
      <c r="V891" s="176" t="n"/>
      <c r="W891" s="176" t="n"/>
      <c r="X891" s="176" t="n"/>
      <c r="Y891" s="176" t="n"/>
      <c r="Z891" s="176" t="n"/>
      <c r="AA891" s="176" t="n"/>
      <c r="AB891" s="176" t="n"/>
    </row>
    <row r="892">
      <c r="A892" s="176" t="n"/>
      <c r="B892" s="176" t="n"/>
      <c r="C892" s="176" t="n"/>
      <c r="D892" s="176" t="n"/>
      <c r="E892" s="176" t="n"/>
      <c r="F892" s="213" t="n"/>
      <c r="G892" s="213" t="n"/>
      <c r="H892" s="213" t="n"/>
      <c r="I892" s="213" t="n"/>
      <c r="J892" s="213" t="n"/>
      <c r="K892" s="186" t="n"/>
      <c r="L892" s="176" t="n"/>
      <c r="M892" s="176" t="n"/>
      <c r="N892" s="176" t="n"/>
      <c r="O892" s="176" t="n"/>
      <c r="P892" s="176" t="n"/>
      <c r="Q892" s="176" t="n"/>
      <c r="R892" s="176" t="n"/>
      <c r="S892" s="176" t="n"/>
      <c r="T892" s="176" t="n"/>
      <c r="U892" s="176" t="n"/>
      <c r="V892" s="176" t="n"/>
      <c r="W892" s="176" t="n"/>
      <c r="X892" s="176" t="n"/>
      <c r="Y892" s="176" t="n"/>
      <c r="Z892" s="176" t="n"/>
      <c r="AA892" s="176" t="n"/>
      <c r="AB892" s="176" t="n"/>
    </row>
    <row r="893">
      <c r="A893" s="176" t="n"/>
      <c r="B893" s="176" t="n"/>
      <c r="C893" s="176" t="n"/>
      <c r="D893" s="176" t="n"/>
      <c r="E893" s="176" t="n"/>
      <c r="F893" s="213" t="n"/>
      <c r="G893" s="213" t="n"/>
      <c r="H893" s="213" t="n"/>
      <c r="I893" s="213" t="n"/>
      <c r="J893" s="213" t="n"/>
      <c r="K893" s="186" t="n"/>
      <c r="L893" s="176" t="n"/>
      <c r="M893" s="176" t="n"/>
      <c r="N893" s="176" t="n"/>
      <c r="O893" s="176" t="n"/>
      <c r="P893" s="176" t="n"/>
      <c r="Q893" s="176" t="n"/>
      <c r="R893" s="176" t="n"/>
      <c r="S893" s="176" t="n"/>
      <c r="T893" s="176" t="n"/>
      <c r="U893" s="176" t="n"/>
      <c r="V893" s="176" t="n"/>
      <c r="W893" s="176" t="n"/>
      <c r="X893" s="176" t="n"/>
      <c r="Y893" s="176" t="n"/>
      <c r="Z893" s="176" t="n"/>
      <c r="AA893" s="176" t="n"/>
      <c r="AB893" s="176" t="n"/>
    </row>
    <row r="894">
      <c r="A894" s="176" t="n"/>
      <c r="B894" s="176" t="n"/>
      <c r="C894" s="176" t="n"/>
      <c r="D894" s="176" t="n"/>
      <c r="E894" s="176" t="n"/>
      <c r="F894" s="213" t="n"/>
      <c r="G894" s="213" t="n"/>
      <c r="H894" s="213" t="n"/>
      <c r="I894" s="213" t="n"/>
      <c r="J894" s="213" t="n"/>
      <c r="K894" s="186" t="n"/>
      <c r="L894" s="176" t="n"/>
      <c r="M894" s="176" t="n"/>
      <c r="N894" s="176" t="n"/>
      <c r="O894" s="176" t="n"/>
      <c r="P894" s="176" t="n"/>
      <c r="Q894" s="176" t="n"/>
      <c r="R894" s="176" t="n"/>
      <c r="S894" s="176" t="n"/>
      <c r="T894" s="176" t="n"/>
      <c r="U894" s="176" t="n"/>
      <c r="V894" s="176" t="n"/>
      <c r="W894" s="176" t="n"/>
      <c r="X894" s="176" t="n"/>
      <c r="Y894" s="176" t="n"/>
      <c r="Z894" s="176" t="n"/>
      <c r="AA894" s="176" t="n"/>
      <c r="AB894" s="176" t="n"/>
    </row>
    <row r="895">
      <c r="A895" s="176" t="n"/>
      <c r="B895" s="176" t="n"/>
      <c r="C895" s="176" t="n"/>
      <c r="D895" s="176" t="n"/>
      <c r="E895" s="176" t="n"/>
      <c r="F895" s="213" t="n"/>
      <c r="G895" s="213" t="n"/>
      <c r="H895" s="213" t="n"/>
      <c r="I895" s="213" t="n"/>
      <c r="J895" s="213" t="n"/>
      <c r="K895" s="186" t="n"/>
      <c r="L895" s="176" t="n"/>
      <c r="M895" s="176" t="n"/>
      <c r="N895" s="176" t="n"/>
      <c r="O895" s="176" t="n"/>
      <c r="P895" s="176" t="n"/>
      <c r="Q895" s="176" t="n"/>
      <c r="R895" s="176" t="n"/>
      <c r="S895" s="176" t="n"/>
      <c r="T895" s="176" t="n"/>
      <c r="U895" s="176" t="n"/>
      <c r="V895" s="176" t="n"/>
      <c r="W895" s="176" t="n"/>
      <c r="X895" s="176" t="n"/>
      <c r="Y895" s="176" t="n"/>
      <c r="Z895" s="176" t="n"/>
      <c r="AA895" s="176" t="n"/>
      <c r="AB895" s="176" t="n"/>
    </row>
    <row r="896">
      <c r="A896" s="176" t="n"/>
      <c r="B896" s="176" t="n"/>
      <c r="C896" s="176" t="n"/>
      <c r="D896" s="176" t="n"/>
      <c r="E896" s="176" t="n"/>
      <c r="F896" s="213" t="n"/>
      <c r="G896" s="213" t="n"/>
      <c r="H896" s="213" t="n"/>
      <c r="I896" s="213" t="n"/>
      <c r="J896" s="213" t="n"/>
      <c r="K896" s="186" t="n"/>
      <c r="L896" s="176" t="n"/>
      <c r="M896" s="176" t="n"/>
      <c r="N896" s="176" t="n"/>
      <c r="O896" s="176" t="n"/>
      <c r="P896" s="176" t="n"/>
      <c r="Q896" s="176" t="n"/>
      <c r="R896" s="176" t="n"/>
      <c r="S896" s="176" t="n"/>
      <c r="T896" s="176" t="n"/>
      <c r="U896" s="176" t="n"/>
      <c r="V896" s="176" t="n"/>
      <c r="W896" s="176" t="n"/>
      <c r="X896" s="176" t="n"/>
      <c r="Y896" s="176" t="n"/>
      <c r="Z896" s="176" t="n"/>
      <c r="AA896" s="176" t="n"/>
      <c r="AB896" s="176" t="n"/>
    </row>
    <row r="897">
      <c r="A897" s="176" t="n"/>
      <c r="B897" s="176" t="n"/>
      <c r="C897" s="176" t="n"/>
      <c r="D897" s="176" t="n"/>
      <c r="E897" s="176" t="n"/>
      <c r="F897" s="213" t="n"/>
      <c r="G897" s="213" t="n"/>
      <c r="H897" s="213" t="n"/>
      <c r="I897" s="213" t="n"/>
      <c r="J897" s="213" t="n"/>
      <c r="K897" s="186" t="n"/>
      <c r="L897" s="176" t="n"/>
      <c r="M897" s="176" t="n"/>
      <c r="N897" s="176" t="n"/>
      <c r="O897" s="176" t="n"/>
      <c r="P897" s="176" t="n"/>
      <c r="Q897" s="176" t="n"/>
      <c r="R897" s="176" t="n"/>
      <c r="S897" s="176" t="n"/>
      <c r="T897" s="176" t="n"/>
      <c r="U897" s="176" t="n"/>
      <c r="V897" s="176" t="n"/>
      <c r="W897" s="176" t="n"/>
      <c r="X897" s="176" t="n"/>
      <c r="Y897" s="176" t="n"/>
      <c r="Z897" s="176" t="n"/>
      <c r="AA897" s="176" t="n"/>
      <c r="AB897" s="176" t="n"/>
    </row>
    <row r="898">
      <c r="A898" s="176" t="n"/>
      <c r="B898" s="176" t="n"/>
      <c r="C898" s="176" t="n"/>
      <c r="D898" s="176" t="n"/>
      <c r="E898" s="176" t="n"/>
      <c r="F898" s="213" t="n"/>
      <c r="G898" s="213" t="n"/>
      <c r="H898" s="213" t="n"/>
      <c r="I898" s="213" t="n"/>
      <c r="J898" s="213" t="n"/>
      <c r="K898" s="186" t="n"/>
      <c r="L898" s="176" t="n"/>
      <c r="M898" s="176" t="n"/>
      <c r="N898" s="176" t="n"/>
      <c r="O898" s="176" t="n"/>
      <c r="P898" s="176" t="n"/>
      <c r="Q898" s="176" t="n"/>
      <c r="R898" s="176" t="n"/>
      <c r="S898" s="176" t="n"/>
      <c r="T898" s="176" t="n"/>
      <c r="U898" s="176" t="n"/>
      <c r="V898" s="176" t="n"/>
      <c r="W898" s="176" t="n"/>
      <c r="X898" s="176" t="n"/>
      <c r="Y898" s="176" t="n"/>
      <c r="Z898" s="176" t="n"/>
      <c r="AA898" s="176" t="n"/>
      <c r="AB898" s="176" t="n"/>
    </row>
    <row r="899">
      <c r="A899" s="176" t="n"/>
      <c r="B899" s="176" t="n"/>
      <c r="C899" s="176" t="n"/>
      <c r="D899" s="176" t="n"/>
      <c r="E899" s="176" t="n"/>
      <c r="F899" s="213" t="n"/>
      <c r="G899" s="213" t="n"/>
      <c r="H899" s="213" t="n"/>
      <c r="I899" s="213" t="n"/>
      <c r="J899" s="213" t="n"/>
      <c r="K899" s="186" t="n"/>
      <c r="L899" s="176" t="n"/>
      <c r="M899" s="176" t="n"/>
      <c r="N899" s="176" t="n"/>
      <c r="O899" s="176" t="n"/>
      <c r="P899" s="176" t="n"/>
      <c r="Q899" s="176" t="n"/>
      <c r="R899" s="176" t="n"/>
      <c r="S899" s="176" t="n"/>
      <c r="T899" s="176" t="n"/>
      <c r="U899" s="176" t="n"/>
      <c r="V899" s="176" t="n"/>
      <c r="W899" s="176" t="n"/>
      <c r="X899" s="176" t="n"/>
      <c r="Y899" s="176" t="n"/>
      <c r="Z899" s="176" t="n"/>
      <c r="AA899" s="176" t="n"/>
      <c r="AB899" s="176" t="n"/>
    </row>
    <row r="900">
      <c r="A900" s="176" t="n"/>
      <c r="B900" s="176" t="n"/>
      <c r="C900" s="176" t="n"/>
      <c r="D900" s="176" t="n"/>
      <c r="E900" s="176" t="n"/>
      <c r="F900" s="213" t="n"/>
      <c r="G900" s="213" t="n"/>
      <c r="H900" s="213" t="n"/>
      <c r="I900" s="213" t="n"/>
      <c r="J900" s="213" t="n"/>
      <c r="K900" s="186" t="n"/>
      <c r="L900" s="176" t="n"/>
      <c r="M900" s="176" t="n"/>
      <c r="N900" s="176" t="n"/>
      <c r="O900" s="176" t="n"/>
      <c r="P900" s="176" t="n"/>
      <c r="Q900" s="176" t="n"/>
      <c r="R900" s="176" t="n"/>
      <c r="S900" s="176" t="n"/>
      <c r="T900" s="176" t="n"/>
      <c r="U900" s="176" t="n"/>
      <c r="V900" s="176" t="n"/>
      <c r="W900" s="176" t="n"/>
      <c r="X900" s="176" t="n"/>
      <c r="Y900" s="176" t="n"/>
      <c r="Z900" s="176" t="n"/>
      <c r="AA900" s="176" t="n"/>
      <c r="AB900" s="176" t="n"/>
    </row>
    <row r="901">
      <c r="A901" s="176" t="n"/>
      <c r="B901" s="176" t="n"/>
      <c r="C901" s="176" t="n"/>
      <c r="D901" s="176" t="n"/>
      <c r="E901" s="176" t="n"/>
      <c r="F901" s="213" t="n"/>
      <c r="G901" s="213" t="n"/>
      <c r="H901" s="213" t="n"/>
      <c r="I901" s="213" t="n"/>
      <c r="J901" s="213" t="n"/>
      <c r="K901" s="186" t="n"/>
      <c r="L901" s="176" t="n"/>
      <c r="M901" s="176" t="n"/>
      <c r="N901" s="176" t="n"/>
      <c r="O901" s="176" t="n"/>
      <c r="P901" s="176" t="n"/>
      <c r="Q901" s="176" t="n"/>
      <c r="R901" s="176" t="n"/>
      <c r="S901" s="176" t="n"/>
      <c r="T901" s="176" t="n"/>
      <c r="U901" s="176" t="n"/>
      <c r="V901" s="176" t="n"/>
      <c r="W901" s="176" t="n"/>
      <c r="X901" s="176" t="n"/>
      <c r="Y901" s="176" t="n"/>
      <c r="Z901" s="176" t="n"/>
      <c r="AA901" s="176" t="n"/>
      <c r="AB901" s="176" t="n"/>
    </row>
    <row r="902">
      <c r="A902" s="176" t="n"/>
      <c r="B902" s="176" t="n"/>
      <c r="C902" s="176" t="n"/>
      <c r="D902" s="176" t="n"/>
      <c r="E902" s="176" t="n"/>
      <c r="F902" s="213" t="n"/>
      <c r="G902" s="213" t="n"/>
      <c r="H902" s="213" t="n"/>
      <c r="I902" s="213" t="n"/>
      <c r="J902" s="213" t="n"/>
      <c r="K902" s="186" t="n"/>
      <c r="L902" s="176" t="n"/>
      <c r="M902" s="176" t="n"/>
      <c r="N902" s="176" t="n"/>
      <c r="O902" s="176" t="n"/>
      <c r="P902" s="176" t="n"/>
      <c r="Q902" s="176" t="n"/>
      <c r="R902" s="176" t="n"/>
      <c r="S902" s="176" t="n"/>
      <c r="T902" s="176" t="n"/>
      <c r="U902" s="176" t="n"/>
      <c r="V902" s="176" t="n"/>
      <c r="W902" s="176" t="n"/>
      <c r="X902" s="176" t="n"/>
      <c r="Y902" s="176" t="n"/>
      <c r="Z902" s="176" t="n"/>
      <c r="AA902" s="176" t="n"/>
      <c r="AB902" s="176" t="n"/>
    </row>
    <row r="903">
      <c r="A903" s="176" t="n"/>
      <c r="B903" s="176" t="n"/>
      <c r="C903" s="176" t="n"/>
      <c r="D903" s="176" t="n"/>
      <c r="E903" s="176" t="n"/>
      <c r="F903" s="213" t="n"/>
      <c r="G903" s="213" t="n"/>
      <c r="H903" s="213" t="n"/>
      <c r="I903" s="213" t="n"/>
      <c r="J903" s="213" t="n"/>
      <c r="K903" s="186" t="n"/>
      <c r="L903" s="176" t="n"/>
      <c r="M903" s="176" t="n"/>
      <c r="N903" s="176" t="n"/>
      <c r="O903" s="176" t="n"/>
      <c r="P903" s="176" t="n"/>
      <c r="Q903" s="176" t="n"/>
      <c r="R903" s="176" t="n"/>
      <c r="S903" s="176" t="n"/>
      <c r="T903" s="176" t="n"/>
      <c r="U903" s="176" t="n"/>
      <c r="V903" s="176" t="n"/>
      <c r="W903" s="176" t="n"/>
      <c r="X903" s="176" t="n"/>
      <c r="Y903" s="176" t="n"/>
      <c r="Z903" s="176" t="n"/>
      <c r="AA903" s="176" t="n"/>
      <c r="AB903" s="176" t="n"/>
    </row>
    <row r="904">
      <c r="A904" s="176" t="n"/>
      <c r="B904" s="176" t="n"/>
      <c r="C904" s="176" t="n"/>
      <c r="D904" s="176" t="n"/>
      <c r="E904" s="176" t="n"/>
      <c r="F904" s="213" t="n"/>
      <c r="G904" s="213" t="n"/>
      <c r="H904" s="213" t="n"/>
      <c r="I904" s="213" t="n"/>
      <c r="J904" s="213" t="n"/>
      <c r="K904" s="186" t="n"/>
      <c r="L904" s="176" t="n"/>
      <c r="M904" s="176" t="n"/>
      <c r="N904" s="176" t="n"/>
      <c r="O904" s="176" t="n"/>
      <c r="P904" s="176" t="n"/>
      <c r="Q904" s="176" t="n"/>
      <c r="R904" s="176" t="n"/>
      <c r="S904" s="176" t="n"/>
      <c r="T904" s="176" t="n"/>
      <c r="U904" s="176" t="n"/>
      <c r="V904" s="176" t="n"/>
      <c r="W904" s="176" t="n"/>
      <c r="X904" s="176" t="n"/>
      <c r="Y904" s="176" t="n"/>
      <c r="Z904" s="176" t="n"/>
      <c r="AA904" s="176" t="n"/>
      <c r="AB904" s="176" t="n"/>
    </row>
    <row r="905">
      <c r="A905" s="176" t="n"/>
      <c r="B905" s="176" t="n"/>
      <c r="C905" s="176" t="n"/>
      <c r="D905" s="176" t="n"/>
      <c r="E905" s="176" t="n"/>
      <c r="F905" s="213" t="n"/>
      <c r="G905" s="213" t="n"/>
      <c r="H905" s="213" t="n"/>
      <c r="I905" s="213" t="n"/>
      <c r="J905" s="213" t="n"/>
      <c r="K905" s="186" t="n"/>
      <c r="L905" s="176" t="n"/>
      <c r="M905" s="176" t="n"/>
      <c r="N905" s="176" t="n"/>
      <c r="O905" s="176" t="n"/>
      <c r="P905" s="176" t="n"/>
      <c r="Q905" s="176" t="n"/>
      <c r="R905" s="176" t="n"/>
      <c r="S905" s="176" t="n"/>
      <c r="T905" s="176" t="n"/>
      <c r="U905" s="176" t="n"/>
      <c r="V905" s="176" t="n"/>
      <c r="W905" s="176" t="n"/>
      <c r="X905" s="176" t="n"/>
      <c r="Y905" s="176" t="n"/>
      <c r="Z905" s="176" t="n"/>
      <c r="AA905" s="176" t="n"/>
      <c r="AB905" s="176" t="n"/>
    </row>
    <row r="906">
      <c r="A906" s="176" t="n"/>
      <c r="B906" s="176" t="n"/>
      <c r="C906" s="176" t="n"/>
      <c r="D906" s="176" t="n"/>
      <c r="E906" s="176" t="n"/>
      <c r="F906" s="213" t="n"/>
      <c r="G906" s="213" t="n"/>
      <c r="H906" s="213" t="n"/>
      <c r="I906" s="213" t="n"/>
      <c r="J906" s="213" t="n"/>
      <c r="K906" s="186" t="n"/>
      <c r="L906" s="176" t="n"/>
      <c r="M906" s="176" t="n"/>
      <c r="N906" s="176" t="n"/>
      <c r="O906" s="176" t="n"/>
      <c r="P906" s="176" t="n"/>
      <c r="Q906" s="176" t="n"/>
      <c r="R906" s="176" t="n"/>
      <c r="S906" s="176" t="n"/>
      <c r="T906" s="176" t="n"/>
      <c r="U906" s="176" t="n"/>
      <c r="V906" s="176" t="n"/>
      <c r="W906" s="176" t="n"/>
      <c r="X906" s="176" t="n"/>
      <c r="Y906" s="176" t="n"/>
      <c r="Z906" s="176" t="n"/>
      <c r="AA906" s="176" t="n"/>
      <c r="AB906" s="176" t="n"/>
    </row>
    <row r="907">
      <c r="A907" s="176" t="n"/>
      <c r="B907" s="176" t="n"/>
      <c r="C907" s="176" t="n"/>
      <c r="D907" s="176" t="n"/>
      <c r="E907" s="176" t="n"/>
      <c r="F907" s="213" t="n"/>
      <c r="G907" s="213" t="n"/>
      <c r="H907" s="213" t="n"/>
      <c r="I907" s="213" t="n"/>
      <c r="J907" s="213" t="n"/>
      <c r="K907" s="186" t="n"/>
      <c r="L907" s="176" t="n"/>
      <c r="M907" s="176" t="n"/>
      <c r="N907" s="176" t="n"/>
      <c r="O907" s="176" t="n"/>
      <c r="P907" s="176" t="n"/>
      <c r="Q907" s="176" t="n"/>
      <c r="R907" s="176" t="n"/>
      <c r="S907" s="176" t="n"/>
      <c r="T907" s="176" t="n"/>
      <c r="U907" s="176" t="n"/>
      <c r="V907" s="176" t="n"/>
      <c r="W907" s="176" t="n"/>
      <c r="X907" s="176" t="n"/>
      <c r="Y907" s="176" t="n"/>
      <c r="Z907" s="176" t="n"/>
      <c r="AA907" s="176" t="n"/>
      <c r="AB907" s="176" t="n"/>
    </row>
    <row r="908">
      <c r="A908" s="176" t="n"/>
      <c r="B908" s="176" t="n"/>
      <c r="C908" s="176" t="n"/>
      <c r="D908" s="176" t="n"/>
      <c r="E908" s="176" t="n"/>
      <c r="F908" s="213" t="n"/>
      <c r="G908" s="213" t="n"/>
      <c r="H908" s="213" t="n"/>
      <c r="I908" s="213" t="n"/>
      <c r="J908" s="213" t="n"/>
      <c r="K908" s="186" t="n"/>
      <c r="L908" s="176" t="n"/>
      <c r="M908" s="176" t="n"/>
      <c r="N908" s="176" t="n"/>
      <c r="O908" s="176" t="n"/>
      <c r="P908" s="176" t="n"/>
      <c r="Q908" s="176" t="n"/>
      <c r="R908" s="176" t="n"/>
      <c r="S908" s="176" t="n"/>
      <c r="T908" s="176" t="n"/>
      <c r="U908" s="176" t="n"/>
      <c r="V908" s="176" t="n"/>
      <c r="W908" s="176" t="n"/>
      <c r="X908" s="176" t="n"/>
      <c r="Y908" s="176" t="n"/>
      <c r="Z908" s="176" t="n"/>
      <c r="AA908" s="176" t="n"/>
      <c r="AB908" s="176" t="n"/>
    </row>
    <row r="909">
      <c r="A909" s="176" t="n"/>
      <c r="B909" s="176" t="n"/>
      <c r="C909" s="176" t="n"/>
      <c r="D909" s="176" t="n"/>
      <c r="E909" s="176" t="n"/>
      <c r="F909" s="213" t="n"/>
      <c r="G909" s="213" t="n"/>
      <c r="H909" s="213" t="n"/>
      <c r="I909" s="213" t="n"/>
      <c r="J909" s="213" t="n"/>
      <c r="K909" s="186" t="n"/>
      <c r="L909" s="176" t="n"/>
      <c r="M909" s="176" t="n"/>
      <c r="N909" s="176" t="n"/>
      <c r="O909" s="176" t="n"/>
      <c r="P909" s="176" t="n"/>
      <c r="Q909" s="176" t="n"/>
      <c r="R909" s="176" t="n"/>
      <c r="S909" s="176" t="n"/>
      <c r="T909" s="176" t="n"/>
      <c r="U909" s="176" t="n"/>
      <c r="V909" s="176" t="n"/>
      <c r="W909" s="176" t="n"/>
      <c r="X909" s="176" t="n"/>
      <c r="Y909" s="176" t="n"/>
      <c r="Z909" s="176" t="n"/>
      <c r="AA909" s="176" t="n"/>
      <c r="AB909" s="176" t="n"/>
    </row>
    <row r="910">
      <c r="A910" s="176" t="n"/>
      <c r="B910" s="176" t="n"/>
      <c r="C910" s="176" t="n"/>
      <c r="D910" s="176" t="n"/>
      <c r="E910" s="176" t="n"/>
      <c r="F910" s="213" t="n"/>
      <c r="G910" s="213" t="n"/>
      <c r="H910" s="213" t="n"/>
      <c r="I910" s="213" t="n"/>
      <c r="J910" s="213" t="n"/>
      <c r="K910" s="186" t="n"/>
      <c r="L910" s="176" t="n"/>
      <c r="M910" s="176" t="n"/>
      <c r="N910" s="176" t="n"/>
      <c r="O910" s="176" t="n"/>
      <c r="P910" s="176" t="n"/>
      <c r="Q910" s="176" t="n"/>
      <c r="R910" s="176" t="n"/>
      <c r="S910" s="176" t="n"/>
      <c r="T910" s="176" t="n"/>
      <c r="U910" s="176" t="n"/>
      <c r="V910" s="176" t="n"/>
      <c r="W910" s="176" t="n"/>
      <c r="X910" s="176" t="n"/>
      <c r="Y910" s="176" t="n"/>
      <c r="Z910" s="176" t="n"/>
      <c r="AA910" s="176" t="n"/>
      <c r="AB910" s="176" t="n"/>
    </row>
    <row r="911">
      <c r="A911" s="176" t="n"/>
      <c r="B911" s="176" t="n"/>
      <c r="C911" s="176" t="n"/>
      <c r="D911" s="176" t="n"/>
      <c r="E911" s="176" t="n"/>
      <c r="F911" s="213" t="n"/>
      <c r="G911" s="213" t="n"/>
      <c r="H911" s="213" t="n"/>
      <c r="I911" s="213" t="n"/>
      <c r="J911" s="213" t="n"/>
      <c r="K911" s="186" t="n"/>
      <c r="L911" s="176" t="n"/>
      <c r="M911" s="176" t="n"/>
      <c r="N911" s="176" t="n"/>
      <c r="O911" s="176" t="n"/>
      <c r="P911" s="176" t="n"/>
      <c r="Q911" s="176" t="n"/>
      <c r="R911" s="176" t="n"/>
      <c r="S911" s="176" t="n"/>
      <c r="T911" s="176" t="n"/>
      <c r="U911" s="176" t="n"/>
      <c r="V911" s="176" t="n"/>
      <c r="W911" s="176" t="n"/>
      <c r="X911" s="176" t="n"/>
      <c r="Y911" s="176" t="n"/>
      <c r="Z911" s="176" t="n"/>
      <c r="AA911" s="176" t="n"/>
      <c r="AB911" s="176" t="n"/>
    </row>
    <row r="912">
      <c r="A912" s="176" t="n"/>
      <c r="B912" s="176" t="n"/>
      <c r="C912" s="176" t="n"/>
      <c r="D912" s="176" t="n"/>
      <c r="E912" s="176" t="n"/>
      <c r="F912" s="213" t="n"/>
      <c r="G912" s="213" t="n"/>
      <c r="H912" s="213" t="n"/>
      <c r="I912" s="213" t="n"/>
      <c r="J912" s="213" t="n"/>
      <c r="K912" s="186" t="n"/>
      <c r="L912" s="176" t="n"/>
      <c r="M912" s="176" t="n"/>
      <c r="N912" s="176" t="n"/>
      <c r="O912" s="176" t="n"/>
      <c r="P912" s="176" t="n"/>
      <c r="Q912" s="176" t="n"/>
      <c r="R912" s="176" t="n"/>
      <c r="S912" s="176" t="n"/>
      <c r="T912" s="176" t="n"/>
      <c r="U912" s="176" t="n"/>
      <c r="V912" s="176" t="n"/>
      <c r="W912" s="176" t="n"/>
      <c r="X912" s="176" t="n"/>
      <c r="Y912" s="176" t="n"/>
      <c r="Z912" s="176" t="n"/>
      <c r="AA912" s="176" t="n"/>
      <c r="AB912" s="176" t="n"/>
    </row>
    <row r="913">
      <c r="A913" s="176" t="n"/>
      <c r="B913" s="176" t="n"/>
      <c r="C913" s="176" t="n"/>
      <c r="D913" s="176" t="n"/>
      <c r="E913" s="176" t="n"/>
      <c r="F913" s="213" t="n"/>
      <c r="G913" s="213" t="n"/>
      <c r="H913" s="213" t="n"/>
      <c r="I913" s="213" t="n"/>
      <c r="J913" s="213" t="n"/>
      <c r="K913" s="186" t="n"/>
      <c r="L913" s="176" t="n"/>
      <c r="M913" s="176" t="n"/>
      <c r="N913" s="176" t="n"/>
      <c r="O913" s="176" t="n"/>
      <c r="P913" s="176" t="n"/>
      <c r="Q913" s="176" t="n"/>
      <c r="R913" s="176" t="n"/>
      <c r="S913" s="176" t="n"/>
      <c r="T913" s="176" t="n"/>
      <c r="U913" s="176" t="n"/>
      <c r="V913" s="176" t="n"/>
      <c r="W913" s="176" t="n"/>
      <c r="X913" s="176" t="n"/>
      <c r="Y913" s="176" t="n"/>
      <c r="Z913" s="176" t="n"/>
      <c r="AA913" s="176" t="n"/>
      <c r="AB913" s="176" t="n"/>
    </row>
    <row r="914">
      <c r="A914" s="176" t="n"/>
      <c r="B914" s="176" t="n"/>
      <c r="C914" s="176" t="n"/>
      <c r="D914" s="176" t="n"/>
      <c r="E914" s="176" t="n"/>
      <c r="F914" s="213" t="n"/>
      <c r="G914" s="213" t="n"/>
      <c r="H914" s="213" t="n"/>
      <c r="I914" s="213" t="n"/>
      <c r="J914" s="213" t="n"/>
      <c r="K914" s="186" t="n"/>
      <c r="L914" s="176" t="n"/>
      <c r="M914" s="176" t="n"/>
      <c r="N914" s="176" t="n"/>
      <c r="O914" s="176" t="n"/>
      <c r="P914" s="176" t="n"/>
      <c r="Q914" s="176" t="n"/>
      <c r="R914" s="176" t="n"/>
      <c r="S914" s="176" t="n"/>
      <c r="T914" s="176" t="n"/>
      <c r="U914" s="176" t="n"/>
      <c r="V914" s="176" t="n"/>
      <c r="W914" s="176" t="n"/>
      <c r="X914" s="176" t="n"/>
      <c r="Y914" s="176" t="n"/>
      <c r="Z914" s="176" t="n"/>
      <c r="AA914" s="176" t="n"/>
      <c r="AB914" s="176" t="n"/>
    </row>
    <row r="915">
      <c r="A915" s="176" t="n"/>
      <c r="B915" s="176" t="n"/>
      <c r="C915" s="176" t="n"/>
      <c r="D915" s="176" t="n"/>
      <c r="E915" s="176" t="n"/>
      <c r="F915" s="213" t="n"/>
      <c r="G915" s="213" t="n"/>
      <c r="H915" s="213" t="n"/>
      <c r="I915" s="213" t="n"/>
      <c r="J915" s="213" t="n"/>
      <c r="K915" s="186" t="n"/>
      <c r="L915" s="176" t="n"/>
      <c r="M915" s="176" t="n"/>
      <c r="N915" s="176" t="n"/>
      <c r="O915" s="176" t="n"/>
      <c r="P915" s="176" t="n"/>
      <c r="Q915" s="176" t="n"/>
      <c r="R915" s="176" t="n"/>
      <c r="S915" s="176" t="n"/>
      <c r="T915" s="176" t="n"/>
      <c r="U915" s="176" t="n"/>
      <c r="V915" s="176" t="n"/>
      <c r="W915" s="176" t="n"/>
      <c r="X915" s="176" t="n"/>
      <c r="Y915" s="176" t="n"/>
      <c r="Z915" s="176" t="n"/>
      <c r="AA915" s="176" t="n"/>
      <c r="AB915" s="176" t="n"/>
    </row>
    <row r="916">
      <c r="A916" s="176" t="n"/>
      <c r="B916" s="176" t="n"/>
      <c r="C916" s="176" t="n"/>
      <c r="D916" s="176" t="n"/>
      <c r="E916" s="176" t="n"/>
      <c r="F916" s="213" t="n"/>
      <c r="G916" s="213" t="n"/>
      <c r="H916" s="213" t="n"/>
      <c r="I916" s="213" t="n"/>
      <c r="J916" s="213" t="n"/>
      <c r="K916" s="186" t="n"/>
      <c r="L916" s="176" t="n"/>
      <c r="M916" s="176" t="n"/>
      <c r="N916" s="176" t="n"/>
      <c r="O916" s="176" t="n"/>
      <c r="P916" s="176" t="n"/>
      <c r="Q916" s="176" t="n"/>
      <c r="R916" s="176" t="n"/>
      <c r="S916" s="176" t="n"/>
      <c r="T916" s="176" t="n"/>
      <c r="U916" s="176" t="n"/>
      <c r="V916" s="176" t="n"/>
      <c r="W916" s="176" t="n"/>
      <c r="X916" s="176" t="n"/>
      <c r="Y916" s="176" t="n"/>
      <c r="Z916" s="176" t="n"/>
      <c r="AA916" s="176" t="n"/>
      <c r="AB916" s="176" t="n"/>
    </row>
    <row r="917">
      <c r="A917" s="176" t="n"/>
      <c r="B917" s="176" t="n"/>
      <c r="C917" s="176" t="n"/>
      <c r="D917" s="176" t="n"/>
      <c r="E917" s="176" t="n"/>
      <c r="F917" s="213" t="n"/>
      <c r="G917" s="213" t="n"/>
      <c r="H917" s="213" t="n"/>
      <c r="I917" s="213" t="n"/>
      <c r="J917" s="213" t="n"/>
      <c r="K917" s="186" t="n"/>
      <c r="L917" s="176" t="n"/>
      <c r="M917" s="176" t="n"/>
      <c r="N917" s="176" t="n"/>
      <c r="O917" s="176" t="n"/>
      <c r="P917" s="176" t="n"/>
      <c r="Q917" s="176" t="n"/>
      <c r="R917" s="176" t="n"/>
      <c r="S917" s="176" t="n"/>
      <c r="T917" s="176" t="n"/>
      <c r="U917" s="176" t="n"/>
      <c r="V917" s="176" t="n"/>
      <c r="W917" s="176" t="n"/>
      <c r="X917" s="176" t="n"/>
      <c r="Y917" s="176" t="n"/>
      <c r="Z917" s="176" t="n"/>
      <c r="AA917" s="176" t="n"/>
      <c r="AB917" s="176" t="n"/>
    </row>
    <row r="918">
      <c r="A918" s="176" t="n"/>
      <c r="B918" s="176" t="n"/>
      <c r="C918" s="176" t="n"/>
      <c r="D918" s="176" t="n"/>
      <c r="E918" s="176" t="n"/>
      <c r="F918" s="213" t="n"/>
      <c r="G918" s="213" t="n"/>
      <c r="H918" s="213" t="n"/>
      <c r="I918" s="213" t="n"/>
      <c r="J918" s="213" t="n"/>
      <c r="K918" s="186" t="n"/>
      <c r="L918" s="176" t="n"/>
      <c r="M918" s="176" t="n"/>
      <c r="N918" s="176" t="n"/>
      <c r="O918" s="176" t="n"/>
      <c r="P918" s="176" t="n"/>
      <c r="Q918" s="176" t="n"/>
      <c r="R918" s="176" t="n"/>
      <c r="S918" s="176" t="n"/>
      <c r="T918" s="176" t="n"/>
      <c r="U918" s="176" t="n"/>
      <c r="V918" s="176" t="n"/>
      <c r="W918" s="176" t="n"/>
      <c r="X918" s="176" t="n"/>
      <c r="Y918" s="176" t="n"/>
      <c r="Z918" s="176" t="n"/>
      <c r="AA918" s="176" t="n"/>
      <c r="AB918" s="176" t="n"/>
    </row>
    <row r="919">
      <c r="A919" s="176" t="n"/>
      <c r="B919" s="176" t="n"/>
      <c r="C919" s="176" t="n"/>
      <c r="D919" s="176" t="n"/>
      <c r="E919" s="176" t="n"/>
      <c r="F919" s="213" t="n"/>
      <c r="G919" s="213" t="n"/>
      <c r="H919" s="213" t="n"/>
      <c r="I919" s="213" t="n"/>
      <c r="J919" s="213" t="n"/>
      <c r="K919" s="186" t="n"/>
      <c r="L919" s="176" t="n"/>
      <c r="M919" s="176" t="n"/>
      <c r="N919" s="176" t="n"/>
      <c r="O919" s="176" t="n"/>
      <c r="P919" s="176" t="n"/>
      <c r="Q919" s="176" t="n"/>
      <c r="R919" s="176" t="n"/>
      <c r="S919" s="176" t="n"/>
      <c r="T919" s="176" t="n"/>
      <c r="U919" s="176" t="n"/>
      <c r="V919" s="176" t="n"/>
      <c r="W919" s="176" t="n"/>
      <c r="X919" s="176" t="n"/>
      <c r="Y919" s="176" t="n"/>
      <c r="Z919" s="176" t="n"/>
      <c r="AA919" s="176" t="n"/>
      <c r="AB919" s="176" t="n"/>
    </row>
    <row r="920">
      <c r="A920" s="176" t="n"/>
      <c r="B920" s="176" t="n"/>
      <c r="C920" s="176" t="n"/>
      <c r="D920" s="176" t="n"/>
      <c r="E920" s="176" t="n"/>
      <c r="F920" s="213" t="n"/>
      <c r="G920" s="213" t="n"/>
      <c r="H920" s="213" t="n"/>
      <c r="I920" s="213" t="n"/>
      <c r="J920" s="213" t="n"/>
      <c r="K920" s="186" t="n"/>
      <c r="L920" s="176" t="n"/>
      <c r="M920" s="176" t="n"/>
      <c r="N920" s="176" t="n"/>
      <c r="O920" s="176" t="n"/>
      <c r="P920" s="176" t="n"/>
      <c r="Q920" s="176" t="n"/>
      <c r="R920" s="176" t="n"/>
      <c r="S920" s="176" t="n"/>
      <c r="T920" s="176" t="n"/>
      <c r="U920" s="176" t="n"/>
      <c r="V920" s="176" t="n"/>
      <c r="W920" s="176" t="n"/>
      <c r="X920" s="176" t="n"/>
      <c r="Y920" s="176" t="n"/>
      <c r="Z920" s="176" t="n"/>
      <c r="AA920" s="176" t="n"/>
      <c r="AB920" s="176" t="n"/>
    </row>
    <row r="921">
      <c r="A921" s="176" t="n"/>
      <c r="B921" s="176" t="n"/>
      <c r="C921" s="176" t="n"/>
      <c r="D921" s="176" t="n"/>
      <c r="E921" s="176" t="n"/>
      <c r="F921" s="213" t="n"/>
      <c r="G921" s="213" t="n"/>
      <c r="H921" s="213" t="n"/>
      <c r="I921" s="213" t="n"/>
      <c r="J921" s="213" t="n"/>
      <c r="K921" s="186" t="n"/>
      <c r="L921" s="176" t="n"/>
      <c r="M921" s="176" t="n"/>
      <c r="N921" s="176" t="n"/>
      <c r="O921" s="176" t="n"/>
      <c r="P921" s="176" t="n"/>
      <c r="Q921" s="176" t="n"/>
      <c r="R921" s="176" t="n"/>
      <c r="S921" s="176" t="n"/>
      <c r="T921" s="176" t="n"/>
      <c r="U921" s="176" t="n"/>
      <c r="V921" s="176" t="n"/>
      <c r="W921" s="176" t="n"/>
      <c r="X921" s="176" t="n"/>
      <c r="Y921" s="176" t="n"/>
      <c r="Z921" s="176" t="n"/>
      <c r="AA921" s="176" t="n"/>
      <c r="AB921" s="176" t="n"/>
    </row>
    <row r="922">
      <c r="A922" s="176" t="n"/>
      <c r="B922" s="176" t="n"/>
      <c r="C922" s="176" t="n"/>
      <c r="D922" s="176" t="n"/>
      <c r="E922" s="176" t="n"/>
      <c r="F922" s="213" t="n"/>
      <c r="G922" s="213" t="n"/>
      <c r="H922" s="213" t="n"/>
      <c r="I922" s="213" t="n"/>
      <c r="J922" s="213" t="n"/>
      <c r="K922" s="186" t="n"/>
      <c r="L922" s="176" t="n"/>
      <c r="M922" s="176" t="n"/>
      <c r="N922" s="176" t="n"/>
      <c r="O922" s="176" t="n"/>
      <c r="P922" s="176" t="n"/>
      <c r="Q922" s="176" t="n"/>
      <c r="R922" s="176" t="n"/>
      <c r="S922" s="176" t="n"/>
      <c r="T922" s="176" t="n"/>
      <c r="U922" s="176" t="n"/>
      <c r="V922" s="176" t="n"/>
      <c r="W922" s="176" t="n"/>
      <c r="X922" s="176" t="n"/>
      <c r="Y922" s="176" t="n"/>
      <c r="Z922" s="176" t="n"/>
      <c r="AA922" s="176" t="n"/>
      <c r="AB922" s="176" t="n"/>
    </row>
    <row r="923">
      <c r="A923" s="176" t="n"/>
      <c r="B923" s="176" t="n"/>
      <c r="C923" s="176" t="n"/>
      <c r="D923" s="176" t="n"/>
      <c r="E923" s="176" t="n"/>
      <c r="F923" s="213" t="n"/>
      <c r="G923" s="213" t="n"/>
      <c r="H923" s="213" t="n"/>
      <c r="I923" s="213" t="n"/>
      <c r="J923" s="213" t="n"/>
      <c r="K923" s="186" t="n"/>
      <c r="L923" s="176" t="n"/>
      <c r="M923" s="176" t="n"/>
      <c r="N923" s="176" t="n"/>
      <c r="O923" s="176" t="n"/>
      <c r="P923" s="176" t="n"/>
      <c r="Q923" s="176" t="n"/>
      <c r="R923" s="176" t="n"/>
      <c r="S923" s="176" t="n"/>
      <c r="T923" s="176" t="n"/>
      <c r="U923" s="176" t="n"/>
      <c r="V923" s="176" t="n"/>
      <c r="W923" s="176" t="n"/>
      <c r="X923" s="176" t="n"/>
      <c r="Y923" s="176" t="n"/>
      <c r="Z923" s="176" t="n"/>
      <c r="AA923" s="176" t="n"/>
      <c r="AB923" s="176" t="n"/>
    </row>
    <row r="924">
      <c r="A924" s="176" t="n"/>
      <c r="B924" s="176" t="n"/>
      <c r="C924" s="176" t="n"/>
      <c r="D924" s="176" t="n"/>
      <c r="E924" s="176" t="n"/>
      <c r="F924" s="213" t="n"/>
      <c r="G924" s="213" t="n"/>
      <c r="H924" s="213" t="n"/>
      <c r="I924" s="213" t="n"/>
      <c r="J924" s="213" t="n"/>
      <c r="K924" s="186" t="n"/>
      <c r="L924" s="176" t="n"/>
      <c r="M924" s="176" t="n"/>
      <c r="N924" s="176" t="n"/>
      <c r="O924" s="176" t="n"/>
      <c r="P924" s="176" t="n"/>
      <c r="Q924" s="176" t="n"/>
      <c r="R924" s="176" t="n"/>
      <c r="S924" s="176" t="n"/>
      <c r="T924" s="176" t="n"/>
      <c r="U924" s="176" t="n"/>
      <c r="V924" s="176" t="n"/>
      <c r="W924" s="176" t="n"/>
      <c r="X924" s="176" t="n"/>
      <c r="Y924" s="176" t="n"/>
      <c r="Z924" s="176" t="n"/>
      <c r="AA924" s="176" t="n"/>
      <c r="AB924" s="176" t="n"/>
    </row>
    <row r="925">
      <c r="A925" s="176" t="n"/>
      <c r="B925" s="176" t="n"/>
      <c r="C925" s="176" t="n"/>
      <c r="D925" s="176" t="n"/>
      <c r="E925" s="176" t="n"/>
      <c r="F925" s="213" t="n"/>
      <c r="G925" s="213" t="n"/>
      <c r="H925" s="213" t="n"/>
      <c r="I925" s="213" t="n"/>
      <c r="J925" s="213" t="n"/>
      <c r="K925" s="186" t="n"/>
      <c r="L925" s="176" t="n"/>
      <c r="M925" s="176" t="n"/>
      <c r="N925" s="176" t="n"/>
      <c r="O925" s="176" t="n"/>
      <c r="P925" s="176" t="n"/>
      <c r="Q925" s="176" t="n"/>
      <c r="R925" s="176" t="n"/>
      <c r="S925" s="176" t="n"/>
      <c r="T925" s="176" t="n"/>
      <c r="U925" s="176" t="n"/>
      <c r="V925" s="176" t="n"/>
      <c r="W925" s="176" t="n"/>
      <c r="X925" s="176" t="n"/>
      <c r="Y925" s="176" t="n"/>
      <c r="Z925" s="176" t="n"/>
      <c r="AA925" s="176" t="n"/>
      <c r="AB925" s="176" t="n"/>
    </row>
    <row r="926">
      <c r="A926" s="176" t="n"/>
      <c r="B926" s="176" t="n"/>
      <c r="C926" s="176" t="n"/>
      <c r="D926" s="176" t="n"/>
      <c r="E926" s="176" t="n"/>
      <c r="F926" s="213" t="n"/>
      <c r="G926" s="213" t="n"/>
      <c r="H926" s="213" t="n"/>
      <c r="I926" s="213" t="n"/>
      <c r="J926" s="213" t="n"/>
      <c r="K926" s="186" t="n"/>
      <c r="L926" s="176" t="n"/>
      <c r="M926" s="176" t="n"/>
      <c r="N926" s="176" t="n"/>
      <c r="O926" s="176" t="n"/>
      <c r="P926" s="176" t="n"/>
      <c r="Q926" s="176" t="n"/>
      <c r="R926" s="176" t="n"/>
      <c r="S926" s="176" t="n"/>
      <c r="T926" s="176" t="n"/>
      <c r="U926" s="176" t="n"/>
      <c r="V926" s="176" t="n"/>
      <c r="W926" s="176" t="n"/>
      <c r="X926" s="176" t="n"/>
      <c r="Y926" s="176" t="n"/>
      <c r="Z926" s="176" t="n"/>
      <c r="AA926" s="176" t="n"/>
      <c r="AB926" s="176" t="n"/>
    </row>
    <row r="927">
      <c r="A927" s="176" t="n"/>
      <c r="B927" s="176" t="n"/>
      <c r="C927" s="176" t="n"/>
      <c r="D927" s="176" t="n"/>
      <c r="E927" s="176" t="n"/>
      <c r="F927" s="213" t="n"/>
      <c r="G927" s="213" t="n"/>
      <c r="H927" s="213" t="n"/>
      <c r="I927" s="213" t="n"/>
      <c r="J927" s="213" t="n"/>
      <c r="K927" s="186" t="n"/>
      <c r="L927" s="176" t="n"/>
      <c r="M927" s="176" t="n"/>
      <c r="N927" s="176" t="n"/>
      <c r="O927" s="176" t="n"/>
      <c r="P927" s="176" t="n"/>
      <c r="Q927" s="176" t="n"/>
      <c r="R927" s="176" t="n"/>
      <c r="S927" s="176" t="n"/>
      <c r="T927" s="176" t="n"/>
      <c r="U927" s="176" t="n"/>
      <c r="V927" s="176" t="n"/>
      <c r="W927" s="176" t="n"/>
      <c r="X927" s="176" t="n"/>
      <c r="Y927" s="176" t="n"/>
      <c r="Z927" s="176" t="n"/>
      <c r="AA927" s="176" t="n"/>
      <c r="AB927" s="176" t="n"/>
    </row>
    <row r="928">
      <c r="A928" s="176" t="n"/>
      <c r="B928" s="176" t="n"/>
      <c r="C928" s="176" t="n"/>
      <c r="D928" s="176" t="n"/>
      <c r="E928" s="176" t="n"/>
      <c r="F928" s="213" t="n"/>
      <c r="G928" s="213" t="n"/>
      <c r="H928" s="213" t="n"/>
      <c r="I928" s="213" t="n"/>
      <c r="J928" s="213" t="n"/>
      <c r="K928" s="186" t="n"/>
      <c r="L928" s="176" t="n"/>
      <c r="M928" s="176" t="n"/>
      <c r="N928" s="176" t="n"/>
      <c r="O928" s="176" t="n"/>
      <c r="P928" s="176" t="n"/>
      <c r="Q928" s="176" t="n"/>
      <c r="R928" s="176" t="n"/>
      <c r="S928" s="176" t="n"/>
      <c r="T928" s="176" t="n"/>
      <c r="U928" s="176" t="n"/>
      <c r="V928" s="176" t="n"/>
      <c r="W928" s="176" t="n"/>
      <c r="X928" s="176" t="n"/>
      <c r="Y928" s="176" t="n"/>
      <c r="Z928" s="176" t="n"/>
      <c r="AA928" s="176" t="n"/>
      <c r="AB928" s="176" t="n"/>
    </row>
    <row r="929">
      <c r="A929" s="176" t="n"/>
      <c r="B929" s="176" t="n"/>
      <c r="C929" s="176" t="n"/>
      <c r="D929" s="176" t="n"/>
      <c r="E929" s="176" t="n"/>
      <c r="F929" s="213" t="n"/>
      <c r="G929" s="213" t="n"/>
      <c r="H929" s="213" t="n"/>
      <c r="I929" s="213" t="n"/>
      <c r="J929" s="213" t="n"/>
      <c r="K929" s="186" t="n"/>
      <c r="L929" s="176" t="n"/>
      <c r="M929" s="176" t="n"/>
      <c r="N929" s="176" t="n"/>
      <c r="O929" s="176" t="n"/>
      <c r="P929" s="176" t="n"/>
      <c r="Q929" s="176" t="n"/>
      <c r="R929" s="176" t="n"/>
      <c r="S929" s="176" t="n"/>
      <c r="T929" s="176" t="n"/>
      <c r="U929" s="176" t="n"/>
      <c r="V929" s="176" t="n"/>
      <c r="W929" s="176" t="n"/>
      <c r="X929" s="176" t="n"/>
      <c r="Y929" s="176" t="n"/>
      <c r="Z929" s="176" t="n"/>
      <c r="AA929" s="176" t="n"/>
      <c r="AB929" s="176" t="n"/>
    </row>
    <row r="930">
      <c r="A930" s="176" t="n"/>
      <c r="B930" s="176" t="n"/>
      <c r="C930" s="176" t="n"/>
      <c r="D930" s="176" t="n"/>
      <c r="E930" s="176" t="n"/>
      <c r="F930" s="213" t="n"/>
      <c r="G930" s="213" t="n"/>
      <c r="H930" s="213" t="n"/>
      <c r="I930" s="213" t="n"/>
      <c r="J930" s="213" t="n"/>
      <c r="K930" s="186" t="n"/>
      <c r="L930" s="176" t="n"/>
      <c r="M930" s="176" t="n"/>
      <c r="N930" s="176" t="n"/>
      <c r="O930" s="176" t="n"/>
      <c r="P930" s="176" t="n"/>
      <c r="Q930" s="176" t="n"/>
      <c r="R930" s="176" t="n"/>
      <c r="S930" s="176" t="n"/>
      <c r="T930" s="176" t="n"/>
      <c r="U930" s="176" t="n"/>
      <c r="V930" s="176" t="n"/>
      <c r="W930" s="176" t="n"/>
      <c r="X930" s="176" t="n"/>
      <c r="Y930" s="176" t="n"/>
      <c r="Z930" s="176" t="n"/>
      <c r="AA930" s="176" t="n"/>
      <c r="AB930" s="176" t="n"/>
    </row>
    <row r="931">
      <c r="A931" s="176" t="n"/>
      <c r="B931" s="176" t="n"/>
      <c r="C931" s="176" t="n"/>
      <c r="D931" s="176" t="n"/>
      <c r="E931" s="176" t="n"/>
      <c r="F931" s="213" t="n"/>
      <c r="G931" s="213" t="n"/>
      <c r="H931" s="213" t="n"/>
      <c r="I931" s="213" t="n"/>
      <c r="J931" s="213" t="n"/>
      <c r="K931" s="186" t="n"/>
      <c r="L931" s="176" t="n"/>
      <c r="M931" s="176" t="n"/>
      <c r="N931" s="176" t="n"/>
      <c r="O931" s="176" t="n"/>
      <c r="P931" s="176" t="n"/>
      <c r="Q931" s="176" t="n"/>
      <c r="R931" s="176" t="n"/>
      <c r="S931" s="176" t="n"/>
      <c r="T931" s="176" t="n"/>
      <c r="U931" s="176" t="n"/>
      <c r="V931" s="176" t="n"/>
      <c r="W931" s="176" t="n"/>
      <c r="X931" s="176" t="n"/>
      <c r="Y931" s="176" t="n"/>
      <c r="Z931" s="176" t="n"/>
      <c r="AA931" s="176" t="n"/>
      <c r="AB931" s="176" t="n"/>
    </row>
    <row r="932">
      <c r="A932" s="176" t="n"/>
      <c r="B932" s="176" t="n"/>
      <c r="C932" s="176" t="n"/>
      <c r="D932" s="176" t="n"/>
      <c r="E932" s="176" t="n"/>
      <c r="F932" s="213" t="n"/>
      <c r="G932" s="213" t="n"/>
      <c r="H932" s="213" t="n"/>
      <c r="I932" s="213" t="n"/>
      <c r="J932" s="213" t="n"/>
      <c r="K932" s="186" t="n"/>
      <c r="L932" s="176" t="n"/>
      <c r="M932" s="176" t="n"/>
      <c r="N932" s="176" t="n"/>
      <c r="O932" s="176" t="n"/>
      <c r="P932" s="176" t="n"/>
      <c r="Q932" s="176" t="n"/>
      <c r="R932" s="176" t="n"/>
      <c r="S932" s="176" t="n"/>
      <c r="T932" s="176" t="n"/>
      <c r="U932" s="176" t="n"/>
      <c r="V932" s="176" t="n"/>
      <c r="W932" s="176" t="n"/>
      <c r="X932" s="176" t="n"/>
      <c r="Y932" s="176" t="n"/>
      <c r="Z932" s="176" t="n"/>
      <c r="AA932" s="176" t="n"/>
      <c r="AB932" s="176" t="n"/>
    </row>
    <row r="933">
      <c r="A933" s="176" t="n"/>
      <c r="B933" s="176" t="n"/>
      <c r="C933" s="176" t="n"/>
      <c r="D933" s="176" t="n"/>
      <c r="E933" s="176" t="n"/>
      <c r="F933" s="213" t="n"/>
      <c r="G933" s="213" t="n"/>
      <c r="H933" s="213" t="n"/>
      <c r="I933" s="213" t="n"/>
      <c r="J933" s="213" t="n"/>
      <c r="K933" s="186" t="n"/>
      <c r="L933" s="176" t="n"/>
      <c r="M933" s="176" t="n"/>
      <c r="N933" s="176" t="n"/>
      <c r="O933" s="176" t="n"/>
      <c r="P933" s="176" t="n"/>
      <c r="Q933" s="176" t="n"/>
      <c r="R933" s="176" t="n"/>
      <c r="S933" s="176" t="n"/>
      <c r="T933" s="176" t="n"/>
      <c r="U933" s="176" t="n"/>
      <c r="V933" s="176" t="n"/>
      <c r="W933" s="176" t="n"/>
      <c r="X933" s="176" t="n"/>
      <c r="Y933" s="176" t="n"/>
      <c r="Z933" s="176" t="n"/>
      <c r="AA933" s="176" t="n"/>
      <c r="AB933" s="176" t="n"/>
    </row>
    <row r="934">
      <c r="A934" s="176" t="n"/>
      <c r="B934" s="176" t="n"/>
      <c r="C934" s="176" t="n"/>
      <c r="D934" s="176" t="n"/>
      <c r="E934" s="176" t="n"/>
      <c r="F934" s="213" t="n"/>
      <c r="G934" s="213" t="n"/>
      <c r="H934" s="213" t="n"/>
      <c r="I934" s="213" t="n"/>
      <c r="J934" s="213" t="n"/>
      <c r="K934" s="186" t="n"/>
      <c r="L934" s="176" t="n"/>
      <c r="M934" s="176" t="n"/>
      <c r="N934" s="176" t="n"/>
      <c r="O934" s="176" t="n"/>
      <c r="P934" s="176" t="n"/>
      <c r="Q934" s="176" t="n"/>
      <c r="R934" s="176" t="n"/>
      <c r="S934" s="176" t="n"/>
      <c r="T934" s="176" t="n"/>
      <c r="U934" s="176" t="n"/>
      <c r="V934" s="176" t="n"/>
      <c r="W934" s="176" t="n"/>
      <c r="X934" s="176" t="n"/>
      <c r="Y934" s="176" t="n"/>
      <c r="Z934" s="176" t="n"/>
      <c r="AA934" s="176" t="n"/>
      <c r="AB934" s="176" t="n"/>
    </row>
    <row r="935">
      <c r="A935" s="176" t="n"/>
      <c r="B935" s="176" t="n"/>
      <c r="C935" s="176" t="n"/>
      <c r="D935" s="176" t="n"/>
      <c r="E935" s="176" t="n"/>
      <c r="F935" s="213" t="n"/>
      <c r="G935" s="213" t="n"/>
      <c r="H935" s="213" t="n"/>
      <c r="I935" s="213" t="n"/>
      <c r="J935" s="213" t="n"/>
      <c r="K935" s="186" t="n"/>
      <c r="L935" s="176" t="n"/>
      <c r="M935" s="176" t="n"/>
      <c r="N935" s="176" t="n"/>
      <c r="O935" s="176" t="n"/>
      <c r="P935" s="176" t="n"/>
      <c r="Q935" s="176" t="n"/>
      <c r="R935" s="176" t="n"/>
      <c r="S935" s="176" t="n"/>
      <c r="T935" s="176" t="n"/>
      <c r="U935" s="176" t="n"/>
      <c r="V935" s="176" t="n"/>
      <c r="W935" s="176" t="n"/>
      <c r="X935" s="176" t="n"/>
      <c r="Y935" s="176" t="n"/>
      <c r="Z935" s="176" t="n"/>
      <c r="AA935" s="176" t="n"/>
      <c r="AB935" s="176" t="n"/>
    </row>
    <row r="936">
      <c r="A936" s="176" t="n"/>
      <c r="B936" s="176" t="n"/>
      <c r="C936" s="176" t="n"/>
      <c r="D936" s="176" t="n"/>
      <c r="E936" s="176" t="n"/>
      <c r="F936" s="213" t="n"/>
      <c r="G936" s="213" t="n"/>
      <c r="H936" s="213" t="n"/>
      <c r="I936" s="213" t="n"/>
      <c r="J936" s="213" t="n"/>
      <c r="K936" s="186" t="n"/>
      <c r="L936" s="176" t="n"/>
      <c r="M936" s="176" t="n"/>
      <c r="N936" s="176" t="n"/>
      <c r="O936" s="176" t="n"/>
      <c r="P936" s="176" t="n"/>
      <c r="Q936" s="176" t="n"/>
      <c r="R936" s="176" t="n"/>
      <c r="S936" s="176" t="n"/>
      <c r="T936" s="176" t="n"/>
      <c r="U936" s="176" t="n"/>
      <c r="V936" s="176" t="n"/>
      <c r="W936" s="176" t="n"/>
      <c r="X936" s="176" t="n"/>
      <c r="Y936" s="176" t="n"/>
      <c r="Z936" s="176" t="n"/>
      <c r="AA936" s="176" t="n"/>
      <c r="AB936" s="176" t="n"/>
    </row>
    <row r="937">
      <c r="A937" s="176" t="n"/>
      <c r="B937" s="176" t="n"/>
      <c r="C937" s="176" t="n"/>
      <c r="D937" s="176" t="n"/>
      <c r="E937" s="176" t="n"/>
      <c r="F937" s="213" t="n"/>
      <c r="G937" s="213" t="n"/>
      <c r="H937" s="213" t="n"/>
      <c r="I937" s="213" t="n"/>
      <c r="J937" s="213" t="n"/>
      <c r="K937" s="186" t="n"/>
      <c r="L937" s="176" t="n"/>
      <c r="M937" s="176" t="n"/>
      <c r="N937" s="176" t="n"/>
      <c r="O937" s="176" t="n"/>
      <c r="P937" s="176" t="n"/>
      <c r="Q937" s="176" t="n"/>
      <c r="R937" s="176" t="n"/>
      <c r="S937" s="176" t="n"/>
      <c r="T937" s="176" t="n"/>
      <c r="U937" s="176" t="n"/>
      <c r="V937" s="176" t="n"/>
      <c r="W937" s="176" t="n"/>
      <c r="X937" s="176" t="n"/>
      <c r="Y937" s="176" t="n"/>
      <c r="Z937" s="176" t="n"/>
      <c r="AA937" s="176" t="n"/>
      <c r="AB937" s="176" t="n"/>
    </row>
    <row r="938">
      <c r="A938" s="176" t="n"/>
      <c r="B938" s="176" t="n"/>
      <c r="C938" s="176" t="n"/>
      <c r="D938" s="176" t="n"/>
      <c r="E938" s="176" t="n"/>
      <c r="F938" s="213" t="n"/>
      <c r="G938" s="213" t="n"/>
      <c r="H938" s="213" t="n"/>
      <c r="I938" s="213" t="n"/>
      <c r="J938" s="213" t="n"/>
      <c r="K938" s="186" t="n"/>
      <c r="L938" s="176" t="n"/>
      <c r="M938" s="176" t="n"/>
      <c r="N938" s="176" t="n"/>
      <c r="O938" s="176" t="n"/>
      <c r="P938" s="176" t="n"/>
      <c r="Q938" s="176" t="n"/>
      <c r="R938" s="176" t="n"/>
      <c r="S938" s="176" t="n"/>
      <c r="T938" s="176" t="n"/>
      <c r="U938" s="176" t="n"/>
      <c r="V938" s="176" t="n"/>
      <c r="W938" s="176" t="n"/>
      <c r="X938" s="176" t="n"/>
      <c r="Y938" s="176" t="n"/>
      <c r="Z938" s="176" t="n"/>
      <c r="AA938" s="176" t="n"/>
      <c r="AB938" s="176" t="n"/>
    </row>
    <row r="939">
      <c r="A939" s="176" t="n"/>
      <c r="B939" s="176" t="n"/>
      <c r="C939" s="176" t="n"/>
      <c r="D939" s="176" t="n"/>
      <c r="E939" s="176" t="n"/>
      <c r="F939" s="213" t="n"/>
      <c r="G939" s="213" t="n"/>
      <c r="H939" s="213" t="n"/>
      <c r="I939" s="213" t="n"/>
      <c r="J939" s="213" t="n"/>
      <c r="K939" s="186" t="n"/>
      <c r="L939" s="176" t="n"/>
      <c r="M939" s="176" t="n"/>
      <c r="N939" s="176" t="n"/>
      <c r="O939" s="176" t="n"/>
      <c r="P939" s="176" t="n"/>
      <c r="Q939" s="176" t="n"/>
      <c r="R939" s="176" t="n"/>
      <c r="S939" s="176" t="n"/>
      <c r="T939" s="176" t="n"/>
      <c r="U939" s="176" t="n"/>
      <c r="V939" s="176" t="n"/>
      <c r="W939" s="176" t="n"/>
      <c r="X939" s="176" t="n"/>
      <c r="Y939" s="176" t="n"/>
      <c r="Z939" s="176" t="n"/>
      <c r="AA939" s="176" t="n"/>
      <c r="AB939" s="176" t="n"/>
    </row>
    <row r="940">
      <c r="A940" s="176" t="n"/>
      <c r="B940" s="176" t="n"/>
      <c r="C940" s="176" t="n"/>
      <c r="D940" s="176" t="n"/>
      <c r="E940" s="176" t="n"/>
      <c r="F940" s="213" t="n"/>
      <c r="G940" s="213" t="n"/>
      <c r="H940" s="213" t="n"/>
      <c r="I940" s="213" t="n"/>
      <c r="J940" s="213" t="n"/>
      <c r="K940" s="186" t="n"/>
      <c r="L940" s="176" t="n"/>
      <c r="M940" s="176" t="n"/>
      <c r="N940" s="176" t="n"/>
      <c r="O940" s="176" t="n"/>
      <c r="P940" s="176" t="n"/>
      <c r="Q940" s="176" t="n"/>
      <c r="R940" s="176" t="n"/>
      <c r="S940" s="176" t="n"/>
      <c r="T940" s="176" t="n"/>
      <c r="U940" s="176" t="n"/>
      <c r="V940" s="176" t="n"/>
      <c r="W940" s="176" t="n"/>
      <c r="X940" s="176" t="n"/>
      <c r="Y940" s="176" t="n"/>
      <c r="Z940" s="176" t="n"/>
      <c r="AA940" s="176" t="n"/>
      <c r="AB940" s="176" t="n"/>
    </row>
    <row r="941">
      <c r="A941" s="176" t="n"/>
      <c r="B941" s="176" t="n"/>
      <c r="C941" s="176" t="n"/>
      <c r="D941" s="176" t="n"/>
      <c r="E941" s="176" t="n"/>
      <c r="F941" s="213" t="n"/>
      <c r="G941" s="213" t="n"/>
      <c r="H941" s="213" t="n"/>
      <c r="I941" s="213" t="n"/>
      <c r="J941" s="213" t="n"/>
      <c r="K941" s="186" t="n"/>
      <c r="L941" s="176" t="n"/>
      <c r="M941" s="176" t="n"/>
      <c r="N941" s="176" t="n"/>
      <c r="O941" s="176" t="n"/>
      <c r="P941" s="176" t="n"/>
      <c r="Q941" s="176" t="n"/>
      <c r="R941" s="176" t="n"/>
      <c r="S941" s="176" t="n"/>
      <c r="T941" s="176" t="n"/>
      <c r="U941" s="176" t="n"/>
      <c r="V941" s="176" t="n"/>
      <c r="W941" s="176" t="n"/>
      <c r="X941" s="176" t="n"/>
      <c r="Y941" s="176" t="n"/>
      <c r="Z941" s="176" t="n"/>
      <c r="AA941" s="176" t="n"/>
      <c r="AB941" s="176" t="n"/>
    </row>
    <row r="942">
      <c r="A942" s="176" t="n"/>
      <c r="B942" s="176" t="n"/>
      <c r="C942" s="176" t="n"/>
      <c r="D942" s="176" t="n"/>
      <c r="E942" s="176" t="n"/>
      <c r="F942" s="213" t="n"/>
      <c r="G942" s="213" t="n"/>
      <c r="H942" s="213" t="n"/>
      <c r="I942" s="213" t="n"/>
      <c r="J942" s="213" t="n"/>
      <c r="K942" s="186" t="n"/>
      <c r="L942" s="176" t="n"/>
      <c r="M942" s="176" t="n"/>
      <c r="N942" s="176" t="n"/>
      <c r="O942" s="176" t="n"/>
      <c r="P942" s="176" t="n"/>
      <c r="Q942" s="176" t="n"/>
      <c r="R942" s="176" t="n"/>
      <c r="S942" s="176" t="n"/>
      <c r="T942" s="176" t="n"/>
      <c r="U942" s="176" t="n"/>
      <c r="V942" s="176" t="n"/>
      <c r="W942" s="176" t="n"/>
      <c r="X942" s="176" t="n"/>
      <c r="Y942" s="176" t="n"/>
      <c r="Z942" s="176" t="n"/>
      <c r="AA942" s="176" t="n"/>
      <c r="AB942" s="176" t="n"/>
    </row>
    <row r="943">
      <c r="A943" s="176" t="n"/>
      <c r="B943" s="176" t="n"/>
      <c r="C943" s="176" t="n"/>
      <c r="D943" s="176" t="n"/>
      <c r="E943" s="176" t="n"/>
      <c r="F943" s="213" t="n"/>
      <c r="G943" s="213" t="n"/>
      <c r="H943" s="213" t="n"/>
      <c r="I943" s="213" t="n"/>
      <c r="J943" s="213" t="n"/>
      <c r="K943" s="186" t="n"/>
      <c r="L943" s="176" t="n"/>
      <c r="M943" s="176" t="n"/>
      <c r="N943" s="176" t="n"/>
      <c r="O943" s="176" t="n"/>
      <c r="P943" s="176" t="n"/>
      <c r="Q943" s="176" t="n"/>
      <c r="R943" s="176" t="n"/>
      <c r="S943" s="176" t="n"/>
      <c r="T943" s="176" t="n"/>
      <c r="U943" s="176" t="n"/>
      <c r="V943" s="176" t="n"/>
      <c r="W943" s="176" t="n"/>
      <c r="X943" s="176" t="n"/>
      <c r="Y943" s="176" t="n"/>
      <c r="Z943" s="176" t="n"/>
      <c r="AA943" s="176" t="n"/>
      <c r="AB943" s="176" t="n"/>
    </row>
    <row r="944">
      <c r="A944" s="176" t="n"/>
      <c r="B944" s="176" t="n"/>
      <c r="C944" s="176" t="n"/>
      <c r="D944" s="176" t="n"/>
      <c r="E944" s="176" t="n"/>
      <c r="F944" s="213" t="n"/>
      <c r="G944" s="213" t="n"/>
      <c r="H944" s="213" t="n"/>
      <c r="I944" s="213" t="n"/>
      <c r="J944" s="213" t="n"/>
      <c r="K944" s="186" t="n"/>
      <c r="L944" s="176" t="n"/>
      <c r="M944" s="176" t="n"/>
      <c r="N944" s="176" t="n"/>
      <c r="O944" s="176" t="n"/>
      <c r="P944" s="176" t="n"/>
      <c r="Q944" s="176" t="n"/>
      <c r="R944" s="176" t="n"/>
      <c r="S944" s="176" t="n"/>
      <c r="T944" s="176" t="n"/>
      <c r="U944" s="176" t="n"/>
      <c r="V944" s="176" t="n"/>
      <c r="W944" s="176" t="n"/>
      <c r="X944" s="176" t="n"/>
      <c r="Y944" s="176" t="n"/>
      <c r="Z944" s="176" t="n"/>
      <c r="AA944" s="176" t="n"/>
      <c r="AB944" s="176" t="n"/>
    </row>
    <row r="945">
      <c r="A945" s="176" t="n"/>
      <c r="B945" s="176" t="n"/>
      <c r="C945" s="176" t="n"/>
      <c r="D945" s="176" t="n"/>
      <c r="E945" s="176" t="n"/>
      <c r="F945" s="213" t="n"/>
      <c r="G945" s="213" t="n"/>
      <c r="H945" s="213" t="n"/>
      <c r="I945" s="213" t="n"/>
      <c r="J945" s="213" t="n"/>
      <c r="K945" s="186" t="n"/>
      <c r="L945" s="176" t="n"/>
      <c r="M945" s="176" t="n"/>
      <c r="N945" s="176" t="n"/>
      <c r="O945" s="176" t="n"/>
      <c r="P945" s="176" t="n"/>
      <c r="Q945" s="176" t="n"/>
      <c r="R945" s="176" t="n"/>
      <c r="S945" s="176" t="n"/>
      <c r="T945" s="176" t="n"/>
      <c r="U945" s="176" t="n"/>
      <c r="V945" s="176" t="n"/>
      <c r="W945" s="176" t="n"/>
      <c r="X945" s="176" t="n"/>
      <c r="Y945" s="176" t="n"/>
      <c r="Z945" s="176" t="n"/>
      <c r="AA945" s="176" t="n"/>
      <c r="AB945" s="176" t="n"/>
    </row>
    <row r="946">
      <c r="A946" s="176" t="n"/>
      <c r="B946" s="176" t="n"/>
      <c r="C946" s="176" t="n"/>
      <c r="D946" s="176" t="n"/>
      <c r="E946" s="176" t="n"/>
      <c r="F946" s="213" t="n"/>
      <c r="G946" s="213" t="n"/>
      <c r="H946" s="213" t="n"/>
      <c r="I946" s="213" t="n"/>
      <c r="J946" s="213" t="n"/>
      <c r="K946" s="186" t="n"/>
      <c r="L946" s="176" t="n"/>
      <c r="M946" s="176" t="n"/>
      <c r="N946" s="176" t="n"/>
      <c r="O946" s="176" t="n"/>
      <c r="P946" s="176" t="n"/>
      <c r="Q946" s="176" t="n"/>
      <c r="R946" s="176" t="n"/>
      <c r="S946" s="176" t="n"/>
      <c r="T946" s="176" t="n"/>
      <c r="U946" s="176" t="n"/>
      <c r="V946" s="176" t="n"/>
      <c r="W946" s="176" t="n"/>
      <c r="X946" s="176" t="n"/>
      <c r="Y946" s="176" t="n"/>
      <c r="Z946" s="176" t="n"/>
      <c r="AA946" s="176" t="n"/>
      <c r="AB946" s="176" t="n"/>
    </row>
    <row r="947">
      <c r="A947" s="176" t="n"/>
      <c r="B947" s="176" t="n"/>
      <c r="C947" s="176" t="n"/>
      <c r="D947" s="176" t="n"/>
      <c r="E947" s="176" t="n"/>
      <c r="F947" s="213" t="n"/>
      <c r="G947" s="213" t="n"/>
      <c r="H947" s="213" t="n"/>
      <c r="I947" s="213" t="n"/>
      <c r="J947" s="213" t="n"/>
      <c r="K947" s="186" t="n"/>
      <c r="L947" s="176" t="n"/>
      <c r="M947" s="176" t="n"/>
      <c r="N947" s="176" t="n"/>
      <c r="O947" s="176" t="n"/>
      <c r="P947" s="176" t="n"/>
      <c r="Q947" s="176" t="n"/>
      <c r="R947" s="176" t="n"/>
      <c r="S947" s="176" t="n"/>
      <c r="T947" s="176" t="n"/>
      <c r="U947" s="176" t="n"/>
      <c r="V947" s="176" t="n"/>
      <c r="W947" s="176" t="n"/>
      <c r="X947" s="176" t="n"/>
      <c r="Y947" s="176" t="n"/>
      <c r="Z947" s="176" t="n"/>
      <c r="AA947" s="176" t="n"/>
      <c r="AB947" s="176" t="n"/>
    </row>
    <row r="948">
      <c r="A948" s="176" t="n"/>
      <c r="B948" s="176" t="n"/>
      <c r="C948" s="176" t="n"/>
      <c r="D948" s="176" t="n"/>
      <c r="E948" s="176" t="n"/>
      <c r="F948" s="213" t="n"/>
      <c r="G948" s="213" t="n"/>
      <c r="H948" s="213" t="n"/>
      <c r="I948" s="213" t="n"/>
      <c r="J948" s="213" t="n"/>
      <c r="K948" s="186" t="n"/>
      <c r="L948" s="176" t="n"/>
      <c r="M948" s="176" t="n"/>
      <c r="N948" s="176" t="n"/>
      <c r="O948" s="176" t="n"/>
      <c r="P948" s="176" t="n"/>
      <c r="Q948" s="176" t="n"/>
      <c r="R948" s="176" t="n"/>
      <c r="S948" s="176" t="n"/>
      <c r="T948" s="176" t="n"/>
      <c r="U948" s="176" t="n"/>
      <c r="V948" s="176" t="n"/>
      <c r="W948" s="176" t="n"/>
      <c r="X948" s="176" t="n"/>
      <c r="Y948" s="176" t="n"/>
      <c r="Z948" s="176" t="n"/>
      <c r="AA948" s="176" t="n"/>
      <c r="AB948" s="176" t="n"/>
    </row>
    <row r="949">
      <c r="A949" s="176" t="n"/>
      <c r="B949" s="176" t="n"/>
      <c r="C949" s="176" t="n"/>
      <c r="D949" s="176" t="n"/>
      <c r="E949" s="176" t="n"/>
      <c r="F949" s="213" t="n"/>
      <c r="G949" s="213" t="n"/>
      <c r="H949" s="213" t="n"/>
      <c r="I949" s="213" t="n"/>
      <c r="J949" s="213" t="n"/>
      <c r="K949" s="186" t="n"/>
      <c r="L949" s="176" t="n"/>
      <c r="M949" s="176" t="n"/>
      <c r="N949" s="176" t="n"/>
      <c r="O949" s="176" t="n"/>
      <c r="P949" s="176" t="n"/>
      <c r="Q949" s="176" t="n"/>
      <c r="R949" s="176" t="n"/>
      <c r="S949" s="176" t="n"/>
      <c r="T949" s="176" t="n"/>
      <c r="U949" s="176" t="n"/>
      <c r="V949" s="176" t="n"/>
      <c r="W949" s="176" t="n"/>
      <c r="X949" s="176" t="n"/>
      <c r="Y949" s="176" t="n"/>
      <c r="Z949" s="176" t="n"/>
      <c r="AA949" s="176" t="n"/>
      <c r="AB949" s="176" t="n"/>
    </row>
    <row r="950">
      <c r="A950" s="176" t="n"/>
      <c r="B950" s="176" t="n"/>
      <c r="C950" s="176" t="n"/>
      <c r="D950" s="176" t="n"/>
      <c r="E950" s="176" t="n"/>
      <c r="F950" s="213" t="n"/>
      <c r="G950" s="213" t="n"/>
      <c r="H950" s="213" t="n"/>
      <c r="I950" s="213" t="n"/>
      <c r="J950" s="213" t="n"/>
      <c r="K950" s="186" t="n"/>
      <c r="L950" s="176" t="n"/>
      <c r="M950" s="176" t="n"/>
      <c r="N950" s="176" t="n"/>
      <c r="O950" s="176" t="n"/>
      <c r="P950" s="176" t="n"/>
      <c r="Q950" s="176" t="n"/>
      <c r="R950" s="176" t="n"/>
      <c r="S950" s="176" t="n"/>
      <c r="T950" s="176" t="n"/>
      <c r="U950" s="176" t="n"/>
      <c r="V950" s="176" t="n"/>
      <c r="W950" s="176" t="n"/>
      <c r="X950" s="176" t="n"/>
      <c r="Y950" s="176" t="n"/>
      <c r="Z950" s="176" t="n"/>
      <c r="AA950" s="176" t="n"/>
      <c r="AB950" s="176" t="n"/>
    </row>
    <row r="951">
      <c r="A951" s="176" t="n"/>
      <c r="B951" s="176" t="n"/>
      <c r="C951" s="176" t="n"/>
      <c r="D951" s="176" t="n"/>
      <c r="E951" s="176" t="n"/>
      <c r="F951" s="213" t="n"/>
      <c r="G951" s="213" t="n"/>
      <c r="H951" s="213" t="n"/>
      <c r="I951" s="213" t="n"/>
      <c r="J951" s="213" t="n"/>
      <c r="K951" s="186" t="n"/>
      <c r="L951" s="176" t="n"/>
      <c r="M951" s="176" t="n"/>
      <c r="N951" s="176" t="n"/>
      <c r="O951" s="176" t="n"/>
      <c r="P951" s="176" t="n"/>
      <c r="Q951" s="176" t="n"/>
      <c r="R951" s="176" t="n"/>
      <c r="S951" s="176" t="n"/>
      <c r="T951" s="176" t="n"/>
      <c r="U951" s="176" t="n"/>
      <c r="V951" s="176" t="n"/>
      <c r="W951" s="176" t="n"/>
      <c r="X951" s="176" t="n"/>
      <c r="Y951" s="176" t="n"/>
      <c r="Z951" s="176" t="n"/>
      <c r="AA951" s="176" t="n"/>
      <c r="AB951" s="176" t="n"/>
    </row>
    <row r="952">
      <c r="A952" s="176" t="n"/>
      <c r="B952" s="176" t="n"/>
      <c r="C952" s="176" t="n"/>
      <c r="D952" s="176" t="n"/>
      <c r="E952" s="176" t="n"/>
      <c r="F952" s="213" t="n"/>
      <c r="G952" s="213" t="n"/>
      <c r="H952" s="213" t="n"/>
      <c r="I952" s="213" t="n"/>
      <c r="J952" s="213" t="n"/>
      <c r="K952" s="186" t="n"/>
      <c r="L952" s="176" t="n"/>
      <c r="M952" s="176" t="n"/>
      <c r="N952" s="176" t="n"/>
      <c r="O952" s="176" t="n"/>
      <c r="P952" s="176" t="n"/>
      <c r="Q952" s="176" t="n"/>
      <c r="R952" s="176" t="n"/>
      <c r="S952" s="176" t="n"/>
      <c r="T952" s="176" t="n"/>
      <c r="U952" s="176" t="n"/>
      <c r="V952" s="176" t="n"/>
      <c r="W952" s="176" t="n"/>
      <c r="X952" s="176" t="n"/>
      <c r="Y952" s="176" t="n"/>
      <c r="Z952" s="176" t="n"/>
      <c r="AA952" s="176" t="n"/>
      <c r="AB952" s="176" t="n"/>
    </row>
    <row r="953">
      <c r="A953" s="176" t="n"/>
      <c r="B953" s="176" t="n"/>
      <c r="C953" s="176" t="n"/>
      <c r="D953" s="176" t="n"/>
      <c r="E953" s="176" t="n"/>
      <c r="F953" s="213" t="n"/>
      <c r="G953" s="213" t="n"/>
      <c r="H953" s="213" t="n"/>
      <c r="I953" s="213" t="n"/>
      <c r="J953" s="213" t="n"/>
      <c r="K953" s="186" t="n"/>
      <c r="L953" s="176" t="n"/>
      <c r="M953" s="176" t="n"/>
      <c r="N953" s="176" t="n"/>
      <c r="O953" s="176" t="n"/>
      <c r="P953" s="176" t="n"/>
      <c r="Q953" s="176" t="n"/>
      <c r="R953" s="176" t="n"/>
      <c r="S953" s="176" t="n"/>
      <c r="T953" s="176" t="n"/>
      <c r="U953" s="176" t="n"/>
      <c r="V953" s="176" t="n"/>
      <c r="W953" s="176" t="n"/>
      <c r="X953" s="176" t="n"/>
      <c r="Y953" s="176" t="n"/>
      <c r="Z953" s="176" t="n"/>
      <c r="AA953" s="176" t="n"/>
      <c r="AB953" s="176" t="n"/>
    </row>
    <row r="954">
      <c r="A954" s="176" t="n"/>
      <c r="B954" s="176" t="n"/>
      <c r="C954" s="176" t="n"/>
      <c r="D954" s="176" t="n"/>
      <c r="E954" s="176" t="n"/>
      <c r="F954" s="213" t="n"/>
      <c r="G954" s="213" t="n"/>
      <c r="H954" s="213" t="n"/>
      <c r="I954" s="213" t="n"/>
      <c r="J954" s="213" t="n"/>
      <c r="K954" s="186" t="n"/>
      <c r="L954" s="176" t="n"/>
      <c r="M954" s="176" t="n"/>
      <c r="N954" s="176" t="n"/>
      <c r="O954" s="176" t="n"/>
      <c r="P954" s="176" t="n"/>
      <c r="Q954" s="176" t="n"/>
      <c r="R954" s="176" t="n"/>
      <c r="S954" s="176" t="n"/>
      <c r="T954" s="176" t="n"/>
      <c r="U954" s="176" t="n"/>
      <c r="V954" s="176" t="n"/>
      <c r="W954" s="176" t="n"/>
      <c r="X954" s="176" t="n"/>
      <c r="Y954" s="176" t="n"/>
      <c r="Z954" s="176" t="n"/>
      <c r="AA954" s="176" t="n"/>
      <c r="AB954" s="176" t="n"/>
    </row>
    <row r="955">
      <c r="A955" s="176" t="n"/>
      <c r="B955" s="176" t="n"/>
      <c r="C955" s="176" t="n"/>
      <c r="D955" s="176" t="n"/>
      <c r="E955" s="176" t="n"/>
      <c r="F955" s="213" t="n"/>
      <c r="G955" s="213" t="n"/>
      <c r="H955" s="213" t="n"/>
      <c r="I955" s="213" t="n"/>
      <c r="J955" s="213" t="n"/>
      <c r="K955" s="186" t="n"/>
      <c r="L955" s="176" t="n"/>
      <c r="M955" s="176" t="n"/>
      <c r="N955" s="176" t="n"/>
      <c r="O955" s="176" t="n"/>
      <c r="P955" s="176" t="n"/>
      <c r="Q955" s="176" t="n"/>
      <c r="R955" s="176" t="n"/>
      <c r="S955" s="176" t="n"/>
      <c r="T955" s="176" t="n"/>
      <c r="U955" s="176" t="n"/>
      <c r="V955" s="176" t="n"/>
      <c r="W955" s="176" t="n"/>
      <c r="X955" s="176" t="n"/>
      <c r="Y955" s="176" t="n"/>
      <c r="Z955" s="176" t="n"/>
      <c r="AA955" s="176" t="n"/>
      <c r="AB955" s="176" t="n"/>
    </row>
    <row r="956">
      <c r="A956" s="176" t="n"/>
      <c r="B956" s="176" t="n"/>
      <c r="C956" s="176" t="n"/>
      <c r="D956" s="176" t="n"/>
      <c r="E956" s="176" t="n"/>
      <c r="F956" s="213" t="n"/>
      <c r="G956" s="213" t="n"/>
      <c r="H956" s="213" t="n"/>
      <c r="I956" s="213" t="n"/>
      <c r="J956" s="213" t="n"/>
      <c r="K956" s="186" t="n"/>
      <c r="L956" s="176" t="n"/>
      <c r="M956" s="176" t="n"/>
      <c r="N956" s="176" t="n"/>
      <c r="O956" s="176" t="n"/>
      <c r="P956" s="176" t="n"/>
      <c r="Q956" s="176" t="n"/>
      <c r="R956" s="176" t="n"/>
      <c r="S956" s="176" t="n"/>
      <c r="T956" s="176" t="n"/>
      <c r="U956" s="176" t="n"/>
      <c r="V956" s="176" t="n"/>
      <c r="W956" s="176" t="n"/>
      <c r="X956" s="176" t="n"/>
      <c r="Y956" s="176" t="n"/>
      <c r="Z956" s="176" t="n"/>
      <c r="AA956" s="176" t="n"/>
      <c r="AB956" s="176" t="n"/>
    </row>
    <row r="957">
      <c r="A957" s="176" t="n"/>
      <c r="B957" s="176" t="n"/>
      <c r="C957" s="176" t="n"/>
      <c r="D957" s="176" t="n"/>
      <c r="E957" s="176" t="n"/>
      <c r="F957" s="213" t="n"/>
      <c r="G957" s="213" t="n"/>
      <c r="H957" s="213" t="n"/>
      <c r="I957" s="213" t="n"/>
      <c r="J957" s="213" t="n"/>
      <c r="K957" s="186" t="n"/>
      <c r="L957" s="176" t="n"/>
      <c r="M957" s="176" t="n"/>
      <c r="N957" s="176" t="n"/>
      <c r="O957" s="176" t="n"/>
      <c r="P957" s="176" t="n"/>
      <c r="Q957" s="176" t="n"/>
      <c r="R957" s="176" t="n"/>
      <c r="S957" s="176" t="n"/>
      <c r="T957" s="176" t="n"/>
      <c r="U957" s="176" t="n"/>
      <c r="V957" s="176" t="n"/>
      <c r="W957" s="176" t="n"/>
      <c r="X957" s="176" t="n"/>
      <c r="Y957" s="176" t="n"/>
      <c r="Z957" s="176" t="n"/>
      <c r="AA957" s="176" t="n"/>
      <c r="AB957" s="176" t="n"/>
    </row>
    <row r="958">
      <c r="A958" s="176" t="n"/>
      <c r="B958" s="176" t="n"/>
      <c r="C958" s="176" t="n"/>
      <c r="D958" s="176" t="n"/>
      <c r="E958" s="176" t="n"/>
      <c r="F958" s="213" t="n"/>
      <c r="G958" s="213" t="n"/>
      <c r="H958" s="213" t="n"/>
      <c r="I958" s="213" t="n"/>
      <c r="J958" s="213" t="n"/>
      <c r="K958" s="186" t="n"/>
      <c r="L958" s="176" t="n"/>
      <c r="M958" s="176" t="n"/>
      <c r="N958" s="176" t="n"/>
      <c r="O958" s="176" t="n"/>
      <c r="P958" s="176" t="n"/>
      <c r="Q958" s="176" t="n"/>
      <c r="R958" s="176" t="n"/>
      <c r="S958" s="176" t="n"/>
      <c r="T958" s="176" t="n"/>
      <c r="U958" s="176" t="n"/>
      <c r="V958" s="176" t="n"/>
      <c r="W958" s="176" t="n"/>
      <c r="X958" s="176" t="n"/>
      <c r="Y958" s="176" t="n"/>
      <c r="Z958" s="176" t="n"/>
      <c r="AA958" s="176" t="n"/>
      <c r="AB958" s="176" t="n"/>
    </row>
    <row r="959">
      <c r="A959" s="176" t="n"/>
      <c r="B959" s="176" t="n"/>
      <c r="C959" s="176" t="n"/>
      <c r="D959" s="176" t="n"/>
      <c r="E959" s="176" t="n"/>
      <c r="F959" s="213" t="n"/>
      <c r="G959" s="213" t="n"/>
      <c r="H959" s="213" t="n"/>
      <c r="I959" s="213" t="n"/>
      <c r="J959" s="213" t="n"/>
      <c r="K959" s="186" t="n"/>
      <c r="L959" s="176" t="n"/>
      <c r="M959" s="176" t="n"/>
      <c r="N959" s="176" t="n"/>
      <c r="O959" s="176" t="n"/>
      <c r="P959" s="176" t="n"/>
      <c r="Q959" s="176" t="n"/>
      <c r="R959" s="176" t="n"/>
      <c r="S959" s="176" t="n"/>
      <c r="T959" s="176" t="n"/>
      <c r="U959" s="176" t="n"/>
      <c r="V959" s="176" t="n"/>
      <c r="W959" s="176" t="n"/>
      <c r="X959" s="176" t="n"/>
      <c r="Y959" s="176" t="n"/>
      <c r="Z959" s="176" t="n"/>
      <c r="AA959" s="176" t="n"/>
      <c r="AB959" s="176" t="n"/>
    </row>
    <row r="960">
      <c r="A960" s="176" t="n"/>
      <c r="B960" s="176" t="n"/>
      <c r="C960" s="176" t="n"/>
      <c r="D960" s="176" t="n"/>
      <c r="E960" s="176" t="n"/>
      <c r="F960" s="213" t="n"/>
      <c r="G960" s="213" t="n"/>
      <c r="H960" s="213" t="n"/>
      <c r="I960" s="213" t="n"/>
      <c r="J960" s="213" t="n"/>
      <c r="K960" s="186" t="n"/>
      <c r="L960" s="176" t="n"/>
      <c r="M960" s="176" t="n"/>
      <c r="N960" s="176" t="n"/>
      <c r="O960" s="176" t="n"/>
      <c r="P960" s="176" t="n"/>
      <c r="Q960" s="176" t="n"/>
      <c r="R960" s="176" t="n"/>
      <c r="S960" s="176" t="n"/>
      <c r="T960" s="176" t="n"/>
      <c r="U960" s="176" t="n"/>
      <c r="V960" s="176" t="n"/>
      <c r="W960" s="176" t="n"/>
      <c r="X960" s="176" t="n"/>
      <c r="Y960" s="176" t="n"/>
      <c r="Z960" s="176" t="n"/>
      <c r="AA960" s="176" t="n"/>
      <c r="AB960" s="176" t="n"/>
    </row>
    <row r="961">
      <c r="A961" s="176" t="n"/>
      <c r="B961" s="176" t="n"/>
      <c r="C961" s="176" t="n"/>
      <c r="D961" s="176" t="n"/>
      <c r="E961" s="176" t="n"/>
      <c r="F961" s="213" t="n"/>
      <c r="G961" s="213" t="n"/>
      <c r="H961" s="213" t="n"/>
      <c r="I961" s="213" t="n"/>
      <c r="J961" s="213" t="n"/>
      <c r="K961" s="186" t="n"/>
      <c r="L961" s="176" t="n"/>
      <c r="M961" s="176" t="n"/>
      <c r="N961" s="176" t="n"/>
      <c r="O961" s="176" t="n"/>
      <c r="P961" s="176" t="n"/>
      <c r="Q961" s="176" t="n"/>
      <c r="R961" s="176" t="n"/>
      <c r="S961" s="176" t="n"/>
      <c r="T961" s="176" t="n"/>
      <c r="U961" s="176" t="n"/>
      <c r="V961" s="176" t="n"/>
      <c r="W961" s="176" t="n"/>
      <c r="X961" s="176" t="n"/>
      <c r="Y961" s="176" t="n"/>
      <c r="Z961" s="176" t="n"/>
      <c r="AA961" s="176" t="n"/>
      <c r="AB961" s="176" t="n"/>
    </row>
    <row r="962">
      <c r="A962" s="176" t="n"/>
      <c r="B962" s="176" t="n"/>
      <c r="C962" s="176" t="n"/>
      <c r="D962" s="176" t="n"/>
      <c r="E962" s="176" t="n"/>
      <c r="F962" s="213" t="n"/>
      <c r="G962" s="213" t="n"/>
      <c r="H962" s="213" t="n"/>
      <c r="I962" s="213" t="n"/>
      <c r="J962" s="213" t="n"/>
      <c r="K962" s="186" t="n"/>
      <c r="L962" s="176" t="n"/>
      <c r="M962" s="176" t="n"/>
      <c r="N962" s="176" t="n"/>
      <c r="O962" s="176" t="n"/>
      <c r="P962" s="176" t="n"/>
      <c r="Q962" s="176" t="n"/>
      <c r="R962" s="176" t="n"/>
      <c r="S962" s="176" t="n"/>
      <c r="T962" s="176" t="n"/>
      <c r="U962" s="176" t="n"/>
      <c r="V962" s="176" t="n"/>
      <c r="W962" s="176" t="n"/>
      <c r="X962" s="176" t="n"/>
      <c r="Y962" s="176" t="n"/>
      <c r="Z962" s="176" t="n"/>
      <c r="AA962" s="176" t="n"/>
      <c r="AB962" s="176" t="n"/>
    </row>
    <row r="963">
      <c r="A963" s="176" t="n"/>
      <c r="B963" s="176" t="n"/>
      <c r="C963" s="176" t="n"/>
      <c r="D963" s="176" t="n"/>
      <c r="E963" s="176" t="n"/>
      <c r="F963" s="213" t="n"/>
      <c r="G963" s="213" t="n"/>
      <c r="H963" s="213" t="n"/>
      <c r="I963" s="213" t="n"/>
      <c r="J963" s="213" t="n"/>
      <c r="K963" s="186" t="n"/>
      <c r="L963" s="176" t="n"/>
      <c r="M963" s="176" t="n"/>
      <c r="N963" s="176" t="n"/>
      <c r="O963" s="176" t="n"/>
      <c r="P963" s="176" t="n"/>
      <c r="Q963" s="176" t="n"/>
      <c r="R963" s="176" t="n"/>
      <c r="S963" s="176" t="n"/>
      <c r="T963" s="176" t="n"/>
      <c r="U963" s="176" t="n"/>
      <c r="V963" s="176" t="n"/>
      <c r="W963" s="176" t="n"/>
      <c r="X963" s="176" t="n"/>
      <c r="Y963" s="176" t="n"/>
      <c r="Z963" s="176" t="n"/>
      <c r="AA963" s="176" t="n"/>
      <c r="AB963" s="176" t="n"/>
    </row>
    <row r="964">
      <c r="A964" s="176" t="n"/>
      <c r="B964" s="176" t="n"/>
      <c r="C964" s="176" t="n"/>
      <c r="D964" s="176" t="n"/>
      <c r="E964" s="176" t="n"/>
      <c r="F964" s="213" t="n"/>
      <c r="G964" s="213" t="n"/>
      <c r="H964" s="213" t="n"/>
      <c r="I964" s="213" t="n"/>
      <c r="J964" s="213" t="n"/>
      <c r="K964" s="186" t="n"/>
      <c r="L964" s="176" t="n"/>
      <c r="M964" s="176" t="n"/>
      <c r="N964" s="176" t="n"/>
      <c r="O964" s="176" t="n"/>
      <c r="P964" s="176" t="n"/>
      <c r="Q964" s="176" t="n"/>
      <c r="R964" s="176" t="n"/>
      <c r="S964" s="176" t="n"/>
      <c r="T964" s="176" t="n"/>
      <c r="U964" s="176" t="n"/>
      <c r="V964" s="176" t="n"/>
      <c r="W964" s="176" t="n"/>
      <c r="X964" s="176" t="n"/>
      <c r="Y964" s="176" t="n"/>
      <c r="Z964" s="176" t="n"/>
      <c r="AA964" s="176" t="n"/>
      <c r="AB964" s="176" t="n"/>
    </row>
    <row r="965">
      <c r="A965" s="176" t="n"/>
      <c r="B965" s="176" t="n"/>
      <c r="C965" s="176" t="n"/>
      <c r="D965" s="176" t="n"/>
      <c r="E965" s="176" t="n"/>
      <c r="F965" s="213" t="n"/>
      <c r="G965" s="213" t="n"/>
      <c r="H965" s="213" t="n"/>
      <c r="I965" s="213" t="n"/>
      <c r="J965" s="213" t="n"/>
      <c r="K965" s="186" t="n"/>
      <c r="L965" s="176" t="n"/>
      <c r="M965" s="176" t="n"/>
      <c r="N965" s="176" t="n"/>
      <c r="O965" s="176" t="n"/>
      <c r="P965" s="176" t="n"/>
      <c r="Q965" s="176" t="n"/>
      <c r="R965" s="176" t="n"/>
      <c r="S965" s="176" t="n"/>
      <c r="T965" s="176" t="n"/>
      <c r="U965" s="176" t="n"/>
      <c r="V965" s="176" t="n"/>
      <c r="W965" s="176" t="n"/>
      <c r="X965" s="176" t="n"/>
      <c r="Y965" s="176" t="n"/>
      <c r="Z965" s="176" t="n"/>
      <c r="AA965" s="176" t="n"/>
      <c r="AB965" s="176" t="n"/>
    </row>
    <row r="966">
      <c r="A966" s="176" t="n"/>
      <c r="B966" s="176" t="n"/>
      <c r="C966" s="176" t="n"/>
      <c r="D966" s="176" t="n"/>
      <c r="E966" s="176" t="n"/>
      <c r="F966" s="213" t="n"/>
      <c r="G966" s="213" t="n"/>
      <c r="H966" s="213" t="n"/>
      <c r="I966" s="213" t="n"/>
      <c r="J966" s="213" t="n"/>
      <c r="K966" s="186" t="n"/>
      <c r="L966" s="176" t="n"/>
      <c r="M966" s="176" t="n"/>
      <c r="N966" s="176" t="n"/>
      <c r="O966" s="176" t="n"/>
      <c r="P966" s="176" t="n"/>
      <c r="Q966" s="176" t="n"/>
      <c r="R966" s="176" t="n"/>
      <c r="S966" s="176" t="n"/>
      <c r="T966" s="176" t="n"/>
      <c r="U966" s="176" t="n"/>
      <c r="V966" s="176" t="n"/>
      <c r="W966" s="176" t="n"/>
      <c r="X966" s="176" t="n"/>
      <c r="Y966" s="176" t="n"/>
      <c r="Z966" s="176" t="n"/>
      <c r="AA966" s="176" t="n"/>
      <c r="AB966" s="176" t="n"/>
    </row>
    <row r="967">
      <c r="A967" s="176" t="n"/>
      <c r="B967" s="176" t="n"/>
      <c r="C967" s="176" t="n"/>
      <c r="D967" s="176" t="n"/>
      <c r="E967" s="176" t="n"/>
      <c r="F967" s="213" t="n"/>
      <c r="G967" s="213" t="n"/>
      <c r="H967" s="213" t="n"/>
      <c r="I967" s="213" t="n"/>
      <c r="J967" s="213" t="n"/>
      <c r="K967" s="186" t="n"/>
      <c r="L967" s="176" t="n"/>
      <c r="M967" s="176" t="n"/>
      <c r="N967" s="176" t="n"/>
      <c r="O967" s="176" t="n"/>
      <c r="P967" s="176" t="n"/>
      <c r="Q967" s="176" t="n"/>
      <c r="R967" s="176" t="n"/>
      <c r="S967" s="176" t="n"/>
      <c r="T967" s="176" t="n"/>
      <c r="U967" s="176" t="n"/>
      <c r="V967" s="176" t="n"/>
      <c r="W967" s="176" t="n"/>
      <c r="X967" s="176" t="n"/>
      <c r="Y967" s="176" t="n"/>
      <c r="Z967" s="176" t="n"/>
      <c r="AA967" s="176" t="n"/>
      <c r="AB967" s="176" t="n"/>
    </row>
    <row r="968">
      <c r="A968" s="176" t="n"/>
      <c r="B968" s="176" t="n"/>
      <c r="C968" s="176" t="n"/>
      <c r="D968" s="176" t="n"/>
      <c r="E968" s="176" t="n"/>
      <c r="F968" s="213" t="n"/>
      <c r="G968" s="213" t="n"/>
      <c r="H968" s="213" t="n"/>
      <c r="I968" s="213" t="n"/>
      <c r="J968" s="213" t="n"/>
      <c r="K968" s="186" t="n"/>
      <c r="L968" s="176" t="n"/>
      <c r="M968" s="176" t="n"/>
      <c r="N968" s="176" t="n"/>
      <c r="O968" s="176" t="n"/>
      <c r="P968" s="176" t="n"/>
      <c r="Q968" s="176" t="n"/>
      <c r="R968" s="176" t="n"/>
      <c r="S968" s="176" t="n"/>
      <c r="T968" s="176" t="n"/>
      <c r="U968" s="176" t="n"/>
      <c r="V968" s="176" t="n"/>
      <c r="W968" s="176" t="n"/>
      <c r="X968" s="176" t="n"/>
      <c r="Y968" s="176" t="n"/>
      <c r="Z968" s="176" t="n"/>
      <c r="AA968" s="176" t="n"/>
      <c r="AB968" s="176" t="n"/>
    </row>
    <row r="969">
      <c r="A969" s="176" t="n"/>
      <c r="B969" s="176" t="n"/>
      <c r="C969" s="176" t="n"/>
      <c r="D969" s="176" t="n"/>
      <c r="E969" s="176" t="n"/>
      <c r="F969" s="213" t="n"/>
      <c r="G969" s="213" t="n"/>
      <c r="H969" s="213" t="n"/>
      <c r="I969" s="213" t="n"/>
      <c r="J969" s="213" t="n"/>
      <c r="K969" s="186" t="n"/>
      <c r="L969" s="176" t="n"/>
      <c r="M969" s="176" t="n"/>
      <c r="N969" s="176" t="n"/>
      <c r="O969" s="176" t="n"/>
      <c r="P969" s="176" t="n"/>
      <c r="Q969" s="176" t="n"/>
      <c r="R969" s="176" t="n"/>
      <c r="S969" s="176" t="n"/>
      <c r="T969" s="176" t="n"/>
      <c r="U969" s="176" t="n"/>
      <c r="V969" s="176" t="n"/>
      <c r="W969" s="176" t="n"/>
      <c r="X969" s="176" t="n"/>
      <c r="Y969" s="176" t="n"/>
      <c r="Z969" s="176" t="n"/>
      <c r="AA969" s="176" t="n"/>
      <c r="AB969" s="176" t="n"/>
    </row>
    <row r="970">
      <c r="A970" s="176" t="n"/>
      <c r="B970" s="176" t="n"/>
      <c r="C970" s="176" t="n"/>
      <c r="D970" s="176" t="n"/>
      <c r="E970" s="176" t="n"/>
      <c r="F970" s="213" t="n"/>
      <c r="G970" s="213" t="n"/>
      <c r="H970" s="213" t="n"/>
      <c r="I970" s="213" t="n"/>
      <c r="J970" s="213" t="n"/>
      <c r="K970" s="186" t="n"/>
      <c r="L970" s="176" t="n"/>
      <c r="M970" s="176" t="n"/>
      <c r="N970" s="176" t="n"/>
      <c r="O970" s="176" t="n"/>
      <c r="P970" s="176" t="n"/>
      <c r="Q970" s="176" t="n"/>
      <c r="R970" s="176" t="n"/>
      <c r="S970" s="176" t="n"/>
      <c r="T970" s="176" t="n"/>
      <c r="U970" s="176" t="n"/>
      <c r="V970" s="176" t="n"/>
      <c r="W970" s="176" t="n"/>
      <c r="X970" s="176" t="n"/>
      <c r="Y970" s="176" t="n"/>
      <c r="Z970" s="176" t="n"/>
      <c r="AA970" s="176" t="n"/>
      <c r="AB970" s="176" t="n"/>
    </row>
    <row r="971">
      <c r="A971" s="176" t="n"/>
      <c r="B971" s="176" t="n"/>
      <c r="C971" s="176" t="n"/>
      <c r="D971" s="176" t="n"/>
      <c r="E971" s="176" t="n"/>
      <c r="F971" s="213" t="n"/>
      <c r="G971" s="213" t="n"/>
      <c r="H971" s="213" t="n"/>
      <c r="I971" s="213" t="n"/>
      <c r="J971" s="213" t="n"/>
      <c r="K971" s="186" t="n"/>
      <c r="L971" s="176" t="n"/>
      <c r="M971" s="176" t="n"/>
      <c r="N971" s="176" t="n"/>
      <c r="O971" s="176" t="n"/>
      <c r="P971" s="176" t="n"/>
      <c r="Q971" s="176" t="n"/>
      <c r="R971" s="176" t="n"/>
      <c r="S971" s="176" t="n"/>
      <c r="T971" s="176" t="n"/>
      <c r="U971" s="176" t="n"/>
      <c r="V971" s="176" t="n"/>
      <c r="W971" s="176" t="n"/>
      <c r="X971" s="176" t="n"/>
      <c r="Y971" s="176" t="n"/>
      <c r="Z971" s="176" t="n"/>
      <c r="AA971" s="176" t="n"/>
      <c r="AB971" s="176" t="n"/>
    </row>
    <row r="972">
      <c r="A972" s="176" t="n"/>
      <c r="B972" s="176" t="n"/>
      <c r="C972" s="176" t="n"/>
      <c r="D972" s="176" t="n"/>
      <c r="E972" s="176" t="n"/>
      <c r="F972" s="213" t="n"/>
      <c r="G972" s="213" t="n"/>
      <c r="H972" s="213" t="n"/>
      <c r="I972" s="213" t="n"/>
      <c r="J972" s="213" t="n"/>
      <c r="K972" s="186" t="n"/>
      <c r="L972" s="176" t="n"/>
      <c r="M972" s="176" t="n"/>
      <c r="N972" s="176" t="n"/>
      <c r="O972" s="176" t="n"/>
      <c r="P972" s="176" t="n"/>
      <c r="Q972" s="176" t="n"/>
      <c r="R972" s="176" t="n"/>
      <c r="S972" s="176" t="n"/>
      <c r="T972" s="176" t="n"/>
      <c r="U972" s="176" t="n"/>
      <c r="V972" s="176" t="n"/>
      <c r="W972" s="176" t="n"/>
      <c r="X972" s="176" t="n"/>
      <c r="Y972" s="176" t="n"/>
      <c r="Z972" s="176" t="n"/>
      <c r="AA972" s="176" t="n"/>
      <c r="AB972" s="176" t="n"/>
    </row>
    <row r="973">
      <c r="A973" s="176" t="n"/>
      <c r="B973" s="176" t="n"/>
      <c r="C973" s="176" t="n"/>
      <c r="D973" s="176" t="n"/>
      <c r="E973" s="176" t="n"/>
      <c r="F973" s="213" t="n"/>
      <c r="G973" s="213" t="n"/>
      <c r="H973" s="213" t="n"/>
      <c r="I973" s="213" t="n"/>
      <c r="J973" s="213" t="n"/>
      <c r="K973" s="186" t="n"/>
      <c r="L973" s="176" t="n"/>
      <c r="M973" s="176" t="n"/>
      <c r="N973" s="176" t="n"/>
      <c r="O973" s="176" t="n"/>
      <c r="P973" s="176" t="n"/>
      <c r="Q973" s="176" t="n"/>
      <c r="R973" s="176" t="n"/>
      <c r="S973" s="176" t="n"/>
      <c r="T973" s="176" t="n"/>
      <c r="U973" s="176" t="n"/>
      <c r="V973" s="176" t="n"/>
      <c r="W973" s="176" t="n"/>
      <c r="X973" s="176" t="n"/>
      <c r="Y973" s="176" t="n"/>
      <c r="Z973" s="176" t="n"/>
      <c r="AA973" s="176" t="n"/>
      <c r="AB973" s="176" t="n"/>
    </row>
    <row r="974">
      <c r="A974" s="176" t="n"/>
      <c r="B974" s="176" t="n"/>
      <c r="C974" s="176" t="n"/>
      <c r="D974" s="176" t="n"/>
      <c r="E974" s="176" t="n"/>
      <c r="F974" s="213" t="n"/>
      <c r="G974" s="213" t="n"/>
      <c r="H974" s="213" t="n"/>
      <c r="I974" s="213" t="n"/>
      <c r="J974" s="213" t="n"/>
      <c r="K974" s="186" t="n"/>
      <c r="L974" s="176" t="n"/>
      <c r="M974" s="176" t="n"/>
      <c r="N974" s="176" t="n"/>
      <c r="O974" s="176" t="n"/>
      <c r="P974" s="176" t="n"/>
      <c r="Q974" s="176" t="n"/>
      <c r="R974" s="176" t="n"/>
      <c r="S974" s="176" t="n"/>
      <c r="T974" s="176" t="n"/>
      <c r="U974" s="176" t="n"/>
      <c r="V974" s="176" t="n"/>
      <c r="W974" s="176" t="n"/>
      <c r="X974" s="176" t="n"/>
      <c r="Y974" s="176" t="n"/>
      <c r="Z974" s="176" t="n"/>
      <c r="AA974" s="176" t="n"/>
      <c r="AB974" s="176" t="n"/>
    </row>
    <row r="975">
      <c r="A975" s="176" t="n"/>
      <c r="B975" s="176" t="n"/>
      <c r="C975" s="176" t="n"/>
      <c r="D975" s="176" t="n"/>
      <c r="E975" s="176" t="n"/>
      <c r="F975" s="213" t="n"/>
      <c r="G975" s="213" t="n"/>
      <c r="H975" s="213" t="n"/>
      <c r="I975" s="213" t="n"/>
      <c r="J975" s="213" t="n"/>
      <c r="K975" s="186" t="n"/>
      <c r="L975" s="176" t="n"/>
      <c r="M975" s="176" t="n"/>
      <c r="N975" s="176" t="n"/>
      <c r="O975" s="176" t="n"/>
      <c r="P975" s="176" t="n"/>
      <c r="Q975" s="176" t="n"/>
      <c r="R975" s="176" t="n"/>
      <c r="S975" s="176" t="n"/>
      <c r="T975" s="176" t="n"/>
      <c r="U975" s="176" t="n"/>
      <c r="V975" s="176" t="n"/>
      <c r="W975" s="176" t="n"/>
      <c r="X975" s="176" t="n"/>
      <c r="Y975" s="176" t="n"/>
      <c r="Z975" s="176" t="n"/>
      <c r="AA975" s="176" t="n"/>
      <c r="AB975" s="176" t="n"/>
    </row>
    <row r="976">
      <c r="A976" s="176" t="n"/>
      <c r="B976" s="176" t="n"/>
      <c r="C976" s="176" t="n"/>
      <c r="D976" s="176" t="n"/>
      <c r="E976" s="176" t="n"/>
      <c r="F976" s="213" t="n"/>
      <c r="G976" s="213" t="n"/>
      <c r="H976" s="213" t="n"/>
      <c r="I976" s="213" t="n"/>
      <c r="J976" s="213" t="n"/>
      <c r="K976" s="186" t="n"/>
      <c r="L976" s="176" t="n"/>
      <c r="M976" s="176" t="n"/>
      <c r="N976" s="176" t="n"/>
      <c r="O976" s="176" t="n"/>
      <c r="P976" s="176" t="n"/>
      <c r="Q976" s="176" t="n"/>
      <c r="R976" s="176" t="n"/>
      <c r="S976" s="176" t="n"/>
      <c r="T976" s="176" t="n"/>
      <c r="U976" s="176" t="n"/>
      <c r="V976" s="176" t="n"/>
      <c r="W976" s="176" t="n"/>
      <c r="X976" s="176" t="n"/>
      <c r="Y976" s="176" t="n"/>
      <c r="Z976" s="176" t="n"/>
      <c r="AA976" s="176" t="n"/>
      <c r="AB976" s="176" t="n"/>
    </row>
    <row r="977">
      <c r="A977" s="176" t="n"/>
      <c r="B977" s="176" t="n"/>
      <c r="C977" s="176" t="n"/>
      <c r="D977" s="176" t="n"/>
      <c r="E977" s="176" t="n"/>
      <c r="F977" s="213" t="n"/>
      <c r="G977" s="213" t="n"/>
      <c r="H977" s="213" t="n"/>
      <c r="I977" s="213" t="n"/>
      <c r="J977" s="213" t="n"/>
      <c r="K977" s="186" t="n"/>
      <c r="L977" s="176" t="n"/>
      <c r="M977" s="176" t="n"/>
      <c r="N977" s="176" t="n"/>
      <c r="O977" s="176" t="n"/>
      <c r="P977" s="176" t="n"/>
      <c r="Q977" s="176" t="n"/>
      <c r="R977" s="176" t="n"/>
      <c r="S977" s="176" t="n"/>
      <c r="T977" s="176" t="n"/>
      <c r="U977" s="176" t="n"/>
      <c r="V977" s="176" t="n"/>
      <c r="W977" s="176" t="n"/>
      <c r="X977" s="176" t="n"/>
      <c r="Y977" s="176" t="n"/>
      <c r="Z977" s="176" t="n"/>
      <c r="AA977" s="176" t="n"/>
      <c r="AB977" s="176" t="n"/>
    </row>
    <row r="978">
      <c r="A978" s="176" t="n"/>
      <c r="B978" s="176" t="n"/>
      <c r="C978" s="176" t="n"/>
      <c r="D978" s="176" t="n"/>
      <c r="E978" s="176" t="n"/>
      <c r="F978" s="213" t="n"/>
      <c r="G978" s="213" t="n"/>
      <c r="H978" s="213" t="n"/>
      <c r="I978" s="213" t="n"/>
      <c r="J978" s="213" t="n"/>
      <c r="K978" s="186" t="n"/>
      <c r="L978" s="176" t="n"/>
      <c r="M978" s="176" t="n"/>
      <c r="N978" s="176" t="n"/>
      <c r="O978" s="176" t="n"/>
      <c r="P978" s="176" t="n"/>
      <c r="Q978" s="176" t="n"/>
      <c r="R978" s="176" t="n"/>
      <c r="S978" s="176" t="n"/>
      <c r="T978" s="176" t="n"/>
      <c r="U978" s="176" t="n"/>
      <c r="V978" s="176" t="n"/>
      <c r="W978" s="176" t="n"/>
      <c r="X978" s="176" t="n"/>
      <c r="Y978" s="176" t="n"/>
      <c r="Z978" s="176" t="n"/>
      <c r="AA978" s="176" t="n"/>
      <c r="AB978" s="176" t="n"/>
    </row>
    <row r="979">
      <c r="A979" s="176" t="n"/>
      <c r="B979" s="176" t="n"/>
      <c r="C979" s="176" t="n"/>
      <c r="D979" s="176" t="n"/>
      <c r="E979" s="176" t="n"/>
      <c r="F979" s="213" t="n"/>
      <c r="G979" s="213" t="n"/>
      <c r="H979" s="213" t="n"/>
      <c r="I979" s="213" t="n"/>
      <c r="J979" s="213" t="n"/>
      <c r="K979" s="186" t="n"/>
      <c r="L979" s="176" t="n"/>
      <c r="M979" s="176" t="n"/>
      <c r="N979" s="176" t="n"/>
      <c r="O979" s="176" t="n"/>
      <c r="P979" s="176" t="n"/>
      <c r="Q979" s="176" t="n"/>
      <c r="R979" s="176" t="n"/>
      <c r="S979" s="176" t="n"/>
      <c r="T979" s="176" t="n"/>
      <c r="U979" s="176" t="n"/>
      <c r="V979" s="176" t="n"/>
      <c r="W979" s="176" t="n"/>
      <c r="X979" s="176" t="n"/>
      <c r="Y979" s="176" t="n"/>
      <c r="Z979" s="176" t="n"/>
      <c r="AA979" s="176" t="n"/>
      <c r="AB979" s="176" t="n"/>
    </row>
    <row r="980">
      <c r="A980" s="176" t="n"/>
      <c r="B980" s="176" t="n"/>
      <c r="C980" s="176" t="n"/>
      <c r="D980" s="176" t="n"/>
      <c r="E980" s="176" t="n"/>
      <c r="F980" s="213" t="n"/>
      <c r="G980" s="213" t="n"/>
      <c r="H980" s="213" t="n"/>
      <c r="I980" s="213" t="n"/>
      <c r="J980" s="213" t="n"/>
      <c r="K980" s="186" t="n"/>
      <c r="L980" s="176" t="n"/>
      <c r="M980" s="176" t="n"/>
      <c r="N980" s="176" t="n"/>
      <c r="O980" s="176" t="n"/>
      <c r="P980" s="176" t="n"/>
      <c r="Q980" s="176" t="n"/>
      <c r="R980" s="176" t="n"/>
      <c r="S980" s="176" t="n"/>
      <c r="T980" s="176" t="n"/>
      <c r="U980" s="176" t="n"/>
      <c r="V980" s="176" t="n"/>
      <c r="W980" s="176" t="n"/>
      <c r="X980" s="176" t="n"/>
      <c r="Y980" s="176" t="n"/>
      <c r="Z980" s="176" t="n"/>
      <c r="AA980" s="176" t="n"/>
      <c r="AB980" s="176" t="n"/>
    </row>
    <row r="981">
      <c r="A981" s="176" t="n"/>
      <c r="B981" s="176" t="n"/>
      <c r="C981" s="176" t="n"/>
      <c r="D981" s="176" t="n"/>
      <c r="E981" s="176" t="n"/>
      <c r="F981" s="213" t="n"/>
      <c r="G981" s="213" t="n"/>
      <c r="H981" s="213" t="n"/>
      <c r="I981" s="213" t="n"/>
      <c r="J981" s="213" t="n"/>
      <c r="K981" s="186" t="n"/>
      <c r="L981" s="176" t="n"/>
      <c r="M981" s="176" t="n"/>
      <c r="N981" s="176" t="n"/>
      <c r="O981" s="176" t="n"/>
      <c r="P981" s="176" t="n"/>
      <c r="Q981" s="176" t="n"/>
      <c r="R981" s="176" t="n"/>
      <c r="S981" s="176" t="n"/>
      <c r="T981" s="176" t="n"/>
      <c r="U981" s="176" t="n"/>
      <c r="V981" s="176" t="n"/>
      <c r="W981" s="176" t="n"/>
      <c r="X981" s="176" t="n"/>
      <c r="Y981" s="176" t="n"/>
      <c r="Z981" s="176" t="n"/>
      <c r="AA981" s="176" t="n"/>
      <c r="AB981" s="176" t="n"/>
    </row>
    <row r="982">
      <c r="A982" s="176" t="n"/>
      <c r="B982" s="176" t="n"/>
      <c r="C982" s="176" t="n"/>
      <c r="D982" s="176" t="n"/>
      <c r="E982" s="176" t="n"/>
      <c r="F982" s="213" t="n"/>
      <c r="G982" s="213" t="n"/>
      <c r="H982" s="213" t="n"/>
      <c r="I982" s="213" t="n"/>
      <c r="J982" s="213" t="n"/>
      <c r="K982" s="186" t="n"/>
      <c r="L982" s="176" t="n"/>
      <c r="M982" s="176" t="n"/>
      <c r="N982" s="176" t="n"/>
      <c r="O982" s="176" t="n"/>
      <c r="P982" s="176" t="n"/>
      <c r="Q982" s="176" t="n"/>
      <c r="R982" s="176" t="n"/>
      <c r="S982" s="176" t="n"/>
      <c r="T982" s="176" t="n"/>
      <c r="U982" s="176" t="n"/>
      <c r="V982" s="176" t="n"/>
      <c r="W982" s="176" t="n"/>
      <c r="X982" s="176" t="n"/>
      <c r="Y982" s="176" t="n"/>
      <c r="Z982" s="176" t="n"/>
      <c r="AA982" s="176" t="n"/>
      <c r="AB982" s="176" t="n"/>
    </row>
    <row r="983">
      <c r="A983" s="176" t="n"/>
      <c r="B983" s="176" t="n"/>
      <c r="C983" s="176" t="n"/>
      <c r="D983" s="176" t="n"/>
      <c r="E983" s="176" t="n"/>
      <c r="F983" s="213" t="n"/>
      <c r="G983" s="213" t="n"/>
      <c r="H983" s="213" t="n"/>
      <c r="I983" s="213" t="n"/>
      <c r="J983" s="213" t="n"/>
      <c r="K983" s="186" t="n"/>
      <c r="L983" s="176" t="n"/>
      <c r="M983" s="176" t="n"/>
      <c r="N983" s="176" t="n"/>
      <c r="O983" s="176" t="n"/>
      <c r="P983" s="176" t="n"/>
      <c r="Q983" s="176" t="n"/>
      <c r="R983" s="176" t="n"/>
      <c r="S983" s="176" t="n"/>
      <c r="T983" s="176" t="n"/>
      <c r="U983" s="176" t="n"/>
      <c r="V983" s="176" t="n"/>
      <c r="W983" s="176" t="n"/>
      <c r="X983" s="176" t="n"/>
      <c r="Y983" s="176" t="n"/>
      <c r="Z983" s="176" t="n"/>
      <c r="AA983" s="176" t="n"/>
      <c r="AB983" s="176" t="n"/>
    </row>
    <row r="984">
      <c r="A984" s="176" t="n"/>
      <c r="B984" s="176" t="n"/>
      <c r="C984" s="176" t="n"/>
      <c r="D984" s="176" t="n"/>
      <c r="E984" s="176" t="n"/>
      <c r="F984" s="213" t="n"/>
      <c r="G984" s="213" t="n"/>
      <c r="H984" s="213" t="n"/>
      <c r="I984" s="213" t="n"/>
      <c r="J984" s="213" t="n"/>
      <c r="K984" s="186" t="n"/>
      <c r="L984" s="176" t="n"/>
      <c r="M984" s="176" t="n"/>
      <c r="N984" s="176" t="n"/>
      <c r="O984" s="176" t="n"/>
      <c r="P984" s="176" t="n"/>
      <c r="Q984" s="176" t="n"/>
      <c r="R984" s="176" t="n"/>
      <c r="S984" s="176" t="n"/>
      <c r="T984" s="176" t="n"/>
      <c r="U984" s="176" t="n"/>
      <c r="V984" s="176" t="n"/>
      <c r="W984" s="176" t="n"/>
      <c r="X984" s="176" t="n"/>
      <c r="Y984" s="176" t="n"/>
      <c r="Z984" s="176" t="n"/>
      <c r="AA984" s="176" t="n"/>
      <c r="AB984" s="176" t="n"/>
    </row>
    <row r="985">
      <c r="A985" s="176" t="n"/>
      <c r="B985" s="176" t="n"/>
      <c r="C985" s="176" t="n"/>
      <c r="D985" s="176" t="n"/>
      <c r="E985" s="176" t="n"/>
      <c r="F985" s="213" t="n"/>
      <c r="G985" s="213" t="n"/>
      <c r="H985" s="213" t="n"/>
      <c r="I985" s="213" t="n"/>
      <c r="J985" s="213" t="n"/>
      <c r="K985" s="186" t="n"/>
      <c r="L985" s="176" t="n"/>
      <c r="M985" s="176" t="n"/>
      <c r="N985" s="176" t="n"/>
      <c r="O985" s="176" t="n"/>
      <c r="P985" s="176" t="n"/>
      <c r="Q985" s="176" t="n"/>
      <c r="R985" s="176" t="n"/>
      <c r="S985" s="176" t="n"/>
      <c r="T985" s="176" t="n"/>
      <c r="U985" s="176" t="n"/>
      <c r="V985" s="176" t="n"/>
      <c r="W985" s="176" t="n"/>
      <c r="X985" s="176" t="n"/>
      <c r="Y985" s="176" t="n"/>
      <c r="Z985" s="176" t="n"/>
      <c r="AA985" s="176" t="n"/>
      <c r="AB985" s="176" t="n"/>
    </row>
    <row r="986">
      <c r="A986" s="176" t="n"/>
      <c r="B986" s="176" t="n"/>
      <c r="C986" s="176" t="n"/>
      <c r="D986" s="176" t="n"/>
      <c r="E986" s="176" t="n"/>
      <c r="F986" s="213" t="n"/>
      <c r="G986" s="213" t="n"/>
      <c r="H986" s="213" t="n"/>
      <c r="I986" s="213" t="n"/>
      <c r="J986" s="213" t="n"/>
      <c r="K986" s="186" t="n"/>
      <c r="L986" s="176" t="n"/>
      <c r="M986" s="176" t="n"/>
      <c r="N986" s="176" t="n"/>
      <c r="O986" s="176" t="n"/>
      <c r="P986" s="176" t="n"/>
      <c r="Q986" s="176" t="n"/>
      <c r="R986" s="176" t="n"/>
      <c r="S986" s="176" t="n"/>
      <c r="T986" s="176" t="n"/>
      <c r="U986" s="176" t="n"/>
      <c r="V986" s="176" t="n"/>
      <c r="W986" s="176" t="n"/>
      <c r="X986" s="176" t="n"/>
      <c r="Y986" s="176" t="n"/>
      <c r="Z986" s="176" t="n"/>
      <c r="AA986" s="176" t="n"/>
      <c r="AB986" s="176" t="n"/>
    </row>
    <row r="987">
      <c r="A987" s="176" t="n"/>
      <c r="B987" s="176" t="n"/>
      <c r="C987" s="176" t="n"/>
      <c r="D987" s="176" t="n"/>
      <c r="E987" s="176" t="n"/>
      <c r="F987" s="213" t="n"/>
      <c r="G987" s="213" t="n"/>
      <c r="H987" s="213" t="n"/>
      <c r="I987" s="213" t="n"/>
      <c r="J987" s="213" t="n"/>
      <c r="K987" s="186" t="n"/>
      <c r="L987" s="176" t="n"/>
      <c r="M987" s="176" t="n"/>
      <c r="N987" s="176" t="n"/>
      <c r="O987" s="176" t="n"/>
      <c r="P987" s="176" t="n"/>
      <c r="Q987" s="176" t="n"/>
      <c r="R987" s="176" t="n"/>
      <c r="S987" s="176" t="n"/>
      <c r="T987" s="176" t="n"/>
      <c r="U987" s="176" t="n"/>
      <c r="V987" s="176" t="n"/>
      <c r="W987" s="176" t="n"/>
      <c r="X987" s="176" t="n"/>
      <c r="Y987" s="176" t="n"/>
      <c r="Z987" s="176" t="n"/>
      <c r="AA987" s="176" t="n"/>
      <c r="AB987" s="176" t="n"/>
    </row>
    <row r="988">
      <c r="A988" s="176" t="n"/>
      <c r="B988" s="176" t="n"/>
      <c r="C988" s="176" t="n"/>
      <c r="D988" s="176" t="n"/>
      <c r="E988" s="176" t="n"/>
      <c r="F988" s="213" t="n"/>
      <c r="G988" s="213" t="n"/>
      <c r="H988" s="213" t="n"/>
      <c r="I988" s="213" t="n"/>
      <c r="J988" s="213" t="n"/>
      <c r="K988" s="186" t="n"/>
      <c r="L988" s="176" t="n"/>
      <c r="M988" s="176" t="n"/>
      <c r="N988" s="176" t="n"/>
      <c r="O988" s="176" t="n"/>
      <c r="P988" s="176" t="n"/>
      <c r="Q988" s="176" t="n"/>
      <c r="R988" s="176" t="n"/>
      <c r="S988" s="176" t="n"/>
      <c r="T988" s="176" t="n"/>
      <c r="U988" s="176" t="n"/>
      <c r="V988" s="176" t="n"/>
      <c r="W988" s="176" t="n"/>
      <c r="X988" s="176" t="n"/>
      <c r="Y988" s="176" t="n"/>
      <c r="Z988" s="176" t="n"/>
      <c r="AA988" s="176" t="n"/>
      <c r="AB988" s="176" t="n"/>
    </row>
    <row r="989">
      <c r="A989" s="176" t="n"/>
      <c r="B989" s="176" t="n"/>
      <c r="C989" s="176" t="n"/>
      <c r="D989" s="176" t="n"/>
      <c r="E989" s="176" t="n"/>
      <c r="F989" s="213" t="n"/>
      <c r="G989" s="213" t="n"/>
      <c r="H989" s="213" t="n"/>
      <c r="I989" s="213" t="n"/>
      <c r="J989" s="213" t="n"/>
      <c r="K989" s="186" t="n"/>
      <c r="L989" s="176" t="n"/>
      <c r="M989" s="176" t="n"/>
      <c r="N989" s="176" t="n"/>
      <c r="O989" s="176" t="n"/>
      <c r="P989" s="176" t="n"/>
      <c r="Q989" s="176" t="n"/>
      <c r="R989" s="176" t="n"/>
      <c r="S989" s="176" t="n"/>
      <c r="T989" s="176" t="n"/>
      <c r="U989" s="176" t="n"/>
      <c r="V989" s="176" t="n"/>
      <c r="W989" s="176" t="n"/>
      <c r="X989" s="176" t="n"/>
      <c r="Y989" s="176" t="n"/>
      <c r="Z989" s="176" t="n"/>
      <c r="AA989" s="176" t="n"/>
      <c r="AB989" s="176" t="n"/>
    </row>
    <row r="990">
      <c r="A990" s="176" t="n"/>
      <c r="B990" s="176" t="n"/>
      <c r="C990" s="176" t="n"/>
      <c r="D990" s="176" t="n"/>
      <c r="E990" s="176" t="n"/>
      <c r="F990" s="213" t="n"/>
      <c r="G990" s="213" t="n"/>
      <c r="H990" s="213" t="n"/>
      <c r="I990" s="213" t="n"/>
      <c r="J990" s="213" t="n"/>
      <c r="K990" s="186" t="n"/>
      <c r="L990" s="176" t="n"/>
      <c r="M990" s="176" t="n"/>
      <c r="N990" s="176" t="n"/>
      <c r="O990" s="176" t="n"/>
      <c r="P990" s="176" t="n"/>
      <c r="Q990" s="176" t="n"/>
      <c r="R990" s="176" t="n"/>
      <c r="S990" s="176" t="n"/>
      <c r="T990" s="176" t="n"/>
      <c r="U990" s="176" t="n"/>
      <c r="V990" s="176" t="n"/>
      <c r="W990" s="176" t="n"/>
      <c r="X990" s="176" t="n"/>
      <c r="Y990" s="176" t="n"/>
      <c r="Z990" s="176" t="n"/>
      <c r="AA990" s="176" t="n"/>
      <c r="AB990" s="176" t="n"/>
    </row>
    <row r="991">
      <c r="A991" s="176" t="n"/>
      <c r="B991" s="176" t="n"/>
      <c r="C991" s="176" t="n"/>
      <c r="D991" s="176" t="n"/>
      <c r="E991" s="176" t="n"/>
      <c r="F991" s="213" t="n"/>
      <c r="G991" s="213" t="n"/>
      <c r="H991" s="213" t="n"/>
      <c r="I991" s="213" t="n"/>
      <c r="J991" s="213" t="n"/>
      <c r="K991" s="186" t="n"/>
      <c r="L991" s="176" t="n"/>
      <c r="M991" s="176" t="n"/>
      <c r="N991" s="176" t="n"/>
      <c r="O991" s="176" t="n"/>
      <c r="P991" s="176" t="n"/>
      <c r="Q991" s="176" t="n"/>
      <c r="R991" s="176" t="n"/>
      <c r="S991" s="176" t="n"/>
      <c r="T991" s="176" t="n"/>
      <c r="U991" s="176" t="n"/>
      <c r="V991" s="176" t="n"/>
      <c r="W991" s="176" t="n"/>
      <c r="X991" s="176" t="n"/>
      <c r="Y991" s="176" t="n"/>
      <c r="Z991" s="176" t="n"/>
      <c r="AA991" s="176" t="n"/>
      <c r="AB991" s="176" t="n"/>
    </row>
    <row r="992">
      <c r="A992" s="176" t="n"/>
      <c r="B992" s="176" t="n"/>
      <c r="C992" s="176" t="n"/>
      <c r="D992" s="176" t="n"/>
      <c r="E992" s="176" t="n"/>
      <c r="F992" s="213" t="n"/>
      <c r="G992" s="213" t="n"/>
      <c r="H992" s="213" t="n"/>
      <c r="I992" s="213" t="n"/>
      <c r="J992" s="213" t="n"/>
      <c r="K992" s="186" t="n"/>
      <c r="L992" s="176" t="n"/>
      <c r="M992" s="176" t="n"/>
      <c r="N992" s="176" t="n"/>
      <c r="O992" s="176" t="n"/>
      <c r="P992" s="176" t="n"/>
      <c r="Q992" s="176" t="n"/>
      <c r="R992" s="176" t="n"/>
      <c r="S992" s="176" t="n"/>
      <c r="T992" s="176" t="n"/>
      <c r="U992" s="176" t="n"/>
      <c r="V992" s="176" t="n"/>
      <c r="W992" s="176" t="n"/>
      <c r="X992" s="176" t="n"/>
      <c r="Y992" s="176" t="n"/>
      <c r="Z992" s="176" t="n"/>
      <c r="AA992" s="176" t="n"/>
      <c r="AB992" s="176" t="n"/>
    </row>
    <row r="993">
      <c r="A993" s="176" t="n"/>
      <c r="B993" s="176" t="n"/>
      <c r="C993" s="176" t="n"/>
      <c r="D993" s="176" t="n"/>
      <c r="E993" s="176" t="n"/>
      <c r="F993" s="213" t="n"/>
      <c r="G993" s="213" t="n"/>
      <c r="H993" s="213" t="n"/>
      <c r="I993" s="213" t="n"/>
      <c r="J993" s="213" t="n"/>
      <c r="K993" s="186" t="n"/>
      <c r="L993" s="176" t="n"/>
      <c r="M993" s="176" t="n"/>
      <c r="N993" s="176" t="n"/>
      <c r="O993" s="176" t="n"/>
      <c r="P993" s="176" t="n"/>
      <c r="Q993" s="176" t="n"/>
      <c r="R993" s="176" t="n"/>
      <c r="S993" s="176" t="n"/>
      <c r="T993" s="176" t="n"/>
      <c r="U993" s="176" t="n"/>
      <c r="V993" s="176" t="n"/>
      <c r="W993" s="176" t="n"/>
      <c r="X993" s="176" t="n"/>
      <c r="Y993" s="176" t="n"/>
      <c r="Z993" s="176" t="n"/>
      <c r="AA993" s="176" t="n"/>
      <c r="AB993" s="176" t="n"/>
    </row>
    <row r="994">
      <c r="A994" s="176" t="n"/>
      <c r="B994" s="176" t="n"/>
      <c r="C994" s="176" t="n"/>
      <c r="D994" s="176" t="n"/>
      <c r="E994" s="176" t="n"/>
      <c r="F994" s="213" t="n"/>
      <c r="G994" s="213" t="n"/>
      <c r="H994" s="213" t="n"/>
      <c r="I994" s="213" t="n"/>
      <c r="J994" s="213" t="n"/>
      <c r="K994" s="186" t="n"/>
      <c r="L994" s="176" t="n"/>
      <c r="M994" s="176" t="n"/>
      <c r="N994" s="176" t="n"/>
      <c r="O994" s="176" t="n"/>
      <c r="P994" s="176" t="n"/>
      <c r="Q994" s="176" t="n"/>
      <c r="R994" s="176" t="n"/>
      <c r="S994" s="176" t="n"/>
      <c r="T994" s="176" t="n"/>
      <c r="U994" s="176" t="n"/>
      <c r="V994" s="176" t="n"/>
      <c r="W994" s="176" t="n"/>
      <c r="X994" s="176" t="n"/>
      <c r="Y994" s="176" t="n"/>
      <c r="Z994" s="176" t="n"/>
      <c r="AA994" s="176" t="n"/>
      <c r="AB994" s="176" t="n"/>
    </row>
    <row r="995">
      <c r="A995" s="176" t="n"/>
      <c r="B995" s="176" t="n"/>
      <c r="C995" s="176" t="n"/>
      <c r="D995" s="176" t="n"/>
      <c r="E995" s="176" t="n"/>
      <c r="F995" s="213" t="n"/>
      <c r="G995" s="213" t="n"/>
      <c r="H995" s="213" t="n"/>
      <c r="I995" s="213" t="n"/>
      <c r="J995" s="213" t="n"/>
      <c r="K995" s="186" t="n"/>
      <c r="L995" s="176" t="n"/>
      <c r="M995" s="176" t="n"/>
      <c r="N995" s="176" t="n"/>
      <c r="O995" s="176" t="n"/>
      <c r="P995" s="176" t="n"/>
      <c r="Q995" s="176" t="n"/>
      <c r="R995" s="176" t="n"/>
      <c r="S995" s="176" t="n"/>
      <c r="T995" s="176" t="n"/>
      <c r="U995" s="176" t="n"/>
      <c r="V995" s="176" t="n"/>
      <c r="W995" s="176" t="n"/>
      <c r="X995" s="176" t="n"/>
      <c r="Y995" s="176" t="n"/>
      <c r="Z995" s="176" t="n"/>
      <c r="AA995" s="176" t="n"/>
      <c r="AB995" s="176" t="n"/>
    </row>
    <row r="996">
      <c r="A996" s="176" t="n"/>
      <c r="B996" s="176" t="n"/>
      <c r="C996" s="176" t="n"/>
      <c r="D996" s="176" t="n"/>
      <c r="E996" s="176" t="n"/>
      <c r="F996" s="213" t="n"/>
      <c r="G996" s="213" t="n"/>
      <c r="H996" s="213" t="n"/>
      <c r="I996" s="213" t="n"/>
      <c r="J996" s="213" t="n"/>
      <c r="K996" s="186" t="n"/>
      <c r="L996" s="176" t="n"/>
      <c r="M996" s="176" t="n"/>
      <c r="N996" s="176" t="n"/>
      <c r="O996" s="176" t="n"/>
      <c r="P996" s="176" t="n"/>
      <c r="Q996" s="176" t="n"/>
      <c r="R996" s="176" t="n"/>
      <c r="S996" s="176" t="n"/>
      <c r="T996" s="176" t="n"/>
      <c r="U996" s="176" t="n"/>
      <c r="V996" s="176" t="n"/>
      <c r="W996" s="176" t="n"/>
      <c r="X996" s="176" t="n"/>
      <c r="Y996" s="176" t="n"/>
      <c r="Z996" s="176" t="n"/>
      <c r="AA996" s="176" t="n"/>
      <c r="AB996" s="176" t="n"/>
    </row>
    <row r="997">
      <c r="A997" s="176" t="n"/>
      <c r="B997" s="176" t="n"/>
      <c r="C997" s="176" t="n"/>
      <c r="D997" s="176" t="n"/>
      <c r="E997" s="176" t="n"/>
      <c r="F997" s="213" t="n"/>
      <c r="G997" s="213" t="n"/>
      <c r="H997" s="213" t="n"/>
      <c r="I997" s="213" t="n"/>
      <c r="J997" s="213" t="n"/>
      <c r="K997" s="186" t="n"/>
      <c r="L997" s="176" t="n"/>
      <c r="M997" s="176" t="n"/>
      <c r="N997" s="176" t="n"/>
      <c r="O997" s="176" t="n"/>
      <c r="P997" s="176" t="n"/>
      <c r="Q997" s="176" t="n"/>
      <c r="R997" s="176" t="n"/>
      <c r="S997" s="176" t="n"/>
      <c r="T997" s="176" t="n"/>
      <c r="U997" s="176" t="n"/>
      <c r="V997" s="176" t="n"/>
      <c r="W997" s="176" t="n"/>
      <c r="X997" s="176" t="n"/>
      <c r="Y997" s="176" t="n"/>
      <c r="Z997" s="176" t="n"/>
      <c r="AA997" s="176" t="n"/>
      <c r="AB997" s="176" t="n"/>
    </row>
    <row r="998">
      <c r="A998" s="176" t="n"/>
      <c r="B998" s="176" t="n"/>
      <c r="C998" s="176" t="n"/>
      <c r="D998" s="176" t="n"/>
      <c r="E998" s="176" t="n"/>
      <c r="F998" s="213" t="n"/>
      <c r="G998" s="213" t="n"/>
      <c r="H998" s="213" t="n"/>
      <c r="I998" s="213" t="n"/>
      <c r="J998" s="213" t="n"/>
      <c r="K998" s="186" t="n"/>
      <c r="L998" s="176" t="n"/>
      <c r="M998" s="176" t="n"/>
      <c r="N998" s="176" t="n"/>
      <c r="O998" s="176" t="n"/>
      <c r="P998" s="176" t="n"/>
      <c r="Q998" s="176" t="n"/>
      <c r="R998" s="176" t="n"/>
      <c r="S998" s="176" t="n"/>
      <c r="T998" s="176" t="n"/>
      <c r="U998" s="176" t="n"/>
      <c r="V998" s="176" t="n"/>
      <c r="W998" s="176" t="n"/>
      <c r="X998" s="176" t="n"/>
      <c r="Y998" s="176" t="n"/>
      <c r="Z998" s="176" t="n"/>
      <c r="AA998" s="176" t="n"/>
      <c r="AB998" s="176" t="n"/>
    </row>
    <row r="999">
      <c r="A999" s="176" t="n"/>
      <c r="B999" s="176" t="n"/>
      <c r="C999" s="176" t="n"/>
      <c r="D999" s="176" t="n"/>
      <c r="E999" s="176" t="n"/>
      <c r="F999" s="213" t="n"/>
      <c r="G999" s="213" t="n"/>
      <c r="H999" s="213" t="n"/>
      <c r="I999" s="213" t="n"/>
      <c r="J999" s="213" t="n"/>
      <c r="K999" s="186" t="n"/>
      <c r="L999" s="176" t="n"/>
      <c r="M999" s="176" t="n"/>
      <c r="N999" s="176" t="n"/>
      <c r="O999" s="176" t="n"/>
      <c r="P999" s="176" t="n"/>
      <c r="Q999" s="176" t="n"/>
      <c r="R999" s="176" t="n"/>
      <c r="S999" s="176" t="n"/>
      <c r="T999" s="176" t="n"/>
      <c r="U999" s="176" t="n"/>
      <c r="V999" s="176" t="n"/>
      <c r="W999" s="176" t="n"/>
      <c r="X999" s="176" t="n"/>
      <c r="Y999" s="176" t="n"/>
      <c r="Z999" s="176" t="n"/>
      <c r="AA999" s="176" t="n"/>
      <c r="AB999" s="176" t="n"/>
    </row>
    <row r="1000">
      <c r="A1000" s="176" t="n"/>
      <c r="B1000" s="176" t="n"/>
      <c r="C1000" s="176" t="n"/>
      <c r="D1000" s="176" t="n"/>
      <c r="E1000" s="176" t="n"/>
      <c r="F1000" s="213" t="n"/>
      <c r="G1000" s="213" t="n"/>
      <c r="H1000" s="213" t="n"/>
      <c r="I1000" s="213" t="n"/>
      <c r="J1000" s="213" t="n"/>
      <c r="K1000" s="186" t="n"/>
      <c r="L1000" s="176" t="n"/>
      <c r="M1000" s="176" t="n"/>
      <c r="N1000" s="176" t="n"/>
      <c r="O1000" s="176" t="n"/>
      <c r="P1000" s="176" t="n"/>
      <c r="Q1000" s="176" t="n"/>
      <c r="R1000" s="176" t="n"/>
      <c r="S1000" s="176" t="n"/>
      <c r="T1000" s="176" t="n"/>
      <c r="U1000" s="176" t="n"/>
      <c r="V1000" s="176" t="n"/>
      <c r="W1000" s="176" t="n"/>
      <c r="X1000" s="176" t="n"/>
      <c r="Y1000" s="176" t="n"/>
      <c r="Z1000" s="176" t="n"/>
      <c r="AA1000" s="176" t="n"/>
      <c r="AB1000" s="176" t="n"/>
    </row>
    <row r="1001">
      <c r="A1001" s="176" t="n"/>
      <c r="B1001" s="176" t="n"/>
      <c r="C1001" s="176" t="n"/>
      <c r="D1001" s="176" t="n"/>
      <c r="E1001" s="176" t="n"/>
      <c r="F1001" s="213" t="n"/>
      <c r="G1001" s="213" t="n"/>
      <c r="H1001" s="213" t="n"/>
      <c r="I1001" s="213" t="n"/>
      <c r="J1001" s="213" t="n"/>
      <c r="K1001" s="186" t="n"/>
      <c r="L1001" s="176" t="n"/>
      <c r="M1001" s="176" t="n"/>
      <c r="N1001" s="176" t="n"/>
      <c r="O1001" s="176" t="n"/>
      <c r="P1001" s="176" t="n"/>
      <c r="Q1001" s="176" t="n"/>
      <c r="R1001" s="176" t="n"/>
      <c r="S1001" s="176" t="n"/>
      <c r="T1001" s="176" t="n"/>
      <c r="U1001" s="176" t="n"/>
      <c r="V1001" s="176" t="n"/>
      <c r="W1001" s="176" t="n"/>
      <c r="X1001" s="176" t="n"/>
      <c r="Y1001" s="176" t="n"/>
      <c r="Z1001" s="176" t="n"/>
      <c r="AA1001" s="176" t="n"/>
      <c r="AB1001" s="176" t="n"/>
    </row>
    <row r="1002">
      <c r="A1002" s="176" t="n"/>
      <c r="B1002" s="176" t="n"/>
      <c r="C1002" s="176" t="n"/>
      <c r="D1002" s="176" t="n"/>
      <c r="E1002" s="176" t="n"/>
      <c r="F1002" s="213" t="n"/>
      <c r="G1002" s="213" t="n"/>
      <c r="H1002" s="213" t="n"/>
      <c r="I1002" s="213" t="n"/>
      <c r="J1002" s="213" t="n"/>
      <c r="K1002" s="186" t="n"/>
      <c r="L1002" s="176" t="n"/>
      <c r="M1002" s="176" t="n"/>
      <c r="N1002" s="176" t="n"/>
      <c r="O1002" s="176" t="n"/>
      <c r="P1002" s="176" t="n"/>
      <c r="Q1002" s="176" t="n"/>
      <c r="R1002" s="176" t="n"/>
      <c r="S1002" s="176" t="n"/>
      <c r="T1002" s="176" t="n"/>
      <c r="U1002" s="176" t="n"/>
      <c r="V1002" s="176" t="n"/>
      <c r="W1002" s="176" t="n"/>
      <c r="X1002" s="176" t="n"/>
      <c r="Y1002" s="176" t="n"/>
      <c r="Z1002" s="176" t="n"/>
      <c r="AA1002" s="176" t="n"/>
      <c r="AB1002" s="176" t="n"/>
    </row>
    <row r="1003">
      <c r="A1003" s="176" t="n"/>
      <c r="B1003" s="176" t="n"/>
      <c r="C1003" s="176" t="n"/>
      <c r="D1003" s="176" t="n"/>
      <c r="E1003" s="176" t="n"/>
      <c r="F1003" s="213" t="n"/>
      <c r="G1003" s="213" t="n"/>
      <c r="H1003" s="213" t="n"/>
      <c r="I1003" s="213" t="n"/>
      <c r="J1003" s="213" t="n"/>
      <c r="K1003" s="186" t="n"/>
      <c r="L1003" s="176" t="n"/>
      <c r="M1003" s="176" t="n"/>
      <c r="N1003" s="176" t="n"/>
      <c r="O1003" s="176" t="n"/>
      <c r="P1003" s="176" t="n"/>
      <c r="Q1003" s="176" t="n"/>
      <c r="R1003" s="176" t="n"/>
      <c r="S1003" s="176" t="n"/>
      <c r="T1003" s="176" t="n"/>
      <c r="U1003" s="176" t="n"/>
      <c r="V1003" s="176" t="n"/>
      <c r="W1003" s="176" t="n"/>
      <c r="X1003" s="176" t="n"/>
      <c r="Y1003" s="176" t="n"/>
      <c r="Z1003" s="176" t="n"/>
      <c r="AA1003" s="176" t="n"/>
      <c r="AB1003" s="176"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2026-06-17T21:30:26Z</dcterms:modified>
  <cp:lastModifiedBy>michael janabi</cp:lastModifiedBy>
</cp:coreProperties>
</file>