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4">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824">
        <f>IF(C151="","",ROW()-2)</f>
        <v/>
      </c>
      <c r="B151" s="825" t="inlineStr">
        <is>
          <t>Totals</t>
        </is>
      </c>
      <c r="C151" s="826" t="n"/>
      <c r="D151" s="827" t="n"/>
      <c r="E151" s="828" t="n"/>
      <c r="F151" s="829" t="n"/>
      <c r="G151" s="829" t="n"/>
      <c r="H151" s="830" t="n"/>
      <c r="I151" s="37">
        <f>SUM(I3:I150)</f>
        <v/>
      </c>
      <c r="J151" s="37">
        <f>SUM(J3:J150)</f>
        <v/>
      </c>
      <c r="K151" s="35">
        <f>SUM(K3:K150)</f>
        <v/>
      </c>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t="inlineStr">
        <is>
          <t>MH Lot Rent (TOH)</t>
        </is>
      </c>
      <c r="B5" s="752" t="n">
        <v>0.035</v>
      </c>
      <c r="C5" s="834" t="n">
        <v>0.075</v>
      </c>
      <c r="D5" s="834" t="n">
        <v>0.07000000000000001</v>
      </c>
      <c r="E5" s="834" t="n">
        <v>0.05</v>
      </c>
      <c r="F5" s="834" t="n">
        <v>0.04</v>
      </c>
      <c r="G5" s="834" t="n">
        <v>0.04</v>
      </c>
      <c r="H5" s="834" t="n">
        <v>0.04</v>
      </c>
      <c r="I5" s="834" t="n">
        <v>0.04</v>
      </c>
      <c r="J5" s="834" t="n">
        <v>0.04</v>
      </c>
      <c r="K5" s="835" t="n">
        <v>0.04</v>
      </c>
    </row>
    <row r="6">
      <c r="A6" s="498" t="inlineStr">
        <is>
          <t>Long Term RV Rent</t>
        </is>
      </c>
      <c r="B6" s="752" t="n">
        <v>0.063</v>
      </c>
      <c r="C6" s="834" t="n">
        <v>0.075</v>
      </c>
      <c r="D6" s="834" t="n">
        <v>0.07000000000000001</v>
      </c>
      <c r="E6" s="834" t="n">
        <v>0.05</v>
      </c>
      <c r="F6" s="834" t="n">
        <v>0.04</v>
      </c>
      <c r="G6" s="834" t="n">
        <v>0.04</v>
      </c>
      <c r="H6" s="834" t="n">
        <v>0.04</v>
      </c>
      <c r="I6" s="834" t="n">
        <v>0.04</v>
      </c>
      <c r="J6" s="834" t="n">
        <v>0.04</v>
      </c>
      <c r="K6" s="835" t="n">
        <v>0.04</v>
      </c>
    </row>
    <row r="7">
      <c r="A7" s="498" t="n"/>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n"/>
      <c r="C9" s="834" t="n"/>
      <c r="D9" s="834" t="n"/>
      <c r="E9" s="834" t="n"/>
      <c r="F9" s="834" t="n"/>
      <c r="G9" s="834" t="n"/>
      <c r="H9" s="834" t="n"/>
      <c r="I9" s="834" t="n"/>
      <c r="J9" s="834" t="n"/>
      <c r="K9" s="835"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f>D10/$D$12</f>
        <v/>
      </c>
      <c r="C10" s="834">
        <f>'Unit Mix Summary'!B4</f>
        <v/>
      </c>
      <c r="D10" s="834">
        <f>'Unit Mix Summary'!E4</f>
        <v/>
      </c>
      <c r="E10" s="834">
        <f>'Unit Mix Summary'!H4/'Unit Mix Summary'!E4</f>
        <v/>
      </c>
      <c r="F10" s="834">
        <f>E10*(100%+B$5)</f>
        <v/>
      </c>
      <c r="G10" s="834">
        <f>F10*(100%+C$5)</f>
        <v/>
      </c>
      <c r="H10" s="834">
        <f>G10*(100%+D$5)</f>
        <v/>
      </c>
      <c r="I10" s="834">
        <f>H10*(100%+E$5)</f>
        <v/>
      </c>
      <c r="J10" s="834">
        <f>I10*(100%+F$5)</f>
        <v/>
      </c>
      <c r="K10" s="835">
        <f>J10*(100%+G$5)</f>
        <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f>D11/$D$12</f>
        <v/>
      </c>
      <c r="C11" s="59">
        <f>'Unit Mix Summary'!B5</f>
        <v/>
      </c>
      <c r="D11" s="59">
        <f>'Unit Mix Summary'!E5</f>
        <v/>
      </c>
      <c r="E11" s="59">
        <f>'Unit Mix Summary'!H5/'Unit Mix Summary'!E5</f>
        <v/>
      </c>
      <c r="F11" s="59">
        <f>E11*(100%+B$6)</f>
        <v/>
      </c>
      <c r="G11" s="59">
        <f>F11*(100%+C$6)</f>
        <v/>
      </c>
      <c r="H11" s="59">
        <f>G11*(100%+D$6)</f>
        <v/>
      </c>
      <c r="I11" s="59">
        <f>H11*(100%+E$6)</f>
        <v/>
      </c>
      <c r="J11" s="59">
        <f>I11*(100%+F$6)</f>
        <v/>
      </c>
      <c r="K11" s="59">
        <f>J11*(100%+G$6)</f>
        <v/>
      </c>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C13" s="59" t="n"/>
      <c r="D13" s="329" t="inlineStr">
        <is>
          <t>$change</t>
        </is>
      </c>
      <c r="E13" s="166" t="n"/>
      <c r="F13" s="138">
        <f>F12-E12</f>
        <v/>
      </c>
      <c r="G13" s="138">
        <f>G12-F12</f>
        <v/>
      </c>
      <c r="H13" s="138">
        <f>H12-G12</f>
        <v/>
      </c>
      <c r="I13" s="138">
        <f>I12-H12</f>
        <v/>
      </c>
      <c r="J13" s="138">
        <f>J12-I12</f>
        <v/>
      </c>
      <c r="K13" s="138">
        <f>K12-J12</f>
        <v/>
      </c>
      <c r="L13" s="138" t="n"/>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t="n"/>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t="n"/>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t="n">
        <v>0</v>
      </c>
      <c r="N20" s="507" t="n">
        <v>0</v>
      </c>
      <c r="O20" s="507" t="n">
        <v>0</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(J14*(1+G$5)*(1+H$5)*C14+J15*(1+G$6)*(1+H$6)*C15)*12</f>
        <v/>
      </c>
      <c r="N22" s="511">
        <f>(J14*(1+G$5)*(1+H$5)*(1+I$5)*C14+J15*(1+G$6)*(1+H$6)*(1+I$6)*C15)*12</f>
        <v/>
      </c>
      <c r="O22" s="511">
        <f>(J14*(1+G$5)*(1+H$5)*(1+I$5)*(1+J$5)*C14+J15*(1+G$6)*(1+H$6)*(1+I$6)*(1+J$6)*C15)*12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MH/RV Rent Roll</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 (TOH + POH)</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 (MH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 %</t>
        </is>
      </c>
      <c r="C13" s="641">
        <f>IFERROR(C8/E8,0)</f>
        <v/>
      </c>
      <c r="D13" s="641" t="n"/>
      <c r="E13" s="641" t="n"/>
      <c r="F13" s="642" t="n"/>
      <c r="G13" s="642" t="n"/>
      <c r="H13" s="643" t="n"/>
      <c r="I13" s="311" t="n"/>
    </row>
    <row r="14" ht="19.5" customHeight="1">
      <c r="B14" s="640" t="inlineStr">
        <is>
          <t>POH %</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ALT NOI</t>
        </is>
      </c>
      <c r="H2" s="258" t="inlineStr">
        <is>
          <t>Lot Rent only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708" t="n"/>
      <c r="L4" s="652"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709" t="n"/>
      <c r="L5" s="653"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709" t="n"/>
      <c r="L6" s="653"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709" t="n"/>
      <c r="L7" s="653" t="n"/>
      <c r="M7" s="154" t="inlineStr">
        <is>
          <t xml:space="preserve"># of Units </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inlineStr">
        <is>
          <t xml:space="preserve">Asking Price Per Site </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851" t="n"/>
      <c r="L12" s="851"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'Rent Roll Input'!J151*12*95%</f>
        <v/>
      </c>
      <c r="H13" s="108" t="n">
        <v>0</v>
      </c>
      <c r="I13" s="108" t="n">
        <v>0</v>
      </c>
      <c r="J13" s="108">
        <f>I13/$N$7</f>
        <v/>
      </c>
      <c r="K13" s="851" t="n"/>
      <c r="L13" s="851"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851" t="n"/>
      <c r="L14" s="851" t="n"/>
      <c r="M14" s="154" t="inlineStr">
        <is>
          <t>Lot Rent only NOI</t>
        </is>
      </c>
      <c r="N14">
        <f>I47</f>
        <v/>
      </c>
      <c r="O14" s="275" t="n">
        <v>0.055</v>
      </c>
      <c r="P14" s="669">
        <f>N14/O14</f>
        <v/>
      </c>
      <c r="Q14" s="725" t="n">
        <v>0</v>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851" t="n"/>
      <c r="L15" s="851" t="n"/>
      <c r="M15" s="154" t="inlineStr">
        <is>
          <t>Home Rent only NOI</t>
        </is>
      </c>
      <c r="N15" s="225">
        <f>I47-H47</f>
        <v/>
      </c>
      <c r="O15" s="275" t="n">
        <v>0.12</v>
      </c>
      <c r="P15" s="669">
        <f>N15/O15</f>
        <v/>
      </c>
      <c r="Q15" s="672" t="n"/>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851" t="n"/>
      <c r="L16" s="851"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851" t="n"/>
      <c r="L39" s="857" t="n"/>
      <c r="M39" s="154" t="n"/>
      <c r="O39" s="59" t="n"/>
      <c r="P39" s="59" t="n"/>
      <c r="Q39" s="59" t="n"/>
      <c r="R39" s="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851" t="n"/>
      <c r="L40" s="857" t="n"/>
      <c r="M40" s="154" t="n"/>
      <c r="O40" s="59" t="n"/>
      <c r="P40" s="59" t="n"/>
      <c r="Q40" s="59" t="n"/>
      <c r="R40" s="59"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2026-06-04T06:47:37Z</dcterms:modified>
  <cp:lastModifiedBy>michael janabi</cp:lastModifiedBy>
</cp:coreProperties>
</file>