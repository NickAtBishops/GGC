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4">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824">
        <f>IF(C151="","",ROW()-2)</f>
        <v/>
      </c>
      <c r="B151" s="825" t="n"/>
      <c r="C151" s="826" t="n"/>
      <c r="D151" s="827" t="n"/>
      <c r="E151" s="828" t="n"/>
      <c r="F151" s="829" t="n"/>
      <c r="G151" s="829" t="n"/>
      <c r="H151" s="830" t="n"/>
      <c r="I151" s="37" t="n"/>
      <c r="J151" s="37" t="n"/>
      <c r="K151" s="35">
        <f>IFERROR(I151+J151,0)</f>
        <v/>
      </c>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t="inlineStr">
        <is>
          <t>MH Lot Rent (TOH)</t>
        </is>
      </c>
      <c r="B5" s="752" t="n">
        <v>0.035</v>
      </c>
      <c r="C5" s="834" t="n">
        <v>0.075</v>
      </c>
      <c r="D5" s="834" t="n">
        <v>0.07000000000000001</v>
      </c>
      <c r="E5" s="834" t="n">
        <v>0.05</v>
      </c>
      <c r="F5" s="834" t="n">
        <v>0.04</v>
      </c>
      <c r="G5" s="834" t="n">
        <v>0.04</v>
      </c>
      <c r="H5" s="834" t="n">
        <v>0.04</v>
      </c>
      <c r="I5" s="834" t="n">
        <v>0.04</v>
      </c>
      <c r="J5" s="834" t="n">
        <v>0.04</v>
      </c>
      <c r="K5" s="835" t="n">
        <v>0.04</v>
      </c>
    </row>
    <row r="6">
      <c r="A6" s="498" t="inlineStr">
        <is>
          <t>Long Term RV Rent</t>
        </is>
      </c>
      <c r="B6" s="752" t="n">
        <v>0.063</v>
      </c>
      <c r="C6" s="834" t="n">
        <v>0.075</v>
      </c>
      <c r="D6" s="834" t="n">
        <v>0.07000000000000001</v>
      </c>
      <c r="E6" s="834" t="n">
        <v>0.05</v>
      </c>
      <c r="F6" s="834" t="n">
        <v>0.04</v>
      </c>
      <c r="G6" s="834" t="n">
        <v>0.04</v>
      </c>
      <c r="H6" s="834" t="n">
        <v>0.04</v>
      </c>
      <c r="I6" s="834" t="n">
        <v>0.04</v>
      </c>
      <c r="J6" s="834" t="n">
        <v>0.04</v>
      </c>
      <c r="K6" s="835" t="n">
        <v>0.04</v>
      </c>
    </row>
    <row r="7">
      <c r="A7" s="498" t="n"/>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inlineStr">
        <is>
          <t>Rent Growth Vector (annual)</t>
        </is>
      </c>
      <c r="C9" s="834" t="n">
        <v>0.075</v>
      </c>
      <c r="D9" s="834" t="n">
        <v>0.07000000000000001</v>
      </c>
      <c r="E9" s="834" t="n">
        <v>0.05</v>
      </c>
      <c r="F9" s="834" t="n">
        <v>0.04</v>
      </c>
      <c r="G9" s="834" t="n">
        <v>0.04</v>
      </c>
      <c r="H9" s="834" t="n">
        <v>0.04</v>
      </c>
      <c r="I9" s="834" t="n">
        <v>0.04</v>
      </c>
      <c r="J9" s="834" t="n">
        <v>0.04</v>
      </c>
      <c r="K9" s="835" t="n">
        <v>0.04</v>
      </c>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t="inlineStr">
        <is>
          <t>MH Lot Rent (TOH)</t>
        </is>
      </c>
      <c r="C10" s="834">
        <f>'Unit Mix Summary'!E4</f>
        <v/>
      </c>
      <c r="D10" s="834" t="n">
        <v>0.07000000000000001</v>
      </c>
      <c r="E10" s="834" t="n">
        <v>0.05</v>
      </c>
      <c r="F10" s="834" t="n">
        <v>0.04</v>
      </c>
      <c r="G10" s="834" t="n">
        <v>0.04</v>
      </c>
      <c r="H10" s="834" t="n">
        <v>0.04</v>
      </c>
      <c r="I10" s="834" t="n">
        <v>0.04</v>
      </c>
      <c r="J10" s="834" t="n">
        <v>0.04</v>
      </c>
      <c r="K10" s="835" t="n">
        <v>0.04</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t="inlineStr">
        <is>
          <t>Long Term RV Rent</t>
        </is>
      </c>
      <c r="C11" s="59">
        <f>'Unit Mix Summary'!E6</f>
        <v/>
      </c>
      <c r="D11" s="59" t="n"/>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t="inlineStr">
        <is>
          <t>Weighted Avg Monthly Rent</t>
        </is>
      </c>
      <c r="C12" s="59">
        <f>IFERROR((C10*'Unit Mix Summary'!C12 + C11*'Unit Mix Summary'!C16)/(C10+C11),0)</f>
        <v/>
      </c>
      <c r="D12" s="59" t="n"/>
      <c r="E12" s="836" t="inlineStr">
        <is>
          <t>Lot Rent</t>
        </is>
      </c>
      <c r="F12" s="59" t="inlineStr">
        <is>
          <t>$31 increase in May</t>
        </is>
      </c>
      <c r="G12" s="203" t="n"/>
      <c r="H12" s="59" t="inlineStr">
        <is>
          <t>$700 by Y3</t>
        </is>
      </c>
      <c r="I12" s="59" t="n"/>
      <c r="J12" s="59" t="n"/>
      <c r="K12" s="59" t="n"/>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B13" t="inlineStr">
        <is>
          <t>Monthly $ Rent Change</t>
        </is>
      </c>
      <c r="C13" s="59">
        <f>C12-'Unit Mix Summary'!C12</f>
        <v/>
      </c>
      <c r="D13" s="329" t="inlineStr">
        <is>
          <t>Avg Monthly Rent</t>
        </is>
      </c>
      <c r="E13" s="166" t="inlineStr">
        <is>
          <t>Year 1</t>
        </is>
      </c>
      <c r="F13" s="138" t="inlineStr">
        <is>
          <t>Year 2</t>
        </is>
      </c>
      <c r="G13" s="138" t="inlineStr">
        <is>
          <t>Year 3</t>
        </is>
      </c>
      <c r="H13" s="138" t="inlineStr">
        <is>
          <t>Year 4</t>
        </is>
      </c>
      <c r="I13" s="138" t="inlineStr">
        <is>
          <t>Year 5</t>
        </is>
      </c>
      <c r="J13" s="138" t="n"/>
      <c r="K13" s="138" t="n"/>
      <c r="L13" s="138" t="n"/>
      <c r="M13" s="138" t="inlineStr">
        <is>
          <t>Year 8</t>
        </is>
      </c>
      <c r="N13" s="138" t="inlineStr">
        <is>
          <t>Year 9</t>
        </is>
      </c>
      <c r="O13" s="138" t="inlineStr">
        <is>
          <t>Year 10</t>
        </is>
      </c>
    </row>
    <row r="14" ht="36" customHeight="1">
      <c r="A14" s="837" t="n"/>
      <c r="B14" s="502" t="inlineStr">
        <is>
          <t>Annual GPR (combined lots)</t>
        </is>
      </c>
      <c r="C14" s="503">
        <f>'Unit Mix Summary'!E4</f>
        <v/>
      </c>
      <c r="D14" s="504">
        <f>'Unit Mix Summary'!C12</f>
        <v/>
      </c>
      <c r="E14" s="212">
        <f>E22</f>
        <v/>
      </c>
      <c r="F14" s="212">
        <f>F22</f>
        <v/>
      </c>
      <c r="G14" s="212">
        <f>G22</f>
        <v/>
      </c>
      <c r="H14" s="212">
        <f>H22</f>
        <v/>
      </c>
      <c r="I14" s="212">
        <f>I22</f>
        <v/>
      </c>
      <c r="J14" s="212">
        <f>J22</f>
        <v/>
      </c>
      <c r="K14" s="212" t="n"/>
      <c r="L14" s="212" t="n"/>
      <c r="M14" s="212">
        <f>L14*(100%+I$5)</f>
        <v/>
      </c>
      <c r="N14" s="212">
        <f>M14*(100%+J$5)</f>
        <v/>
      </c>
      <c r="O14" s="212">
        <f>N14*(100%+K$5)</f>
        <v/>
      </c>
    </row>
    <row r="15" ht="42.95" customHeight="1">
      <c r="A15" s="837" t="n"/>
      <c r="B15" s="502" t="inlineStr">
        <is>
          <t>Vacant MH Lots</t>
        </is>
      </c>
      <c r="C15" s="503">
        <f>'Unit Mix Summary'!D4</f>
        <v/>
      </c>
      <c r="D15" s="504">
        <f>'Unit Mix Summary'!C16</f>
        <v/>
      </c>
      <c r="E15" s="212">
        <f>D15*(1+B$6)</f>
        <v/>
      </c>
      <c r="F15" s="212">
        <f>E15*(1+C$6)</f>
        <v/>
      </c>
      <c r="G15" s="212">
        <f>F15*(1+D$6)</f>
        <v/>
      </c>
      <c r="H15" s="212">
        <f>G15*(1+E$6)</f>
        <v/>
      </c>
      <c r="I15" s="212">
        <f>H15*(1+F$6)</f>
        <v/>
      </c>
      <c r="J15" s="212" t="n"/>
      <c r="K15" s="212" t="n"/>
      <c r="L15" s="212" t="n"/>
      <c r="M15" s="212">
        <f>L15*(100%+I$6)</f>
        <v/>
      </c>
      <c r="N15" s="212">
        <f>M15*(100%+J$6)</f>
        <v/>
      </c>
      <c r="O15" s="212">
        <f>N15*(100%+K$6)</f>
        <v/>
      </c>
    </row>
    <row r="16" ht="35.45" customHeight="1">
      <c r="A16" s="837" t="n"/>
      <c r="B16" s="502" t="inlineStr">
        <is>
          <t>Vacant RV / Other</t>
        </is>
      </c>
      <c r="C16" s="503">
        <f>'Unit Mix Summary'!D6+'Unit Mix Summary'!D7</f>
        <v/>
      </c>
      <c r="D16" s="504" t="n"/>
      <c r="E16" s="212" t="n"/>
      <c r="F16" s="212" t="n"/>
      <c r="G16" s="212">
        <f>(G14*C14+G15*C15)*12</f>
        <v/>
      </c>
      <c r="H16" s="212" t="n"/>
      <c r="I16" s="212" t="n"/>
      <c r="J16" s="212" t="n"/>
      <c r="K16" s="212" t="n"/>
      <c r="L16" s="212" t="n"/>
      <c r="M16" s="212">
        <f>L16*(100%+I$7)</f>
        <v/>
      </c>
      <c r="N16" s="212">
        <f>M16*(100%+J$7)</f>
        <v/>
      </c>
      <c r="O16" s="212">
        <f>N16*(100%+K$7)</f>
        <v/>
      </c>
    </row>
    <row r="17" ht="35.45" customHeight="1">
      <c r="A17" s="837" t="n"/>
      <c r="B17" s="502" t="inlineStr">
        <is>
          <t>Physical Vacancy %</t>
        </is>
      </c>
      <c r="C17" s="503">
        <f>IFERROR((C15+C16)/(C10+C11+C15+C16),0)</f>
        <v/>
      </c>
      <c r="D17" s="504" t="n"/>
      <c r="E17" s="212" t="n"/>
      <c r="F17" s="212" t="n"/>
      <c r="G17" s="212" t="n"/>
      <c r="H17" s="212" t="n"/>
      <c r="I17" s="212" t="n"/>
      <c r="J17" s="212" t="n"/>
      <c r="K17" s="212" t="n"/>
      <c r="L17" s="212" t="n"/>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t="n">
        <v>0</v>
      </c>
      <c r="N20" s="507" t="n">
        <v>0</v>
      </c>
      <c r="O20" s="507" t="n">
        <v>0</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B22" t="inlineStr">
        <is>
          <t>Annual GPR (lots only, by year)</t>
        </is>
      </c>
      <c r="D22" s="510" t="n"/>
      <c r="E22" s="511" t="n"/>
      <c r="F22" s="511">
        <f>(E14*C14+E15*C15)*12</f>
        <v/>
      </c>
      <c r="G22" s="511">
        <f>(F14*C14+F15*C15)*12</f>
        <v/>
      </c>
      <c r="H22" s="511">
        <f>(G14*C14+G15*C15)*12</f>
        <v/>
      </c>
      <c r="I22" s="511">
        <f>(H14*C14+H15*C15)*12</f>
        <v/>
      </c>
      <c r="J22" s="511">
        <f>(I14*C14+I15*C15)*12</f>
        <v/>
      </c>
      <c r="K22" s="511">
        <f>(J14*C14+J15*C15)*12</f>
        <v/>
      </c>
      <c r="L22" s="511">
        <f>(J14*(1+G$5)*C14+J15*(1+G$6)*C15)*12</f>
        <v/>
      </c>
      <c r="M22" s="511">
        <f>(J14*(1+G$5)*(1+H$5)*C14+J15*(1+G$6)*(1+H$6)*C15)*12</f>
        <v/>
      </c>
      <c r="N22" s="511">
        <f>(J14*(1+G$5)*(1+H$5)*(1+I$5)*C14+J15*(1+G$6)*(1+H$6)*(1+I$6)*C15)*12</f>
        <v/>
      </c>
      <c r="O22" s="511">
        <f>(J14*(1+G$5)*(1+H$5)*(1+I$5)*(1+J$5)*C14+J15*(1+G$6)*(1+H$6)*(1+I$6)*(1+J$6)*C15)*12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MH/RV Rent Roll</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 (TOH + POH)</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 (MH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 %</t>
        </is>
      </c>
      <c r="C13" s="641">
        <f>IFERROR(C8/E8,0)</f>
        <v/>
      </c>
      <c r="D13" s="641" t="n"/>
      <c r="E13" s="641" t="n"/>
      <c r="F13" s="642" t="n"/>
      <c r="G13" s="642" t="n"/>
      <c r="H13" s="643" t="n"/>
      <c r="I13" s="311" t="n"/>
    </row>
    <row r="14" ht="19.5" customHeight="1">
      <c r="B14" s="640" t="inlineStr">
        <is>
          <t>POH %</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 xml:space="preserve">STABILIZED </t>
        </is>
      </c>
      <c r="H2" s="258" t="inlineStr">
        <is>
          <t>LOT RENT NOI</t>
        </is>
      </c>
      <c r="I2" s="258" t="inlineStr">
        <is>
          <t>TOTAL NOI</t>
        </is>
      </c>
      <c r="J2" s="661" t="inlineStr">
        <is>
          <t>Subject</t>
        </is>
      </c>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Consolidation'!$D$3:$D$21,'Data Consolidation'!$A$3:$A$21,"Gross Potential Rent")</f>
        <v/>
      </c>
      <c r="C4" s="126">
        <f>SUMIFS('Data Consolidation'!$E$3:$E$21,'Data Consolidation'!$A$3:$A$21,"Gross Potential Rent")</f>
        <v/>
      </c>
      <c r="D4" s="126">
        <f>SUMIFS('Data Consolidation'!$G$3:$G$21,'Data Consolidation'!$A$3:$A$21,"Gross Potential Rent")</f>
        <v/>
      </c>
      <c r="E4" s="126">
        <f>SUMIFS('Data Consolidation'!$H$3:$H$21,'Data Consolidation'!$A$3:$A$21,"Gross Potential Rent")</f>
        <v/>
      </c>
      <c r="F4" s="126">
        <f>SUMIFS('Data Consolidation'!$F$3:$F$21,'Data Consolidation'!$A$3:$A$21,"Gross Potential Rent")</f>
        <v/>
      </c>
      <c r="G4" s="320">
        <f>'Unit Mix Rent Growth'!G16</f>
        <v/>
      </c>
      <c r="H4" s="320">
        <f>I4</f>
        <v/>
      </c>
      <c r="I4" s="320">
        <f>'Unit Mix Summary'!C16</f>
        <v/>
      </c>
      <c r="J4" s="663" t="n"/>
      <c r="K4" s="708" t="n"/>
      <c r="L4" s="652" t="n"/>
      <c r="M4" s="154" t="n"/>
      <c r="O4" s="458" t="n"/>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Consolidation'!$D$3:$D$21,'Data Consolidation'!$A$3:$A$21,"Vacancy")</f>
        <v/>
      </c>
      <c r="C5" s="846">
        <f>SUMIFS('Data Consolidation'!$E$3:$E$21,'Data Consolidation'!$A$3:$A$21,"Vacancy")</f>
        <v/>
      </c>
      <c r="D5" s="846">
        <f>SUMIFS('Data Consolidation'!$G$3:$G$21,'Data Consolidation'!$A$3:$A$21,"Vacancy")</f>
        <v/>
      </c>
      <c r="E5" s="846">
        <f>SUMIFS('Data Consolidation'!$H$3:$H$21,'Data Consolidation'!$A$3:$A$21,"Vacancy")</f>
        <v/>
      </c>
      <c r="F5" s="846">
        <f>SUMIFS('Data Consolidation'!$F$3:$F$21,'Data Consolidation'!$A$3:$A$21,"Vacancy")</f>
        <v/>
      </c>
      <c r="G5" s="846">
        <f>-5%*G4</f>
        <v/>
      </c>
      <c r="H5" s="846">
        <f>I5</f>
        <v/>
      </c>
      <c r="I5" s="846">
        <f>-J5*I4</f>
        <v/>
      </c>
      <c r="J5" s="638">
        <f>100%-N8</f>
        <v/>
      </c>
      <c r="K5" s="709" t="n"/>
      <c r="L5" s="653" t="n"/>
      <c r="M5" s="154" t="inlineStr">
        <is>
          <t>Property Address</t>
        </is>
      </c>
      <c r="O5" s="96" t="n"/>
      <c r="P5" s="98" t="n"/>
      <c r="Q5" s="96" t="inlineStr">
        <is>
          <t>Purchase Price Per Site</t>
        </is>
      </c>
      <c r="R5" s="224">
        <f>R4/P7</f>
        <v/>
      </c>
      <c r="S5" s="458" t="inlineStr">
        <is>
          <t>Utilities</t>
        </is>
      </c>
      <c r="T5" s="97" t="n"/>
    </row>
    <row r="6" ht="19.5" customHeight="1" thickBot="1">
      <c r="A6" s="132" t="inlineStr">
        <is>
          <t>Less: Concessions</t>
        </is>
      </c>
      <c r="B6" s="846">
        <f>SUMIFS('Data Consolidation'!$D$3:$D$21,'Data Consolidation'!$A$3:$A$21,"Concessions")</f>
        <v/>
      </c>
      <c r="C6" s="846">
        <f>SUMIFS('Data Consolidation'!$E$3:$E$21,'Data Consolidation'!$A$3:$A$21,"Concessions")</f>
        <v/>
      </c>
      <c r="D6" s="846">
        <f>SUMIFS('Data Consolidation'!$G$3:$G$21,'Data Consolidation'!$A$3:$A$21,"Concessions")</f>
        <v/>
      </c>
      <c r="E6" s="846">
        <f>SUMIFS('Data Consolidation'!$H$3:$H$21,'Data Consolidation'!$A$3:$A$21,"Concessions")</f>
        <v/>
      </c>
      <c r="F6" s="846">
        <f>SUMIFS('Data Consolidation'!$F$3:$F$21,'Data Consolidation'!$A$3:$A$21,"Concessions")</f>
        <v/>
      </c>
      <c r="G6" s="846">
        <f>-J6*$G$4</f>
        <v/>
      </c>
      <c r="H6" s="846">
        <f>I6</f>
        <v/>
      </c>
      <c r="I6" s="846" t="n">
        <v>0</v>
      </c>
      <c r="J6" s="94">
        <f>-I6/I4</f>
        <v/>
      </c>
      <c r="K6" s="709" t="n"/>
      <c r="L6" s="653" t="n"/>
      <c r="M6" s="154" t="inlineStr">
        <is>
          <t>Property Type</t>
        </is>
      </c>
      <c r="O6" s="96" t="n"/>
      <c r="P6" s="98" t="n"/>
      <c r="Q6" s="96" t="inlineStr">
        <is>
          <t>Underwritten CAP rate</t>
        </is>
      </c>
      <c r="R6" s="328">
        <f>I47/R4</f>
        <v/>
      </c>
      <c r="S6" s="458" t="inlineStr">
        <is>
          <t>Flood Zone</t>
        </is>
      </c>
      <c r="T6" s="97" t="n"/>
    </row>
    <row r="7" ht="19.5" customHeight="1" thickBot="1">
      <c r="A7" s="132" t="inlineStr">
        <is>
          <t>Less: Bad Debt</t>
        </is>
      </c>
      <c r="B7" s="127">
        <f>SUMIFS('Data Consolidation'!$D$3:$D$21,'Data Consolidation'!$A$3:$A$21,"Bad Debt")</f>
        <v/>
      </c>
      <c r="C7" s="127">
        <f>SUMIFS('Data Consolidation'!$E$3:$E$21,'Data Consolidation'!$A$3:$A$21,"Bad Debt")</f>
        <v/>
      </c>
      <c r="D7" s="127">
        <f>SUMIFS('Data Consolidation'!$G$3:$G$21,'Data Consolidation'!$A$3:$A$21,"Bad Debt")</f>
        <v/>
      </c>
      <c r="E7" s="127">
        <f>SUMIFS('Data Consolidation'!$H$3:$H$21,'Data Consolidation'!$A$3:$A$21,"Bad Debt")</f>
        <v/>
      </c>
      <c r="F7" s="127">
        <f>SUMIFS('Data Consolidation'!$F$3:$F$21,'Data Consolidation'!$A$3:$A$21,"Bad Debt")</f>
        <v/>
      </c>
      <c r="G7" s="108">
        <f>-J7*$G$4</f>
        <v/>
      </c>
      <c r="H7" s="108">
        <f>I7</f>
        <v/>
      </c>
      <c r="I7" s="108">
        <f>D7</f>
        <v/>
      </c>
      <c r="J7" s="94">
        <f>-I7/I4</f>
        <v/>
      </c>
      <c r="K7" s="709" t="n"/>
      <c r="L7" s="653" t="n"/>
      <c r="M7" s="154" t="inlineStr">
        <is>
          <t># of Units</t>
        </is>
      </c>
      <c r="N7">
        <f>'Unit Mix Summary'!E8</f>
        <v/>
      </c>
      <c r="O7" s="96" t="n"/>
      <c r="P7" s="459" t="n"/>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n"/>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n"/>
      <c r="P10" s="98" t="n"/>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Consolidation'!$D$3:$D$21,'Data Consolidation'!$A$3:$A$21,"Utility Reimbursement")</f>
        <v/>
      </c>
      <c r="C12" s="127">
        <f>SUMIFS('Data Consolidation'!$E$3:$E$21,'Data Consolidation'!$A$3:$A$21,"Utility Reimbursement")</f>
        <v/>
      </c>
      <c r="D12" s="127">
        <f>SUMIFS('Data Consolidation'!$G$3:$G$21,'Data Consolidation'!$A$3:$A$21,"Utility Reimbursement")</f>
        <v/>
      </c>
      <c r="E12" s="127">
        <f>SUMIFS('Data Consolidation'!$H$3:$H$21,'Data Consolidation'!$A$3:$A$21,"Utility Reimbursement")</f>
        <v/>
      </c>
      <c r="F12" s="127">
        <f>SUMIFS('Data Consolidation'!$F$3:$F$21,'Data Consolidation'!$A$3:$A$21,"Utility Reimbursement")</f>
        <v/>
      </c>
      <c r="G12" s="108">
        <f>75%*G27</f>
        <v/>
      </c>
      <c r="H12" s="108">
        <f>I12</f>
        <v/>
      </c>
      <c r="I12" s="108">
        <f>D12</f>
        <v/>
      </c>
      <c r="J12" s="108">
        <f>I12/$N$7</f>
        <v/>
      </c>
      <c r="K12" s="851" t="n"/>
      <c r="L12" s="851" t="n"/>
      <c r="M12" s="154" t="n"/>
      <c r="O12" s="329" t="inlineStr">
        <is>
          <t>County Tax Rate</t>
        </is>
      </c>
      <c r="P12" s="329" t="n">
        <v>0</v>
      </c>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Consolidation'!$D$3:$D$21,'Data Consolidation'!$A$3:$A$21,"Home Rent Income")</f>
        <v/>
      </c>
      <c r="C13" s="127">
        <f>SUMIFS('Data Consolidation'!$E$3:$E$21,'Data Consolidation'!$A$3:$A$21,"Home Rent Income")</f>
        <v/>
      </c>
      <c r="D13" s="127">
        <f>SUMIFS('Data Consolidation'!$G$3:$G$21,'Data Consolidation'!$A$3:$A$21,"Home Rent Income")</f>
        <v/>
      </c>
      <c r="E13" s="127">
        <f>SUMIFS('Data Consolidation'!$H$3:$H$21,'Data Consolidation'!$A$3:$A$21,"Home Rent Income")</f>
        <v/>
      </c>
      <c r="F13" s="127">
        <f>SUMIFS('Data Consolidation'!$F$3:$F$21,'Data Consolidation'!$A$3:$A$21,"Home Rent Income")</f>
        <v/>
      </c>
      <c r="G13" s="108">
        <f>I13</f>
        <v/>
      </c>
      <c r="H13" s="108" t="n"/>
      <c r="I13" s="108" t="n">
        <v>0</v>
      </c>
      <c r="J13" s="108">
        <f>I13/$N$7</f>
        <v/>
      </c>
      <c r="K13" s="851" t="n"/>
      <c r="L13" s="851" t="n"/>
      <c r="M13" s="327" t="n"/>
      <c r="O13" s="275" t="inlineStr">
        <is>
          <t>Lot Rent only NOI</t>
        </is>
      </c>
      <c r="P13" s="852">
        <f>H47</f>
        <v/>
      </c>
      <c r="Q13" s="670" t="n">
        <v>0</v>
      </c>
      <c r="R13" s="853">
        <f>P13/Q13</f>
        <v/>
      </c>
      <c r="S13" s="853">
        <f>R13/T13</f>
        <v/>
      </c>
      <c r="T13" s="671" t="n">
        <v>0</v>
      </c>
      <c r="U13" s="854" t="n"/>
    </row>
    <row r="14" ht="21" customHeight="1">
      <c r="A14" s="134" t="inlineStr">
        <is>
          <t>RV Site Rental Income</t>
        </is>
      </c>
      <c r="B14" s="127">
        <f>SUMIFS('Data Consolidation'!$D$3:$D$21,'Data Consolidation'!$A$3:$A$21,"LTO")</f>
        <v/>
      </c>
      <c r="C14" s="127">
        <f>SUMIFS('Data Consolidation'!$E$3:$E$21,'Data Consolidation'!$A$3:$A$21,"LTO")</f>
        <v/>
      </c>
      <c r="D14" s="127">
        <f>SUMIFS('Data Consolidation'!$G$3:$G$21,'Data Consolidation'!$A$3:$A$21,"LTO")</f>
        <v/>
      </c>
      <c r="E14" s="127">
        <f>SUMIFS('Data Consolidation'!$H$3:$H$21,'Data Consolidation'!$A$3:$A$21,"LTO")</f>
        <v/>
      </c>
      <c r="F14" s="127">
        <f>SUMIFS('Data Consolidation'!$F$3:$F$21,'Data Consolidation'!$A$3:$A$21,"LTO")</f>
        <v/>
      </c>
      <c r="G14" s="108">
        <f>I14</f>
        <v/>
      </c>
      <c r="H14" s="108" t="n"/>
      <c r="I14" s="108">
        <f>'Unit Mix Summary'!C15*90%</f>
        <v/>
      </c>
      <c r="J14" s="108">
        <f>I14/$N$7</f>
        <v/>
      </c>
      <c r="K14" s="851" t="n"/>
      <c r="L14" s="851" t="n"/>
      <c r="M14" s="154" t="n"/>
      <c r="O14" s="275" t="inlineStr">
        <is>
          <t>Home Rent only NOI</t>
        </is>
      </c>
      <c r="P14" s="669">
        <f>I47-H47</f>
        <v/>
      </c>
      <c r="Q14" s="725" t="n">
        <v>0</v>
      </c>
      <c r="R14" s="853">
        <f>P14/Q14</f>
        <v/>
      </c>
      <c r="S14" s="853">
        <f>R14/T14</f>
        <v/>
      </c>
      <c r="T14" s="671" t="n">
        <v>0</v>
      </c>
      <c r="U14" s="854" t="n"/>
    </row>
    <row r="15" ht="21.75" customHeight="1">
      <c r="A15" s="134" t="inlineStr">
        <is>
          <t>Storage Income</t>
        </is>
      </c>
      <c r="B15" s="127">
        <f>SUMIFS('Data Consolidation'!$D$3:$D$21,'Data Consolidation'!$A$3:$A$21,"SFH")</f>
        <v/>
      </c>
      <c r="C15" s="127">
        <f>SUMIFS('Data Consolidation'!$E$3:$E$21,'Data Consolidation'!$A$3:$A$21,"SFH")</f>
        <v/>
      </c>
      <c r="D15" s="127">
        <f>SUMIFS('Data Consolidation'!$G$3:$G$21,'Data Consolidation'!$A$3:$A$21,"SFH")</f>
        <v/>
      </c>
      <c r="E15" s="127">
        <f>SUMIFS('Data Consolidation'!$H$3:$H$21,'Data Consolidation'!$A$3:$A$21,"SFH")</f>
        <v/>
      </c>
      <c r="F15" s="127">
        <f>SUMIFS('Data Consolidation'!$F$3:$F$21,'Data Consolidation'!$A$3:$A$21,"SFH")</f>
        <v/>
      </c>
      <c r="G15" s="108">
        <f>I15</f>
        <v/>
      </c>
      <c r="H15" s="108">
        <f>I15</f>
        <v/>
      </c>
      <c r="I15" s="108">
        <f>D15</f>
        <v/>
      </c>
      <c r="J15" s="108">
        <f>I15/$N$7</f>
        <v/>
      </c>
      <c r="K15" s="851" t="n"/>
      <c r="L15" s="851" t="n"/>
      <c r="M15" s="154" t="n"/>
      <c r="N15" s="225" t="n"/>
      <c r="O15" s="275" t="n"/>
      <c r="P15" s="669" t="n"/>
      <c r="Q15" s="672" t="n"/>
      <c r="R15" s="853" t="n"/>
      <c r="S15" s="671" t="n"/>
      <c r="T15" s="671" t="n"/>
      <c r="U15" s="854" t="n"/>
    </row>
    <row r="16" ht="21.75" customHeight="1">
      <c r="A16" s="134" t="inlineStr">
        <is>
          <t>Retail Income</t>
        </is>
      </c>
      <c r="B16" s="127">
        <f>SUMIFS('Data Consolidation'!$D$3:$D$21,'Data Consolidation'!$A$3:$A$21,"Laundry Income")</f>
        <v/>
      </c>
      <c r="C16" s="127">
        <f>SUMIFS('Data Consolidation'!$E$3:$E$21,'Data Consolidation'!$A$3:$A$21,"Laundry Income")</f>
        <v/>
      </c>
      <c r="D16" s="127">
        <f>SUMIFS('Data Consolidation'!$G$3:$G$21,'Data Consolidation'!$A$3:$A$21,"Laundry Income")</f>
        <v/>
      </c>
      <c r="E16" s="127">
        <f>SUMIFS('Data Consolidation'!$H$3:$H$21,'Data Consolidation'!$A$3:$A$21,"Laundry Income")</f>
        <v/>
      </c>
      <c r="F16" s="127">
        <f>SUMIFS('Data Consolidation'!$F$3:$F$21,'Data Consolidation'!$A$3:$A$21,"Laundry Income")</f>
        <v/>
      </c>
      <c r="G16" s="108">
        <f>I16</f>
        <v/>
      </c>
      <c r="H16" s="108">
        <f>I16</f>
        <v/>
      </c>
      <c r="I16" s="108">
        <f>'Unit Mix Summary'!H7*12*98%</f>
        <v/>
      </c>
      <c r="J16" s="108">
        <f>I16/$N$7</f>
        <v/>
      </c>
      <c r="K16" s="851" t="n"/>
      <c r="L16" s="851" t="n"/>
      <c r="M16" s="154" t="n"/>
      <c r="O16" s="313" t="n"/>
      <c r="P16" s="314" t="n"/>
      <c r="Q16" s="671" t="n"/>
      <c r="R16" s="853" t="n"/>
      <c r="S16" s="671" t="n"/>
      <c r="T16" s="671" t="n"/>
      <c r="U16" s="854" t="n"/>
    </row>
    <row r="17" ht="17.25" customHeight="1">
      <c r="A17" s="134" t="inlineStr">
        <is>
          <t>Other Income</t>
        </is>
      </c>
      <c r="B17" s="127">
        <f>SUMIFS('Data Consolidation'!$D$3:$D$21,'Data Consolidation'!$A$3:$A$21,"Other Income")</f>
        <v/>
      </c>
      <c r="C17" s="127">
        <f>SUMIFS('Data Consolidation'!$E$3:$E$21,'Data Consolidation'!$A$3:$A$21,"Other Income")</f>
        <v/>
      </c>
      <c r="D17" s="127">
        <f>SUMIFS('Data Consolidation'!$G$3:$G$21,'Data Consolidation'!$A$3:$A$21,"Other Income")</f>
        <v/>
      </c>
      <c r="E17" s="127">
        <f>SUMIFS('Data Consolidation'!$H$3:$H$21,'Data Consolidation'!$A$3:$A$21,"Other Income")</f>
        <v/>
      </c>
      <c r="F17" s="127">
        <f>SUMIFS('Data Consolidation'!$F$3:$F$21,'Data Consolidation'!$A$3:$A$21,"Other Income")</f>
        <v/>
      </c>
      <c r="G17" s="108">
        <f>I17</f>
        <v/>
      </c>
      <c r="H17" s="108">
        <f>I17</f>
        <v/>
      </c>
      <c r="I17" s="108">
        <f>AVERAGE(B17:C17)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f>$I$19/$N$7</f>
        <v/>
      </c>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Consolidation'!$D$28:$D$58,'Data Consolidation'!$A$28:$A$58,"RE Taxes")</f>
        <v/>
      </c>
      <c r="C22" s="127">
        <f>SUMIFS('Data Consolidation'!$E$28:$E$58,'Data Consolidation'!$A$28:$A$58,"RE Taxes")</f>
        <v/>
      </c>
      <c r="D22" s="127">
        <f>SUMIFS('Data Consolidation'!$G$28:$G$58,'Data Consolidation'!$A$28:$A$58,"RE Taxes")</f>
        <v/>
      </c>
      <c r="E22" s="127">
        <f>SUMIFS('Data Consolidation'!$H$28:$H$58,'Data Consolidation'!$A$28:$A$58,"RE Taxes")</f>
        <v/>
      </c>
      <c r="F22" s="127">
        <f>SUMIFS('Data Consolidation'!$F$28:$F$58,'Data Consolidation'!$A$28:$A$58,"RE Taxes")</f>
        <v/>
      </c>
      <c r="G22" s="324">
        <f>I22</f>
        <v/>
      </c>
      <c r="H22" s="324">
        <f>I22</f>
        <v/>
      </c>
      <c r="I22" s="324">
        <f>MAX(J22*N7,D22*1.15,IF(AND(ISNUMBER(P4),ISNUMBER(P12),P12&gt;0),P4*0.65*P12,0))</f>
        <v/>
      </c>
      <c r="J22" s="108" t="n">
        <v>400</v>
      </c>
      <c r="K22" s="851" t="n"/>
      <c r="L22" s="857" t="n"/>
      <c r="M22" s="274" t="n"/>
      <c r="O22" s="313" t="inlineStr">
        <is>
          <t>Tax</t>
        </is>
      </c>
      <c r="P22" s="314">
        <f>P20*P21</f>
        <v/>
      </c>
      <c r="Q22" s="59" t="n"/>
      <c r="R22" s="59" t="n"/>
    </row>
    <row r="23" ht="15" customHeight="1">
      <c r="A23" s="134" t="inlineStr">
        <is>
          <t>Insurance</t>
        </is>
      </c>
      <c r="B23" s="127">
        <f>SUMIFS('Data Consolidation'!$D$28:$D$58,'Data Consolidation'!$A$28:$A$58,"Insurance")</f>
        <v/>
      </c>
      <c r="C23" s="127">
        <f>SUMIFS('Data Consolidation'!$E$28:$E$58,'Data Consolidation'!$A$28:$A$58,"Insurance")</f>
        <v/>
      </c>
      <c r="D23" s="127">
        <f>SUMIFS('Data Consolidation'!$G$28:$G$58,'Data Consolidation'!$A$28:$A$58,"Insurance")</f>
        <v/>
      </c>
      <c r="E23" s="127">
        <f>SUMIFS('Data Consolidation'!$H$28:$H$58,'Data Consolidation'!$A$28:$A$58,"Insurance")</f>
        <v/>
      </c>
      <c r="F23" s="127">
        <f>SUMIFS('Data Consolidation'!$F$28:$F$58,'Data Consolidation'!$A$28:$A$58,"Insurance")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Consolidation'!$D$28:$D$58,'Data Consolidation'!$A$28:$A$58,"Gas/Fuel")</f>
        <v/>
      </c>
      <c r="C25" s="127">
        <f>SUMIFS('Data Consolidation'!$E$28:$E$58,'Data Consolidation'!$A$28:$A$58,"Gas/Fuel")</f>
        <v/>
      </c>
      <c r="D25" s="127">
        <f>SUMIFS('Data Consolidation'!$G$28:$G$58,'Data Consolidation'!$A$28:$A$58,"Gas/Fuel")</f>
        <v/>
      </c>
      <c r="E25" s="127">
        <f>SUMIFS('Data Consolidation'!$H$28:$H$58,'Data Consolidation'!$A$28:$A$58,"Gas/Fuel")</f>
        <v/>
      </c>
      <c r="F25" s="127">
        <f>SUMIFS('Data Consolidation'!$F$28:$F$58,'Data Consolidation'!$A$28:$A$58,"Gas/Fuel")</f>
        <v/>
      </c>
      <c r="G25" s="324">
        <f>I25</f>
        <v/>
      </c>
      <c r="H25" s="108">
        <f>80%*I25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Consolidation'!$D$28:$D$58,'Data Consolidation'!$A$28:$A$58,"Electricity")</f>
        <v/>
      </c>
      <c r="C26" s="127">
        <f>SUMIFS('Data Consolidation'!$E$28:$E$58,'Data Consolidation'!$A$28:$A$58,"Electricity")</f>
        <v/>
      </c>
      <c r="D26" s="127">
        <f>SUMIFS('Data Consolidation'!$G$28:$G$58,'Data Consolidation'!$A$28:$A$58,"Electricity")</f>
        <v/>
      </c>
      <c r="E26" s="127">
        <f>SUMIFS('Data Consolidation'!$H$28:$H$58,'Data Consolidation'!$A$28:$A$58,"Electricity")</f>
        <v/>
      </c>
      <c r="F26" s="127">
        <f>SUMIFS('Data Consolidation'!$F$28:$F$58,'Data Consolidation'!$A$28:$A$58,"Electricity")</f>
        <v/>
      </c>
      <c r="G26" s="324">
        <f>I26</f>
        <v/>
      </c>
      <c r="H26" s="108">
        <f>80%*I26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Consolidation'!$D$28:$D$58,'Data Consolidation'!$A$28:$A$58,"Water and Sewer")</f>
        <v/>
      </c>
      <c r="C27" s="127">
        <f>SUMIFS('Data Consolidation'!$E$28:$E$58,'Data Consolidation'!$A$28:$A$58,"Water and Sewer")</f>
        <v/>
      </c>
      <c r="D27" s="127">
        <f>SUMIFS('Data Consolidation'!$G$28:$G$58,'Data Consolidation'!$A$28:$A$58,"Water and Sewer")</f>
        <v/>
      </c>
      <c r="E27" s="127">
        <f>SUMIFS('Data Consolidation'!$H$28:$H$58,'Data Consolidation'!$A$28:$A$58,"Water and Sewer")</f>
        <v/>
      </c>
      <c r="F27" s="127">
        <f>SUMIFS('Data Consolidation'!$F$28:$F$58,'Data Consolidation'!$A$28:$A$58,"Water and Sewer")</f>
        <v/>
      </c>
      <c r="G27" s="324">
        <f>I27</f>
        <v/>
      </c>
      <c r="H27" s="108">
        <f>80%*I27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Consolidation'!$D$28:$D$58,'Data Consolidation'!$A$28:$A$58,"Trash Removal")</f>
        <v/>
      </c>
      <c r="C28" s="127">
        <f>SUMIFS('Data Consolidation'!$E$28:$E$58,'Data Consolidation'!$A$28:$A$58,"Trash Removal")</f>
        <v/>
      </c>
      <c r="D28" s="127">
        <f>SUMIFS('Data Consolidation'!$G$28:$G$58,'Data Consolidation'!$A$28:$A$58,"Trash Removal")</f>
        <v/>
      </c>
      <c r="E28" s="127">
        <f>SUMIFS('Data Consolidation'!$H$28:$H$58,'Data Consolidation'!$A$28:$A$58,"Trash Removal")</f>
        <v/>
      </c>
      <c r="F28" s="127">
        <f>SUMIFS('Data Consolidation'!$F$28:$F$58,'Data Consolidation'!$A$28:$A$58,"Trash Removal")</f>
        <v/>
      </c>
      <c r="G28" s="324">
        <f>I28</f>
        <v/>
      </c>
      <c r="H28" s="108">
        <f>80%*I28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Consolidation'!$D$28:$D$58,'Data Consolidation'!$A$28:$A$58,"Repair and Maintenance")</f>
        <v/>
      </c>
      <c r="C30" s="136">
        <f>SUMIFS('Data Consolidation'!$E$28:$E$58,'Data Consolidation'!$A$28:$A$58,"Repair and Maintenance")</f>
        <v/>
      </c>
      <c r="D30" s="127">
        <f>SUMIFS('Data Consolidation'!$G$28:$G$58,'Data Consolidation'!$A$28:$A$58,"Repair and Maintenance")</f>
        <v/>
      </c>
      <c r="E30" s="127">
        <f>SUMIFS('Data Consolidation'!$H$28:$H$58,'Data Consolidation'!$A$28:$A$58,"Repair and Maintenance")</f>
        <v/>
      </c>
      <c r="F30" s="127">
        <f>SUMIFS('Data Consolidation'!$F$28:$F$58,'Data Consolidation'!$A$28:$A$58,"Repair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Consolidation'!$D$28:$D$58,'Data Consolidation'!$A$28:$A$58,"Ground Maintenance")</f>
        <v/>
      </c>
      <c r="C31" s="127">
        <f>SUMIFS('Data Consolidation'!$E$28:$E$58,'Data Consolidation'!$A$28:$A$58,"Ground Maintenance")</f>
        <v/>
      </c>
      <c r="D31" s="127">
        <f>SUMIFS('Data Consolidation'!$G$28:$G$58,'Data Consolidation'!$A$28:$A$58,"Ground Maintenance")</f>
        <v/>
      </c>
      <c r="E31" s="127">
        <f>SUMIFS('Data Consolidation'!$H$28:$H$58,'Data Consolidation'!$A$28:$A$58,"Ground Maintenance")</f>
        <v/>
      </c>
      <c r="F31" s="127">
        <f>SUMIFS('Data Consolidation'!$F$28:$F$58,'Data Consolidation'!$A$28:$A$58,"Ground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Consolidation'!$D$28:$D$58,'Data Consolidation'!$A$28:$A$58,"Recreational Amenities")</f>
        <v/>
      </c>
      <c r="C32" s="127">
        <f>SUMIFS('Data Consolidation'!$E$28:$E$58,'Data Consolidation'!$A$28:$A$58,"Recreational Amenities")</f>
        <v/>
      </c>
      <c r="D32" s="127">
        <f>SUMIFS('Data Consolidation'!$G$28:$G$58,'Data Consolidation'!$A$28:$A$58,"Recreational Amenities")</f>
        <v/>
      </c>
      <c r="E32" s="127">
        <f>SUMIFS('Data Consolidation'!$H$28:$H$58,'Data Consolidation'!$A$28:$A$58,"Recreational Amenities")</f>
        <v/>
      </c>
      <c r="F32" s="127">
        <f>SUMIFS('Data Consolidation'!$F$28:$F$58,'Data Consolidation'!$A$28:$A$58,"Recreational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Consolidation'!$D$28:$D$58,'Data Consolidation'!$A$28:$A$58,"Management Fee")</f>
        <v/>
      </c>
      <c r="C33" s="127">
        <f>SUMIFS('Data Consolidation'!$E$28:$E$58,'Data Consolidation'!$A$28:$A$58,"Management Fee")</f>
        <v/>
      </c>
      <c r="D33" s="127">
        <f>SUMIFS('Data Consolidation'!$G$28:$G$58,'Data Consolidation'!$A$28:$A$58,"Management Fee")</f>
        <v/>
      </c>
      <c r="E33" s="127">
        <f>SUMIFS('Data Consolidation'!$H$28:$H$58,'Data Consolidation'!$A$28:$A$58,"Management Fee")</f>
        <v/>
      </c>
      <c r="F33" s="127">
        <f>SUMIFS('Data Consolidation'!$F$28:$F$58,'Data Consolidation'!$A$28:$A$58,"Management Fee")</f>
        <v/>
      </c>
      <c r="G33" s="254">
        <f>J33*G19</f>
        <v/>
      </c>
      <c r="H33" s="254">
        <f>J33*H19</f>
        <v/>
      </c>
      <c r="I33" s="254">
        <f>J33*I19</f>
        <v/>
      </c>
      <c r="J33" s="859">
        <f>IF(N7&gt;=200,0.04,0.05)</f>
        <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Consolidation'!$D$28:$D$58,'Data Consolidation'!$A$28:$A$58,"Payroll")</f>
        <v/>
      </c>
      <c r="C35" s="127">
        <f>SUMIFS('Data Consolidation'!$E$28:$E$58,'Data Consolidation'!$A$28:$A$58,"Payroll")</f>
        <v/>
      </c>
      <c r="D35" s="127">
        <f>SUMIFS('Data Consolidation'!$G$28:$G$58,'Data Consolidation'!$A$28:$A$58,"Payroll")</f>
        <v/>
      </c>
      <c r="E35" s="127">
        <f>SUMIFS('Data Consolidation'!$H$28:$H$58,'Data Consolidation'!$A$28:$A$58,"Payroll")</f>
        <v/>
      </c>
      <c r="F35" s="130">
        <f>SUMIFS('Data Consolidation'!$F$28:$F$58,'Data Consolidation'!$A$28:$A$58,"Payroll")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Consolidation'!$D$3:$D$21,'Data Consolidation'!$A$3:$A$21,"Employee Allowance (expense)")</f>
        <v/>
      </c>
      <c r="C36" s="127">
        <f>-SUMIFS('Data Consolidation'!$E$3:$E$21,'Data Consolidation'!$A$3:$A$21,"Employee Allowance (expense)")</f>
        <v/>
      </c>
      <c r="D36" s="127">
        <f>-SUMIFS('Data Consolidation'!$G$3:$G$21,'Data Consolidation'!$A$3:$A$21,"Employee Allowance (expense)")</f>
        <v/>
      </c>
      <c r="E36" s="127">
        <f>-SUMIFS('Data Consolidation'!$H$3:$H$21,'Data Consolidation'!$A$3:$A$21,"Employee Allowance (expense)")</f>
        <v/>
      </c>
      <c r="F36" s="130">
        <f>-SUMIFS('Data Consolidation'!$F$3:$F$21,'Data Consolidation'!$A$3:$A$21,"Employee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Consolidation'!$D$28:$D$58,'Data Consolidation'!$A$28:$A$58,"G&amp;A")</f>
        <v/>
      </c>
      <c r="C37" s="127">
        <f>SUMIFS('Data Consolidation'!$E$28:$E$58,'Data Consolidation'!$A$28:$A$58,"G&amp;A")</f>
        <v/>
      </c>
      <c r="D37" s="127">
        <f>SUMIFS('Data Consolidation'!$G$28:$G$58,'Data Consolidation'!$A$28:$A$58,"G&amp;A")</f>
        <v/>
      </c>
      <c r="E37" s="127">
        <f>SUMIFS('Data Consolidation'!$H$28:$H$58,'Data Consolidation'!$A$28:$A$58,"G&amp;A")</f>
        <v/>
      </c>
      <c r="F37" s="130">
        <f>SUMIFS('Data Consolidation'!$F$28:$F$58,'Data Consolidation'!$A$28:$A$58,"G&amp;A")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Consolidation'!$D$3:$D$21,'Data Consolidation'!$A$3:$A$21,"Model Unit (expense)")</f>
        <v/>
      </c>
      <c r="C38" s="127">
        <f>-SUMIFS('Data Consolidation'!$E$3:$E$21,'Data Consolidation'!$A$3:$A$21,"Model Unit (expense)")</f>
        <v/>
      </c>
      <c r="D38" s="127">
        <f>-SUMIFS('Data Consolidation'!$G$3:$G$21,'Data Consolidation'!$A$3:$A$21,"Model Unit (expense)")</f>
        <v/>
      </c>
      <c r="E38" s="127">
        <f>-SUMIFS('Data Consolidation'!$H$3:$H$21,'Data Consolidation'!$A$3:$A$21,"Model Unit (expense)")</f>
        <v/>
      </c>
      <c r="F38" s="130">
        <f>-SUMIFS('Data Consolidation'!$F$3:$F$21,'Data Consolidation'!$A$3:$A$21,"Model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Consolidation'!$D$28:$D$58,'Data Consolidation'!$A$28:$A$58,"Professional Fees")</f>
        <v/>
      </c>
      <c r="C39" s="127">
        <f>SUMIFS('Data Consolidation'!$E$28:$E$58,'Data Consolidation'!$A$28:$A$58,"Professional Fees")</f>
        <v/>
      </c>
      <c r="D39" s="127">
        <f>SUMIFS('Data Consolidation'!$G$28:$G$58,'Data Consolidation'!$A$28:$A$58,"Professional Fees")</f>
        <v/>
      </c>
      <c r="E39" s="127">
        <f>SUMIFS('Data Consolidation'!$H$28:$H$58,'Data Consolidation'!$A$28:$A$58,"Professional Fees")</f>
        <v/>
      </c>
      <c r="F39" s="130">
        <f>SUMIFS('Data Consolidation'!$F$28:$F$58,'Data Consolidation'!$A$28:$A$58,"Professional Fees")</f>
        <v/>
      </c>
      <c r="G39" s="324">
        <f>I39</f>
        <v/>
      </c>
      <c r="H39" s="108">
        <f>I39</f>
        <v/>
      </c>
      <c r="I39" s="324">
        <f>D39*(100%+3%)</f>
        <v/>
      </c>
      <c r="J39" s="803">
        <f>I39/$N$7</f>
        <v/>
      </c>
      <c r="K39" s="851" t="n"/>
      <c r="L39" s="857" t="n"/>
      <c r="M39" s="154" t="n"/>
      <c r="O39" s="59" t="n"/>
      <c r="P39" s="59" t="n"/>
      <c r="Q39" s="59" t="n"/>
      <c r="R39" s="59" t="n"/>
    </row>
    <row r="40" ht="20.25" customHeight="1">
      <c r="A40" s="134" t="inlineStr">
        <is>
          <t>Advertising</t>
        </is>
      </c>
      <c r="B40" s="127">
        <f>SUMIFS('Data Consolidation'!$D$28:$D$58,'Data Consolidation'!$A$28:$A$58,"Advertising")</f>
        <v/>
      </c>
      <c r="C40" s="127">
        <f>SUMIFS('Data Consolidation'!$E$28:$E$58,'Data Consolidation'!$A$28:$A$58,"Advertising")</f>
        <v/>
      </c>
      <c r="D40" s="127">
        <f>SUMIFS('Data Consolidation'!$G$28:$G$58,'Data Consolidation'!$A$28:$A$58,"Advertising")</f>
        <v/>
      </c>
      <c r="E40" s="127">
        <f>SUMIFS('Data Consolidation'!$H$28:$H$58,'Data Consolidation'!$A$28:$A$58,"Advertising")</f>
        <v/>
      </c>
      <c r="F40" s="130">
        <f>SUMIFS('Data Consolidation'!$F$28:$F$58,'Data Consolidation'!$A$28:$A$58,"Advertising")</f>
        <v/>
      </c>
      <c r="G40" s="324">
        <f>I40</f>
        <v/>
      </c>
      <c r="H40" s="108">
        <f>I40</f>
        <v/>
      </c>
      <c r="I40" s="324">
        <f>D40*(100%+3%)</f>
        <v/>
      </c>
      <c r="J40" s="803">
        <f>I40/$N$7</f>
        <v/>
      </c>
      <c r="K40" s="851" t="n"/>
      <c r="L40" s="857" t="n"/>
      <c r="M40" s="154" t="n"/>
      <c r="O40" s="59" t="n"/>
      <c r="P40" s="59" t="n"/>
      <c r="Q40" s="59" t="n"/>
      <c r="R40" s="59" t="n"/>
    </row>
    <row r="41" ht="20.25" customHeight="1">
      <c r="A41" s="134" t="inlineStr">
        <is>
          <t>Home Rent Expense (MH)</t>
        </is>
      </c>
      <c r="B41" s="127">
        <f>SUMIFS('Data Consolidation'!$D$28:$D$58,'Data Consolidation'!$A$28:$A$58,"Home Rent Expense")</f>
        <v/>
      </c>
      <c r="C41" s="127">
        <f>SUMIFS('Data Consolidation'!$E$28:$E$58,'Data Consolidation'!$A$28:$A$58,"Home Rent Expense")</f>
        <v/>
      </c>
      <c r="D41" s="127">
        <f>SUMIFS('Data Consolidation'!$G$28:$G$58,'Data Consolidation'!$A$28:$A$58,"Home Rent Expense")</f>
        <v/>
      </c>
      <c r="E41" s="127">
        <f>SUMIFS('Data Consolidation'!$H$28:$H$58,'Data Consolidation'!$A$28:$A$58,"Home Rent Expense")</f>
        <v/>
      </c>
      <c r="F41" s="130">
        <f>SUMIFS('Data Consolidation'!$F$28:$F$58,'Data Consolidation'!$A$28:$A$58,"Home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Consolidation'!$D$28:$D$58,'Data Consolidation'!$A$28:$A$58,"Other")</f>
        <v/>
      </c>
      <c r="C42" s="127">
        <f>SUMIFS('Data Consolidation'!$E$28:$E$58,'Data Consolidation'!$A$28:$A$58,"Other")</f>
        <v/>
      </c>
      <c r="D42" s="127">
        <f>SUMIFS('Data Consolidation'!$G$28:$G$58,'Data Consolidation'!$A$28:$A$58,"Other")</f>
        <v/>
      </c>
      <c r="E42" s="127">
        <f>SUMIFS('Data Consolidation'!$H$28:$H$58,'Data Consolidation'!$A$28:$A$58,"Other")</f>
        <v/>
      </c>
      <c r="F42" s="130">
        <f>SUMIFS('Data Consolidation'!$F$28:$F$58,'Data Consolidation'!$A$28:$A$58,"Other")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Consolidation'!$D$28:$D$58,'Data Consolidation'!$A$28:$A$58,"Cap Ex")</f>
        <v/>
      </c>
      <c r="C43" s="127">
        <f>SUMIFS('Data Consolidation'!$E$28:$E$58,'Data Consolidation'!$A$28:$A$58,"Cap Ex")</f>
        <v/>
      </c>
      <c r="D43" s="127">
        <f>SUMIFS('Data Consolidation'!$G$28:$G$58,'Data Consolidation'!$A$28:$A$58,"Cap Ex")</f>
        <v/>
      </c>
      <c r="E43" s="127">
        <f>SUMIFS('Data Consolidation'!$H$28:$H$58,'Data Consolidation'!$A$28:$A$58,"Cap Ex")</f>
        <v/>
      </c>
      <c r="F43" s="130">
        <f>SUMIFS('Data Consolidation'!$F$28:$F$58,'Data Consolidation'!$A$28:$A$58,"Cap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f>$I$44/$N$7</f>
        <v/>
      </c>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2026-06-04T02:13:59Z</dcterms:modified>
  <cp:lastModifiedBy>michael janabi</cp:lastModifiedBy>
</cp:coreProperties>
</file>