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fullCalcOnLoad="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4">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60" t="n"/>
      <c r="B151" s="960" t="n"/>
      <c r="C151" s="960" t="n"/>
      <c r="D151" s="961" t="n"/>
      <c r="E151" s="962" t="n"/>
      <c r="F151" s="962" t="n"/>
      <c r="G151" s="962" t="n"/>
      <c r="H151" s="962" t="n"/>
      <c r="I151" s="963" t="n"/>
      <c r="J151" s="963" t="n"/>
      <c r="K151" s="963" t="n"/>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inlineStr">
        <is>
          <t>for y1 realized only increases starting May</t>
        </is>
      </c>
    </row>
    <row r="3" ht="15.75" customHeight="1" thickBot="1">
      <c r="A3" s="371" t="inlineStr">
        <is>
          <t>Lots only</t>
        </is>
      </c>
      <c r="B3" s="59" t="inlineStr">
        <is>
          <t>next increase in May 2026</t>
        </is>
      </c>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t="inlineStr">
        <is>
          <t>MH Lot Rent (TOH)</t>
        </is>
      </c>
      <c r="B5" s="752" t="n">
        <v>0.035</v>
      </c>
      <c r="C5" s="834" t="n">
        <v>0.075</v>
      </c>
      <c r="D5" s="834" t="n">
        <v>0.07000000000000001</v>
      </c>
      <c r="E5" s="834" t="n">
        <v>0.05</v>
      </c>
      <c r="F5" s="834" t="n">
        <v>0.04</v>
      </c>
      <c r="G5" s="834" t="n">
        <v>0.04</v>
      </c>
      <c r="H5" s="834" t="n">
        <v>0.04</v>
      </c>
      <c r="I5" s="834" t="n">
        <v>0.04</v>
      </c>
      <c r="J5" s="834" t="n">
        <v>0.04</v>
      </c>
      <c r="K5" s="835" t="n">
        <v>0.04</v>
      </c>
    </row>
    <row r="6">
      <c r="A6" s="498" t="inlineStr">
        <is>
          <t>Long Term RV Rent</t>
        </is>
      </c>
      <c r="B6" s="752" t="n">
        <v>0.063</v>
      </c>
      <c r="C6" s="834" t="n">
        <v>0.075</v>
      </c>
      <c r="D6" s="834" t="n">
        <v>0.07000000000000001</v>
      </c>
      <c r="E6" s="834" t="n">
        <v>0.05</v>
      </c>
      <c r="F6" s="834" t="n">
        <v>0.04</v>
      </c>
      <c r="G6" s="834" t="n">
        <v>0.04</v>
      </c>
      <c r="H6" s="834" t="n">
        <v>0.04</v>
      </c>
      <c r="I6" s="834" t="n">
        <v>0.04</v>
      </c>
      <c r="J6" s="834" t="n">
        <v>0.04</v>
      </c>
      <c r="K6" s="835" t="n">
        <v>0.04</v>
      </c>
    </row>
    <row r="7">
      <c r="A7" s="498" t="n"/>
      <c r="B7" s="752" t="n">
        <v>0.042</v>
      </c>
      <c r="C7" s="834" t="n">
        <v>0.075</v>
      </c>
      <c r="D7" s="834" t="n">
        <v>0.07000000000000001</v>
      </c>
      <c r="E7" s="834" t="n">
        <v>0.05</v>
      </c>
      <c r="F7" s="834" t="n">
        <v>0.04</v>
      </c>
      <c r="G7" s="834" t="n">
        <v>0.04</v>
      </c>
      <c r="H7" s="834" t="n">
        <v>0.04</v>
      </c>
      <c r="I7" s="834" t="n">
        <v>0.04</v>
      </c>
      <c r="J7" s="834" t="n">
        <v>0.04</v>
      </c>
      <c r="K7" s="835" t="n">
        <v>0.04</v>
      </c>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v>0.035</v>
      </c>
      <c r="C8" s="834" t="n">
        <v>0.075</v>
      </c>
      <c r="D8" s="834" t="n">
        <v>0.07000000000000001</v>
      </c>
      <c r="E8" s="834" t="n">
        <v>0.05</v>
      </c>
      <c r="F8" s="834" t="n">
        <v>0.04</v>
      </c>
      <c r="G8" s="834" t="n">
        <v>0.04</v>
      </c>
      <c r="H8" s="834" t="n">
        <v>0.04</v>
      </c>
      <c r="I8" s="834" t="n">
        <v>0.04</v>
      </c>
      <c r="J8" s="834" t="n">
        <v>0.04</v>
      </c>
      <c r="K8" s="835" t="n">
        <v>0.04</v>
      </c>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n"/>
      <c r="C9" s="834" t="n"/>
      <c r="D9" s="834" t="n"/>
      <c r="E9" s="834" t="n"/>
      <c r="F9" s="834" t="n"/>
      <c r="G9" s="834" t="n"/>
      <c r="H9" s="834" t="n"/>
      <c r="I9" s="834" t="n"/>
      <c r="J9" s="834" t="n"/>
      <c r="K9" s="835"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t="n"/>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C13" s="59" t="n"/>
      <c r="D13" s="329" t="inlineStr">
        <is>
          <t>$change</t>
        </is>
      </c>
      <c r="E13" s="166" t="n"/>
      <c r="F13" s="138">
        <f>F12-E12</f>
        <v/>
      </c>
      <c r="G13" s="138">
        <f>G12-F12</f>
        <v/>
      </c>
      <c r="H13" s="138">
        <f>H12-G12</f>
        <v/>
      </c>
      <c r="I13" s="138">
        <f>I12-H12</f>
        <v/>
      </c>
      <c r="J13" s="138">
        <f>J12-I12</f>
        <v/>
      </c>
      <c r="K13" s="138">
        <f>K12-J12</f>
        <v/>
      </c>
      <c r="L13" s="138" t="n"/>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t="n"/>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t="n"/>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t="n">
        <v>0</v>
      </c>
      <c r="N20" s="507" t="n">
        <v>0</v>
      </c>
      <c r="O20" s="507" t="n">
        <v>0</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(J14*(1+G$5)*(1+H$5)*C14+J15*(1+G$6)*(1+H$6)*C15)*12</f>
        <v/>
      </c>
      <c r="N22" s="511">
        <f>(J14*(1+G$5)*(1+H$5)*(1+I$5)*C14+J15*(1+G$6)*(1+H$6)*(1+I$6)*C15)*12</f>
        <v/>
      </c>
      <c r="O22" s="511">
        <f>(J14*(1+G$5)*(1+H$5)*(1+I$5)*(1+J$5)*C14+J15*(1+G$6)*(1+H$6)*(1+I$6)*(1+J$6)*C15)*12</f>
        <v/>
      </c>
    </row>
    <row r="23">
      <c r="B23" s="386" t="n"/>
      <c r="D23" s="404" t="inlineStr">
        <is>
          <t>Vacant Lots</t>
        </is>
      </c>
      <c r="E23" s="512">
        <f>'Unit Mix Summary'!D4+'Unit Mix Summary'!D5</f>
        <v/>
      </c>
      <c r="F23" s="512">
        <f>E23</f>
        <v/>
      </c>
      <c r="G23" s="512">
        <f>$F$23</f>
        <v/>
      </c>
      <c r="H23" s="512">
        <f>$F$23</f>
        <v/>
      </c>
      <c r="I23" s="512">
        <f>$F$23</f>
        <v/>
      </c>
      <c r="J23" s="512">
        <f>$F$23</f>
        <v/>
      </c>
      <c r="K23" s="512">
        <f>$F$23</f>
        <v/>
      </c>
      <c r="L23" s="512">
        <f>$F$23</f>
        <v/>
      </c>
      <c r="M23" s="512">
        <f>$F$23</f>
        <v/>
      </c>
      <c r="N23" s="512">
        <f>$F$23</f>
        <v/>
      </c>
      <c r="O23" s="512">
        <f>$F$23</f>
        <v/>
      </c>
    </row>
    <row r="24">
      <c r="B24" s="386" t="n"/>
      <c r="D24" s="404" t="inlineStr">
        <is>
          <t>Vacant Homes</t>
        </is>
      </c>
      <c r="E24" s="512">
        <f>'Unit Mix Summary'!D6</f>
        <v/>
      </c>
      <c r="F24" s="512">
        <f>E24-1</f>
        <v/>
      </c>
      <c r="G24" s="512">
        <f>$F$24</f>
        <v/>
      </c>
      <c r="H24" s="512">
        <f>$F$24</f>
        <v/>
      </c>
      <c r="I24" s="512">
        <f>$F$24</f>
        <v/>
      </c>
      <c r="J24" s="512">
        <f>$F$24</f>
        <v/>
      </c>
      <c r="K24" s="512">
        <f>$F$24</f>
        <v/>
      </c>
      <c r="L24" s="512">
        <f>$F$24</f>
        <v/>
      </c>
      <c r="M24" s="512">
        <f>$F$24</f>
        <v/>
      </c>
      <c r="N24" s="512">
        <f>$F$24</f>
        <v/>
      </c>
      <c r="O24" s="512">
        <f>$F$24</f>
        <v/>
      </c>
    </row>
    <row r="25">
      <c r="D25" s="513" t="inlineStr">
        <is>
          <t>Vacancy</t>
        </is>
      </c>
      <c r="E25" s="514">
        <f>SUM(E23:E24)/$D$20</f>
        <v/>
      </c>
      <c r="F25" s="514">
        <f>SUM(F23:F24)/$D$20</f>
        <v/>
      </c>
      <c r="G25" s="514">
        <f>SUM(G23:G24)/$D$20</f>
        <v/>
      </c>
      <c r="H25" s="514">
        <f>SUM(H23:H24)/$D$20</f>
        <v/>
      </c>
      <c r="I25" s="514">
        <f>SUM(I23:I24)/$D$20</f>
        <v/>
      </c>
      <c r="J25" s="514">
        <f>SUM(J23:J24)/$D$20</f>
        <v/>
      </c>
      <c r="K25" s="514">
        <f>SUM(K23:K24)/$D$20</f>
        <v/>
      </c>
      <c r="L25" s="514">
        <f>SUM(L23:L24)/$D$20</f>
        <v/>
      </c>
      <c r="M25" s="514">
        <f>SUM(M23:M24)/$D$20</f>
        <v/>
      </c>
      <c r="N25" s="514">
        <f>SUM(N23:N24)/$D$20</f>
        <v/>
      </c>
      <c r="O25" s="514">
        <f>SUM(O23:O24)/$D$20</f>
        <v/>
      </c>
    </row>
    <row r="26">
      <c r="D26" s="513" t="n"/>
      <c r="E26" s="514" t="n"/>
      <c r="F26" s="514" t="inlineStr">
        <is>
          <t>min vacancy estimated</t>
        </is>
      </c>
      <c r="G26" s="514" t="n"/>
      <c r="H26" s="514" t="n"/>
      <c r="I26" s="514" t="n"/>
      <c r="J26" s="514" t="n"/>
      <c r="K26" s="514" t="n"/>
      <c r="L26" s="514" t="n"/>
      <c r="M26" s="514" t="n"/>
      <c r="N26" s="514" t="n"/>
      <c r="O26" s="514" t="n"/>
    </row>
    <row r="27" ht="60" customHeight="1">
      <c r="D27" s="513" t="n"/>
      <c r="E27" s="754" t="inlineStr">
        <is>
          <t>1 SW LTO 43 being evicted so categorized as a vacant POH</t>
        </is>
      </c>
      <c r="F27" s="514" t="n"/>
      <c r="G27" s="514" t="n"/>
      <c r="H27" s="514" t="n"/>
      <c r="I27" s="514" t="n"/>
      <c r="J27" s="514" t="n"/>
      <c r="K27" s="514" t="n"/>
      <c r="L27" s="514" t="n"/>
      <c r="M27" s="514" t="n"/>
      <c r="N27" s="514" t="n"/>
      <c r="O27" s="514" t="n"/>
    </row>
    <row r="28">
      <c r="D28" s="513" t="n"/>
      <c r="E28" s="125" t="inlineStr">
        <is>
          <t>lot 69 is a vacant site--home to be delivered in few weeks</t>
        </is>
      </c>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MH/RV Rent Roll</t>
        </is>
      </c>
      <c r="C2" s="123" t="inlineStr">
        <is>
          <t>Next Increase in MAY 1 2026--Separate increases -see RR</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 (TOH + POH)</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 (MH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 %</t>
        </is>
      </c>
      <c r="C13" s="641">
        <f>IFERROR(C8/E8,0)</f>
        <v/>
      </c>
      <c r="D13" s="641" t="n"/>
      <c r="E13" s="641" t="n"/>
      <c r="F13" s="642" t="n"/>
      <c r="G13" s="642" t="n"/>
      <c r="H13" s="643" t="n"/>
      <c r="I13" s="311" t="n"/>
    </row>
    <row r="14" ht="19.5" customHeight="1">
      <c r="B14" s="640" t="inlineStr">
        <is>
          <t>POH %</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ALT NOI</t>
        </is>
      </c>
      <c r="H2" s="258" t="inlineStr">
        <is>
          <t>Lot Rent only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708" t="n"/>
      <c r="L4" s="652"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709" t="n"/>
      <c r="L5" s="653"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709" t="n"/>
      <c r="L6" s="653"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709" t="n"/>
      <c r="L7" s="653" t="n"/>
      <c r="M7" s="154" t="inlineStr">
        <is>
          <t xml:space="preserve"># of Units </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inlineStr">
        <is>
          <t xml:space="preserve">Asking Price Per Site </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851" t="n"/>
      <c r="L12" s="851"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t="n">
        <v>0</v>
      </c>
      <c r="J13" s="108">
        <f>I13/$N$7</f>
        <v/>
      </c>
      <c r="K13" s="851" t="n"/>
      <c r="L13" s="851"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851" t="n"/>
      <c r="L14" s="851" t="n"/>
      <c r="M14" s="154" t="inlineStr">
        <is>
          <t>Lot Rent only NOI</t>
        </is>
      </c>
      <c r="N14">
        <f>I47</f>
        <v/>
      </c>
      <c r="O14" s="275" t="n">
        <v>0.055</v>
      </c>
      <c r="P14" s="669">
        <f>N14/O14</f>
        <v/>
      </c>
      <c r="Q14" s="725" t="n">
        <v>0</v>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851" t="n"/>
      <c r="L15" s="851" t="n"/>
      <c r="M15" s="154" t="inlineStr">
        <is>
          <t>Home Rent only NOI</t>
        </is>
      </c>
      <c r="N15" s="225">
        <f>I47-H47</f>
        <v/>
      </c>
      <c r="O15" s="275" t="n">
        <v>0.12</v>
      </c>
      <c r="P15" s="669">
        <f>N15/O15</f>
        <v/>
      </c>
      <c r="Q15" s="672" t="n"/>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851" t="n"/>
      <c r="L16" s="851"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t="n">
        <v>0.05</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851" t="n"/>
      <c r="L39" s="857" t="n"/>
      <c r="M39" s="154" t="n"/>
      <c r="O39" s="59" t="n"/>
      <c r="P39" s="59" t="n"/>
      <c r="Q39" s="59" t="n"/>
      <c r="R39" s="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851" t="n"/>
      <c r="L40" s="857" t="n"/>
      <c r="M40" s="154" t="n"/>
      <c r="O40" s="59" t="n"/>
      <c r="P40" s="59" t="n"/>
      <c r="Q40" s="59" t="n"/>
      <c r="R40" s="59"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2026-06-04T12:28:14Z</dcterms:modified>
  <cp:lastModifiedBy>michael janabi</cp:lastModifiedBy>
</cp:coreProperties>
</file>