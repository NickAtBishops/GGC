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4">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60" t="n"/>
      <c r="B151" s="960" t="n"/>
      <c r="C151" s="960" t="n"/>
      <c r="D151" s="961" t="n"/>
      <c r="E151" s="962" t="n"/>
      <c r="F151" s="962" t="n"/>
      <c r="G151" s="962" t="n"/>
      <c r="H151" s="962" t="n"/>
      <c r="I151" s="963" t="n"/>
      <c r="J151" s="963" t="n"/>
      <c r="K151" s="963" t="n"/>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c r="C8" s="834" t="n"/>
      <c r="D8" s="834" t="n"/>
      <c r="E8" s="834" t="inlineStr">
        <is>
          <t>Lot Rent</t>
        </is>
      </c>
      <c r="F8" s="834" t="n"/>
      <c r="G8" s="834" t="n"/>
      <c r="H8" s="834" t="n"/>
      <c r="I8" s="834" t="n"/>
      <c r="J8" s="834" t="n"/>
      <c r="K8" s="835"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C13" s="59" t="n"/>
      <c r="D13" s="329" t="inlineStr">
        <is>
          <t>$change</t>
        </is>
      </c>
      <c r="E13" s="166" t="n"/>
      <c r="F13" s="138">
        <f>F12-E12</f>
        <v/>
      </c>
      <c r="G13" s="138">
        <f>G12-F12</f>
        <v/>
      </c>
      <c r="H13" s="138">
        <f>H12-G12</f>
        <v/>
      </c>
      <c r="I13" s="138">
        <f>I12-H12</f>
        <v/>
      </c>
      <c r="J13" s="138">
        <f>J12-I12</f>
        <v/>
      </c>
      <c r="K13" s="138">
        <f>K12-J12</f>
        <v/>
      </c>
      <c r="L13" s="138">
        <f>L12-K12</f>
        <v/>
      </c>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f>SUMPRODUCT(M14:M19,$B$14:$B$19)</f>
        <v/>
      </c>
      <c r="N20" s="507">
        <f>SUMPRODUCT(N14:N19,$B$14:$B$19)</f>
        <v/>
      </c>
      <c r="O20" s="507">
        <f>SUMPRODUCT(O14:O19,$B$14:$B$19)</f>
        <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M20*$D$20*12</f>
        <v/>
      </c>
      <c r="N22" s="511">
        <f>N20*$D$20*12</f>
        <v/>
      </c>
      <c r="O22" s="511">
        <f>O20*$D$20*12</f>
        <v/>
      </c>
    </row>
    <row r="23">
      <c r="B23" s="386" t="n"/>
      <c r="D23" s="404" t="n"/>
      <c r="E23" s="512" t="n"/>
      <c r="F23" s="512" t="n"/>
      <c r="G23" s="512" t="n"/>
      <c r="H23" s="512" t="n"/>
      <c r="I23" s="512" t="n"/>
      <c r="J23" s="512" t="n"/>
      <c r="K23" s="512" t="n"/>
      <c r="L23" s="512" t="n"/>
      <c r="M23" s="512">
        <f>$F$23</f>
        <v/>
      </c>
      <c r="N23" s="512">
        <f>$F$23</f>
        <v/>
      </c>
      <c r="O23" s="512">
        <f>$F$23</f>
        <v/>
      </c>
    </row>
    <row r="24">
      <c r="B24" s="386" t="n"/>
      <c r="D24" s="404" t="n"/>
      <c r="E24" s="512" t="n"/>
      <c r="F24" s="512" t="n"/>
      <c r="G24" s="512" t="n"/>
      <c r="H24" s="512" t="n"/>
      <c r="I24" s="512" t="n"/>
      <c r="J24" s="512" t="n"/>
      <c r="K24" s="512" t="n"/>
      <c r="L24" s="512" t="n"/>
      <c r="M24" s="512">
        <f>$F$24</f>
        <v/>
      </c>
      <c r="N24" s="512">
        <f>$F$24</f>
        <v/>
      </c>
      <c r="O24" s="512">
        <f>$F$24</f>
        <v/>
      </c>
    </row>
    <row r="25">
      <c r="D25" s="513" t="n"/>
      <c r="E25" s="514" t="n"/>
      <c r="F25" s="514" t="n"/>
      <c r="G25" s="514" t="n"/>
      <c r="H25" s="514" t="n"/>
      <c r="I25" s="514" t="n"/>
      <c r="J25" s="514" t="n"/>
      <c r="K25" s="514" t="n"/>
      <c r="L25" s="514" t="n"/>
      <c r="M25" s="514">
        <f>SUM(M23:M24)/$D$20</f>
        <v/>
      </c>
      <c r="N25" s="514">
        <f>SUM(N23:N24)/$D$20</f>
        <v/>
      </c>
      <c r="O25" s="514">
        <f>SUM(O23:O24)/$D$20</f>
        <v/>
      </c>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645">
        <f>H9*12</f>
        <v/>
      </c>
      <c r="D11" s="645" t="n"/>
      <c r="E11" s="645" t="n"/>
      <c r="F11" s="212" t="n"/>
      <c r="G11" s="212" t="n"/>
      <c r="H11" s="213" t="n"/>
      <c r="I11" s="74" t="n"/>
    </row>
    <row r="12" ht="19.5" customHeight="1">
      <c r="B12" s="90" t="inlineStr">
        <is>
          <t>Avg Rent</t>
        </is>
      </c>
      <c r="C12" s="91">
        <f>IFERROR(H4/E4,0)</f>
        <v/>
      </c>
      <c r="D12" s="91" t="n"/>
      <c r="E12" s="91" t="n"/>
      <c r="F12" s="92" t="n"/>
      <c r="G12" s="92" t="n"/>
      <c r="H12" s="93" t="n"/>
      <c r="I12" s="74" t="n"/>
    </row>
    <row r="13" ht="19.5" customHeight="1">
      <c r="B13" s="640" t="inlineStr">
        <is>
          <t>Occupancy%</t>
        </is>
      </c>
      <c r="C13" s="641">
        <f>IFERROR(C8/E8,0)</f>
        <v/>
      </c>
      <c r="D13" s="641" t="n"/>
      <c r="E13" s="641" t="n"/>
      <c r="F13" s="642" t="n"/>
      <c r="G13" s="642" t="n"/>
      <c r="H13" s="643" t="n"/>
      <c r="I13" s="311" t="n"/>
    </row>
    <row r="14" ht="19.5" customHeight="1">
      <c r="B14" s="640" t="inlineStr">
        <is>
          <t>POH%</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ALT NOI</t>
        </is>
      </c>
      <c r="H2" s="258" t="inlineStr">
        <is>
          <t>Lot Rent only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708" t="n"/>
      <c r="L4" s="652"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709" t="n"/>
      <c r="L5" s="653"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709" t="n"/>
      <c r="L6" s="653"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709" t="n"/>
      <c r="L7" s="653" t="n"/>
      <c r="M7" s="154" t="inlineStr">
        <is>
          <t xml:space="preserve"># of Units </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inlineStr">
        <is>
          <t xml:space="preserve">Asking Price Per Site </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851" t="n"/>
      <c r="L12" s="851"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t="n">
        <v>0</v>
      </c>
      <c r="J13" s="108">
        <f>I13/$N$7</f>
        <v/>
      </c>
      <c r="K13" s="851" t="n"/>
      <c r="L13" s="851"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851" t="n"/>
      <c r="L14" s="851" t="n"/>
      <c r="M14" s="154" t="inlineStr">
        <is>
          <t>Lot Rent only NOI</t>
        </is>
      </c>
      <c r="N14">
        <f>I47</f>
        <v/>
      </c>
      <c r="O14" s="275" t="n">
        <v>0.055</v>
      </c>
      <c r="P14" s="669">
        <f>N14/O14</f>
        <v/>
      </c>
      <c r="Q14" s="725" t="n">
        <v>0</v>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851" t="n"/>
      <c r="L15" s="851" t="n"/>
      <c r="M15" s="154" t="inlineStr">
        <is>
          <t>Home Rent only NOI</t>
        </is>
      </c>
      <c r="N15" s="225">
        <f>I47-H47</f>
        <v/>
      </c>
      <c r="O15" s="275" t="n">
        <v>0.12</v>
      </c>
      <c r="P15" s="669">
        <f>N15/O15</f>
        <v/>
      </c>
      <c r="Q15" s="672" t="n"/>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851" t="n"/>
      <c r="L16" s="851"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t="n">
        <v>0.05</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851" t="n"/>
      <c r="L39" s="857" t="n"/>
      <c r="M39" s="154" t="n"/>
      <c r="O39" s="59" t="n"/>
      <c r="P39" s="59" t="n"/>
      <c r="Q39" s="59" t="n"/>
      <c r="R39" s="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851" t="n"/>
      <c r="L40" s="857" t="n"/>
      <c r="M40" s="154" t="n"/>
      <c r="O40" s="59" t="n"/>
      <c r="P40" s="59" t="n"/>
      <c r="Q40" s="59" t="n"/>
      <c r="R40" s="59"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2026-06-04T12:35:43Z</dcterms:modified>
  <cp:lastModifiedBy>michael janabi</cp:lastModifiedBy>
</cp:coreProperties>
</file>