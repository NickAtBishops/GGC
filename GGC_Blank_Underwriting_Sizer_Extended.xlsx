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6">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
      <b val="1"/>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7">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xf numFmtId="169" fontId="11" fillId="20" borderId="2" applyAlignment="1" pivotButton="0" quotePrefix="0" xfId="0">
      <alignment horizontal="center"/>
    </xf>
    <xf numFmtId="0" fontId="85" fillId="14" borderId="16" applyAlignment="1" pivotButton="0" quotePrefix="0" xfId="0">
      <alignment horizontal="center"/>
    </xf>
    <xf numFmtId="0" fontId="85" fillId="12" borderId="42" pivotButton="0" quotePrefix="0" xfId="0"/>
    <xf numFmtId="0" fontId="85" fillId="5" borderId="42" pivotButton="0" quotePrefix="0" xfId="0"/>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034" t="n"/>
      <c r="AC1" s="1034" t="n"/>
      <c r="AD1" s="1034" t="n"/>
      <c r="AE1" s="1034" t="n"/>
      <c r="AF1" s="1034" t="n"/>
      <c r="AG1" s="1034" t="n"/>
      <c r="AH1" s="1034" t="n"/>
      <c r="AI1" s="1034" t="n"/>
      <c r="AJ1" s="1034" t="n"/>
      <c r="AK1" s="1034" t="n"/>
      <c r="AL1" s="1034" t="n"/>
      <c r="AM1" s="1034" t="n"/>
      <c r="AN1" s="1034" t="n"/>
      <c r="AO1" s="1034" t="n"/>
      <c r="AP1" s="1034" t="n"/>
      <c r="AQ1" s="1034" t="n"/>
      <c r="AR1" s="1034" t="n"/>
      <c r="AS1" s="1034" t="n"/>
      <c r="AT1" s="1034" t="n"/>
      <c r="AU1" s="1034" t="n"/>
      <c r="AV1" s="1034" t="n"/>
      <c r="AW1" s="1034" t="n"/>
      <c r="AX1" s="1034" t="n"/>
      <c r="AY1" s="1034" t="n"/>
      <c r="AZ1" s="1034" t="n"/>
      <c r="BA1" s="1034" t="n"/>
      <c r="BB1" s="1034" t="n"/>
      <c r="BC1" s="1034" t="n"/>
      <c r="BD1" s="1034" t="n"/>
      <c r="BE1" s="1034" t="n"/>
      <c r="BF1" s="1034" t="n"/>
      <c r="BG1" s="1034" t="n"/>
      <c r="BH1" s="1034" t="n"/>
      <c r="BI1" s="1034" t="n"/>
      <c r="BJ1" s="1034" t="n"/>
      <c r="BK1" s="1034" t="n"/>
      <c r="BL1" s="1034" t="n"/>
      <c r="BM1" s="1034" t="n"/>
      <c r="BN1" s="1034" t="n"/>
      <c r="BO1" s="1034" t="n"/>
      <c r="BP1" s="1034" t="n"/>
      <c r="BQ1" s="1034" t="n"/>
      <c r="BR1" s="1034" t="n"/>
      <c r="BS1" s="1034" t="n"/>
      <c r="BT1" s="1034" t="n"/>
      <c r="BU1" s="1034" t="n"/>
      <c r="BV1" s="1034" t="n"/>
      <c r="BW1" s="1034" t="n"/>
      <c r="BX1" s="1034" t="n"/>
      <c r="BY1" s="1034" t="n"/>
      <c r="BZ1" s="1034" t="n"/>
      <c r="CA1" s="1034" t="n"/>
      <c r="CB1" s="1034" t="n"/>
      <c r="CC1" s="1034" t="n"/>
      <c r="CD1" s="1034" t="n"/>
      <c r="CE1" s="1034" t="n"/>
      <c r="CF1" s="1034" t="n"/>
      <c r="CG1" s="1034" t="n"/>
      <c r="CH1" s="1034" t="n"/>
      <c r="CI1" s="1034" t="n"/>
      <c r="CJ1" s="1034" t="n"/>
      <c r="CK1" s="1034" t="n"/>
      <c r="CL1" s="1034" t="n"/>
      <c r="CM1" s="1034" t="n"/>
      <c r="CN1" s="1034" t="n"/>
      <c r="CO1" s="1034" t="n"/>
      <c r="CP1" s="1034" t="n"/>
      <c r="CQ1" s="1034" t="n"/>
      <c r="CR1" s="1034" t="n"/>
      <c r="CS1" s="1034" t="n"/>
      <c r="CT1" s="1034" t="n"/>
      <c r="CU1" s="1034" t="n"/>
      <c r="CV1" s="1034" t="n"/>
      <c r="CW1" s="1034" t="n"/>
      <c r="CX1" s="1034" t="n"/>
      <c r="CY1" s="1034" t="n"/>
      <c r="CZ1" s="1034" t="n"/>
      <c r="DA1" s="1034" t="n"/>
      <c r="DB1" s="1034" t="n"/>
      <c r="DC1" s="1034" t="n"/>
      <c r="DD1" s="1034" t="n"/>
      <c r="DE1" s="1034" t="n"/>
      <c r="DF1" s="1034" t="n"/>
      <c r="DG1" s="1034" t="n"/>
      <c r="DH1" s="1034" t="n"/>
      <c r="DI1" s="1034" t="n"/>
      <c r="DJ1" s="1034" t="n"/>
      <c r="DK1" s="1034" t="n"/>
      <c r="DL1" s="1034" t="n"/>
      <c r="DM1" s="1034" t="n"/>
      <c r="DN1" s="1034" t="n"/>
      <c r="DO1" s="1034" t="n"/>
      <c r="DP1" s="1034" t="n"/>
      <c r="DQ1" s="1034" t="n"/>
      <c r="DR1" s="1034" t="n"/>
      <c r="DS1" s="1034" t="n"/>
      <c r="DT1" s="1034" t="n"/>
      <c r="DU1" s="1034" t="n"/>
      <c r="DV1" s="1034" t="n"/>
      <c r="DW1" s="1034" t="n"/>
      <c r="DX1" s="1034"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c r="BD2" s="146" t="n"/>
      <c r="BE2" s="146" t="n"/>
      <c r="BF2" s="146" t="n"/>
      <c r="BG2" s="146" t="n"/>
      <c r="BH2" s="146" t="n"/>
      <c r="BI2" s="146" t="n"/>
      <c r="BJ2" s="146" t="n"/>
      <c r="BK2" s="146" t="n"/>
      <c r="BL2" s="146" t="n"/>
      <c r="BM2" s="146" t="n"/>
      <c r="BN2" s="146" t="n"/>
      <c r="BO2" s="146" t="n"/>
      <c r="BP2" s="146" t="n"/>
      <c r="BQ2" s="146" t="n"/>
      <c r="BR2" s="146" t="n"/>
      <c r="BS2" s="146" t="n"/>
      <c r="BT2" s="146" t="n"/>
      <c r="BU2" s="146" t="n"/>
      <c r="BV2" s="146" t="n"/>
      <c r="BW2" s="146" t="n"/>
      <c r="BX2" s="146" t="n"/>
      <c r="BY2" s="146" t="n"/>
      <c r="BZ2" s="146" t="n"/>
      <c r="CA2" s="146" t="n"/>
      <c r="CB2" s="146" t="n"/>
      <c r="CC2" s="146" t="n"/>
      <c r="CD2" s="146" t="n"/>
      <c r="CE2" s="146" t="n"/>
      <c r="CF2" s="146" t="n"/>
      <c r="CG2" s="146" t="n"/>
      <c r="CH2" s="146" t="n"/>
      <c r="CI2" s="146" t="n"/>
      <c r="CJ2" s="146" t="n"/>
      <c r="CK2" s="146" t="n"/>
    </row>
    <row r="3" ht="15" customHeight="1">
      <c r="A3" s="38">
        <f>IF(C3="","",ROW()-2)</f>
        <v/>
      </c>
      <c r="B3" s="960" t="n"/>
      <c r="C3" s="960" t="n"/>
      <c r="D3" s="961" t="n"/>
      <c r="E3" s="962" t="n"/>
      <c r="F3" s="963" t="n"/>
      <c r="G3" s="963" t="n"/>
      <c r="H3" s="964" t="n"/>
      <c r="I3" s="965" t="n"/>
      <c r="J3" s="966" t="n"/>
      <c r="K3" s="52">
        <f>IFERROR(I3+J3,0)</f>
        <v/>
      </c>
      <c r="L3" s="967" t="n"/>
      <c r="M3" s="1050"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108"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108"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108"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108"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108"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108"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108"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108"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108"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108"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108"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108"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108"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108"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108"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108"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108"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108"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108"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108"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108"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108"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108"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108"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108"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108"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108"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108"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108"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108"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108"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108"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108"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108"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108"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108"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108"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108"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108"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108"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108"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108"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108"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108"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108"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108"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108"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108"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108"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108"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108"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108"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108"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108"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108"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108"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108"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108"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108"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108"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108"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108"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108"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108"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108"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108"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108"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108"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108"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988" t="n"/>
      <c r="B1003" s="988" t="n"/>
      <c r="C1003" s="988" t="n"/>
      <c r="D1003" s="988" t="n"/>
      <c r="E1003" s="987" t="n"/>
      <c r="F1003" s="987" t="n"/>
      <c r="G1003" s="987" t="n"/>
      <c r="H1003" s="987" t="n"/>
      <c r="I1003" s="987" t="n"/>
      <c r="J1003" s="987" t="n"/>
      <c r="K1003" s="987" t="n"/>
      <c r="L1003" s="987" t="n"/>
      <c r="M1003" s="987" t="n"/>
      <c r="N1003" s="987" t="n"/>
      <c r="O1003" s="988" t="n"/>
      <c r="P1003" s="988" t="n"/>
      <c r="Q1003" s="988" t="n"/>
      <c r="R1003" s="988" t="n"/>
      <c r="S1003" s="988" t="n"/>
      <c r="T1003" s="988" t="n"/>
      <c r="U1003" s="988" t="n"/>
      <c r="V1003" s="988" t="n"/>
      <c r="W1003" s="988" t="n"/>
      <c r="X1003" s="988" t="n"/>
      <c r="Y1003" s="988" t="n"/>
      <c r="Z1003" s="988" t="n"/>
      <c r="AA1003" s="988" t="n"/>
      <c r="AB1003" s="988" t="n"/>
      <c r="AC1003" s="988" t="n"/>
      <c r="AD1003" s="988" t="n"/>
      <c r="AE1003" s="988" t="n"/>
      <c r="AF1003" s="988" t="n"/>
      <c r="AG1003" s="988" t="n"/>
      <c r="AH1003" s="988" t="n"/>
      <c r="AI1003" s="988" t="n"/>
      <c r="AJ1003" s="988" t="n"/>
      <c r="AK1003" s="988" t="n"/>
      <c r="AL1003" s="988" t="n"/>
      <c r="AM1003" s="988" t="n"/>
      <c r="AN1003" s="988" t="n"/>
      <c r="AO1003" s="988" t="n"/>
      <c r="AP1003" s="988" t="n"/>
      <c r="AQ1003" s="988" t="n"/>
      <c r="AR1003" s="988" t="n"/>
      <c r="AS1003" s="988" t="n"/>
      <c r="AT1003" s="988" t="n"/>
      <c r="AU1003" s="988" t="n"/>
      <c r="AV1003" s="988" t="n"/>
      <c r="AW1003" s="988" t="n"/>
      <c r="AX1003" s="988" t="n"/>
      <c r="AY1003" s="988" t="n"/>
      <c r="AZ1003" s="988" t="n"/>
      <c r="BA1003" s="988" t="n"/>
      <c r="BB1003" s="988" t="n"/>
      <c r="BC1003" s="988" t="n"/>
      <c r="BD1003" s="988" t="n"/>
      <c r="BE1003" s="988" t="n"/>
      <c r="BF1003" s="988" t="n"/>
      <c r="BG1003" s="988" t="n"/>
      <c r="BH1003" s="988" t="n"/>
      <c r="BI1003" s="988" t="n"/>
      <c r="BJ1003" s="988" t="n"/>
      <c r="BK1003" s="988" t="n"/>
      <c r="BL1003" s="988" t="n"/>
      <c r="BM1003" s="988" t="n"/>
      <c r="BN1003" s="988" t="n"/>
      <c r="BO1003" s="988" t="n"/>
      <c r="BP1003" s="988" t="n"/>
      <c r="BQ1003" s="988" t="n"/>
      <c r="BR1003" s="988" t="n"/>
      <c r="BS1003" s="988" t="n"/>
      <c r="BT1003" s="988" t="n"/>
      <c r="BU1003" s="988" t="n"/>
      <c r="BV1003" s="988" t="n"/>
      <c r="BW1003" s="988" t="n"/>
      <c r="BX1003" s="988" t="n"/>
      <c r="BY1003" s="988" t="n"/>
      <c r="BZ1003" s="988" t="n"/>
      <c r="CA1003" s="988" t="n"/>
      <c r="CB1003" s="988" t="n"/>
      <c r="CC1003" s="988" t="n"/>
      <c r="CD1003" s="988" t="n"/>
      <c r="CE1003" s="988" t="n"/>
      <c r="CF1003" s="988" t="n"/>
      <c r="CG1003" s="988" t="n"/>
      <c r="CH1003" s="988" t="n"/>
      <c r="CI1003" s="988" t="n"/>
      <c r="CJ1003" s="988" t="n"/>
      <c r="CK1003" s="988" t="n"/>
      <c r="CL1003" s="988" t="n"/>
      <c r="CM1003" s="988" t="n"/>
      <c r="CN1003" s="988" t="n"/>
      <c r="CO1003" s="988" t="n"/>
      <c r="CP1003" s="988" t="n"/>
      <c r="CQ1003" s="988" t="n"/>
      <c r="CR1003" s="988" t="n"/>
      <c r="CS1003" s="988" t="n"/>
      <c r="CT1003" s="988" t="n"/>
      <c r="CU1003" s="988" t="n"/>
      <c r="CV1003" s="988" t="n"/>
      <c r="CW1003" s="988" t="n"/>
      <c r="CX1003" s="988" t="n"/>
      <c r="CY1003" s="988" t="n"/>
      <c r="CZ1003" s="988" t="n"/>
      <c r="DA1003" s="988" t="n"/>
      <c r="DB1003" s="988" t="n"/>
      <c r="DC1003" s="988" t="n"/>
      <c r="DD1003" s="988" t="n"/>
      <c r="DE1003" s="988" t="n"/>
      <c r="DF1003" s="988" t="n"/>
      <c r="DG1003" s="988" t="n"/>
      <c r="DH1003" s="988" t="n"/>
      <c r="DI1003" s="988" t="n"/>
      <c r="DJ1003" s="988" t="n"/>
      <c r="DK1003" s="988" t="n"/>
      <c r="DL1003" s="988" t="n"/>
      <c r="DM1003" s="988" t="n"/>
      <c r="DN1003" s="988" t="n"/>
      <c r="DO1003" s="988" t="n"/>
      <c r="DP1003" s="988" t="n"/>
      <c r="DQ1003" s="988" t="n"/>
      <c r="DR1003" s="988" t="n"/>
      <c r="DS1003" s="988" t="n"/>
      <c r="DT1003" s="988" t="n"/>
      <c r="DU1003" s="988" t="n"/>
      <c r="DV1003" s="988" t="n"/>
      <c r="DW1003" s="988" t="n"/>
      <c r="DX1003" s="988" t="n"/>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t="inlineStr">
        <is>
          <t>Year 8</t>
        </is>
      </c>
      <c r="N9" t="inlineStr">
        <is>
          <t>Year 9</t>
        </is>
      </c>
      <c r="O9" t="inlineStr">
        <is>
          <t>Year 10</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f>L10*(100%+I$5)</f>
        <v/>
      </c>
      <c r="N10">
        <f>M10*(100%+J$5)</f>
        <v/>
      </c>
      <c r="O10">
        <f>N10*(100%+K$5)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f>L11*(100%+I$6)</f>
        <v/>
      </c>
      <c r="N11">
        <f>M11*(100%+J$6)</f>
        <v/>
      </c>
      <c r="O11">
        <f>N11*(100%+K$6)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f>SUMPRODUCT($B$10:$B$11,M10:M11)</f>
        <v/>
      </c>
      <c r="N12">
        <f>SUMPRODUCT($B$10:$B$11,N10:N11)</f>
        <v/>
      </c>
      <c r="O12">
        <f>SUMPRODUCT($B$10:$B$11,O10:O11)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f>M12-L12</f>
        <v/>
      </c>
      <c r="N13" s="138">
        <f>N12-M12</f>
        <v/>
      </c>
      <c r="O13" s="138">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t="n"/>
      <c r="N15" s="212" t="n"/>
      <c r="O15" s="212" t="n"/>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t="n"/>
      <c r="N16" s="212" t="n"/>
      <c r="O16" s="212" t="n"/>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SUM(M15:M16)/$D$12</f>
        <v/>
      </c>
      <c r="N17" s="212">
        <f>SUM(N15:N16)/$D$12</f>
        <v/>
      </c>
      <c r="O17" s="212">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21">
        <f>H9*12</f>
        <v/>
      </c>
      <c r="D11" s="645" t="n"/>
      <c r="E11" s="645" t="n"/>
      <c r="F11" s="212" t="n"/>
      <c r="G11" s="212" t="n"/>
      <c r="H11" s="213" t="n"/>
      <c r="I11" s="74" t="n"/>
    </row>
    <row r="12" ht="19.5" customHeight="1">
      <c r="B12" s="90" t="inlineStr">
        <is>
          <t>Avg MH Lot Rent</t>
        </is>
      </c>
      <c r="C12" s="92">
        <f>IFERROR(H4/E4,0)</f>
        <v/>
      </c>
      <c r="D12" s="91" t="n"/>
      <c r="E12" s="91" t="n"/>
      <c r="F12" s="92" t="n"/>
      <c r="G12" s="92" t="n"/>
      <c r="H12" s="93" t="n"/>
      <c r="I12" s="74" t="n"/>
    </row>
    <row r="13" ht="19.5" customHeight="1">
      <c r="B13" s="640" t="inlineStr">
        <is>
          <t>Occupancy%</t>
        </is>
      </c>
      <c r="C13" s="1053">
        <f>IFERROR(C8/E8,0)</f>
        <v/>
      </c>
      <c r="D13" s="641" t="n"/>
      <c r="E13" s="641" t="n"/>
      <c r="F13" s="642" t="n"/>
      <c r="G13" s="642" t="n"/>
      <c r="H13" s="643" t="n"/>
      <c r="I13" s="311" t="n"/>
    </row>
    <row r="14" ht="19.5" customHeight="1">
      <c r="B14" s="640" t="inlineStr">
        <is>
          <t>POH%</t>
        </is>
      </c>
      <c r="C14" s="1053">
        <f>IFERROR(E10/E9,0)</f>
        <v/>
      </c>
      <c r="D14" s="641" t="n"/>
      <c r="E14" s="641" t="n"/>
      <c r="F14" s="642" t="n"/>
      <c r="G14" s="642" t="n"/>
      <c r="H14" s="643" t="n"/>
      <c r="I14" s="311" t="n"/>
    </row>
    <row r="15" ht="18" customHeight="1" thickBot="1">
      <c r="B15" s="86" t="inlineStr">
        <is>
          <t>Annual Long term RV</t>
        </is>
      </c>
      <c r="C15" s="88">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1054" t="inlineStr">
        <is>
          <t>Property Information</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055"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055"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055" t="inlineStr">
        <is>
          <t>Property Type</t>
        </is>
      </c>
      <c r="O6" s="96" t="inlineStr">
        <is>
          <t>Underwritten CAP rate</t>
        </is>
      </c>
      <c r="P6" s="98">
        <f>I47/P4</f>
        <v/>
      </c>
      <c r="Q6" s="96" t="inlineStr">
        <is>
          <t>Underwritten CAP rate</t>
        </is>
      </c>
      <c r="R6" s="328">
        <f>I47/R4</f>
        <v/>
      </c>
      <c r="S6" s="988"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055"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055"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1056"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1056"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002" t="n"/>
      <c r="L13" s="1002"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H47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988" t="n"/>
      <c r="P19" s="988" t="n"/>
      <c r="Q19" s="988"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985" t="n"/>
      <c r="P20" s="1051" t="n"/>
      <c r="Q20" s="988"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985" t="n"/>
      <c r="P21" s="1052" t="n"/>
      <c r="Q21" s="988"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985" t="n"/>
      <c r="P22" s="987" t="n"/>
      <c r="Q22" s="988"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2026-06-04T19:52:01Z</dcterms:modified>
  <cp:lastModifiedBy>michael janabi</cp:lastModifiedBy>
</cp:coreProperties>
</file>