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0370" yWindow="-120" windowWidth="51840" windowHeight="21120" tabRatio="600" firstSheet="0" activeTab="8" autoFilterDateGrouping="1"/>
  </bookViews>
  <sheets>
    <sheet xmlns:r="http://schemas.openxmlformats.org/officeDocument/2006/relationships" name="Comps" sheetId="1" state="visible" r:id="rId1"/>
    <sheet xmlns:r="http://schemas.openxmlformats.org/officeDocument/2006/relationships" name="Data Consolidation" sheetId="2" state="visible" r:id="rId2"/>
    <sheet xmlns:r="http://schemas.openxmlformats.org/officeDocument/2006/relationships" name="Rent Roll Input" sheetId="3" state="visible" r:id="rId3"/>
    <sheet xmlns:r="http://schemas.openxmlformats.org/officeDocument/2006/relationships" name="Collections" sheetId="4" state="visible" r:id="rId4"/>
    <sheet xmlns:r="http://schemas.openxmlformats.org/officeDocument/2006/relationships" name="Unit Mix Rent Growth" sheetId="5" state="visible" r:id="rId5"/>
    <sheet xmlns:r="http://schemas.openxmlformats.org/officeDocument/2006/relationships" name="Unit Mix Summary" sheetId="6" state="visible" r:id="rId6"/>
    <sheet xmlns:r="http://schemas.openxmlformats.org/officeDocument/2006/relationships" name="GGC Underwriting" sheetId="7" state="visible" r:id="rId7"/>
    <sheet xmlns:r="http://schemas.openxmlformats.org/officeDocument/2006/relationships" name="GGC Pro Forma" sheetId="8" state="visible" r:id="rId8"/>
    <sheet xmlns:r="http://schemas.openxmlformats.org/officeDocument/2006/relationships" name="Investor Return" sheetId="9" state="visible" r:id="rId9"/>
    <sheet xmlns:r="http://schemas.openxmlformats.org/officeDocument/2006/relationships" name="Waterfall (10-yr)" sheetId="10" state="visible" r:id="rId10"/>
    <sheet xmlns:r="http://schemas.openxmlformats.org/officeDocument/2006/relationships" name="Waterfall (5-yr) " sheetId="11" state="visible"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6">'GGC Underwriting'!$A$1:$P$50</definedName>
    <definedName name="CU?" localSheetId="9">'Waterfall (10-yr)'!$A$6</definedName>
    <definedName name="Equity_Share_GP" localSheetId="9">'Waterfall (10-yr)'!$C$9</definedName>
    <definedName name="Equity_Share_LP" localSheetId="9">'Waterfall (10-yr)'!$C$10</definedName>
    <definedName name="Preferred_Return" localSheetId="9">'Waterfall (10-yr)'!$E$15</definedName>
    <definedName name="Total_Equity" localSheetId="9">'Waterfall (10-yr)'!$D$11</definedName>
    <definedName name="CU?" localSheetId="10">'Waterfall (5-yr) '!$A$6</definedName>
    <definedName name="Equity_Share_GP" localSheetId="10">'Waterfall (5-yr) '!$C$9</definedName>
    <definedName name="Equity_Share_LP" localSheetId="10">'Waterfall (5-yr) '!$C$10</definedName>
    <definedName name="Preferred_Return" localSheetId="10">'Waterfall (5-yr) '!$E$15</definedName>
    <definedName name="Total_Equity" localSheetId="10">'Waterfall (5-yr) '!$D$11</definedName>
  </definedNames>
  <calcPr calcId="191028" calcMode="auto" fullCalcOnLoad="1" calcCompleted="0" calcOnSave="1"/>
</workbook>
</file>

<file path=xl/styles.xml><?xml version="1.0" encoding="utf-8"?>
<styleSheet xmlns="http://schemas.openxmlformats.org/spreadsheetml/2006/main">
  <numFmts count="21">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s>
  <fonts count="87">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7" tint="-0.499984740745262"/>
      <sz val="9"/>
      <scheme val="minor"/>
    </font>
    <font>
      <name val="Calibri"/>
      <family val="2"/>
      <i val="1"/>
      <color theme="7" tint="-0.499984740745262"/>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b val="1"/>
    </font>
    <font/>
    <font>
      <name val="Calibri"/>
      <b val="1"/>
    </font>
    <font>
      <name val="Calibri"/>
      <b val="1"/>
      <color rgb="FFFFFFFF"/>
    </font>
    <font>
      <name val="Calibri"/>
    </font>
    <font>
      <name val="Calibri"/>
      <color rgb="FF0000FF"/>
      <u val="single"/>
    </font>
    <font>
      <name val="Calibri"/>
      <i val="1"/>
      <color rgb="FF6B7280"/>
    </font>
  </fonts>
  <fills count="43">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FFFFFF"/>
        <bgColor rgb="FFFFFFFF"/>
      </patternFill>
    </fill>
    <fill>
      <patternFill patternType="solid">
        <fgColor rgb="FF002060"/>
      </patternFill>
    </fill>
    <fill>
      <patternFill patternType="solid">
        <fgColor rgb="FFFFFF00"/>
      </patternFill>
    </fill>
  </fills>
  <borders count="8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right/>
      <top/>
      <bottom/>
    </border>
    <border>
      <left style="thin">
        <color rgb="FF000000"/>
      </left>
      <right style="thin">
        <color rgb="FF000000"/>
      </right>
      <top style="thin">
        <color rgb="FF000000"/>
      </top>
      <bottom style="thin">
        <color rgb="FF000000"/>
      </bottom>
    </border>
  </borders>
  <cellStyleXfs count="9">
    <xf numFmtId="0" fontId="1" fillId="0" borderId="0"/>
    <xf numFmtId="44" fontId="1" fillId="0" borderId="0"/>
    <xf numFmtId="9" fontId="1" fillId="0" borderId="0"/>
    <xf numFmtId="0" fontId="22" fillId="21" borderId="57"/>
    <xf numFmtId="0" fontId="28" fillId="0" borderId="0"/>
    <xf numFmtId="43" fontId="28" fillId="0" borderId="0"/>
    <xf numFmtId="9" fontId="28" fillId="0" borderId="0"/>
    <xf numFmtId="43" fontId="1" fillId="0" borderId="0"/>
    <xf numFmtId="0" fontId="79" fillId="0" borderId="0"/>
  </cellStyleXfs>
  <cellXfs count="957">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3" fillId="5" borderId="42" pivotButton="0" quotePrefix="0" xfId="0"/>
    <xf numFmtId="0" fontId="0" fillId="5" borderId="54" pivotButton="0" quotePrefix="0" xfId="0"/>
    <xf numFmtId="0" fontId="2" fillId="4" borderId="55" applyAlignment="1" pivotButton="0" quotePrefix="0" xfId="0">
      <alignment horizontal="center" vertical="center"/>
    </xf>
    <xf numFmtId="165" fontId="3" fillId="5" borderId="26" applyAlignment="1" pivotButton="0" quotePrefix="0" xfId="0">
      <alignment horizontal="center"/>
    </xf>
    <xf numFmtId="0" fontId="0" fillId="4" borderId="56" pivotButton="0" quotePrefix="0" xfId="0"/>
    <xf numFmtId="0" fontId="3" fillId="5" borderId="26" pivotButton="0" quotePrefix="0" xfId="0"/>
    <xf numFmtId="0" fontId="2" fillId="4" borderId="56"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0" fillId="5" borderId="26" pivotButton="0" quotePrefix="0" xfId="0"/>
    <xf numFmtId="0" fontId="11" fillId="15" borderId="55" applyAlignment="1" pivotButton="0" quotePrefix="0" xfId="0">
      <alignment horizontal="center" vertical="center" wrapText="1"/>
    </xf>
    <xf numFmtId="0" fontId="0" fillId="0" borderId="55" pivotButton="0" quotePrefix="0" xfId="0"/>
    <xf numFmtId="0" fontId="11" fillId="15" borderId="55"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9" pivotButton="0" quotePrefix="0" xfId="0"/>
    <xf numFmtId="165" fontId="3" fillId="0" borderId="59"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9" applyAlignment="1" pivotButton="0" quotePrefix="0" xfId="0">
      <alignment horizontal="center"/>
    </xf>
    <xf numFmtId="165" fontId="0" fillId="12" borderId="59"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3"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4" pivotButton="0" quotePrefix="0" xfId="4"/>
    <xf numFmtId="166" fontId="34" fillId="0" borderId="63" pivotButton="0" quotePrefix="0" xfId="4"/>
    <xf numFmtId="166" fontId="35" fillId="0" borderId="63" pivotButton="0" quotePrefix="0" xfId="4"/>
    <xf numFmtId="0" fontId="34" fillId="25" borderId="0" pivotButton="0" quotePrefix="0" xfId="4"/>
    <xf numFmtId="166" fontId="34" fillId="25" borderId="65" pivotButton="0" quotePrefix="0" xfId="4"/>
    <xf numFmtId="166" fontId="34" fillId="25" borderId="64"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9"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9" applyAlignment="1" pivotButton="0" quotePrefix="0" xfId="1">
      <alignment horizontal="center"/>
    </xf>
    <xf numFmtId="0" fontId="6" fillId="12" borderId="67"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168" fontId="3" fillId="15" borderId="41" pivotButton="0" quotePrefix="0" xfId="1"/>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11" fillId="10" borderId="5" applyAlignment="1" pivotButton="0" quotePrefix="0" xfId="2">
      <alignment horizontal="center"/>
    </xf>
    <xf numFmtId="0" fontId="0" fillId="5" borderId="27" applyAlignment="1" pivotButton="0" quotePrefix="0" xfId="0">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0" fillId="10" borderId="0" applyAlignment="1" pivotButton="0" quotePrefix="0" xfId="0">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8"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56" pivotButton="0" quotePrefix="0" xfId="0"/>
    <xf numFmtId="0" fontId="0" fillId="6" borderId="49" pivotButton="0" quotePrefix="0" xfId="0"/>
    <xf numFmtId="0" fontId="0" fillId="6" borderId="48" pivotButton="0" quotePrefix="0" xfId="0"/>
    <xf numFmtId="0" fontId="0" fillId="6" borderId="56" applyAlignment="1" pivotButton="0" quotePrefix="0" xfId="0">
      <alignment horizontal="right"/>
    </xf>
    <xf numFmtId="0" fontId="0" fillId="6" borderId="58"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2" fontId="0" fillId="12" borderId="45" applyAlignment="1" pivotButton="0" quotePrefix="0" xfId="0">
      <alignment horizontal="center"/>
    </xf>
    <xf numFmtId="167" fontId="6" fillId="12" borderId="1" applyAlignment="1" pivotButton="0" quotePrefix="0" xfId="1">
      <alignment horizontal="center"/>
    </xf>
    <xf numFmtId="167" fontId="0" fillId="12" borderId="12" applyAlignment="1" pivotButton="0" quotePrefix="0" xfId="0">
      <alignment horizontal="center"/>
    </xf>
    <xf numFmtId="0" fontId="32" fillId="29" borderId="66" pivotButton="0" quotePrefix="0" xfId="0"/>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6" applyAlignment="1" pivotButton="0" quotePrefix="0" xfId="0">
      <alignment horizontal="center"/>
    </xf>
    <xf numFmtId="0" fontId="3" fillId="5" borderId="43" applyAlignment="1" pivotButton="0" quotePrefix="0" xfId="0">
      <alignment horizontal="center"/>
    </xf>
    <xf numFmtId="0" fontId="0" fillId="6" borderId="56"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8"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2"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70"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70"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6" applyAlignment="1" pivotButton="0" quotePrefix="0" xfId="2">
      <alignment horizontal="center"/>
    </xf>
    <xf numFmtId="0" fontId="3" fillId="0" borderId="30" pivotButton="0" quotePrefix="0" xfId="0"/>
    <xf numFmtId="10" fontId="1" fillId="0" borderId="69"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165" fontId="6" fillId="10" borderId="67" applyAlignment="1" pivotButton="0" quotePrefix="0" xfId="0">
      <alignment horizontal="center"/>
    </xf>
    <xf numFmtId="0" fontId="5" fillId="19" borderId="0" pivotButton="0" quotePrefix="0" xfId="0"/>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71" pivotButton="0" quotePrefix="0" xfId="0"/>
    <xf numFmtId="169" fontId="1" fillId="22" borderId="72"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165" fontId="49" fillId="12" borderId="0" applyAlignment="1" pivotButton="0" quotePrefix="0" xfId="0">
      <alignment horizontal="center" wrapText="1"/>
    </xf>
    <xf numFmtId="165" fontId="49" fillId="12" borderId="0" applyAlignment="1" pivotButton="0" quotePrefix="0" xfId="0">
      <alignment horizontal="center"/>
    </xf>
    <xf numFmtId="165" fontId="9" fillId="12" borderId="0" applyAlignment="1" pivotButton="0" quotePrefix="0" xfId="0">
      <alignment horizontal="left" wrapText="1"/>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3" pivotButton="0" quotePrefix="0" xfId="0"/>
    <xf numFmtId="0" fontId="0" fillId="12" borderId="74" pivotButton="0" quotePrefix="0" xfId="0"/>
    <xf numFmtId="0" fontId="0" fillId="12" borderId="73" pivotButton="0" quotePrefix="0" xfId="0"/>
    <xf numFmtId="0" fontId="6" fillId="12" borderId="73" pivotButton="0" quotePrefix="0" xfId="0"/>
    <xf numFmtId="165" fontId="0" fillId="12" borderId="74" applyAlignment="1" pivotButton="0" quotePrefix="0" xfId="1">
      <alignment horizontal="center"/>
    </xf>
    <xf numFmtId="165" fontId="0" fillId="12" borderId="73" applyAlignment="1" pivotButton="0" quotePrefix="0" xfId="0">
      <alignment horizontal="center"/>
    </xf>
    <xf numFmtId="165" fontId="0" fillId="12" borderId="74" applyAlignment="1" pivotButton="0" quotePrefix="0" xfId="0">
      <alignment horizontal="center"/>
    </xf>
    <xf numFmtId="165" fontId="0" fillId="0" borderId="74" applyAlignment="1" pivotButton="0" quotePrefix="0" xfId="0">
      <alignment horizontal="center"/>
    </xf>
    <xf numFmtId="167" fontId="0" fillId="12" borderId="73" applyAlignment="1" pivotButton="0" quotePrefix="0" xfId="0">
      <alignment horizontal="center"/>
    </xf>
    <xf numFmtId="167" fontId="0" fillId="12" borderId="0" applyAlignment="1" pivotButton="0" quotePrefix="0" xfId="0">
      <alignment horizontal="center"/>
    </xf>
    <xf numFmtId="167" fontId="0" fillId="12" borderId="74" applyAlignment="1" pivotButton="0" quotePrefix="0" xfId="0">
      <alignment horizontal="center"/>
    </xf>
    <xf numFmtId="169" fontId="0" fillId="10" borderId="60" applyAlignment="1" pivotButton="0" quotePrefix="0" xfId="2">
      <alignment horizontal="center" wrapText="1"/>
    </xf>
    <xf numFmtId="169" fontId="72" fillId="12" borderId="60"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5" pivotButton="0" quotePrefix="0" xfId="0"/>
    <xf numFmtId="165" fontId="3" fillId="12" borderId="59" applyAlignment="1" pivotButton="0" quotePrefix="0" xfId="1">
      <alignment horizontal="center"/>
    </xf>
    <xf numFmtId="165" fontId="3" fillId="12" borderId="76" applyAlignment="1" pivotButton="0" quotePrefix="0" xfId="1">
      <alignment horizontal="center"/>
    </xf>
    <xf numFmtId="165" fontId="3" fillId="12" borderId="77" applyAlignment="1" pivotButton="0" quotePrefix="0" xfId="1">
      <alignment horizontal="center"/>
    </xf>
    <xf numFmtId="165" fontId="3" fillId="0" borderId="76" applyAlignment="1" pivotButton="0" quotePrefix="0" xfId="1">
      <alignment horizontal="center"/>
    </xf>
    <xf numFmtId="169" fontId="40" fillId="12" borderId="60" applyAlignment="1" pivotButton="0" quotePrefix="0" xfId="0">
      <alignment horizontal="center" wrapText="1"/>
    </xf>
    <xf numFmtId="0" fontId="24" fillId="12" borderId="73" pivotButton="0" quotePrefix="0" xfId="0"/>
    <xf numFmtId="0" fontId="25" fillId="12" borderId="73" pivotButton="0" quotePrefix="0" xfId="0"/>
    <xf numFmtId="9" fontId="0" fillId="12" borderId="74" applyAlignment="1" pivotButton="0" quotePrefix="0" xfId="2">
      <alignment horizontal="center"/>
    </xf>
    <xf numFmtId="9" fontId="0" fillId="12" borderId="73"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8" pivotButton="0" quotePrefix="0" xfId="0"/>
    <xf numFmtId="169" fontId="72" fillId="12" borderId="61"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4"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7" pivotButton="0" quotePrefix="0" xfId="0"/>
    <xf numFmtId="165" fontId="3" fillId="12" borderId="76" applyAlignment="1" pivotButton="0" quotePrefix="0" xfId="0">
      <alignment horizontal="center"/>
    </xf>
    <xf numFmtId="165" fontId="3" fillId="12" borderId="77"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6" applyAlignment="1" pivotButton="0" quotePrefix="0" xfId="0">
      <alignment horizontal="center"/>
    </xf>
    <xf numFmtId="165" fontId="0" fillId="12" borderId="77" applyAlignment="1" pivotButton="0" quotePrefix="0" xfId="0">
      <alignment horizontal="center"/>
    </xf>
    <xf numFmtId="0" fontId="73" fillId="12" borderId="73" pivotButton="0" quotePrefix="0" xfId="0"/>
    <xf numFmtId="169" fontId="19" fillId="12" borderId="0" applyAlignment="1" pivotButton="0" quotePrefix="0" xfId="2">
      <alignment horizontal="center"/>
    </xf>
    <xf numFmtId="169" fontId="19" fillId="12" borderId="74" applyAlignment="1" pivotButton="0" quotePrefix="0" xfId="2">
      <alignment horizontal="center"/>
    </xf>
    <xf numFmtId="169" fontId="19" fillId="12" borderId="73" applyAlignment="1" pivotButton="0" quotePrefix="0" xfId="2">
      <alignment horizontal="center"/>
    </xf>
    <xf numFmtId="0" fontId="49" fillId="12" borderId="0" applyAlignment="1" pivotButton="0" quotePrefix="0" xfId="0">
      <alignment wrapText="1"/>
    </xf>
    <xf numFmtId="0" fontId="11" fillId="12" borderId="78" pivotButton="0" quotePrefix="0" xfId="0"/>
    <xf numFmtId="165" fontId="3" fillId="12" borderId="62" applyAlignment="1" pivotButton="0" quotePrefix="0" xfId="0">
      <alignment horizontal="center"/>
    </xf>
    <xf numFmtId="165" fontId="3" fillId="12" borderId="78" applyAlignment="1" pivotButton="0" quotePrefix="0" xfId="0">
      <alignment horizontal="center"/>
    </xf>
    <xf numFmtId="0" fontId="0" fillId="12" borderId="50" applyAlignment="1" pivotButton="0" quotePrefix="0" xfId="0">
      <alignment horizontal="center"/>
    </xf>
    <xf numFmtId="0" fontId="0" fillId="12" borderId="74" applyAlignment="1" pivotButton="0" quotePrefix="0" xfId="0">
      <alignment horizontal="center"/>
    </xf>
    <xf numFmtId="165" fontId="0" fillId="12" borderId="0" applyAlignment="1" pivotButton="0" quotePrefix="0" xfId="1">
      <alignment horizontal="center"/>
    </xf>
    <xf numFmtId="168" fontId="0" fillId="12" borderId="0" pivotButton="0" quotePrefix="0" xfId="1"/>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7" applyAlignment="1" pivotButton="0" quotePrefix="0" xfId="0">
      <alignment horizontal="center"/>
    </xf>
    <xf numFmtId="167" fontId="0" fillId="12" borderId="67" applyAlignment="1" pivotButton="0" quotePrefix="0" xfId="0">
      <alignment horizontal="right"/>
    </xf>
    <xf numFmtId="167" fontId="0" fillId="12" borderId="31" applyAlignment="1" pivotButton="0" quotePrefix="0" xfId="0">
      <alignment horizontal="right"/>
    </xf>
    <xf numFmtId="0" fontId="29" fillId="29" borderId="73" pivotButton="0" quotePrefix="0" xfId="0"/>
    <xf numFmtId="167" fontId="0" fillId="12" borderId="0" applyAlignment="1" pivotButton="0" quotePrefix="0" xfId="0">
      <alignment horizontal="right"/>
    </xf>
    <xf numFmtId="167" fontId="0" fillId="12" borderId="74"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4"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9"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80" applyAlignment="1" pivotButton="0" quotePrefix="0" xfId="2">
      <alignment horizontal="center" wrapText="1"/>
    </xf>
    <xf numFmtId="169" fontId="40" fillId="12" borderId="80" applyAlignment="1" pivotButton="0" quotePrefix="0" xfId="0">
      <alignment horizontal="center" wrapText="1"/>
    </xf>
    <xf numFmtId="0" fontId="74" fillId="12" borderId="73" pivotButton="0" quotePrefix="0" xfId="0"/>
    <xf numFmtId="169" fontId="75" fillId="12" borderId="0" applyAlignment="1" pivotButton="0" quotePrefix="0" xfId="2">
      <alignment horizontal="center"/>
    </xf>
    <xf numFmtId="169" fontId="75" fillId="12" borderId="47" applyAlignment="1" pivotButton="0" quotePrefix="0" xfId="2">
      <alignment horizontal="center"/>
    </xf>
    <xf numFmtId="169" fontId="75" fillId="12" borderId="74" applyAlignment="1" pivotButton="0" quotePrefix="0" xfId="2">
      <alignment horizontal="center"/>
    </xf>
    <xf numFmtId="0" fontId="76" fillId="12" borderId="13" pivotButton="0" quotePrefix="0" xfId="0"/>
    <xf numFmtId="169" fontId="77" fillId="12" borderId="3" applyAlignment="1" pivotButton="0" quotePrefix="0" xfId="2">
      <alignment horizontal="center"/>
    </xf>
    <xf numFmtId="169" fontId="77" fillId="12" borderId="4" applyAlignment="1" pivotButton="0" quotePrefix="0" xfId="2">
      <alignment horizontal="center"/>
    </xf>
    <xf numFmtId="169" fontId="77" fillId="12" borderId="40" applyAlignment="1" pivotButton="0" quotePrefix="0" xfId="2">
      <alignment horizontal="center"/>
    </xf>
    <xf numFmtId="0" fontId="78" fillId="12" borderId="73" pivotButton="0" quotePrefix="0" xfId="0"/>
    <xf numFmtId="165" fontId="78" fillId="12" borderId="0" applyAlignment="1" pivotButton="0" quotePrefix="0" xfId="0">
      <alignment horizontal="center"/>
    </xf>
    <xf numFmtId="165" fontId="78" fillId="12" borderId="50" applyAlignment="1" pivotButton="0" quotePrefix="0" xfId="0">
      <alignment horizontal="center"/>
    </xf>
    <xf numFmtId="165" fontId="78" fillId="12" borderId="74" applyAlignment="1" pivotButton="0" quotePrefix="0" xfId="0">
      <alignment horizontal="center"/>
    </xf>
    <xf numFmtId="0" fontId="3" fillId="12" borderId="45" applyAlignment="1" pivotButton="0" quotePrefix="0" xfId="1">
      <alignment horizontal="center" vertical="center"/>
    </xf>
    <xf numFmtId="0" fontId="3" fillId="12" borderId="12" applyAlignment="1" pivotButton="0" quotePrefix="0" xfId="1">
      <alignment horizontal="center" vertical="center"/>
    </xf>
    <xf numFmtId="169" fontId="49" fillId="12" borderId="45" applyAlignment="1" pivotButton="0" quotePrefix="0" xfId="2">
      <alignment horizontal="center" vertical="center"/>
    </xf>
    <xf numFmtId="169" fontId="49" fillId="12" borderId="12" applyAlignment="1" pivotButton="0" quotePrefix="0" xfId="2">
      <alignment horizontal="center" vertic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5" fontId="0" fillId="12" borderId="45" pivotButton="0" quotePrefix="0" xfId="0"/>
    <xf numFmtId="165" fontId="0" fillId="12" borderId="12" pivotButton="0" quotePrefix="0" xfId="0"/>
    <xf numFmtId="167" fontId="0" fillId="12" borderId="0" applyAlignment="1" pivotButton="0" quotePrefix="0" xfId="1">
      <alignment horizontal="center"/>
    </xf>
    <xf numFmtId="167" fontId="0" fillId="12" borderId="74" applyAlignment="1" pivotButton="0" quotePrefix="0" xfId="1">
      <alignment horizontal="center"/>
    </xf>
    <xf numFmtId="0" fontId="9" fillId="5" borderId="42" pivotButton="0" quotePrefix="0" xfId="0"/>
    <xf numFmtId="165" fontId="3" fillId="22" borderId="43" pivotButton="0" quotePrefix="0" xfId="0"/>
    <xf numFmtId="165" fontId="3" fillId="22" borderId="29" pivotButton="0" quotePrefix="0" xfId="0"/>
    <xf numFmtId="0" fontId="0" fillId="22" borderId="1" applyAlignment="1" pivotButton="0" quotePrefix="0" xfId="0">
      <alignment horizontal="center"/>
    </xf>
    <xf numFmtId="0" fontId="6" fillId="12" borderId="3" applyAlignment="1" pivotButton="0" quotePrefix="0" xfId="1">
      <alignment horizontal="center"/>
    </xf>
    <xf numFmtId="10" fontId="0" fillId="10" borderId="5" applyAlignment="1" pivotButton="0" quotePrefix="0" xfId="2">
      <alignment horizontal="center"/>
    </xf>
    <xf numFmtId="0" fontId="3" fillId="12" borderId="1" pivotButton="0" quotePrefix="0" xfId="0"/>
    <xf numFmtId="0" fontId="11" fillId="12" borderId="1" pivotButton="0" quotePrefix="0" xfId="0"/>
    <xf numFmtId="0" fontId="32" fillId="0" borderId="0" pivotButton="0" quotePrefix="0" xfId="4"/>
    <xf numFmtId="15" fontId="13" fillId="11" borderId="0" applyAlignment="1" pivotButton="0" quotePrefix="0" xfId="0">
      <alignment vertical="center"/>
    </xf>
    <xf numFmtId="0" fontId="0" fillId="10" borderId="40" applyAlignment="1" pivotButton="0" quotePrefix="0" xfId="0">
      <alignment horizontal="center"/>
    </xf>
    <xf numFmtId="0" fontId="0" fillId="10" borderId="12" applyAlignment="1" pivotButton="0" quotePrefix="0" xfId="0">
      <alignment horizontal="center"/>
    </xf>
    <xf numFmtId="0" fontId="11" fillId="5" borderId="17" pivotButton="0" quotePrefix="0" xfId="0"/>
    <xf numFmtId="0" fontId="11" fillId="5" borderId="1" applyAlignment="1" pivotButton="0" quotePrefix="0" xfId="0">
      <alignment horizontal="center"/>
    </xf>
    <xf numFmtId="165" fontId="11" fillId="5" borderId="1" applyAlignment="1" pivotButton="0" quotePrefix="0" xfId="0">
      <alignment horizontal="center"/>
    </xf>
    <xf numFmtId="165" fontId="11" fillId="5" borderId="18" applyAlignment="1" pivotButton="0" quotePrefix="0" xfId="0">
      <alignment horizontal="center"/>
    </xf>
    <xf numFmtId="0" fontId="0" fillId="12" borderId="1" applyAlignment="1" pivotButton="0" quotePrefix="0" xfId="0">
      <alignment horizontal="center"/>
    </xf>
    <xf numFmtId="165" fontId="0" fillId="15" borderId="1" applyAlignment="1" pivotButton="0" quotePrefix="0" xfId="0">
      <alignment horizontal="center"/>
    </xf>
    <xf numFmtId="0" fontId="6" fillId="15" borderId="1" pivotButton="0" quotePrefix="0" xfId="0"/>
    <xf numFmtId="0" fontId="32" fillId="15" borderId="66" pivotButton="0" quotePrefix="0" xfId="0"/>
    <xf numFmtId="0" fontId="0" fillId="15" borderId="1" pivotButton="0" quotePrefix="0" xfId="0"/>
    <xf numFmtId="165" fontId="6" fillId="15" borderId="1" applyAlignment="1" pivotButton="0" quotePrefix="0" xfId="0">
      <alignment horizontal="center"/>
    </xf>
    <xf numFmtId="165" fontId="6" fillId="15" borderId="1" applyAlignment="1" pivotButton="0" quotePrefix="0" xfId="1">
      <alignment horizontal="center"/>
    </xf>
    <xf numFmtId="164" fontId="0" fillId="0" borderId="29" applyAlignment="1" pivotButton="0" quotePrefix="0" xfId="2">
      <alignment horizontal="center"/>
    </xf>
    <xf numFmtId="165" fontId="3" fillId="12" borderId="1" applyAlignment="1" pivotButton="0" quotePrefix="0" xfId="2">
      <alignment horizontal="center"/>
    </xf>
    <xf numFmtId="9" fontId="0" fillId="12" borderId="0" pivotButton="0" quotePrefix="0" xfId="0"/>
    <xf numFmtId="0" fontId="79" fillId="12" borderId="0" pivotButton="0" quotePrefix="0" xfId="8"/>
    <xf numFmtId="0" fontId="0" fillId="15" borderId="1" applyAlignment="1" pivotButton="0" quotePrefix="0" xfId="0">
      <alignment horizontal="center"/>
    </xf>
    <xf numFmtId="167" fontId="0" fillId="12" borderId="1" applyAlignment="1" pivotButton="0" quotePrefix="0" xfId="0">
      <alignment horizontal="center"/>
    </xf>
    <xf numFmtId="165" fontId="0" fillId="15" borderId="26" applyAlignment="1" pivotButton="0" quotePrefix="0" xfId="0">
      <alignment horizontal="center"/>
    </xf>
    <xf numFmtId="10" fontId="0" fillId="12" borderId="1" applyAlignment="1" pivotButton="0" quotePrefix="0" xfId="1">
      <alignment horizontal="center"/>
    </xf>
    <xf numFmtId="10" fontId="0" fillId="12" borderId="1" applyAlignment="1" pivotButton="0" quotePrefix="0" xfId="0">
      <alignment horizontal="center"/>
    </xf>
    <xf numFmtId="164" fontId="0" fillId="12" borderId="74" applyAlignment="1" pivotButton="0" quotePrefix="0" xfId="0">
      <alignment horizontal="right"/>
    </xf>
    <xf numFmtId="165" fontId="0" fillId="12" borderId="74" applyAlignment="1" pivotButton="0" quotePrefix="0" xfId="0">
      <alignment horizontal="right"/>
    </xf>
    <xf numFmtId="0" fontId="64" fillId="10" borderId="0" applyAlignment="1" pivotButton="0" quotePrefix="0" xfId="0">
      <alignment horizontal="center"/>
    </xf>
    <xf numFmtId="165" fontId="64" fillId="10" borderId="0" applyAlignment="1" pivotButton="0" quotePrefix="0" xfId="0">
      <alignment horizontal="center"/>
    </xf>
    <xf numFmtId="0" fontId="6" fillId="12" borderId="0" applyAlignment="1" pivotButton="0" quotePrefix="0" xfId="0">
      <alignment wrapText="1"/>
    </xf>
    <xf numFmtId="0" fontId="11" fillId="12" borderId="45" pivotButton="0" quotePrefix="0" xfId="0"/>
    <xf numFmtId="165" fontId="11" fillId="12" borderId="45" pivotButton="0" quotePrefix="0" xfId="0"/>
    <xf numFmtId="0" fontId="0" fillId="10" borderId="23" applyAlignment="1" pivotButton="0" quotePrefix="0" xfId="0">
      <alignment horizontal="left"/>
    </xf>
    <xf numFmtId="167" fontId="0" fillId="0" borderId="0" pivotButton="0" quotePrefix="0" xfId="0"/>
    <xf numFmtId="0" fontId="79" fillId="0" borderId="0" pivotButton="0" quotePrefix="0" xfId="8"/>
    <xf numFmtId="164" fontId="6" fillId="12" borderId="1" applyAlignment="1" pivotButton="0" quotePrefix="0" xfId="1">
      <alignment horizontal="center"/>
    </xf>
    <xf numFmtId="164" fontId="6" fillId="15" borderId="1" applyAlignment="1" pivotButton="0" quotePrefix="0" xfId="1">
      <alignment horizontal="center"/>
    </xf>
    <xf numFmtId="165" fontId="3" fillId="9" borderId="1" applyAlignment="1" pivotButton="0" quotePrefix="0" xfId="1">
      <alignment horizontal="center"/>
    </xf>
    <xf numFmtId="164" fontId="0" fillId="12" borderId="0" applyAlignment="1" pivotButton="0" quotePrefix="0" xfId="0">
      <alignment horizontal="center"/>
    </xf>
    <xf numFmtId="0" fontId="7" fillId="3" borderId="0" applyAlignment="1" pivotButton="0" quotePrefix="0" xfId="0">
      <alignment horizontal="center"/>
    </xf>
    <xf numFmtId="165" fontId="0" fillId="0" borderId="40" applyAlignment="1" pivotButton="0" quotePrefix="0" xfId="0">
      <alignment horizontal="center"/>
    </xf>
    <xf numFmtId="0" fontId="31" fillId="24" borderId="0" applyAlignment="1" pivotButton="0" quotePrefix="0" xfId="4">
      <alignment horizontal="center"/>
    </xf>
    <xf numFmtId="0" fontId="32" fillId="0" borderId="0" pivotButton="0" quotePrefix="0" xfId="4"/>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69" fontId="3" fillId="5" borderId="60"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167" fontId="0" fillId="0" borderId="0" pivotButton="0" quotePrefix="0" xfId="0"/>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169" fontId="1" fillId="22" borderId="72" applyAlignment="1" pivotButton="0" quotePrefix="0" xfId="2">
      <alignment horizontal="center" wrapText="1"/>
    </xf>
    <xf numFmtId="169" fontId="9" fillId="0" borderId="0" applyAlignment="1" pivotButton="0" quotePrefix="0" xfId="2">
      <alignment horizontal="center" wrapText="1"/>
    </xf>
    <xf numFmtId="182" fontId="0" fillId="12" borderId="0" pivotButton="0" quotePrefix="0" xfId="0"/>
    <xf numFmtId="167" fontId="0" fillId="10" borderId="23" applyAlignment="1" pivotButton="0" quotePrefix="0" xfId="0">
      <alignment horizontal="center"/>
    </xf>
    <xf numFmtId="167" fontId="0" fillId="12" borderId="12"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9" fontId="11" fillId="10" borderId="5" applyAlignment="1" pivotButton="0" quotePrefix="0" xfId="2">
      <alignment horizontal="center"/>
    </xf>
    <xf numFmtId="166" fontId="0" fillId="12" borderId="0" pivotButton="0" quotePrefix="0" xfId="7"/>
    <xf numFmtId="0" fontId="0" fillId="0" borderId="45" pivotButton="0" quotePrefix="0" xfId="0"/>
    <xf numFmtId="169" fontId="49" fillId="12" borderId="45" applyAlignment="1" pivotButton="0" quotePrefix="0" xfId="2">
      <alignment horizontal="center" vertical="center"/>
    </xf>
    <xf numFmtId="169" fontId="49" fillId="12" borderId="12" applyAlignment="1" pivotButton="0" quotePrefix="0" xfId="2">
      <alignment horizontal="center" vertical="center"/>
    </xf>
    <xf numFmtId="169" fontId="3" fillId="5" borderId="80"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4" applyAlignment="1" pivotButton="0" quotePrefix="0" xfId="1">
      <alignment horizontal="center"/>
    </xf>
    <xf numFmtId="167" fontId="0" fillId="12" borderId="73" applyAlignment="1" pivotButton="0" quotePrefix="0" xfId="0">
      <alignment horizontal="center"/>
    </xf>
    <xf numFmtId="167" fontId="0" fillId="12" borderId="0" applyAlignment="1" pivotButton="0" quotePrefix="0" xfId="0">
      <alignment horizontal="center"/>
    </xf>
    <xf numFmtId="167" fontId="0" fillId="12" borderId="74" applyAlignment="1" pivotButton="0" quotePrefix="0" xfId="0">
      <alignment horizontal="center"/>
    </xf>
    <xf numFmtId="169" fontId="0" fillId="10" borderId="60" applyAlignment="1" pivotButton="0" quotePrefix="0" xfId="2">
      <alignment horizontal="center" wrapText="1"/>
    </xf>
    <xf numFmtId="169" fontId="0" fillId="10" borderId="80" applyAlignment="1" pivotButton="0" quotePrefix="0" xfId="2">
      <alignment horizontal="center" wrapText="1"/>
    </xf>
    <xf numFmtId="169" fontId="72" fillId="12" borderId="60"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69" fontId="40" fillId="12" borderId="60" applyAlignment="1" pivotButton="0" quotePrefix="0" xfId="0">
      <alignment horizontal="center" wrapText="1"/>
    </xf>
    <xf numFmtId="169" fontId="40" fillId="12" borderId="80" applyAlignment="1" pivotButton="0" quotePrefix="0" xfId="0">
      <alignment horizontal="center" wrapText="1"/>
    </xf>
    <xf numFmtId="169" fontId="72" fillId="12" borderId="61"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0" fontId="63" fillId="20" borderId="5" applyAlignment="1" pivotButton="0" quotePrefix="0" xfId="0">
      <alignment horizontal="center" wrapText="1"/>
    </xf>
    <xf numFmtId="169" fontId="19" fillId="12" borderId="0" applyAlignment="1" pivotButton="0" quotePrefix="0" xfId="2">
      <alignment horizontal="center"/>
    </xf>
    <xf numFmtId="169" fontId="19" fillId="12" borderId="74" applyAlignment="1" pivotButton="0" quotePrefix="0" xfId="2">
      <alignment horizontal="center"/>
    </xf>
    <xf numFmtId="169" fontId="19" fillId="12" borderId="73" applyAlignment="1" pivotButton="0" quotePrefix="0" xfId="2">
      <alignment horizontal="center"/>
    </xf>
    <xf numFmtId="169" fontId="75" fillId="12" borderId="0" applyAlignment="1" pivotButton="0" quotePrefix="0" xfId="2">
      <alignment horizontal="center"/>
    </xf>
    <xf numFmtId="169" fontId="75" fillId="12" borderId="47" applyAlignment="1" pivotButton="0" quotePrefix="0" xfId="2">
      <alignment horizontal="center"/>
    </xf>
    <xf numFmtId="169" fontId="75" fillId="12" borderId="74" applyAlignment="1" pivotButton="0" quotePrefix="0" xfId="2">
      <alignment horizontal="center"/>
    </xf>
    <xf numFmtId="169" fontId="77" fillId="12" borderId="3" applyAlignment="1" pivotButton="0" quotePrefix="0" xfId="2">
      <alignment horizontal="center"/>
    </xf>
    <xf numFmtId="169" fontId="77" fillId="12" borderId="4" applyAlignment="1" pivotButton="0" quotePrefix="0" xfId="2">
      <alignment horizontal="center"/>
    </xf>
    <xf numFmtId="169" fontId="77" fillId="12" borderId="40" applyAlignment="1" pivotButton="0" quotePrefix="0" xfId="2">
      <alignment horizontal="center"/>
    </xf>
    <xf numFmtId="183" fontId="0" fillId="12" borderId="0" pivotButton="0" quotePrefix="0" xfId="0"/>
    <xf numFmtId="167" fontId="0" fillId="12" borderId="67"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4" applyAlignment="1" pivotButton="0" quotePrefix="0" xfId="0">
      <alignment horizontal="right"/>
    </xf>
    <xf numFmtId="184" fontId="49" fillId="12" borderId="0" applyAlignment="1" pivotButton="0" quotePrefix="0" xfId="7">
      <alignment horizontal="right"/>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6" fontId="29" fillId="12" borderId="0" applyAlignment="1" pivotButton="0" quotePrefix="0" xfId="4">
      <alignment horizontal="center"/>
    </xf>
    <xf numFmtId="166" fontId="33" fillId="0" borderId="0" pivotButton="0" quotePrefix="0" xfId="4"/>
    <xf numFmtId="166" fontId="33" fillId="0" borderId="64" pivotButton="0" quotePrefix="0" xfId="4"/>
    <xf numFmtId="166" fontId="34" fillId="0" borderId="63" pivotButton="0" quotePrefix="0" xfId="4"/>
    <xf numFmtId="166" fontId="35" fillId="0" borderId="63" pivotButton="0" quotePrefix="0" xfId="4"/>
    <xf numFmtId="167" fontId="29" fillId="12" borderId="0" pivotButton="0" quotePrefix="0" xfId="4"/>
    <xf numFmtId="166" fontId="34" fillId="25" borderId="65" pivotButton="0" quotePrefix="0" xfId="4"/>
    <xf numFmtId="166" fontId="34" fillId="25" borderId="64"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xf numFmtId="0" fontId="0" fillId="40" borderId="1" pivotButton="0" quotePrefix="0" xfId="0"/>
    <xf numFmtId="0" fontId="0" fillId="40" borderId="0" pivotButton="0" quotePrefix="0" xfId="0"/>
    <xf numFmtId="0" fontId="0" fillId="40" borderId="0" applyAlignment="1" pivotButton="0" quotePrefix="0" xfId="0">
      <alignment horizontal="center"/>
    </xf>
    <xf numFmtId="0" fontId="7" fillId="40" borderId="0" applyAlignment="1" pivotButton="0" quotePrefix="0" xfId="0">
      <alignment horizontal="right"/>
    </xf>
    <xf numFmtId="165" fontId="0" fillId="40" borderId="1" applyAlignment="1" pivotButton="0" quotePrefix="0" xfId="0">
      <alignment horizontal="center"/>
    </xf>
    <xf numFmtId="0" fontId="13" fillId="40" borderId="0" applyAlignment="1" pivotButton="0" quotePrefix="0" xfId="0">
      <alignment vertical="center"/>
    </xf>
    <xf numFmtId="0" fontId="0" fillId="40" borderId="8" pivotButton="0" quotePrefix="0" xfId="0"/>
    <xf numFmtId="0" fontId="0" fillId="40" borderId="9" pivotButton="0" quotePrefix="0" xfId="0"/>
    <xf numFmtId="0" fontId="14" fillId="40" borderId="5" applyAlignment="1" pivotButton="0" quotePrefix="0" xfId="0">
      <alignment horizontal="center" vertical="center"/>
    </xf>
    <xf numFmtId="0" fontId="6" fillId="40" borderId="0" applyAlignment="1" pivotButton="0" quotePrefix="0" xfId="0">
      <alignment vertical="center"/>
    </xf>
    <xf numFmtId="0" fontId="0" fillId="40" borderId="0" applyAlignment="1" pivotButton="0" quotePrefix="0" xfId="0">
      <alignment wrapText="1"/>
    </xf>
    <xf numFmtId="0" fontId="0" fillId="40" borderId="40" applyAlignment="1" pivotButton="0" quotePrefix="0" xfId="0">
      <alignment horizontal="center"/>
    </xf>
    <xf numFmtId="0" fontId="0" fillId="40" borderId="1" applyAlignment="1" pivotButton="0" quotePrefix="0" xfId="0">
      <alignment horizontal="center"/>
    </xf>
    <xf numFmtId="2" fontId="0" fillId="40" borderId="26" applyAlignment="1" pivotButton="0" quotePrefix="0" xfId="0">
      <alignment horizontal="center"/>
    </xf>
    <xf numFmtId="2" fontId="0" fillId="40" borderId="45" applyAlignment="1" pivotButton="0" quotePrefix="0" xfId="0">
      <alignment horizontal="center"/>
    </xf>
    <xf numFmtId="2" fontId="81" fillId="40" borderId="45" applyAlignment="1" pivotButton="0" quotePrefix="0" xfId="0">
      <alignment horizontal="center"/>
    </xf>
    <xf numFmtId="165" fontId="81" fillId="40" borderId="17" applyAlignment="1" pivotButton="0" quotePrefix="0" xfId="0">
      <alignment horizontal="center"/>
    </xf>
    <xf numFmtId="165" fontId="81" fillId="40" borderId="11" applyAlignment="1" pivotButton="0" quotePrefix="0" xfId="0">
      <alignment horizontal="center"/>
    </xf>
    <xf numFmtId="0" fontId="4" fillId="40" borderId="40" pivotButton="0" quotePrefix="0" xfId="0"/>
    <xf numFmtId="0" fontId="6" fillId="40" borderId="40" pivotButton="0" quotePrefix="0" xfId="0"/>
    <xf numFmtId="0" fontId="4" fillId="40" borderId="4" pivotButton="0" quotePrefix="0" xfId="0"/>
    <xf numFmtId="0" fontId="4" fillId="40" borderId="13" pivotButton="0" quotePrefix="0" xfId="0"/>
    <xf numFmtId="165" fontId="0" fillId="40" borderId="22" pivotButton="0" quotePrefix="0" xfId="0"/>
    <xf numFmtId="165" fontId="0" fillId="40" borderId="38" pivotButton="0" quotePrefix="0" xfId="0"/>
    <xf numFmtId="165" fontId="0" fillId="40" borderId="23" pivotButton="0" quotePrefix="0" xfId="0"/>
    <xf numFmtId="0" fontId="0" fillId="40" borderId="38" pivotButton="0" quotePrefix="0" xfId="0"/>
    <xf numFmtId="165" fontId="0" fillId="40" borderId="1" pivotButton="0" quotePrefix="0" xfId="0"/>
    <xf numFmtId="165" fontId="0" fillId="40" borderId="18" pivotButton="0" quotePrefix="0" xfId="0"/>
    <xf numFmtId="0" fontId="0" fillId="40" borderId="12" applyAlignment="1" pivotButton="0" quotePrefix="0" xfId="0">
      <alignment horizontal="center"/>
    </xf>
    <xf numFmtId="0" fontId="4" fillId="40" borderId="12" pivotButton="0" quotePrefix="0" xfId="0"/>
    <xf numFmtId="0" fontId="6" fillId="40" borderId="12" pivotButton="0" quotePrefix="0" xfId="0"/>
    <xf numFmtId="0" fontId="4" fillId="40" borderId="1" pivotButton="0" quotePrefix="0" xfId="0"/>
    <xf numFmtId="0" fontId="4" fillId="40" borderId="11" pivotButton="0" quotePrefix="0" xfId="0"/>
    <xf numFmtId="165" fontId="0" fillId="40" borderId="17" pivotButton="0" quotePrefix="0" xfId="0"/>
    <xf numFmtId="0" fontId="81" fillId="40" borderId="81" pivotButton="0" quotePrefix="0" xfId="0"/>
    <xf numFmtId="165" fontId="81" fillId="40" borderId="81" applyAlignment="1" pivotButton="0" quotePrefix="0" xfId="0">
      <alignment horizontal="center"/>
    </xf>
    <xf numFmtId="165" fontId="10" fillId="40" borderId="37" applyAlignment="1" pivotButton="0" quotePrefix="0" xfId="0">
      <alignment horizontal="center"/>
    </xf>
    <xf numFmtId="0" fontId="81" fillId="40" borderId="0" pivotButton="0" quotePrefix="0" xfId="0"/>
    <xf numFmtId="0" fontId="81" fillId="40" borderId="0" applyAlignment="1" pivotButton="0" quotePrefix="0" xfId="0">
      <alignment horizontal="center"/>
    </xf>
    <xf numFmtId="165" fontId="81" fillId="0" borderId="0" applyAlignment="1" pivotButton="0" quotePrefix="0" xfId="0">
      <alignment horizontal="center"/>
    </xf>
    <xf numFmtId="165" fontId="81" fillId="40" borderId="0" pivotButton="0" quotePrefix="0" xfId="0"/>
    <xf numFmtId="0" fontId="81" fillId="40" borderId="81" applyAlignment="1" pivotButton="0" quotePrefix="0" xfId="0">
      <alignment horizontal="center"/>
    </xf>
    <xf numFmtId="169" fontId="0" fillId="0" borderId="0" pivotButton="0" quotePrefix="0" xfId="0"/>
    <xf numFmtId="169" fontId="0" fillId="12" borderId="0" pivotButton="0" quotePrefix="0" xfId="0"/>
    <xf numFmtId="169" fontId="68" fillId="12" borderId="0" pivotButton="0" quotePrefix="0" xfId="0"/>
    <xf numFmtId="3" fontId="6" fillId="12" borderId="1" applyAlignment="1" pivotButton="0" quotePrefix="0" xfId="0">
      <alignment horizontal="center" wrapText="1"/>
    </xf>
    <xf numFmtId="3" fontId="3" fillId="5" borderId="0" applyAlignment="1" pivotButton="0" quotePrefix="0" xfId="0">
      <alignment horizontal="center"/>
    </xf>
    <xf numFmtId="3" fontId="69" fillId="12" borderId="0" pivotButton="0" quotePrefix="0" xfId="0"/>
    <xf numFmtId="165" fontId="49" fillId="12" borderId="0" applyAlignment="1" pivotButton="0" quotePrefix="0" xfId="0">
      <alignment horizontal="right"/>
    </xf>
    <xf numFmtId="3" fontId="71" fillId="10" borderId="0" pivotButton="0" quotePrefix="0" xfId="0"/>
    <xf numFmtId="3" fontId="23" fillId="12" borderId="0" applyAlignment="1" pivotButton="0" quotePrefix="0" xfId="0">
      <alignment horizontal="center"/>
    </xf>
    <xf numFmtId="169" fontId="23" fillId="12" borderId="0" applyAlignment="1" pivotButton="0" quotePrefix="0" xfId="0">
      <alignment horizontal="center"/>
    </xf>
    <xf numFmtId="165" fontId="11" fillId="20" borderId="21" applyAlignment="1" pivotButton="0" quotePrefix="0" xfId="2">
      <alignment horizontal="right"/>
    </xf>
    <xf numFmtId="169" fontId="11" fillId="20" borderId="23" applyAlignment="1" pivotButton="0" quotePrefix="0" xfId="0">
      <alignment horizontal="right"/>
    </xf>
    <xf numFmtId="165" fontId="4" fillId="12" borderId="0" pivotButton="0" quotePrefix="0" xfId="0"/>
    <xf numFmtId="0" fontId="4" fillId="40" borderId="0" pivotButton="0" quotePrefix="0" xfId="0"/>
    <xf numFmtId="0" fontId="82" fillId="12" borderId="0" applyAlignment="1" pivotButton="0" quotePrefix="0" xfId="0">
      <alignment horizontal="left" vertical="center"/>
    </xf>
    <xf numFmtId="0" fontId="83" fillId="41" borderId="0" applyAlignment="1" pivotButton="0" quotePrefix="0" xfId="0">
      <alignment horizontal="left" vertical="center"/>
    </xf>
    <xf numFmtId="0" fontId="83" fillId="41" borderId="0" pivotButton="0" quotePrefix="0" xfId="0"/>
    <xf numFmtId="0" fontId="82" fillId="0" borderId="82" applyAlignment="1" pivotButton="0" quotePrefix="0" xfId="0">
      <alignment horizontal="left" vertical="center"/>
    </xf>
    <xf numFmtId="0" fontId="84" fillId="10" borderId="82" applyAlignment="1" pivotButton="0" quotePrefix="0" xfId="0">
      <alignment horizontal="left" vertical="center"/>
    </xf>
    <xf numFmtId="0" fontId="82" fillId="12" borderId="82" applyAlignment="1" pivotButton="0" quotePrefix="0" xfId="0">
      <alignment horizontal="left" vertical="center"/>
    </xf>
    <xf numFmtId="165" fontId="84" fillId="10" borderId="82" applyAlignment="1" pivotButton="0" quotePrefix="0" xfId="0">
      <alignment horizontal="right" vertical="center"/>
    </xf>
    <xf numFmtId="0" fontId="84" fillId="0" borderId="82" applyAlignment="1" pivotButton="0" quotePrefix="0" xfId="0">
      <alignment horizontal="left" vertical="center"/>
    </xf>
    <xf numFmtId="0" fontId="84" fillId="0" borderId="82" applyAlignment="1" pivotButton="0" quotePrefix="0" xfId="2">
      <alignment horizontal="left" vertical="center"/>
    </xf>
    <xf numFmtId="10" fontId="84" fillId="10" borderId="82" applyAlignment="1" pivotButton="0" quotePrefix="0" xfId="0">
      <alignment horizontal="right" vertical="center"/>
    </xf>
    <xf numFmtId="1" fontId="84" fillId="0" borderId="82" applyAlignment="1" pivotButton="0" quotePrefix="0" xfId="2">
      <alignment horizontal="left" vertical="center"/>
    </xf>
    <xf numFmtId="10" fontId="84" fillId="12" borderId="82" applyAlignment="1" pivotButton="0" quotePrefix="0" xfId="0">
      <alignment horizontal="right" vertical="center"/>
    </xf>
    <xf numFmtId="0" fontId="0" fillId="40" borderId="42" pivotButton="0" quotePrefix="0" xfId="0"/>
    <xf numFmtId="10" fontId="84" fillId="0" borderId="82" applyAlignment="1" pivotButton="0" quotePrefix="0" xfId="2">
      <alignment horizontal="left" vertical="center"/>
    </xf>
    <xf numFmtId="0" fontId="82" fillId="40" borderId="82" applyAlignment="1" pivotButton="0" quotePrefix="0" xfId="0">
      <alignment horizontal="left" vertical="center"/>
    </xf>
    <xf numFmtId="165" fontId="84" fillId="40" borderId="82" applyAlignment="1" pivotButton="0" quotePrefix="0" xfId="0">
      <alignment horizontal="right" vertical="center"/>
    </xf>
    <xf numFmtId="0" fontId="0" fillId="40" borderId="49" pivotButton="0" quotePrefix="0" xfId="0"/>
    <xf numFmtId="0" fontId="85" fillId="12" borderId="0" applyAlignment="1" pivotButton="0" quotePrefix="0" xfId="8">
      <alignment horizontal="left" vertical="center"/>
    </xf>
    <xf numFmtId="165" fontId="82" fillId="12" borderId="82" applyAlignment="1" pivotButton="0" quotePrefix="0" xfId="0">
      <alignment horizontal="right" vertical="center"/>
    </xf>
    <xf numFmtId="10" fontId="82" fillId="12" borderId="82" applyAlignment="1" pivotButton="0" quotePrefix="0" xfId="2">
      <alignment horizontal="right" vertical="center"/>
    </xf>
    <xf numFmtId="0" fontId="82" fillId="5" borderId="82" applyAlignment="1" pivotButton="0" quotePrefix="0" xfId="0">
      <alignment horizontal="left" vertical="center"/>
    </xf>
    <xf numFmtId="165" fontId="82" fillId="5" borderId="82" applyAlignment="1" pivotButton="0" quotePrefix="0" xfId="0">
      <alignment horizontal="right" vertical="center"/>
    </xf>
    <xf numFmtId="0" fontId="82" fillId="12" borderId="82" applyAlignment="1" pivotButton="0" quotePrefix="0" xfId="0">
      <alignment horizontal="center" vertical="center"/>
    </xf>
    <xf numFmtId="0" fontId="84" fillId="12" borderId="82" applyAlignment="1" pivotButton="0" quotePrefix="0" xfId="0">
      <alignment horizontal="left" vertical="center"/>
    </xf>
    <xf numFmtId="165" fontId="84" fillId="12" borderId="82" applyAlignment="1" pivotButton="0" quotePrefix="0" xfId="0">
      <alignment horizontal="right" vertical="center"/>
    </xf>
    <xf numFmtId="0" fontId="84" fillId="40" borderId="82" applyAlignment="1" pivotButton="0" quotePrefix="0" xfId="0">
      <alignment horizontal="right" vertical="center"/>
    </xf>
    <xf numFmtId="165" fontId="82" fillId="42" borderId="82" applyAlignment="1" pivotButton="0" quotePrefix="0" xfId="0">
      <alignment horizontal="right" vertical="center"/>
    </xf>
    <xf numFmtId="10" fontId="82" fillId="42" borderId="82" applyAlignment="1" pivotButton="0" quotePrefix="0" xfId="0">
      <alignment horizontal="right" vertical="center"/>
    </xf>
    <xf numFmtId="10" fontId="86" fillId="12" borderId="0" applyAlignment="1" pivotButton="0" quotePrefix="0" xfId="0">
      <alignment horizontal="center"/>
    </xf>
    <xf numFmtId="0" fontId="0" fillId="40" borderId="54" pivotButton="0" quotePrefix="0" xfId="0"/>
    <xf numFmtId="0" fontId="0" fillId="40" borderId="0" applyAlignment="1" pivotButton="0" quotePrefix="0" xfId="0">
      <alignment vertical="center" wrapText="1"/>
    </xf>
    <xf numFmtId="0" fontId="0" fillId="40" borderId="8" applyAlignment="1" pivotButton="0" quotePrefix="0" xfId="0">
      <alignment wrapText="1"/>
    </xf>
    <xf numFmtId="10" fontId="63" fillId="40" borderId="0" applyAlignment="1" pivotButton="0" quotePrefix="0" xfId="0">
      <alignment horizontal="center" wrapText="1"/>
    </xf>
    <xf numFmtId="0" fontId="49" fillId="40" borderId="0" applyAlignment="1" pivotButton="0" quotePrefix="0" xfId="0">
      <alignment wrapText="1"/>
    </xf>
    <xf numFmtId="0" fontId="38" fillId="40" borderId="0" applyAlignment="1" pivotButton="0" quotePrefix="0" xfId="0">
      <alignment horizontal="center" wrapText="1"/>
    </xf>
    <xf numFmtId="0" fontId="6" fillId="40" borderId="0" applyAlignment="1" pivotButton="0" quotePrefix="0" xfId="0">
      <alignment horizontal="center"/>
    </xf>
    <xf numFmtId="165" fontId="6" fillId="40" borderId="0" applyAlignment="1" pivotButton="0" quotePrefix="0" xfId="0">
      <alignment horizontal="center"/>
    </xf>
    <xf numFmtId="0" fontId="11" fillId="40" borderId="0" applyAlignment="1" pivotButton="0" quotePrefix="0" xfId="0">
      <alignment horizontal="center"/>
    </xf>
    <xf numFmtId="165" fontId="11" fillId="40" borderId="0" applyAlignment="1" pivotButton="0" quotePrefix="0" xfId="0">
      <alignment horizontal="center"/>
    </xf>
    <xf numFmtId="0" fontId="29" fillId="40" borderId="0" pivotButton="0" quotePrefix="0" xfId="4"/>
    <xf numFmtId="167" fontId="29" fillId="40" borderId="0" pivotButton="0" quotePrefix="0" xfId="4"/>
    <xf numFmtId="43" fontId="29" fillId="40" borderId="0" pivotButton="0" quotePrefix="0" xfId="4"/>
    <xf numFmtId="0" fontId="30" fillId="40" borderId="0" pivotButton="0" quotePrefix="0" xfId="4"/>
    <xf numFmtId="14" fontId="29" fillId="40" borderId="0" pivotButton="0" quotePrefix="1" xfId="4"/>
    <xf numFmtId="0" fontId="36" fillId="40" borderId="0" pivotButton="0" quotePrefix="0" xfId="4"/>
    <xf numFmtId="166" fontId="29" fillId="40" borderId="0" pivotButton="0" quotePrefix="0" xfId="5"/>
    <xf numFmtId="166" fontId="29" fillId="40" borderId="0" pivotButton="0" quotePrefix="0" xfId="4"/>
    <xf numFmtId="9" fontId="29" fillId="40" borderId="0" pivotButton="0" quotePrefix="0" xfId="6"/>
    <xf numFmtId="10" fontId="29" fillId="40" borderId="0" pivotButton="0" quotePrefix="0" xfId="6"/>
    <xf numFmtId="0" fontId="29" fillId="40" borderId="0" applyAlignment="1" pivotButton="0" quotePrefix="0" xfId="4">
      <alignment horizontal="center"/>
    </xf>
  </cellXfs>
  <cellStyles count="9">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s>
  <dxfs count="21">
    <dxf>
      <font>
        <color theme="0"/>
      </font>
    </dxf>
    <dxf>
      <numFmt numFmtId="183"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83"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66"/>
        </patternFill>
      </fill>
    </dxf>
    <dxf>
      <fill>
        <patternFill>
          <bgColor theme="8" tint="0.7999816888943144"/>
        </patternFill>
      </fill>
    </dxf>
    <dxf>
      <fill>
        <patternFill>
          <bgColor rgb="FF92D050"/>
        </patternFill>
      </fill>
    </dxf>
    <dxf>
      <fill>
        <patternFill>
          <bgColor theme="7" tint="0.3999450666829432"/>
        </patternFill>
      </fill>
    </dxf>
    <dxf>
      <fill>
        <patternFill>
          <bgColor rgb="FF7CA6E4"/>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Collections!$B$5:$B$16</f>
              <strCache>
                <ptCount val="12"/>
                <pt idx="0">
                  <v>NOV 24</v>
                </pt>
                <pt idx="1">
                  <v>DEC 24</v>
                </pt>
                <pt idx="2">
                  <v>JAN 25</v>
                </pt>
                <pt idx="3">
                  <v>FEB 25</v>
                </pt>
                <pt idx="4">
                  <v>MAR 25</v>
                </pt>
                <pt idx="5">
                  <v>APR 25</v>
                </pt>
                <pt idx="6">
                  <v>MAY 25</v>
                </pt>
                <pt idx="7">
                  <v>JUN 25</v>
                </pt>
                <pt idx="8">
                  <v>JUL 25</v>
                </pt>
                <pt idx="9">
                  <v>AUG 25</v>
                </pt>
                <pt idx="10">
                  <v>SEP 25</v>
                </pt>
                <pt idx="11">
                  <v>OCT 25</v>
                </pt>
              </strCache>
            </strRef>
          </cat>
          <val>
            <numRef>
              <f>Collections!$G$5:$G$16</f>
              <numCache>
                <formatCode>_("$"* #,##0_);_("$"* \(#,##0\);_("$"* "-"??_);_(@_)</formatCode>
                <ptCount val="12"/>
                <pt idx="0">
                  <v>88020.39999999999</v>
                </pt>
                <pt idx="1">
                  <v>81912.93000000001</v>
                </pt>
                <pt idx="2">
                  <v>95245</v>
                </pt>
                <pt idx="3">
                  <v>94469.16</v>
                </pt>
                <pt idx="4">
                  <v>97084</v>
                </pt>
                <pt idx="5">
                  <v>93549.03</v>
                </pt>
                <pt idx="6">
                  <v>87321.02</v>
                </pt>
                <pt idx="7">
                  <v>93582.23</v>
                </pt>
                <pt idx="8">
                  <v>96074</v>
                </pt>
                <pt idx="9">
                  <v>97095</v>
                </pt>
                <pt idx="10">
                  <v>97095</v>
                </pt>
                <pt idx="11">
                  <v>97095</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1"/>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113604.75</v>
                </pt>
                <pt idx="1">
                  <v>106434.46</v>
                </pt>
                <pt idx="2">
                  <v>121215.91</v>
                </pt>
                <pt idx="3">
                  <v>120264.86</v>
                </pt>
                <pt idx="4">
                  <v>125752.53</v>
                </pt>
                <pt idx="5">
                  <v>119106.68</v>
                </pt>
                <pt idx="6">
                  <v>113366.33</v>
                </pt>
                <pt idx="7">
                  <v>119753.04</v>
                </pt>
                <pt idx="8">
                  <v>120603.12</v>
                </pt>
                <pt idx="9">
                  <v>120062.69</v>
                </pt>
                <pt idx="10">
                  <v>118427.05</v>
                </pt>
                <pt idx="11">
                  <v>116509</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tc={82BE72F7-D483-497A-8C6B-BDB2224A6385}</author>
  </authors>
  <commentList>
    <comment ref="F5" authorId="0" shapeId="0">
      <text>
        <t>[Threaded comment]
Your version of Excel allows you to read this threaded comment; however, any edits to it will get removed if the file is opened in a newer version of Excel. Learn more: https://go.microsoft.com/fwlink/?linkid=870924
Comment:
    Assumed 11 infilled units RENTED AT $1250/MO</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mhvillage.com/homes/3428735" TargetMode="External" Id="rId1"/><Relationship Type="http://schemas.openxmlformats.org/officeDocument/2006/relationships/hyperlink" Target="https://www.mhvillage.com/homes/3410375" TargetMode="External" Id="rId2"/><Relationship Type="http://schemas.openxmlformats.org/officeDocument/2006/relationships/hyperlink" Target="https://www.mhvillage.com/homes/3217429" TargetMode="External" Id="rId3"/><Relationship Type="http://schemas.openxmlformats.org/officeDocument/2006/relationships/hyperlink" Target="file:///C:\Users\micha\Downloads\google.com\url%3furl=http:\www.xvresort.com\&amp;sa=t&amp;rct=j&amp;source=maps&amp;usg=AOvVaw3mdHyFMMXLQyp0FxfBN-Vb&amp;ved=1i:39,t:3443,e:18,p:_v2KadO8A6b34-EPxLS50Qk:537" TargetMode="External" Id="rId4"/></Relationships>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D2:H11"/>
  <sheetViews>
    <sheetView workbookViewId="0">
      <selection activeCell="A1" sqref="A1"/>
    </sheetView>
  </sheetViews>
  <sheetFormatPr baseColWidth="8" defaultRowHeight="15"/>
  <cols>
    <col width="46.140625" customWidth="1" min="2" max="2"/>
    <col width="51.42578125" customWidth="1" min="3" max="3"/>
    <col width="8.85546875" bestFit="1" customWidth="1" min="5" max="5"/>
  </cols>
  <sheetData>
    <row r="2">
      <c r="D2" t="inlineStr">
        <is>
          <t>Lot Rent</t>
        </is>
      </c>
      <c r="E2" t="inlineStr">
        <is>
          <t>Price</t>
        </is>
      </c>
      <c r="F2" t="inlineStr">
        <is>
          <t>SF</t>
        </is>
      </c>
    </row>
    <row r="3">
      <c r="D3" s="741" t="n"/>
      <c r="E3" s="741" t="n"/>
      <c r="H3" s="702" t="inlineStr">
        <is>
          <t>https://www.mhvillage.com/homes/3428735</t>
        </is>
      </c>
    </row>
    <row r="4">
      <c r="D4" s="741" t="n"/>
      <c r="E4" s="741" t="n"/>
      <c r="H4" s="702" t="inlineStr">
        <is>
          <t>https://www.mhvillage.com/homes/3410375</t>
        </is>
      </c>
    </row>
    <row r="5">
      <c r="D5" s="741" t="n"/>
      <c r="E5" s="741" t="n"/>
      <c r="H5" s="702" t="inlineStr">
        <is>
          <t>https://www.mhvillage.com/homes/3217429</t>
        </is>
      </c>
    </row>
    <row r="6">
      <c r="D6" s="741" t="n"/>
      <c r="E6" s="741" t="n"/>
    </row>
    <row r="7">
      <c r="D7" s="741" t="n"/>
      <c r="E7" s="741" t="n"/>
    </row>
    <row r="8">
      <c r="D8" s="741" t="n"/>
      <c r="E8" s="741" t="n"/>
    </row>
    <row r="11">
      <c r="D11" s="741" t="n"/>
      <c r="H11" s="702" t="inlineStr">
        <is>
          <t>file:///C:\Users\micha\Downloads\google.com\url%3furl=http:\www.xvresort.com\&amp;sa=t&amp;rct=j&amp;source=maps&amp;usg=AOvVaw3mdHyFMMXLQyp0FxfBN-Vb&amp;ved=1i:39,t:3443,e:18,p:_v2KadO8A6b34-EPxLS50Qk:537</t>
        </is>
      </c>
    </row>
  </sheetData>
  <hyperlinks>
    <hyperlink xmlns:r="http://schemas.openxmlformats.org/officeDocument/2006/relationships" ref="H3" r:id="rId1"/>
    <hyperlink xmlns:r="http://schemas.openxmlformats.org/officeDocument/2006/relationships" ref="H4" r:id="rId2"/>
    <hyperlink xmlns:r="http://schemas.openxmlformats.org/officeDocument/2006/relationships" ref="H5" r:id="rId3"/>
    <hyperlink xmlns:r="http://schemas.openxmlformats.org/officeDocument/2006/relationships" ref="H11" r:id="rId4"/>
  </hyperlinks>
  <pageMargins left="0.7" right="0.7" top="0.75" bottom="0.75" header="0.3" footer="0.3"/>
</worksheet>
</file>

<file path=xl/worksheets/sheet2.xml><?xml version="1.0" encoding="utf-8"?>
<worksheet xmlns="http://schemas.openxmlformats.org/spreadsheetml/2006/main">
  <sheetPr>
    <tabColor rgb="FFC00000"/>
    <outlinePr summaryBelow="1" summaryRight="1"/>
    <pageSetUpPr/>
  </sheetPr>
  <dimension ref="A1:BN1157"/>
  <sheetViews>
    <sheetView workbookViewId="0">
      <selection activeCell="E26" sqref="E26:V26"/>
    </sheetView>
  </sheetViews>
  <sheetFormatPr baseColWidth="8" defaultColWidth="9.42578125" defaultRowHeight="15" outlineLevelRow="1"/>
  <cols>
    <col width="28.42578125" customWidth="1" style="1" min="1" max="1"/>
    <col width="53.140625" customWidth="1" style="1" min="2" max="2"/>
    <col width="1.42578125" customWidth="1" style="1" min="3" max="3"/>
    <col width="15.42578125" customWidth="1" style="1" min="4" max="4"/>
    <col width="14.42578125" customWidth="1" style="277" min="5" max="5"/>
    <col width="19.42578125" customWidth="1" style="277"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11" t="inlineStr">
        <is>
          <t>Input Source Data</t>
        </is>
      </c>
      <c r="E1" s="742" t="n"/>
      <c r="F1" s="712"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96" t="inlineStr">
        <is>
          <t>GGC Category</t>
        </is>
      </c>
      <c r="B2" s="296" t="inlineStr">
        <is>
          <t>Source Name</t>
        </is>
      </c>
      <c r="D2" s="13" t="n">
        <v>2022</v>
      </c>
      <c r="E2" s="13" t="n">
        <v>2024</v>
      </c>
      <c r="F2" s="6" t="inlineStr">
        <is>
          <t>Broker's Proforma</t>
        </is>
      </c>
      <c r="G2" s="6" t="inlineStr">
        <is>
          <t>T12 (Oct 2025)</t>
        </is>
      </c>
      <c r="H2" s="6" t="inlineStr">
        <is>
          <t>Annualization</t>
        </is>
      </c>
      <c r="J2" s="7" t="inlineStr">
        <is>
          <t>Jan</t>
        </is>
      </c>
      <c r="K2" s="7" t="inlineStr">
        <is>
          <t>Feb</t>
        </is>
      </c>
      <c r="L2" s="7" t="inlineStr">
        <is>
          <t>Mar</t>
        </is>
      </c>
      <c r="M2" s="7" t="inlineStr">
        <is>
          <t>Apr</t>
        </is>
      </c>
      <c r="N2" s="7" t="inlineStr">
        <is>
          <t>May</t>
        </is>
      </c>
      <c r="O2" s="7" t="inlineStr">
        <is>
          <t>Jun</t>
        </is>
      </c>
      <c r="P2" s="7" t="inlineStr">
        <is>
          <t>Jul</t>
        </is>
      </c>
      <c r="Q2" s="7" t="inlineStr">
        <is>
          <t>Aug</t>
        </is>
      </c>
      <c r="R2" s="7" t="inlineStr">
        <is>
          <t>Sep</t>
        </is>
      </c>
      <c r="S2" s="7" t="inlineStr">
        <is>
          <t>Oct</t>
        </is>
      </c>
      <c r="T2" s="7" t="inlineStr">
        <is>
          <t>Nov</t>
        </is>
      </c>
      <c r="U2" s="7" t="inlineStr">
        <is>
          <t>Dec</t>
        </is>
      </c>
      <c r="V2" s="8" t="inlineStr">
        <is>
          <t>Total</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33" t="n"/>
      <c r="C3" s="3" t="n"/>
      <c r="D3" s="165" t="n"/>
      <c r="E3" s="703" t="n"/>
      <c r="F3" s="703" t="n"/>
      <c r="G3" s="21">
        <f>V3</f>
        <v/>
      </c>
      <c r="H3" s="21">
        <f>((SUM(S3:U3)/$H$1)*12)</f>
        <v/>
      </c>
      <c r="I3" s="3" t="n"/>
      <c r="J3" s="166" t="n"/>
      <c r="K3" s="166" t="n"/>
      <c r="L3" s="166" t="n"/>
      <c r="M3" s="166" t="n"/>
      <c r="N3" s="166" t="n"/>
      <c r="O3" s="166" t="n"/>
      <c r="P3" s="166" t="n"/>
      <c r="Q3" s="166" t="n"/>
      <c r="R3" s="166" t="n"/>
      <c r="S3" s="166" t="n"/>
      <c r="T3" s="166" t="n"/>
      <c r="U3" s="166" t="n"/>
      <c r="V3" s="27">
        <f>SUM(J3:U3)</f>
        <v/>
      </c>
    </row>
    <row r="4">
      <c r="A4" s="14" t="n"/>
      <c r="B4" s="668" t="n"/>
      <c r="C4" s="3" t="n"/>
      <c r="D4" s="165" t="n"/>
      <c r="E4" s="703" t="n"/>
      <c r="F4" s="703" t="n"/>
      <c r="G4" s="21">
        <f>V4</f>
        <v/>
      </c>
      <c r="H4" s="21">
        <f>((SUM(S4:U4)/$H$1)*12)</f>
        <v/>
      </c>
      <c r="I4" s="3" t="n"/>
      <c r="J4" s="166" t="n"/>
      <c r="K4" s="166" t="n"/>
      <c r="L4" s="166" t="n"/>
      <c r="M4" s="166" t="n"/>
      <c r="N4" s="166" t="n"/>
      <c r="O4" s="166" t="n"/>
      <c r="P4" s="166" t="n"/>
      <c r="Q4" s="166" t="n"/>
      <c r="R4" s="166" t="n"/>
      <c r="S4" s="166" t="n"/>
      <c r="T4" s="166" t="n"/>
      <c r="U4" s="166" t="n"/>
      <c r="V4" s="27">
        <f>(((SUM(J4:U4))))</f>
        <v/>
      </c>
    </row>
    <row r="5">
      <c r="A5" s="14" t="n"/>
      <c r="B5" s="219" t="n"/>
      <c r="C5" s="3" t="n"/>
      <c r="D5" s="165" t="n"/>
      <c r="E5" s="703" t="n"/>
      <c r="F5" s="703" t="n"/>
      <c r="G5" s="21">
        <f>V5</f>
        <v/>
      </c>
      <c r="H5" s="21">
        <f>((SUM(S5:U5)/$H$1)*12)</f>
        <v/>
      </c>
      <c r="I5" s="3" t="n"/>
      <c r="J5" s="166" t="n"/>
      <c r="K5" s="683" t="n"/>
      <c r="L5" s="683" t="n"/>
      <c r="M5" s="166" t="n"/>
      <c r="N5" s="166" t="n"/>
      <c r="O5" s="166" t="n"/>
      <c r="P5" s="166" t="n"/>
      <c r="Q5" s="166" t="n"/>
      <c r="R5" s="166" t="n"/>
      <c r="S5" s="166" t="n"/>
      <c r="T5" s="166" t="n"/>
      <c r="U5" s="166" t="n"/>
      <c r="V5" s="27">
        <f>SUM(J5:U5)</f>
        <v/>
      </c>
    </row>
    <row r="6">
      <c r="A6" s="14" t="n"/>
      <c r="B6" s="219" t="n"/>
      <c r="C6" s="3" t="n"/>
      <c r="D6" s="165" t="n"/>
      <c r="E6" s="703" t="n"/>
      <c r="F6" s="703" t="n"/>
      <c r="G6" s="21">
        <f>V6</f>
        <v/>
      </c>
      <c r="H6" s="21">
        <f>((SUM(S6:U6)/$H$1)*12)</f>
        <v/>
      </c>
      <c r="I6" s="3" t="n"/>
      <c r="J6" s="683" t="n"/>
      <c r="K6" s="683" t="n"/>
      <c r="L6" s="166" t="n"/>
      <c r="M6" s="166" t="n"/>
      <c r="N6" s="743" t="n"/>
      <c r="O6" s="166" t="n"/>
      <c r="P6" s="743" t="n"/>
      <c r="Q6" s="166" t="n"/>
      <c r="R6" s="166" t="n"/>
      <c r="S6" s="683" t="n"/>
      <c r="T6" s="683" t="n"/>
      <c r="U6" s="683" t="n"/>
      <c r="V6" s="27">
        <f>SUM(J6:U6)</f>
        <v/>
      </c>
    </row>
    <row r="7">
      <c r="A7" s="14" t="n"/>
      <c r="B7" s="219" t="n"/>
      <c r="C7" s="3" t="n"/>
      <c r="D7" s="165" t="n"/>
      <c r="E7" s="703" t="n"/>
      <c r="F7" s="703" t="n"/>
      <c r="G7" s="21">
        <f>V7</f>
        <v/>
      </c>
      <c r="H7" s="21">
        <f>((SUM(S7:U7)/$H$1)*12)</f>
        <v/>
      </c>
      <c r="I7" s="3" t="n"/>
      <c r="J7" s="166" t="n"/>
      <c r="K7" s="166" t="n"/>
      <c r="L7" s="166" t="n"/>
      <c r="M7" s="166" t="n"/>
      <c r="N7" s="166" t="n"/>
      <c r="O7" s="166" t="n"/>
      <c r="P7" s="743" t="n"/>
      <c r="Q7" s="166" t="n"/>
      <c r="R7" s="166" t="n"/>
      <c r="S7" s="166" t="n"/>
      <c r="T7" s="166" t="n"/>
      <c r="U7" s="166" t="n"/>
      <c r="V7" s="27">
        <f>SUM(J7:U7)</f>
        <v/>
      </c>
    </row>
    <row r="8">
      <c r="A8" s="14" t="n"/>
      <c r="B8" s="219" t="n"/>
      <c r="C8" s="3" t="n"/>
      <c r="D8" s="165" t="n"/>
      <c r="E8" s="703" t="n"/>
      <c r="F8" s="703" t="n"/>
      <c r="G8" s="21">
        <f>V8</f>
        <v/>
      </c>
      <c r="H8" s="21">
        <f>((SUM(S8:U8)/$H$1)*12)</f>
        <v/>
      </c>
      <c r="I8" s="3" t="n"/>
      <c r="J8" s="166" t="n"/>
      <c r="K8" s="166" t="n"/>
      <c r="L8" s="166" t="n"/>
      <c r="M8" s="166" t="n"/>
      <c r="N8" s="166" t="n"/>
      <c r="O8" s="166" t="n"/>
      <c r="P8" s="166" t="n"/>
      <c r="Q8" s="166" t="n"/>
      <c r="R8" s="166" t="n"/>
      <c r="S8" s="166" t="n"/>
      <c r="T8" s="166" t="n"/>
      <c r="U8" s="166" t="n"/>
      <c r="V8" s="27">
        <f>SUM(J8:U8)</f>
        <v/>
      </c>
    </row>
    <row r="9">
      <c r="A9" s="14" t="n"/>
      <c r="B9" s="219" t="n"/>
      <c r="C9" s="3" t="n"/>
      <c r="D9" s="165" t="n"/>
      <c r="E9" s="703" t="n"/>
      <c r="F9" s="703" t="n"/>
      <c r="G9" s="21">
        <f>V9</f>
        <v/>
      </c>
      <c r="H9" s="21">
        <f>((SUM(S9:U9)/$H$1)*12)</f>
        <v/>
      </c>
      <c r="I9" s="3" t="n"/>
      <c r="J9" s="166" t="n"/>
      <c r="K9" s="166" t="n"/>
      <c r="L9" s="166" t="n"/>
      <c r="M9" s="166" t="n"/>
      <c r="N9" s="166" t="n"/>
      <c r="O9" s="166" t="n"/>
      <c r="P9" s="166" t="n"/>
      <c r="Q9" s="166" t="n"/>
      <c r="R9" s="166" t="n"/>
      <c r="S9" s="166" t="n"/>
      <c r="T9" s="166" t="n"/>
      <c r="U9" s="166" t="n"/>
      <c r="V9" s="27" t="n"/>
    </row>
    <row r="10">
      <c r="A10" s="14" t="n"/>
      <c r="B10" s="668" t="n"/>
      <c r="C10" s="3" t="n"/>
      <c r="D10" s="165" t="n"/>
      <c r="E10" s="703" t="n"/>
      <c r="F10" s="703" t="n"/>
      <c r="G10" s="21">
        <f>V10</f>
        <v/>
      </c>
      <c r="H10" s="21">
        <f>((SUM(S10:U10)/$H$1)*12)</f>
        <v/>
      </c>
      <c r="I10" s="3" t="n"/>
      <c r="J10" s="166" t="n"/>
      <c r="K10" s="166" t="n"/>
      <c r="L10" s="166" t="n"/>
      <c r="M10" s="166" t="n"/>
      <c r="N10" s="166" t="n"/>
      <c r="O10" s="166" t="n"/>
      <c r="P10" s="166" t="n"/>
      <c r="Q10" s="166" t="n"/>
      <c r="R10" s="166" t="n"/>
      <c r="S10" s="166" t="n"/>
      <c r="T10" s="166" t="n"/>
      <c r="U10" s="166" t="n"/>
      <c r="V10" s="27">
        <f>SUM(J10:U10)</f>
        <v/>
      </c>
    </row>
    <row r="11">
      <c r="A11" s="14" t="n"/>
      <c r="B11" s="679" t="n"/>
      <c r="C11" s="3" t="n"/>
      <c r="D11" s="165" t="n"/>
      <c r="E11" s="704" t="n"/>
      <c r="F11" s="703" t="n"/>
      <c r="G11" s="682">
        <f>V11</f>
        <v/>
      </c>
      <c r="H11" s="21">
        <f>((SUM(S11:U11)/$H$1)*12)</f>
        <v/>
      </c>
      <c r="I11" s="3" t="n"/>
      <c r="J11" s="166" t="n"/>
      <c r="K11" s="166" t="n"/>
      <c r="L11" s="166" t="n"/>
      <c r="M11" s="166" t="n"/>
      <c r="N11" s="166" t="n"/>
      <c r="O11" s="166" t="n"/>
      <c r="P11" s="166" t="n"/>
      <c r="Q11" s="166" t="n"/>
      <c r="R11" s="166" t="n"/>
      <c r="S11" s="166" t="n"/>
      <c r="T11" s="166" t="n"/>
      <c r="U11" s="166" t="n"/>
      <c r="V11" s="27">
        <f>SUM(J11:U11)</f>
        <v/>
      </c>
    </row>
    <row r="12">
      <c r="A12" s="14" t="n"/>
      <c r="B12" s="219" t="n"/>
      <c r="C12" s="3" t="n"/>
      <c r="D12" s="165" t="n"/>
      <c r="E12" s="703" t="n"/>
      <c r="F12" s="703" t="n"/>
      <c r="G12" s="21">
        <f>V12</f>
        <v/>
      </c>
      <c r="H12" s="21">
        <f>((SUM(S12:U12)/$H$1)*12)</f>
        <v/>
      </c>
      <c r="I12" s="3" t="n"/>
      <c r="J12" s="166" t="n"/>
      <c r="K12" s="166" t="n"/>
      <c r="L12" s="166" t="n"/>
      <c r="M12" s="166" t="n"/>
      <c r="N12" s="166" t="n"/>
      <c r="O12" s="166" t="n"/>
      <c r="P12" s="166" t="n"/>
      <c r="Q12" s="166" t="n"/>
      <c r="R12" s="166" t="n"/>
      <c r="S12" s="166" t="n"/>
      <c r="T12" s="166" t="n"/>
      <c r="U12" s="166" t="n"/>
      <c r="V12" s="27" t="n"/>
    </row>
    <row r="13">
      <c r="A13" s="14" t="n"/>
      <c r="B13" s="668" t="n"/>
      <c r="C13" s="3" t="n"/>
      <c r="D13" s="165" t="n"/>
      <c r="E13" s="703" t="n"/>
      <c r="F13" s="703" t="n"/>
      <c r="G13" s="21">
        <f>V13</f>
        <v/>
      </c>
      <c r="H13" s="21">
        <f>((SUM(S13:U13)/$H$1)*12)</f>
        <v/>
      </c>
      <c r="I13" s="3" t="n"/>
      <c r="J13" s="166" t="n"/>
      <c r="K13" s="166" t="n"/>
      <c r="L13" s="166" t="n"/>
      <c r="M13" s="166" t="n"/>
      <c r="N13" s="166" t="n"/>
      <c r="O13" s="166" t="n"/>
      <c r="P13" s="166" t="n"/>
      <c r="Q13" s="166" t="n"/>
      <c r="R13" s="166" t="n"/>
      <c r="S13" s="166" t="n"/>
      <c r="T13" s="166" t="n"/>
      <c r="U13" s="166" t="n"/>
      <c r="V13" s="27">
        <f>SUM(J13:U13)</f>
        <v/>
      </c>
    </row>
    <row r="14">
      <c r="A14" s="14" t="n"/>
      <c r="B14" s="219" t="n"/>
      <c r="C14" s="3" t="n"/>
      <c r="D14" s="165" t="n"/>
      <c r="E14" s="703" t="n"/>
      <c r="F14" s="703" t="n"/>
      <c r="G14" s="21">
        <f>V14</f>
        <v/>
      </c>
      <c r="H14" s="21">
        <f>((SUM(S14:U14)/$H$1)*12)</f>
        <v/>
      </c>
      <c r="I14" s="3" t="n"/>
      <c r="J14" s="166" t="n"/>
      <c r="K14" s="166" t="n"/>
      <c r="L14" s="166" t="n"/>
      <c r="M14" s="166" t="n"/>
      <c r="N14" s="166" t="n"/>
      <c r="O14" s="166" t="n"/>
      <c r="P14" s="166" t="n"/>
      <c r="Q14" s="166" t="n"/>
      <c r="R14" s="166" t="n"/>
      <c r="S14" s="166" t="n"/>
      <c r="T14" s="166" t="n"/>
      <c r="U14" s="166" t="n"/>
      <c r="V14" s="27">
        <f>SUM(J14:U14)</f>
        <v/>
      </c>
    </row>
    <row r="15">
      <c r="A15" s="14" t="n"/>
      <c r="B15" s="219" t="n"/>
      <c r="C15" s="3" t="n"/>
      <c r="D15" s="165" t="n"/>
      <c r="E15" s="703" t="n"/>
      <c r="F15" s="703" t="n"/>
      <c r="G15" s="21">
        <f>V15</f>
        <v/>
      </c>
      <c r="H15" s="21">
        <f>((SUM(S15:U15)/$H$1)*12)</f>
        <v/>
      </c>
      <c r="I15" s="3" t="n"/>
      <c r="J15" s="166" t="n"/>
      <c r="K15" s="166" t="n"/>
      <c r="L15" s="166" t="n"/>
      <c r="M15" s="166" t="n"/>
      <c r="N15" s="166" t="n"/>
      <c r="O15" s="166" t="n"/>
      <c r="P15" s="166" t="n"/>
      <c r="Q15" s="166" t="n"/>
      <c r="R15" s="166" t="n"/>
      <c r="S15" s="166" t="n"/>
      <c r="T15" s="166" t="n"/>
      <c r="U15" s="166" t="n"/>
      <c r="V15" s="27" t="n"/>
    </row>
    <row r="16">
      <c r="A16" s="14" t="n"/>
      <c r="B16" s="668" t="n"/>
      <c r="C16" s="3" t="n"/>
      <c r="D16" s="165" t="n"/>
      <c r="E16" s="703" t="n"/>
      <c r="F16" s="703" t="n"/>
      <c r="G16" s="21">
        <f>V16</f>
        <v/>
      </c>
      <c r="H16" s="21">
        <f>((SUM(S16:U16)/$H$1)*12)</f>
        <v/>
      </c>
      <c r="I16" s="3" t="n"/>
      <c r="J16" s="166" t="n"/>
      <c r="K16" s="166" t="n"/>
      <c r="L16" s="166" t="n"/>
      <c r="M16" s="166" t="n"/>
      <c r="N16" s="166" t="n"/>
      <c r="O16" s="166" t="n"/>
      <c r="P16" s="166" t="n"/>
      <c r="Q16" s="166" t="n"/>
      <c r="R16" s="166" t="n"/>
      <c r="S16" s="166" t="n"/>
      <c r="T16" s="166" t="n"/>
      <c r="U16" s="166" t="n"/>
      <c r="V16" s="27">
        <f>SUM(J16:U16)</f>
        <v/>
      </c>
    </row>
    <row r="17">
      <c r="A17" s="14" t="n"/>
      <c r="B17" s="219" t="n"/>
      <c r="C17" s="3" t="n"/>
      <c r="D17" s="165" t="n"/>
      <c r="E17" s="703" t="n"/>
      <c r="F17" s="703" t="n"/>
      <c r="G17" s="21">
        <f>V17</f>
        <v/>
      </c>
      <c r="H17" s="21">
        <f>((SUM(S17:U17)/$H$1)*12)</f>
        <v/>
      </c>
      <c r="I17" s="3" t="n"/>
      <c r="J17" s="166" t="n"/>
      <c r="K17" s="166" t="n"/>
      <c r="L17" s="166" t="n"/>
      <c r="M17" s="166" t="n"/>
      <c r="N17" s="166" t="n"/>
      <c r="O17" s="166" t="n"/>
      <c r="P17" s="166" t="n"/>
      <c r="Q17" s="166" t="n"/>
      <c r="R17" s="166" t="n"/>
      <c r="S17" s="166" t="n"/>
      <c r="T17" s="166" t="n"/>
      <c r="U17" s="166" t="n"/>
      <c r="V17" s="27">
        <f>SUM(J17:U17)</f>
        <v/>
      </c>
    </row>
    <row r="18">
      <c r="A18" s="14" t="n"/>
      <c r="B18" s="219" t="n"/>
      <c r="C18" s="3" t="n"/>
      <c r="D18" s="165" t="n"/>
      <c r="E18" s="703" t="n"/>
      <c r="F18" s="703" t="n"/>
      <c r="G18" s="21">
        <f>V18</f>
        <v/>
      </c>
      <c r="H18" s="21">
        <f>((SUM(S18:U18)/$H$1)*12)</f>
        <v/>
      </c>
      <c r="I18" s="3" t="n"/>
      <c r="J18" s="166" t="n"/>
      <c r="K18" s="166" t="n"/>
      <c r="L18" s="166" t="n"/>
      <c r="M18" s="166" t="n"/>
      <c r="N18" s="166" t="n"/>
      <c r="O18" s="166" t="n"/>
      <c r="P18" s="166" t="n"/>
      <c r="Q18" s="166" t="n"/>
      <c r="R18" s="166" t="n"/>
      <c r="S18" s="166" t="n"/>
      <c r="T18" s="166" t="n"/>
      <c r="U18" s="166" t="n"/>
      <c r="V18" s="27">
        <f>SUM(J18:U18)</f>
        <v/>
      </c>
    </row>
    <row r="19">
      <c r="A19" s="14" t="n"/>
      <c r="B19" s="219" t="n"/>
      <c r="C19" s="3" t="n"/>
      <c r="D19" s="165" t="n"/>
      <c r="E19" s="703" t="n"/>
      <c r="F19" s="703" t="n"/>
      <c r="G19" s="21">
        <f>V19</f>
        <v/>
      </c>
      <c r="H19" s="21">
        <f>((SUM(S19:U19)/$H$1)*12)</f>
        <v/>
      </c>
      <c r="I19" s="3" t="n"/>
      <c r="J19" s="166" t="n"/>
      <c r="K19" s="166" t="n"/>
      <c r="L19" s="166" t="n"/>
      <c r="M19" s="166" t="n"/>
      <c r="N19" s="166" t="n"/>
      <c r="O19" s="166" t="n"/>
      <c r="P19" s="166" t="n"/>
      <c r="Q19" s="166" t="n"/>
      <c r="R19" s="166" t="n"/>
      <c r="S19" s="166" t="n"/>
      <c r="T19" s="166" t="n"/>
      <c r="U19" s="166" t="n"/>
      <c r="V19" s="27">
        <f>SUM(J19:U19)</f>
        <v/>
      </c>
    </row>
    <row r="20">
      <c r="A20" s="14" t="n"/>
      <c r="B20" s="219" t="n"/>
      <c r="C20" s="3" t="n"/>
      <c r="D20" s="165" t="n"/>
      <c r="E20" s="703" t="n"/>
      <c r="F20" s="703" t="n"/>
      <c r="G20" s="21">
        <f>V20</f>
        <v/>
      </c>
      <c r="H20" s="21">
        <f>((SUM(S20:U20)/$H$1)*12)</f>
        <v/>
      </c>
      <c r="I20" s="3" t="n"/>
      <c r="J20" s="166" t="n"/>
      <c r="K20" s="166" t="n"/>
      <c r="L20" s="166" t="n"/>
      <c r="M20" s="166" t="n"/>
      <c r="N20" s="166" t="n"/>
      <c r="O20" s="166" t="n"/>
      <c r="P20" s="166" t="n"/>
      <c r="Q20" s="166" t="n"/>
      <c r="R20" s="166" t="n"/>
      <c r="S20" s="166" t="n"/>
      <c r="T20" s="166" t="n"/>
      <c r="U20" s="166" t="n"/>
      <c r="V20" s="27" t="n"/>
    </row>
    <row r="21">
      <c r="A21" s="14" t="n"/>
      <c r="B21" s="668" t="n"/>
      <c r="C21" s="3" t="n"/>
      <c r="D21" s="165" t="n"/>
      <c r="E21" s="703" t="n"/>
      <c r="F21" s="703" t="n"/>
      <c r="G21" s="21">
        <f>V21</f>
        <v/>
      </c>
      <c r="H21" s="21">
        <f>((SUM(S21:U21)/$H$1)*12)</f>
        <v/>
      </c>
      <c r="I21" s="3" t="n"/>
      <c r="J21" s="166" t="n"/>
      <c r="K21" s="166" t="n"/>
      <c r="L21" s="166" t="n"/>
      <c r="M21" s="166" t="n"/>
      <c r="N21" s="166" t="n"/>
      <c r="O21" s="166" t="n"/>
      <c r="P21" s="166" t="n"/>
      <c r="Q21" s="166" t="n"/>
      <c r="R21" s="166" t="n"/>
      <c r="S21" s="166" t="n"/>
      <c r="T21" s="166" t="n"/>
      <c r="U21" s="166" t="n"/>
      <c r="V21" s="27">
        <f>SUM(J21:U21)</f>
        <v/>
      </c>
    </row>
    <row r="22">
      <c r="A22" s="14" t="n"/>
      <c r="B22" s="219" t="n"/>
      <c r="C22" s="3" t="n"/>
      <c r="D22" s="165" t="n"/>
      <c r="E22" s="703" t="n"/>
      <c r="F22" s="703" t="n"/>
      <c r="G22" s="21">
        <f>V22</f>
        <v/>
      </c>
      <c r="H22" s="21">
        <f>((SUM(S22:U22)/$H$1)*12)</f>
        <v/>
      </c>
      <c r="I22" s="3" t="n"/>
      <c r="J22" s="166" t="n"/>
      <c r="K22" s="166" t="n"/>
      <c r="L22" s="166" t="n"/>
      <c r="M22" s="166" t="n"/>
      <c r="N22" s="166" t="n"/>
      <c r="O22" s="166" t="n"/>
      <c r="P22" s="166" t="n"/>
      <c r="Q22" s="166" t="n"/>
      <c r="R22" s="166" t="n"/>
      <c r="S22" s="166" t="n"/>
      <c r="T22" s="166" t="n"/>
      <c r="U22" s="166" t="n"/>
      <c r="V22" s="27" t="n"/>
    </row>
    <row r="23">
      <c r="A23" s="14" t="n"/>
      <c r="B23" s="219" t="n"/>
      <c r="C23" s="3" t="n"/>
      <c r="D23" s="165" t="n"/>
      <c r="E23" s="703" t="n"/>
      <c r="F23" s="703" t="n"/>
      <c r="G23" s="21">
        <f>V23</f>
        <v/>
      </c>
      <c r="H23" s="21">
        <f>((SUM(S23:U23)/$H$1)*12)</f>
        <v/>
      </c>
      <c r="I23" s="3" t="n"/>
      <c r="J23" s="166" t="n"/>
      <c r="K23" s="166" t="n"/>
      <c r="L23" s="166" t="n"/>
      <c r="M23" s="166" t="n"/>
      <c r="N23" s="166" t="n"/>
      <c r="O23" s="166" t="n"/>
      <c r="P23" s="166" t="n"/>
      <c r="Q23" s="166" t="n"/>
      <c r="R23" s="166" t="n"/>
      <c r="S23" s="166" t="n"/>
      <c r="T23" s="166" t="n"/>
      <c r="U23" s="166" t="n"/>
      <c r="V23" s="27">
        <f>SUM(J23:U23)</f>
        <v/>
      </c>
    </row>
    <row r="24">
      <c r="A24" s="14" t="n"/>
      <c r="B24" s="219" t="n"/>
      <c r="C24" s="3" t="n"/>
      <c r="D24" s="165" t="n"/>
      <c r="E24" s="703" t="n"/>
      <c r="F24" s="703" t="n"/>
      <c r="G24" s="21">
        <f>V24</f>
        <v/>
      </c>
      <c r="H24" s="21">
        <f>((SUM(S24:U24)/$H$1)*12)</f>
        <v/>
      </c>
      <c r="I24" s="3" t="n"/>
      <c r="J24" s="166" t="n"/>
      <c r="K24" s="166" t="n"/>
      <c r="L24" s="166" t="n"/>
      <c r="M24" s="166" t="n"/>
      <c r="N24" s="166" t="n"/>
      <c r="O24" s="166" t="n"/>
      <c r="P24" s="166" t="n"/>
      <c r="Q24" s="166" t="n"/>
      <c r="R24" s="166" t="n"/>
      <c r="S24" s="166" t="n"/>
      <c r="T24" s="166" t="n"/>
      <c r="U24" s="166" t="n"/>
      <c r="V24" s="27">
        <f>SUM(J24:U24)</f>
        <v/>
      </c>
    </row>
    <row r="25">
      <c r="A25" s="14" t="n"/>
      <c r="B25" s="219" t="n"/>
      <c r="C25" s="3" t="n"/>
      <c r="D25" s="165" t="n"/>
      <c r="E25" s="703" t="n"/>
      <c r="F25" s="703" t="n"/>
      <c r="G25" s="21">
        <f>V25</f>
        <v/>
      </c>
      <c r="H25" s="21">
        <f>((SUM(S25:U25)/$H$1)*12)</f>
        <v/>
      </c>
      <c r="I25" s="3" t="n"/>
      <c r="J25" s="166" t="n"/>
      <c r="K25" s="166" t="n"/>
      <c r="L25" s="166" t="n"/>
      <c r="M25" s="166" t="n"/>
      <c r="N25" s="166" t="n"/>
      <c r="O25" s="166" t="n"/>
      <c r="P25" s="166" t="n"/>
      <c r="Q25" s="166" t="n"/>
      <c r="R25" s="166" t="n"/>
      <c r="S25" s="166" t="n"/>
      <c r="T25" s="166" t="n"/>
      <c r="U25" s="166" t="n"/>
      <c r="V25" s="27">
        <f>SUM(J25:U25)</f>
        <v/>
      </c>
    </row>
    <row r="26">
      <c r="A26" s="14" t="n"/>
      <c r="B26" s="679" t="n"/>
      <c r="C26" s="3" t="n"/>
      <c r="D26" s="165" t="n"/>
      <c r="E26" s="704" t="n"/>
      <c r="F26" s="704" t="n"/>
      <c r="G26" s="682">
        <f>V26</f>
        <v/>
      </c>
      <c r="H26" s="21">
        <f>((SUM(S26:U26)/$H$1)*12)</f>
        <v/>
      </c>
      <c r="I26" s="3" t="n"/>
      <c r="J26" s="166" t="n"/>
      <c r="K26" s="166" t="n"/>
      <c r="L26" s="166" t="n"/>
      <c r="M26" s="166" t="n"/>
      <c r="N26" s="166" t="n"/>
      <c r="O26" s="166" t="n"/>
      <c r="P26" s="166" t="n"/>
      <c r="Q26" s="166" t="n"/>
      <c r="R26" s="166" t="n"/>
      <c r="S26" s="166" t="n"/>
      <c r="T26" s="166" t="n"/>
      <c r="U26" s="166" t="n"/>
      <c r="V26" s="27">
        <f>SUM(J26:U26)</f>
        <v/>
      </c>
    </row>
    <row r="27">
      <c r="A27" s="14" t="n"/>
      <c r="B27" s="219" t="n"/>
      <c r="C27" s="3" t="n"/>
      <c r="D27" s="165" t="inlineStr">
        <is>
          <t>Input Source Expense Data</t>
        </is>
      </c>
      <c r="E27" s="703" t="n"/>
      <c r="F27" s="703" t="n"/>
      <c r="G27" s="21">
        <f>V27</f>
        <v/>
      </c>
      <c r="H27" s="21">
        <f>((SUM(S27:U27)/$H$1)*12)</f>
        <v/>
      </c>
      <c r="I27" s="3" t="n"/>
      <c r="J27" s="166" t="n"/>
      <c r="K27" s="166" t="n"/>
      <c r="L27" s="166" t="n"/>
      <c r="M27" s="166" t="n"/>
      <c r="N27" s="166" t="n"/>
      <c r="O27" s="166" t="n"/>
      <c r="P27" s="166" t="n"/>
      <c r="Q27" s="166" t="n"/>
      <c r="R27" s="166" t="n"/>
      <c r="S27" s="166" t="n"/>
      <c r="T27" s="166" t="n"/>
      <c r="U27" s="166" t="n"/>
      <c r="V27" s="27">
        <f>SUM(J27:U27)</f>
        <v/>
      </c>
    </row>
    <row r="28">
      <c r="A28" s="14" t="n"/>
      <c r="B28" s="133" t="n"/>
      <c r="C28" s="3" t="n"/>
      <c r="D28" s="165" t="n"/>
      <c r="E28" s="703" t="n"/>
      <c r="F28" s="703" t="n"/>
      <c r="G28" s="21">
        <f>V28</f>
        <v/>
      </c>
      <c r="H28" s="21">
        <f>((SUM(S28:U28)/$H$1)*12)</f>
        <v/>
      </c>
      <c r="I28" s="3" t="n"/>
      <c r="J28" s="166" t="n"/>
      <c r="K28" s="166" t="n"/>
      <c r="L28" s="166" t="n"/>
      <c r="M28" s="166" t="n"/>
      <c r="N28" s="166" t="n"/>
      <c r="O28" s="166" t="n"/>
      <c r="P28" s="166" t="n"/>
      <c r="Q28" s="166" t="n"/>
      <c r="R28" s="166" t="n"/>
      <c r="S28" s="166" t="n"/>
      <c r="T28" s="166" t="n"/>
      <c r="U28" s="166" t="n"/>
      <c r="V28" s="27">
        <f>SUM(J28:U28)</f>
        <v/>
      </c>
    </row>
    <row r="29">
      <c r="A29" s="14" t="n"/>
      <c r="B29" s="133" t="n"/>
      <c r="C29" s="3" t="n"/>
      <c r="D29" s="165" t="n"/>
      <c r="E29" s="703" t="n"/>
      <c r="F29" s="703" t="n"/>
      <c r="G29" s="21">
        <f>V29</f>
        <v/>
      </c>
      <c r="H29" s="21">
        <f>((SUM(S29:U29)/$H$1)*12)</f>
        <v/>
      </c>
      <c r="I29" s="3" t="n"/>
      <c r="J29" s="166" t="n"/>
      <c r="K29" s="166" t="n"/>
      <c r="L29" s="166" t="n"/>
      <c r="M29" s="166" t="n"/>
      <c r="N29" s="166" t="n"/>
      <c r="O29" s="166" t="n"/>
      <c r="P29" s="166" t="n"/>
      <c r="Q29" s="166" t="n"/>
      <c r="R29" s="166" t="n"/>
      <c r="S29" s="166" t="n"/>
      <c r="T29" s="166" t="n"/>
      <c r="U29" s="166" t="n"/>
      <c r="V29" s="27">
        <f>SUM(J29:U29)</f>
        <v/>
      </c>
    </row>
    <row r="30">
      <c r="A30" s="851" t="n"/>
      <c r="B30" s="133" t="n"/>
      <c r="C30" s="3" t="n"/>
      <c r="D30" s="165" t="n"/>
      <c r="E30" s="703" t="n"/>
      <c r="F30" s="703" t="n"/>
      <c r="G30" s="21">
        <f>V30</f>
        <v/>
      </c>
      <c r="H30" s="21">
        <f>((SUM(S30:U30)/$H$1)*12)</f>
        <v/>
      </c>
      <c r="I30" s="3" t="n"/>
      <c r="J30" s="166" t="n"/>
      <c r="K30" s="166" t="n"/>
      <c r="L30" s="166" t="n"/>
      <c r="M30" s="166" t="n"/>
      <c r="N30" s="166" t="n"/>
      <c r="O30" s="166" t="n"/>
      <c r="P30" s="166" t="n"/>
      <c r="Q30" s="166" t="n"/>
      <c r="R30" s="166" t="n"/>
      <c r="S30" s="166" t="n"/>
      <c r="T30" s="166" t="n"/>
      <c r="U30" s="166" t="n"/>
      <c r="V30" s="27">
        <f>SUM(J30:U30)</f>
        <v/>
      </c>
    </row>
    <row r="31">
      <c r="A31" s="851" t="n"/>
      <c r="B31" s="133" t="n"/>
      <c r="C31" s="3" t="n"/>
      <c r="D31" s="165" t="n"/>
      <c r="E31" s="703" t="n"/>
      <c r="F31" s="703" t="n"/>
      <c r="G31" s="21">
        <f>V31</f>
        <v/>
      </c>
      <c r="H31" s="21">
        <f>((SUM(S31:U31)/$H$1)*12)</f>
        <v/>
      </c>
      <c r="I31" s="3" t="n"/>
      <c r="J31" s="166" t="n"/>
      <c r="K31" s="166" t="n"/>
      <c r="L31" s="166" t="n"/>
      <c r="M31" s="166" t="n"/>
      <c r="N31" s="166" t="n"/>
      <c r="O31" s="166" t="n"/>
      <c r="P31" s="166" t="n"/>
      <c r="Q31" s="166" t="n"/>
      <c r="R31" s="166" t="n"/>
      <c r="S31" s="166" t="n"/>
      <c r="T31" s="166" t="n"/>
      <c r="U31" s="166" t="n"/>
      <c r="V31" s="27">
        <f>SUM(J31:U31)</f>
        <v/>
      </c>
    </row>
    <row r="32">
      <c r="A32" s="851" t="n"/>
      <c r="B32" s="668" t="n"/>
      <c r="C32" s="3" t="n"/>
      <c r="D32" s="31" t="n"/>
      <c r="E32" s="31" t="n"/>
      <c r="F32" s="31" t="n"/>
      <c r="G32" s="21">
        <f>V32</f>
        <v/>
      </c>
      <c r="H32" s="21">
        <f>((SUM(S32:U32)/$H$1)*12)</f>
        <v/>
      </c>
      <c r="I32" s="3" t="n"/>
      <c r="J32" s="31" t="n"/>
      <c r="K32" s="31" t="n"/>
      <c r="L32" s="31" t="n"/>
      <c r="M32" s="31" t="n"/>
      <c r="N32" s="31" t="n"/>
      <c r="O32" s="31" t="n"/>
      <c r="P32" s="31" t="n"/>
      <c r="Q32" s="31" t="n"/>
      <c r="R32" s="31" t="n"/>
      <c r="S32" s="31" t="n"/>
      <c r="T32" s="31" t="n"/>
      <c r="U32" s="31" t="n"/>
      <c r="V32" s="27">
        <f>SUM(J32:U32)</f>
        <v/>
      </c>
    </row>
    <row r="33">
      <c r="A33" s="851" t="n"/>
      <c r="B33" s="133" t="n"/>
      <c r="C33" s="3" t="n"/>
      <c r="D33" s="165" t="n"/>
      <c r="E33" s="703" t="n"/>
      <c r="F33" s="703" t="n"/>
      <c r="G33" s="21">
        <f>V33</f>
        <v/>
      </c>
      <c r="H33" s="21">
        <f>((SUM(S33:U33)/$H$1)*12)</f>
        <v/>
      </c>
      <c r="I33" s="3" t="n"/>
      <c r="J33" s="166" t="n"/>
      <c r="K33" s="166" t="n"/>
      <c r="L33" s="166" t="n"/>
      <c r="M33" s="166" t="n"/>
      <c r="N33" s="166" t="n"/>
      <c r="O33" s="166" t="n"/>
      <c r="P33" s="166" t="n"/>
      <c r="Q33" s="166" t="n"/>
      <c r="R33" s="166" t="n"/>
      <c r="S33" s="166" t="n"/>
      <c r="T33" s="166" t="n"/>
      <c r="U33" s="166" t="n"/>
      <c r="V33" s="27">
        <f>SUM(J33:U33)</f>
        <v/>
      </c>
    </row>
    <row r="34">
      <c r="A34" s="851" t="n"/>
      <c r="B34" s="133" t="n"/>
      <c r="C34" s="3" t="n"/>
      <c r="D34" s="165" t="n"/>
      <c r="E34" s="703" t="n"/>
      <c r="F34" s="703" t="n"/>
      <c r="G34" s="21">
        <f>V34</f>
        <v/>
      </c>
      <c r="H34" s="21">
        <f>((SUM(S34:U34)/$H$1)*12)</f>
        <v/>
      </c>
      <c r="I34" s="3" t="n"/>
      <c r="J34" s="166" t="n"/>
      <c r="K34" s="166" t="n"/>
      <c r="L34" s="166" t="n"/>
      <c r="M34" s="166" t="n"/>
      <c r="N34" s="166" t="n"/>
      <c r="O34" s="166" t="n"/>
      <c r="P34" s="166" t="n"/>
      <c r="Q34" s="166" t="n"/>
      <c r="R34" s="166" t="n"/>
      <c r="S34" s="166" t="n"/>
      <c r="T34" s="166" t="n"/>
      <c r="U34" s="166" t="n"/>
      <c r="V34" s="27">
        <f>SUM(J34:U34)</f>
        <v/>
      </c>
    </row>
    <row r="35">
      <c r="A35" s="851" t="n"/>
      <c r="B35" s="133" t="n"/>
      <c r="C35" s="3" t="n"/>
      <c r="D35" s="165" t="n"/>
      <c r="E35" s="703" t="n"/>
      <c r="F35" s="703" t="n"/>
      <c r="G35" s="21">
        <f>V35</f>
        <v/>
      </c>
      <c r="H35" s="21">
        <f>((SUM(S35:U35)/$H$1)*12)</f>
        <v/>
      </c>
      <c r="I35" s="3" t="n"/>
      <c r="J35" s="166" t="n"/>
      <c r="K35" s="166" t="n"/>
      <c r="L35" s="166" t="n"/>
      <c r="M35" s="166" t="n"/>
      <c r="N35" s="166" t="n"/>
      <c r="O35" s="166" t="n"/>
      <c r="P35" s="166" t="n"/>
      <c r="Q35" s="166" t="n"/>
      <c r="R35" s="166" t="n"/>
      <c r="S35" s="166" t="n"/>
      <c r="T35" s="166" t="n"/>
      <c r="U35" s="166" t="n"/>
      <c r="V35" s="27">
        <f>SUM(J35:U35)</f>
        <v/>
      </c>
    </row>
    <row r="36">
      <c r="A36" s="851" t="n"/>
      <c r="B36" s="133" t="n"/>
      <c r="C36" s="3" t="n"/>
      <c r="D36" s="165" t="n"/>
      <c r="E36" s="703" t="n"/>
      <c r="F36" s="703" t="n"/>
      <c r="G36" s="21">
        <f>V36</f>
        <v/>
      </c>
      <c r="H36" s="21">
        <f>((SUM(S36:U36)/$H$1)*12)</f>
        <v/>
      </c>
      <c r="I36" s="3" t="n"/>
      <c r="J36" s="166" t="n"/>
      <c r="K36" s="166" t="n"/>
      <c r="L36" s="166" t="n"/>
      <c r="M36" s="166" t="n"/>
      <c r="N36" s="166" t="n"/>
      <c r="O36" s="166" t="n"/>
      <c r="P36" s="166" t="n"/>
      <c r="Q36" s="166" t="n"/>
      <c r="R36" s="166" t="n"/>
      <c r="S36" s="166" t="n"/>
      <c r="T36" s="166" t="n"/>
      <c r="U36" s="166" t="n"/>
      <c r="V36" s="27">
        <f>SUM(J36:U36)</f>
        <v/>
      </c>
    </row>
    <row r="37" ht="4.5" customFormat="1" customHeight="1" s="3">
      <c r="A37" s="852" t="n"/>
      <c r="E37" s="20" t="n"/>
      <c r="F37" s="20" t="n"/>
      <c r="G37" s="853" t="n"/>
      <c r="H37" s="20">
        <f>F37*4</f>
        <v/>
      </c>
      <c r="J37" s="20" t="n"/>
      <c r="K37" s="20" t="n"/>
      <c r="L37" s="20" t="n"/>
      <c r="M37" s="20" t="n"/>
      <c r="N37" s="20" t="n"/>
      <c r="O37" s="20" t="n"/>
      <c r="P37" s="20" t="n"/>
      <c r="Q37" s="20" t="n"/>
      <c r="R37" s="20" t="n"/>
      <c r="S37" s="20" t="n"/>
      <c r="T37" s="20" t="n"/>
      <c r="U37" s="20" t="n"/>
      <c r="V37" s="28" t="n"/>
      <c r="W37" s="59" t="n"/>
      <c r="X37" s="59" t="n"/>
      <c r="Y37" s="59" t="n"/>
      <c r="Z37" s="59" t="n"/>
      <c r="AA37" s="59" t="n"/>
      <c r="AB37" s="59" t="n"/>
      <c r="AC37" s="59" t="n"/>
      <c r="AD37" s="59" t="n"/>
      <c r="AE37" s="59" t="n"/>
      <c r="AF37" s="59" t="n"/>
      <c r="AG37" s="59" t="n"/>
      <c r="AH37" s="59" t="n"/>
      <c r="AI37" s="59" t="n"/>
      <c r="AJ37" s="59" t="n"/>
      <c r="AK37" s="59" t="n"/>
      <c r="AL37" s="59" t="n"/>
      <c r="AM37" s="59" t="n"/>
      <c r="AN37" s="59" t="n"/>
      <c r="AO37" s="59" t="n"/>
      <c r="AP37" s="59" t="n"/>
      <c r="AQ37" s="59" t="n"/>
      <c r="AR37" s="59" t="n"/>
      <c r="AS37" s="59" t="n"/>
      <c r="AT37" s="59" t="n"/>
      <c r="AU37" s="59" t="n"/>
      <c r="AV37" s="59" t="n"/>
      <c r="AW37" s="59" t="n"/>
      <c r="AX37" s="59" t="n"/>
      <c r="AY37" s="59" t="n"/>
      <c r="AZ37" s="59" t="n"/>
      <c r="BA37" s="59" t="n"/>
      <c r="BB37" s="59" t="n"/>
      <c r="BC37" s="59" t="n"/>
      <c r="BD37" s="59" t="n"/>
      <c r="BE37" s="59" t="n"/>
      <c r="BF37" s="59" t="n"/>
      <c r="BG37" s="59" t="n"/>
      <c r="BH37" s="59" t="n"/>
      <c r="BI37" s="59" t="n"/>
      <c r="BJ37" s="59" t="n"/>
      <c r="BK37" s="59" t="n"/>
      <c r="BL37" s="59" t="n"/>
    </row>
    <row r="38" ht="16.5" customHeight="1">
      <c r="A38" s="852" t="n"/>
      <c r="B38" s="59" t="n"/>
      <c r="C38" s="3" t="n"/>
      <c r="D38" s="26">
        <f>SUM(D3:D36)</f>
        <v/>
      </c>
      <c r="E38" s="26">
        <f>SUM(E3:E36)</f>
        <v/>
      </c>
      <c r="F38" s="26">
        <f>SUM(F3:F36)</f>
        <v/>
      </c>
      <c r="G38" s="26">
        <f>SUM(G3:G36)</f>
        <v/>
      </c>
      <c r="H38" s="26">
        <f>SUM(H3:H36)</f>
        <v/>
      </c>
      <c r="I38" s="3">
        <f>SUM(I3:I36)</f>
        <v/>
      </c>
      <c r="J38" s="26">
        <f>SUM(J3:J36)</f>
        <v/>
      </c>
      <c r="K38" s="26">
        <f>SUM(K3:K36)</f>
        <v/>
      </c>
      <c r="L38" s="26">
        <f>SUM(L3:L36)</f>
        <v/>
      </c>
      <c r="M38" s="26">
        <f>SUM(M3:M36)</f>
        <v/>
      </c>
      <c r="N38" s="26">
        <f>SUM(N3:N36)</f>
        <v/>
      </c>
      <c r="O38" s="26">
        <f>SUM(O3:O36)</f>
        <v/>
      </c>
      <c r="P38" s="26">
        <f>SUM(P3:P36)</f>
        <v/>
      </c>
      <c r="Q38" s="26">
        <f>SUM(Q3:Q36)</f>
        <v/>
      </c>
      <c r="R38" s="26">
        <f>SUM(R3:R36)</f>
        <v/>
      </c>
      <c r="S38" s="26">
        <f>SUM(S3:S36)</f>
        <v/>
      </c>
      <c r="T38" s="26">
        <f>SUM(T3:T36)</f>
        <v/>
      </c>
      <c r="U38" s="26">
        <f>SUM(U3:U36)</f>
        <v/>
      </c>
      <c r="V38" s="26">
        <f>SUM(V3:V36)</f>
        <v/>
      </c>
    </row>
    <row r="39" ht="17.25" customHeight="1">
      <c r="A39" s="852" t="n"/>
      <c r="B39" s="17" t="n"/>
      <c r="C39" s="3" t="n"/>
      <c r="D39" s="11" t="n"/>
      <c r="E39" s="705" t="n"/>
      <c r="F39" s="11" t="n"/>
      <c r="G39" s="11">
        <f>V39</f>
        <v/>
      </c>
      <c r="H39" s="11" t="n"/>
      <c r="I39" s="3" t="n"/>
      <c r="J39" s="12" t="n"/>
      <c r="K39" s="12" t="n"/>
      <c r="L39" s="12" t="n"/>
      <c r="M39" s="12" t="n"/>
      <c r="N39" s="12" t="n"/>
      <c r="O39" s="12" t="n"/>
      <c r="P39" s="12" t="n"/>
      <c r="Q39" s="12" t="n"/>
      <c r="R39" s="12" t="n"/>
      <c r="S39" s="12" t="n"/>
      <c r="T39" s="12" t="n"/>
      <c r="U39" s="12" t="n"/>
      <c r="V39" s="29" t="n"/>
    </row>
    <row r="40">
      <c r="A40" s="852" t="n"/>
      <c r="B40" s="16" t="inlineStr">
        <is>
          <t>Check</t>
        </is>
      </c>
      <c r="C40" s="3" t="n"/>
      <c r="D40" s="9">
        <f>IF(D38=D39,"OK")</f>
        <v/>
      </c>
      <c r="E40" s="9">
        <f>IF(E38=E39,"OK")</f>
        <v/>
      </c>
      <c r="F40" s="9">
        <f>IF(F38=F39,"OK")</f>
        <v/>
      </c>
      <c r="G40" s="9">
        <f>IF(G38=G39,"OK")</f>
        <v/>
      </c>
      <c r="H40" s="9" t="inlineStr">
        <is>
          <t>N/A</t>
        </is>
      </c>
      <c r="I40" s="3" t="n"/>
      <c r="J40" s="32">
        <f>IF(J38=J39,"OK")</f>
        <v/>
      </c>
      <c r="K40" s="32">
        <f>IF(K38=K39,"OK")</f>
        <v/>
      </c>
      <c r="L40" s="32">
        <f>IF(L38=L39,"OK")</f>
        <v/>
      </c>
      <c r="M40" s="32">
        <f>IF(M38=M39,"OK")</f>
        <v/>
      </c>
      <c r="N40" s="32">
        <f>IF(N38=N39,"OK")</f>
        <v/>
      </c>
      <c r="O40" s="32">
        <f>IF(O38=O39,"OK")</f>
        <v/>
      </c>
      <c r="P40" s="32">
        <f>IF(P38=P39,"OK")</f>
        <v/>
      </c>
      <c r="Q40" s="32">
        <f>IF(Q38=Q39,"OK")</f>
        <v/>
      </c>
      <c r="R40" s="32">
        <f>IF(R38=R39,"OK")</f>
        <v/>
      </c>
      <c r="S40" s="32">
        <f>IF(S38=S39,"OK")</f>
        <v/>
      </c>
      <c r="T40" s="32">
        <f>IF(T38=T39,"OK")</f>
        <v/>
      </c>
      <c r="U40" s="32">
        <f>IF(U38=U39,"OK")</f>
        <v/>
      </c>
      <c r="V40" s="32">
        <f>IF(V38=V39,"OK")</f>
        <v/>
      </c>
    </row>
    <row r="41" ht="6.75" customHeight="1" thickBot="1">
      <c r="A41" s="852" t="n"/>
      <c r="B41" s="3" t="n"/>
      <c r="C41" s="3" t="n"/>
      <c r="D41" s="3" t="n"/>
      <c r="E41" s="20" t="n"/>
      <c r="F41" s="20" t="n"/>
      <c r="G41" s="852" t="n"/>
      <c r="H41" s="3" t="n"/>
      <c r="I41" s="3" t="n"/>
      <c r="J41" s="3" t="n"/>
      <c r="K41" s="3" t="n"/>
      <c r="L41" s="3" t="n"/>
      <c r="M41" s="3" t="n"/>
      <c r="N41" s="3" t="n"/>
      <c r="O41" s="3" t="n"/>
      <c r="P41" s="3" t="n"/>
      <c r="Q41" s="3" t="n"/>
      <c r="R41" s="3" t="n"/>
      <c r="S41" s="3" t="n"/>
      <c r="T41" s="3" t="n"/>
      <c r="U41" s="3" t="n"/>
      <c r="V41" s="30" t="n"/>
    </row>
    <row r="42" ht="13.5" customHeight="1" thickBot="1">
      <c r="A42" s="15" t="inlineStr">
        <is>
          <t>Choose Expense Category</t>
        </is>
      </c>
      <c r="B42" s="15" t="inlineStr">
        <is>
          <t>Input Source Data</t>
        </is>
      </c>
      <c r="C42" s="2" t="n"/>
      <c r="D42" s="712" t="inlineStr">
        <is>
          <t>Input Source Epense Data</t>
        </is>
      </c>
      <c r="F42" s="712" t="n"/>
      <c r="G42" s="854" t="n"/>
      <c r="H42" s="19">
        <f>H1</f>
        <v/>
      </c>
      <c r="I42" s="3" t="n"/>
      <c r="J42" s="22">
        <f>J2</f>
        <v/>
      </c>
      <c r="K42" s="22">
        <f>K2</f>
        <v/>
      </c>
      <c r="L42" s="22">
        <f>L2</f>
        <v/>
      </c>
      <c r="M42" s="22">
        <f>M2</f>
        <v/>
      </c>
      <c r="N42" s="22">
        <f>N2</f>
        <v/>
      </c>
      <c r="O42" s="22">
        <f>O2</f>
        <v/>
      </c>
      <c r="P42" s="22">
        <f>P2</f>
        <v/>
      </c>
      <c r="Q42" s="22">
        <f>Q2</f>
        <v/>
      </c>
      <c r="R42" s="22">
        <f>R2</f>
        <v/>
      </c>
      <c r="S42" s="22">
        <f>S2</f>
        <v/>
      </c>
      <c r="T42" s="22">
        <f>T2</f>
        <v/>
      </c>
      <c r="U42" s="22">
        <f>U2</f>
        <v/>
      </c>
      <c r="V42" s="8" t="inlineStr">
        <is>
          <t>Total</t>
        </is>
      </c>
    </row>
    <row r="43">
      <c r="A43" s="851" t="n"/>
      <c r="B43" s="133" t="n"/>
      <c r="C43" s="3" t="n"/>
      <c r="D43" s="133" t="n"/>
      <c r="E43" s="677" t="n"/>
      <c r="F43" s="31" t="n"/>
      <c r="G43" s="23">
        <f>V43</f>
        <v/>
      </c>
      <c r="H43" s="21">
        <f>((SUM(S43:U43)/$H$1)*12)</f>
        <v/>
      </c>
      <c r="I43" s="3" t="n"/>
      <c r="J43" s="31" t="n"/>
      <c r="K43" s="31" t="n"/>
      <c r="L43" s="31" t="n"/>
      <c r="M43" s="31" t="n"/>
      <c r="N43" s="31" t="n"/>
      <c r="O43" s="31" t="n"/>
      <c r="P43" s="31" t="n"/>
      <c r="Q43" s="31" t="n"/>
      <c r="R43" s="31" t="n"/>
      <c r="S43" s="31" t="n"/>
      <c r="T43" s="31" t="n"/>
      <c r="U43" s="31" t="n"/>
      <c r="V43" s="27">
        <f>SUM(J43:U43)</f>
        <v/>
      </c>
    </row>
    <row r="44">
      <c r="A44" s="851" t="n"/>
      <c r="B44" s="133" t="n"/>
      <c r="C44" s="3" t="n"/>
      <c r="D44" s="31" t="n"/>
      <c r="E44" s="31" t="n"/>
      <c r="F44" s="31" t="n"/>
      <c r="G44" s="23">
        <f>V44</f>
        <v/>
      </c>
      <c r="H44" s="21">
        <f>((SUM(S44:U44)/$H$1)*12)</f>
        <v/>
      </c>
      <c r="I44" s="3" t="n"/>
      <c r="J44" s="31" t="n"/>
      <c r="K44" s="31" t="n"/>
      <c r="L44" s="31" t="n"/>
      <c r="M44" s="31" t="n"/>
      <c r="N44" s="31" t="n"/>
      <c r="O44" s="31" t="n"/>
      <c r="P44" s="31" t="n"/>
      <c r="Q44" s="31" t="n"/>
      <c r="R44" s="31" t="n"/>
      <c r="S44" s="31" t="n"/>
      <c r="T44" s="31" t="n"/>
      <c r="U44" s="31" t="n"/>
      <c r="V44" s="27">
        <f>SUM(J44:U44)</f>
        <v/>
      </c>
    </row>
    <row r="45">
      <c r="A45" s="851" t="n"/>
      <c r="B45" s="133" t="n"/>
      <c r="C45" s="3" t="n"/>
      <c r="D45" s="31" t="n"/>
      <c r="E45" s="31" t="n"/>
      <c r="F45" s="31" t="n"/>
      <c r="G45" s="23">
        <f>V45</f>
        <v/>
      </c>
      <c r="H45" s="21">
        <f>((SUM(S45:U45)/$H$1)*12)</f>
        <v/>
      </c>
      <c r="I45" s="3" t="n"/>
      <c r="J45" s="31" t="n"/>
      <c r="K45" s="31" t="n"/>
      <c r="L45" s="31" t="n"/>
      <c r="M45" s="31" t="n"/>
      <c r="N45" s="31" t="n"/>
      <c r="O45" s="31" t="n"/>
      <c r="P45" s="31" t="n"/>
      <c r="Q45" s="31" t="n"/>
      <c r="R45" s="31" t="n"/>
      <c r="S45" s="31" t="n"/>
      <c r="T45" s="31" t="n"/>
      <c r="U45" s="31" t="n"/>
      <c r="V45" s="27">
        <f>SUM(J45:U45)</f>
        <v/>
      </c>
    </row>
    <row r="46">
      <c r="A46" s="851" t="n"/>
      <c r="B46" s="133" t="n"/>
      <c r="C46" s="3" t="n"/>
      <c r="D46" s="31" t="n"/>
      <c r="E46" s="31" t="n"/>
      <c r="F46" s="31" t="n"/>
      <c r="G46" s="855" t="n"/>
      <c r="H46" s="21" t="n"/>
      <c r="I46" s="3" t="n"/>
      <c r="J46" s="31" t="n"/>
      <c r="K46" s="31" t="n"/>
      <c r="L46" s="31" t="n"/>
      <c r="M46" s="31" t="n"/>
      <c r="N46" s="31" t="n"/>
      <c r="O46" s="31" t="n"/>
      <c r="P46" s="31" t="n"/>
      <c r="Q46" s="31" t="n"/>
      <c r="R46" s="31" t="n"/>
      <c r="S46" s="31" t="n"/>
      <c r="T46" s="31" t="n"/>
      <c r="U46" s="31" t="n"/>
      <c r="V46" s="27" t="n"/>
    </row>
    <row r="47">
      <c r="A47" s="851" t="n"/>
      <c r="B47" s="667" t="n"/>
      <c r="C47" s="3" t="n"/>
      <c r="D47" s="31" t="n"/>
      <c r="E47" s="31" t="n"/>
      <c r="F47" s="31" t="n"/>
      <c r="G47" s="23">
        <f>V47</f>
        <v/>
      </c>
      <c r="H47" s="21">
        <f>((SUM(S47:U47)/$H$1)*12)</f>
        <v/>
      </c>
      <c r="I47" s="3" t="n"/>
      <c r="J47" s="31" t="n"/>
      <c r="K47" s="31" t="n"/>
      <c r="L47" s="31" t="n"/>
      <c r="M47" s="31" t="n"/>
      <c r="N47" s="31" t="n"/>
      <c r="O47" s="31" t="n"/>
      <c r="P47" s="31" t="n"/>
      <c r="Q47" s="31" t="n"/>
      <c r="R47" s="31" t="n"/>
      <c r="S47" s="31" t="n"/>
      <c r="T47" s="31" t="n"/>
      <c r="U47" s="31" t="n"/>
      <c r="V47" s="27">
        <f>SUM(J47:U47)</f>
        <v/>
      </c>
    </row>
    <row r="48">
      <c r="A48" s="851" t="n"/>
      <c r="B48" s="133" t="n"/>
      <c r="C48" s="3" t="n"/>
      <c r="D48" s="31" t="n"/>
      <c r="E48" s="31" t="n"/>
      <c r="F48" s="31" t="n"/>
      <c r="G48" s="23">
        <f>V48</f>
        <v/>
      </c>
      <c r="H48" s="21">
        <f>((SUM(S48:U48)/$H$1)*12)</f>
        <v/>
      </c>
      <c r="I48" s="3" t="n"/>
      <c r="J48" s="31" t="n"/>
      <c r="K48" s="31" t="n"/>
      <c r="L48" s="31" t="n"/>
      <c r="M48" s="31" t="n"/>
      <c r="N48" s="31" t="n"/>
      <c r="O48" s="31" t="n"/>
      <c r="P48" s="31" t="n"/>
      <c r="Q48" s="31" t="n"/>
      <c r="R48" s="31" t="n"/>
      <c r="S48" s="31" t="n"/>
      <c r="T48" s="31" t="n"/>
      <c r="U48" s="31" t="n"/>
      <c r="V48" s="27">
        <f>SUM(J48:U48)</f>
        <v/>
      </c>
    </row>
    <row r="49">
      <c r="A49" s="851" t="n"/>
      <c r="B49" s="133" t="n"/>
      <c r="C49" s="3" t="n"/>
      <c r="D49" s="31" t="n"/>
      <c r="E49" s="31" t="n"/>
      <c r="F49" s="31" t="n"/>
      <c r="G49" s="23">
        <f>V49</f>
        <v/>
      </c>
      <c r="H49" s="21">
        <f>((SUM(S49:U49)/$H$1)*12)</f>
        <v/>
      </c>
      <c r="I49" s="3" t="n"/>
      <c r="J49" s="31" t="n"/>
      <c r="K49" s="31" t="n"/>
      <c r="L49" s="31" t="n"/>
      <c r="M49" s="31" t="n"/>
      <c r="N49" s="31" t="n"/>
      <c r="O49" s="31" t="n"/>
      <c r="P49" s="31" t="n"/>
      <c r="Q49" s="31" t="n"/>
      <c r="R49" s="31" t="n"/>
      <c r="S49" s="31" t="n"/>
      <c r="T49" s="31" t="n"/>
      <c r="U49" s="31" t="n"/>
      <c r="V49" s="27">
        <f>SUM(J49:U49)</f>
        <v/>
      </c>
    </row>
    <row r="50">
      <c r="A50" s="851" t="n"/>
      <c r="B50" s="133" t="n"/>
      <c r="C50" s="3" t="n"/>
      <c r="D50" s="31" t="n"/>
      <c r="E50" s="31" t="n"/>
      <c r="F50" s="31" t="n"/>
      <c r="G50" s="855" t="n"/>
      <c r="H50" s="21" t="n"/>
      <c r="I50" s="3" t="n"/>
      <c r="J50" s="31" t="n"/>
      <c r="K50" s="31" t="n"/>
      <c r="L50" s="31" t="n"/>
      <c r="M50" s="31" t="n"/>
      <c r="N50" s="31" t="n"/>
      <c r="O50" s="31" t="n"/>
      <c r="P50" s="31" t="n"/>
      <c r="Q50" s="31" t="n"/>
      <c r="R50" s="31" t="n"/>
      <c r="S50" s="31" t="n"/>
      <c r="T50" s="31" t="n"/>
      <c r="U50" s="31" t="n"/>
      <c r="V50" s="27" t="n"/>
    </row>
    <row r="51">
      <c r="A51" s="851" t="n"/>
      <c r="B51" s="667" t="n"/>
      <c r="C51" s="3" t="n"/>
      <c r="D51" s="31" t="n"/>
      <c r="E51" s="31" t="n"/>
      <c r="F51" s="31" t="n"/>
      <c r="G51" s="23">
        <f>V51</f>
        <v/>
      </c>
      <c r="H51" s="21">
        <f>((SUM(S51:U51)/$H$1)*12)</f>
        <v/>
      </c>
      <c r="I51" s="3" t="n"/>
      <c r="J51" s="31" t="n"/>
      <c r="K51" s="31" t="n"/>
      <c r="L51" s="31" t="n"/>
      <c r="M51" s="31" t="n"/>
      <c r="N51" s="31" t="n"/>
      <c r="O51" s="166" t="n"/>
      <c r="P51" s="31" t="n"/>
      <c r="Q51" s="31" t="n"/>
      <c r="R51" s="31" t="n"/>
      <c r="S51" s="31" t="n"/>
      <c r="T51" s="31" t="n"/>
      <c r="U51" s="31" t="n"/>
      <c r="V51" s="27">
        <f>SUM(J51:U51)</f>
        <v/>
      </c>
    </row>
    <row r="52">
      <c r="A52" s="851" t="n"/>
      <c r="B52" s="133" t="n"/>
      <c r="C52" s="3" t="n"/>
      <c r="D52" s="31" t="n"/>
      <c r="E52" s="31" t="n"/>
      <c r="F52" s="31" t="n"/>
      <c r="G52" s="855" t="n"/>
      <c r="H52" s="21" t="n"/>
      <c r="I52" s="3" t="n"/>
      <c r="J52" s="31" t="n"/>
      <c r="K52" s="31" t="n"/>
      <c r="L52" s="31" t="n"/>
      <c r="M52" s="31" t="n"/>
      <c r="N52" s="31" t="n"/>
      <c r="O52" s="166" t="n"/>
      <c r="P52" s="31" t="n"/>
      <c r="Q52" s="31" t="n"/>
      <c r="R52" s="31" t="n"/>
      <c r="S52" s="31" t="n"/>
      <c r="T52" s="31" t="n"/>
      <c r="U52" s="31" t="n"/>
      <c r="V52" s="27" t="n"/>
    </row>
    <row r="53">
      <c r="A53" s="851" t="n"/>
      <c r="B53" s="133" t="n"/>
      <c r="C53" s="3" t="n"/>
      <c r="D53" s="31" t="n"/>
      <c r="E53" s="31" t="n"/>
      <c r="F53" s="31" t="n"/>
      <c r="G53" s="23">
        <f>V53</f>
        <v/>
      </c>
      <c r="H53" s="21">
        <f>((SUM(S53:U53)/$H$1)*12)</f>
        <v/>
      </c>
      <c r="I53" s="3" t="n"/>
      <c r="J53" s="31" t="n"/>
      <c r="K53" s="31" t="n"/>
      <c r="L53" s="31" t="n"/>
      <c r="M53" s="31" t="n"/>
      <c r="N53" s="31" t="n"/>
      <c r="O53" s="31" t="n"/>
      <c r="P53" s="31" t="n"/>
      <c r="Q53" s="31" t="n"/>
      <c r="R53" s="31" t="n"/>
      <c r="S53" s="31" t="n"/>
      <c r="T53" s="31" t="n"/>
      <c r="U53" s="31" t="n"/>
      <c r="V53" s="27">
        <f>SUM(J53:U53)</f>
        <v/>
      </c>
    </row>
    <row r="54">
      <c r="A54" s="851" t="n"/>
      <c r="B54" s="133" t="n"/>
      <c r="C54" s="3" t="n"/>
      <c r="D54" s="31" t="n"/>
      <c r="E54" s="31" t="n"/>
      <c r="F54" s="31" t="n"/>
      <c r="G54" s="855" t="n"/>
      <c r="H54" s="21" t="n"/>
      <c r="I54" s="3" t="n"/>
      <c r="J54" s="31" t="n"/>
      <c r="K54" s="31" t="n"/>
      <c r="L54" s="31" t="n"/>
      <c r="M54" s="31" t="n"/>
      <c r="N54" s="31" t="n"/>
      <c r="O54" s="31" t="n"/>
      <c r="P54" s="31" t="n"/>
      <c r="Q54" s="31" t="n"/>
      <c r="R54" s="31" t="n"/>
      <c r="S54" s="31" t="n"/>
      <c r="T54" s="31" t="n"/>
      <c r="U54" s="31" t="n"/>
      <c r="V54" s="27" t="n"/>
    </row>
    <row r="55">
      <c r="A55" s="851" t="n"/>
      <c r="B55" s="133" t="n"/>
      <c r="C55" s="3" t="n"/>
      <c r="D55" s="31" t="n"/>
      <c r="E55" s="31" t="n"/>
      <c r="F55" s="31" t="n"/>
      <c r="G55" s="23">
        <f>V55</f>
        <v/>
      </c>
      <c r="H55" s="21">
        <f>((SUM(S55:U55)/$H$1)*12)</f>
        <v/>
      </c>
      <c r="I55" s="3" t="n"/>
      <c r="J55" s="31" t="n"/>
      <c r="K55" s="31" t="n"/>
      <c r="L55" s="31" t="n"/>
      <c r="M55" s="31" t="n"/>
      <c r="N55" s="31" t="n"/>
      <c r="O55" s="31" t="n"/>
      <c r="P55" s="31" t="n"/>
      <c r="Q55" s="31" t="n"/>
      <c r="R55" s="166" t="n"/>
      <c r="S55" s="166" t="n"/>
      <c r="T55" s="166" t="n"/>
      <c r="U55" s="166" t="n"/>
      <c r="V55" s="27">
        <f>SUM(J55:U55)</f>
        <v/>
      </c>
    </row>
    <row r="56">
      <c r="A56" s="851" t="n"/>
      <c r="B56" s="133" t="n"/>
      <c r="C56" s="3" t="n"/>
      <c r="D56" s="31" t="n"/>
      <c r="E56" s="31" t="n"/>
      <c r="F56" s="31" t="n"/>
      <c r="G56" s="23">
        <f>V56</f>
        <v/>
      </c>
      <c r="H56" s="21">
        <f>((SUM(S56:U56)/$H$1)*12)</f>
        <v/>
      </c>
      <c r="I56" s="3" t="n"/>
      <c r="J56" s="31" t="n"/>
      <c r="K56" s="31" t="n"/>
      <c r="L56" s="31" t="n"/>
      <c r="M56" s="31" t="n"/>
      <c r="N56" s="31" t="n"/>
      <c r="O56" s="31" t="n"/>
      <c r="P56" s="31" t="n"/>
      <c r="Q56" s="31" t="n"/>
      <c r="R56" s="31" t="n"/>
      <c r="S56" s="31" t="n"/>
      <c r="T56" s="31" t="n"/>
      <c r="U56" s="31" t="n"/>
      <c r="V56" s="27">
        <f>SUM(J56:U56)</f>
        <v/>
      </c>
    </row>
    <row r="57">
      <c r="A57" s="851" t="n"/>
      <c r="B57" s="133" t="n"/>
      <c r="C57" s="3" t="n"/>
      <c r="D57" s="31" t="n"/>
      <c r="E57" s="31" t="n"/>
      <c r="F57" s="31" t="n"/>
      <c r="G57" s="855" t="n"/>
      <c r="H57" s="21" t="n"/>
      <c r="I57" s="3" t="n"/>
      <c r="J57" s="31" t="n"/>
      <c r="K57" s="31" t="n"/>
      <c r="L57" s="31" t="n"/>
      <c r="M57" s="31" t="n"/>
      <c r="N57" s="31" t="n"/>
      <c r="O57" s="31" t="n"/>
      <c r="P57" s="31" t="n"/>
      <c r="Q57" s="31" t="n"/>
      <c r="R57" s="31" t="n"/>
      <c r="S57" s="31" t="n"/>
      <c r="T57" s="31" t="n"/>
      <c r="U57" s="31" t="n"/>
      <c r="V57" s="27" t="n"/>
    </row>
    <row r="58">
      <c r="A58" s="851" t="n"/>
      <c r="B58" s="667" t="n"/>
      <c r="C58" s="3" t="n"/>
      <c r="D58" s="31" t="n"/>
      <c r="E58" s="31" t="n"/>
      <c r="F58" s="31" t="n"/>
      <c r="G58" s="23">
        <f>V58</f>
        <v/>
      </c>
      <c r="H58" s="21">
        <f>((SUM(S58:U58)/$H$1)*12)</f>
        <v/>
      </c>
      <c r="I58" s="3" t="n"/>
      <c r="J58" s="31" t="n"/>
      <c r="K58" s="31" t="n"/>
      <c r="L58" s="31" t="n"/>
      <c r="M58" s="31" t="n"/>
      <c r="N58" s="31" t="n"/>
      <c r="O58" s="31" t="n"/>
      <c r="P58" s="31" t="n"/>
      <c r="Q58" s="31" t="n"/>
      <c r="R58" s="31" t="n"/>
      <c r="S58" s="31" t="n"/>
      <c r="T58" s="31" t="n"/>
      <c r="U58" s="31" t="n"/>
      <c r="V58" s="27">
        <f>SUM(J58:U58)</f>
        <v/>
      </c>
    </row>
    <row r="59">
      <c r="A59" s="14" t="n"/>
      <c r="B59" s="133" t="n"/>
      <c r="C59" s="3" t="n"/>
      <c r="D59" s="31" t="n"/>
      <c r="E59" s="31" t="n"/>
      <c r="F59" s="31" t="n"/>
      <c r="G59" s="23">
        <f>V59</f>
        <v/>
      </c>
      <c r="H59" s="21">
        <f>((SUM(S59:U59)/$H$1)*12)</f>
        <v/>
      </c>
      <c r="I59" s="3" t="n"/>
      <c r="J59" s="31" t="n"/>
      <c r="K59" s="31" t="n"/>
      <c r="L59" s="31" t="n"/>
      <c r="M59" s="31" t="n"/>
      <c r="N59" s="31" t="n"/>
      <c r="O59" s="31" t="n"/>
      <c r="P59" s="31" t="n"/>
      <c r="Q59" s="31" t="n"/>
      <c r="R59" s="31" t="n"/>
      <c r="S59" s="31" t="n"/>
      <c r="T59" s="31" t="n"/>
      <c r="U59" s="31" t="n"/>
      <c r="V59" s="27">
        <f>SUM(J59:U59)</f>
        <v/>
      </c>
    </row>
    <row r="60">
      <c r="A60" s="14" t="n"/>
      <c r="B60" s="133" t="n"/>
      <c r="C60" s="3" t="n"/>
      <c r="D60" s="31" t="n"/>
      <c r="E60" s="31" t="n"/>
      <c r="F60" s="31" t="n"/>
      <c r="G60" s="23">
        <f>V60</f>
        <v/>
      </c>
      <c r="H60" s="21">
        <f>((SUM(S60:U60)/$H$1)*12)</f>
        <v/>
      </c>
      <c r="I60" s="3" t="n"/>
      <c r="J60" s="31" t="n"/>
      <c r="K60" s="31" t="n"/>
      <c r="L60" s="31" t="n"/>
      <c r="M60" s="31" t="n"/>
      <c r="N60" s="31" t="n"/>
      <c r="O60" s="31" t="n"/>
      <c r="P60" s="31" t="n"/>
      <c r="Q60" s="31" t="n"/>
      <c r="R60" s="31" t="n"/>
      <c r="S60" s="31" t="n"/>
      <c r="T60" s="31" t="n"/>
      <c r="U60" s="31" t="n"/>
      <c r="V60" s="27">
        <f>SUM(J60:U60)</f>
        <v/>
      </c>
    </row>
    <row r="61">
      <c r="A61" s="14" t="n"/>
      <c r="B61" s="133" t="n"/>
      <c r="C61" s="3" t="n"/>
      <c r="D61" s="31" t="n"/>
      <c r="E61" s="31" t="n"/>
      <c r="F61" s="31" t="n"/>
      <c r="G61" s="23">
        <f>V61</f>
        <v/>
      </c>
      <c r="H61" s="21">
        <f>((SUM(S61:U61)/$H$1)*12)</f>
        <v/>
      </c>
      <c r="I61" s="3" t="n"/>
      <c r="J61" s="31" t="n"/>
      <c r="K61" s="31" t="n"/>
      <c r="L61" s="31" t="n"/>
      <c r="M61" s="166" t="n"/>
      <c r="N61" s="31" t="n"/>
      <c r="O61" s="31" t="n"/>
      <c r="P61" s="31" t="n"/>
      <c r="Q61" s="31" t="n"/>
      <c r="R61" s="31" t="n"/>
      <c r="S61" s="31" t="n"/>
      <c r="T61" s="31" t="n"/>
      <c r="U61" s="31" t="n"/>
      <c r="V61" s="27">
        <f>SUM(J61:U61)</f>
        <v/>
      </c>
    </row>
    <row r="62">
      <c r="A62" s="14" t="n"/>
      <c r="B62" s="219" t="n"/>
      <c r="C62" s="3" t="n"/>
      <c r="D62" s="31" t="n"/>
      <c r="E62" s="31" t="n"/>
      <c r="F62" s="31" t="n"/>
      <c r="G62" s="23">
        <f>V62</f>
        <v/>
      </c>
      <c r="H62" s="21">
        <f>((SUM(S62:U62)/$H$1)*12)</f>
        <v/>
      </c>
      <c r="I62" s="3" t="n"/>
      <c r="J62" s="31" t="n"/>
      <c r="K62" s="31" t="n"/>
      <c r="L62" s="31" t="n"/>
      <c r="M62" s="31" t="n"/>
      <c r="N62" s="31" t="n"/>
      <c r="O62" s="31" t="n"/>
      <c r="P62" s="31" t="n"/>
      <c r="Q62" s="31" t="n"/>
      <c r="R62" s="31" t="n"/>
      <c r="S62" s="31" t="n"/>
      <c r="T62" s="31" t="n"/>
      <c r="U62" s="31" t="n"/>
      <c r="V62" s="27">
        <f>SUM(J62:U62)</f>
        <v/>
      </c>
    </row>
    <row r="63">
      <c r="A63" s="14" t="n"/>
      <c r="B63" s="219" t="n"/>
      <c r="C63" s="3" t="n"/>
      <c r="D63" s="31" t="n"/>
      <c r="E63" s="31" t="n"/>
      <c r="F63" s="31" t="n"/>
      <c r="G63" s="23">
        <f>V63</f>
        <v/>
      </c>
      <c r="H63" s="21">
        <f>((SUM(S63:U63)/$H$1)*12)</f>
        <v/>
      </c>
      <c r="I63" s="3" t="n"/>
      <c r="J63" s="31" t="n"/>
      <c r="K63" s="31" t="n"/>
      <c r="L63" s="31" t="n"/>
      <c r="M63" s="31" t="n"/>
      <c r="N63" s="31" t="n"/>
      <c r="O63" s="31" t="n"/>
      <c r="P63" s="31" t="n"/>
      <c r="Q63" s="31" t="n"/>
      <c r="R63" s="31" t="n"/>
      <c r="S63" s="31" t="n"/>
      <c r="T63" s="31" t="n"/>
      <c r="U63" s="31" t="n"/>
      <c r="V63" s="27">
        <f>SUM(J63:U63)</f>
        <v/>
      </c>
    </row>
    <row r="64">
      <c r="A64" s="14" t="n"/>
      <c r="B64" s="133" t="n"/>
      <c r="C64" s="3" t="n"/>
      <c r="D64" s="31" t="n"/>
      <c r="E64" s="31" t="n"/>
      <c r="F64" s="677" t="n"/>
      <c r="G64" s="23">
        <f>V64</f>
        <v/>
      </c>
      <c r="H64" s="21">
        <f>((SUM(S64:U64)/$H$1)*12)</f>
        <v/>
      </c>
      <c r="I64" s="3" t="n"/>
      <c r="J64" s="31" t="n"/>
      <c r="K64" s="31" t="n"/>
      <c r="L64" s="31" t="n"/>
      <c r="M64" s="31" t="n"/>
      <c r="N64" s="31" t="n"/>
      <c r="O64" s="31" t="n"/>
      <c r="P64" s="31" t="n"/>
      <c r="Q64" s="31" t="n"/>
      <c r="R64" s="31" t="n"/>
      <c r="S64" s="31" t="n"/>
      <c r="T64" s="31" t="n"/>
      <c r="U64" s="31" t="n"/>
      <c r="V64" s="27">
        <f>SUM(J64:U64)</f>
        <v/>
      </c>
    </row>
    <row r="65">
      <c r="A65" s="14" t="n"/>
      <c r="B65" s="133" t="n"/>
      <c r="C65" s="3" t="n"/>
      <c r="D65" s="133" t="n"/>
      <c r="E65" s="677" t="n"/>
      <c r="F65" s="677" t="n"/>
      <c r="G65" s="23">
        <f>V65</f>
        <v/>
      </c>
      <c r="H65" s="21">
        <f>((SUM(S65:U65)/$H$1)*12)</f>
        <v/>
      </c>
      <c r="I65" s="3" t="n"/>
      <c r="J65" s="31" t="n"/>
      <c r="K65" s="31" t="n"/>
      <c r="L65" s="31" t="n"/>
      <c r="M65" s="31" t="n"/>
      <c r="N65" s="31" t="n"/>
      <c r="O65" s="31" t="n"/>
      <c r="P65" s="31" t="n"/>
      <c r="Q65" s="31" t="n"/>
      <c r="R65" s="31" t="n"/>
      <c r="S65" s="31" t="n"/>
      <c r="T65" s="31" t="n"/>
      <c r="U65" s="31" t="n"/>
      <c r="V65" s="23">
        <f>SUM(J65:U65)</f>
        <v/>
      </c>
    </row>
    <row r="66">
      <c r="A66" s="14" t="n"/>
      <c r="B66" s="219" t="n"/>
      <c r="C66" s="3" t="n"/>
      <c r="D66" s="31" t="n"/>
      <c r="E66" s="31" t="n"/>
      <c r="F66" s="31" t="n"/>
      <c r="G66" s="23">
        <f>V66</f>
        <v/>
      </c>
      <c r="H66" s="21">
        <f>((SUM(S66:U66)/$H$1)*12)</f>
        <v/>
      </c>
      <c r="I66" s="3" t="n"/>
      <c r="J66" s="31" t="n"/>
      <c r="K66" s="31" t="n"/>
      <c r="L66" s="31" t="n"/>
      <c r="M66" s="31" t="n"/>
      <c r="N66" s="31" t="n"/>
      <c r="O66" s="31" t="n"/>
      <c r="P66" s="31" t="n"/>
      <c r="Q66" s="31" t="n"/>
      <c r="R66" s="31" t="n"/>
      <c r="S66" s="31" t="n"/>
      <c r="T66" s="31" t="n"/>
      <c r="U66" s="31" t="n"/>
      <c r="V66" s="27">
        <f>SUM(J66:U66)</f>
        <v/>
      </c>
    </row>
    <row r="67">
      <c r="A67" s="14" t="n"/>
      <c r="B67" s="219" t="n"/>
      <c r="C67" s="3" t="n"/>
      <c r="D67" s="31" t="n"/>
      <c r="E67" s="31" t="n"/>
      <c r="F67" s="31" t="n"/>
      <c r="G67" s="23">
        <f>V67</f>
        <v/>
      </c>
      <c r="H67" s="21">
        <f>((SUM(S67:U67)/$H$1)*12)</f>
        <v/>
      </c>
      <c r="I67" s="3" t="n"/>
      <c r="J67" s="31" t="n"/>
      <c r="K67" s="31" t="n"/>
      <c r="L67" s="31" t="n"/>
      <c r="M67" s="31" t="n"/>
      <c r="N67" s="31" t="n"/>
      <c r="O67" s="31" t="n"/>
      <c r="P67" s="31" t="n"/>
      <c r="Q67" s="31" t="n"/>
      <c r="R67" s="31" t="n"/>
      <c r="S67" s="31" t="n"/>
      <c r="T67" s="31" t="n"/>
      <c r="U67" s="31" t="n"/>
      <c r="V67" s="27">
        <f>SUM(J67:U67)</f>
        <v/>
      </c>
    </row>
    <row r="68">
      <c r="A68" s="14" t="n"/>
      <c r="B68" s="219" t="n"/>
      <c r="C68" s="3" t="n"/>
      <c r="D68" s="31" t="n"/>
      <c r="E68" s="31" t="n"/>
      <c r="F68" s="31" t="n"/>
      <c r="G68" s="23" t="n"/>
      <c r="H68" s="21" t="n"/>
      <c r="I68" s="3" t="n"/>
      <c r="J68" s="31" t="n"/>
      <c r="K68" s="31" t="n"/>
      <c r="L68" s="31" t="n"/>
      <c r="M68" s="31" t="n"/>
      <c r="N68" s="31" t="n"/>
      <c r="O68" s="31" t="n"/>
      <c r="P68" s="31" t="n"/>
      <c r="Q68" s="31" t="n"/>
      <c r="R68" s="31" t="n"/>
      <c r="S68" s="31" t="n"/>
      <c r="T68" s="31" t="n"/>
      <c r="U68" s="31" t="n"/>
      <c r="V68" s="27" t="n"/>
    </row>
    <row r="69">
      <c r="A69" s="14" t="n"/>
      <c r="B69" s="668" t="n"/>
      <c r="C69" s="3" t="n"/>
      <c r="D69" s="31" t="n"/>
      <c r="E69" s="31" t="n"/>
      <c r="F69" s="31" t="n"/>
      <c r="G69" s="23">
        <f>V69</f>
        <v/>
      </c>
      <c r="H69" s="21">
        <f>((SUM(S69:U69)/$H$1)*12)</f>
        <v/>
      </c>
      <c r="I69" s="3" t="n"/>
      <c r="J69" s="31" t="n"/>
      <c r="K69" s="31" t="n"/>
      <c r="L69" s="31" t="n"/>
      <c r="M69" s="31" t="n"/>
      <c r="N69" s="31" t="n"/>
      <c r="O69" s="31" t="n"/>
      <c r="P69" s="31" t="n"/>
      <c r="Q69" s="31" t="n"/>
      <c r="R69" s="31" t="n"/>
      <c r="S69" s="31" t="n"/>
      <c r="T69" s="31" t="n"/>
      <c r="U69" s="31" t="n"/>
      <c r="V69" s="27">
        <f>SUM(J69:U69)</f>
        <v/>
      </c>
    </row>
    <row r="70">
      <c r="A70" s="14" t="n"/>
      <c r="B70" s="219" t="n"/>
      <c r="C70" s="3" t="n"/>
      <c r="D70" s="31" t="n"/>
      <c r="E70" s="31" t="n"/>
      <c r="F70" s="31" t="n"/>
      <c r="G70" s="23">
        <f>V70</f>
        <v/>
      </c>
      <c r="H70" s="21">
        <f>((SUM(S70:U70)/$H$1)*12)</f>
        <v/>
      </c>
      <c r="I70" s="3" t="n"/>
      <c r="J70" s="31" t="n"/>
      <c r="K70" s="31" t="n"/>
      <c r="L70" s="31" t="n"/>
      <c r="M70" s="31" t="n"/>
      <c r="N70" s="31" t="n"/>
      <c r="O70" s="31" t="n"/>
      <c r="P70" s="31" t="n"/>
      <c r="Q70" s="31" t="n"/>
      <c r="R70" s="31" t="n"/>
      <c r="S70" s="31" t="n"/>
      <c r="T70" s="31" t="n"/>
      <c r="U70" s="31" t="n"/>
      <c r="V70" s="27">
        <f>SUM(J70:U70)</f>
        <v/>
      </c>
    </row>
    <row r="71">
      <c r="A71" s="14" t="n"/>
      <c r="B71" s="219" t="n"/>
      <c r="C71" s="3" t="n"/>
      <c r="D71" s="31" t="n"/>
      <c r="E71" s="31" t="n"/>
      <c r="F71" s="31" t="n"/>
      <c r="G71" s="23" t="n"/>
      <c r="H71" s="21" t="n"/>
      <c r="I71" s="3" t="n"/>
      <c r="J71" s="31" t="n"/>
      <c r="K71" s="31" t="n"/>
      <c r="L71" s="31" t="n"/>
      <c r="M71" s="31" t="n"/>
      <c r="N71" s="31" t="n"/>
      <c r="O71" s="31" t="n"/>
      <c r="P71" s="31" t="n"/>
      <c r="Q71" s="31" t="n"/>
      <c r="R71" s="31" t="n"/>
      <c r="S71" s="31" t="n"/>
      <c r="T71" s="31" t="n"/>
      <c r="U71" s="31" t="n"/>
      <c r="V71" s="27" t="n"/>
    </row>
    <row r="72">
      <c r="A72" s="14" t="n"/>
      <c r="B72" s="668" t="n"/>
      <c r="C72" s="3" t="n"/>
      <c r="D72" s="31" t="n"/>
      <c r="E72" s="31" t="n"/>
      <c r="F72" s="31" t="n"/>
      <c r="G72" s="23">
        <f>V72</f>
        <v/>
      </c>
      <c r="H72" s="21">
        <f>((SUM(S72:U72)/$H$1)*12)</f>
        <v/>
      </c>
      <c r="I72" s="3" t="n"/>
      <c r="J72" s="31" t="n"/>
      <c r="K72" s="31" t="n"/>
      <c r="L72" s="31" t="n"/>
      <c r="M72" s="31" t="n"/>
      <c r="N72" s="31" t="n"/>
      <c r="O72" s="31" t="n"/>
      <c r="P72" s="31" t="n"/>
      <c r="Q72" s="31" t="n"/>
      <c r="R72" s="31" t="n"/>
      <c r="S72" s="31" t="n"/>
      <c r="T72" s="31" t="n"/>
      <c r="U72" s="31" t="n"/>
      <c r="V72" s="27">
        <f>SUM(J72:U72)</f>
        <v/>
      </c>
    </row>
    <row r="73">
      <c r="A73" s="14" t="n"/>
      <c r="B73" s="219" t="n"/>
      <c r="C73" s="3" t="n"/>
      <c r="D73" s="31" t="n"/>
      <c r="E73" s="31" t="n"/>
      <c r="F73" s="31" t="n"/>
      <c r="G73" s="23">
        <f>V73</f>
        <v/>
      </c>
      <c r="H73" s="21">
        <f>((SUM(S73:U73)/$H$1)*12)</f>
        <v/>
      </c>
      <c r="I73" s="3" t="n"/>
      <c r="J73" s="31" t="n"/>
      <c r="K73" s="31" t="n"/>
      <c r="L73" s="31" t="n"/>
      <c r="M73" s="31" t="n"/>
      <c r="N73" s="31" t="n"/>
      <c r="O73" s="31" t="n"/>
      <c r="P73" s="31" t="n"/>
      <c r="Q73" s="31" t="n"/>
      <c r="R73" s="31" t="n"/>
      <c r="S73" s="31" t="n"/>
      <c r="T73" s="31" t="n"/>
      <c r="U73" s="31" t="n"/>
      <c r="V73" s="27">
        <f>SUM(J73:U73)</f>
        <v/>
      </c>
    </row>
    <row r="74">
      <c r="A74" s="14" t="n"/>
      <c r="B74" s="219" t="n"/>
      <c r="C74" s="3" t="n"/>
      <c r="D74" s="31" t="n"/>
      <c r="E74" s="31" t="n"/>
      <c r="F74" s="31" t="n"/>
      <c r="G74" s="23">
        <f>V74</f>
        <v/>
      </c>
      <c r="H74" s="21">
        <f>((SUM(S74:U74)/$H$1)*12)</f>
        <v/>
      </c>
      <c r="I74" s="3" t="n"/>
      <c r="J74" s="31" t="n"/>
      <c r="K74" s="31" t="n"/>
      <c r="L74" s="31" t="n"/>
      <c r="M74" s="31" t="n"/>
      <c r="N74" s="31" t="n"/>
      <c r="O74" s="31" t="n"/>
      <c r="P74" s="31" t="n"/>
      <c r="Q74" s="31" t="n"/>
      <c r="R74" s="31" t="n"/>
      <c r="S74" s="31" t="n"/>
      <c r="T74" s="31" t="n"/>
      <c r="U74" s="31" t="n"/>
      <c r="V74" s="27">
        <f>SUM(J74:U74)</f>
        <v/>
      </c>
    </row>
    <row r="75">
      <c r="A75" s="14" t="n"/>
      <c r="B75" s="219" t="n"/>
      <c r="C75" s="3" t="n"/>
      <c r="D75" s="31" t="n"/>
      <c r="E75" s="31" t="n"/>
      <c r="F75" s="31" t="n"/>
      <c r="G75" s="23">
        <f>V75</f>
        <v/>
      </c>
      <c r="H75" s="21">
        <f>((SUM(S75:U75)/$H$1)*12)</f>
        <v/>
      </c>
      <c r="I75" s="3" t="n"/>
      <c r="J75" s="31" t="n"/>
      <c r="K75" s="31" t="n"/>
      <c r="L75" s="31" t="n"/>
      <c r="M75" s="31" t="n"/>
      <c r="N75" s="31" t="n"/>
      <c r="O75" s="31" t="n"/>
      <c r="P75" s="31" t="n"/>
      <c r="Q75" s="31" t="n"/>
      <c r="R75" s="31" t="n"/>
      <c r="S75" s="31" t="n"/>
      <c r="T75" s="31" t="n"/>
      <c r="U75" s="31" t="n"/>
      <c r="V75" s="27">
        <f>SUM(J75:U75)</f>
        <v/>
      </c>
    </row>
    <row r="76">
      <c r="A76" s="14" t="n"/>
      <c r="B76" s="321" t="n"/>
      <c r="C76" s="3" t="n"/>
      <c r="D76" s="31" t="n"/>
      <c r="E76" s="31" t="n"/>
      <c r="F76" s="31" t="n"/>
      <c r="G76" s="23">
        <f>V76</f>
        <v/>
      </c>
      <c r="H76" s="21">
        <f>((SUM(S76:U76)/$H$1)*12)</f>
        <v/>
      </c>
      <c r="I76" s="3" t="n"/>
      <c r="J76" s="31" t="n"/>
      <c r="K76" s="31" t="n"/>
      <c r="L76" s="31" t="n"/>
      <c r="M76" s="31" t="n"/>
      <c r="N76" s="31" t="n"/>
      <c r="O76" s="31" t="n"/>
      <c r="P76" s="31" t="n"/>
      <c r="Q76" s="31" t="n"/>
      <c r="R76" s="31" t="n"/>
      <c r="S76" s="31" t="n"/>
      <c r="T76" s="31" t="n"/>
      <c r="U76" s="31" t="n"/>
      <c r="V76" s="27">
        <f>SUM(J76:U76)</f>
        <v/>
      </c>
    </row>
    <row r="77">
      <c r="A77" s="14" t="n"/>
      <c r="B77" s="321" t="n"/>
      <c r="C77" s="3" t="n"/>
      <c r="D77" s="31" t="n"/>
      <c r="E77" s="31" t="n"/>
      <c r="F77" s="31" t="n"/>
      <c r="G77" s="23">
        <f>V77</f>
        <v/>
      </c>
      <c r="H77" s="21">
        <f>((SUM(S77:U77)/$H$1)*12)</f>
        <v/>
      </c>
      <c r="I77" s="3" t="n"/>
      <c r="J77" s="31" t="n"/>
      <c r="K77" s="31" t="n"/>
      <c r="L77" s="31" t="n"/>
      <c r="M77" s="31" t="n"/>
      <c r="N77" s="31" t="n"/>
      <c r="O77" s="31" t="n"/>
      <c r="P77" s="31" t="n"/>
      <c r="Q77" s="31" t="n"/>
      <c r="R77" s="31" t="n"/>
      <c r="S77" s="31" t="n"/>
      <c r="T77" s="31" t="n"/>
      <c r="U77" s="31" t="n"/>
      <c r="V77" s="27">
        <f>SUM(J77:U77)</f>
        <v/>
      </c>
    </row>
    <row r="78">
      <c r="A78" s="14" t="n"/>
      <c r="B78" s="321" t="n"/>
      <c r="C78" s="3" t="n"/>
      <c r="D78" s="31" t="n"/>
      <c r="E78" s="31" t="n"/>
      <c r="F78" s="31" t="n"/>
      <c r="G78" s="23">
        <f>V78</f>
        <v/>
      </c>
      <c r="H78" s="21">
        <f>((SUM(S78:U78)/$H$1)*12)</f>
        <v/>
      </c>
      <c r="I78" s="3" t="n"/>
      <c r="J78" s="31" t="n"/>
      <c r="K78" s="31" t="n"/>
      <c r="L78" s="31" t="n"/>
      <c r="M78" s="31" t="n"/>
      <c r="N78" s="31" t="n"/>
      <c r="O78" s="31" t="n"/>
      <c r="P78" s="31" t="n"/>
      <c r="Q78" s="31" t="n"/>
      <c r="R78" s="31" t="n"/>
      <c r="S78" s="31" t="n"/>
      <c r="T78" s="31" t="n"/>
      <c r="U78" s="31" t="n"/>
      <c r="V78" s="27">
        <f>SUM(J78:U78)</f>
        <v/>
      </c>
    </row>
    <row r="79">
      <c r="A79" s="681" t="n"/>
      <c r="B79" s="680" t="n"/>
      <c r="C79" s="3" t="n"/>
      <c r="D79" s="31" t="n"/>
      <c r="E79" s="678" t="n"/>
      <c r="F79" s="678" t="n"/>
      <c r="G79" s="678">
        <f>V79</f>
        <v/>
      </c>
      <c r="H79" s="21">
        <f>((SUM(S79:U79)/$H$1)*12)</f>
        <v/>
      </c>
      <c r="I79" s="3" t="n"/>
      <c r="J79" s="678" t="n"/>
      <c r="K79" s="678" t="n"/>
      <c r="L79" s="678" t="n"/>
      <c r="M79" s="678" t="n"/>
      <c r="N79" s="678" t="n"/>
      <c r="O79" s="678" t="n"/>
      <c r="P79" s="678" t="n"/>
      <c r="Q79" s="678" t="n"/>
      <c r="R79" s="678" t="n"/>
      <c r="S79" s="678" t="n"/>
      <c r="T79" s="678" t="n"/>
      <c r="U79" s="678" t="n"/>
      <c r="V79" s="27">
        <f>SUM(J79:U79)</f>
        <v/>
      </c>
    </row>
    <row r="80">
      <c r="A80" s="14" t="n"/>
      <c r="B80" s="321" t="n"/>
      <c r="C80" s="3" t="n"/>
      <c r="D80" s="31" t="n"/>
      <c r="E80" s="31" t="n"/>
      <c r="F80" s="31" t="n"/>
      <c r="G80" s="23">
        <f>V80</f>
        <v/>
      </c>
      <c r="H80" s="21">
        <f>((SUM(S80:U80)/$H$1)*12)</f>
        <v/>
      </c>
      <c r="I80" s="3" t="n"/>
      <c r="J80" s="31" t="n"/>
      <c r="K80" s="31" t="n"/>
      <c r="L80" s="31" t="n"/>
      <c r="M80" s="31" t="n"/>
      <c r="N80" s="31" t="n"/>
      <c r="O80" s="31" t="n"/>
      <c r="P80" s="31" t="n"/>
      <c r="Q80" s="31" t="n"/>
      <c r="R80" s="31" t="n"/>
      <c r="S80" s="31" t="n"/>
      <c r="T80" s="31" t="n"/>
      <c r="U80" s="31" t="n"/>
      <c r="V80" s="27">
        <f>SUM(J80:U80)</f>
        <v/>
      </c>
    </row>
    <row r="81">
      <c r="A81" s="14" t="n"/>
      <c r="B81" s="321" t="n"/>
      <c r="C81" s="3" t="n"/>
      <c r="D81" s="31" t="n"/>
      <c r="E81" s="31" t="n"/>
      <c r="F81" s="31" t="n"/>
      <c r="G81" s="23" t="n"/>
      <c r="H81" s="21" t="n"/>
      <c r="I81" s="3" t="n"/>
      <c r="J81" s="31" t="n"/>
      <c r="K81" s="31" t="n"/>
      <c r="L81" s="31" t="n"/>
      <c r="M81" s="31" t="n"/>
      <c r="N81" s="31" t="n"/>
      <c r="O81" s="31" t="n"/>
      <c r="P81" s="31" t="n"/>
      <c r="Q81" s="31" t="n"/>
      <c r="R81" s="31" t="n"/>
      <c r="S81" s="31" t="n"/>
      <c r="T81" s="31" t="n"/>
      <c r="U81" s="31" t="n"/>
      <c r="V81" s="27" t="n"/>
    </row>
    <row r="82">
      <c r="A82" s="14" t="n"/>
      <c r="B82" s="668" t="n"/>
      <c r="C82" s="3" t="n"/>
      <c r="D82" s="31" t="n"/>
      <c r="E82" s="31" t="n"/>
      <c r="F82" s="31" t="n"/>
      <c r="G82" s="23">
        <f>V82</f>
        <v/>
      </c>
      <c r="H82" s="21">
        <f>((SUM(S82:U82)/$H$1)*12)</f>
        <v/>
      </c>
      <c r="I82" s="3" t="n"/>
      <c r="J82" s="31" t="n"/>
      <c r="K82" s="31" t="n"/>
      <c r="L82" s="31" t="n"/>
      <c r="M82" s="31" t="n"/>
      <c r="N82" s="31" t="n"/>
      <c r="O82" s="31" t="n"/>
      <c r="P82" s="31" t="n"/>
      <c r="Q82" s="31" t="n"/>
      <c r="R82" s="31" t="n"/>
      <c r="S82" s="31" t="n"/>
      <c r="T82" s="31" t="n"/>
      <c r="U82" s="31" t="n"/>
      <c r="V82" s="27">
        <f>SUM(J82:U82)</f>
        <v/>
      </c>
    </row>
    <row r="83">
      <c r="A83" s="14" t="n"/>
      <c r="B83" s="219" t="n"/>
      <c r="C83" s="3" t="n"/>
      <c r="D83" s="31" t="n"/>
      <c r="E83" s="31" t="n"/>
      <c r="F83" s="31" t="n"/>
      <c r="G83" s="23">
        <f>V83</f>
        <v/>
      </c>
      <c r="H83" s="21">
        <f>((SUM(S83:U83)/$H$1)*12)</f>
        <v/>
      </c>
      <c r="I83" s="3" t="n"/>
      <c r="J83" s="31" t="n"/>
      <c r="K83" s="31" t="n"/>
      <c r="L83" s="31" t="n"/>
      <c r="M83" s="31" t="n"/>
      <c r="N83" s="31" t="n"/>
      <c r="O83" s="31" t="n"/>
      <c r="P83" s="31" t="n"/>
      <c r="Q83" s="31" t="n"/>
      <c r="R83" s="31" t="n"/>
      <c r="S83" s="31" t="n"/>
      <c r="T83" s="31" t="n"/>
      <c r="U83" s="31" t="n"/>
      <c r="V83" s="27">
        <f>SUM(J83:U83)</f>
        <v/>
      </c>
    </row>
    <row r="84">
      <c r="A84" s="14" t="n"/>
      <c r="B84" s="219" t="n"/>
      <c r="C84" s="3" t="n"/>
      <c r="D84" s="31" t="n"/>
      <c r="E84" s="31" t="n"/>
      <c r="F84" s="31" t="n"/>
      <c r="G84" s="23">
        <f>V84</f>
        <v/>
      </c>
      <c r="H84" s="21">
        <f>((SUM(S84:U84)/$H$1)*12)</f>
        <v/>
      </c>
      <c r="I84" s="3" t="n"/>
      <c r="J84" s="31" t="n"/>
      <c r="K84" s="31" t="n"/>
      <c r="L84" s="31" t="n"/>
      <c r="M84" s="31" t="n"/>
      <c r="N84" s="31" t="n"/>
      <c r="O84" s="31" t="n"/>
      <c r="P84" s="31" t="n"/>
      <c r="Q84" s="31" t="n"/>
      <c r="R84" s="31" t="n"/>
      <c r="S84" s="31" t="n"/>
      <c r="T84" s="31" t="n"/>
      <c r="U84" s="31" t="n"/>
      <c r="V84" s="27">
        <f>SUM(J84:U84)</f>
        <v/>
      </c>
    </row>
    <row r="85" outlineLevel="1">
      <c r="A85" s="14" t="n"/>
      <c r="B85" s="219" t="n"/>
      <c r="C85" s="3" t="n"/>
      <c r="D85" s="31" t="n"/>
      <c r="E85" s="31" t="n"/>
      <c r="F85" s="31" t="n"/>
      <c r="G85" s="23">
        <f>V85</f>
        <v/>
      </c>
      <c r="H85" s="21">
        <f>((SUM(S85:U85)/$H$1)*12)</f>
        <v/>
      </c>
      <c r="I85" s="3" t="n"/>
      <c r="J85" s="31" t="n"/>
      <c r="K85" s="31" t="n"/>
      <c r="L85" s="31" t="n"/>
      <c r="M85" s="31" t="n"/>
      <c r="N85" s="31" t="n"/>
      <c r="O85" s="31" t="n"/>
      <c r="P85" s="31" t="n"/>
      <c r="Q85" s="31" t="n"/>
      <c r="R85" s="31" t="n"/>
      <c r="S85" s="31" t="n"/>
      <c r="T85" s="31" t="n"/>
      <c r="U85" s="31" t="n"/>
      <c r="V85" s="27">
        <f>SUM(J85:U85)</f>
        <v/>
      </c>
    </row>
    <row r="86" outlineLevel="1">
      <c r="A86" s="14" t="n"/>
      <c r="B86" s="219" t="n"/>
      <c r="C86" s="3" t="n"/>
      <c r="D86" s="31" t="n"/>
      <c r="E86" s="31" t="n"/>
      <c r="F86" s="31" t="n"/>
      <c r="G86" s="23">
        <f>V86</f>
        <v/>
      </c>
      <c r="H86" s="21">
        <f>((SUM(S86:U86)/$H$1)*12)</f>
        <v/>
      </c>
      <c r="I86" s="3" t="n"/>
      <c r="J86" s="31" t="n"/>
      <c r="K86" s="31" t="n"/>
      <c r="L86" s="31" t="n"/>
      <c r="M86" s="31" t="n"/>
      <c r="N86" s="31" t="n"/>
      <c r="O86" s="31" t="n"/>
      <c r="P86" s="31" t="n"/>
      <c r="Q86" s="31" t="n"/>
      <c r="R86" s="31" t="n"/>
      <c r="S86" s="31" t="n"/>
      <c r="T86" s="31" t="n"/>
      <c r="U86" s="31" t="n"/>
      <c r="V86" s="27">
        <f>SUM(J86:U86)</f>
        <v/>
      </c>
    </row>
    <row r="87" outlineLevel="1">
      <c r="A87" s="14" t="n"/>
      <c r="B87" s="219" t="n"/>
      <c r="C87" s="3" t="n"/>
      <c r="D87" s="31" t="n"/>
      <c r="E87" s="31" t="n"/>
      <c r="F87" s="31" t="n"/>
      <c r="G87" s="23">
        <f>V87</f>
        <v/>
      </c>
      <c r="H87" s="21">
        <f>((SUM(S87:U87)/$H$1)*12)</f>
        <v/>
      </c>
      <c r="I87" s="3" t="n"/>
      <c r="J87" s="31" t="n"/>
      <c r="K87" s="31" t="n"/>
      <c r="L87" s="31" t="n"/>
      <c r="M87" s="31" t="n"/>
      <c r="N87" s="31" t="n"/>
      <c r="O87" s="31" t="n"/>
      <c r="P87" s="31" t="n"/>
      <c r="Q87" s="31" t="n"/>
      <c r="R87" s="31" t="n"/>
      <c r="S87" s="31" t="n"/>
      <c r="T87" s="31" t="n"/>
      <c r="U87" s="31" t="n"/>
      <c r="V87" s="27">
        <f>SUM(J87:U87)</f>
        <v/>
      </c>
    </row>
    <row r="88" outlineLevel="1">
      <c r="A88" s="14" t="n"/>
      <c r="B88" s="219" t="n"/>
      <c r="C88" s="3" t="n"/>
      <c r="D88" s="31" t="n"/>
      <c r="E88" s="31" t="n"/>
      <c r="F88" s="31" t="n"/>
      <c r="G88" s="23">
        <f>V88</f>
        <v/>
      </c>
      <c r="H88" s="21">
        <f>((SUM(S88:U88)/$H$1)*12)</f>
        <v/>
      </c>
      <c r="I88" s="3" t="n"/>
      <c r="J88" s="31" t="n"/>
      <c r="K88" s="31" t="n"/>
      <c r="L88" s="31" t="n"/>
      <c r="M88" s="31" t="n"/>
      <c r="N88" s="31" t="n"/>
      <c r="O88" s="31" t="n"/>
      <c r="P88" s="31" t="n"/>
      <c r="Q88" s="31" t="n"/>
      <c r="R88" s="31" t="n"/>
      <c r="S88" s="31" t="n"/>
      <c r="T88" s="31" t="n"/>
      <c r="U88" s="31" t="n"/>
      <c r="V88" s="27">
        <f>SUM(J88:U88)</f>
        <v/>
      </c>
    </row>
    <row r="89" outlineLevel="1">
      <c r="A89" s="14" t="n"/>
      <c r="B89" s="219" t="n"/>
      <c r="C89" s="3" t="n"/>
      <c r="D89" s="31" t="n"/>
      <c r="E89" s="31" t="n"/>
      <c r="F89" s="31" t="n"/>
      <c r="G89" s="23" t="n"/>
      <c r="H89" s="21" t="n"/>
      <c r="I89" s="3" t="n"/>
      <c r="J89" s="31" t="n"/>
      <c r="K89" s="31" t="n"/>
      <c r="L89" s="31" t="n"/>
      <c r="M89" s="31" t="n"/>
      <c r="N89" s="31" t="n"/>
      <c r="O89" s="31" t="n"/>
      <c r="P89" s="31" t="n"/>
      <c r="Q89" s="31" t="n"/>
      <c r="R89" s="31" t="n"/>
      <c r="S89" s="31" t="n"/>
      <c r="T89" s="31" t="n"/>
      <c r="U89" s="31" t="n"/>
      <c r="V89" s="27" t="n"/>
    </row>
    <row r="90" outlineLevel="1">
      <c r="A90" s="14" t="n"/>
      <c r="B90" s="219" t="n"/>
      <c r="C90" s="3" t="n"/>
      <c r="D90" s="31" t="n"/>
      <c r="E90" s="31" t="n"/>
      <c r="F90" s="31" t="n"/>
      <c r="G90" s="23" t="n"/>
      <c r="H90" s="21" t="n"/>
      <c r="I90" s="3" t="n"/>
      <c r="J90" s="31" t="n"/>
      <c r="K90" s="31" t="n"/>
      <c r="L90" s="31" t="n"/>
      <c r="M90" s="31" t="n"/>
      <c r="N90" s="31" t="n"/>
      <c r="O90" s="31" t="n"/>
      <c r="P90" s="31" t="n"/>
      <c r="Q90" s="31" t="n"/>
      <c r="R90" s="31" t="n"/>
      <c r="S90" s="31" t="n"/>
      <c r="T90" s="31" t="n"/>
      <c r="U90" s="31" t="n"/>
      <c r="V90" s="27" t="n"/>
    </row>
    <row r="91" outlineLevel="1">
      <c r="A91" s="14" t="n"/>
      <c r="B91" s="668" t="n"/>
      <c r="C91" s="3" t="n"/>
      <c r="D91" s="31" t="n"/>
      <c r="E91" s="31" t="n"/>
      <c r="F91" s="31" t="n"/>
      <c r="G91" s="23">
        <f>V91</f>
        <v/>
      </c>
      <c r="H91" s="21">
        <f>((SUM(S91:U91)/$H$1)*12)</f>
        <v/>
      </c>
      <c r="I91" s="3" t="n"/>
      <c r="J91" s="31" t="n"/>
      <c r="K91" s="31" t="n"/>
      <c r="L91" s="31" t="n"/>
      <c r="M91" s="31" t="n"/>
      <c r="N91" s="31" t="n"/>
      <c r="O91" s="31" t="n"/>
      <c r="P91" s="31" t="n"/>
      <c r="Q91" s="31" t="n"/>
      <c r="R91" s="31" t="n"/>
      <c r="S91" s="31" t="n"/>
      <c r="T91" s="31" t="n"/>
      <c r="U91" s="31" t="n"/>
      <c r="V91" s="27">
        <f>SUM(J91:U91)</f>
        <v/>
      </c>
    </row>
    <row r="92" outlineLevel="1">
      <c r="A92" s="14" t="n"/>
      <c r="B92" s="219" t="n"/>
      <c r="C92" s="3" t="n"/>
      <c r="D92" s="31" t="n"/>
      <c r="E92" s="31" t="n"/>
      <c r="F92" s="31" t="n"/>
      <c r="G92" s="23">
        <f>V92</f>
        <v/>
      </c>
      <c r="H92" s="21">
        <f>((SUM(S92:U92)/$H$1)*12)</f>
        <v/>
      </c>
      <c r="I92" s="3" t="n"/>
      <c r="J92" s="31" t="n"/>
      <c r="K92" s="31" t="n"/>
      <c r="L92" s="31" t="n"/>
      <c r="M92" s="31" t="n"/>
      <c r="N92" s="31" t="n"/>
      <c r="O92" s="31" t="n"/>
      <c r="P92" s="31" t="n"/>
      <c r="Q92" s="31" t="n"/>
      <c r="R92" s="31" t="n"/>
      <c r="S92" s="31" t="n"/>
      <c r="T92" s="31" t="n"/>
      <c r="U92" s="31" t="n"/>
      <c r="V92" s="27">
        <f>SUM(J92:U92)</f>
        <v/>
      </c>
    </row>
    <row r="93" outlineLevel="1">
      <c r="A93" s="14" t="n"/>
      <c r="B93" s="219" t="n"/>
      <c r="C93" s="3" t="n"/>
      <c r="D93" s="31" t="n"/>
      <c r="E93" s="31" t="n"/>
      <c r="F93" s="31" t="n"/>
      <c r="G93" s="23">
        <f>V93</f>
        <v/>
      </c>
      <c r="H93" s="21">
        <f>((SUM(S93:U93)/$H$1)*12)</f>
        <v/>
      </c>
      <c r="I93" s="3" t="n"/>
      <c r="J93" s="31" t="n"/>
      <c r="K93" s="31" t="n"/>
      <c r="L93" s="31" t="n"/>
      <c r="M93" s="31" t="n"/>
      <c r="N93" s="31" t="n"/>
      <c r="O93" s="31" t="n"/>
      <c r="P93" s="31" t="n"/>
      <c r="Q93" s="31" t="n"/>
      <c r="R93" s="31" t="n"/>
      <c r="S93" s="31" t="n"/>
      <c r="T93" s="31" t="n"/>
      <c r="U93" s="31" t="n"/>
      <c r="V93" s="27">
        <f>SUM(J93:U93)</f>
        <v/>
      </c>
    </row>
    <row r="94" outlineLevel="1">
      <c r="A94" s="14" t="n"/>
      <c r="B94" s="219" t="n"/>
      <c r="C94" s="3" t="n"/>
      <c r="D94" s="31" t="n"/>
      <c r="E94" s="31" t="n"/>
      <c r="F94" s="31" t="n"/>
      <c r="G94" s="23">
        <f>V94</f>
        <v/>
      </c>
      <c r="H94" s="21">
        <f>((SUM(S94:U94)/$H$1)*12)</f>
        <v/>
      </c>
      <c r="I94" s="3" t="n"/>
      <c r="J94" s="31" t="n"/>
      <c r="K94" s="31" t="n"/>
      <c r="L94" s="31" t="n"/>
      <c r="M94" s="31" t="n"/>
      <c r="N94" s="31" t="n"/>
      <c r="O94" s="31" t="n"/>
      <c r="P94" s="31" t="n"/>
      <c r="Q94" s="31" t="n"/>
      <c r="R94" s="31" t="n"/>
      <c r="S94" s="31" t="n"/>
      <c r="T94" s="31" t="n"/>
      <c r="U94" s="31" t="n"/>
      <c r="V94" s="27">
        <f>SUM(J94:U94)</f>
        <v/>
      </c>
    </row>
    <row r="95" outlineLevel="1">
      <c r="A95" s="14" t="n"/>
      <c r="B95" s="219" t="n"/>
      <c r="C95" s="3" t="n"/>
      <c r="D95" s="31" t="n"/>
      <c r="E95" s="31" t="n"/>
      <c r="F95" s="31" t="n"/>
      <c r="G95" s="23">
        <f>V95</f>
        <v/>
      </c>
      <c r="H95" s="21">
        <f>((SUM(S95:U95)/$H$1)*12)</f>
        <v/>
      </c>
      <c r="I95" s="3" t="n"/>
      <c r="J95" s="31" t="n"/>
      <c r="K95" s="31" t="n"/>
      <c r="L95" s="31" t="n"/>
      <c r="M95" s="31" t="n"/>
      <c r="N95" s="31" t="n"/>
      <c r="O95" s="31" t="n"/>
      <c r="P95" s="31" t="n"/>
      <c r="Q95" s="31" t="n"/>
      <c r="R95" s="31" t="n"/>
      <c r="S95" s="31" t="n"/>
      <c r="T95" s="31" t="n"/>
      <c r="U95" s="31" t="n"/>
      <c r="V95" s="27">
        <f>SUM(J95:U95)</f>
        <v/>
      </c>
    </row>
    <row r="96" outlineLevel="1">
      <c r="A96" s="14" t="n"/>
      <c r="B96" s="219" t="n"/>
      <c r="C96" s="3" t="n"/>
      <c r="D96" s="31" t="n"/>
      <c r="E96" s="31" t="n"/>
      <c r="F96" s="31" t="n"/>
      <c r="G96" s="23">
        <f>V96</f>
        <v/>
      </c>
      <c r="H96" s="21">
        <f>((SUM(S96:U96)/$H$1)*12)</f>
        <v/>
      </c>
      <c r="I96" s="3" t="n"/>
      <c r="J96" s="31" t="n"/>
      <c r="K96" s="31" t="n"/>
      <c r="L96" s="31" t="n"/>
      <c r="M96" s="31" t="n"/>
      <c r="N96" s="31" t="n"/>
      <c r="O96" s="31" t="n"/>
      <c r="P96" s="31" t="n"/>
      <c r="Q96" s="31" t="n"/>
      <c r="R96" s="31" t="n"/>
      <c r="S96" s="31" t="n"/>
      <c r="T96" s="31" t="n"/>
      <c r="U96" s="31" t="n"/>
      <c r="V96" s="27">
        <f>SUM(J96:U96)</f>
        <v/>
      </c>
    </row>
    <row r="97" outlineLevel="1">
      <c r="A97" s="14" t="n"/>
      <c r="B97" s="219" t="n"/>
      <c r="C97" s="3" t="n"/>
      <c r="D97" s="31" t="n"/>
      <c r="E97" s="31" t="n"/>
      <c r="F97" s="31" t="n"/>
      <c r="G97" s="23">
        <f>V97</f>
        <v/>
      </c>
      <c r="H97" s="21">
        <f>((SUM(S97:U97)/$H$1)*12)</f>
        <v/>
      </c>
      <c r="I97" s="3" t="n"/>
      <c r="J97" s="31" t="n"/>
      <c r="K97" s="31" t="n"/>
      <c r="L97" s="31" t="n"/>
      <c r="M97" s="31" t="n"/>
      <c r="N97" s="31" t="n"/>
      <c r="O97" s="31" t="n"/>
      <c r="P97" s="31" t="n"/>
      <c r="Q97" s="31" t="n"/>
      <c r="R97" s="31" t="n"/>
      <c r="S97" s="31" t="n"/>
      <c r="T97" s="31" t="n"/>
      <c r="U97" s="31" t="n"/>
      <c r="V97" s="27">
        <f>SUM(J97:U97)</f>
        <v/>
      </c>
    </row>
    <row r="98" outlineLevel="1">
      <c r="A98" s="14" t="n"/>
      <c r="B98" s="219" t="n"/>
      <c r="C98" s="3" t="n"/>
      <c r="D98" s="31" t="n"/>
      <c r="E98" s="31" t="n"/>
      <c r="F98" s="31" t="n"/>
      <c r="G98" s="23">
        <f>V98</f>
        <v/>
      </c>
      <c r="H98" s="21">
        <f>((SUM(S98:U98)/$H$1)*12)</f>
        <v/>
      </c>
      <c r="I98" s="3" t="n"/>
      <c r="J98" s="31" t="n"/>
      <c r="K98" s="31" t="n"/>
      <c r="L98" s="31" t="n"/>
      <c r="M98" s="31" t="n"/>
      <c r="N98" s="31" t="n"/>
      <c r="O98" s="31" t="n"/>
      <c r="P98" s="31" t="n"/>
      <c r="Q98" s="31" t="n"/>
      <c r="R98" s="31" t="n"/>
      <c r="S98" s="31" t="n"/>
      <c r="T98" s="31" t="n"/>
      <c r="U98" s="31" t="n"/>
      <c r="V98" s="27">
        <f>SUM(J98:U98)</f>
        <v/>
      </c>
    </row>
    <row r="99" outlineLevel="1">
      <c r="A99" s="14" t="n"/>
      <c r="B99" s="679" t="n"/>
      <c r="C99" s="3" t="n"/>
      <c r="D99" s="31" t="n"/>
      <c r="E99" s="678" t="n"/>
      <c r="F99" s="31" t="n"/>
      <c r="G99" s="23" t="n"/>
      <c r="H99" s="21" t="n"/>
      <c r="I99" s="3" t="n"/>
      <c r="J99" s="31" t="n"/>
      <c r="K99" s="31" t="n"/>
      <c r="L99" s="31" t="n"/>
      <c r="M99" s="31" t="n"/>
      <c r="N99" s="31" t="n"/>
      <c r="O99" s="31" t="n"/>
      <c r="P99" s="31" t="n"/>
      <c r="Q99" s="31" t="n"/>
      <c r="R99" s="31" t="n"/>
      <c r="S99" s="31" t="n"/>
      <c r="T99" s="31" t="n"/>
      <c r="U99" s="31" t="n"/>
      <c r="V99" s="27" t="n"/>
    </row>
    <row r="100" outlineLevel="1">
      <c r="A100" s="14" t="n"/>
      <c r="B100" s="219" t="n"/>
      <c r="C100" s="3" t="n"/>
      <c r="D100" s="31" t="n"/>
      <c r="E100" s="31" t="n"/>
      <c r="F100" s="31" t="n"/>
      <c r="G100" s="23">
        <f>V100</f>
        <v/>
      </c>
      <c r="H100" s="21">
        <f>((SUM(S100:U100)/$H$1)*12)</f>
        <v/>
      </c>
      <c r="I100" s="3" t="n"/>
      <c r="J100" s="31" t="n"/>
      <c r="K100" s="31" t="n"/>
      <c r="L100" s="31" t="n"/>
      <c r="M100" s="31" t="n"/>
      <c r="N100" s="31" t="n"/>
      <c r="O100" s="31" t="n"/>
      <c r="P100" s="31" t="n"/>
      <c r="Q100" s="31" t="n"/>
      <c r="R100" s="31" t="n"/>
      <c r="S100" s="31" t="n"/>
      <c r="T100" s="31" t="n"/>
      <c r="U100" s="31" t="n"/>
      <c r="V100" s="27">
        <f>SUM(J100:U100)</f>
        <v/>
      </c>
    </row>
    <row r="101" outlineLevel="1">
      <c r="A101" s="14" t="n"/>
      <c r="B101" s="219" t="n"/>
      <c r="C101" s="3" t="n"/>
      <c r="D101" s="31" t="n"/>
      <c r="E101" s="31" t="n"/>
      <c r="F101" s="31" t="n"/>
      <c r="G101" s="23">
        <f>V101</f>
        <v/>
      </c>
      <c r="H101" s="21">
        <f>((SUM(S101:U101)/$H$1)*12)</f>
        <v/>
      </c>
      <c r="I101" s="3" t="n"/>
      <c r="J101" s="31" t="n"/>
      <c r="K101" s="31" t="n"/>
      <c r="L101" s="31" t="n"/>
      <c r="M101" s="31" t="n"/>
      <c r="N101" s="31" t="n"/>
      <c r="O101" s="31" t="n"/>
      <c r="P101" s="31" t="n"/>
      <c r="Q101" s="31" t="n"/>
      <c r="R101" s="31" t="n"/>
      <c r="S101" s="31" t="n"/>
      <c r="T101" s="31" t="n"/>
      <c r="U101" s="31" t="n"/>
      <c r="V101" s="27">
        <f>SUM(J101:U101)</f>
        <v/>
      </c>
    </row>
    <row r="102" outlineLevel="1">
      <c r="A102" s="14" t="n"/>
      <c r="B102" s="219" t="n"/>
      <c r="C102" s="3" t="n"/>
      <c r="D102" s="31" t="n"/>
      <c r="E102" s="31" t="n"/>
      <c r="F102" s="31" t="n"/>
      <c r="G102" s="23" t="n"/>
      <c r="H102" s="21" t="n"/>
      <c r="I102" s="3" t="n"/>
      <c r="J102" s="31" t="n"/>
      <c r="K102" s="31" t="n"/>
      <c r="L102" s="31" t="n"/>
      <c r="M102" s="31" t="n"/>
      <c r="N102" s="31" t="n"/>
      <c r="O102" s="31" t="n"/>
      <c r="P102" s="31" t="n"/>
      <c r="Q102" s="31" t="n"/>
      <c r="R102" s="31" t="n"/>
      <c r="S102" s="31" t="n"/>
      <c r="T102" s="31" t="n"/>
      <c r="U102" s="31" t="n"/>
      <c r="V102" s="27" t="n"/>
    </row>
    <row r="103" ht="4.5" customFormat="1" customHeight="1" s="3">
      <c r="B103" s="322" t="n"/>
      <c r="E103" s="20" t="n"/>
      <c r="F103" s="20" t="n"/>
      <c r="G103" s="20" t="n"/>
      <c r="H103" s="20" t="n"/>
      <c r="J103" s="20" t="n"/>
      <c r="K103" s="20" t="n"/>
      <c r="L103" s="20" t="n"/>
      <c r="M103" s="20" t="n"/>
      <c r="N103" s="20" t="n"/>
      <c r="O103" s="20" t="n"/>
      <c r="P103" s="20" t="n"/>
      <c r="Q103" s="20" t="n"/>
      <c r="R103" s="20" t="n"/>
      <c r="S103" s="20" t="n"/>
      <c r="T103" s="20" t="n"/>
      <c r="U103" s="20" t="n"/>
      <c r="V103" s="20" t="n"/>
      <c r="W103" s="59" t="n"/>
      <c r="X103" s="59" t="n"/>
      <c r="Y103" s="59" t="n"/>
      <c r="Z103" s="59" t="n"/>
      <c r="AA103" s="59" t="n"/>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row>
    <row r="104" ht="16.5" customHeight="1">
      <c r="A104" s="3" t="n"/>
      <c r="B104" s="3" t="n"/>
      <c r="C104" s="3" t="n"/>
      <c r="D104" s="26">
        <f>SUM(D43:D102)</f>
        <v/>
      </c>
      <c r="E104" s="26">
        <f>SUM(E43:E102)</f>
        <v/>
      </c>
      <c r="F104" s="26">
        <f>SUM(F43:F102)</f>
        <v/>
      </c>
      <c r="G104" s="26">
        <f>SUM(G43:G102)</f>
        <v/>
      </c>
      <c r="H104" s="26">
        <f>SUM(H43:H102)</f>
        <v/>
      </c>
      <c r="I104" s="3">
        <f>SUM(I43:I102)</f>
        <v/>
      </c>
      <c r="J104" s="26">
        <f>SUM(J43:J102)</f>
        <v/>
      </c>
      <c r="K104" s="26">
        <f>SUM(K43:K102)</f>
        <v/>
      </c>
      <c r="L104" s="26">
        <f>SUM(L43:L102)</f>
        <v/>
      </c>
      <c r="M104" s="26">
        <f>SUM(M43:M102)</f>
        <v/>
      </c>
      <c r="N104" s="26">
        <f>SUM(N43:N102)</f>
        <v/>
      </c>
      <c r="O104" s="26">
        <f>SUM(O43:O102)</f>
        <v/>
      </c>
      <c r="P104" s="26">
        <f>SUM(P43:P102)</f>
        <v/>
      </c>
      <c r="Q104" s="26">
        <f>SUM(Q43:Q102)</f>
        <v/>
      </c>
      <c r="R104" s="26">
        <f>SUM(R43:R102)</f>
        <v/>
      </c>
      <c r="S104" s="26">
        <f>SUM(S43:S102)</f>
        <v/>
      </c>
      <c r="T104" s="26">
        <f>SUM(T43:T102)</f>
        <v/>
      </c>
      <c r="U104" s="26">
        <f>SUM(U43:U102)</f>
        <v/>
      </c>
      <c r="V104" s="26">
        <f>SUM(V43:V102)</f>
        <v/>
      </c>
    </row>
    <row r="105" ht="17.25" customHeight="1">
      <c r="A105" s="3" t="n"/>
      <c r="B105" s="17" t="n"/>
      <c r="C105" s="3" t="n"/>
      <c r="D105" s="11" t="n"/>
      <c r="E105" s="11" t="n"/>
      <c r="F105" s="11" t="n"/>
      <c r="G105" s="10">
        <f>V105</f>
        <v/>
      </c>
      <c r="H105" s="11" t="n"/>
      <c r="I105" s="3" t="n"/>
      <c r="J105" s="10" t="n"/>
      <c r="K105" s="10" t="n"/>
      <c r="L105" s="10" t="n"/>
      <c r="M105" s="10" t="n"/>
      <c r="N105" s="10" t="n"/>
      <c r="O105" s="10" t="n"/>
      <c r="P105" s="10" t="n"/>
      <c r="Q105" s="10" t="n"/>
      <c r="R105" s="10" t="n"/>
      <c r="S105" s="10" t="n"/>
      <c r="T105" s="10" t="n"/>
      <c r="U105" s="10" t="n"/>
      <c r="V105" s="10" t="n"/>
    </row>
    <row r="106" ht="17.25" customHeight="1">
      <c r="A106" s="3" t="n"/>
      <c r="B106" s="16" t="inlineStr">
        <is>
          <t>Check</t>
        </is>
      </c>
      <c r="C106" s="3" t="n"/>
      <c r="D106" s="32">
        <f>IF(D104=D105,"OK")</f>
        <v/>
      </c>
      <c r="E106" s="32">
        <f>IF(E104=E105,"OK")</f>
        <v/>
      </c>
      <c r="F106" s="32">
        <f>IF(F104=F105,"OK")</f>
        <v/>
      </c>
      <c r="G106" s="32">
        <f>IF(G104=G105,"OK")</f>
        <v/>
      </c>
      <c r="H106" s="32" t="inlineStr">
        <is>
          <t>N/A</t>
        </is>
      </c>
      <c r="I106" s="3" t="n"/>
      <c r="J106" s="32">
        <f>IF(J104=J105,"OK")</f>
        <v/>
      </c>
      <c r="K106" s="32">
        <f>IF(K104=K105,"OK")</f>
        <v/>
      </c>
      <c r="L106" s="32">
        <f>IF(L104=L105,"OK")</f>
        <v/>
      </c>
      <c r="M106" s="32">
        <f>IF(M104=M105,"OK")</f>
        <v/>
      </c>
      <c r="N106" s="32">
        <f>IF(N104=N105,"OK")</f>
        <v/>
      </c>
      <c r="O106" s="32">
        <f>IF(O104=O105,"OK")</f>
        <v/>
      </c>
      <c r="P106" s="32">
        <f>IF(P104=P105,"OK")</f>
        <v/>
      </c>
      <c r="Q106" s="32">
        <f>IF(Q104=Q105,"OK")</f>
        <v/>
      </c>
      <c r="R106" s="32">
        <f>IF(R104=R105,"OK")</f>
        <v/>
      </c>
      <c r="S106" s="32">
        <f>IF(S104=S105,"OK")</f>
        <v/>
      </c>
      <c r="T106" s="32">
        <f>IF(T104=T105,"OK")</f>
        <v/>
      </c>
      <c r="U106" s="32">
        <f>IF(U104=U105,"OK")</f>
        <v/>
      </c>
      <c r="V106" s="32">
        <f>IF(V104=V105,"OK")</f>
        <v/>
      </c>
    </row>
    <row r="107" customFormat="1" s="3">
      <c r="E107" s="20" t="n"/>
      <c r="F107" s="20" t="n"/>
      <c r="W107" s="59" t="n"/>
      <c r="X107" s="59" t="n"/>
      <c r="Y107" s="59" t="n"/>
      <c r="Z107" s="59" t="n"/>
      <c r="AA107" s="59" t="n"/>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row>
    <row r="108" ht="19.5" customHeight="1">
      <c r="A108" s="3" t="n"/>
      <c r="B108" s="24" t="inlineStr">
        <is>
          <t>Net Operating Income</t>
        </is>
      </c>
      <c r="C108" s="3" t="n"/>
      <c r="D108" s="25">
        <f>D38-D104</f>
        <v/>
      </c>
      <c r="E108" s="25">
        <f>E38-E104</f>
        <v/>
      </c>
      <c r="F108" s="25">
        <f>F38-F104</f>
        <v/>
      </c>
      <c r="G108" s="25">
        <f>G38-G104</f>
        <v/>
      </c>
      <c r="H108" s="25">
        <f>H38-H104</f>
        <v/>
      </c>
      <c r="I108" s="30" t="n"/>
      <c r="J108" s="25">
        <f>J38-J104</f>
        <v/>
      </c>
      <c r="K108" s="25">
        <f>K38-K104</f>
        <v/>
      </c>
      <c r="L108" s="25">
        <f>L38-L104</f>
        <v/>
      </c>
      <c r="M108" s="25">
        <f>M38-M104</f>
        <v/>
      </c>
      <c r="N108" s="25">
        <f>N38-N104</f>
        <v/>
      </c>
      <c r="O108" s="25">
        <f>O38-O104</f>
        <v/>
      </c>
      <c r="P108" s="25">
        <f>P38-P104</f>
        <v/>
      </c>
      <c r="Q108" s="25">
        <f>Q38-Q104</f>
        <v/>
      </c>
      <c r="R108" s="25">
        <f>R38-R104</f>
        <v/>
      </c>
      <c r="S108" s="25">
        <f>S38-S104</f>
        <v/>
      </c>
      <c r="T108" s="25">
        <f>T38-T104</f>
        <v/>
      </c>
      <c r="U108" s="25">
        <f>U38-U104</f>
        <v/>
      </c>
      <c r="V108" s="25">
        <f>V38-V104</f>
        <v/>
      </c>
    </row>
    <row r="109" customFormat="1" s="3">
      <c r="E109" s="20" t="n"/>
      <c r="F109" s="20" t="n"/>
      <c r="W109" s="59" t="n"/>
      <c r="X109" s="59" t="n"/>
      <c r="Y109" s="59" t="n"/>
      <c r="Z109" s="59" t="n"/>
      <c r="AA109" s="59" t="n"/>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row>
    <row r="110" customFormat="1" s="59">
      <c r="E110" s="208" t="n"/>
      <c r="F110" s="208" t="n"/>
    </row>
    <row r="111" customFormat="1" s="59">
      <c r="E111" s="208" t="n"/>
      <c r="F111" s="208" t="n"/>
    </row>
    <row r="112" customFormat="1" s="59">
      <c r="E112" s="208" t="n"/>
      <c r="F112" s="208" t="n"/>
      <c r="L112" s="334" t="n"/>
    </row>
    <row r="113" customFormat="1" s="59">
      <c r="E113" s="208" t="n"/>
      <c r="F113" s="208" t="n"/>
    </row>
    <row r="114" customFormat="1" s="59">
      <c r="E114" s="208" t="n"/>
      <c r="F114" s="208" t="n"/>
    </row>
    <row r="115" customFormat="1" s="59">
      <c r="E115" s="706" t="n"/>
      <c r="F115" s="208" t="n"/>
    </row>
    <row r="116" customFormat="1" s="59">
      <c r="E116" s="208" t="n"/>
      <c r="F116" s="208" t="n"/>
    </row>
    <row r="117" customFormat="1" s="59">
      <c r="E117" s="208" t="n"/>
      <c r="F117" s="208" t="n"/>
    </row>
    <row r="118" customFormat="1" s="59">
      <c r="E118" s="208" t="n"/>
      <c r="F118" s="208" t="n"/>
    </row>
    <row r="119" customFormat="1" s="59">
      <c r="E119" s="208" t="n"/>
      <c r="F119" s="208" t="n"/>
    </row>
    <row r="120" customFormat="1" s="59">
      <c r="E120" s="208" t="n"/>
      <c r="F120" s="208" t="n"/>
    </row>
    <row r="121" customFormat="1" s="59">
      <c r="E121" s="208" t="n"/>
      <c r="F121" s="208" t="n"/>
    </row>
    <row r="122" customFormat="1" s="59">
      <c r="E122" s="208" t="n"/>
      <c r="F122" s="208" t="n"/>
    </row>
    <row r="123" customFormat="1" s="59">
      <c r="E123" s="208" t="n"/>
      <c r="F123" s="208" t="n"/>
    </row>
    <row r="124" customFormat="1" s="59">
      <c r="E124" s="208" t="n"/>
      <c r="F124" s="208" t="n"/>
    </row>
    <row r="125" customFormat="1" s="59">
      <c r="E125" s="208" t="n"/>
      <c r="F125" s="208" t="n"/>
    </row>
    <row r="126" customFormat="1" s="59">
      <c r="E126" s="208" t="n"/>
      <c r="F126" s="208" t="n"/>
    </row>
    <row r="127" customFormat="1" s="59">
      <c r="E127" s="208" t="n"/>
      <c r="F127" s="208" t="n"/>
    </row>
    <row r="128" customFormat="1" s="59">
      <c r="E128" s="208" t="n"/>
      <c r="F128" s="208" t="n"/>
    </row>
    <row r="129" customFormat="1" s="59">
      <c r="E129" s="208" t="n"/>
      <c r="F129" s="208" t="n"/>
    </row>
    <row r="130" customFormat="1" s="59">
      <c r="E130" s="208" t="n"/>
      <c r="F130" s="208" t="n"/>
    </row>
    <row r="131" customFormat="1" s="59">
      <c r="E131" s="208" t="n"/>
      <c r="F131" s="208" t="n"/>
    </row>
    <row r="132" customFormat="1" s="59">
      <c r="E132" s="208" t="n"/>
      <c r="F132" s="208" t="n"/>
    </row>
    <row r="133" customFormat="1" s="59">
      <c r="E133" s="208" t="n"/>
      <c r="F133" s="208" t="n"/>
    </row>
    <row r="134" customFormat="1" s="59">
      <c r="E134" s="208" t="n"/>
      <c r="F134" s="208" t="n"/>
    </row>
    <row r="135" customFormat="1" s="59">
      <c r="E135" s="208" t="n"/>
      <c r="F135" s="208" t="n"/>
    </row>
    <row r="136" customFormat="1" s="59">
      <c r="E136" s="208" t="n"/>
      <c r="F136" s="208" t="n"/>
    </row>
    <row r="137" customFormat="1" s="59">
      <c r="E137" s="208" t="n"/>
      <c r="F137" s="208" t="n"/>
    </row>
    <row r="138" customFormat="1" s="59">
      <c r="E138" s="208" t="n"/>
      <c r="F138" s="208" t="n"/>
    </row>
    <row r="139" customFormat="1" s="59">
      <c r="E139" s="208" t="n"/>
      <c r="F139" s="208" t="n"/>
    </row>
    <row r="140" customFormat="1" s="59">
      <c r="E140" s="208" t="n"/>
      <c r="F140" s="208" t="n"/>
    </row>
    <row r="141" customFormat="1" s="59">
      <c r="E141" s="208" t="n"/>
      <c r="F141" s="208" t="n"/>
    </row>
    <row r="142" customFormat="1" s="59">
      <c r="E142" s="208" t="n"/>
      <c r="F142" s="208" t="n"/>
    </row>
    <row r="143" customFormat="1" s="59">
      <c r="E143" s="208" t="n"/>
      <c r="F143" s="208" t="n"/>
    </row>
    <row r="144" customFormat="1" s="59">
      <c r="E144" s="208" t="n"/>
      <c r="F144" s="208" t="n"/>
    </row>
    <row r="145" customFormat="1" s="59">
      <c r="E145" s="208" t="n"/>
      <c r="F145" s="208" t="n"/>
    </row>
    <row r="146" customFormat="1" s="59">
      <c r="E146" s="208" t="n"/>
      <c r="F146" s="208" t="n"/>
    </row>
    <row r="147" customFormat="1" s="59">
      <c r="E147" s="208" t="n"/>
      <c r="F147" s="208" t="n"/>
    </row>
    <row r="148" customFormat="1" s="59">
      <c r="E148" s="208" t="n"/>
      <c r="F148" s="208" t="n"/>
    </row>
    <row r="149" customFormat="1" s="59">
      <c r="E149" s="208" t="n"/>
      <c r="F149" s="208" t="n"/>
    </row>
    <row r="150" customFormat="1" s="59">
      <c r="E150" s="208" t="n"/>
      <c r="F150" s="208" t="n"/>
    </row>
    <row r="151" customFormat="1" s="59">
      <c r="E151" s="208" t="n"/>
      <c r="F151" s="208" t="n"/>
    </row>
    <row r="152" customFormat="1" s="59">
      <c r="E152" s="208" t="n"/>
      <c r="F152" s="208" t="n"/>
    </row>
    <row r="153" customFormat="1" s="59">
      <c r="E153" s="208" t="n"/>
      <c r="F153" s="208" t="n"/>
    </row>
    <row r="154" customFormat="1" s="59">
      <c r="E154" s="208" t="n"/>
      <c r="F154" s="208" t="n"/>
    </row>
    <row r="155" customFormat="1" s="59">
      <c r="E155" s="208" t="n"/>
      <c r="F155" s="208" t="n"/>
    </row>
    <row r="156" customFormat="1" s="59">
      <c r="E156" s="208" t="n"/>
      <c r="F156" s="208" t="n"/>
    </row>
    <row r="157" customFormat="1" s="59">
      <c r="E157" s="208" t="n"/>
      <c r="F157" s="208" t="n"/>
    </row>
    <row r="158" customFormat="1" s="59">
      <c r="E158" s="208" t="n"/>
      <c r="F158" s="208" t="n"/>
    </row>
    <row r="159" customFormat="1" s="59">
      <c r="E159" s="208" t="n"/>
      <c r="F159" s="208" t="n"/>
    </row>
    <row r="160" customFormat="1" s="59">
      <c r="E160" s="208" t="n"/>
      <c r="F160" s="208" t="n"/>
    </row>
    <row r="161" customFormat="1" s="59">
      <c r="E161" s="208" t="n"/>
      <c r="F161" s="208" t="n"/>
    </row>
    <row r="162" customFormat="1" s="59">
      <c r="E162" s="208" t="n"/>
      <c r="F162" s="208" t="n"/>
    </row>
    <row r="163" customFormat="1" s="59">
      <c r="E163" s="208" t="n"/>
      <c r="F163" s="208" t="n"/>
    </row>
    <row r="164" customFormat="1" s="59">
      <c r="E164" s="208" t="n"/>
      <c r="F164" s="208" t="n"/>
    </row>
    <row r="165" customFormat="1" s="59">
      <c r="E165" s="208" t="n"/>
      <c r="F165" s="208" t="n"/>
    </row>
    <row r="166" customFormat="1" s="59">
      <c r="E166" s="208" t="n"/>
      <c r="F166" s="208" t="n"/>
    </row>
    <row r="167" customFormat="1" s="59">
      <c r="E167" s="208" t="n"/>
      <c r="F167" s="208" t="n"/>
    </row>
    <row r="168" customFormat="1" s="59">
      <c r="E168" s="208" t="n"/>
      <c r="F168" s="208" t="n"/>
    </row>
    <row r="169" customFormat="1" s="59">
      <c r="E169" s="208" t="n"/>
      <c r="F169" s="208" t="n"/>
    </row>
    <row r="170" customFormat="1" s="59">
      <c r="E170" s="208" t="n"/>
      <c r="F170" s="208" t="n"/>
    </row>
    <row r="171" customFormat="1" s="59">
      <c r="E171" s="208" t="n"/>
      <c r="F171" s="208" t="n"/>
    </row>
    <row r="172" customFormat="1" s="59">
      <c r="E172" s="208" t="n"/>
      <c r="F172" s="208" t="n"/>
    </row>
    <row r="173" customFormat="1" s="59">
      <c r="E173" s="208" t="n"/>
      <c r="F173" s="208" t="n"/>
    </row>
    <row r="174" customFormat="1" s="59">
      <c r="E174" s="208" t="n"/>
      <c r="F174" s="208" t="n"/>
    </row>
    <row r="175" customFormat="1" s="59">
      <c r="E175" s="208" t="n"/>
      <c r="F175" s="208" t="n"/>
    </row>
    <row r="176" customFormat="1" s="59">
      <c r="E176" s="208" t="n"/>
      <c r="F176" s="208" t="n"/>
    </row>
    <row r="177" customFormat="1" s="59">
      <c r="E177" s="208" t="n"/>
      <c r="F177" s="208" t="n"/>
    </row>
    <row r="178" customFormat="1" s="59">
      <c r="E178" s="208" t="n"/>
      <c r="F178" s="208" t="n"/>
    </row>
    <row r="179" customFormat="1" s="59">
      <c r="E179" s="208" t="n"/>
      <c r="F179" s="208" t="n"/>
    </row>
    <row r="180" customFormat="1" s="59">
      <c r="E180" s="208" t="n"/>
      <c r="F180" s="208" t="n"/>
    </row>
    <row r="181" customFormat="1" s="59">
      <c r="E181" s="208" t="n"/>
      <c r="F181" s="208" t="n"/>
    </row>
    <row r="182" customFormat="1" s="59">
      <c r="E182" s="208" t="n"/>
      <c r="F182" s="208" t="n"/>
    </row>
    <row r="183" customFormat="1" s="59">
      <c r="E183" s="208" t="n"/>
      <c r="F183" s="208" t="n"/>
    </row>
    <row r="184" customFormat="1" s="59">
      <c r="E184" s="208" t="n"/>
      <c r="F184" s="208" t="n"/>
    </row>
    <row r="185" customFormat="1" s="59">
      <c r="E185" s="208" t="n"/>
      <c r="F185" s="208" t="n"/>
    </row>
    <row r="186" customFormat="1" s="59">
      <c r="E186" s="208" t="n"/>
      <c r="F186" s="208" t="n"/>
    </row>
    <row r="187" customFormat="1" s="59">
      <c r="E187" s="208" t="n"/>
      <c r="F187" s="208" t="n"/>
    </row>
    <row r="188" customFormat="1" s="59">
      <c r="E188" s="208" t="n"/>
      <c r="F188" s="208" t="n"/>
    </row>
    <row r="189" customFormat="1" s="59">
      <c r="E189" s="208" t="n"/>
      <c r="F189" s="208" t="n"/>
    </row>
    <row r="190" customFormat="1" s="59">
      <c r="E190" s="208" t="n"/>
      <c r="F190" s="208" t="n"/>
    </row>
    <row r="191" customFormat="1" s="59">
      <c r="E191" s="208" t="n"/>
      <c r="F191" s="208" t="n"/>
    </row>
    <row r="192" customFormat="1" s="59">
      <c r="E192" s="208" t="n"/>
      <c r="F192" s="208" t="n"/>
    </row>
    <row r="193" customFormat="1" s="59">
      <c r="E193" s="208" t="n"/>
      <c r="F193" s="208" t="n"/>
    </row>
    <row r="194" customFormat="1" s="59">
      <c r="E194" s="208" t="n"/>
      <c r="F194" s="208" t="n"/>
    </row>
    <row r="195" customFormat="1" s="59">
      <c r="E195" s="208" t="n"/>
      <c r="F195" s="208" t="n"/>
    </row>
    <row r="196" customFormat="1" s="59">
      <c r="E196" s="208" t="n"/>
      <c r="F196" s="208" t="n"/>
    </row>
    <row r="197" customFormat="1" s="59">
      <c r="E197" s="208" t="n"/>
      <c r="F197" s="208" t="n"/>
    </row>
    <row r="198" customFormat="1" s="59">
      <c r="E198" s="208" t="n"/>
      <c r="F198" s="208" t="n"/>
    </row>
    <row r="199" customFormat="1" s="59">
      <c r="E199" s="208" t="n"/>
      <c r="F199" s="208" t="n"/>
    </row>
    <row r="200" customFormat="1" s="59">
      <c r="E200" s="208" t="n"/>
      <c r="F200" s="208" t="n"/>
    </row>
    <row r="201" customFormat="1" s="59">
      <c r="E201" s="208" t="n"/>
      <c r="F201" s="208" t="n"/>
    </row>
    <row r="202" customFormat="1" s="59">
      <c r="E202" s="208" t="n"/>
      <c r="F202" s="208" t="n"/>
    </row>
    <row r="203" customFormat="1" s="59">
      <c r="E203" s="208" t="n"/>
      <c r="F203" s="208" t="n"/>
    </row>
    <row r="204" customFormat="1" s="59">
      <c r="E204" s="208" t="n"/>
      <c r="F204" s="208" t="n"/>
    </row>
    <row r="205" customFormat="1" s="59">
      <c r="E205" s="208" t="n"/>
      <c r="F205" s="208" t="n"/>
    </row>
    <row r="206" customFormat="1" s="59">
      <c r="E206" s="208" t="n"/>
      <c r="F206" s="208" t="n"/>
    </row>
    <row r="207" customFormat="1" s="59">
      <c r="E207" s="208" t="n"/>
      <c r="F207" s="208" t="n"/>
    </row>
    <row r="208" customFormat="1" s="59">
      <c r="E208" s="208" t="n"/>
      <c r="F208" s="208" t="n"/>
    </row>
    <row r="209" customFormat="1" s="59">
      <c r="E209" s="208" t="n"/>
      <c r="F209" s="208" t="n"/>
    </row>
    <row r="210" customFormat="1" s="59">
      <c r="E210" s="208" t="n"/>
      <c r="F210" s="208" t="n"/>
    </row>
    <row r="211" customFormat="1" s="59">
      <c r="E211" s="208" t="n"/>
      <c r="F211" s="208" t="n"/>
    </row>
    <row r="212" customFormat="1" s="59">
      <c r="E212" s="208" t="n"/>
      <c r="F212" s="208" t="n"/>
    </row>
    <row r="213" customFormat="1" s="59">
      <c r="E213" s="208" t="n"/>
      <c r="F213" s="208" t="n"/>
    </row>
    <row r="214" customFormat="1" s="59">
      <c r="E214" s="208" t="n"/>
      <c r="F214" s="208" t="n"/>
    </row>
    <row r="215" customFormat="1" s="59">
      <c r="E215" s="208" t="n"/>
      <c r="F215" s="208" t="n"/>
    </row>
    <row r="216" customFormat="1" s="59">
      <c r="E216" s="208" t="n"/>
      <c r="F216" s="208" t="n"/>
    </row>
    <row r="217" customFormat="1" s="59">
      <c r="E217" s="208" t="n"/>
      <c r="F217" s="208" t="n"/>
    </row>
    <row r="218" customFormat="1" s="59">
      <c r="E218" s="208" t="n"/>
      <c r="F218" s="208" t="n"/>
    </row>
    <row r="219" customFormat="1" s="59">
      <c r="E219" s="208" t="n"/>
      <c r="F219" s="208" t="n"/>
    </row>
    <row r="220" customFormat="1" s="59">
      <c r="E220" s="208" t="n"/>
      <c r="F220" s="208" t="n"/>
    </row>
    <row r="221" customFormat="1" s="59">
      <c r="E221" s="208" t="n"/>
      <c r="F221" s="208" t="n"/>
    </row>
    <row r="222" customFormat="1" s="59">
      <c r="E222" s="208" t="n"/>
      <c r="F222" s="208" t="n"/>
    </row>
    <row r="223" customFormat="1" s="59">
      <c r="E223" s="208" t="n"/>
      <c r="F223" s="208" t="n"/>
    </row>
    <row r="224" customFormat="1" s="59">
      <c r="E224" s="208" t="n"/>
      <c r="F224" s="208" t="n"/>
    </row>
    <row r="225" customFormat="1" s="59">
      <c r="E225" s="208" t="n"/>
      <c r="F225" s="208" t="n"/>
    </row>
    <row r="226" customFormat="1" s="59">
      <c r="E226" s="208" t="n"/>
      <c r="F226" s="208" t="n"/>
    </row>
    <row r="227" customFormat="1" s="59">
      <c r="E227" s="208" t="n"/>
      <c r="F227" s="208" t="n"/>
    </row>
    <row r="228" customFormat="1" s="59">
      <c r="E228" s="208" t="n"/>
      <c r="F228" s="208" t="n"/>
    </row>
    <row r="229" customFormat="1" s="59">
      <c r="E229" s="208" t="n"/>
      <c r="F229" s="208" t="n"/>
    </row>
    <row r="230" customFormat="1" s="59">
      <c r="E230" s="208" t="n"/>
      <c r="F230" s="208" t="n"/>
    </row>
    <row r="231" customFormat="1" s="59">
      <c r="E231" s="208" t="n"/>
      <c r="F231" s="208" t="n"/>
    </row>
    <row r="232" customFormat="1" s="59">
      <c r="E232" s="208" t="n"/>
      <c r="F232" s="208" t="n"/>
    </row>
    <row r="233" customFormat="1" s="59">
      <c r="E233" s="208" t="n"/>
      <c r="F233" s="208" t="n"/>
    </row>
    <row r="234" customFormat="1" s="59">
      <c r="E234" s="208" t="n"/>
      <c r="F234" s="208" t="n"/>
    </row>
    <row r="235" customFormat="1" s="59">
      <c r="E235" s="208" t="n"/>
      <c r="F235" s="208" t="n"/>
    </row>
    <row r="236" customFormat="1" s="59">
      <c r="E236" s="208" t="n"/>
      <c r="F236" s="208" t="n"/>
    </row>
    <row r="237" customFormat="1" s="59">
      <c r="E237" s="208" t="n"/>
      <c r="F237" s="208" t="n"/>
    </row>
    <row r="238" customFormat="1" s="59">
      <c r="E238" s="208" t="n"/>
      <c r="F238" s="208" t="n"/>
    </row>
    <row r="239" customFormat="1" s="59">
      <c r="E239" s="208" t="n"/>
      <c r="F239" s="208" t="n"/>
    </row>
    <row r="240" customFormat="1" s="59">
      <c r="E240" s="208" t="n"/>
      <c r="F240" s="208" t="n"/>
    </row>
    <row r="241" customFormat="1" s="59">
      <c r="E241" s="208" t="n"/>
      <c r="F241" s="208" t="n"/>
    </row>
    <row r="242" customFormat="1" s="59">
      <c r="E242" s="208" t="n"/>
      <c r="F242" s="208" t="n"/>
    </row>
    <row r="243" customFormat="1" s="59">
      <c r="E243" s="208" t="n"/>
      <c r="F243" s="208" t="n"/>
    </row>
    <row r="244" customFormat="1" s="59">
      <c r="E244" s="208" t="n"/>
      <c r="F244" s="208" t="n"/>
    </row>
    <row r="245" customFormat="1" s="59">
      <c r="E245" s="208" t="n"/>
      <c r="F245" s="208" t="n"/>
    </row>
    <row r="246" customFormat="1" s="59">
      <c r="E246" s="208" t="n"/>
      <c r="F246" s="208" t="n"/>
    </row>
    <row r="247" customFormat="1" s="59">
      <c r="E247" s="208" t="n"/>
      <c r="F247" s="208" t="n"/>
    </row>
    <row r="248" customFormat="1" s="59">
      <c r="E248" s="208" t="n"/>
      <c r="F248" s="208" t="n"/>
    </row>
    <row r="249" customFormat="1" s="59">
      <c r="E249" s="208" t="n"/>
      <c r="F249" s="208" t="n"/>
    </row>
    <row r="250" customFormat="1" s="59">
      <c r="E250" s="208" t="n"/>
      <c r="F250" s="208" t="n"/>
    </row>
    <row r="251" customFormat="1" s="59">
      <c r="E251" s="208" t="n"/>
      <c r="F251" s="208" t="n"/>
    </row>
    <row r="252" customFormat="1" s="59">
      <c r="E252" s="208" t="n"/>
      <c r="F252" s="208" t="n"/>
    </row>
    <row r="253" customFormat="1" s="59">
      <c r="E253" s="208" t="n"/>
      <c r="F253" s="208" t="n"/>
    </row>
    <row r="254" customFormat="1" s="59">
      <c r="E254" s="208" t="n"/>
      <c r="F254" s="208" t="n"/>
    </row>
    <row r="255" customFormat="1" s="59">
      <c r="E255" s="208" t="n"/>
      <c r="F255" s="208" t="n"/>
    </row>
    <row r="256" customFormat="1" s="59">
      <c r="E256" s="208" t="n"/>
      <c r="F256" s="208" t="n"/>
    </row>
    <row r="257" customFormat="1" s="59">
      <c r="E257" s="208" t="n"/>
      <c r="F257" s="208" t="n"/>
    </row>
    <row r="258" customFormat="1" s="59">
      <c r="E258" s="208" t="n"/>
      <c r="F258" s="208" t="n"/>
    </row>
    <row r="259" customFormat="1" s="59">
      <c r="E259" s="208" t="n"/>
      <c r="F259" s="208" t="n"/>
    </row>
    <row r="260" customFormat="1" s="59">
      <c r="E260" s="208" t="n"/>
      <c r="F260" s="208" t="n"/>
    </row>
    <row r="261" customFormat="1" s="59">
      <c r="E261" s="208" t="n"/>
      <c r="F261" s="208" t="n"/>
    </row>
    <row r="262" customFormat="1" s="59">
      <c r="E262" s="208" t="n"/>
      <c r="F262" s="208" t="n"/>
    </row>
    <row r="263" customFormat="1" s="59">
      <c r="E263" s="208" t="n"/>
      <c r="F263" s="208" t="n"/>
    </row>
    <row r="264" customFormat="1" s="59">
      <c r="E264" s="208" t="n"/>
      <c r="F264" s="208" t="n"/>
    </row>
    <row r="265" customFormat="1" s="59">
      <c r="E265" s="208" t="n"/>
      <c r="F265" s="208" t="n"/>
    </row>
    <row r="266" customFormat="1" s="59">
      <c r="E266" s="208" t="n"/>
      <c r="F266" s="208" t="n"/>
    </row>
    <row r="267" customFormat="1" s="59">
      <c r="E267" s="208" t="n"/>
      <c r="F267" s="208" t="n"/>
    </row>
    <row r="268" customFormat="1" s="59">
      <c r="E268" s="208" t="n"/>
      <c r="F268" s="208" t="n"/>
    </row>
    <row r="269" customFormat="1" s="59">
      <c r="E269" s="208" t="n"/>
      <c r="F269" s="208" t="n"/>
    </row>
    <row r="270" customFormat="1" s="59">
      <c r="E270" s="208" t="n"/>
      <c r="F270" s="208" t="n"/>
    </row>
    <row r="271" customFormat="1" s="59">
      <c r="E271" s="208" t="n"/>
      <c r="F271" s="208" t="n"/>
    </row>
    <row r="272" customFormat="1" s="59">
      <c r="E272" s="208" t="n"/>
      <c r="F272" s="208" t="n"/>
    </row>
    <row r="273" customFormat="1" s="59">
      <c r="E273" s="208" t="n"/>
      <c r="F273" s="208" t="n"/>
    </row>
    <row r="274" customFormat="1" s="59">
      <c r="E274" s="208" t="n"/>
      <c r="F274" s="208" t="n"/>
    </row>
    <row r="275" customFormat="1" s="59">
      <c r="E275" s="208" t="n"/>
      <c r="F275" s="208" t="n"/>
    </row>
    <row r="276" customFormat="1" s="59">
      <c r="E276" s="208" t="n"/>
      <c r="F276" s="208" t="n"/>
    </row>
    <row r="277" customFormat="1" s="59">
      <c r="E277" s="208" t="n"/>
      <c r="F277" s="208" t="n"/>
    </row>
    <row r="278" customFormat="1" s="59">
      <c r="E278" s="208" t="n"/>
      <c r="F278" s="208" t="n"/>
    </row>
    <row r="279" customFormat="1" s="59">
      <c r="E279" s="208" t="n"/>
      <c r="F279" s="208" t="n"/>
    </row>
    <row r="280" customFormat="1" s="59">
      <c r="E280" s="208" t="n"/>
      <c r="F280" s="208" t="n"/>
    </row>
    <row r="281" customFormat="1" s="59">
      <c r="E281" s="208" t="n"/>
      <c r="F281" s="208" t="n"/>
    </row>
    <row r="282" customFormat="1" s="59">
      <c r="E282" s="208" t="n"/>
      <c r="F282" s="208" t="n"/>
    </row>
    <row r="283" customFormat="1" s="59">
      <c r="E283" s="208" t="n"/>
      <c r="F283" s="208" t="n"/>
    </row>
    <row r="284" customFormat="1" s="59">
      <c r="E284" s="208" t="n"/>
      <c r="F284" s="208" t="n"/>
    </row>
    <row r="285" customFormat="1" s="59">
      <c r="E285" s="208" t="n"/>
      <c r="F285" s="208" t="n"/>
    </row>
    <row r="286" customFormat="1" s="59">
      <c r="E286" s="208" t="n"/>
      <c r="F286" s="208" t="n"/>
    </row>
    <row r="287" customFormat="1" s="59">
      <c r="E287" s="208" t="n"/>
      <c r="F287" s="208" t="n"/>
    </row>
    <row r="288" customFormat="1" s="59">
      <c r="E288" s="208" t="n"/>
      <c r="F288" s="208" t="n"/>
    </row>
    <row r="289" customFormat="1" s="59">
      <c r="E289" s="208" t="n"/>
      <c r="F289" s="208" t="n"/>
    </row>
    <row r="290" customFormat="1" s="59">
      <c r="E290" s="208" t="n"/>
      <c r="F290" s="208" t="n"/>
    </row>
    <row r="291" customFormat="1" s="59">
      <c r="E291" s="208" t="n"/>
      <c r="F291" s="208" t="n"/>
    </row>
    <row r="292" customFormat="1" s="59">
      <c r="E292" s="208" t="n"/>
      <c r="F292" s="208" t="n"/>
    </row>
    <row r="293" customFormat="1" s="59">
      <c r="E293" s="208" t="n"/>
      <c r="F293" s="208" t="n"/>
    </row>
    <row r="294" customFormat="1" s="59">
      <c r="E294" s="208" t="n"/>
      <c r="F294" s="208" t="n"/>
    </row>
    <row r="295" customFormat="1" s="59">
      <c r="E295" s="208" t="n"/>
      <c r="F295" s="208" t="n"/>
    </row>
    <row r="296" customFormat="1" s="59">
      <c r="E296" s="208" t="n"/>
      <c r="F296" s="208" t="n"/>
    </row>
    <row r="297" customFormat="1" s="59">
      <c r="E297" s="208" t="n"/>
      <c r="F297" s="208" t="n"/>
    </row>
    <row r="298" customFormat="1" s="59">
      <c r="E298" s="208" t="n"/>
      <c r="F298" s="208" t="n"/>
    </row>
    <row r="299" customFormat="1" s="59">
      <c r="E299" s="208" t="n"/>
      <c r="F299" s="208" t="n"/>
    </row>
    <row r="300" customFormat="1" s="59">
      <c r="E300" s="208" t="n"/>
      <c r="F300" s="208" t="n"/>
    </row>
    <row r="301" customFormat="1" s="59">
      <c r="E301" s="208" t="n"/>
      <c r="F301" s="208" t="n"/>
    </row>
    <row r="302" customFormat="1" s="59">
      <c r="E302" s="208" t="n"/>
      <c r="F302" s="208" t="n"/>
    </row>
    <row r="303" customFormat="1" s="59">
      <c r="E303" s="208" t="n"/>
      <c r="F303" s="208" t="n"/>
    </row>
    <row r="304" customFormat="1" s="59">
      <c r="E304" s="208" t="n"/>
      <c r="F304" s="208" t="n"/>
    </row>
    <row r="305" customFormat="1" s="59">
      <c r="E305" s="208" t="n"/>
      <c r="F305" s="208" t="n"/>
    </row>
    <row r="306" customFormat="1" s="59">
      <c r="E306" s="208" t="n"/>
      <c r="F306" s="208" t="n"/>
    </row>
    <row r="307" customFormat="1" s="59">
      <c r="E307" s="208" t="n"/>
      <c r="F307" s="208" t="n"/>
    </row>
    <row r="308" customFormat="1" s="59">
      <c r="E308" s="208" t="n"/>
      <c r="F308" s="208" t="n"/>
    </row>
    <row r="309" customFormat="1" s="59">
      <c r="E309" s="208" t="n"/>
      <c r="F309" s="208" t="n"/>
    </row>
    <row r="310" customFormat="1" s="59">
      <c r="E310" s="208" t="n"/>
      <c r="F310" s="208" t="n"/>
    </row>
    <row r="311" customFormat="1" s="59">
      <c r="E311" s="208" t="n"/>
      <c r="F311" s="208" t="n"/>
    </row>
    <row r="312" customFormat="1" s="59">
      <c r="E312" s="208" t="n"/>
      <c r="F312" s="208" t="n"/>
    </row>
    <row r="313" customFormat="1" s="59">
      <c r="E313" s="208" t="n"/>
      <c r="F313" s="208" t="n"/>
    </row>
    <row r="314" customFormat="1" s="59">
      <c r="E314" s="208" t="n"/>
      <c r="F314" s="208" t="n"/>
    </row>
    <row r="315" customFormat="1" s="59">
      <c r="E315" s="208" t="n"/>
      <c r="F315" s="208" t="n"/>
    </row>
    <row r="316" customFormat="1" s="59">
      <c r="E316" s="208" t="n"/>
      <c r="F316" s="208" t="n"/>
    </row>
    <row r="317" customFormat="1" s="59">
      <c r="E317" s="208" t="n"/>
      <c r="F317" s="208" t="n"/>
    </row>
    <row r="318" customFormat="1" s="59">
      <c r="E318" s="208" t="n"/>
      <c r="F318" s="208" t="n"/>
    </row>
    <row r="319" customFormat="1" s="59">
      <c r="E319" s="208" t="n"/>
      <c r="F319" s="208" t="n"/>
    </row>
    <row r="320" customFormat="1" s="59">
      <c r="E320" s="208" t="n"/>
      <c r="F320" s="208" t="n"/>
    </row>
    <row r="321" customFormat="1" s="59">
      <c r="E321" s="208" t="n"/>
      <c r="F321" s="208" t="n"/>
    </row>
    <row r="322" customFormat="1" s="59">
      <c r="E322" s="208" t="n"/>
      <c r="F322" s="208" t="n"/>
    </row>
    <row r="323" customFormat="1" s="59">
      <c r="E323" s="208" t="n"/>
      <c r="F323" s="208" t="n"/>
    </row>
    <row r="324" customFormat="1" s="59">
      <c r="E324" s="208" t="n"/>
      <c r="F324" s="208" t="n"/>
    </row>
    <row r="325" customFormat="1" s="59">
      <c r="E325" s="208" t="n"/>
      <c r="F325" s="208" t="n"/>
    </row>
    <row r="326" customFormat="1" s="59">
      <c r="E326" s="208" t="n"/>
      <c r="F326" s="208" t="n"/>
    </row>
    <row r="327" customFormat="1" s="59">
      <c r="E327" s="208" t="n"/>
      <c r="F327" s="208" t="n"/>
    </row>
    <row r="328" customFormat="1" s="59">
      <c r="E328" s="208" t="n"/>
      <c r="F328" s="208" t="n"/>
    </row>
    <row r="329" customFormat="1" s="59">
      <c r="E329" s="208" t="n"/>
      <c r="F329" s="208" t="n"/>
    </row>
    <row r="330" customFormat="1" s="59">
      <c r="E330" s="208" t="n"/>
      <c r="F330" s="208" t="n"/>
    </row>
    <row r="331" customFormat="1" s="59">
      <c r="E331" s="208" t="n"/>
      <c r="F331" s="208" t="n"/>
    </row>
    <row r="332" customFormat="1" s="59">
      <c r="E332" s="208" t="n"/>
      <c r="F332" s="208" t="n"/>
    </row>
    <row r="333" customFormat="1" s="59">
      <c r="E333" s="208" t="n"/>
      <c r="F333" s="208" t="n"/>
    </row>
    <row r="334" customFormat="1" s="59">
      <c r="E334" s="208" t="n"/>
      <c r="F334" s="208" t="n"/>
    </row>
    <row r="335" customFormat="1" s="59">
      <c r="E335" s="208" t="n"/>
      <c r="F335" s="208" t="n"/>
    </row>
    <row r="336" customFormat="1" s="59">
      <c r="E336" s="208" t="n"/>
      <c r="F336" s="208" t="n"/>
    </row>
    <row r="337" customFormat="1" s="59">
      <c r="E337" s="208" t="n"/>
      <c r="F337" s="208" t="n"/>
    </row>
    <row r="338" customFormat="1" s="59">
      <c r="E338" s="208" t="n"/>
      <c r="F338" s="208" t="n"/>
    </row>
    <row r="339" customFormat="1" s="59">
      <c r="E339" s="208" t="n"/>
      <c r="F339" s="208" t="n"/>
    </row>
    <row r="340" customFormat="1" s="59">
      <c r="E340" s="208" t="n"/>
      <c r="F340" s="208" t="n"/>
    </row>
    <row r="341" customFormat="1" s="59">
      <c r="E341" s="208" t="n"/>
      <c r="F341" s="208" t="n"/>
    </row>
    <row r="342" customFormat="1" s="59">
      <c r="E342" s="208" t="n"/>
      <c r="F342" s="208" t="n"/>
    </row>
    <row r="343" customFormat="1" s="59">
      <c r="E343" s="208" t="n"/>
      <c r="F343" s="208" t="n"/>
    </row>
    <row r="344" customFormat="1" s="59">
      <c r="E344" s="208" t="n"/>
      <c r="F344" s="208" t="n"/>
    </row>
    <row r="345" customFormat="1" s="59">
      <c r="E345" s="208" t="n"/>
      <c r="F345" s="208" t="n"/>
    </row>
    <row r="346" customFormat="1" s="59">
      <c r="E346" s="208" t="n"/>
      <c r="F346" s="208" t="n"/>
    </row>
    <row r="347" customFormat="1" s="59">
      <c r="E347" s="208" t="n"/>
      <c r="F347" s="208" t="n"/>
    </row>
    <row r="348" customFormat="1" s="59">
      <c r="E348" s="208" t="n"/>
      <c r="F348" s="208" t="n"/>
    </row>
    <row r="349" customFormat="1" s="59">
      <c r="E349" s="208" t="n"/>
      <c r="F349" s="208" t="n"/>
    </row>
    <row r="350" customFormat="1" s="59">
      <c r="E350" s="208" t="n"/>
      <c r="F350" s="208" t="n"/>
    </row>
    <row r="351" customFormat="1" s="59">
      <c r="E351" s="208" t="n"/>
      <c r="F351" s="208" t="n"/>
    </row>
    <row r="352" customFormat="1" s="59">
      <c r="E352" s="208" t="n"/>
      <c r="F352" s="208" t="n"/>
    </row>
    <row r="353" customFormat="1" s="59">
      <c r="E353" s="208" t="n"/>
      <c r="F353" s="208" t="n"/>
    </row>
    <row r="354" customFormat="1" s="59">
      <c r="E354" s="208" t="n"/>
      <c r="F354" s="208" t="n"/>
    </row>
    <row r="355" customFormat="1" s="59">
      <c r="E355" s="208" t="n"/>
      <c r="F355" s="208" t="n"/>
    </row>
    <row r="356" customFormat="1" s="59">
      <c r="E356" s="208" t="n"/>
      <c r="F356" s="208" t="n"/>
    </row>
    <row r="357" customFormat="1" s="59">
      <c r="E357" s="208" t="n"/>
      <c r="F357" s="208" t="n"/>
    </row>
    <row r="358" customFormat="1" s="59">
      <c r="E358" s="208" t="n"/>
      <c r="F358" s="208" t="n"/>
    </row>
    <row r="359" customFormat="1" s="59">
      <c r="E359" s="208" t="n"/>
      <c r="F359" s="208" t="n"/>
    </row>
    <row r="360" customFormat="1" s="59">
      <c r="E360" s="208" t="n"/>
      <c r="F360" s="208" t="n"/>
    </row>
    <row r="361" customFormat="1" s="59">
      <c r="E361" s="208" t="n"/>
      <c r="F361" s="208" t="n"/>
    </row>
    <row r="362" customFormat="1" s="59">
      <c r="E362" s="208" t="n"/>
      <c r="F362" s="208" t="n"/>
    </row>
    <row r="363" customFormat="1" s="59">
      <c r="E363" s="208" t="n"/>
      <c r="F363" s="208" t="n"/>
    </row>
    <row r="364" customFormat="1" s="59">
      <c r="E364" s="208" t="n"/>
      <c r="F364" s="208" t="n"/>
    </row>
    <row r="365" customFormat="1" s="59">
      <c r="E365" s="208" t="n"/>
      <c r="F365" s="208" t="n"/>
    </row>
    <row r="366" customFormat="1" s="59">
      <c r="E366" s="208" t="n"/>
      <c r="F366" s="208" t="n"/>
    </row>
    <row r="367" customFormat="1" s="59">
      <c r="E367" s="208" t="n"/>
      <c r="F367" s="208" t="n"/>
    </row>
    <row r="368" customFormat="1" s="59">
      <c r="E368" s="208" t="n"/>
      <c r="F368" s="208" t="n"/>
    </row>
    <row r="369" customFormat="1" s="59">
      <c r="E369" s="208" t="n"/>
      <c r="F369" s="208" t="n"/>
    </row>
    <row r="370" customFormat="1" s="59">
      <c r="E370" s="208" t="n"/>
      <c r="F370" s="208" t="n"/>
    </row>
    <row r="371" customFormat="1" s="59">
      <c r="E371" s="208" t="n"/>
      <c r="F371" s="208" t="n"/>
    </row>
    <row r="372" customFormat="1" s="59">
      <c r="E372" s="208" t="n"/>
      <c r="F372" s="208" t="n"/>
    </row>
    <row r="373" customFormat="1" s="59">
      <c r="E373" s="208" t="n"/>
      <c r="F373" s="208" t="n"/>
    </row>
    <row r="374" customFormat="1" s="59">
      <c r="E374" s="208" t="n"/>
      <c r="F374" s="208" t="n"/>
    </row>
    <row r="375" customFormat="1" s="59">
      <c r="E375" s="208" t="n"/>
      <c r="F375" s="208" t="n"/>
    </row>
    <row r="376" customFormat="1" s="59">
      <c r="E376" s="208" t="n"/>
      <c r="F376" s="208" t="n"/>
    </row>
    <row r="377" customFormat="1" s="59">
      <c r="E377" s="208" t="n"/>
      <c r="F377" s="208" t="n"/>
    </row>
    <row r="378" customFormat="1" s="59">
      <c r="E378" s="208" t="n"/>
      <c r="F378" s="208" t="n"/>
    </row>
    <row r="379" customFormat="1" s="59">
      <c r="E379" s="208" t="n"/>
      <c r="F379" s="208" t="n"/>
    </row>
    <row r="380" customFormat="1" s="59">
      <c r="E380" s="208" t="n"/>
      <c r="F380" s="208" t="n"/>
    </row>
    <row r="381" customFormat="1" s="59">
      <c r="E381" s="208" t="n"/>
      <c r="F381" s="208" t="n"/>
    </row>
    <row r="382" customFormat="1" s="59">
      <c r="E382" s="208" t="n"/>
      <c r="F382" s="208" t="n"/>
    </row>
    <row r="383" customFormat="1" s="59">
      <c r="E383" s="208" t="n"/>
      <c r="F383" s="208" t="n"/>
    </row>
    <row r="384" customFormat="1" s="59">
      <c r="E384" s="208" t="n"/>
      <c r="F384" s="208" t="n"/>
    </row>
    <row r="385" customFormat="1" s="59">
      <c r="E385" s="208" t="n"/>
      <c r="F385" s="208" t="n"/>
    </row>
    <row r="386" customFormat="1" s="59">
      <c r="E386" s="208" t="n"/>
      <c r="F386" s="208" t="n"/>
    </row>
    <row r="387" customFormat="1" s="59">
      <c r="E387" s="208" t="n"/>
      <c r="F387" s="208" t="n"/>
    </row>
    <row r="388" customFormat="1" s="59">
      <c r="E388" s="208" t="n"/>
      <c r="F388" s="208" t="n"/>
    </row>
    <row r="389" customFormat="1" s="59">
      <c r="E389" s="208" t="n"/>
      <c r="F389" s="208" t="n"/>
    </row>
    <row r="390" customFormat="1" s="59">
      <c r="E390" s="208" t="n"/>
      <c r="F390" s="208" t="n"/>
    </row>
    <row r="391" customFormat="1" s="59">
      <c r="E391" s="208" t="n"/>
      <c r="F391" s="208" t="n"/>
    </row>
    <row r="392" customFormat="1" s="59">
      <c r="E392" s="208" t="n"/>
      <c r="F392" s="208" t="n"/>
    </row>
    <row r="393" customFormat="1" s="59">
      <c r="E393" s="208" t="n"/>
      <c r="F393" s="208" t="n"/>
    </row>
    <row r="394" customFormat="1" s="59">
      <c r="E394" s="208" t="n"/>
      <c r="F394" s="208" t="n"/>
    </row>
    <row r="395" customFormat="1" s="59">
      <c r="E395" s="208" t="n"/>
      <c r="F395" s="208" t="n"/>
    </row>
    <row r="396" customFormat="1" s="59">
      <c r="E396" s="208" t="n"/>
      <c r="F396" s="208" t="n"/>
    </row>
    <row r="397" customFormat="1" s="59">
      <c r="E397" s="208" t="n"/>
      <c r="F397" s="208" t="n"/>
    </row>
    <row r="398" customFormat="1" s="59">
      <c r="E398" s="208" t="n"/>
      <c r="F398" s="208" t="n"/>
    </row>
    <row r="399" customFormat="1" s="59">
      <c r="E399" s="208" t="n"/>
      <c r="F399" s="208" t="n"/>
    </row>
    <row r="400" customFormat="1" s="59">
      <c r="E400" s="208" t="n"/>
      <c r="F400" s="208" t="n"/>
    </row>
    <row r="401" customFormat="1" s="59">
      <c r="E401" s="208" t="n"/>
      <c r="F401" s="208" t="n"/>
    </row>
    <row r="402" customFormat="1" s="59">
      <c r="E402" s="208" t="n"/>
      <c r="F402" s="208" t="n"/>
    </row>
    <row r="403" customFormat="1" s="59">
      <c r="E403" s="208" t="n"/>
      <c r="F403" s="208" t="n"/>
    </row>
    <row r="404" customFormat="1" s="59">
      <c r="E404" s="208" t="n"/>
      <c r="F404" s="208" t="n"/>
    </row>
    <row r="405" customFormat="1" s="59">
      <c r="E405" s="208" t="n"/>
      <c r="F405" s="208" t="n"/>
    </row>
    <row r="406" customFormat="1" s="59">
      <c r="E406" s="208" t="n"/>
      <c r="F406" s="208" t="n"/>
    </row>
    <row r="407" customFormat="1" s="59">
      <c r="E407" s="208" t="n"/>
      <c r="F407" s="208" t="n"/>
    </row>
    <row r="408" customFormat="1" s="59">
      <c r="E408" s="208" t="n"/>
      <c r="F408" s="208" t="n"/>
    </row>
    <row r="409" customFormat="1" s="59">
      <c r="E409" s="208" t="n"/>
      <c r="F409" s="208" t="n"/>
    </row>
    <row r="410" customFormat="1" s="59">
      <c r="E410" s="208" t="n"/>
      <c r="F410" s="208" t="n"/>
    </row>
    <row r="411" customFormat="1" s="59">
      <c r="E411" s="208" t="n"/>
      <c r="F411" s="208" t="n"/>
    </row>
    <row r="412" customFormat="1" s="59">
      <c r="E412" s="208" t="n"/>
      <c r="F412" s="208" t="n"/>
    </row>
    <row r="413" customFormat="1" s="59">
      <c r="E413" s="208" t="n"/>
      <c r="F413" s="208" t="n"/>
    </row>
    <row r="414" customFormat="1" s="59">
      <c r="E414" s="208" t="n"/>
      <c r="F414" s="208" t="n"/>
    </row>
    <row r="415" customFormat="1" s="59">
      <c r="E415" s="208" t="n"/>
      <c r="F415" s="208" t="n"/>
    </row>
    <row r="416" customFormat="1" s="59">
      <c r="E416" s="208" t="n"/>
      <c r="F416" s="208" t="n"/>
    </row>
    <row r="417" customFormat="1" s="59">
      <c r="E417" s="208" t="n"/>
      <c r="F417" s="208" t="n"/>
    </row>
    <row r="418" customFormat="1" s="59">
      <c r="E418" s="208" t="n"/>
      <c r="F418" s="208" t="n"/>
    </row>
    <row r="419" customFormat="1" s="59">
      <c r="E419" s="208" t="n"/>
      <c r="F419" s="208" t="n"/>
    </row>
    <row r="420" customFormat="1" s="59">
      <c r="E420" s="208" t="n"/>
      <c r="F420" s="208" t="n"/>
    </row>
    <row r="421" customFormat="1" s="59">
      <c r="E421" s="208" t="n"/>
      <c r="F421" s="208" t="n"/>
    </row>
    <row r="422" customFormat="1" s="59">
      <c r="E422" s="208" t="n"/>
      <c r="F422" s="208" t="n"/>
    </row>
    <row r="423" customFormat="1" s="59">
      <c r="E423" s="208" t="n"/>
      <c r="F423" s="208" t="n"/>
    </row>
    <row r="424" customFormat="1" s="59">
      <c r="E424" s="208" t="n"/>
      <c r="F424" s="208" t="n"/>
    </row>
    <row r="425" customFormat="1" s="59">
      <c r="E425" s="208" t="n"/>
      <c r="F425" s="208" t="n"/>
    </row>
    <row r="426" customFormat="1" s="59">
      <c r="E426" s="208" t="n"/>
      <c r="F426" s="208" t="n"/>
    </row>
    <row r="427" customFormat="1" s="59">
      <c r="E427" s="208" t="n"/>
      <c r="F427" s="208" t="n"/>
    </row>
    <row r="428" customFormat="1" s="59">
      <c r="E428" s="208" t="n"/>
      <c r="F428" s="208" t="n"/>
    </row>
    <row r="429" customFormat="1" s="59">
      <c r="E429" s="208" t="n"/>
      <c r="F429" s="208" t="n"/>
    </row>
    <row r="430" customFormat="1" s="59">
      <c r="E430" s="208" t="n"/>
      <c r="F430" s="208" t="n"/>
    </row>
    <row r="431" customFormat="1" s="59">
      <c r="E431" s="208" t="n"/>
      <c r="F431" s="208" t="n"/>
    </row>
    <row r="432" customFormat="1" s="59">
      <c r="E432" s="208" t="n"/>
      <c r="F432" s="208" t="n"/>
    </row>
    <row r="433" customFormat="1" s="59">
      <c r="E433" s="208" t="n"/>
      <c r="F433" s="208" t="n"/>
    </row>
    <row r="434" customFormat="1" s="59">
      <c r="E434" s="208" t="n"/>
      <c r="F434" s="208" t="n"/>
    </row>
    <row r="435" customFormat="1" s="59">
      <c r="E435" s="208" t="n"/>
      <c r="F435" s="208" t="n"/>
    </row>
    <row r="436" customFormat="1" s="59">
      <c r="E436" s="208" t="n"/>
      <c r="F436" s="208" t="n"/>
    </row>
    <row r="437" customFormat="1" s="59">
      <c r="E437" s="208" t="n"/>
      <c r="F437" s="208" t="n"/>
    </row>
    <row r="438" customFormat="1" s="59">
      <c r="E438" s="208" t="n"/>
      <c r="F438" s="208" t="n"/>
    </row>
    <row r="439" customFormat="1" s="59">
      <c r="E439" s="208" t="n"/>
      <c r="F439" s="208" t="n"/>
    </row>
    <row r="440" customFormat="1" s="59">
      <c r="E440" s="208" t="n"/>
      <c r="F440" s="208" t="n"/>
    </row>
    <row r="441" customFormat="1" s="59">
      <c r="E441" s="208" t="n"/>
      <c r="F441" s="208" t="n"/>
    </row>
    <row r="442" customFormat="1" s="59">
      <c r="E442" s="208" t="n"/>
      <c r="F442" s="208" t="n"/>
    </row>
    <row r="443" customFormat="1" s="59">
      <c r="E443" s="208" t="n"/>
      <c r="F443" s="208" t="n"/>
    </row>
    <row r="444" customFormat="1" s="59">
      <c r="E444" s="208" t="n"/>
      <c r="F444" s="208" t="n"/>
    </row>
    <row r="445" customFormat="1" s="59">
      <c r="E445" s="208" t="n"/>
      <c r="F445" s="208" t="n"/>
    </row>
    <row r="446" customFormat="1" s="59">
      <c r="E446" s="208" t="n"/>
      <c r="F446" s="208" t="n"/>
    </row>
    <row r="447" customFormat="1" s="59">
      <c r="E447" s="208" t="n"/>
      <c r="F447" s="208" t="n"/>
    </row>
    <row r="448" customFormat="1" s="59">
      <c r="E448" s="208" t="n"/>
      <c r="F448" s="208" t="n"/>
    </row>
    <row r="449" customFormat="1" s="59">
      <c r="E449" s="208" t="n"/>
      <c r="F449" s="208" t="n"/>
    </row>
    <row r="450" customFormat="1" s="59">
      <c r="E450" s="208" t="n"/>
      <c r="F450" s="208" t="n"/>
    </row>
    <row r="451" customFormat="1" s="59">
      <c r="E451" s="208" t="n"/>
      <c r="F451" s="208" t="n"/>
    </row>
    <row r="452" customFormat="1" s="59">
      <c r="E452" s="208" t="n"/>
      <c r="F452" s="208" t="n"/>
    </row>
    <row r="453" customFormat="1" s="59">
      <c r="E453" s="208" t="n"/>
      <c r="F453" s="208" t="n"/>
    </row>
    <row r="454" customFormat="1" s="59">
      <c r="E454" s="208" t="n"/>
      <c r="F454" s="208" t="n"/>
    </row>
    <row r="455" customFormat="1" s="59">
      <c r="E455" s="208" t="n"/>
      <c r="F455" s="208" t="n"/>
    </row>
    <row r="456" customFormat="1" s="59">
      <c r="E456" s="208" t="n"/>
      <c r="F456" s="208" t="n"/>
    </row>
    <row r="457" customFormat="1" s="59">
      <c r="E457" s="208" t="n"/>
      <c r="F457" s="208" t="n"/>
    </row>
    <row r="458" customFormat="1" s="59">
      <c r="E458" s="208" t="n"/>
      <c r="F458" s="208" t="n"/>
    </row>
    <row r="459" customFormat="1" s="59">
      <c r="E459" s="208" t="n"/>
      <c r="F459" s="208" t="n"/>
    </row>
    <row r="460" customFormat="1" s="59">
      <c r="E460" s="208" t="n"/>
      <c r="F460" s="208" t="n"/>
    </row>
    <row r="461" customFormat="1" s="59">
      <c r="E461" s="208" t="n"/>
      <c r="F461" s="208" t="n"/>
    </row>
    <row r="462" customFormat="1" s="59">
      <c r="E462" s="208" t="n"/>
      <c r="F462" s="208" t="n"/>
    </row>
    <row r="463" customFormat="1" s="59">
      <c r="E463" s="208" t="n"/>
      <c r="F463" s="208" t="n"/>
    </row>
    <row r="464" customFormat="1" s="59">
      <c r="E464" s="208" t="n"/>
      <c r="F464" s="208" t="n"/>
    </row>
    <row r="465" customFormat="1" s="59">
      <c r="E465" s="208" t="n"/>
      <c r="F465" s="208" t="n"/>
    </row>
    <row r="466" customFormat="1" s="59">
      <c r="E466" s="208" t="n"/>
      <c r="F466" s="208" t="n"/>
    </row>
    <row r="467" customFormat="1" s="59">
      <c r="E467" s="208" t="n"/>
      <c r="F467" s="208" t="n"/>
    </row>
    <row r="468" customFormat="1" s="59">
      <c r="E468" s="208" t="n"/>
      <c r="F468" s="208" t="n"/>
    </row>
    <row r="469" customFormat="1" s="59">
      <c r="E469" s="208" t="n"/>
      <c r="F469" s="208" t="n"/>
    </row>
    <row r="470" customFormat="1" s="59">
      <c r="E470" s="208" t="n"/>
      <c r="F470" s="208" t="n"/>
    </row>
    <row r="471" customFormat="1" s="59">
      <c r="E471" s="208" t="n"/>
      <c r="F471" s="208" t="n"/>
    </row>
    <row r="472" customFormat="1" s="59">
      <c r="E472" s="208" t="n"/>
      <c r="F472" s="208" t="n"/>
    </row>
    <row r="473" customFormat="1" s="59">
      <c r="E473" s="208" t="n"/>
      <c r="F473" s="208" t="n"/>
    </row>
    <row r="474" customFormat="1" s="59">
      <c r="E474" s="208" t="n"/>
      <c r="F474" s="208" t="n"/>
    </row>
    <row r="475" customFormat="1" s="59">
      <c r="E475" s="208" t="n"/>
      <c r="F475" s="208" t="n"/>
    </row>
    <row r="476" customFormat="1" s="59">
      <c r="E476" s="208" t="n"/>
      <c r="F476" s="208" t="n"/>
    </row>
    <row r="477" customFormat="1" s="59">
      <c r="E477" s="208" t="n"/>
      <c r="F477" s="208" t="n"/>
    </row>
    <row r="478" customFormat="1" s="59">
      <c r="E478" s="208" t="n"/>
      <c r="F478" s="208" t="n"/>
    </row>
    <row r="479" customFormat="1" s="59">
      <c r="E479" s="208" t="n"/>
      <c r="F479" s="208" t="n"/>
    </row>
    <row r="480" customFormat="1" s="59">
      <c r="E480" s="208" t="n"/>
      <c r="F480" s="208" t="n"/>
    </row>
    <row r="481" customFormat="1" s="59">
      <c r="E481" s="208" t="n"/>
      <c r="F481" s="208" t="n"/>
    </row>
    <row r="482" customFormat="1" s="59">
      <c r="E482" s="208" t="n"/>
      <c r="F482" s="208" t="n"/>
    </row>
    <row r="483" customFormat="1" s="59">
      <c r="E483" s="208" t="n"/>
      <c r="F483" s="208" t="n"/>
    </row>
    <row r="484" customFormat="1" s="59">
      <c r="E484" s="208" t="n"/>
      <c r="F484" s="208" t="n"/>
    </row>
    <row r="485" customFormat="1" s="59">
      <c r="E485" s="208" t="n"/>
      <c r="F485" s="208" t="n"/>
    </row>
    <row r="486" customFormat="1" s="59">
      <c r="E486" s="208" t="n"/>
      <c r="F486" s="208" t="n"/>
    </row>
    <row r="487" customFormat="1" s="59">
      <c r="E487" s="208" t="n"/>
      <c r="F487" s="208" t="n"/>
    </row>
    <row r="488" customFormat="1" s="59">
      <c r="E488" s="208" t="n"/>
      <c r="F488" s="208" t="n"/>
    </row>
    <row r="489" customFormat="1" s="59">
      <c r="E489" s="208" t="n"/>
      <c r="F489" s="208" t="n"/>
    </row>
    <row r="490" customFormat="1" s="59">
      <c r="E490" s="208" t="n"/>
      <c r="F490" s="208" t="n"/>
    </row>
    <row r="491" customFormat="1" s="59">
      <c r="E491" s="208" t="n"/>
      <c r="F491" s="208" t="n"/>
    </row>
    <row r="492" customFormat="1" s="59">
      <c r="E492" s="208" t="n"/>
      <c r="F492" s="208" t="n"/>
    </row>
    <row r="493" customFormat="1" s="59">
      <c r="E493" s="208" t="n"/>
      <c r="F493" s="208" t="n"/>
    </row>
    <row r="494" customFormat="1" s="59">
      <c r="E494" s="208" t="n"/>
      <c r="F494" s="208" t="n"/>
    </row>
    <row r="495" customFormat="1" s="59">
      <c r="E495" s="208" t="n"/>
      <c r="F495" s="208" t="n"/>
    </row>
    <row r="496" customFormat="1" s="59">
      <c r="E496" s="208" t="n"/>
      <c r="F496" s="208" t="n"/>
    </row>
    <row r="497" customFormat="1" s="59">
      <c r="E497" s="208" t="n"/>
      <c r="F497" s="208" t="n"/>
    </row>
    <row r="498" customFormat="1" s="59">
      <c r="E498" s="208" t="n"/>
      <c r="F498" s="208" t="n"/>
    </row>
    <row r="499" customFormat="1" s="59">
      <c r="E499" s="208" t="n"/>
      <c r="F499" s="208" t="n"/>
    </row>
    <row r="500" customFormat="1" s="59">
      <c r="E500" s="208" t="n"/>
      <c r="F500" s="208" t="n"/>
    </row>
    <row r="501" customFormat="1" s="59">
      <c r="E501" s="208" t="n"/>
      <c r="F501" s="208" t="n"/>
    </row>
    <row r="502" customFormat="1" s="59">
      <c r="E502" s="208" t="n"/>
      <c r="F502" s="208" t="n"/>
    </row>
    <row r="503" customFormat="1" s="59">
      <c r="E503" s="208" t="n"/>
      <c r="F503" s="208" t="n"/>
    </row>
    <row r="504" customFormat="1" s="59">
      <c r="E504" s="208" t="n"/>
      <c r="F504" s="208" t="n"/>
    </row>
    <row r="505" customFormat="1" s="59">
      <c r="E505" s="208" t="n"/>
      <c r="F505" s="208" t="n"/>
    </row>
    <row r="506" customFormat="1" s="59">
      <c r="E506" s="208" t="n"/>
      <c r="F506" s="208" t="n"/>
    </row>
    <row r="507" customFormat="1" s="59">
      <c r="E507" s="208" t="n"/>
      <c r="F507" s="208" t="n"/>
    </row>
    <row r="508" customFormat="1" s="59">
      <c r="E508" s="208" t="n"/>
      <c r="F508" s="208" t="n"/>
    </row>
    <row r="509" customFormat="1" s="59">
      <c r="E509" s="208" t="n"/>
      <c r="F509" s="208" t="n"/>
    </row>
    <row r="510" customFormat="1" s="59">
      <c r="E510" s="208" t="n"/>
      <c r="F510" s="208" t="n"/>
    </row>
    <row r="511" customFormat="1" s="59">
      <c r="E511" s="208" t="n"/>
      <c r="F511" s="208" t="n"/>
    </row>
    <row r="512" customFormat="1" s="59">
      <c r="E512" s="208" t="n"/>
      <c r="F512" s="208" t="n"/>
    </row>
    <row r="513" customFormat="1" s="59">
      <c r="E513" s="208" t="n"/>
      <c r="F513" s="208" t="n"/>
    </row>
    <row r="514" customFormat="1" s="59">
      <c r="E514" s="208" t="n"/>
      <c r="F514" s="208" t="n"/>
    </row>
    <row r="515" customFormat="1" s="59">
      <c r="E515" s="208" t="n"/>
      <c r="F515" s="208" t="n"/>
    </row>
    <row r="516" customFormat="1" s="59">
      <c r="E516" s="208" t="n"/>
      <c r="F516" s="208" t="n"/>
    </row>
    <row r="517" customFormat="1" s="59">
      <c r="E517" s="208" t="n"/>
      <c r="F517" s="208" t="n"/>
    </row>
    <row r="518" customFormat="1" s="59">
      <c r="E518" s="208" t="n"/>
      <c r="F518" s="208" t="n"/>
    </row>
    <row r="519" customFormat="1" s="59">
      <c r="E519" s="208" t="n"/>
      <c r="F519" s="208" t="n"/>
    </row>
    <row r="520" customFormat="1" s="59">
      <c r="E520" s="208" t="n"/>
      <c r="F520" s="208" t="n"/>
    </row>
    <row r="521" customFormat="1" s="59">
      <c r="E521" s="208" t="n"/>
      <c r="F521" s="208" t="n"/>
    </row>
    <row r="522" customFormat="1" s="59">
      <c r="E522" s="208" t="n"/>
      <c r="F522" s="208" t="n"/>
    </row>
    <row r="523" customFormat="1" s="59">
      <c r="E523" s="208" t="n"/>
      <c r="F523" s="208" t="n"/>
    </row>
    <row r="524" customFormat="1" s="59">
      <c r="E524" s="208" t="n"/>
      <c r="F524" s="208" t="n"/>
    </row>
    <row r="525" customFormat="1" s="59">
      <c r="E525" s="208" t="n"/>
      <c r="F525" s="208" t="n"/>
    </row>
    <row r="526" customFormat="1" s="59">
      <c r="E526" s="208" t="n"/>
      <c r="F526" s="208" t="n"/>
    </row>
    <row r="527" customFormat="1" s="59">
      <c r="E527" s="208" t="n"/>
      <c r="F527" s="208" t="n"/>
    </row>
    <row r="528" customFormat="1" s="59">
      <c r="E528" s="208" t="n"/>
      <c r="F528" s="208" t="n"/>
    </row>
    <row r="529" customFormat="1" s="59">
      <c r="E529" s="208" t="n"/>
      <c r="F529" s="208" t="n"/>
    </row>
    <row r="530" customFormat="1" s="59">
      <c r="E530" s="208" t="n"/>
      <c r="F530" s="208" t="n"/>
    </row>
    <row r="531" customFormat="1" s="59">
      <c r="E531" s="208" t="n"/>
      <c r="F531" s="208" t="n"/>
    </row>
    <row r="532" customFormat="1" s="59">
      <c r="E532" s="208" t="n"/>
      <c r="F532" s="208" t="n"/>
    </row>
    <row r="533" customFormat="1" s="59">
      <c r="E533" s="208" t="n"/>
      <c r="F533" s="208" t="n"/>
    </row>
    <row r="534" customFormat="1" s="59">
      <c r="E534" s="208" t="n"/>
      <c r="F534" s="208" t="n"/>
    </row>
    <row r="535" customFormat="1" s="59">
      <c r="E535" s="208" t="n"/>
      <c r="F535" s="208" t="n"/>
    </row>
    <row r="536" customFormat="1" s="59">
      <c r="E536" s="208" t="n"/>
      <c r="F536" s="208" t="n"/>
    </row>
    <row r="537" customFormat="1" s="59">
      <c r="E537" s="208" t="n"/>
      <c r="F537" s="208" t="n"/>
    </row>
    <row r="538" customFormat="1" s="59">
      <c r="E538" s="208" t="n"/>
      <c r="F538" s="208" t="n"/>
    </row>
    <row r="539" customFormat="1" s="59">
      <c r="E539" s="208" t="n"/>
      <c r="F539" s="208" t="n"/>
    </row>
    <row r="540" customFormat="1" s="59">
      <c r="E540" s="208" t="n"/>
      <c r="F540" s="208" t="n"/>
    </row>
    <row r="541" customFormat="1" s="59">
      <c r="E541" s="208" t="n"/>
      <c r="F541" s="208" t="n"/>
    </row>
    <row r="542" customFormat="1" s="59">
      <c r="E542" s="208" t="n"/>
      <c r="F542" s="208" t="n"/>
    </row>
    <row r="543" customFormat="1" s="59">
      <c r="E543" s="208" t="n"/>
      <c r="F543" s="208" t="n"/>
    </row>
    <row r="544" customFormat="1" s="59">
      <c r="E544" s="208" t="n"/>
      <c r="F544" s="208" t="n"/>
    </row>
    <row r="545" customFormat="1" s="59">
      <c r="E545" s="208" t="n"/>
      <c r="F545" s="208" t="n"/>
    </row>
    <row r="546" customFormat="1" s="59">
      <c r="E546" s="208" t="n"/>
      <c r="F546" s="208" t="n"/>
    </row>
    <row r="547" customFormat="1" s="59">
      <c r="E547" s="208" t="n"/>
      <c r="F547" s="208" t="n"/>
    </row>
    <row r="548" customFormat="1" s="59">
      <c r="E548" s="208" t="n"/>
      <c r="F548" s="208" t="n"/>
    </row>
    <row r="549" customFormat="1" s="59">
      <c r="E549" s="208" t="n"/>
      <c r="F549" s="208" t="n"/>
    </row>
    <row r="550" customFormat="1" s="59">
      <c r="E550" s="208" t="n"/>
      <c r="F550" s="208" t="n"/>
    </row>
    <row r="551" customFormat="1" s="59">
      <c r="E551" s="208" t="n"/>
      <c r="F551" s="208" t="n"/>
    </row>
    <row r="552" customFormat="1" s="59">
      <c r="E552" s="208" t="n"/>
      <c r="F552" s="208" t="n"/>
    </row>
    <row r="553" customFormat="1" s="59">
      <c r="E553" s="208" t="n"/>
      <c r="F553" s="208" t="n"/>
    </row>
    <row r="554" customFormat="1" s="59">
      <c r="E554" s="208" t="n"/>
      <c r="F554" s="208" t="n"/>
    </row>
    <row r="555" customFormat="1" s="59">
      <c r="E555" s="208" t="n"/>
      <c r="F555" s="208" t="n"/>
    </row>
    <row r="556" customFormat="1" s="59">
      <c r="E556" s="208" t="n"/>
      <c r="F556" s="208" t="n"/>
    </row>
    <row r="557" customFormat="1" s="59">
      <c r="E557" s="208" t="n"/>
      <c r="F557" s="208" t="n"/>
    </row>
    <row r="558" customFormat="1" s="59">
      <c r="E558" s="208" t="n"/>
      <c r="F558" s="208" t="n"/>
    </row>
    <row r="559" customFormat="1" s="59">
      <c r="E559" s="208" t="n"/>
      <c r="F559" s="208" t="n"/>
    </row>
    <row r="560" customFormat="1" s="59">
      <c r="E560" s="208" t="n"/>
      <c r="F560" s="208" t="n"/>
    </row>
    <row r="561" customFormat="1" s="59">
      <c r="E561" s="208" t="n"/>
      <c r="F561" s="208" t="n"/>
    </row>
    <row r="562" customFormat="1" s="59">
      <c r="E562" s="208" t="n"/>
      <c r="F562" s="208" t="n"/>
    </row>
    <row r="563" customFormat="1" s="59">
      <c r="E563" s="208" t="n"/>
      <c r="F563" s="208" t="n"/>
    </row>
    <row r="564" customFormat="1" s="59">
      <c r="E564" s="208" t="n"/>
      <c r="F564" s="208" t="n"/>
    </row>
    <row r="565" customFormat="1" s="59">
      <c r="E565" s="208" t="n"/>
      <c r="F565" s="208" t="n"/>
    </row>
    <row r="566" customFormat="1" s="59">
      <c r="E566" s="208" t="n"/>
      <c r="F566" s="208" t="n"/>
    </row>
    <row r="567" customFormat="1" s="59">
      <c r="E567" s="208" t="n"/>
      <c r="F567" s="208" t="n"/>
    </row>
    <row r="568" customFormat="1" s="59">
      <c r="E568" s="208" t="n"/>
      <c r="F568" s="208" t="n"/>
    </row>
    <row r="569" customFormat="1" s="59">
      <c r="E569" s="208" t="n"/>
      <c r="F569" s="208" t="n"/>
    </row>
    <row r="570" customFormat="1" s="59">
      <c r="E570" s="208" t="n"/>
      <c r="F570" s="208" t="n"/>
    </row>
    <row r="571" customFormat="1" s="59">
      <c r="E571" s="208" t="n"/>
      <c r="F571" s="208" t="n"/>
    </row>
    <row r="572" customFormat="1" s="59">
      <c r="E572" s="208" t="n"/>
      <c r="F572" s="208" t="n"/>
    </row>
    <row r="573" customFormat="1" s="59">
      <c r="E573" s="208" t="n"/>
      <c r="F573" s="208" t="n"/>
    </row>
    <row r="574" customFormat="1" s="59">
      <c r="E574" s="208" t="n"/>
      <c r="F574" s="208" t="n"/>
    </row>
    <row r="575" customFormat="1" s="59">
      <c r="E575" s="208" t="n"/>
      <c r="F575" s="208" t="n"/>
    </row>
    <row r="576" customFormat="1" s="59">
      <c r="E576" s="208" t="n"/>
      <c r="F576" s="208" t="n"/>
    </row>
    <row r="577" customFormat="1" s="59">
      <c r="E577" s="208" t="n"/>
      <c r="F577" s="208" t="n"/>
    </row>
    <row r="578" customFormat="1" s="59">
      <c r="E578" s="208" t="n"/>
      <c r="F578" s="208" t="n"/>
    </row>
    <row r="579" customFormat="1" s="59">
      <c r="E579" s="208" t="n"/>
      <c r="F579" s="208" t="n"/>
    </row>
    <row r="580" customFormat="1" s="59">
      <c r="E580" s="208" t="n"/>
      <c r="F580" s="208" t="n"/>
    </row>
    <row r="581" customFormat="1" s="59">
      <c r="E581" s="208" t="n"/>
      <c r="F581" s="208" t="n"/>
    </row>
    <row r="582" customFormat="1" s="59">
      <c r="E582" s="208" t="n"/>
      <c r="F582" s="208" t="n"/>
    </row>
    <row r="583" customFormat="1" s="59">
      <c r="E583" s="208" t="n"/>
      <c r="F583" s="208" t="n"/>
    </row>
    <row r="584" customFormat="1" s="59">
      <c r="E584" s="208" t="n"/>
      <c r="F584" s="208" t="n"/>
    </row>
    <row r="585" customFormat="1" s="59">
      <c r="E585" s="208" t="n"/>
      <c r="F585" s="208" t="n"/>
    </row>
    <row r="586" customFormat="1" s="59">
      <c r="E586" s="208" t="n"/>
      <c r="F586" s="208" t="n"/>
    </row>
    <row r="587" customFormat="1" s="59">
      <c r="E587" s="208" t="n"/>
      <c r="F587" s="208" t="n"/>
    </row>
    <row r="588" customFormat="1" s="59">
      <c r="E588" s="208" t="n"/>
      <c r="F588" s="208" t="n"/>
    </row>
    <row r="589" customFormat="1" s="59">
      <c r="E589" s="208" t="n"/>
      <c r="F589" s="208" t="n"/>
    </row>
    <row r="590" customFormat="1" s="59">
      <c r="E590" s="208" t="n"/>
      <c r="F590" s="208" t="n"/>
    </row>
    <row r="591" customFormat="1" s="59">
      <c r="E591" s="208" t="n"/>
      <c r="F591" s="208" t="n"/>
    </row>
    <row r="592" customFormat="1" s="59">
      <c r="E592" s="208" t="n"/>
      <c r="F592" s="208" t="n"/>
    </row>
    <row r="593" customFormat="1" s="59">
      <c r="E593" s="208" t="n"/>
      <c r="F593" s="208" t="n"/>
    </row>
    <row r="594" customFormat="1" s="59">
      <c r="E594" s="208" t="n"/>
      <c r="F594" s="208" t="n"/>
    </row>
    <row r="595" customFormat="1" s="59">
      <c r="E595" s="208" t="n"/>
      <c r="F595" s="208" t="n"/>
    </row>
    <row r="596" customFormat="1" s="59">
      <c r="E596" s="208" t="n"/>
      <c r="F596" s="208" t="n"/>
    </row>
    <row r="597" customFormat="1" s="59">
      <c r="E597" s="208" t="n"/>
      <c r="F597" s="208" t="n"/>
    </row>
    <row r="598" customFormat="1" s="59">
      <c r="E598" s="208" t="n"/>
      <c r="F598" s="208" t="n"/>
    </row>
    <row r="599" customFormat="1" s="59">
      <c r="E599" s="208" t="n"/>
      <c r="F599" s="208" t="n"/>
    </row>
    <row r="600" customFormat="1" s="59">
      <c r="E600" s="208" t="n"/>
      <c r="F600" s="208" t="n"/>
    </row>
    <row r="601" customFormat="1" s="59">
      <c r="E601" s="208" t="n"/>
      <c r="F601" s="208" t="n"/>
    </row>
    <row r="602" customFormat="1" s="59">
      <c r="E602" s="208" t="n"/>
      <c r="F602" s="208" t="n"/>
    </row>
    <row r="603" customFormat="1" s="59">
      <c r="E603" s="208" t="n"/>
      <c r="F603" s="208" t="n"/>
    </row>
    <row r="604" customFormat="1" s="59">
      <c r="E604" s="208" t="n"/>
      <c r="F604" s="208" t="n"/>
    </row>
    <row r="605" customFormat="1" s="59">
      <c r="E605" s="208" t="n"/>
      <c r="F605" s="208" t="n"/>
    </row>
    <row r="606" customFormat="1" s="59">
      <c r="E606" s="208" t="n"/>
      <c r="F606" s="208" t="n"/>
    </row>
    <row r="607" customFormat="1" s="59">
      <c r="E607" s="208" t="n"/>
      <c r="F607" s="208" t="n"/>
    </row>
    <row r="608" customFormat="1" s="59">
      <c r="E608" s="208" t="n"/>
      <c r="F608" s="208" t="n"/>
    </row>
    <row r="609" customFormat="1" s="59">
      <c r="E609" s="208" t="n"/>
      <c r="F609" s="208" t="n"/>
    </row>
    <row r="610" customFormat="1" s="59">
      <c r="E610" s="208" t="n"/>
      <c r="F610" s="208" t="n"/>
    </row>
    <row r="611" customFormat="1" s="59">
      <c r="E611" s="208" t="n"/>
      <c r="F611" s="208" t="n"/>
    </row>
    <row r="612" customFormat="1" s="59">
      <c r="E612" s="208" t="n"/>
      <c r="F612" s="208" t="n"/>
    </row>
    <row r="613" customFormat="1" s="59">
      <c r="E613" s="208" t="n"/>
      <c r="F613" s="208" t="n"/>
    </row>
    <row r="614" customFormat="1" s="59">
      <c r="E614" s="208" t="n"/>
      <c r="F614" s="208" t="n"/>
    </row>
    <row r="615" customFormat="1" s="59">
      <c r="E615" s="208" t="n"/>
      <c r="F615" s="208" t="n"/>
    </row>
    <row r="616" customFormat="1" s="59">
      <c r="E616" s="208" t="n"/>
      <c r="F616" s="208" t="n"/>
    </row>
    <row r="617" customFormat="1" s="59">
      <c r="E617" s="208" t="n"/>
      <c r="F617" s="208" t="n"/>
    </row>
    <row r="618" customFormat="1" s="59">
      <c r="E618" s="208" t="n"/>
      <c r="F618" s="208" t="n"/>
    </row>
    <row r="619" customFormat="1" s="59">
      <c r="E619" s="208" t="n"/>
      <c r="F619" s="208" t="n"/>
    </row>
    <row r="620" customFormat="1" s="59">
      <c r="E620" s="208" t="n"/>
      <c r="F620" s="208" t="n"/>
    </row>
    <row r="621" customFormat="1" s="59">
      <c r="E621" s="208" t="n"/>
      <c r="F621" s="208" t="n"/>
    </row>
    <row r="622" customFormat="1" s="59">
      <c r="E622" s="208" t="n"/>
      <c r="F622" s="208" t="n"/>
    </row>
    <row r="623" customFormat="1" s="59">
      <c r="E623" s="208" t="n"/>
      <c r="F623" s="208" t="n"/>
    </row>
    <row r="624" customFormat="1" s="59">
      <c r="E624" s="208" t="n"/>
      <c r="F624" s="208" t="n"/>
    </row>
    <row r="625" customFormat="1" s="59">
      <c r="E625" s="208" t="n"/>
      <c r="F625" s="208" t="n"/>
    </row>
    <row r="626" customFormat="1" s="59">
      <c r="E626" s="208" t="n"/>
      <c r="F626" s="208" t="n"/>
    </row>
    <row r="627" customFormat="1" s="59">
      <c r="E627" s="208" t="n"/>
      <c r="F627" s="208" t="n"/>
    </row>
    <row r="628" customFormat="1" s="59">
      <c r="E628" s="208" t="n"/>
      <c r="F628" s="208" t="n"/>
    </row>
    <row r="629" customFormat="1" s="59">
      <c r="E629" s="208" t="n"/>
      <c r="F629" s="208" t="n"/>
    </row>
    <row r="630" customFormat="1" s="59">
      <c r="E630" s="208" t="n"/>
      <c r="F630" s="208" t="n"/>
    </row>
    <row r="631" customFormat="1" s="59">
      <c r="E631" s="208" t="n"/>
      <c r="F631" s="208" t="n"/>
    </row>
    <row r="632" customFormat="1" s="59">
      <c r="E632" s="208" t="n"/>
      <c r="F632" s="208" t="n"/>
    </row>
    <row r="633" customFormat="1" s="59">
      <c r="E633" s="208" t="n"/>
      <c r="F633" s="208" t="n"/>
    </row>
    <row r="634" customFormat="1" s="59">
      <c r="E634" s="208" t="n"/>
      <c r="F634" s="208" t="n"/>
    </row>
    <row r="635" customFormat="1" s="59">
      <c r="E635" s="208" t="n"/>
      <c r="F635" s="208" t="n"/>
    </row>
    <row r="636" customFormat="1" s="59">
      <c r="E636" s="208" t="n"/>
      <c r="F636" s="208" t="n"/>
    </row>
    <row r="637" customFormat="1" s="59">
      <c r="E637" s="208" t="n"/>
      <c r="F637" s="208" t="n"/>
    </row>
    <row r="638" customFormat="1" s="59">
      <c r="E638" s="208" t="n"/>
      <c r="F638" s="208" t="n"/>
    </row>
    <row r="639" customFormat="1" s="59">
      <c r="E639" s="208" t="n"/>
      <c r="F639" s="208" t="n"/>
    </row>
    <row r="640" customFormat="1" s="59">
      <c r="E640" s="208" t="n"/>
      <c r="F640" s="208" t="n"/>
    </row>
    <row r="641" customFormat="1" s="59">
      <c r="E641" s="208" t="n"/>
      <c r="F641" s="208" t="n"/>
    </row>
    <row r="642" customFormat="1" s="59">
      <c r="E642" s="208" t="n"/>
      <c r="F642" s="208" t="n"/>
    </row>
    <row r="643" customFormat="1" s="59">
      <c r="E643" s="208" t="n"/>
      <c r="F643" s="208" t="n"/>
    </row>
    <row r="644" customFormat="1" s="59">
      <c r="E644" s="208" t="n"/>
      <c r="F644" s="208" t="n"/>
    </row>
    <row r="645" customFormat="1" s="59">
      <c r="E645" s="208" t="n"/>
      <c r="F645" s="208" t="n"/>
    </row>
    <row r="646" customFormat="1" s="59">
      <c r="E646" s="208" t="n"/>
      <c r="F646" s="208" t="n"/>
    </row>
    <row r="647" customFormat="1" s="59">
      <c r="E647" s="208" t="n"/>
      <c r="F647" s="208" t="n"/>
    </row>
    <row r="648" customFormat="1" s="59">
      <c r="E648" s="208" t="n"/>
      <c r="F648" s="208" t="n"/>
    </row>
    <row r="649" customFormat="1" s="59">
      <c r="E649" s="208" t="n"/>
      <c r="F649" s="208" t="n"/>
    </row>
    <row r="650" customFormat="1" s="59">
      <c r="E650" s="208" t="n"/>
      <c r="F650" s="208" t="n"/>
    </row>
    <row r="651" customFormat="1" s="59">
      <c r="E651" s="208" t="n"/>
      <c r="F651" s="208" t="n"/>
    </row>
    <row r="652" customFormat="1" s="59">
      <c r="E652" s="208" t="n"/>
      <c r="F652" s="208" t="n"/>
    </row>
    <row r="653" customFormat="1" s="59">
      <c r="E653" s="208" t="n"/>
      <c r="F653" s="208" t="n"/>
    </row>
    <row r="654" customFormat="1" s="59">
      <c r="E654" s="208" t="n"/>
      <c r="F654" s="208" t="n"/>
    </row>
    <row r="655" customFormat="1" s="59">
      <c r="E655" s="208" t="n"/>
      <c r="F655" s="208" t="n"/>
    </row>
    <row r="656" customFormat="1" s="59">
      <c r="E656" s="208" t="n"/>
      <c r="F656" s="208" t="n"/>
    </row>
    <row r="657" customFormat="1" s="59">
      <c r="E657" s="208" t="n"/>
      <c r="F657" s="208" t="n"/>
    </row>
    <row r="658" customFormat="1" s="59">
      <c r="E658" s="208" t="n"/>
      <c r="F658" s="208" t="n"/>
    </row>
    <row r="659" customFormat="1" s="59">
      <c r="E659" s="208" t="n"/>
      <c r="F659" s="208" t="n"/>
    </row>
    <row r="660" customFormat="1" s="59">
      <c r="E660" s="208" t="n"/>
      <c r="F660" s="208" t="n"/>
    </row>
    <row r="661" customFormat="1" s="59">
      <c r="E661" s="208" t="n"/>
      <c r="F661" s="208" t="n"/>
    </row>
    <row r="662" customFormat="1" s="59">
      <c r="E662" s="208" t="n"/>
      <c r="F662" s="208" t="n"/>
    </row>
    <row r="663" customFormat="1" s="59">
      <c r="E663" s="208" t="n"/>
      <c r="F663" s="208" t="n"/>
    </row>
    <row r="664" customFormat="1" s="59">
      <c r="E664" s="208" t="n"/>
      <c r="F664" s="208" t="n"/>
    </row>
    <row r="665" customFormat="1" s="59">
      <c r="E665" s="208" t="n"/>
      <c r="F665" s="208" t="n"/>
    </row>
    <row r="666" customFormat="1" s="59">
      <c r="E666" s="208" t="n"/>
      <c r="F666" s="208" t="n"/>
    </row>
    <row r="667" customFormat="1" s="59">
      <c r="E667" s="208" t="n"/>
      <c r="F667" s="208" t="n"/>
    </row>
    <row r="668" customFormat="1" s="59">
      <c r="E668" s="208" t="n"/>
      <c r="F668" s="208" t="n"/>
    </row>
    <row r="669" customFormat="1" s="59">
      <c r="E669" s="208" t="n"/>
      <c r="F669" s="208" t="n"/>
    </row>
    <row r="670" customFormat="1" s="59">
      <c r="E670" s="208" t="n"/>
      <c r="F670" s="208" t="n"/>
    </row>
    <row r="671" customFormat="1" s="59">
      <c r="E671" s="208" t="n"/>
      <c r="F671" s="208" t="n"/>
    </row>
    <row r="672" customFormat="1" s="59">
      <c r="E672" s="208" t="n"/>
      <c r="F672" s="208" t="n"/>
    </row>
    <row r="673" customFormat="1" s="59">
      <c r="E673" s="208" t="n"/>
      <c r="F673" s="208" t="n"/>
    </row>
    <row r="674" customFormat="1" s="59">
      <c r="E674" s="208" t="n"/>
      <c r="F674" s="208" t="n"/>
    </row>
    <row r="675" customFormat="1" s="59">
      <c r="E675" s="208" t="n"/>
      <c r="F675" s="208" t="n"/>
    </row>
    <row r="676" customFormat="1" s="59">
      <c r="E676" s="208" t="n"/>
      <c r="F676" s="208" t="n"/>
    </row>
    <row r="677" customFormat="1" s="59">
      <c r="E677" s="208" t="n"/>
      <c r="F677" s="208" t="n"/>
    </row>
    <row r="678" customFormat="1" s="59">
      <c r="E678" s="208" t="n"/>
      <c r="F678" s="208" t="n"/>
    </row>
    <row r="679" customFormat="1" s="59">
      <c r="E679" s="208" t="n"/>
      <c r="F679" s="208" t="n"/>
    </row>
    <row r="680" customFormat="1" s="59">
      <c r="E680" s="208" t="n"/>
      <c r="F680" s="208" t="n"/>
    </row>
    <row r="681" customFormat="1" s="59">
      <c r="E681" s="208" t="n"/>
      <c r="F681" s="208" t="n"/>
    </row>
    <row r="682" customFormat="1" s="59">
      <c r="E682" s="208" t="n"/>
      <c r="F682" s="208" t="n"/>
    </row>
    <row r="683" customFormat="1" s="59">
      <c r="E683" s="208" t="n"/>
      <c r="F683" s="208" t="n"/>
    </row>
    <row r="684" customFormat="1" s="59">
      <c r="E684" s="208" t="n"/>
      <c r="F684" s="208" t="n"/>
    </row>
    <row r="685" customFormat="1" s="59">
      <c r="E685" s="208" t="n"/>
      <c r="F685" s="208" t="n"/>
    </row>
    <row r="686" customFormat="1" s="59">
      <c r="E686" s="208" t="n"/>
      <c r="F686" s="208" t="n"/>
    </row>
    <row r="687" customFormat="1" s="59">
      <c r="E687" s="208" t="n"/>
      <c r="F687" s="208" t="n"/>
    </row>
    <row r="688" customFormat="1" s="59">
      <c r="E688" s="208" t="n"/>
      <c r="F688" s="208" t="n"/>
    </row>
    <row r="689" customFormat="1" s="59">
      <c r="E689" s="208" t="n"/>
      <c r="F689" s="208" t="n"/>
    </row>
    <row r="690" customFormat="1" s="59">
      <c r="E690" s="208" t="n"/>
      <c r="F690" s="208" t="n"/>
    </row>
    <row r="691" customFormat="1" s="59">
      <c r="E691" s="208" t="n"/>
      <c r="F691" s="208" t="n"/>
    </row>
    <row r="692" customFormat="1" s="59">
      <c r="E692" s="208" t="n"/>
      <c r="F692" s="208" t="n"/>
    </row>
    <row r="693" customFormat="1" s="59">
      <c r="E693" s="208" t="n"/>
      <c r="F693" s="208" t="n"/>
    </row>
    <row r="694" customFormat="1" s="59">
      <c r="E694" s="208" t="n"/>
      <c r="F694" s="208" t="n"/>
    </row>
    <row r="695" customFormat="1" s="59">
      <c r="E695" s="208" t="n"/>
      <c r="F695" s="208" t="n"/>
    </row>
    <row r="696" customFormat="1" s="59">
      <c r="E696" s="208" t="n"/>
      <c r="F696" s="208" t="n"/>
    </row>
    <row r="697" customFormat="1" s="59">
      <c r="E697" s="208" t="n"/>
      <c r="F697" s="208" t="n"/>
    </row>
    <row r="698" customFormat="1" s="59">
      <c r="E698" s="208" t="n"/>
      <c r="F698" s="208" t="n"/>
    </row>
    <row r="699" customFormat="1" s="59">
      <c r="E699" s="208" t="n"/>
      <c r="F699" s="208" t="n"/>
    </row>
    <row r="700" customFormat="1" s="59">
      <c r="E700" s="208" t="n"/>
      <c r="F700" s="208" t="n"/>
    </row>
    <row r="701" customFormat="1" s="59">
      <c r="E701" s="208" t="n"/>
      <c r="F701" s="208" t="n"/>
    </row>
    <row r="702" customFormat="1" s="59">
      <c r="E702" s="208" t="n"/>
      <c r="F702" s="208" t="n"/>
    </row>
    <row r="703" customFormat="1" s="59">
      <c r="E703" s="208" t="n"/>
      <c r="F703" s="208" t="n"/>
    </row>
    <row r="704" customFormat="1" s="59">
      <c r="E704" s="208" t="n"/>
      <c r="F704" s="208" t="n"/>
    </row>
    <row r="705" customFormat="1" s="59">
      <c r="E705" s="208" t="n"/>
      <c r="F705" s="208" t="n"/>
    </row>
    <row r="706" customFormat="1" s="59">
      <c r="E706" s="208" t="n"/>
      <c r="F706" s="208" t="n"/>
    </row>
    <row r="707" customFormat="1" s="59">
      <c r="E707" s="208" t="n"/>
      <c r="F707" s="208" t="n"/>
    </row>
    <row r="708" customFormat="1" s="59">
      <c r="E708" s="208" t="n"/>
      <c r="F708" s="208" t="n"/>
    </row>
    <row r="709" customFormat="1" s="59">
      <c r="E709" s="208" t="n"/>
      <c r="F709" s="208" t="n"/>
    </row>
    <row r="710" customFormat="1" s="59">
      <c r="E710" s="208" t="n"/>
      <c r="F710" s="208" t="n"/>
    </row>
    <row r="711" customFormat="1" s="59">
      <c r="E711" s="208" t="n"/>
      <c r="F711" s="208" t="n"/>
    </row>
    <row r="712" customFormat="1" s="59">
      <c r="E712" s="208" t="n"/>
      <c r="F712" s="208" t="n"/>
    </row>
    <row r="713" customFormat="1" s="59">
      <c r="E713" s="208" t="n"/>
      <c r="F713" s="208" t="n"/>
    </row>
    <row r="714" customFormat="1" s="59">
      <c r="E714" s="208" t="n"/>
      <c r="F714" s="208" t="n"/>
    </row>
    <row r="715" customFormat="1" s="59">
      <c r="E715" s="208" t="n"/>
      <c r="F715" s="208" t="n"/>
    </row>
    <row r="716" customFormat="1" s="59">
      <c r="E716" s="208" t="n"/>
      <c r="F716" s="208" t="n"/>
    </row>
    <row r="717" customFormat="1" s="59">
      <c r="E717" s="208" t="n"/>
      <c r="F717" s="208" t="n"/>
    </row>
    <row r="718" customFormat="1" s="59">
      <c r="E718" s="208" t="n"/>
      <c r="F718" s="208" t="n"/>
    </row>
    <row r="719" customFormat="1" s="59">
      <c r="E719" s="208" t="n"/>
      <c r="F719" s="208" t="n"/>
    </row>
    <row r="720" customFormat="1" s="59">
      <c r="E720" s="208" t="n"/>
      <c r="F720" s="208" t="n"/>
    </row>
    <row r="721" customFormat="1" s="59">
      <c r="E721" s="208" t="n"/>
      <c r="F721" s="208" t="n"/>
    </row>
    <row r="722" customFormat="1" s="59">
      <c r="E722" s="208" t="n"/>
      <c r="F722" s="208" t="n"/>
    </row>
    <row r="723" customFormat="1" s="59">
      <c r="E723" s="208" t="n"/>
      <c r="F723" s="208" t="n"/>
    </row>
    <row r="724" customFormat="1" s="59">
      <c r="E724" s="208" t="n"/>
      <c r="F724" s="208" t="n"/>
    </row>
    <row r="725" customFormat="1" s="59">
      <c r="E725" s="208" t="n"/>
      <c r="F725" s="208" t="n"/>
    </row>
    <row r="726" customFormat="1" s="59">
      <c r="E726" s="208" t="n"/>
      <c r="F726" s="208" t="n"/>
    </row>
    <row r="727" customFormat="1" s="59">
      <c r="E727" s="208" t="n"/>
      <c r="F727" s="208" t="n"/>
    </row>
    <row r="728" customFormat="1" s="59">
      <c r="E728" s="208" t="n"/>
      <c r="F728" s="208" t="n"/>
    </row>
    <row r="729" customFormat="1" s="59">
      <c r="E729" s="208" t="n"/>
      <c r="F729" s="208" t="n"/>
    </row>
    <row r="730" customFormat="1" s="59">
      <c r="E730" s="208" t="n"/>
      <c r="F730" s="208" t="n"/>
    </row>
    <row r="731" customFormat="1" s="59">
      <c r="E731" s="208" t="n"/>
      <c r="F731" s="208" t="n"/>
    </row>
    <row r="732" customFormat="1" s="59">
      <c r="E732" s="208" t="n"/>
      <c r="F732" s="208" t="n"/>
    </row>
    <row r="733" customFormat="1" s="59">
      <c r="E733" s="208" t="n"/>
      <c r="F733" s="208" t="n"/>
    </row>
    <row r="734" customFormat="1" s="59">
      <c r="E734" s="208" t="n"/>
      <c r="F734" s="208" t="n"/>
    </row>
    <row r="735" customFormat="1" s="59">
      <c r="E735" s="208" t="n"/>
      <c r="F735" s="208" t="n"/>
    </row>
    <row r="736" customFormat="1" s="59">
      <c r="E736" s="208" t="n"/>
      <c r="F736" s="208" t="n"/>
    </row>
    <row r="737" customFormat="1" s="59">
      <c r="E737" s="208" t="n"/>
      <c r="F737" s="208" t="n"/>
    </row>
    <row r="738" customFormat="1" s="59">
      <c r="E738" s="208" t="n"/>
      <c r="F738" s="208" t="n"/>
    </row>
    <row r="739" customFormat="1" s="59">
      <c r="E739" s="208" t="n"/>
      <c r="F739" s="208" t="n"/>
    </row>
    <row r="740" customFormat="1" s="59">
      <c r="E740" s="208" t="n"/>
      <c r="F740" s="208" t="n"/>
    </row>
    <row r="741" customFormat="1" s="59">
      <c r="E741" s="208" t="n"/>
      <c r="F741" s="208" t="n"/>
    </row>
    <row r="742" customFormat="1" s="59">
      <c r="E742" s="208" t="n"/>
      <c r="F742" s="208" t="n"/>
    </row>
    <row r="743" customFormat="1" s="59">
      <c r="E743" s="208" t="n"/>
      <c r="F743" s="208" t="n"/>
    </row>
    <row r="744" customFormat="1" s="59">
      <c r="E744" s="208" t="n"/>
      <c r="F744" s="208" t="n"/>
    </row>
    <row r="745" customFormat="1" s="59">
      <c r="E745" s="208" t="n"/>
      <c r="F745" s="208" t="n"/>
    </row>
    <row r="746" customFormat="1" s="59">
      <c r="E746" s="208" t="n"/>
      <c r="F746" s="208" t="n"/>
    </row>
    <row r="747" customFormat="1" s="59">
      <c r="E747" s="208" t="n"/>
      <c r="F747" s="208" t="n"/>
    </row>
    <row r="748" customFormat="1" s="59">
      <c r="E748" s="208" t="n"/>
      <c r="F748" s="208" t="n"/>
    </row>
    <row r="749" customFormat="1" s="59">
      <c r="E749" s="208" t="n"/>
      <c r="F749" s="208" t="n"/>
    </row>
    <row r="750" customFormat="1" s="59">
      <c r="E750" s="208" t="n"/>
      <c r="F750" s="208" t="n"/>
    </row>
    <row r="751" customFormat="1" s="59">
      <c r="E751" s="208" t="n"/>
      <c r="F751" s="208" t="n"/>
    </row>
    <row r="752" customFormat="1" s="59">
      <c r="E752" s="208" t="n"/>
      <c r="F752" s="208" t="n"/>
    </row>
    <row r="753" customFormat="1" s="59">
      <c r="E753" s="208" t="n"/>
      <c r="F753" s="208" t="n"/>
    </row>
    <row r="754" customFormat="1" s="59">
      <c r="E754" s="208" t="n"/>
      <c r="F754" s="208" t="n"/>
    </row>
    <row r="755" customFormat="1" s="59">
      <c r="E755" s="208" t="n"/>
      <c r="F755" s="208" t="n"/>
    </row>
    <row r="756" customFormat="1" s="59">
      <c r="E756" s="208" t="n"/>
      <c r="F756" s="208" t="n"/>
    </row>
    <row r="757" customFormat="1" s="59">
      <c r="E757" s="208" t="n"/>
      <c r="F757" s="208" t="n"/>
    </row>
    <row r="758" customFormat="1" s="59">
      <c r="E758" s="208" t="n"/>
      <c r="F758" s="208" t="n"/>
    </row>
    <row r="759" customFormat="1" s="59">
      <c r="E759" s="208" t="n"/>
      <c r="F759" s="208" t="n"/>
    </row>
    <row r="760" customFormat="1" s="59">
      <c r="E760" s="208" t="n"/>
      <c r="F760" s="208" t="n"/>
    </row>
    <row r="761" customFormat="1" s="59">
      <c r="E761" s="208" t="n"/>
      <c r="F761" s="208" t="n"/>
    </row>
    <row r="762" customFormat="1" s="59">
      <c r="E762" s="208" t="n"/>
      <c r="F762" s="208" t="n"/>
    </row>
    <row r="763" customFormat="1" s="59">
      <c r="E763" s="208" t="n"/>
      <c r="F763" s="208" t="n"/>
    </row>
    <row r="764" customFormat="1" s="59">
      <c r="E764" s="208" t="n"/>
      <c r="F764" s="208" t="n"/>
    </row>
    <row r="765" customFormat="1" s="59">
      <c r="E765" s="208" t="n"/>
      <c r="F765" s="208" t="n"/>
    </row>
    <row r="766" customFormat="1" s="59">
      <c r="E766" s="208" t="n"/>
      <c r="F766" s="208" t="n"/>
    </row>
    <row r="767" customFormat="1" s="59">
      <c r="E767" s="208" t="n"/>
      <c r="F767" s="208" t="n"/>
    </row>
    <row r="768" customFormat="1" s="59">
      <c r="E768" s="208" t="n"/>
      <c r="F768" s="208" t="n"/>
    </row>
    <row r="769" customFormat="1" s="59">
      <c r="E769" s="208" t="n"/>
      <c r="F769" s="208" t="n"/>
    </row>
    <row r="770" customFormat="1" s="59">
      <c r="E770" s="208" t="n"/>
      <c r="F770" s="208" t="n"/>
    </row>
    <row r="771" customFormat="1" s="59">
      <c r="E771" s="208" t="n"/>
      <c r="F771" s="208" t="n"/>
    </row>
    <row r="772" customFormat="1" s="59">
      <c r="E772" s="208" t="n"/>
      <c r="F772" s="208" t="n"/>
    </row>
    <row r="773" customFormat="1" s="59">
      <c r="E773" s="208" t="n"/>
      <c r="F773" s="208" t="n"/>
    </row>
    <row r="774" customFormat="1" s="59">
      <c r="E774" s="208" t="n"/>
      <c r="F774" s="208" t="n"/>
    </row>
    <row r="775" customFormat="1" s="59">
      <c r="E775" s="208" t="n"/>
      <c r="F775" s="208" t="n"/>
    </row>
    <row r="776" customFormat="1" s="59">
      <c r="E776" s="208" t="n"/>
      <c r="F776" s="208" t="n"/>
    </row>
    <row r="777" customFormat="1" s="59">
      <c r="E777" s="208" t="n"/>
      <c r="F777" s="208" t="n"/>
    </row>
    <row r="778" customFormat="1" s="59">
      <c r="E778" s="208" t="n"/>
      <c r="F778" s="208" t="n"/>
    </row>
    <row r="779" customFormat="1" s="59">
      <c r="E779" s="208" t="n"/>
      <c r="F779" s="208" t="n"/>
    </row>
    <row r="780" customFormat="1" s="59">
      <c r="E780" s="208" t="n"/>
      <c r="F780" s="208" t="n"/>
    </row>
    <row r="781" customFormat="1" s="59">
      <c r="E781" s="208" t="n"/>
      <c r="F781" s="208" t="n"/>
    </row>
    <row r="782" customFormat="1" s="59">
      <c r="E782" s="208" t="n"/>
      <c r="F782" s="208" t="n"/>
    </row>
    <row r="783" customFormat="1" s="59">
      <c r="E783" s="208" t="n"/>
      <c r="F783" s="208" t="n"/>
    </row>
    <row r="784" customFormat="1" s="59">
      <c r="E784" s="208" t="n"/>
      <c r="F784" s="208" t="n"/>
    </row>
    <row r="785" customFormat="1" s="59">
      <c r="E785" s="208" t="n"/>
      <c r="F785" s="208" t="n"/>
    </row>
    <row r="786" customFormat="1" s="59">
      <c r="E786" s="208" t="n"/>
      <c r="F786" s="208" t="n"/>
    </row>
    <row r="787" customFormat="1" s="59">
      <c r="E787" s="208" t="n"/>
      <c r="F787" s="208" t="n"/>
    </row>
    <row r="788" customFormat="1" s="59">
      <c r="E788" s="208" t="n"/>
      <c r="F788" s="208" t="n"/>
    </row>
    <row r="789" customFormat="1" s="59">
      <c r="E789" s="208" t="n"/>
      <c r="F789" s="208" t="n"/>
    </row>
    <row r="790" customFormat="1" s="59">
      <c r="E790" s="208" t="n"/>
      <c r="F790" s="208" t="n"/>
    </row>
    <row r="791" customFormat="1" s="59">
      <c r="E791" s="208" t="n"/>
      <c r="F791" s="208" t="n"/>
    </row>
    <row r="792" customFormat="1" s="59">
      <c r="E792" s="208" t="n"/>
      <c r="F792" s="208" t="n"/>
    </row>
    <row r="793" customFormat="1" s="59">
      <c r="E793" s="208" t="n"/>
      <c r="F793" s="208" t="n"/>
    </row>
    <row r="794" customFormat="1" s="59">
      <c r="E794" s="208" t="n"/>
      <c r="F794" s="208" t="n"/>
    </row>
    <row r="795" customFormat="1" s="59">
      <c r="E795" s="208" t="n"/>
      <c r="F795" s="208" t="n"/>
    </row>
    <row r="796" customFormat="1" s="59">
      <c r="E796" s="208" t="n"/>
      <c r="F796" s="208" t="n"/>
    </row>
    <row r="797" customFormat="1" s="59">
      <c r="E797" s="208" t="n"/>
      <c r="F797" s="208" t="n"/>
    </row>
    <row r="798" customFormat="1" s="59">
      <c r="E798" s="208" t="n"/>
      <c r="F798" s="208" t="n"/>
    </row>
    <row r="799" customFormat="1" s="59">
      <c r="E799" s="208" t="n"/>
      <c r="F799" s="208" t="n"/>
    </row>
    <row r="800" customFormat="1" s="59">
      <c r="E800" s="208" t="n"/>
      <c r="F800" s="208" t="n"/>
    </row>
    <row r="801" customFormat="1" s="59">
      <c r="E801" s="208" t="n"/>
      <c r="F801" s="208" t="n"/>
    </row>
    <row r="802" customFormat="1" s="59">
      <c r="E802" s="208" t="n"/>
      <c r="F802" s="208" t="n"/>
    </row>
    <row r="803" customFormat="1" s="59">
      <c r="E803" s="208" t="n"/>
      <c r="F803" s="208" t="n"/>
    </row>
    <row r="804" customFormat="1" s="59">
      <c r="E804" s="208" t="n"/>
      <c r="F804" s="208" t="n"/>
    </row>
    <row r="805" customFormat="1" s="59">
      <c r="E805" s="208" t="n"/>
      <c r="F805" s="208" t="n"/>
    </row>
    <row r="806" customFormat="1" s="59">
      <c r="E806" s="208" t="n"/>
      <c r="F806" s="208" t="n"/>
    </row>
    <row r="807" customFormat="1" s="59">
      <c r="E807" s="208" t="n"/>
      <c r="F807" s="208" t="n"/>
    </row>
    <row r="808" customFormat="1" s="59">
      <c r="E808" s="208" t="n"/>
      <c r="F808" s="208" t="n"/>
    </row>
    <row r="809" customFormat="1" s="59">
      <c r="E809" s="208" t="n"/>
      <c r="F809" s="208" t="n"/>
    </row>
    <row r="810" customFormat="1" s="59">
      <c r="E810" s="208" t="n"/>
      <c r="F810" s="208" t="n"/>
    </row>
    <row r="811" customFormat="1" s="59">
      <c r="E811" s="208" t="n"/>
      <c r="F811" s="208" t="n"/>
    </row>
    <row r="812" customFormat="1" s="59">
      <c r="E812" s="208" t="n"/>
      <c r="F812" s="208" t="n"/>
    </row>
    <row r="813" customFormat="1" s="59">
      <c r="E813" s="208" t="n"/>
      <c r="F813" s="208" t="n"/>
    </row>
    <row r="814" customFormat="1" s="59">
      <c r="E814" s="208" t="n"/>
      <c r="F814" s="208" t="n"/>
    </row>
    <row r="815" customFormat="1" s="59">
      <c r="E815" s="208" t="n"/>
      <c r="F815" s="208" t="n"/>
    </row>
    <row r="816" customFormat="1" s="59">
      <c r="E816" s="208" t="n"/>
      <c r="F816" s="208" t="n"/>
    </row>
    <row r="817" customFormat="1" s="59">
      <c r="E817" s="208" t="n"/>
      <c r="F817" s="208" t="n"/>
    </row>
    <row r="818" customFormat="1" s="59">
      <c r="E818" s="208" t="n"/>
      <c r="F818" s="208" t="n"/>
    </row>
    <row r="819" customFormat="1" s="59">
      <c r="E819" s="208" t="n"/>
      <c r="F819" s="208" t="n"/>
    </row>
    <row r="820" customFormat="1" s="59">
      <c r="E820" s="208" t="n"/>
      <c r="F820" s="208" t="n"/>
    </row>
    <row r="821" customFormat="1" s="59">
      <c r="E821" s="208" t="n"/>
      <c r="F821" s="208" t="n"/>
    </row>
    <row r="822" customFormat="1" s="59">
      <c r="E822" s="208" t="n"/>
      <c r="F822" s="208" t="n"/>
    </row>
    <row r="823" customFormat="1" s="59">
      <c r="E823" s="208" t="n"/>
      <c r="F823" s="208" t="n"/>
    </row>
    <row r="824" customFormat="1" s="59">
      <c r="E824" s="208" t="n"/>
      <c r="F824" s="208" t="n"/>
    </row>
    <row r="825" customFormat="1" s="59">
      <c r="E825" s="208" t="n"/>
      <c r="F825" s="208" t="n"/>
    </row>
    <row r="826" customFormat="1" s="59">
      <c r="E826" s="208" t="n"/>
      <c r="F826" s="208" t="n"/>
    </row>
    <row r="827" customFormat="1" s="59">
      <c r="E827" s="208" t="n"/>
      <c r="F827" s="208" t="n"/>
    </row>
    <row r="828" customFormat="1" s="59">
      <c r="E828" s="208" t="n"/>
      <c r="F828" s="208" t="n"/>
    </row>
    <row r="829" customFormat="1" s="59">
      <c r="E829" s="208" t="n"/>
      <c r="F829" s="208" t="n"/>
    </row>
    <row r="830" customFormat="1" s="59">
      <c r="E830" s="208" t="n"/>
      <c r="F830" s="208" t="n"/>
    </row>
    <row r="831" customFormat="1" s="59">
      <c r="E831" s="208" t="n"/>
      <c r="F831" s="208" t="n"/>
    </row>
    <row r="832" customFormat="1" s="59">
      <c r="E832" s="208" t="n"/>
      <c r="F832" s="208" t="n"/>
    </row>
    <row r="833" customFormat="1" s="59">
      <c r="E833" s="208" t="n"/>
      <c r="F833" s="208" t="n"/>
    </row>
    <row r="834" customFormat="1" s="59">
      <c r="E834" s="208" t="n"/>
      <c r="F834" s="208" t="n"/>
    </row>
    <row r="835" customFormat="1" s="59">
      <c r="E835" s="208" t="n"/>
      <c r="F835" s="208" t="n"/>
    </row>
    <row r="836" customFormat="1" s="59">
      <c r="E836" s="208" t="n"/>
      <c r="F836" s="208" t="n"/>
    </row>
    <row r="837" customFormat="1" s="59">
      <c r="E837" s="208" t="n"/>
      <c r="F837" s="208" t="n"/>
    </row>
    <row r="838" customFormat="1" s="59">
      <c r="E838" s="208" t="n"/>
      <c r="F838" s="208" t="n"/>
    </row>
    <row r="839" customFormat="1" s="59">
      <c r="E839" s="208" t="n"/>
      <c r="F839" s="208" t="n"/>
    </row>
    <row r="840" customFormat="1" s="59">
      <c r="E840" s="208" t="n"/>
      <c r="F840" s="208" t="n"/>
    </row>
    <row r="841" customFormat="1" s="59">
      <c r="E841" s="208" t="n"/>
      <c r="F841" s="208" t="n"/>
    </row>
    <row r="842" customFormat="1" s="59">
      <c r="E842" s="208" t="n"/>
      <c r="F842" s="208" t="n"/>
    </row>
    <row r="843" customFormat="1" s="59">
      <c r="E843" s="208" t="n"/>
      <c r="F843" s="208" t="n"/>
    </row>
    <row r="844" customFormat="1" s="59">
      <c r="E844" s="208" t="n"/>
      <c r="F844" s="208" t="n"/>
    </row>
    <row r="845" customFormat="1" s="59">
      <c r="E845" s="208" t="n"/>
      <c r="F845" s="208" t="n"/>
    </row>
    <row r="846" customFormat="1" s="59">
      <c r="E846" s="208" t="n"/>
      <c r="F846" s="208" t="n"/>
    </row>
    <row r="847" customFormat="1" s="59">
      <c r="E847" s="208" t="n"/>
      <c r="F847" s="208" t="n"/>
    </row>
    <row r="848" customFormat="1" s="59">
      <c r="E848" s="208" t="n"/>
      <c r="F848" s="208" t="n"/>
    </row>
    <row r="849" customFormat="1" s="59">
      <c r="E849" s="208" t="n"/>
      <c r="F849" s="208" t="n"/>
    </row>
    <row r="850" customFormat="1" s="59">
      <c r="E850" s="208" t="n"/>
      <c r="F850" s="208" t="n"/>
    </row>
    <row r="851" customFormat="1" s="59">
      <c r="E851" s="208" t="n"/>
      <c r="F851" s="208" t="n"/>
    </row>
    <row r="852" customFormat="1" s="59">
      <c r="E852" s="208" t="n"/>
      <c r="F852" s="208" t="n"/>
    </row>
    <row r="853" customFormat="1" s="59">
      <c r="E853" s="208" t="n"/>
      <c r="F853" s="208" t="n"/>
    </row>
    <row r="854" customFormat="1" s="59">
      <c r="E854" s="208" t="n"/>
      <c r="F854" s="208" t="n"/>
    </row>
    <row r="855" customFormat="1" s="59">
      <c r="E855" s="208" t="n"/>
      <c r="F855" s="208" t="n"/>
    </row>
    <row r="856" customFormat="1" s="59">
      <c r="E856" s="208" t="n"/>
      <c r="F856" s="208" t="n"/>
    </row>
    <row r="857" customFormat="1" s="59">
      <c r="E857" s="208" t="n"/>
      <c r="F857" s="208" t="n"/>
    </row>
    <row r="858" customFormat="1" s="59">
      <c r="E858" s="208" t="n"/>
      <c r="F858" s="208" t="n"/>
    </row>
    <row r="859" customFormat="1" s="59">
      <c r="E859" s="208" t="n"/>
      <c r="F859" s="208" t="n"/>
    </row>
    <row r="860" customFormat="1" s="59">
      <c r="E860" s="208" t="n"/>
      <c r="F860" s="208" t="n"/>
    </row>
    <row r="861" customFormat="1" s="59">
      <c r="E861" s="208" t="n"/>
      <c r="F861" s="208" t="n"/>
    </row>
    <row r="862" customFormat="1" s="59">
      <c r="E862" s="208" t="n"/>
      <c r="F862" s="208" t="n"/>
    </row>
    <row r="863" customFormat="1" s="59">
      <c r="E863" s="208" t="n"/>
      <c r="F863" s="208" t="n"/>
    </row>
    <row r="864" customFormat="1" s="59">
      <c r="E864" s="208" t="n"/>
      <c r="F864" s="208" t="n"/>
    </row>
    <row r="865" customFormat="1" s="59">
      <c r="E865" s="208" t="n"/>
      <c r="F865" s="208" t="n"/>
    </row>
    <row r="866" customFormat="1" s="59">
      <c r="E866" s="208" t="n"/>
      <c r="F866" s="208" t="n"/>
    </row>
    <row r="867" customFormat="1" s="59">
      <c r="E867" s="208" t="n"/>
      <c r="F867" s="208" t="n"/>
    </row>
    <row r="868" customFormat="1" s="59">
      <c r="E868" s="208" t="n"/>
      <c r="F868" s="208" t="n"/>
    </row>
    <row r="869" customFormat="1" s="59">
      <c r="E869" s="208" t="n"/>
      <c r="F869" s="208" t="n"/>
    </row>
    <row r="870" customFormat="1" s="59">
      <c r="E870" s="208" t="n"/>
      <c r="F870" s="208" t="n"/>
    </row>
    <row r="871" customFormat="1" s="59">
      <c r="E871" s="208" t="n"/>
      <c r="F871" s="208" t="n"/>
    </row>
    <row r="872" customFormat="1" s="59">
      <c r="E872" s="208" t="n"/>
      <c r="F872" s="208" t="n"/>
    </row>
    <row r="873" customFormat="1" s="59">
      <c r="E873" s="208" t="n"/>
      <c r="F873" s="208" t="n"/>
    </row>
    <row r="874" customFormat="1" s="59">
      <c r="E874" s="208" t="n"/>
      <c r="F874" s="208" t="n"/>
    </row>
    <row r="875" customFormat="1" s="59">
      <c r="E875" s="208" t="n"/>
      <c r="F875" s="208" t="n"/>
    </row>
    <row r="876" customFormat="1" s="59">
      <c r="E876" s="208" t="n"/>
      <c r="F876" s="208" t="n"/>
    </row>
    <row r="877" customFormat="1" s="59">
      <c r="E877" s="208" t="n"/>
      <c r="F877" s="208" t="n"/>
    </row>
    <row r="878" customFormat="1" s="59">
      <c r="E878" s="208" t="n"/>
      <c r="F878" s="208" t="n"/>
    </row>
    <row r="879" customFormat="1" s="59">
      <c r="E879" s="208" t="n"/>
      <c r="F879" s="208" t="n"/>
    </row>
    <row r="880" customFormat="1" s="59">
      <c r="E880" s="208" t="n"/>
      <c r="F880" s="208" t="n"/>
    </row>
    <row r="881" customFormat="1" s="59">
      <c r="E881" s="208" t="n"/>
      <c r="F881" s="208" t="n"/>
    </row>
    <row r="882" customFormat="1" s="59">
      <c r="E882" s="208" t="n"/>
      <c r="F882" s="208" t="n"/>
    </row>
    <row r="883" customFormat="1" s="59">
      <c r="E883" s="208" t="n"/>
      <c r="F883" s="208" t="n"/>
    </row>
    <row r="884" customFormat="1" s="59">
      <c r="E884" s="208" t="n"/>
      <c r="F884" s="208" t="n"/>
    </row>
    <row r="885" customFormat="1" s="59">
      <c r="E885" s="208" t="n"/>
      <c r="F885" s="208" t="n"/>
    </row>
    <row r="886" customFormat="1" s="59">
      <c r="E886" s="208" t="n"/>
      <c r="F886" s="208" t="n"/>
    </row>
    <row r="887" customFormat="1" s="59">
      <c r="E887" s="208" t="n"/>
      <c r="F887" s="208" t="n"/>
    </row>
    <row r="888" customFormat="1" s="59">
      <c r="E888" s="208" t="n"/>
      <c r="F888" s="208" t="n"/>
    </row>
    <row r="889" customFormat="1" s="59">
      <c r="E889" s="208" t="n"/>
      <c r="F889" s="208" t="n"/>
    </row>
    <row r="890" customFormat="1" s="59">
      <c r="E890" s="208" t="n"/>
      <c r="F890" s="208" t="n"/>
    </row>
    <row r="891" customFormat="1" s="59">
      <c r="E891" s="208" t="n"/>
      <c r="F891" s="208" t="n"/>
    </row>
    <row r="892" customFormat="1" s="59">
      <c r="E892" s="208" t="n"/>
      <c r="F892" s="208" t="n"/>
    </row>
    <row r="893" customFormat="1" s="59">
      <c r="E893" s="208" t="n"/>
      <c r="F893" s="208" t="n"/>
    </row>
    <row r="894" customFormat="1" s="59">
      <c r="E894" s="208" t="n"/>
      <c r="F894" s="208" t="n"/>
    </row>
    <row r="895" customFormat="1" s="59">
      <c r="E895" s="208" t="n"/>
      <c r="F895" s="208" t="n"/>
    </row>
    <row r="896" customFormat="1" s="59">
      <c r="E896" s="208" t="n"/>
      <c r="F896" s="208" t="n"/>
    </row>
    <row r="897" customFormat="1" s="59">
      <c r="E897" s="208" t="n"/>
      <c r="F897" s="208" t="n"/>
    </row>
    <row r="898" customFormat="1" s="59">
      <c r="E898" s="208" t="n"/>
      <c r="F898" s="208" t="n"/>
    </row>
    <row r="899" customFormat="1" s="59">
      <c r="E899" s="208" t="n"/>
      <c r="F899" s="208" t="n"/>
    </row>
    <row r="900" customFormat="1" s="59">
      <c r="E900" s="208" t="n"/>
      <c r="F900" s="208" t="n"/>
    </row>
    <row r="901" customFormat="1" s="59">
      <c r="E901" s="208" t="n"/>
      <c r="F901" s="208" t="n"/>
    </row>
    <row r="902" customFormat="1" s="59">
      <c r="E902" s="208" t="n"/>
      <c r="F902" s="208" t="n"/>
    </row>
    <row r="903" customFormat="1" s="59">
      <c r="E903" s="208" t="n"/>
      <c r="F903" s="208" t="n"/>
    </row>
    <row r="904" customFormat="1" s="59">
      <c r="E904" s="208" t="n"/>
      <c r="F904" s="208" t="n"/>
    </row>
    <row r="905" customFormat="1" s="59">
      <c r="E905" s="208" t="n"/>
      <c r="F905" s="208" t="n"/>
    </row>
    <row r="906" customFormat="1" s="59">
      <c r="E906" s="208" t="n"/>
      <c r="F906" s="208" t="n"/>
    </row>
    <row r="907" customFormat="1" s="59">
      <c r="E907" s="208" t="n"/>
      <c r="F907" s="208" t="n"/>
    </row>
    <row r="908" customFormat="1" s="59">
      <c r="E908" s="208" t="n"/>
      <c r="F908" s="208" t="n"/>
    </row>
    <row r="909" customFormat="1" s="59">
      <c r="E909" s="208" t="n"/>
      <c r="F909" s="208" t="n"/>
    </row>
    <row r="910" customFormat="1" s="59">
      <c r="E910" s="208" t="n"/>
      <c r="F910" s="208" t="n"/>
    </row>
    <row r="911" customFormat="1" s="59">
      <c r="E911" s="208" t="n"/>
      <c r="F911" s="208" t="n"/>
    </row>
    <row r="912" customFormat="1" s="59">
      <c r="E912" s="208" t="n"/>
      <c r="F912" s="208" t="n"/>
    </row>
    <row r="913" customFormat="1" s="59">
      <c r="E913" s="208" t="n"/>
      <c r="F913" s="208" t="n"/>
    </row>
    <row r="914" customFormat="1" s="59">
      <c r="E914" s="208" t="n"/>
      <c r="F914" s="208" t="n"/>
    </row>
    <row r="915" customFormat="1" s="59">
      <c r="E915" s="208" t="n"/>
      <c r="F915" s="208" t="n"/>
    </row>
    <row r="916" customFormat="1" s="59">
      <c r="E916" s="208" t="n"/>
      <c r="F916" s="208" t="n"/>
    </row>
    <row r="917" customFormat="1" s="59">
      <c r="E917" s="208" t="n"/>
      <c r="F917" s="208" t="n"/>
    </row>
    <row r="918" customFormat="1" s="59">
      <c r="E918" s="208" t="n"/>
      <c r="F918" s="208" t="n"/>
    </row>
    <row r="919" customFormat="1" s="59">
      <c r="E919" s="208" t="n"/>
      <c r="F919" s="208" t="n"/>
    </row>
    <row r="920" customFormat="1" s="59">
      <c r="E920" s="208" t="n"/>
      <c r="F920" s="208" t="n"/>
    </row>
    <row r="921" customFormat="1" s="59">
      <c r="E921" s="208" t="n"/>
      <c r="F921" s="208" t="n"/>
    </row>
    <row r="922" customFormat="1" s="59">
      <c r="E922" s="208" t="n"/>
      <c r="F922" s="208" t="n"/>
    </row>
    <row r="923" customFormat="1" s="59">
      <c r="E923" s="208" t="n"/>
      <c r="F923" s="208" t="n"/>
    </row>
    <row r="924" customFormat="1" s="59">
      <c r="E924" s="208" t="n"/>
      <c r="F924" s="208" t="n"/>
    </row>
    <row r="925" customFormat="1" s="59">
      <c r="E925" s="208" t="n"/>
      <c r="F925" s="208" t="n"/>
    </row>
    <row r="926" customFormat="1" s="59">
      <c r="E926" s="208" t="n"/>
      <c r="F926" s="208" t="n"/>
    </row>
    <row r="927" customFormat="1" s="59">
      <c r="E927" s="208" t="n"/>
      <c r="F927" s="208" t="n"/>
    </row>
    <row r="928" customFormat="1" s="59">
      <c r="E928" s="208" t="n"/>
      <c r="F928" s="208" t="n"/>
    </row>
    <row r="929" customFormat="1" s="59">
      <c r="E929" s="208" t="n"/>
      <c r="F929" s="208" t="n"/>
    </row>
    <row r="930" customFormat="1" s="59">
      <c r="E930" s="208" t="n"/>
      <c r="F930" s="208" t="n"/>
    </row>
    <row r="931" customFormat="1" s="59">
      <c r="E931" s="208" t="n"/>
      <c r="F931" s="208" t="n"/>
    </row>
    <row r="932" customFormat="1" s="59">
      <c r="E932" s="208" t="n"/>
      <c r="F932" s="208" t="n"/>
    </row>
    <row r="933" customFormat="1" s="59">
      <c r="E933" s="208" t="n"/>
      <c r="F933" s="208" t="n"/>
    </row>
    <row r="934" customFormat="1" s="59">
      <c r="E934" s="208" t="n"/>
      <c r="F934" s="208" t="n"/>
    </row>
    <row r="935" customFormat="1" s="59">
      <c r="E935" s="208" t="n"/>
      <c r="F935" s="208" t="n"/>
    </row>
    <row r="936" customFormat="1" s="59">
      <c r="E936" s="208" t="n"/>
      <c r="F936" s="208" t="n"/>
    </row>
    <row r="937" customFormat="1" s="59">
      <c r="E937" s="208" t="n"/>
      <c r="F937" s="208" t="n"/>
    </row>
    <row r="938" customFormat="1" s="59">
      <c r="E938" s="208" t="n"/>
      <c r="F938" s="208" t="n"/>
    </row>
    <row r="939" customFormat="1" s="59">
      <c r="E939" s="208" t="n"/>
      <c r="F939" s="208" t="n"/>
    </row>
    <row r="940" customFormat="1" s="59">
      <c r="E940" s="208" t="n"/>
      <c r="F940" s="208" t="n"/>
    </row>
    <row r="941" customFormat="1" s="59">
      <c r="E941" s="208" t="n"/>
      <c r="F941" s="208" t="n"/>
    </row>
    <row r="942" customFormat="1" s="59">
      <c r="E942" s="208" t="n"/>
      <c r="F942" s="208" t="n"/>
    </row>
    <row r="943" customFormat="1" s="59">
      <c r="E943" s="208" t="n"/>
      <c r="F943" s="208" t="n"/>
    </row>
    <row r="944" customFormat="1" s="59">
      <c r="E944" s="208" t="n"/>
      <c r="F944" s="208" t="n"/>
    </row>
    <row r="945" customFormat="1" s="59">
      <c r="E945" s="208" t="n"/>
      <c r="F945" s="208" t="n"/>
    </row>
    <row r="946" customFormat="1" s="59">
      <c r="E946" s="208" t="n"/>
      <c r="F946" s="208" t="n"/>
    </row>
    <row r="947" customFormat="1" s="59">
      <c r="E947" s="208" t="n"/>
      <c r="F947" s="208" t="n"/>
    </row>
    <row r="948" customFormat="1" s="59">
      <c r="E948" s="208" t="n"/>
      <c r="F948" s="208" t="n"/>
    </row>
    <row r="949" customFormat="1" s="59">
      <c r="E949" s="208" t="n"/>
      <c r="F949" s="208" t="n"/>
    </row>
    <row r="950" customFormat="1" s="59">
      <c r="E950" s="208" t="n"/>
      <c r="F950" s="208" t="n"/>
    </row>
    <row r="951" customFormat="1" s="59">
      <c r="E951" s="208" t="n"/>
      <c r="F951" s="208" t="n"/>
    </row>
    <row r="952" customFormat="1" s="59">
      <c r="E952" s="208" t="n"/>
      <c r="F952" s="208" t="n"/>
    </row>
    <row r="953" customFormat="1" s="59">
      <c r="E953" s="208" t="n"/>
      <c r="F953" s="208" t="n"/>
    </row>
    <row r="954" customFormat="1" s="59">
      <c r="E954" s="208" t="n"/>
      <c r="F954" s="208" t="n"/>
    </row>
    <row r="955" customFormat="1" s="59">
      <c r="E955" s="208" t="n"/>
      <c r="F955" s="208" t="n"/>
    </row>
    <row r="956" customFormat="1" s="59">
      <c r="E956" s="208" t="n"/>
      <c r="F956" s="208" t="n"/>
    </row>
    <row r="957" customFormat="1" s="59">
      <c r="E957" s="208" t="n"/>
      <c r="F957" s="208" t="n"/>
    </row>
    <row r="958" customFormat="1" s="59">
      <c r="E958" s="208" t="n"/>
      <c r="F958" s="208" t="n"/>
    </row>
    <row r="959" customFormat="1" s="59">
      <c r="E959" s="208" t="n"/>
      <c r="F959" s="208" t="n"/>
    </row>
    <row r="960" customFormat="1" s="59">
      <c r="E960" s="208" t="n"/>
      <c r="F960" s="208" t="n"/>
    </row>
    <row r="961" customFormat="1" s="59">
      <c r="E961" s="208" t="n"/>
      <c r="F961" s="208" t="n"/>
    </row>
    <row r="962" customFormat="1" s="59">
      <c r="E962" s="208" t="n"/>
      <c r="F962" s="208" t="n"/>
    </row>
    <row r="963" customFormat="1" s="59">
      <c r="E963" s="208" t="n"/>
      <c r="F963" s="208" t="n"/>
    </row>
    <row r="964" customFormat="1" s="59">
      <c r="E964" s="208" t="n"/>
      <c r="F964" s="208" t="n"/>
    </row>
    <row r="965" customFormat="1" s="59">
      <c r="E965" s="208" t="n"/>
      <c r="F965" s="208" t="n"/>
    </row>
    <row r="966" customFormat="1" s="59">
      <c r="E966" s="208" t="n"/>
      <c r="F966" s="208" t="n"/>
    </row>
    <row r="967" customFormat="1" s="59">
      <c r="E967" s="208" t="n"/>
      <c r="F967" s="208" t="n"/>
    </row>
    <row r="968" customFormat="1" s="59">
      <c r="E968" s="208" t="n"/>
      <c r="F968" s="208" t="n"/>
    </row>
    <row r="969" customFormat="1" s="59">
      <c r="E969" s="208" t="n"/>
      <c r="F969" s="208" t="n"/>
    </row>
    <row r="970" customFormat="1" s="59">
      <c r="E970" s="208" t="n"/>
      <c r="F970" s="208" t="n"/>
    </row>
    <row r="971" customFormat="1" s="59">
      <c r="E971" s="208" t="n"/>
      <c r="F971" s="208" t="n"/>
    </row>
    <row r="972" customFormat="1" s="59">
      <c r="E972" s="208" t="n"/>
      <c r="F972" s="208" t="n"/>
    </row>
    <row r="973" customFormat="1" s="59">
      <c r="E973" s="208" t="n"/>
      <c r="F973" s="208" t="n"/>
    </row>
    <row r="974" customFormat="1" s="59">
      <c r="E974" s="208" t="n"/>
      <c r="F974" s="208" t="n"/>
    </row>
    <row r="975" customFormat="1" s="59">
      <c r="E975" s="208" t="n"/>
      <c r="F975" s="208" t="n"/>
    </row>
    <row r="976" customFormat="1" s="59">
      <c r="E976" s="208" t="n"/>
      <c r="F976" s="208" t="n"/>
    </row>
    <row r="977" customFormat="1" s="59">
      <c r="E977" s="208" t="n"/>
      <c r="F977" s="208" t="n"/>
    </row>
    <row r="978" customFormat="1" s="59">
      <c r="E978" s="208" t="n"/>
      <c r="F978" s="208" t="n"/>
    </row>
    <row r="979" customFormat="1" s="59">
      <c r="E979" s="208" t="n"/>
      <c r="F979" s="208" t="n"/>
    </row>
    <row r="980" customFormat="1" s="59">
      <c r="E980" s="208" t="n"/>
      <c r="F980" s="208" t="n"/>
    </row>
    <row r="981" customFormat="1" s="59">
      <c r="E981" s="208" t="n"/>
      <c r="F981" s="208" t="n"/>
    </row>
    <row r="982" customFormat="1" s="59">
      <c r="E982" s="208" t="n"/>
      <c r="F982" s="208" t="n"/>
    </row>
    <row r="983" customFormat="1" s="59">
      <c r="E983" s="208" t="n"/>
      <c r="F983" s="208" t="n"/>
    </row>
    <row r="984" customFormat="1" s="59">
      <c r="E984" s="208" t="n"/>
      <c r="F984" s="208" t="n"/>
    </row>
    <row r="985" customFormat="1" s="59">
      <c r="E985" s="208" t="n"/>
      <c r="F985" s="208" t="n"/>
    </row>
    <row r="986" customFormat="1" s="59">
      <c r="E986" s="208" t="n"/>
      <c r="F986" s="208" t="n"/>
    </row>
    <row r="987" customFormat="1" s="59">
      <c r="E987" s="208" t="n"/>
      <c r="F987" s="208" t="n"/>
    </row>
    <row r="988" customFormat="1" s="59">
      <c r="E988" s="208" t="n"/>
      <c r="F988" s="208" t="n"/>
    </row>
    <row r="989" customFormat="1" s="59">
      <c r="E989" s="208" t="n"/>
      <c r="F989" s="208" t="n"/>
    </row>
    <row r="990" customFormat="1" s="59">
      <c r="E990" s="208" t="n"/>
      <c r="F990" s="208" t="n"/>
    </row>
    <row r="991" customFormat="1" s="59">
      <c r="E991" s="208" t="n"/>
      <c r="F991" s="208" t="n"/>
    </row>
    <row r="992" customFormat="1" s="59">
      <c r="E992" s="208" t="n"/>
      <c r="F992" s="208" t="n"/>
    </row>
    <row r="993" customFormat="1" s="59">
      <c r="E993" s="208" t="n"/>
      <c r="F993" s="208" t="n"/>
    </row>
    <row r="994" customFormat="1" s="59">
      <c r="E994" s="208" t="n"/>
      <c r="F994" s="208" t="n"/>
    </row>
    <row r="995" customFormat="1" s="59">
      <c r="E995" s="208" t="n"/>
      <c r="F995" s="208" t="n"/>
    </row>
    <row r="996" customFormat="1" s="59">
      <c r="E996" s="208" t="n"/>
      <c r="F996" s="208" t="n"/>
    </row>
    <row r="997" customFormat="1" s="59">
      <c r="E997" s="208" t="n"/>
      <c r="F997" s="208" t="n"/>
    </row>
    <row r="998" customFormat="1" s="59">
      <c r="E998" s="208" t="n"/>
      <c r="F998" s="208" t="n"/>
    </row>
    <row r="999" customFormat="1" s="59">
      <c r="E999" s="208" t="n"/>
      <c r="F999" s="208" t="n"/>
    </row>
    <row r="1000" customFormat="1" s="59">
      <c r="E1000" s="208" t="n"/>
      <c r="F1000" s="208" t="n"/>
    </row>
    <row r="1001" customFormat="1" s="59">
      <c r="E1001" s="208" t="n"/>
      <c r="F1001" s="208" t="n"/>
    </row>
    <row r="1002" customFormat="1" s="59">
      <c r="E1002" s="208" t="n"/>
      <c r="F1002" s="208" t="n"/>
    </row>
    <row r="1003" customFormat="1" s="59">
      <c r="E1003" s="208" t="n"/>
      <c r="F1003" s="208" t="n"/>
    </row>
    <row r="1004" customFormat="1" s="59">
      <c r="E1004" s="208" t="n"/>
      <c r="F1004" s="208" t="n"/>
    </row>
    <row r="1005" customFormat="1" s="59">
      <c r="E1005" s="208" t="n"/>
      <c r="F1005" s="208" t="n"/>
    </row>
    <row r="1006" customFormat="1" s="59">
      <c r="E1006" s="208" t="n"/>
      <c r="F1006" s="208" t="n"/>
    </row>
    <row r="1007" customFormat="1" s="59">
      <c r="E1007" s="208" t="n"/>
      <c r="F1007" s="208" t="n"/>
    </row>
    <row r="1008" customFormat="1" s="59">
      <c r="E1008" s="208" t="n"/>
      <c r="F1008" s="208" t="n"/>
    </row>
    <row r="1009" customFormat="1" s="59">
      <c r="E1009" s="208" t="n"/>
      <c r="F1009" s="208" t="n"/>
    </row>
    <row r="1010" customFormat="1" s="59">
      <c r="E1010" s="208" t="n"/>
      <c r="F1010" s="208" t="n"/>
    </row>
    <row r="1011" customFormat="1" s="59">
      <c r="E1011" s="208" t="n"/>
      <c r="F1011" s="208" t="n"/>
    </row>
    <row r="1012" customFormat="1" s="59">
      <c r="E1012" s="208" t="n"/>
      <c r="F1012" s="208" t="n"/>
    </row>
    <row r="1013" customFormat="1" s="59">
      <c r="E1013" s="208" t="n"/>
      <c r="F1013" s="208" t="n"/>
    </row>
    <row r="1014" customFormat="1" s="59">
      <c r="E1014" s="208" t="n"/>
      <c r="F1014" s="208" t="n"/>
    </row>
    <row r="1015" customFormat="1" s="59">
      <c r="E1015" s="208" t="n"/>
      <c r="F1015" s="208" t="n"/>
    </row>
    <row r="1016" customFormat="1" s="59">
      <c r="E1016" s="208" t="n"/>
      <c r="F1016" s="208" t="n"/>
    </row>
    <row r="1017" customFormat="1" s="59">
      <c r="E1017" s="208" t="n"/>
      <c r="F1017" s="208" t="n"/>
    </row>
    <row r="1018" customFormat="1" s="59">
      <c r="E1018" s="208" t="n"/>
      <c r="F1018" s="208" t="n"/>
    </row>
    <row r="1019" customFormat="1" s="59">
      <c r="E1019" s="208" t="n"/>
      <c r="F1019" s="208" t="n"/>
    </row>
    <row r="1020" customFormat="1" s="59">
      <c r="E1020" s="208" t="n"/>
      <c r="F1020" s="208" t="n"/>
    </row>
    <row r="1021" customFormat="1" s="59">
      <c r="E1021" s="208" t="n"/>
      <c r="F1021" s="208" t="n"/>
    </row>
    <row r="1022" customFormat="1" s="59">
      <c r="E1022" s="208" t="n"/>
      <c r="F1022" s="208" t="n"/>
    </row>
    <row r="1023" customFormat="1" s="59">
      <c r="E1023" s="208" t="n"/>
      <c r="F1023" s="208" t="n"/>
    </row>
    <row r="1024" customFormat="1" s="59">
      <c r="E1024" s="208" t="n"/>
      <c r="F1024" s="208" t="n"/>
    </row>
    <row r="1025" customFormat="1" s="59">
      <c r="E1025" s="208" t="n"/>
      <c r="F1025" s="208" t="n"/>
    </row>
    <row r="1026" customFormat="1" s="59">
      <c r="E1026" s="208" t="n"/>
      <c r="F1026" s="208" t="n"/>
    </row>
    <row r="1027" customFormat="1" s="59">
      <c r="E1027" s="208" t="n"/>
      <c r="F1027" s="208" t="n"/>
    </row>
    <row r="1028" customFormat="1" s="59">
      <c r="E1028" s="208" t="n"/>
      <c r="F1028" s="208" t="n"/>
    </row>
    <row r="1029" customFormat="1" s="59">
      <c r="E1029" s="208" t="n"/>
      <c r="F1029" s="208" t="n"/>
    </row>
    <row r="1030" customFormat="1" s="59">
      <c r="E1030" s="208" t="n"/>
      <c r="F1030" s="208" t="n"/>
    </row>
    <row r="1031" customFormat="1" s="59">
      <c r="E1031" s="208" t="n"/>
      <c r="F1031" s="208" t="n"/>
    </row>
    <row r="1032" customFormat="1" s="59">
      <c r="E1032" s="208" t="n"/>
      <c r="F1032" s="208" t="n"/>
    </row>
    <row r="1033" customFormat="1" s="59">
      <c r="E1033" s="208" t="n"/>
      <c r="F1033" s="208" t="n"/>
    </row>
    <row r="1034" customFormat="1" s="59">
      <c r="E1034" s="208" t="n"/>
      <c r="F1034" s="208" t="n"/>
    </row>
    <row r="1035" customFormat="1" s="59">
      <c r="E1035" s="208" t="n"/>
      <c r="F1035" s="208" t="n"/>
    </row>
    <row r="1036" customFormat="1" s="59">
      <c r="E1036" s="208" t="n"/>
      <c r="F1036" s="208" t="n"/>
    </row>
    <row r="1037" customFormat="1" s="59">
      <c r="E1037" s="208" t="n"/>
      <c r="F1037" s="208" t="n"/>
    </row>
    <row r="1038" customFormat="1" s="59">
      <c r="E1038" s="208" t="n"/>
      <c r="F1038" s="208" t="n"/>
    </row>
    <row r="1039" customFormat="1" s="59">
      <c r="E1039" s="208" t="n"/>
      <c r="F1039" s="208" t="n"/>
    </row>
    <row r="1040" customFormat="1" s="59">
      <c r="E1040" s="208" t="n"/>
      <c r="F1040" s="208" t="n"/>
    </row>
    <row r="1041" customFormat="1" s="59">
      <c r="E1041" s="208" t="n"/>
      <c r="F1041" s="208" t="n"/>
    </row>
    <row r="1042" customFormat="1" s="59">
      <c r="E1042" s="208" t="n"/>
      <c r="F1042" s="208" t="n"/>
    </row>
    <row r="1043" customFormat="1" s="59">
      <c r="E1043" s="208" t="n"/>
      <c r="F1043" s="208" t="n"/>
    </row>
    <row r="1044" customFormat="1" s="59">
      <c r="E1044" s="208" t="n"/>
      <c r="F1044" s="208" t="n"/>
    </row>
    <row r="1045" customFormat="1" s="59">
      <c r="E1045" s="208" t="n"/>
      <c r="F1045" s="208" t="n"/>
    </row>
    <row r="1046" customFormat="1" s="59">
      <c r="E1046" s="208" t="n"/>
      <c r="F1046" s="208" t="n"/>
    </row>
    <row r="1047" customFormat="1" s="59">
      <c r="E1047" s="208" t="n"/>
      <c r="F1047" s="208" t="n"/>
    </row>
    <row r="1048" customFormat="1" s="59">
      <c r="E1048" s="208" t="n"/>
      <c r="F1048" s="208" t="n"/>
    </row>
    <row r="1049" customFormat="1" s="59">
      <c r="E1049" s="208" t="n"/>
      <c r="F1049" s="208" t="n"/>
    </row>
    <row r="1050" customFormat="1" s="59">
      <c r="E1050" s="208" t="n"/>
      <c r="F1050" s="208" t="n"/>
    </row>
    <row r="1051" customFormat="1" s="59">
      <c r="E1051" s="208" t="n"/>
      <c r="F1051" s="208" t="n"/>
    </row>
    <row r="1052" customFormat="1" s="59">
      <c r="E1052" s="208" t="n"/>
      <c r="F1052" s="208" t="n"/>
    </row>
    <row r="1053" customFormat="1" s="59">
      <c r="E1053" s="208" t="n"/>
      <c r="F1053" s="208" t="n"/>
    </row>
    <row r="1054" customFormat="1" s="59">
      <c r="E1054" s="208" t="n"/>
      <c r="F1054" s="208" t="n"/>
    </row>
    <row r="1055" customFormat="1" s="59">
      <c r="E1055" s="208" t="n"/>
      <c r="F1055" s="208" t="n"/>
    </row>
    <row r="1056" customFormat="1" s="59">
      <c r="E1056" s="208" t="n"/>
      <c r="F1056" s="208" t="n"/>
    </row>
    <row r="1057" customFormat="1" s="59">
      <c r="E1057" s="208" t="n"/>
      <c r="F1057" s="208" t="n"/>
    </row>
    <row r="1058" customFormat="1" s="59">
      <c r="E1058" s="208" t="n"/>
      <c r="F1058" s="208" t="n"/>
    </row>
    <row r="1059" customFormat="1" s="59">
      <c r="E1059" s="208" t="n"/>
      <c r="F1059" s="208" t="n"/>
    </row>
    <row r="1060" customFormat="1" s="59">
      <c r="E1060" s="208" t="n"/>
      <c r="F1060" s="208" t="n"/>
    </row>
    <row r="1061" customFormat="1" s="59">
      <c r="E1061" s="208" t="n"/>
      <c r="F1061" s="208" t="n"/>
    </row>
    <row r="1062" customFormat="1" s="59">
      <c r="E1062" s="208" t="n"/>
      <c r="F1062" s="208" t="n"/>
    </row>
    <row r="1063" customFormat="1" s="59">
      <c r="E1063" s="208" t="n"/>
      <c r="F1063" s="208" t="n"/>
    </row>
    <row r="1064" customFormat="1" s="59">
      <c r="E1064" s="208" t="n"/>
      <c r="F1064" s="208" t="n"/>
    </row>
    <row r="1065" customFormat="1" s="59">
      <c r="E1065" s="208" t="n"/>
      <c r="F1065" s="208" t="n"/>
    </row>
    <row r="1066" customFormat="1" s="59">
      <c r="E1066" s="208" t="n"/>
      <c r="F1066" s="208" t="n"/>
    </row>
    <row r="1067" customFormat="1" s="59">
      <c r="E1067" s="208" t="n"/>
      <c r="F1067" s="208" t="n"/>
    </row>
    <row r="1068" customFormat="1" s="59">
      <c r="E1068" s="208" t="n"/>
      <c r="F1068" s="208" t="n"/>
    </row>
    <row r="1069" customFormat="1" s="59">
      <c r="E1069" s="208" t="n"/>
      <c r="F1069" s="208" t="n"/>
    </row>
    <row r="1070" customFormat="1" s="59">
      <c r="E1070" s="208" t="n"/>
      <c r="F1070" s="208" t="n"/>
    </row>
    <row r="1071" customFormat="1" s="59">
      <c r="E1071" s="208" t="n"/>
      <c r="F1071" s="208" t="n"/>
    </row>
    <row r="1072" customFormat="1" s="59">
      <c r="E1072" s="208" t="n"/>
      <c r="F1072" s="208" t="n"/>
    </row>
    <row r="1073" customFormat="1" s="59">
      <c r="E1073" s="208" t="n"/>
      <c r="F1073" s="208" t="n"/>
    </row>
    <row r="1074" customFormat="1" s="59">
      <c r="E1074" s="208" t="n"/>
      <c r="F1074" s="208" t="n"/>
    </row>
    <row r="1075" customFormat="1" s="59">
      <c r="E1075" s="208" t="n"/>
      <c r="F1075" s="208" t="n"/>
    </row>
    <row r="1076" customFormat="1" s="59">
      <c r="E1076" s="208" t="n"/>
      <c r="F1076" s="208" t="n"/>
    </row>
    <row r="1077" customFormat="1" s="59">
      <c r="E1077" s="208" t="n"/>
      <c r="F1077" s="208" t="n"/>
    </row>
    <row r="1078" customFormat="1" s="59">
      <c r="E1078" s="208" t="n"/>
      <c r="F1078" s="208" t="n"/>
    </row>
    <row r="1079" customFormat="1" s="59">
      <c r="E1079" s="208" t="n"/>
      <c r="F1079" s="208" t="n"/>
    </row>
    <row r="1080" customFormat="1" s="59">
      <c r="E1080" s="208" t="n"/>
      <c r="F1080" s="208" t="n"/>
    </row>
    <row r="1081" customFormat="1" s="59">
      <c r="E1081" s="208" t="n"/>
      <c r="F1081" s="208" t="n"/>
    </row>
    <row r="1082" customFormat="1" s="59">
      <c r="E1082" s="208" t="n"/>
      <c r="F1082" s="208" t="n"/>
    </row>
    <row r="1083" customFormat="1" s="59">
      <c r="E1083" s="208" t="n"/>
      <c r="F1083" s="208" t="n"/>
    </row>
    <row r="1084" customFormat="1" s="59">
      <c r="E1084" s="208" t="n"/>
      <c r="F1084" s="208" t="n"/>
    </row>
    <row r="1085" customFormat="1" s="59">
      <c r="E1085" s="208" t="n"/>
      <c r="F1085" s="208" t="n"/>
    </row>
    <row r="1086" customFormat="1" s="59">
      <c r="E1086" s="208" t="n"/>
      <c r="F1086" s="208" t="n"/>
    </row>
    <row r="1087" customFormat="1" s="59">
      <c r="E1087" s="208" t="n"/>
      <c r="F1087" s="208" t="n"/>
    </row>
    <row r="1088" customFormat="1" s="59">
      <c r="E1088" s="208" t="n"/>
      <c r="F1088" s="208" t="n"/>
    </row>
    <row r="1089" customFormat="1" s="59">
      <c r="E1089" s="208" t="n"/>
      <c r="F1089" s="208" t="n"/>
    </row>
    <row r="1090" customFormat="1" s="59">
      <c r="E1090" s="208" t="n"/>
      <c r="F1090" s="208" t="n"/>
    </row>
    <row r="1091" customFormat="1" s="59">
      <c r="E1091" s="208" t="n"/>
      <c r="F1091" s="208" t="n"/>
    </row>
    <row r="1092" customFormat="1" s="59">
      <c r="E1092" s="208" t="n"/>
      <c r="F1092" s="208" t="n"/>
    </row>
    <row r="1093" customFormat="1" s="59">
      <c r="E1093" s="208" t="n"/>
      <c r="F1093" s="208" t="n"/>
    </row>
    <row r="1094" customFormat="1" s="59">
      <c r="E1094" s="208" t="n"/>
      <c r="F1094" s="208" t="n"/>
    </row>
    <row r="1095" customFormat="1" s="59">
      <c r="E1095" s="208" t="n"/>
      <c r="F1095" s="208" t="n"/>
    </row>
    <row r="1096" customFormat="1" s="59">
      <c r="E1096" s="208" t="n"/>
      <c r="F1096" s="208" t="n"/>
    </row>
    <row r="1097" customFormat="1" s="59">
      <c r="E1097" s="208" t="n"/>
      <c r="F1097" s="208" t="n"/>
    </row>
    <row r="1098" customFormat="1" s="59">
      <c r="E1098" s="208" t="n"/>
      <c r="F1098" s="208" t="n"/>
    </row>
    <row r="1099" customFormat="1" s="59">
      <c r="E1099" s="208" t="n"/>
      <c r="F1099" s="208" t="n"/>
    </row>
    <row r="1100" customFormat="1" s="59">
      <c r="E1100" s="208" t="n"/>
      <c r="F1100" s="208" t="n"/>
    </row>
    <row r="1101" customFormat="1" s="59">
      <c r="E1101" s="208" t="n"/>
      <c r="F1101" s="208" t="n"/>
    </row>
    <row r="1102" customFormat="1" s="59">
      <c r="E1102" s="208" t="n"/>
      <c r="F1102" s="208" t="n"/>
    </row>
    <row r="1103" customFormat="1" s="59">
      <c r="E1103" s="208" t="n"/>
      <c r="F1103" s="208" t="n"/>
    </row>
    <row r="1104" customFormat="1" s="59">
      <c r="E1104" s="208" t="n"/>
      <c r="F1104" s="208" t="n"/>
    </row>
    <row r="1105" customFormat="1" s="59">
      <c r="E1105" s="208" t="n"/>
      <c r="F1105" s="208" t="n"/>
    </row>
    <row r="1106" customFormat="1" s="59">
      <c r="E1106" s="208" t="n"/>
      <c r="F1106" s="208" t="n"/>
    </row>
    <row r="1107" customFormat="1" s="59">
      <c r="E1107" s="208" t="n"/>
      <c r="F1107" s="208" t="n"/>
    </row>
    <row r="1108" customFormat="1" s="59">
      <c r="E1108" s="208" t="n"/>
      <c r="F1108" s="208" t="n"/>
    </row>
    <row r="1109" customFormat="1" s="59">
      <c r="E1109" s="208" t="n"/>
      <c r="F1109" s="208" t="n"/>
    </row>
    <row r="1110" customFormat="1" s="59">
      <c r="E1110" s="208" t="n"/>
      <c r="F1110" s="208" t="n"/>
    </row>
    <row r="1111" customFormat="1" s="59">
      <c r="E1111" s="208" t="n"/>
      <c r="F1111" s="208" t="n"/>
    </row>
    <row r="1112" customFormat="1" s="59">
      <c r="E1112" s="208" t="n"/>
      <c r="F1112" s="208" t="n"/>
    </row>
    <row r="1113" customFormat="1" s="59">
      <c r="E1113" s="208" t="n"/>
      <c r="F1113" s="208" t="n"/>
    </row>
    <row r="1114" customFormat="1" s="59">
      <c r="E1114" s="208" t="n"/>
      <c r="F1114" s="208" t="n"/>
    </row>
    <row r="1115" customFormat="1" s="59">
      <c r="E1115" s="208" t="n"/>
      <c r="F1115" s="208" t="n"/>
    </row>
    <row r="1116" customFormat="1" s="59">
      <c r="E1116" s="208" t="n"/>
      <c r="F1116" s="208" t="n"/>
    </row>
    <row r="1117" customFormat="1" s="59">
      <c r="E1117" s="208" t="n"/>
      <c r="F1117" s="208" t="n"/>
    </row>
    <row r="1118" customFormat="1" s="59">
      <c r="E1118" s="208" t="n"/>
      <c r="F1118" s="208" t="n"/>
    </row>
    <row r="1119" customFormat="1" s="59">
      <c r="E1119" s="208" t="n"/>
      <c r="F1119" s="208" t="n"/>
    </row>
    <row r="1120" customFormat="1" s="59">
      <c r="E1120" s="208" t="n"/>
      <c r="F1120" s="208" t="n"/>
    </row>
    <row r="1121" customFormat="1" s="59">
      <c r="E1121" s="208" t="n"/>
      <c r="F1121" s="208" t="n"/>
    </row>
    <row r="1122" customFormat="1" s="59">
      <c r="E1122" s="208" t="n"/>
      <c r="F1122" s="208" t="n"/>
    </row>
    <row r="1123" customFormat="1" s="59">
      <c r="E1123" s="208" t="n"/>
      <c r="F1123" s="208" t="n"/>
    </row>
    <row r="1124" customFormat="1" s="59">
      <c r="E1124" s="208" t="n"/>
      <c r="F1124" s="208" t="n"/>
    </row>
    <row r="1125" customFormat="1" s="59">
      <c r="E1125" s="208" t="n"/>
      <c r="F1125" s="208" t="n"/>
    </row>
    <row r="1126" customFormat="1" s="59">
      <c r="E1126" s="208" t="n"/>
      <c r="F1126" s="208" t="n"/>
    </row>
    <row r="1127" customFormat="1" s="59">
      <c r="E1127" s="208" t="n"/>
      <c r="F1127" s="208" t="n"/>
    </row>
    <row r="1128" customFormat="1" s="59">
      <c r="E1128" s="208" t="n"/>
      <c r="F1128" s="208" t="n"/>
    </row>
    <row r="1129" customFormat="1" s="59">
      <c r="E1129" s="208" t="n"/>
      <c r="F1129" s="208" t="n"/>
    </row>
    <row r="1130" customFormat="1" s="59">
      <c r="E1130" s="208" t="n"/>
      <c r="F1130" s="208" t="n"/>
    </row>
    <row r="1131" customFormat="1" s="59">
      <c r="E1131" s="208" t="n"/>
      <c r="F1131" s="208" t="n"/>
    </row>
    <row r="1132" customFormat="1" s="59">
      <c r="E1132" s="208" t="n"/>
      <c r="F1132" s="208" t="n"/>
    </row>
    <row r="1133" customFormat="1" s="59">
      <c r="E1133" s="208" t="n"/>
      <c r="F1133" s="208" t="n"/>
    </row>
    <row r="1134" customFormat="1" s="59">
      <c r="E1134" s="208" t="n"/>
      <c r="F1134" s="208" t="n"/>
    </row>
    <row r="1135" customFormat="1" s="59">
      <c r="E1135" s="208" t="n"/>
      <c r="F1135" s="208" t="n"/>
    </row>
    <row r="1136" customFormat="1" s="59">
      <c r="E1136" s="208" t="n"/>
      <c r="F1136" s="208" t="n"/>
    </row>
    <row r="1137" customFormat="1" s="59">
      <c r="E1137" s="208" t="n"/>
      <c r="F1137" s="208" t="n"/>
    </row>
    <row r="1138" customFormat="1" s="59">
      <c r="E1138" s="208" t="n"/>
      <c r="F1138" s="208" t="n"/>
    </row>
    <row r="1139" customFormat="1" s="59">
      <c r="E1139" s="208" t="n"/>
      <c r="F1139" s="208" t="n"/>
    </row>
    <row r="1140" customFormat="1" s="59">
      <c r="E1140" s="208" t="n"/>
      <c r="F1140" s="208" t="n"/>
    </row>
    <row r="1141" customFormat="1" s="59">
      <c r="E1141" s="208" t="n"/>
      <c r="F1141" s="208" t="n"/>
    </row>
    <row r="1142" customFormat="1" s="59">
      <c r="E1142" s="208" t="n"/>
      <c r="F1142" s="208" t="n"/>
    </row>
    <row r="1143" customFormat="1" s="59">
      <c r="E1143" s="208" t="n"/>
      <c r="F1143" s="208" t="n"/>
    </row>
    <row r="1144" customFormat="1" s="59">
      <c r="E1144" s="208" t="n"/>
      <c r="F1144" s="208" t="n"/>
    </row>
    <row r="1145" customFormat="1" s="59">
      <c r="E1145" s="208" t="n"/>
      <c r="F1145" s="208" t="n"/>
    </row>
    <row r="1146" customFormat="1" s="59">
      <c r="E1146" s="208" t="n"/>
      <c r="F1146" s="208" t="n"/>
    </row>
    <row r="1147" customFormat="1" s="59">
      <c r="E1147" s="208" t="n"/>
      <c r="F1147" s="208" t="n"/>
    </row>
    <row r="1148" customFormat="1" s="59">
      <c r="E1148" s="208" t="n"/>
      <c r="F1148" s="208" t="n"/>
    </row>
    <row r="1149" customFormat="1" s="59">
      <c r="E1149" s="208" t="n"/>
      <c r="F1149" s="208" t="n"/>
    </row>
    <row r="1150" customFormat="1" s="59">
      <c r="E1150" s="208" t="n"/>
      <c r="F1150" s="208" t="n"/>
    </row>
    <row r="1151" customFormat="1" s="59">
      <c r="E1151" s="208" t="n"/>
      <c r="F1151" s="208" t="n"/>
    </row>
    <row r="1152" customFormat="1" s="59">
      <c r="E1152" s="208" t="n"/>
      <c r="F1152" s="208" t="n"/>
    </row>
    <row r="1153" customFormat="1" s="59">
      <c r="E1153" s="208" t="n"/>
      <c r="F1153" s="208" t="n"/>
    </row>
    <row r="1154" customFormat="1" s="59">
      <c r="E1154" s="208" t="n"/>
      <c r="F1154" s="208" t="n"/>
    </row>
    <row r="1155" customFormat="1" s="59">
      <c r="E1155" s="208" t="n"/>
      <c r="F1155" s="208" t="n"/>
    </row>
    <row r="1156" customFormat="1" s="59">
      <c r="E1156" s="208" t="n"/>
      <c r="F1156" s="208" t="n"/>
    </row>
    <row r="1157" customFormat="1" s="59">
      <c r="E1157" s="208" t="n"/>
      <c r="F1157" s="208" t="n"/>
    </row>
  </sheetData>
  <mergeCells count="2">
    <mergeCell ref="D1:E1"/>
    <mergeCell ref="D42:E42"/>
  </mergeCells>
  <conditionalFormatting sqref="A3:A36">
    <cfRule type="containsText" priority="2" operator="containsText" dxfId="11" text="OMIT">
      <formula>NOT(ISERROR(SEARCH("OMIT",A3)))</formula>
    </cfRule>
  </conditionalFormatting>
  <conditionalFormatting sqref="A43:A102">
    <cfRule type="containsText" priority="1" operator="containsText" dxfId="11" text="OMIT">
      <formula>NOT(ISERROR(SEARCH("OMIT",A43)))</formula>
    </cfRule>
  </conditionalFormatting>
  <dataValidations count="4">
    <dataValidation sqref="H1" showDropDown="0" showInputMessage="1" showErrorMessage="1" allowBlank="0" type="list">
      <formula1>"1,2,3,4,5,6,7,8,9,10,11,12"</formula1>
    </dataValidation>
    <dataValidation sqref="A3:A7 A9:A36"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43:A102"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8" showDropDown="0" showInputMessage="1" showErrorMessage="1" allowBlank="0" type="list">
      <formula1>"Gross Potential Rent, COGS, Vacancy, Retail,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0000"/>
    <outlinePr summaryBelow="1" summaryRight="1"/>
    <pageSetUpPr/>
  </sheetPr>
  <dimension ref="A1:EA2002"/>
  <sheetViews>
    <sheetView workbookViewId="0">
      <selection activeCell="A1" sqref="A1"/>
    </sheetView>
  </sheetViews>
  <sheetFormatPr baseColWidth="8" defaultColWidth="9.42578125" defaultRowHeight="14.45" customHeight="1" zeroHeight="1" outlineLevelRow="1"/>
  <cols>
    <col width="17" customWidth="1" style="1" min="1" max="2"/>
    <col width="12.42578125" customWidth="1" style="1" min="3" max="3"/>
    <col width="23.42578125" customWidth="1" style="1" min="4" max="4"/>
    <col hidden="1" width="5.140625" customWidth="1" style="1" min="5" max="5"/>
    <col width="34.28515625" customWidth="1" style="1" min="6" max="7"/>
    <col width="29.140625" customWidth="1" style="1" min="8" max="8"/>
    <col width="21.42578125" customWidth="1" style="277" min="9" max="9"/>
    <col width="21.42578125" customWidth="1" style="1" min="10" max="10"/>
    <col width="18.42578125" customWidth="1" style="1" min="11" max="11"/>
    <col width="13.42578125" customWidth="1" style="1" min="12" max="15"/>
    <col width="18.42578125" customWidth="1" style="1" min="16" max="19"/>
    <col width="17.42578125" customWidth="1" style="1" min="20" max="20"/>
    <col width="17" customWidth="1" style="1" min="21" max="21"/>
    <col width="13.42578125" customWidth="1" style="1" min="22" max="23"/>
    <col width="13.42578125" customWidth="1" style="59" min="24" max="26"/>
    <col width="9.42578125" customWidth="1" style="59" min="27" max="92"/>
    <col width="9.42578125" customWidth="1" style="3" min="93" max="131"/>
    <col width="9.42578125" customWidth="1" style="1" min="132" max="16384"/>
  </cols>
  <sheetData>
    <row r="1" ht="18" customFormat="1" customHeight="1" s="33" thickBot="1">
      <c r="A1" s="34" t="inlineStr">
        <is>
          <t>RENT ROLL</t>
        </is>
      </c>
      <c r="B1" s="34" t="n"/>
      <c r="C1" s="670" t="n">
        <v>46084</v>
      </c>
      <c r="D1" s="34" t="n"/>
      <c r="E1" s="34" t="n"/>
      <c r="F1" s="856" t="n"/>
      <c r="G1" s="856" t="n"/>
      <c r="H1" s="856" t="n"/>
      <c r="I1" s="744" t="inlineStr">
        <is>
          <t>MHC Only</t>
        </is>
      </c>
      <c r="J1" s="745" t="n"/>
      <c r="K1" s="746" t="n"/>
      <c r="L1" s="859" t="inlineStr">
        <is>
          <t>Apartments</t>
        </is>
      </c>
      <c r="M1" s="745" t="n"/>
      <c r="N1" s="745" t="n"/>
      <c r="O1" s="745" t="n"/>
      <c r="P1" s="746" t="n"/>
      <c r="Q1" s="748" t="inlineStr">
        <is>
          <t>Other Income</t>
        </is>
      </c>
      <c r="R1" s="745" t="n"/>
      <c r="S1" s="746" t="n"/>
      <c r="T1" s="859" t="inlineStr">
        <is>
          <t>Commercial Leases</t>
        </is>
      </c>
      <c r="U1" s="745" t="n"/>
      <c r="V1" s="745" t="n"/>
      <c r="W1" s="746" t="n"/>
      <c r="X1" s="128" t="n"/>
      <c r="Y1" s="128" t="n"/>
      <c r="Z1" s="128" t="n"/>
      <c r="AA1" s="128" t="n"/>
      <c r="AB1" s="860" t="n"/>
      <c r="AC1" s="860" t="n"/>
      <c r="AD1" s="860" t="n"/>
      <c r="AE1" s="860" t="n"/>
      <c r="AF1" s="860" t="n"/>
      <c r="AG1" s="860" t="n"/>
      <c r="AH1" s="860" t="n"/>
      <c r="AI1" s="860" t="n"/>
      <c r="AJ1" s="860" t="n"/>
      <c r="AK1" s="860" t="n"/>
      <c r="AL1" s="860" t="n"/>
      <c r="AM1" s="860" t="n"/>
      <c r="AN1" s="860" t="n"/>
      <c r="AO1" s="860" t="n"/>
      <c r="AP1" s="860" t="n"/>
      <c r="AQ1" s="860" t="n"/>
      <c r="AR1" s="860" t="n"/>
      <c r="AS1" s="860" t="n"/>
      <c r="AT1" s="860" t="n"/>
      <c r="AU1" s="860" t="n"/>
      <c r="AV1" s="860" t="n"/>
      <c r="AW1" s="860" t="n"/>
      <c r="AX1" s="860" t="n"/>
      <c r="AY1" s="860" t="n"/>
      <c r="AZ1" s="860" t="n"/>
      <c r="BA1" s="860" t="n"/>
      <c r="BB1" s="860" t="n"/>
      <c r="BC1" s="860" t="n"/>
      <c r="BD1" s="860" t="n"/>
      <c r="BE1" s="860" t="n"/>
      <c r="BF1" s="860" t="n"/>
      <c r="BG1" s="860" t="n"/>
      <c r="BH1" s="860" t="n"/>
      <c r="BI1" s="860" t="n"/>
      <c r="BJ1" s="860" t="n"/>
      <c r="BK1" s="860" t="n"/>
      <c r="BL1" s="860" t="n"/>
      <c r="BM1" s="860" t="n"/>
      <c r="BN1" s="860" t="n"/>
      <c r="BO1" s="860" t="n"/>
      <c r="BP1" s="860" t="n"/>
      <c r="BQ1" s="860" t="n"/>
      <c r="BR1" s="860" t="n"/>
      <c r="BS1" s="860" t="n"/>
      <c r="BT1" s="860" t="n"/>
      <c r="BU1" s="860" t="n"/>
      <c r="BV1" s="860" t="n"/>
      <c r="BW1" s="860" t="n"/>
      <c r="BX1" s="860" t="n"/>
      <c r="BY1" s="860" t="n"/>
      <c r="BZ1" s="860" t="n"/>
      <c r="CA1" s="860" t="n"/>
      <c r="CB1" s="860" t="n"/>
      <c r="CC1" s="860" t="n"/>
      <c r="CD1" s="860" t="n"/>
      <c r="CE1" s="860" t="n"/>
      <c r="CF1" s="860" t="n"/>
      <c r="CG1" s="860" t="n"/>
      <c r="CH1" s="860" t="n"/>
      <c r="CI1" s="860" t="n"/>
      <c r="CJ1" s="860" t="n"/>
      <c r="CK1" s="860" t="n"/>
      <c r="CL1" s="860" t="n"/>
      <c r="CM1" s="860" t="n"/>
      <c r="CN1" s="860" t="n"/>
      <c r="CO1" s="860" t="n"/>
      <c r="CP1" s="860" t="n"/>
      <c r="CQ1" s="860" t="n"/>
      <c r="CR1" s="860" t="n"/>
      <c r="CS1" s="860" t="n"/>
      <c r="CT1" s="860" t="n"/>
      <c r="CU1" s="860" t="n"/>
      <c r="CV1" s="860" t="n"/>
      <c r="CW1" s="860" t="n"/>
      <c r="CX1" s="860" t="n"/>
      <c r="CY1" s="860" t="n"/>
      <c r="CZ1" s="860" t="n"/>
      <c r="DA1" s="860" t="n"/>
      <c r="DB1" s="860" t="n"/>
      <c r="DC1" s="860" t="n"/>
      <c r="DD1" s="860" t="n"/>
      <c r="DE1" s="860" t="n"/>
      <c r="DF1" s="860" t="n"/>
      <c r="DG1" s="860" t="n"/>
      <c r="DH1" s="860" t="n"/>
      <c r="DI1" s="860" t="n"/>
      <c r="DJ1" s="860" t="n"/>
      <c r="DK1" s="860" t="n"/>
      <c r="DL1" s="860" t="n"/>
      <c r="DM1" s="860" t="n"/>
      <c r="DN1" s="860" t="n"/>
      <c r="DO1" s="860" t="n"/>
      <c r="DP1" s="860" t="n"/>
      <c r="DQ1" s="860" t="n"/>
      <c r="DR1" s="860" t="n"/>
      <c r="DS1" s="860" t="n"/>
      <c r="DT1" s="860" t="n"/>
      <c r="DU1" s="860" t="n"/>
      <c r="DV1" s="860" t="n"/>
      <c r="DW1" s="860" t="n"/>
      <c r="DX1" s="860" t="n"/>
      <c r="DY1" s="75" t="n"/>
      <c r="DZ1" s="75" t="n"/>
      <c r="EA1" s="75" t="n"/>
    </row>
    <row r="2" ht="23.25" customFormat="1" customHeight="1" s="36" thickBot="1">
      <c r="A2" s="286" t="inlineStr">
        <is>
          <t>Count</t>
        </is>
      </c>
      <c r="B2" s="286" t="inlineStr">
        <is>
          <t>Lot #</t>
        </is>
      </c>
      <c r="C2" s="286" t="inlineStr">
        <is>
          <t>Lot Type</t>
        </is>
      </c>
      <c r="D2" s="286" t="inlineStr">
        <is>
          <t>Unit Type</t>
        </is>
      </c>
      <c r="E2" s="286" t="inlineStr">
        <is>
          <t>Occupied or Vacant</t>
        </is>
      </c>
      <c r="F2" s="286" t="inlineStr">
        <is>
          <t>Tenants &amp; lot#</t>
        </is>
      </c>
      <c r="G2" s="286" t="inlineStr">
        <is>
          <t>Move in</t>
        </is>
      </c>
      <c r="H2" s="286" t="inlineStr">
        <is>
          <t>Lot Rent</t>
        </is>
      </c>
      <c r="I2" s="287" t="inlineStr">
        <is>
          <t>POH Home Rents</t>
        </is>
      </c>
      <c r="J2" s="288" t="inlineStr">
        <is>
          <t>LTO PMT</t>
        </is>
      </c>
      <c r="K2" s="289" t="inlineStr">
        <is>
          <t>Combined</t>
        </is>
      </c>
      <c r="L2" s="290" t="n"/>
      <c r="M2" s="291" t="n"/>
      <c r="N2" s="291" t="inlineStr">
        <is>
          <t>2 Bedroom</t>
        </is>
      </c>
      <c r="O2" s="291" t="inlineStr">
        <is>
          <t>3 Bedroom</t>
        </is>
      </c>
      <c r="P2" s="292" t="inlineStr">
        <is>
          <t>Combined</t>
        </is>
      </c>
      <c r="Q2" s="290" t="inlineStr">
        <is>
          <t>Storage</t>
        </is>
      </c>
      <c r="R2" s="291" t="inlineStr">
        <is>
          <t>Utility RUBS</t>
        </is>
      </c>
      <c r="S2" s="292" t="inlineStr">
        <is>
          <t>Pet Income</t>
        </is>
      </c>
      <c r="T2" s="293" t="inlineStr">
        <is>
          <t>Lease Amount</t>
        </is>
      </c>
      <c r="U2" s="294" t="inlineStr">
        <is>
          <t>Maturity</t>
        </is>
      </c>
      <c r="V2" s="294" t="inlineStr">
        <is>
          <t>Lease Type</t>
        </is>
      </c>
      <c r="W2" s="295" t="inlineStr">
        <is>
          <t>CAM Amount</t>
        </is>
      </c>
      <c r="X2" s="129" t="n"/>
      <c r="Y2" s="129" t="n"/>
      <c r="Z2" s="129" t="n"/>
      <c r="AA2" s="129" t="n"/>
      <c r="AB2" s="861" t="n"/>
      <c r="AC2" s="861" t="n"/>
      <c r="AD2" s="861" t="n"/>
      <c r="AE2" s="861" t="n"/>
      <c r="AF2" s="861" t="n"/>
      <c r="AG2" s="861" t="n"/>
      <c r="AH2" s="861" t="n"/>
      <c r="AI2" s="861" t="n"/>
      <c r="AJ2" s="861" t="n"/>
      <c r="AK2" s="861" t="n"/>
      <c r="AL2" s="861" t="n"/>
      <c r="AM2" s="861" t="n"/>
      <c r="AN2" s="861" t="n"/>
      <c r="AO2" s="861" t="n"/>
      <c r="AP2" s="861" t="n"/>
      <c r="AQ2" s="861" t="n"/>
      <c r="AR2" s="861" t="n"/>
      <c r="AS2" s="861" t="n"/>
      <c r="AT2" s="861" t="n"/>
      <c r="AU2" s="861" t="n"/>
      <c r="AV2" s="861" t="n"/>
      <c r="AW2" s="861" t="n"/>
      <c r="AX2" s="861" t="n"/>
      <c r="AY2" s="861" t="n"/>
      <c r="AZ2" s="861" t="n"/>
      <c r="BA2" s="861" t="n"/>
      <c r="BB2" s="861" t="n"/>
      <c r="BC2" s="861" t="n"/>
      <c r="BD2" s="861" t="n"/>
      <c r="BE2" s="861" t="n"/>
      <c r="BF2" s="861" t="n"/>
      <c r="BG2" s="861" t="n"/>
      <c r="BH2" s="861" t="n"/>
      <c r="BI2" s="861" t="n"/>
      <c r="BJ2" s="861" t="n"/>
      <c r="BK2" s="861" t="n"/>
      <c r="BL2" s="861" t="n"/>
      <c r="BM2" s="861" t="n"/>
      <c r="BN2" s="861" t="n"/>
      <c r="BO2" s="861" t="n"/>
      <c r="BP2" s="861" t="n"/>
      <c r="BQ2" s="861" t="n"/>
      <c r="BR2" s="861" t="n"/>
      <c r="BS2" s="861" t="n"/>
      <c r="BT2" s="861" t="n"/>
      <c r="BU2" s="861" t="n"/>
      <c r="BV2" s="861" t="n"/>
      <c r="BW2" s="861" t="n"/>
      <c r="BX2" s="861" t="n"/>
      <c r="BY2" s="861" t="n"/>
      <c r="BZ2" s="861" t="n"/>
      <c r="CA2" s="861" t="n"/>
      <c r="CB2" s="861" t="n"/>
      <c r="CC2" s="861" t="n"/>
      <c r="CD2" s="861" t="n"/>
      <c r="CE2" s="861" t="n"/>
      <c r="CF2" s="861" t="n"/>
      <c r="CG2" s="861" t="n"/>
      <c r="CH2" s="861" t="n"/>
      <c r="CI2" s="861" t="n"/>
      <c r="CJ2" s="861" t="n"/>
      <c r="CK2" s="861" t="n"/>
      <c r="CL2" s="861" t="n"/>
      <c r="CM2" s="861" t="n"/>
      <c r="CN2" s="861" t="n"/>
      <c r="CO2" s="852" t="n"/>
      <c r="CP2" s="852" t="n"/>
      <c r="CQ2" s="852" t="n"/>
      <c r="CR2" s="852" t="n"/>
      <c r="CS2" s="852" t="n"/>
      <c r="CT2" s="852" t="n"/>
      <c r="CU2" s="852" t="n"/>
      <c r="CV2" s="852" t="n"/>
      <c r="CW2" s="852" t="n"/>
      <c r="CX2" s="852" t="n"/>
      <c r="CY2" s="852" t="n"/>
      <c r="CZ2" s="852" t="n"/>
      <c r="DA2" s="852" t="n"/>
      <c r="DB2" s="852" t="n"/>
      <c r="DC2" s="852" t="n"/>
      <c r="DD2" s="852" t="n"/>
      <c r="DE2" s="852" t="n"/>
      <c r="DF2" s="852" t="n"/>
      <c r="DG2" s="852" t="n"/>
      <c r="DH2" s="852" t="n"/>
      <c r="DI2" s="852" t="n"/>
      <c r="DJ2" s="852" t="n"/>
      <c r="DK2" s="852" t="n"/>
      <c r="DL2" s="852" t="n"/>
      <c r="DM2" s="852" t="n"/>
      <c r="DN2" s="852" t="n"/>
      <c r="DO2" s="852" t="n"/>
      <c r="DP2" s="852" t="n"/>
      <c r="DQ2" s="852" t="n"/>
      <c r="DR2" s="852" t="n"/>
      <c r="DS2" s="852" t="n"/>
      <c r="DT2" s="852" t="n"/>
      <c r="DU2" s="852" t="n"/>
      <c r="DV2" s="852" t="n"/>
      <c r="DW2" s="852" t="n"/>
      <c r="DX2" s="852" t="n"/>
    </row>
    <row r="3" ht="15" customHeight="1">
      <c r="A3" s="38">
        <f>IF(C3="","",ROW()-2)</f>
        <v/>
      </c>
      <c r="B3" s="862" t="n"/>
      <c r="C3" s="863" t="n"/>
      <c r="D3" s="227">
        <f>IF(C3="TOH","Type 1",IF(C3="POH","Type 2",IF(OR(C3="LTO",C3="TOH-LC",C3="TOH - LC"),"Type 3",IF(C3="Flourish","Type 4","Type 1"))))</f>
        <v/>
      </c>
      <c r="E3" s="853" t="n"/>
      <c r="F3" s="864" t="n"/>
      <c r="G3" s="865" t="n"/>
      <c r="H3" s="866" t="n"/>
      <c r="I3" s="867" t="n"/>
      <c r="J3" s="868" t="n"/>
      <c r="K3" s="49">
        <f>SUM(H3:J3)</f>
        <v/>
      </c>
      <c r="L3" s="869" t="n"/>
      <c r="M3" s="870" t="n"/>
      <c r="N3" s="871" t="n"/>
      <c r="O3" s="872" t="n"/>
      <c r="P3" s="54">
        <f>N3+O3+L3</f>
        <v/>
      </c>
      <c r="Q3" s="873" t="n"/>
      <c r="R3" s="874" t="n"/>
      <c r="S3" s="875" t="n"/>
      <c r="T3" s="873" t="n"/>
      <c r="U3" s="876" t="n"/>
      <c r="V3" s="877" t="n"/>
      <c r="W3" s="878" t="n"/>
      <c r="X3" s="852" t="n"/>
      <c r="Y3" s="852" t="n"/>
      <c r="Z3" s="852" t="n"/>
      <c r="AA3" s="852" t="n"/>
    </row>
    <row r="4" ht="15" customHeight="1">
      <c r="A4" s="39">
        <f>IF(C4="","",ROW()-2)</f>
        <v/>
      </c>
      <c r="B4" s="879" t="n"/>
      <c r="C4" s="863" t="n"/>
      <c r="D4" s="227">
        <f>IF(C4="TOH","Type 1",IF(C4="POH","Type 2",IF(OR(C4="LTO",C4="TOH-LC",C4="TOH - LC"),"Type 3",IF(C4="Flourish","Type 4","Type 1"))))</f>
        <v/>
      </c>
      <c r="E4" s="853" t="n"/>
      <c r="F4" s="864" t="n"/>
      <c r="G4" s="865" t="n"/>
      <c r="H4" s="866" t="n"/>
      <c r="I4" s="867" t="n"/>
      <c r="J4" s="868" t="n"/>
      <c r="K4" s="50">
        <f>SUM(H4:J4)</f>
        <v/>
      </c>
      <c r="L4" s="880" t="n"/>
      <c r="M4" s="881" t="n"/>
      <c r="N4" s="882" t="n"/>
      <c r="O4" s="883" t="n"/>
      <c r="P4" s="50">
        <f>N4+O4+L4</f>
        <v/>
      </c>
      <c r="Q4" s="884" t="n"/>
      <c r="R4" s="877" t="n"/>
      <c r="S4" s="878" t="n"/>
      <c r="T4" s="884" t="n"/>
      <c r="U4" s="851" t="n"/>
      <c r="V4" s="877" t="n"/>
      <c r="W4" s="878" t="n"/>
      <c r="X4" s="852" t="n"/>
      <c r="Y4" s="852" t="n"/>
      <c r="Z4" s="852" t="n"/>
      <c r="AA4" s="852" t="n"/>
    </row>
    <row r="5" ht="15" customHeight="1">
      <c r="A5" s="39">
        <f>IF(C5="","",ROW()-2)</f>
        <v/>
      </c>
      <c r="B5" s="879" t="n"/>
      <c r="C5" s="863" t="n"/>
      <c r="D5" s="227">
        <f>IF(C5="TOH","Type 1",IF(C5="POH","Type 2",IF(OR(C5="LTO",C5="TOH-LC",C5="TOH - LC"),"Type 3",IF(C5="Flourish","Type 4","Type 1"))))</f>
        <v/>
      </c>
      <c r="E5" s="853" t="n"/>
      <c r="F5" s="864" t="n"/>
      <c r="G5" s="865" t="n"/>
      <c r="H5" s="866" t="n"/>
      <c r="I5" s="867" t="n"/>
      <c r="J5" s="868" t="n"/>
      <c r="K5" s="50">
        <f>SUM(H5:J5)</f>
        <v/>
      </c>
      <c r="L5" s="880" t="n"/>
      <c r="M5" s="881" t="n"/>
      <c r="N5" s="882" t="n"/>
      <c r="O5" s="883" t="n"/>
      <c r="P5" s="50">
        <f>N5+O5+L5</f>
        <v/>
      </c>
      <c r="Q5" s="884" t="n"/>
      <c r="R5" s="877" t="n"/>
      <c r="S5" s="878" t="n"/>
      <c r="T5" s="884" t="n"/>
      <c r="U5" s="851" t="n"/>
      <c r="V5" s="877" t="n"/>
      <c r="W5" s="878" t="n"/>
      <c r="X5" s="852" t="n"/>
      <c r="Y5" s="852" t="n"/>
      <c r="Z5" s="852" t="n"/>
      <c r="AA5" s="852" t="n"/>
    </row>
    <row r="6" ht="15" customHeight="1">
      <c r="A6" s="39">
        <f>IF(C6="","",ROW()-2)</f>
        <v/>
      </c>
      <c r="B6" s="879" t="n"/>
      <c r="C6" s="863" t="n"/>
      <c r="D6" s="227">
        <f>IF(C6="TOH","Type 1",IF(C6="POH","Type 2",IF(OR(C6="LTO",C6="TOH-LC",C6="TOH - LC"),"Type 3",IF(C6="Flourish","Type 4","Type 1"))))</f>
        <v/>
      </c>
      <c r="E6" s="853" t="n"/>
      <c r="F6" s="864" t="n"/>
      <c r="G6" s="865" t="n"/>
      <c r="H6" s="866" t="n"/>
      <c r="I6" s="867" t="n"/>
      <c r="J6" s="868" t="n"/>
      <c r="K6" s="50">
        <f>SUM(H6:J6)</f>
        <v/>
      </c>
      <c r="L6" s="880" t="n"/>
      <c r="M6" s="881" t="n"/>
      <c r="N6" s="882" t="n"/>
      <c r="O6" s="883" t="n"/>
      <c r="P6" s="50">
        <f>N6+O6+L6</f>
        <v/>
      </c>
      <c r="Q6" s="884" t="n"/>
      <c r="R6" s="877" t="n"/>
      <c r="S6" s="878" t="n"/>
      <c r="T6" s="884" t="n"/>
      <c r="U6" s="851" t="n"/>
      <c r="V6" s="877" t="n"/>
      <c r="W6" s="878" t="n"/>
      <c r="X6" s="852" t="n"/>
      <c r="Y6" s="852" t="n"/>
      <c r="Z6" s="852" t="n"/>
      <c r="AA6" s="852" t="n"/>
    </row>
    <row r="7" ht="15" customHeight="1">
      <c r="A7" s="39">
        <f>IF(C7="","",ROW()-2)</f>
        <v/>
      </c>
      <c r="B7" s="879" t="n"/>
      <c r="C7" s="863" t="n"/>
      <c r="D7" s="227">
        <f>IF(C7="TOH","Type 1",IF(C7="POH","Type 2",IF(OR(C7="LTO",C7="TOH-LC",C7="TOH - LC"),"Type 3",IF(C7="Flourish","Type 4","Type 1"))))</f>
        <v/>
      </c>
      <c r="E7" s="853" t="n"/>
      <c r="F7" s="864" t="n"/>
      <c r="G7" s="865" t="n"/>
      <c r="H7" s="866" t="n"/>
      <c r="I7" s="867" t="n"/>
      <c r="J7" s="868" t="n"/>
      <c r="K7" s="50">
        <f>SUM(H7:J7)</f>
        <v/>
      </c>
      <c r="L7" s="880" t="n"/>
      <c r="M7" s="881" t="n"/>
      <c r="N7" s="882" t="n"/>
      <c r="O7" s="883" t="n"/>
      <c r="P7" s="50">
        <f>N7+O7+L7</f>
        <v/>
      </c>
      <c r="Q7" s="884" t="n"/>
      <c r="R7" s="877" t="n"/>
      <c r="S7" s="878" t="n"/>
      <c r="T7" s="884" t="n"/>
      <c r="U7" s="851" t="n"/>
      <c r="V7" s="877" t="n"/>
      <c r="W7" s="878" t="n"/>
      <c r="X7" s="852" t="n"/>
      <c r="Y7" s="852" t="n"/>
      <c r="Z7" s="852" t="n"/>
      <c r="AA7" s="852" t="n"/>
    </row>
    <row r="8" ht="15" customHeight="1">
      <c r="A8" s="39">
        <f>IF(C8="","",ROW()-2)</f>
        <v/>
      </c>
      <c r="B8" s="879" t="n"/>
      <c r="C8" s="863" t="n"/>
      <c r="D8" s="227">
        <f>IF(C8="TOH","Type 1",IF(C8="POH","Type 2",IF(OR(C8="LTO",C8="TOH-LC",C8="TOH - LC"),"Type 3",IF(C8="Flourish","Type 4","Type 1"))))</f>
        <v/>
      </c>
      <c r="E8" s="853" t="n"/>
      <c r="F8" s="864" t="n"/>
      <c r="G8" s="865" t="n"/>
      <c r="H8" s="866" t="n"/>
      <c r="I8" s="867" t="n"/>
      <c r="J8" s="868" t="n"/>
      <c r="K8" s="50">
        <f>SUM(H8:J8)</f>
        <v/>
      </c>
      <c r="L8" s="880" t="n"/>
      <c r="M8" s="881" t="n"/>
      <c r="N8" s="882" t="n"/>
      <c r="O8" s="883" t="n"/>
      <c r="P8" s="50">
        <f>N8+O8+L8</f>
        <v/>
      </c>
      <c r="Q8" s="884" t="n"/>
      <c r="R8" s="877" t="n"/>
      <c r="S8" s="878" t="n"/>
      <c r="T8" s="884" t="n"/>
      <c r="U8" s="851" t="n"/>
      <c r="V8" s="877" t="n"/>
      <c r="W8" s="878" t="n"/>
      <c r="X8" s="852" t="n"/>
      <c r="Y8" s="852" t="n"/>
      <c r="Z8" s="852" t="n"/>
      <c r="AA8" s="852" t="n"/>
    </row>
    <row r="9" ht="15" customHeight="1">
      <c r="A9" s="39">
        <f>IF(C9="","",ROW()-2)</f>
        <v/>
      </c>
      <c r="B9" s="879" t="n"/>
      <c r="C9" s="863" t="n"/>
      <c r="D9" s="227">
        <f>IF(C9="TOH","Type 1",IF(C9="POH","Type 2",IF(OR(C9="LTO",C9="TOH-LC",C9="TOH - LC"),"Type 3",IF(C9="Flourish","Type 4","Type 1"))))</f>
        <v/>
      </c>
      <c r="E9" s="853" t="n"/>
      <c r="F9" s="864" t="n"/>
      <c r="G9" s="865" t="n"/>
      <c r="H9" s="866" t="n"/>
      <c r="I9" s="867" t="n"/>
      <c r="J9" s="868" t="n"/>
      <c r="K9" s="50">
        <f>SUM(H9:J9)</f>
        <v/>
      </c>
      <c r="L9" s="880" t="n"/>
      <c r="M9" s="881" t="n"/>
      <c r="N9" s="882" t="n"/>
      <c r="O9" s="883" t="n"/>
      <c r="P9" s="50">
        <f>N9+O9+L9</f>
        <v/>
      </c>
      <c r="Q9" s="884" t="n"/>
      <c r="R9" s="877" t="n"/>
      <c r="S9" s="878" t="n"/>
      <c r="T9" s="884" t="n"/>
      <c r="U9" s="851" t="n"/>
      <c r="V9" s="877" t="n"/>
      <c r="W9" s="878" t="n"/>
      <c r="X9" s="852" t="n"/>
      <c r="Y9" s="852" t="n"/>
      <c r="Z9" s="852" t="n"/>
      <c r="AA9" s="852" t="n"/>
    </row>
    <row r="10" ht="15" customHeight="1">
      <c r="A10" s="39">
        <f>IF(C10="","",ROW()-2)</f>
        <v/>
      </c>
      <c r="B10" s="879" t="n"/>
      <c r="C10" s="863" t="n"/>
      <c r="D10" s="227">
        <f>IF(C10="TOH","Type 1",IF(C10="POH","Type 2",IF(OR(C10="LTO",C10="TOH-LC",C10="TOH - LC"),"Type 3",IF(C10="Flourish","Type 4","Type 1"))))</f>
        <v/>
      </c>
      <c r="E10" s="853" t="n"/>
      <c r="F10" s="864" t="n"/>
      <c r="G10" s="865" t="n"/>
      <c r="H10" s="866" t="n"/>
      <c r="I10" s="867" t="n"/>
      <c r="J10" s="868" t="n"/>
      <c r="K10" s="50">
        <f>SUM(H10:J10)</f>
        <v/>
      </c>
      <c r="L10" s="880" t="n"/>
      <c r="M10" s="881" t="n"/>
      <c r="N10" s="882" t="n"/>
      <c r="O10" s="883" t="n"/>
      <c r="P10" s="50">
        <f>N10+O10+L10</f>
        <v/>
      </c>
      <c r="Q10" s="884" t="n"/>
      <c r="R10" s="877" t="n"/>
      <c r="S10" s="878" t="n"/>
      <c r="T10" s="884" t="n"/>
      <c r="U10" s="851" t="n"/>
      <c r="V10" s="877" t="n"/>
      <c r="W10" s="878" t="n"/>
      <c r="X10" s="852" t="n"/>
      <c r="Y10" s="852" t="n"/>
      <c r="Z10" s="852" t="n"/>
      <c r="AA10" s="852" t="n"/>
    </row>
    <row r="11" ht="15" customHeight="1">
      <c r="A11" s="39">
        <f>IF(C11="","",ROW()-2)</f>
        <v/>
      </c>
      <c r="B11" s="879" t="n"/>
      <c r="C11" s="863" t="n"/>
      <c r="D11" s="227">
        <f>IF(C11="TOH","Type 1",IF(C11="POH","Type 2",IF(OR(C11="LTO",C11="TOH-LC",C11="TOH - LC"),"Type 3",IF(C11="Flourish","Type 4","Type 1"))))</f>
        <v/>
      </c>
      <c r="E11" s="853" t="n"/>
      <c r="F11" s="864" t="n"/>
      <c r="G11" s="865" t="n"/>
      <c r="H11" s="866" t="n"/>
      <c r="I11" s="867" t="n"/>
      <c r="J11" s="868" t="n"/>
      <c r="K11" s="50">
        <f>SUM(H11:J11)</f>
        <v/>
      </c>
      <c r="L11" s="880" t="n"/>
      <c r="M11" s="881" t="n"/>
      <c r="N11" s="882" t="n"/>
      <c r="O11" s="883" t="n"/>
      <c r="P11" s="50">
        <f>N11+O11+L11</f>
        <v/>
      </c>
      <c r="Q11" s="884" t="n"/>
      <c r="R11" s="877" t="n"/>
      <c r="S11" s="878" t="n"/>
      <c r="T11" s="884" t="n"/>
      <c r="U11" s="851" t="n"/>
      <c r="V11" s="877" t="n"/>
      <c r="W11" s="878" t="n"/>
      <c r="X11" s="852" t="n"/>
      <c r="Y11" s="852" t="n"/>
      <c r="Z11" s="852" t="n"/>
      <c r="AA11" s="852" t="n"/>
    </row>
    <row r="12" ht="15" customHeight="1">
      <c r="A12" s="39">
        <f>IF(C12="","",ROW()-2)</f>
        <v/>
      </c>
      <c r="B12" s="879" t="n"/>
      <c r="C12" s="863" t="n"/>
      <c r="D12" s="227">
        <f>IF(C12="TOH","Type 1",IF(C12="POH","Type 2",IF(OR(C12="LTO",C12="TOH-LC",C12="TOH - LC"),"Type 3",IF(C12="Flourish","Type 4","Type 1"))))</f>
        <v/>
      </c>
      <c r="E12" s="853" t="n"/>
      <c r="F12" s="864" t="n"/>
      <c r="G12" s="865" t="n"/>
      <c r="H12" s="866" t="n"/>
      <c r="I12" s="867" t="n"/>
      <c r="J12" s="868" t="n"/>
      <c r="K12" s="50">
        <f>SUM(H12:J12)</f>
        <v/>
      </c>
      <c r="L12" s="880" t="n"/>
      <c r="M12" s="881" t="n"/>
      <c r="N12" s="882" t="n"/>
      <c r="O12" s="883" t="n"/>
      <c r="P12" s="50">
        <f>N12+O12+L12</f>
        <v/>
      </c>
      <c r="Q12" s="884" t="n"/>
      <c r="R12" s="877" t="n"/>
      <c r="S12" s="878" t="n"/>
      <c r="T12" s="884" t="n"/>
      <c r="U12" s="851" t="n"/>
      <c r="V12" s="877" t="n"/>
      <c r="W12" s="878" t="n"/>
      <c r="X12" s="852" t="n"/>
      <c r="Y12" s="852" t="n"/>
      <c r="Z12" s="852" t="n"/>
      <c r="AA12" s="852" t="n"/>
    </row>
    <row r="13" ht="15" customHeight="1">
      <c r="A13" s="39">
        <f>IF(C13="","",ROW()-2)</f>
        <v/>
      </c>
      <c r="B13" s="879" t="n"/>
      <c r="C13" s="863" t="n"/>
      <c r="D13" s="227">
        <f>IF(C13="TOH","Type 1",IF(C13="POH","Type 2",IF(OR(C13="LTO",C13="TOH-LC",C13="TOH - LC"),"Type 3",IF(C13="Flourish","Type 4","Type 1"))))</f>
        <v/>
      </c>
      <c r="E13" s="853" t="n"/>
      <c r="F13" s="864" t="n"/>
      <c r="G13" s="865" t="n"/>
      <c r="H13" s="866" t="n"/>
      <c r="I13" s="867" t="n"/>
      <c r="J13" s="868" t="n"/>
      <c r="K13" s="50">
        <f>SUM(H13:J13)</f>
        <v/>
      </c>
      <c r="L13" s="880" t="n"/>
      <c r="M13" s="881" t="n"/>
      <c r="N13" s="882" t="n"/>
      <c r="O13" s="883" t="n"/>
      <c r="P13" s="50">
        <f>N13+O13+L13</f>
        <v/>
      </c>
      <c r="Q13" s="884" t="n"/>
      <c r="R13" s="877" t="n"/>
      <c r="S13" s="878" t="n"/>
      <c r="T13" s="884" t="n"/>
      <c r="U13" s="851" t="n"/>
      <c r="V13" s="877" t="n"/>
      <c r="W13" s="878" t="n"/>
      <c r="X13" s="852" t="n"/>
      <c r="Y13" s="852" t="n"/>
      <c r="Z13" s="852" t="n"/>
      <c r="AA13" s="852" t="n"/>
    </row>
    <row r="14" ht="15" customHeight="1">
      <c r="A14" s="39">
        <f>IF(C14="","",ROW()-2)</f>
        <v/>
      </c>
      <c r="B14" s="879" t="n"/>
      <c r="C14" s="863" t="n"/>
      <c r="D14" s="227">
        <f>IF(C14="TOH","Type 1",IF(C14="POH","Type 2",IF(OR(C14="LTO",C14="TOH-LC",C14="TOH - LC"),"Type 3",IF(C14="Flourish","Type 4","Type 1"))))</f>
        <v/>
      </c>
      <c r="E14" s="853" t="n"/>
      <c r="F14" s="864" t="n"/>
      <c r="G14" s="865" t="n"/>
      <c r="H14" s="866" t="n"/>
      <c r="I14" s="867" t="n"/>
      <c r="J14" s="868" t="n"/>
      <c r="K14" s="50">
        <f>SUM(H14:J14)</f>
        <v/>
      </c>
      <c r="L14" s="880" t="n"/>
      <c r="M14" s="881" t="n"/>
      <c r="N14" s="882" t="n"/>
      <c r="O14" s="883" t="n"/>
      <c r="P14" s="50">
        <f>N14+O14+L14</f>
        <v/>
      </c>
      <c r="Q14" s="884" t="n"/>
      <c r="R14" s="877" t="n"/>
      <c r="S14" s="878" t="n"/>
      <c r="T14" s="884" t="n"/>
      <c r="U14" s="851" t="n"/>
      <c r="V14" s="877" t="n"/>
      <c r="W14" s="878" t="n"/>
      <c r="X14" s="852" t="n"/>
      <c r="Y14" s="852" t="n"/>
      <c r="Z14" s="852" t="n"/>
      <c r="AA14" s="852" t="n"/>
    </row>
    <row r="15" ht="15" customHeight="1">
      <c r="A15" s="39">
        <f>IF(C15="","",ROW()-2)</f>
        <v/>
      </c>
      <c r="B15" s="879" t="n"/>
      <c r="C15" s="863" t="n"/>
      <c r="D15" s="227">
        <f>IF(C15="TOH","Type 1",IF(C15="POH","Type 2",IF(OR(C15="LTO",C15="TOH-LC",C15="TOH - LC"),"Type 3",IF(C15="Flourish","Type 4","Type 1"))))</f>
        <v/>
      </c>
      <c r="E15" s="853" t="n"/>
      <c r="F15" s="864" t="n"/>
      <c r="G15" s="865" t="n"/>
      <c r="H15" s="866" t="n"/>
      <c r="I15" s="867" t="n"/>
      <c r="J15" s="868" t="n"/>
      <c r="K15" s="50">
        <f>SUM(H15:J15)</f>
        <v/>
      </c>
      <c r="L15" s="880" t="n"/>
      <c r="M15" s="881" t="n"/>
      <c r="N15" s="882" t="n"/>
      <c r="O15" s="883" t="n"/>
      <c r="P15" s="50">
        <f>N15+O15+L15</f>
        <v/>
      </c>
      <c r="Q15" s="884" t="n"/>
      <c r="R15" s="877" t="n"/>
      <c r="S15" s="878" t="n"/>
      <c r="T15" s="884" t="n"/>
      <c r="U15" s="851" t="n"/>
      <c r="V15" s="877" t="n"/>
      <c r="W15" s="878" t="n"/>
      <c r="X15" s="852" t="n"/>
      <c r="Y15" s="852" t="n"/>
      <c r="Z15" s="852" t="n"/>
      <c r="AA15" s="852" t="n"/>
    </row>
    <row r="16" ht="15" customHeight="1">
      <c r="A16" s="39">
        <f>IF(C16="","",ROW()-2)</f>
        <v/>
      </c>
      <c r="B16" s="879" t="n"/>
      <c r="C16" s="863" t="n"/>
      <c r="D16" s="227">
        <f>IF(C16="TOH","Type 1",IF(C16="POH","Type 2",IF(OR(C16="LTO",C16="TOH-LC",C16="TOH - LC"),"Type 3",IF(C16="Flourish","Type 4","Type 1"))))</f>
        <v/>
      </c>
      <c r="E16" s="853" t="n"/>
      <c r="F16" s="864" t="n"/>
      <c r="G16" s="865" t="n"/>
      <c r="H16" s="866" t="n"/>
      <c r="I16" s="867" t="n"/>
      <c r="J16" s="868" t="n"/>
      <c r="K16" s="50">
        <f>SUM(H16:J16)</f>
        <v/>
      </c>
      <c r="L16" s="880" t="n"/>
      <c r="M16" s="881" t="n"/>
      <c r="N16" s="882" t="n"/>
      <c r="O16" s="883" t="n"/>
      <c r="P16" s="50">
        <f>N16+O16+L16</f>
        <v/>
      </c>
      <c r="Q16" s="884" t="n"/>
      <c r="R16" s="877" t="n"/>
      <c r="S16" s="878" t="n"/>
      <c r="T16" s="884" t="n"/>
      <c r="U16" s="851" t="n"/>
      <c r="V16" s="877" t="n"/>
      <c r="W16" s="878" t="n"/>
      <c r="X16" s="852" t="n"/>
      <c r="Y16" s="852" t="n"/>
      <c r="Z16" s="852" t="n"/>
      <c r="AA16" s="852" t="n"/>
    </row>
    <row r="17" ht="15" customHeight="1">
      <c r="A17" s="39">
        <f>IF(C17="","",ROW()-2)</f>
        <v/>
      </c>
      <c r="B17" s="879" t="n"/>
      <c r="C17" s="863" t="n"/>
      <c r="D17" s="227">
        <f>IF(C17="TOH","Type 1",IF(C17="POH","Type 2",IF(OR(C17="LTO",C17="TOH-LC",C17="TOH - LC"),"Type 3",IF(C17="Flourish","Type 4","Type 1"))))</f>
        <v/>
      </c>
      <c r="E17" s="853" t="n"/>
      <c r="F17" s="864" t="n"/>
      <c r="G17" s="865" t="n"/>
      <c r="H17" s="866" t="n"/>
      <c r="I17" s="867" t="n"/>
      <c r="J17" s="868" t="n"/>
      <c r="K17" s="50">
        <f>SUM(H17:J17)</f>
        <v/>
      </c>
      <c r="L17" s="880" t="n"/>
      <c r="M17" s="881" t="n"/>
      <c r="N17" s="882" t="n"/>
      <c r="O17" s="883" t="n"/>
      <c r="P17" s="50">
        <f>N17+O17+L17</f>
        <v/>
      </c>
      <c r="Q17" s="884" t="n"/>
      <c r="R17" s="877" t="n"/>
      <c r="S17" s="878" t="n"/>
      <c r="T17" s="884" t="n"/>
      <c r="U17" s="851" t="n"/>
      <c r="V17" s="877" t="n"/>
      <c r="W17" s="878" t="n"/>
      <c r="X17" s="852" t="n"/>
      <c r="Y17" s="852" t="n"/>
      <c r="Z17" s="852" t="n"/>
      <c r="AA17" s="852" t="n"/>
    </row>
    <row r="18" ht="15" customHeight="1">
      <c r="A18" s="39">
        <f>IF(C18="","",ROW()-2)</f>
        <v/>
      </c>
      <c r="B18" s="879" t="n"/>
      <c r="C18" s="863" t="n"/>
      <c r="D18" s="227">
        <f>IF(C18="TOH","Type 1",IF(C18="POH","Type 2",IF(OR(C18="LTO",C18="TOH-LC",C18="TOH - LC"),"Type 3",IF(C18="Flourish","Type 4","Type 1"))))</f>
        <v/>
      </c>
      <c r="E18" s="853" t="n"/>
      <c r="F18" s="864" t="n"/>
      <c r="G18" s="865" t="n"/>
      <c r="H18" s="866" t="n"/>
      <c r="I18" s="867" t="n"/>
      <c r="J18" s="868" t="n"/>
      <c r="K18" s="50">
        <f>SUM(H18:J18)</f>
        <v/>
      </c>
      <c r="L18" s="880" t="n"/>
      <c r="M18" s="881" t="n"/>
      <c r="N18" s="882" t="n"/>
      <c r="O18" s="883" t="n"/>
      <c r="P18" s="50">
        <f>N18+O18+L18</f>
        <v/>
      </c>
      <c r="Q18" s="884" t="n"/>
      <c r="R18" s="877" t="n"/>
      <c r="S18" s="878" t="n"/>
      <c r="T18" s="884" t="n"/>
      <c r="U18" s="851" t="n"/>
      <c r="V18" s="877" t="n"/>
      <c r="W18" s="878" t="n"/>
      <c r="X18" s="852" t="n"/>
      <c r="Y18" s="852" t="n"/>
      <c r="Z18" s="852" t="n"/>
      <c r="AA18" s="852" t="n"/>
    </row>
    <row r="19" ht="15" customHeight="1">
      <c r="A19" s="39">
        <f>IF(C19="","",ROW()-2)</f>
        <v/>
      </c>
      <c r="B19" s="879" t="n"/>
      <c r="C19" s="863" t="n"/>
      <c r="D19" s="227">
        <f>IF(C19="TOH","Type 1",IF(C19="POH","Type 2",IF(OR(C19="LTO",C19="TOH-LC",C19="TOH - LC"),"Type 3",IF(C19="Flourish","Type 4","Type 1"))))</f>
        <v/>
      </c>
      <c r="E19" s="853" t="n"/>
      <c r="F19" s="864" t="n"/>
      <c r="G19" s="865" t="n"/>
      <c r="H19" s="866" t="n"/>
      <c r="I19" s="867" t="n"/>
      <c r="J19" s="868" t="n"/>
      <c r="K19" s="50">
        <f>SUM(H19:J19)</f>
        <v/>
      </c>
      <c r="L19" s="880" t="n"/>
      <c r="M19" s="881" t="n"/>
      <c r="N19" s="882" t="n"/>
      <c r="O19" s="883" t="n"/>
      <c r="P19" s="50">
        <f>N19+O19+L19</f>
        <v/>
      </c>
      <c r="Q19" s="884" t="n"/>
      <c r="R19" s="877" t="n"/>
      <c r="S19" s="878" t="n"/>
      <c r="T19" s="884" t="n"/>
      <c r="U19" s="851" t="n"/>
      <c r="V19" s="877" t="n"/>
      <c r="W19" s="878" t="n"/>
      <c r="X19" s="852" t="n"/>
      <c r="Y19" s="852" t="n"/>
      <c r="Z19" s="852" t="n"/>
      <c r="AA19" s="852" t="n"/>
    </row>
    <row r="20" ht="15" customHeight="1">
      <c r="A20" s="39">
        <f>IF(C20="","",ROW()-2)</f>
        <v/>
      </c>
      <c r="B20" s="879" t="n"/>
      <c r="C20" s="863" t="n"/>
      <c r="D20" s="227">
        <f>IF(C20="TOH","Type 1",IF(C20="POH","Type 2",IF(OR(C20="LTO",C20="TOH-LC",C20="TOH - LC"),"Type 3",IF(C20="Flourish","Type 4","Type 1"))))</f>
        <v/>
      </c>
      <c r="E20" s="853" t="n"/>
      <c r="F20" s="864" t="n"/>
      <c r="G20" s="865" t="n"/>
      <c r="H20" s="866" t="n"/>
      <c r="I20" s="867" t="n"/>
      <c r="J20" s="868" t="n"/>
      <c r="K20" s="50">
        <f>SUM(H20:J20)</f>
        <v/>
      </c>
      <c r="L20" s="880" t="n"/>
      <c r="M20" s="881" t="n"/>
      <c r="N20" s="882" t="n"/>
      <c r="O20" s="883" t="n"/>
      <c r="P20" s="50">
        <f>N20+O20+L20</f>
        <v/>
      </c>
      <c r="Q20" s="884" t="n"/>
      <c r="R20" s="877" t="n"/>
      <c r="S20" s="878" t="n"/>
      <c r="T20" s="884" t="n"/>
      <c r="U20" s="851" t="n"/>
      <c r="V20" s="877" t="n"/>
      <c r="W20" s="878" t="n"/>
      <c r="X20" s="852" t="n"/>
      <c r="Y20" s="852" t="n"/>
      <c r="Z20" s="852" t="n"/>
      <c r="AA20" s="852" t="n"/>
    </row>
    <row r="21" ht="15" customHeight="1">
      <c r="A21" s="39">
        <f>IF(C21="","",ROW()-2)</f>
        <v/>
      </c>
      <c r="B21" s="879" t="n"/>
      <c r="C21" s="863" t="n"/>
      <c r="D21" s="227">
        <f>IF(C21="TOH","Type 1",IF(C21="POH","Type 2",IF(OR(C21="LTO",C21="TOH-LC",C21="TOH - LC"),"Type 3",IF(C21="Flourish","Type 4","Type 1"))))</f>
        <v/>
      </c>
      <c r="E21" s="853" t="n"/>
      <c r="F21" s="864" t="n"/>
      <c r="G21" s="865" t="n"/>
      <c r="H21" s="866" t="n"/>
      <c r="I21" s="867" t="n"/>
      <c r="J21" s="868" t="n"/>
      <c r="K21" s="50">
        <f>SUM(H21:J21)</f>
        <v/>
      </c>
      <c r="L21" s="880" t="n"/>
      <c r="M21" s="881" t="n"/>
      <c r="N21" s="882" t="n"/>
      <c r="O21" s="883" t="n"/>
      <c r="P21" s="50">
        <f>N21+O21+L21</f>
        <v/>
      </c>
      <c r="Q21" s="884" t="n"/>
      <c r="R21" s="877" t="n"/>
      <c r="S21" s="878" t="n"/>
      <c r="T21" s="884" t="n"/>
      <c r="U21" s="851" t="n"/>
      <c r="V21" s="877" t="n"/>
      <c r="W21" s="878" t="n"/>
      <c r="X21" s="852" t="n"/>
      <c r="Y21" s="852" t="n"/>
      <c r="Z21" s="852" t="n"/>
      <c r="AA21" s="852" t="n"/>
    </row>
    <row r="22" ht="15" customHeight="1">
      <c r="A22" s="39">
        <f>IF(C22="","",ROW()-2)</f>
        <v/>
      </c>
      <c r="B22" s="879" t="n"/>
      <c r="C22" s="863" t="n"/>
      <c r="D22" s="227">
        <f>IF(C22="TOH","Type 1",IF(C22="POH","Type 2",IF(OR(C22="LTO",C22="TOH-LC",C22="TOH - LC"),"Type 3",IF(C22="Flourish","Type 4","Type 1"))))</f>
        <v/>
      </c>
      <c r="E22" s="853" t="n"/>
      <c r="F22" s="864" t="n"/>
      <c r="G22" s="865" t="n"/>
      <c r="H22" s="866" t="n"/>
      <c r="I22" s="867" t="n"/>
      <c r="J22" s="868" t="n"/>
      <c r="K22" s="50">
        <f>SUM(H22:J22)</f>
        <v/>
      </c>
      <c r="L22" s="880" t="n"/>
      <c r="M22" s="881" t="n"/>
      <c r="N22" s="882" t="n"/>
      <c r="O22" s="883" t="n"/>
      <c r="P22" s="50">
        <f>N22+O22+L22</f>
        <v/>
      </c>
      <c r="Q22" s="884" t="n"/>
      <c r="R22" s="877" t="n"/>
      <c r="S22" s="878" t="n"/>
      <c r="T22" s="884" t="n"/>
      <c r="U22" s="851" t="n"/>
      <c r="V22" s="877" t="n"/>
      <c r="W22" s="878" t="n"/>
      <c r="X22" s="852" t="n"/>
      <c r="Y22" s="852" t="n"/>
      <c r="Z22" s="852" t="n"/>
      <c r="AA22" s="852" t="n"/>
    </row>
    <row r="23" ht="15" customHeight="1">
      <c r="A23" s="39">
        <f>IF(C23="","",ROW()-2)</f>
        <v/>
      </c>
      <c r="B23" s="879" t="n"/>
      <c r="C23" s="863" t="n"/>
      <c r="D23" s="227">
        <f>IF(C23="TOH","Type 1",IF(C23="POH","Type 2",IF(OR(C23="LTO",C23="TOH-LC",C23="TOH - LC"),"Type 3",IF(C23="Flourish","Type 4","Type 1"))))</f>
        <v/>
      </c>
      <c r="E23" s="853" t="n"/>
      <c r="F23" s="864" t="n"/>
      <c r="G23" s="865" t="n"/>
      <c r="H23" s="866" t="n"/>
      <c r="I23" s="867" t="n"/>
      <c r="J23" s="868" t="n"/>
      <c r="K23" s="50">
        <f>SUM(H23:J23)</f>
        <v/>
      </c>
      <c r="L23" s="880" t="n"/>
      <c r="M23" s="881" t="n"/>
      <c r="N23" s="882" t="n"/>
      <c r="O23" s="883" t="n"/>
      <c r="P23" s="50">
        <f>N23+O23+L23</f>
        <v/>
      </c>
      <c r="Q23" s="884" t="n"/>
      <c r="R23" s="877" t="n"/>
      <c r="S23" s="878" t="n"/>
      <c r="T23" s="884" t="n"/>
      <c r="U23" s="851" t="n"/>
      <c r="V23" s="877" t="n"/>
      <c r="W23" s="878" t="n"/>
      <c r="X23" s="852" t="n"/>
      <c r="Y23" s="852" t="n"/>
      <c r="Z23" s="852" t="n"/>
      <c r="AA23" s="852" t="n"/>
    </row>
    <row r="24" ht="15" customHeight="1">
      <c r="A24" s="39">
        <f>IF(C24="","",ROW()-2)</f>
        <v/>
      </c>
      <c r="B24" s="879" t="n"/>
      <c r="C24" s="863" t="n"/>
      <c r="D24" s="227">
        <f>IF(C24="TOH","Type 1",IF(C24="POH","Type 2",IF(OR(C24="LTO",C24="TOH-LC",C24="TOH - LC"),"Type 3",IF(C24="Flourish","Type 4","Type 1"))))</f>
        <v/>
      </c>
      <c r="E24" s="853" t="n"/>
      <c r="F24" s="864" t="n"/>
      <c r="G24" s="865" t="n"/>
      <c r="H24" s="866" t="n"/>
      <c r="I24" s="867" t="n"/>
      <c r="J24" s="868" t="n"/>
      <c r="K24" s="50">
        <f>SUM(H24:J24)</f>
        <v/>
      </c>
      <c r="L24" s="880" t="n"/>
      <c r="M24" s="881" t="n"/>
      <c r="N24" s="882" t="n"/>
      <c r="O24" s="883" t="n"/>
      <c r="P24" s="50">
        <f>N24+O24+L24</f>
        <v/>
      </c>
      <c r="Q24" s="884" t="n"/>
      <c r="R24" s="877" t="n"/>
      <c r="S24" s="878" t="n"/>
      <c r="T24" s="884" t="n"/>
      <c r="U24" s="851" t="n"/>
      <c r="V24" s="877" t="n"/>
      <c r="W24" s="878" t="n"/>
      <c r="X24" s="852" t="n"/>
      <c r="Y24" s="852" t="n"/>
      <c r="Z24" s="852" t="n"/>
      <c r="AA24" s="852" t="n"/>
    </row>
    <row r="25" ht="15" customHeight="1">
      <c r="A25" s="39">
        <f>IF(C25="","",ROW()-2)</f>
        <v/>
      </c>
      <c r="B25" s="879" t="n"/>
      <c r="C25" s="863" t="n"/>
      <c r="D25" s="227">
        <f>IF(C25="TOH","Type 1",IF(C25="POH","Type 2",IF(OR(C25="LTO",C25="TOH-LC",C25="TOH - LC"),"Type 3",IF(C25="Flourish","Type 4","Type 1"))))</f>
        <v/>
      </c>
      <c r="E25" s="853" t="n"/>
      <c r="F25" s="864" t="n"/>
      <c r="G25" s="865" t="n"/>
      <c r="H25" s="866" t="n"/>
      <c r="I25" s="867" t="n"/>
      <c r="J25" s="868" t="n"/>
      <c r="K25" s="50">
        <f>SUM(H25:J25)</f>
        <v/>
      </c>
      <c r="L25" s="880" t="n"/>
      <c r="M25" s="881" t="n"/>
      <c r="N25" s="882" t="n"/>
      <c r="O25" s="883" t="n"/>
      <c r="P25" s="50">
        <f>N25+O25+L25</f>
        <v/>
      </c>
      <c r="Q25" s="884" t="n"/>
      <c r="R25" s="877" t="n"/>
      <c r="S25" s="878" t="n"/>
      <c r="T25" s="884" t="n"/>
      <c r="U25" s="851" t="n"/>
      <c r="V25" s="877" t="n"/>
      <c r="W25" s="878" t="n"/>
      <c r="X25" s="852" t="n"/>
      <c r="Y25" s="852" t="n"/>
      <c r="Z25" s="852" t="n"/>
      <c r="AA25" s="852" t="n"/>
    </row>
    <row r="26" ht="15" customHeight="1">
      <c r="A26" s="39">
        <f>IF(C26="","",ROW()-2)</f>
        <v/>
      </c>
      <c r="B26" s="879" t="n"/>
      <c r="C26" s="863" t="n"/>
      <c r="D26" s="227">
        <f>IF(C26="TOH","Type 1",IF(C26="POH","Type 2",IF(OR(C26="LTO",C26="TOH-LC",C26="TOH - LC"),"Type 3",IF(C26="Flourish","Type 4","Type 1"))))</f>
        <v/>
      </c>
      <c r="E26" s="853" t="n"/>
      <c r="F26" s="864" t="n"/>
      <c r="G26" s="865" t="n"/>
      <c r="H26" s="866" t="n"/>
      <c r="I26" s="867" t="n"/>
      <c r="J26" s="868" t="n"/>
      <c r="K26" s="50">
        <f>SUM(H26:J26)</f>
        <v/>
      </c>
      <c r="L26" s="880" t="n"/>
      <c r="M26" s="881" t="n"/>
      <c r="N26" s="882" t="n"/>
      <c r="O26" s="883" t="n"/>
      <c r="P26" s="50">
        <f>N26+O26+L26</f>
        <v/>
      </c>
      <c r="Q26" s="884" t="n"/>
      <c r="R26" s="877" t="n"/>
      <c r="S26" s="878" t="n"/>
      <c r="T26" s="884" t="n"/>
      <c r="U26" s="851" t="n"/>
      <c r="V26" s="877" t="n"/>
      <c r="W26" s="878" t="n"/>
      <c r="X26" s="852" t="n"/>
      <c r="Y26" s="852" t="n"/>
      <c r="Z26" s="852" t="n"/>
      <c r="AA26" s="852" t="n"/>
    </row>
    <row r="27" ht="15" customHeight="1">
      <c r="A27" s="39">
        <f>IF(C27="","",ROW()-2)</f>
        <v/>
      </c>
      <c r="B27" s="879" t="n"/>
      <c r="C27" s="863" t="n"/>
      <c r="D27" s="227">
        <f>IF(C27="TOH","Type 1",IF(C27="POH","Type 2",IF(OR(C27="LTO",C27="TOH-LC",C27="TOH - LC"),"Type 3",IF(C27="Flourish","Type 4","Type 1"))))</f>
        <v/>
      </c>
      <c r="E27" s="853" t="n"/>
      <c r="F27" s="864" t="n"/>
      <c r="G27" s="865" t="n"/>
      <c r="H27" s="866" t="n"/>
      <c r="I27" s="867" t="n"/>
      <c r="J27" s="868" t="n"/>
      <c r="K27" s="50">
        <f>SUM(H27:J27)</f>
        <v/>
      </c>
      <c r="L27" s="880" t="n"/>
      <c r="M27" s="881" t="n"/>
      <c r="N27" s="882" t="n"/>
      <c r="O27" s="883" t="n"/>
      <c r="P27" s="50">
        <f>N27+O27+L27</f>
        <v/>
      </c>
      <c r="Q27" s="884" t="n"/>
      <c r="R27" s="877" t="n"/>
      <c r="S27" s="878" t="n"/>
      <c r="T27" s="884" t="n"/>
      <c r="U27" s="851" t="n"/>
      <c r="V27" s="877" t="n"/>
      <c r="W27" s="878" t="n"/>
      <c r="X27" s="852" t="n"/>
      <c r="Y27" s="852" t="n"/>
      <c r="Z27" s="852" t="n"/>
      <c r="AA27" s="852" t="n"/>
    </row>
    <row r="28" ht="15" customHeight="1">
      <c r="A28" s="39">
        <f>IF(C28="","",ROW()-2)</f>
        <v/>
      </c>
      <c r="B28" s="879" t="n"/>
      <c r="C28" s="863" t="n"/>
      <c r="D28" s="227">
        <f>IF(C28="TOH","Type 1",IF(C28="POH","Type 2",IF(OR(C28="LTO",C28="TOH-LC",C28="TOH - LC"),"Type 3",IF(C28="Flourish","Type 4","Type 1"))))</f>
        <v/>
      </c>
      <c r="E28" s="853" t="n"/>
      <c r="F28" s="864" t="n"/>
      <c r="G28" s="865" t="n"/>
      <c r="H28" s="866" t="n"/>
      <c r="I28" s="867" t="n"/>
      <c r="J28" s="868" t="n"/>
      <c r="K28" s="50">
        <f>SUM(H28:J28)</f>
        <v/>
      </c>
      <c r="L28" s="880" t="n"/>
      <c r="M28" s="881" t="n"/>
      <c r="N28" s="882" t="n"/>
      <c r="O28" s="883" t="n"/>
      <c r="P28" s="50">
        <f>N28+O28+L28</f>
        <v/>
      </c>
      <c r="Q28" s="884" t="n"/>
      <c r="R28" s="877" t="n"/>
      <c r="S28" s="878" t="n"/>
      <c r="T28" s="884" t="n"/>
      <c r="U28" s="851" t="n"/>
      <c r="V28" s="877" t="n"/>
      <c r="W28" s="878" t="n"/>
      <c r="X28" s="852" t="n"/>
      <c r="Y28" s="852" t="n"/>
      <c r="Z28" s="852" t="n"/>
      <c r="AA28" s="852" t="n"/>
    </row>
    <row r="29" ht="15" customHeight="1">
      <c r="A29" s="39">
        <f>IF(C29="","",ROW()-2)</f>
        <v/>
      </c>
      <c r="B29" s="879" t="n"/>
      <c r="C29" s="863" t="n"/>
      <c r="D29" s="227">
        <f>IF(C29="TOH","Type 1",IF(C29="POH","Type 2",IF(OR(C29="LTO",C29="TOH-LC",C29="TOH - LC"),"Type 3",IF(C29="Flourish","Type 4","Type 1"))))</f>
        <v/>
      </c>
      <c r="E29" s="853" t="n"/>
      <c r="F29" s="864" t="n"/>
      <c r="G29" s="865" t="n"/>
      <c r="H29" s="866" t="n"/>
      <c r="I29" s="867" t="n"/>
      <c r="J29" s="868" t="n"/>
      <c r="K29" s="50">
        <f>SUM(H29:J29)</f>
        <v/>
      </c>
      <c r="L29" s="880" t="n"/>
      <c r="M29" s="881" t="n"/>
      <c r="N29" s="882" t="n"/>
      <c r="O29" s="883" t="n"/>
      <c r="P29" s="50">
        <f>N29+O29+L29</f>
        <v/>
      </c>
      <c r="Q29" s="884" t="n"/>
      <c r="R29" s="877" t="n"/>
      <c r="S29" s="878" t="n"/>
      <c r="T29" s="884" t="n"/>
      <c r="U29" s="851" t="n"/>
      <c r="V29" s="877" t="n"/>
      <c r="W29" s="878" t="n"/>
      <c r="X29" s="852" t="n"/>
      <c r="Y29" s="852" t="n"/>
      <c r="Z29" s="852" t="n"/>
      <c r="AA29" s="852" t="n"/>
    </row>
    <row r="30" ht="15" customHeight="1">
      <c r="A30" s="39">
        <f>IF(C30="","",ROW()-2)</f>
        <v/>
      </c>
      <c r="B30" s="879" t="n"/>
      <c r="C30" s="863" t="n"/>
      <c r="D30" s="227">
        <f>IF(C30="TOH","Type 1",IF(C30="POH","Type 2",IF(OR(C30="LTO",C30="TOH-LC",C30="TOH - LC"),"Type 3",IF(C30="Flourish","Type 4","Type 1"))))</f>
        <v/>
      </c>
      <c r="E30" s="853" t="n"/>
      <c r="F30" s="864" t="n"/>
      <c r="G30" s="865" t="n"/>
      <c r="H30" s="866" t="n"/>
      <c r="I30" s="867" t="n"/>
      <c r="J30" s="868" t="n"/>
      <c r="K30" s="50">
        <f>SUM(H30:J30)</f>
        <v/>
      </c>
      <c r="L30" s="880" t="n"/>
      <c r="M30" s="881" t="n"/>
      <c r="N30" s="882" t="n"/>
      <c r="O30" s="883" t="n"/>
      <c r="P30" s="50">
        <f>N30+O30+L30</f>
        <v/>
      </c>
      <c r="Q30" s="884" t="n"/>
      <c r="R30" s="877" t="n"/>
      <c r="S30" s="878" t="n"/>
      <c r="T30" s="884" t="n"/>
      <c r="U30" s="851" t="n"/>
      <c r="V30" s="877" t="n"/>
      <c r="W30" s="878" t="n"/>
      <c r="X30" s="852" t="n"/>
      <c r="Y30" s="852" t="n"/>
      <c r="Z30" s="852" t="n"/>
      <c r="AA30" s="852" t="n"/>
    </row>
    <row r="31" ht="15" customHeight="1">
      <c r="A31" s="39">
        <f>IF(C31="","",ROW()-2)</f>
        <v/>
      </c>
      <c r="B31" s="879" t="n"/>
      <c r="C31" s="863" t="n"/>
      <c r="D31" s="227">
        <f>IF(C31="TOH","Type 1",IF(C31="POH","Type 2",IF(OR(C31="LTO",C31="TOH-LC",C31="TOH - LC"),"Type 3",IF(C31="Flourish","Type 4","Type 1"))))</f>
        <v/>
      </c>
      <c r="E31" s="853" t="n"/>
      <c r="F31" s="864" t="n"/>
      <c r="G31" s="865" t="n"/>
      <c r="H31" s="866" t="n"/>
      <c r="I31" s="867" t="n"/>
      <c r="J31" s="868" t="n"/>
      <c r="K31" s="50">
        <f>SUM(H31:J31)</f>
        <v/>
      </c>
      <c r="L31" s="880" t="n"/>
      <c r="M31" s="881" t="n"/>
      <c r="N31" s="882" t="n"/>
      <c r="O31" s="883" t="n"/>
      <c r="P31" s="50">
        <f>N31+O31+L31</f>
        <v/>
      </c>
      <c r="Q31" s="884" t="n"/>
      <c r="R31" s="877" t="n"/>
      <c r="S31" s="878" t="n"/>
      <c r="T31" s="884" t="n"/>
      <c r="U31" s="851" t="n"/>
      <c r="V31" s="877" t="n"/>
      <c r="W31" s="878" t="n"/>
      <c r="X31" s="852" t="n"/>
      <c r="Y31" s="852" t="n"/>
      <c r="Z31" s="852" t="n"/>
      <c r="AA31" s="852" t="n"/>
    </row>
    <row r="32" ht="15" customHeight="1">
      <c r="A32" s="39">
        <f>IF(C32="","",ROW()-2)</f>
        <v/>
      </c>
      <c r="B32" s="879" t="n"/>
      <c r="C32" s="863" t="n"/>
      <c r="D32" s="227">
        <f>IF(C32="TOH","Type 1",IF(C32="POH","Type 2",IF(OR(C32="LTO",C32="TOH-LC",C32="TOH - LC"),"Type 3",IF(C32="Flourish","Type 4","Type 1"))))</f>
        <v/>
      </c>
      <c r="E32" s="853" t="n"/>
      <c r="F32" s="864" t="n"/>
      <c r="G32" s="865" t="n"/>
      <c r="H32" s="866" t="n"/>
      <c r="I32" s="867" t="n"/>
      <c r="J32" s="868" t="n"/>
      <c r="K32" s="50">
        <f>SUM(H32:J32)</f>
        <v/>
      </c>
      <c r="L32" s="880" t="n"/>
      <c r="M32" s="881" t="n"/>
      <c r="N32" s="882" t="n"/>
      <c r="O32" s="883" t="n"/>
      <c r="P32" s="50">
        <f>N32+O32+L32</f>
        <v/>
      </c>
      <c r="Q32" s="884" t="n"/>
      <c r="R32" s="877" t="n"/>
      <c r="S32" s="878" t="n"/>
      <c r="T32" s="884" t="n"/>
      <c r="U32" s="851" t="n"/>
      <c r="V32" s="877" t="n"/>
      <c r="W32" s="878" t="n"/>
      <c r="X32" s="852" t="n"/>
      <c r="Y32" s="852" t="n"/>
      <c r="Z32" s="852" t="n"/>
      <c r="AA32" s="852" t="n"/>
    </row>
    <row r="33" ht="15" customHeight="1">
      <c r="A33" s="39">
        <f>IF(C33="","",ROW()-2)</f>
        <v/>
      </c>
      <c r="B33" s="879" t="n"/>
      <c r="C33" s="863" t="n"/>
      <c r="D33" s="227">
        <f>IF(C33="TOH","Type 1",IF(C33="POH","Type 2",IF(OR(C33="LTO",C33="TOH-LC",C33="TOH - LC"),"Type 3",IF(C33="Flourish","Type 4","Type 1"))))</f>
        <v/>
      </c>
      <c r="E33" s="853" t="n"/>
      <c r="F33" s="864" t="n"/>
      <c r="G33" s="865" t="n"/>
      <c r="H33" s="866" t="n"/>
      <c r="I33" s="867" t="n"/>
      <c r="J33" s="868" t="n"/>
      <c r="K33" s="50">
        <f>SUM(H33:J33)</f>
        <v/>
      </c>
      <c r="L33" s="880" t="n"/>
      <c r="M33" s="881" t="n"/>
      <c r="N33" s="882" t="n"/>
      <c r="O33" s="883" t="n"/>
      <c r="P33" s="50">
        <f>N33+O33+L33</f>
        <v/>
      </c>
      <c r="Q33" s="884" t="n"/>
      <c r="R33" s="877" t="n"/>
      <c r="S33" s="878" t="n"/>
      <c r="T33" s="884" t="n"/>
      <c r="U33" s="851" t="n"/>
      <c r="V33" s="877" t="n"/>
      <c r="W33" s="878" t="n"/>
      <c r="X33" s="852" t="n"/>
      <c r="Y33" s="852" t="n"/>
      <c r="Z33" s="852" t="n"/>
      <c r="AA33" s="852" t="n"/>
    </row>
    <row r="34" ht="15" customHeight="1">
      <c r="A34" s="39">
        <f>IF(C34="","",ROW()-2)</f>
        <v/>
      </c>
      <c r="B34" s="879" t="n"/>
      <c r="C34" s="863" t="n"/>
      <c r="D34" s="227">
        <f>IF(C34="TOH","Type 1",IF(C34="POH","Type 2",IF(OR(C34="LTO",C34="TOH-LC",C34="TOH - LC"),"Type 3",IF(C34="Flourish","Type 4","Type 1"))))</f>
        <v/>
      </c>
      <c r="E34" s="853" t="n"/>
      <c r="F34" s="864" t="n"/>
      <c r="G34" s="865" t="n"/>
      <c r="H34" s="866" t="n"/>
      <c r="I34" s="867" t="n"/>
      <c r="J34" s="868" t="n"/>
      <c r="K34" s="50">
        <f>SUM(H34:J34)</f>
        <v/>
      </c>
      <c r="L34" s="880" t="n"/>
      <c r="M34" s="881" t="n"/>
      <c r="N34" s="882" t="n"/>
      <c r="O34" s="883" t="n"/>
      <c r="P34" s="50">
        <f>N34+O34+L34</f>
        <v/>
      </c>
      <c r="Q34" s="884" t="n"/>
      <c r="R34" s="877" t="n"/>
      <c r="S34" s="878" t="n"/>
      <c r="T34" s="884" t="n"/>
      <c r="U34" s="851" t="n"/>
      <c r="V34" s="877" t="n"/>
      <c r="W34" s="878" t="n"/>
      <c r="X34" s="852" t="n"/>
      <c r="Y34" s="852" t="n"/>
      <c r="Z34" s="852" t="n"/>
      <c r="AA34" s="852" t="n"/>
    </row>
    <row r="35" ht="15" customHeight="1">
      <c r="A35" s="39">
        <f>IF(C35="","",ROW()-2)</f>
        <v/>
      </c>
      <c r="B35" s="879" t="n"/>
      <c r="C35" s="863" t="n"/>
      <c r="D35" s="227">
        <f>IF(C35="TOH","Type 1",IF(C35="POH","Type 2",IF(OR(C35="LTO",C35="TOH-LC",C35="TOH - LC"),"Type 3",IF(C35="Flourish","Type 4","Type 1"))))</f>
        <v/>
      </c>
      <c r="E35" s="853" t="n"/>
      <c r="F35" s="864" t="n"/>
      <c r="G35" s="865" t="n"/>
      <c r="H35" s="866" t="n"/>
      <c r="I35" s="867" t="n"/>
      <c r="J35" s="868" t="n"/>
      <c r="K35" s="50">
        <f>SUM(H35:J35)</f>
        <v/>
      </c>
      <c r="L35" s="880" t="n"/>
      <c r="M35" s="881" t="n"/>
      <c r="N35" s="882" t="n"/>
      <c r="O35" s="883" t="n"/>
      <c r="P35" s="50">
        <f>N35+O35+L35</f>
        <v/>
      </c>
      <c r="Q35" s="884" t="n"/>
      <c r="R35" s="877" t="n"/>
      <c r="S35" s="878" t="n"/>
      <c r="T35" s="884" t="n"/>
      <c r="U35" s="851" t="n"/>
      <c r="V35" s="877" t="n"/>
      <c r="W35" s="878" t="n"/>
      <c r="X35" s="852" t="n"/>
      <c r="Y35" s="852" t="n"/>
      <c r="Z35" s="852" t="n"/>
      <c r="AA35" s="852" t="n"/>
    </row>
    <row r="36" ht="15" customHeight="1">
      <c r="A36" s="39">
        <f>IF(C36="","",ROW()-2)</f>
        <v/>
      </c>
      <c r="B36" s="879" t="n"/>
      <c r="C36" s="863" t="n"/>
      <c r="D36" s="227">
        <f>IF(C36="TOH","Type 1",IF(C36="POH","Type 2",IF(OR(C36="LTO",C36="TOH-LC",C36="TOH - LC"),"Type 3",IF(C36="Flourish","Type 4","Type 1"))))</f>
        <v/>
      </c>
      <c r="E36" s="853" t="n"/>
      <c r="F36" s="864" t="n"/>
      <c r="G36" s="865" t="n"/>
      <c r="H36" s="866" t="n"/>
      <c r="I36" s="867" t="n"/>
      <c r="J36" s="868" t="n"/>
      <c r="K36" s="50">
        <f>SUM(H36:J36)</f>
        <v/>
      </c>
      <c r="L36" s="880" t="n"/>
      <c r="M36" s="881" t="n"/>
      <c r="N36" s="882" t="n"/>
      <c r="O36" s="883" t="n"/>
      <c r="P36" s="50">
        <f>N36+O36+L36</f>
        <v/>
      </c>
      <c r="Q36" s="884" t="n"/>
      <c r="R36" s="877" t="n"/>
      <c r="S36" s="878" t="n"/>
      <c r="T36" s="884" t="n"/>
      <c r="U36" s="851" t="n"/>
      <c r="V36" s="877" t="n"/>
      <c r="W36" s="878" t="n"/>
      <c r="X36" s="852" t="n"/>
      <c r="Y36" s="852" t="n"/>
      <c r="Z36" s="852" t="n"/>
      <c r="AA36" s="852" t="n"/>
    </row>
    <row r="37" ht="15" customHeight="1">
      <c r="A37" s="39">
        <f>IF(C37="","",ROW()-2)</f>
        <v/>
      </c>
      <c r="B37" s="879" t="n"/>
      <c r="C37" s="863" t="n"/>
      <c r="D37" s="227">
        <f>IF(C37="TOH","Type 1",IF(C37="POH","Type 2",IF(OR(C37="LTO",C37="TOH-LC",C37="TOH - LC"),"Type 3",IF(C37="Flourish","Type 4","Type 1"))))</f>
        <v/>
      </c>
      <c r="E37" s="853" t="n"/>
      <c r="F37" s="864" t="n"/>
      <c r="G37" s="865" t="n"/>
      <c r="H37" s="866" t="n"/>
      <c r="I37" s="867" t="n"/>
      <c r="J37" s="868" t="n"/>
      <c r="K37" s="50">
        <f>SUM(H37:J37)</f>
        <v/>
      </c>
      <c r="L37" s="880" t="n"/>
      <c r="M37" s="881" t="n"/>
      <c r="N37" s="882" t="n"/>
      <c r="O37" s="883" t="n"/>
      <c r="P37" s="50">
        <f>N37+O37+L37</f>
        <v/>
      </c>
      <c r="Q37" s="884" t="n"/>
      <c r="R37" s="877" t="n"/>
      <c r="S37" s="878" t="n"/>
      <c r="T37" s="884" t="n"/>
      <c r="U37" s="851" t="n"/>
      <c r="V37" s="877" t="n"/>
      <c r="W37" s="878" t="n"/>
      <c r="X37" s="852" t="n"/>
      <c r="Y37" s="852" t="n"/>
      <c r="Z37" s="852" t="n"/>
      <c r="AA37" s="852" t="n"/>
    </row>
    <row r="38" ht="15" customHeight="1">
      <c r="A38" s="39">
        <f>IF(C38="","",ROW()-2)</f>
        <v/>
      </c>
      <c r="B38" s="879" t="n"/>
      <c r="C38" s="863" t="n"/>
      <c r="D38" s="227">
        <f>IF(C38="TOH","Type 1",IF(C38="POH","Type 2",IF(OR(C38="LTO",C38="TOH-LC",C38="TOH - LC"),"Type 3",IF(C38="Flourish","Type 4","Type 1"))))</f>
        <v/>
      </c>
      <c r="E38" s="853" t="n"/>
      <c r="F38" s="864" t="n"/>
      <c r="G38" s="865" t="n"/>
      <c r="H38" s="866" t="n"/>
      <c r="I38" s="867" t="n"/>
      <c r="J38" s="868" t="n"/>
      <c r="K38" s="50">
        <f>SUM(H38:J38)</f>
        <v/>
      </c>
      <c r="L38" s="880" t="n"/>
      <c r="M38" s="881" t="n"/>
      <c r="N38" s="882" t="n"/>
      <c r="O38" s="883" t="n"/>
      <c r="P38" s="50">
        <f>N38+O38+L38</f>
        <v/>
      </c>
      <c r="Q38" s="884" t="n"/>
      <c r="R38" s="877" t="n"/>
      <c r="S38" s="878" t="n"/>
      <c r="T38" s="884" t="n"/>
      <c r="U38" s="851" t="n"/>
      <c r="V38" s="877" t="n"/>
      <c r="W38" s="878" t="n"/>
      <c r="X38" s="852" t="n"/>
      <c r="Y38" s="852" t="n"/>
      <c r="Z38" s="852" t="n"/>
      <c r="AA38" s="852" t="n"/>
    </row>
    <row r="39" ht="15" customHeight="1">
      <c r="A39" s="39">
        <f>IF(C39="","",ROW()-2)</f>
        <v/>
      </c>
      <c r="B39" s="879" t="n"/>
      <c r="C39" s="863" t="n"/>
      <c r="D39" s="227">
        <f>IF(C39="TOH","Type 1",IF(C39="POH","Type 2",IF(OR(C39="LTO",C39="TOH-LC",C39="TOH - LC"),"Type 3",IF(C39="Flourish","Type 4","Type 1"))))</f>
        <v/>
      </c>
      <c r="E39" s="853" t="n"/>
      <c r="F39" s="864" t="n"/>
      <c r="G39" s="865" t="n"/>
      <c r="H39" s="866" t="n"/>
      <c r="I39" s="867" t="n"/>
      <c r="J39" s="868" t="n"/>
      <c r="K39" s="50">
        <f>SUM(H39:J39)</f>
        <v/>
      </c>
      <c r="L39" s="880" t="n"/>
      <c r="M39" s="881" t="n"/>
      <c r="N39" s="882" t="n"/>
      <c r="O39" s="883" t="n"/>
      <c r="P39" s="50">
        <f>N39+O39+L39</f>
        <v/>
      </c>
      <c r="Q39" s="884" t="n"/>
      <c r="R39" s="877" t="n"/>
      <c r="S39" s="878" t="n"/>
      <c r="T39" s="884" t="n"/>
      <c r="U39" s="851" t="n"/>
      <c r="V39" s="877" t="n"/>
      <c r="W39" s="878" t="n"/>
      <c r="X39" s="852" t="n"/>
      <c r="Y39" s="852" t="n"/>
      <c r="Z39" s="852" t="n"/>
      <c r="AA39" s="852" t="n"/>
    </row>
    <row r="40" ht="15" customHeight="1">
      <c r="A40" s="39">
        <f>IF(C40="","",ROW()-2)</f>
        <v/>
      </c>
      <c r="B40" s="879" t="n"/>
      <c r="C40" s="863" t="n"/>
      <c r="D40" s="227">
        <f>IF(C40="TOH","Type 1",IF(C40="POH","Type 2",IF(OR(C40="LTO",C40="TOH-LC",C40="TOH - LC"),"Type 3",IF(C40="Flourish","Type 4","Type 1"))))</f>
        <v/>
      </c>
      <c r="E40" s="853" t="n"/>
      <c r="F40" s="864" t="n"/>
      <c r="G40" s="865" t="n"/>
      <c r="H40" s="866" t="n"/>
      <c r="I40" s="867" t="n"/>
      <c r="J40" s="868" t="n"/>
      <c r="K40" s="50">
        <f>SUM(H40:J40)</f>
        <v/>
      </c>
      <c r="L40" s="880" t="n"/>
      <c r="M40" s="881" t="n"/>
      <c r="N40" s="882" t="n"/>
      <c r="O40" s="883" t="n"/>
      <c r="P40" s="50">
        <f>N40+O40+L40</f>
        <v/>
      </c>
      <c r="Q40" s="884" t="n"/>
      <c r="R40" s="877" t="n"/>
      <c r="S40" s="878" t="n"/>
      <c r="T40" s="884" t="n"/>
      <c r="U40" s="851" t="n"/>
      <c r="V40" s="877" t="n"/>
      <c r="W40" s="878" t="n"/>
      <c r="X40" s="852" t="n"/>
      <c r="Y40" s="852" t="n"/>
      <c r="Z40" s="852" t="n"/>
      <c r="AA40" s="852" t="n"/>
    </row>
    <row r="41" ht="15" customHeight="1">
      <c r="A41" s="39">
        <f>IF(C41="","",ROW()-2)</f>
        <v/>
      </c>
      <c r="B41" s="879" t="n"/>
      <c r="C41" s="863" t="n"/>
      <c r="D41" s="227">
        <f>IF(C41="TOH","Type 1",IF(C41="POH","Type 2",IF(OR(C41="LTO",C41="TOH-LC",C41="TOH - LC"),"Type 3",IF(C41="Flourish","Type 4","Type 1"))))</f>
        <v/>
      </c>
      <c r="E41" s="853" t="n"/>
      <c r="F41" s="864" t="n"/>
      <c r="G41" s="865" t="n"/>
      <c r="H41" s="866" t="n"/>
      <c r="I41" s="867" t="n"/>
      <c r="J41" s="868" t="n"/>
      <c r="K41" s="50">
        <f>SUM(H41:J41)</f>
        <v/>
      </c>
      <c r="L41" s="880" t="n"/>
      <c r="M41" s="881" t="n"/>
      <c r="N41" s="882" t="n"/>
      <c r="O41" s="883" t="n"/>
      <c r="P41" s="50">
        <f>N41+O41+L41</f>
        <v/>
      </c>
      <c r="Q41" s="884" t="n"/>
      <c r="R41" s="877" t="n"/>
      <c r="S41" s="878" t="n"/>
      <c r="T41" s="884" t="n"/>
      <c r="U41" s="851" t="n"/>
      <c r="V41" s="877" t="n"/>
      <c r="W41" s="878" t="n"/>
      <c r="X41" s="852" t="n"/>
      <c r="Y41" s="852" t="n"/>
      <c r="Z41" s="852" t="n"/>
      <c r="AA41" s="852" t="n"/>
    </row>
    <row r="42" ht="15" customHeight="1">
      <c r="A42" s="39">
        <f>IF(C42="","",ROW()-2)</f>
        <v/>
      </c>
      <c r="B42" s="879" t="n"/>
      <c r="C42" s="863" t="n"/>
      <c r="D42" s="227">
        <f>IF(C42="TOH","Type 1",IF(C42="POH","Type 2",IF(OR(C42="LTO",C42="TOH-LC",C42="TOH - LC"),"Type 3",IF(C42="Flourish","Type 4","Type 1"))))</f>
        <v/>
      </c>
      <c r="E42" s="853" t="n"/>
      <c r="F42" s="864" t="n"/>
      <c r="G42" s="865" t="n"/>
      <c r="H42" s="866" t="n"/>
      <c r="I42" s="867" t="n"/>
      <c r="J42" s="868" t="n"/>
      <c r="K42" s="50">
        <f>SUM(H42:J42)</f>
        <v/>
      </c>
      <c r="L42" s="880" t="n"/>
      <c r="M42" s="881" t="n"/>
      <c r="N42" s="882" t="n"/>
      <c r="O42" s="883" t="n"/>
      <c r="P42" s="50">
        <f>N42+O42+L42</f>
        <v/>
      </c>
      <c r="Q42" s="884" t="n"/>
      <c r="R42" s="877" t="n"/>
      <c r="S42" s="878" t="n"/>
      <c r="T42" s="884" t="n"/>
      <c r="U42" s="851" t="n"/>
      <c r="V42" s="877" t="n"/>
      <c r="W42" s="878" t="n"/>
      <c r="X42" s="852" t="n"/>
      <c r="Y42" s="852" t="n"/>
      <c r="Z42" s="852" t="n"/>
      <c r="AA42" s="852" t="n"/>
    </row>
    <row r="43" ht="15" customHeight="1">
      <c r="A43" s="39">
        <f>IF(C43="","",ROW()-2)</f>
        <v/>
      </c>
      <c r="B43" s="879" t="n"/>
      <c r="C43" s="863" t="n"/>
      <c r="D43" s="227">
        <f>IF(C43="TOH","Type 1",IF(C43="POH","Type 2",IF(OR(C43="LTO",C43="TOH-LC",C43="TOH - LC"),"Type 3",IF(C43="Flourish","Type 4","Type 1"))))</f>
        <v/>
      </c>
      <c r="E43" s="853" t="n"/>
      <c r="F43" s="864" t="n"/>
      <c r="G43" s="865" t="n"/>
      <c r="H43" s="866" t="n"/>
      <c r="I43" s="867" t="n"/>
      <c r="J43" s="868" t="n"/>
      <c r="K43" s="50">
        <f>SUM(H43:J43)</f>
        <v/>
      </c>
      <c r="L43" s="880" t="n"/>
      <c r="M43" s="881" t="n"/>
      <c r="N43" s="882" t="n"/>
      <c r="O43" s="883" t="n"/>
      <c r="P43" s="50">
        <f>N43+O43+L43</f>
        <v/>
      </c>
      <c r="Q43" s="884" t="n"/>
      <c r="R43" s="877" t="n"/>
      <c r="S43" s="878" t="n"/>
      <c r="T43" s="884" t="n"/>
      <c r="U43" s="851" t="n"/>
      <c r="V43" s="877" t="n"/>
      <c r="W43" s="878" t="n"/>
      <c r="X43" s="852" t="n"/>
      <c r="Y43" s="852" t="n"/>
      <c r="Z43" s="852" t="n"/>
      <c r="AA43" s="852" t="n"/>
    </row>
    <row r="44" ht="15" customHeight="1">
      <c r="A44" s="39">
        <f>IF(C44="","",ROW()-2)</f>
        <v/>
      </c>
      <c r="B44" s="879" t="n"/>
      <c r="C44" s="863" t="n"/>
      <c r="D44" s="227">
        <f>IF(C44="TOH","Type 1",IF(C44="POH","Type 2",IF(OR(C44="LTO",C44="TOH-LC",C44="TOH - LC"),"Type 3",IF(C44="Flourish","Type 4","Type 1"))))</f>
        <v/>
      </c>
      <c r="E44" s="853" t="n"/>
      <c r="F44" s="864" t="n"/>
      <c r="G44" s="865" t="n"/>
      <c r="H44" s="866" t="n"/>
      <c r="I44" s="867" t="n"/>
      <c r="J44" s="868" t="n"/>
      <c r="K44" s="50">
        <f>SUM(H44:J44)</f>
        <v/>
      </c>
      <c r="L44" s="880" t="n"/>
      <c r="M44" s="881" t="n"/>
      <c r="N44" s="882" t="n"/>
      <c r="O44" s="883" t="n"/>
      <c r="P44" s="50">
        <f>N44+O44+L44</f>
        <v/>
      </c>
      <c r="Q44" s="884" t="n"/>
      <c r="R44" s="877" t="n"/>
      <c r="S44" s="878" t="n"/>
      <c r="T44" s="884" t="n"/>
      <c r="U44" s="851" t="n"/>
      <c r="V44" s="877" t="n"/>
      <c r="W44" s="878" t="n"/>
      <c r="X44" s="852" t="n"/>
      <c r="Y44" s="852" t="n"/>
      <c r="Z44" s="852" t="n"/>
      <c r="AA44" s="852" t="n"/>
    </row>
    <row r="45" ht="15" customHeight="1">
      <c r="A45" s="39">
        <f>IF(C45="","",ROW()-2)</f>
        <v/>
      </c>
      <c r="B45" s="879" t="n"/>
      <c r="C45" s="863" t="n"/>
      <c r="D45" s="227">
        <f>IF(C45="TOH","Type 1",IF(C45="POH","Type 2",IF(OR(C45="LTO",C45="TOH-LC",C45="TOH - LC"),"Type 3",IF(C45="Flourish","Type 4","Type 1"))))</f>
        <v/>
      </c>
      <c r="E45" s="853" t="n"/>
      <c r="F45" s="864" t="n"/>
      <c r="G45" s="865" t="n"/>
      <c r="H45" s="866" t="n"/>
      <c r="I45" s="867" t="n"/>
      <c r="J45" s="868" t="n"/>
      <c r="K45" s="50">
        <f>SUM(H45:J45)</f>
        <v/>
      </c>
      <c r="L45" s="880" t="n"/>
      <c r="M45" s="881" t="n"/>
      <c r="N45" s="882" t="n"/>
      <c r="O45" s="883" t="n"/>
      <c r="P45" s="50">
        <f>N45+O45+L45</f>
        <v/>
      </c>
      <c r="Q45" s="884" t="n"/>
      <c r="R45" s="877" t="n"/>
      <c r="S45" s="878" t="n"/>
      <c r="T45" s="884" t="n"/>
      <c r="U45" s="851" t="n"/>
      <c r="V45" s="877" t="n"/>
      <c r="W45" s="878" t="n"/>
      <c r="X45" s="852" t="n"/>
      <c r="Y45" s="852" t="n"/>
      <c r="Z45" s="852" t="n"/>
      <c r="AA45" s="852" t="n"/>
    </row>
    <row r="46" ht="15" customHeight="1">
      <c r="A46" s="39">
        <f>IF(C46="","",ROW()-2)</f>
        <v/>
      </c>
      <c r="B46" s="879" t="n"/>
      <c r="C46" s="863" t="n"/>
      <c r="D46" s="227">
        <f>IF(C46="TOH","Type 1",IF(C46="POH","Type 2",IF(OR(C46="LTO",C46="TOH-LC",C46="TOH - LC"),"Type 3",IF(C46="Flourish","Type 4","Type 1"))))</f>
        <v/>
      </c>
      <c r="E46" s="853" t="n"/>
      <c r="F46" s="864" t="n"/>
      <c r="G46" s="865" t="n"/>
      <c r="H46" s="866" t="n"/>
      <c r="I46" s="867" t="n"/>
      <c r="J46" s="868" t="n"/>
      <c r="K46" s="50">
        <f>SUM(H46:J46)</f>
        <v/>
      </c>
      <c r="L46" s="880" t="n"/>
      <c r="M46" s="881" t="n"/>
      <c r="N46" s="882" t="n"/>
      <c r="O46" s="883" t="n"/>
      <c r="P46" s="50">
        <f>N46+O46+L46</f>
        <v/>
      </c>
      <c r="Q46" s="884" t="n"/>
      <c r="R46" s="877" t="n"/>
      <c r="S46" s="878" t="n"/>
      <c r="T46" s="884" t="n"/>
      <c r="U46" s="851" t="n"/>
      <c r="V46" s="877" t="n"/>
      <c r="W46" s="878" t="n"/>
      <c r="X46" s="852" t="n"/>
      <c r="Y46" s="852" t="n"/>
      <c r="Z46" s="852" t="n"/>
      <c r="AA46" s="852" t="n"/>
    </row>
    <row r="47" ht="15" customHeight="1">
      <c r="A47" s="39">
        <f>IF(C47="","",ROW()-2)</f>
        <v/>
      </c>
      <c r="B47" s="879" t="n"/>
      <c r="C47" s="863" t="n"/>
      <c r="D47" s="227">
        <f>IF(C47="TOH","Type 1",IF(C47="POH","Type 2",IF(OR(C47="LTO",C47="TOH-LC",C47="TOH - LC"),"Type 3",IF(C47="Flourish","Type 4","Type 1"))))</f>
        <v/>
      </c>
      <c r="E47" s="853" t="n"/>
      <c r="F47" s="864" t="n"/>
      <c r="G47" s="865" t="n"/>
      <c r="H47" s="866" t="n"/>
      <c r="I47" s="867" t="n"/>
      <c r="J47" s="868" t="n"/>
      <c r="K47" s="50">
        <f>SUM(H47:J47)</f>
        <v/>
      </c>
      <c r="L47" s="880" t="n"/>
      <c r="M47" s="881" t="n"/>
      <c r="N47" s="882" t="n"/>
      <c r="O47" s="883" t="n"/>
      <c r="P47" s="50">
        <f>N47+O47+L47</f>
        <v/>
      </c>
      <c r="Q47" s="884" t="n"/>
      <c r="R47" s="877" t="n"/>
      <c r="S47" s="878" t="n"/>
      <c r="T47" s="884" t="n"/>
      <c r="U47" s="851" t="n"/>
      <c r="V47" s="877" t="n"/>
      <c r="W47" s="878" t="n"/>
      <c r="X47" s="852" t="n"/>
      <c r="Y47" s="852" t="n"/>
      <c r="Z47" s="852" t="n"/>
      <c r="AA47" s="852" t="n"/>
    </row>
    <row r="48" ht="15" customHeight="1">
      <c r="A48" s="39">
        <f>IF(C48="","",ROW()-2)</f>
        <v/>
      </c>
      <c r="B48" s="879" t="n"/>
      <c r="C48" s="863" t="n"/>
      <c r="D48" s="227">
        <f>IF(C48="TOH","Type 1",IF(C48="POH","Type 2",IF(OR(C48="LTO",C48="TOH-LC",C48="TOH - LC"),"Type 3",IF(C48="Flourish","Type 4","Type 1"))))</f>
        <v/>
      </c>
      <c r="E48" s="853" t="n"/>
      <c r="F48" s="864" t="n"/>
      <c r="G48" s="865" t="n"/>
      <c r="H48" s="866" t="n"/>
      <c r="I48" s="867" t="n"/>
      <c r="J48" s="868" t="n"/>
      <c r="K48" s="50">
        <f>SUM(H48:J48)</f>
        <v/>
      </c>
      <c r="L48" s="880" t="n"/>
      <c r="M48" s="881" t="n"/>
      <c r="N48" s="882" t="n"/>
      <c r="O48" s="883" t="n"/>
      <c r="P48" s="50">
        <f>N48+O48+L48</f>
        <v/>
      </c>
      <c r="Q48" s="884" t="n"/>
      <c r="R48" s="877" t="n"/>
      <c r="S48" s="878" t="n"/>
      <c r="T48" s="884" t="n"/>
      <c r="U48" s="851" t="n"/>
      <c r="V48" s="877" t="n"/>
      <c r="W48" s="878" t="n"/>
      <c r="X48" s="852" t="n"/>
      <c r="Y48" s="852" t="n"/>
      <c r="Z48" s="852" t="n"/>
      <c r="AA48" s="852" t="n"/>
    </row>
    <row r="49" ht="15" customHeight="1">
      <c r="A49" s="39">
        <f>IF(C49="","",ROW()-2)</f>
        <v/>
      </c>
      <c r="B49" s="879" t="n"/>
      <c r="C49" s="863" t="n"/>
      <c r="D49" s="227">
        <f>IF(C49="TOH","Type 1",IF(C49="POH","Type 2",IF(OR(C49="LTO",C49="TOH-LC",C49="TOH - LC"),"Type 3",IF(C49="Flourish","Type 4","Type 1"))))</f>
        <v/>
      </c>
      <c r="E49" s="853" t="n"/>
      <c r="F49" s="864" t="n"/>
      <c r="G49" s="865" t="n"/>
      <c r="H49" s="866" t="n"/>
      <c r="I49" s="867" t="n"/>
      <c r="J49" s="868" t="n"/>
      <c r="K49" s="50">
        <f>SUM(H49:J49)</f>
        <v/>
      </c>
      <c r="L49" s="880" t="n"/>
      <c r="M49" s="881" t="n"/>
      <c r="N49" s="882" t="n"/>
      <c r="O49" s="883" t="n"/>
      <c r="P49" s="50">
        <f>N49+O49+L49</f>
        <v/>
      </c>
      <c r="Q49" s="884" t="n"/>
      <c r="R49" s="877" t="n"/>
      <c r="S49" s="878" t="n"/>
      <c r="T49" s="884" t="n"/>
      <c r="U49" s="851" t="n"/>
      <c r="V49" s="877" t="n"/>
      <c r="W49" s="878" t="n"/>
      <c r="X49" s="852" t="n"/>
      <c r="Y49" s="852" t="n"/>
      <c r="Z49" s="852" t="n"/>
      <c r="AA49" s="852" t="n"/>
    </row>
    <row r="50" ht="15" customHeight="1">
      <c r="A50" s="39">
        <f>IF(C50="","",ROW()-2)</f>
        <v/>
      </c>
      <c r="B50" s="879" t="n"/>
      <c r="C50" s="863" t="n"/>
      <c r="D50" s="227">
        <f>IF(C50="TOH","Type 1",IF(C50="POH","Type 2",IF(OR(C50="LTO",C50="TOH-LC",C50="TOH - LC"),"Type 3",IF(C50="Flourish","Type 4","Type 1"))))</f>
        <v/>
      </c>
      <c r="E50" s="853" t="n"/>
      <c r="F50" s="864" t="n"/>
      <c r="G50" s="865" t="n"/>
      <c r="H50" s="866" t="n"/>
      <c r="I50" s="867" t="n"/>
      <c r="J50" s="868" t="n"/>
      <c r="K50" s="50">
        <f>SUM(H50:J50)</f>
        <v/>
      </c>
      <c r="L50" s="880" t="n"/>
      <c r="M50" s="881" t="n"/>
      <c r="N50" s="882" t="n"/>
      <c r="O50" s="883" t="n"/>
      <c r="P50" s="50">
        <f>N50+O50+L50</f>
        <v/>
      </c>
      <c r="Q50" s="884" t="n"/>
      <c r="R50" s="877" t="n"/>
      <c r="S50" s="878" t="n"/>
      <c r="T50" s="884" t="n"/>
      <c r="U50" s="851" t="n"/>
      <c r="V50" s="877" t="n"/>
      <c r="W50" s="878" t="n"/>
      <c r="X50" s="852" t="n"/>
      <c r="Y50" s="852" t="n"/>
      <c r="Z50" s="852" t="n"/>
      <c r="AA50" s="852" t="n"/>
    </row>
    <row r="51" ht="15" customHeight="1">
      <c r="A51" s="39">
        <f>IF(C51="","",ROW()-2)</f>
        <v/>
      </c>
      <c r="B51" s="879" t="n"/>
      <c r="C51" s="863" t="n"/>
      <c r="D51" s="227">
        <f>IF(C51="TOH","Type 1",IF(C51="POH","Type 2",IF(OR(C51="LTO",C51="TOH-LC",C51="TOH - LC"),"Type 3",IF(C51="Flourish","Type 4","Type 1"))))</f>
        <v/>
      </c>
      <c r="E51" s="853" t="n"/>
      <c r="F51" s="864" t="n"/>
      <c r="G51" s="865" t="n"/>
      <c r="H51" s="866" t="n"/>
      <c r="I51" s="867" t="n"/>
      <c r="J51" s="868" t="n"/>
      <c r="K51" s="50">
        <f>SUM(H51:J51)</f>
        <v/>
      </c>
      <c r="L51" s="880" t="n"/>
      <c r="M51" s="881" t="n"/>
      <c r="N51" s="882" t="n"/>
      <c r="O51" s="883" t="n"/>
      <c r="P51" s="50">
        <f>N51+O51+L51</f>
        <v/>
      </c>
      <c r="Q51" s="884" t="n"/>
      <c r="R51" s="877" t="n"/>
      <c r="S51" s="878" t="n"/>
      <c r="T51" s="884" t="n"/>
      <c r="U51" s="851" t="n"/>
      <c r="V51" s="877" t="n"/>
      <c r="W51" s="878" t="n"/>
      <c r="X51" s="852" t="n"/>
      <c r="Y51" s="852" t="n"/>
      <c r="Z51" s="852" t="n"/>
      <c r="AA51" s="852" t="n"/>
    </row>
    <row r="52" ht="15" customHeight="1">
      <c r="A52" s="39">
        <f>IF(C52="","",ROW()-2)</f>
        <v/>
      </c>
      <c r="B52" s="879" t="n"/>
      <c r="C52" s="863" t="n"/>
      <c r="D52" s="227">
        <f>IF(C52="TOH","Type 1",IF(C52="POH","Type 2",IF(OR(C52="LTO",C52="TOH-LC",C52="TOH - LC"),"Type 3",IF(C52="Flourish","Type 4","Type 1"))))</f>
        <v/>
      </c>
      <c r="E52" s="853" t="n"/>
      <c r="F52" s="864" t="n"/>
      <c r="G52" s="865" t="n"/>
      <c r="H52" s="866" t="n"/>
      <c r="I52" s="867" t="n"/>
      <c r="J52" s="868" t="n"/>
      <c r="K52" s="50">
        <f>SUM(H52:J52)</f>
        <v/>
      </c>
      <c r="L52" s="880" t="n"/>
      <c r="M52" s="881" t="n"/>
      <c r="N52" s="882" t="n"/>
      <c r="O52" s="883" t="n"/>
      <c r="P52" s="50">
        <f>N52+O52+L52</f>
        <v/>
      </c>
      <c r="Q52" s="884" t="n"/>
      <c r="R52" s="877" t="n"/>
      <c r="S52" s="878" t="n"/>
      <c r="T52" s="884" t="n"/>
      <c r="U52" s="851" t="n"/>
      <c r="V52" s="877" t="n"/>
      <c r="W52" s="878" t="n"/>
      <c r="X52" s="852" t="n"/>
      <c r="Y52" s="852" t="n"/>
      <c r="Z52" s="852" t="n"/>
      <c r="AA52" s="852" t="n"/>
    </row>
    <row r="53" ht="15" customHeight="1">
      <c r="A53" s="39">
        <f>IF(C53="","",ROW()-2)</f>
        <v/>
      </c>
      <c r="B53" s="879" t="n"/>
      <c r="C53" s="863" t="n"/>
      <c r="D53" s="227">
        <f>IF(C53="TOH","Type 1",IF(C53="POH","Type 2",IF(OR(C53="LTO",C53="TOH-LC",C53="TOH - LC"),"Type 3",IF(C53="Flourish","Type 4","Type 1"))))</f>
        <v/>
      </c>
      <c r="E53" s="853" t="n"/>
      <c r="F53" s="864" t="n"/>
      <c r="G53" s="865" t="n"/>
      <c r="H53" s="866" t="n"/>
      <c r="I53" s="867" t="n"/>
      <c r="J53" s="868" t="n"/>
      <c r="K53" s="50">
        <f>SUM(H53:J53)</f>
        <v/>
      </c>
      <c r="L53" s="880" t="n"/>
      <c r="M53" s="881" t="n"/>
      <c r="N53" s="882" t="n"/>
      <c r="O53" s="883" t="n"/>
      <c r="P53" s="50">
        <f>N53+O53+L53</f>
        <v/>
      </c>
      <c r="Q53" s="884" t="n"/>
      <c r="R53" s="877" t="n"/>
      <c r="S53" s="878" t="n"/>
      <c r="T53" s="884" t="n"/>
      <c r="U53" s="851" t="n"/>
      <c r="V53" s="877" t="n"/>
      <c r="W53" s="878" t="n"/>
      <c r="X53" s="852" t="n"/>
      <c r="Y53" s="852" t="n"/>
      <c r="Z53" s="852" t="n"/>
      <c r="AA53" s="852" t="n"/>
    </row>
    <row r="54" ht="15" customHeight="1">
      <c r="A54" s="39">
        <f>IF(C54="","",ROW()-2)</f>
        <v/>
      </c>
      <c r="B54" s="879" t="n"/>
      <c r="C54" s="863" t="n"/>
      <c r="D54" s="227">
        <f>IF(C54="TOH","Type 1",IF(C54="POH","Type 2",IF(OR(C54="LTO",C54="TOH-LC",C54="TOH - LC"),"Type 3",IF(C54="Flourish","Type 4","Type 1"))))</f>
        <v/>
      </c>
      <c r="E54" s="853" t="n"/>
      <c r="F54" s="864" t="n"/>
      <c r="G54" s="865" t="n"/>
      <c r="H54" s="866" t="n"/>
      <c r="I54" s="867" t="n"/>
      <c r="J54" s="868" t="n"/>
      <c r="K54" s="50">
        <f>SUM(H54:J54)</f>
        <v/>
      </c>
      <c r="L54" s="880" t="n"/>
      <c r="M54" s="881" t="n"/>
      <c r="N54" s="882" t="n"/>
      <c r="O54" s="883" t="n"/>
      <c r="P54" s="50">
        <f>N54+O54+L54</f>
        <v/>
      </c>
      <c r="Q54" s="884" t="n"/>
      <c r="R54" s="877" t="n"/>
      <c r="S54" s="878" t="n"/>
      <c r="T54" s="884" t="n"/>
      <c r="U54" s="851" t="n"/>
      <c r="V54" s="877" t="n"/>
      <c r="W54" s="878" t="n"/>
      <c r="X54" s="852" t="n"/>
      <c r="Y54" s="852" t="n"/>
      <c r="Z54" s="852" t="n"/>
      <c r="AA54" s="852" t="n"/>
    </row>
    <row r="55" ht="15" customHeight="1">
      <c r="A55" s="39">
        <f>IF(C55="","",ROW()-2)</f>
        <v/>
      </c>
      <c r="B55" s="879" t="n"/>
      <c r="C55" s="863" t="n"/>
      <c r="D55" s="227">
        <f>IF(C55="TOH","Type 1",IF(C55="POH","Type 2",IF(OR(C55="LTO",C55="TOH-LC",C55="TOH - LC"),"Type 3",IF(C55="Flourish","Type 4","Type 1"))))</f>
        <v/>
      </c>
      <c r="E55" s="853" t="n"/>
      <c r="F55" s="864" t="n"/>
      <c r="G55" s="865" t="n"/>
      <c r="H55" s="866" t="n"/>
      <c r="I55" s="867" t="n"/>
      <c r="J55" s="868" t="n"/>
      <c r="K55" s="50">
        <f>SUM(H55:J55)</f>
        <v/>
      </c>
      <c r="L55" s="880" t="n"/>
      <c r="M55" s="881" t="n"/>
      <c r="N55" s="882" t="n"/>
      <c r="O55" s="883" t="n"/>
      <c r="P55" s="50">
        <f>N55+O55+L55</f>
        <v/>
      </c>
      <c r="Q55" s="884" t="n"/>
      <c r="R55" s="877" t="n"/>
      <c r="S55" s="878" t="n"/>
      <c r="T55" s="884" t="n"/>
      <c r="U55" s="851" t="n"/>
      <c r="V55" s="877" t="n"/>
      <c r="W55" s="878" t="n"/>
      <c r="X55" s="852" t="n"/>
      <c r="Y55" s="852" t="n"/>
      <c r="Z55" s="852" t="n"/>
      <c r="AA55" s="852" t="n"/>
    </row>
    <row r="56" ht="15" customHeight="1">
      <c r="A56" s="39">
        <f>IF(C56="","",ROW()-2)</f>
        <v/>
      </c>
      <c r="B56" s="879" t="n"/>
      <c r="C56" s="863" t="n"/>
      <c r="D56" s="227">
        <f>IF(C56="TOH","Type 1",IF(C56="POH","Type 2",IF(OR(C56="LTO",C56="TOH-LC",C56="TOH - LC"),"Type 3",IF(C56="Flourish","Type 4","Type 1"))))</f>
        <v/>
      </c>
      <c r="E56" s="853" t="n"/>
      <c r="F56" s="864" t="n"/>
      <c r="G56" s="865" t="n"/>
      <c r="H56" s="866" t="n"/>
      <c r="I56" s="867" t="n"/>
      <c r="J56" s="868" t="n"/>
      <c r="K56" s="50">
        <f>SUM(H56:J56)</f>
        <v/>
      </c>
      <c r="L56" s="880" t="n"/>
      <c r="M56" s="881" t="n"/>
      <c r="N56" s="882" t="n"/>
      <c r="O56" s="883" t="n"/>
      <c r="P56" s="50">
        <f>N56+O56+L56</f>
        <v/>
      </c>
      <c r="Q56" s="884" t="n"/>
      <c r="R56" s="877" t="n"/>
      <c r="S56" s="878" t="n"/>
      <c r="T56" s="884" t="n"/>
      <c r="U56" s="851" t="n"/>
      <c r="V56" s="877" t="n"/>
      <c r="W56" s="878" t="n"/>
      <c r="X56" s="852" t="n"/>
      <c r="Y56" s="852" t="n"/>
      <c r="Z56" s="852" t="n"/>
      <c r="AA56" s="852" t="n"/>
    </row>
    <row r="57" ht="15" customHeight="1">
      <c r="A57" s="39">
        <f>IF(C57="","",ROW()-2)</f>
        <v/>
      </c>
      <c r="B57" s="879" t="n"/>
      <c r="C57" s="863" t="n"/>
      <c r="D57" s="227">
        <f>IF(C57="TOH","Type 1",IF(C57="POH","Type 2",IF(OR(C57="LTO",C57="TOH-LC",C57="TOH - LC"),"Type 3",IF(C57="Flourish","Type 4","Type 1"))))</f>
        <v/>
      </c>
      <c r="E57" s="853" t="n"/>
      <c r="F57" s="864" t="n"/>
      <c r="G57" s="865" t="n"/>
      <c r="H57" s="866" t="n"/>
      <c r="I57" s="867" t="n"/>
      <c r="J57" s="868" t="n"/>
      <c r="K57" s="50">
        <f>SUM(H57:J57)</f>
        <v/>
      </c>
      <c r="L57" s="880" t="n"/>
      <c r="M57" s="881" t="n"/>
      <c r="N57" s="882" t="n"/>
      <c r="O57" s="883" t="n"/>
      <c r="P57" s="50">
        <f>N57+O57+L57</f>
        <v/>
      </c>
      <c r="Q57" s="884" t="n"/>
      <c r="R57" s="877" t="n"/>
      <c r="S57" s="878" t="n"/>
      <c r="T57" s="884" t="n"/>
      <c r="U57" s="851" t="n"/>
      <c r="V57" s="877" t="n"/>
      <c r="W57" s="878" t="n"/>
      <c r="X57" s="852" t="n"/>
      <c r="Y57" s="852" t="n"/>
      <c r="Z57" s="852" t="n"/>
      <c r="AA57" s="852" t="n"/>
    </row>
    <row r="58" ht="15" customHeight="1">
      <c r="A58" s="39">
        <f>IF(C58="","",ROW()-2)</f>
        <v/>
      </c>
      <c r="B58" s="879" t="n"/>
      <c r="C58" s="863" t="n"/>
      <c r="D58" s="227">
        <f>IF(C58="TOH","Type 1",IF(C58="POH","Type 2",IF(OR(C58="LTO",C58="TOH-LC",C58="TOH - LC"),"Type 3",IF(C58="Flourish","Type 4","Type 1"))))</f>
        <v/>
      </c>
      <c r="E58" s="853" t="n"/>
      <c r="F58" s="864" t="n"/>
      <c r="G58" s="865" t="n"/>
      <c r="H58" s="866" t="n"/>
      <c r="I58" s="867" t="n"/>
      <c r="J58" s="868" t="n"/>
      <c r="K58" s="50">
        <f>SUM(H58:J58)</f>
        <v/>
      </c>
      <c r="L58" s="880" t="n"/>
      <c r="M58" s="881" t="n"/>
      <c r="N58" s="882" t="n"/>
      <c r="O58" s="883" t="n"/>
      <c r="P58" s="50">
        <f>N58+O58+L58</f>
        <v/>
      </c>
      <c r="Q58" s="884" t="n"/>
      <c r="R58" s="877" t="n"/>
      <c r="S58" s="878" t="n"/>
      <c r="T58" s="884" t="n"/>
      <c r="U58" s="851" t="n"/>
      <c r="V58" s="877" t="n"/>
      <c r="W58" s="878" t="n"/>
      <c r="X58" s="852" t="n"/>
      <c r="Y58" s="852" t="n"/>
      <c r="Z58" s="852" t="n"/>
      <c r="AA58" s="852" t="n"/>
    </row>
    <row r="59" ht="15" customHeight="1">
      <c r="A59" s="39">
        <f>IF(C59="","",ROW()-2)</f>
        <v/>
      </c>
      <c r="B59" s="879" t="n"/>
      <c r="C59" s="863" t="n"/>
      <c r="D59" s="227">
        <f>IF(C59="TOH","Type 1",IF(C59="POH","Type 2",IF(OR(C59="LTO",C59="TOH-LC",C59="TOH - LC"),"Type 3",IF(C59="Flourish","Type 4","Type 1"))))</f>
        <v/>
      </c>
      <c r="E59" s="853" t="n"/>
      <c r="F59" s="864" t="n"/>
      <c r="G59" s="865" t="n"/>
      <c r="H59" s="866" t="n"/>
      <c r="I59" s="867" t="n"/>
      <c r="J59" s="868" t="n"/>
      <c r="K59" s="50">
        <f>SUM(H59:J59)</f>
        <v/>
      </c>
      <c r="L59" s="880" t="n"/>
      <c r="M59" s="881" t="n"/>
      <c r="N59" s="882" t="n"/>
      <c r="O59" s="883" t="n"/>
      <c r="P59" s="50">
        <f>N59+O59+L59</f>
        <v/>
      </c>
      <c r="Q59" s="884" t="n"/>
      <c r="R59" s="877" t="n"/>
      <c r="S59" s="878" t="n"/>
      <c r="T59" s="884" t="n"/>
      <c r="U59" s="851" t="n"/>
      <c r="V59" s="877" t="n"/>
      <c r="W59" s="878" t="n"/>
      <c r="X59" s="852" t="n"/>
      <c r="Y59" s="852" t="n"/>
      <c r="Z59" s="852" t="n"/>
      <c r="AA59" s="852" t="n"/>
    </row>
    <row r="60" ht="15" customHeight="1">
      <c r="A60" s="39">
        <f>IF(C60="","",ROW()-2)</f>
        <v/>
      </c>
      <c r="B60" s="879" t="n"/>
      <c r="C60" s="863" t="n"/>
      <c r="D60" s="227">
        <f>IF(C60="TOH","Type 1",IF(C60="POH","Type 2",IF(OR(C60="LTO",C60="TOH-LC",C60="TOH - LC"),"Type 3",IF(C60="Flourish","Type 4","Type 1"))))</f>
        <v/>
      </c>
      <c r="E60" s="853" t="n"/>
      <c r="F60" s="864" t="n"/>
      <c r="G60" s="865" t="n"/>
      <c r="H60" s="866" t="n"/>
      <c r="I60" s="867" t="n"/>
      <c r="J60" s="868" t="n"/>
      <c r="K60" s="50">
        <f>SUM(H60:J60)</f>
        <v/>
      </c>
      <c r="L60" s="880" t="n"/>
      <c r="M60" s="881" t="n"/>
      <c r="N60" s="882" t="n"/>
      <c r="O60" s="883" t="n"/>
      <c r="P60" s="50">
        <f>N60+O60+L60</f>
        <v/>
      </c>
      <c r="Q60" s="884" t="n"/>
      <c r="R60" s="877" t="n"/>
      <c r="S60" s="878" t="n"/>
      <c r="T60" s="884" t="n"/>
      <c r="U60" s="851" t="n"/>
      <c r="V60" s="877" t="n"/>
      <c r="W60" s="878" t="n"/>
      <c r="X60" s="852" t="n"/>
      <c r="Y60" s="852" t="n"/>
      <c r="Z60" s="852" t="n"/>
      <c r="AA60" s="852" t="n"/>
    </row>
    <row r="61" ht="15" customHeight="1">
      <c r="A61" s="39">
        <f>IF(C61="","",ROW()-2)</f>
        <v/>
      </c>
      <c r="B61" s="879" t="n"/>
      <c r="C61" s="863" t="n"/>
      <c r="D61" s="227">
        <f>IF(C61="TOH","Type 1",IF(C61="POH","Type 2",IF(OR(C61="LTO",C61="TOH-LC",C61="TOH - LC"),"Type 3",IF(C61="Flourish","Type 4","Type 1"))))</f>
        <v/>
      </c>
      <c r="E61" s="853" t="n"/>
      <c r="F61" s="864" t="n"/>
      <c r="G61" s="865" t="n"/>
      <c r="H61" s="866" t="n"/>
      <c r="I61" s="867" t="n"/>
      <c r="J61" s="868" t="n"/>
      <c r="K61" s="50">
        <f>SUM(H61:J61)</f>
        <v/>
      </c>
      <c r="L61" s="880" t="n"/>
      <c r="M61" s="881" t="n"/>
      <c r="N61" s="882" t="n"/>
      <c r="O61" s="883" t="n"/>
      <c r="P61" s="50">
        <f>N61+O61+L61</f>
        <v/>
      </c>
      <c r="Q61" s="884" t="n"/>
      <c r="R61" s="877" t="n"/>
      <c r="S61" s="878" t="n"/>
      <c r="T61" s="884" t="n"/>
      <c r="U61" s="851" t="n"/>
      <c r="V61" s="877" t="n"/>
      <c r="W61" s="878" t="n"/>
      <c r="X61" s="852" t="n"/>
      <c r="Y61" s="852" t="n"/>
      <c r="Z61" s="852" t="n"/>
      <c r="AA61" s="852" t="n"/>
    </row>
    <row r="62" ht="15" customHeight="1">
      <c r="A62" s="39">
        <f>IF(C62="","",ROW()-2)</f>
        <v/>
      </c>
      <c r="B62" s="879" t="n"/>
      <c r="C62" s="863" t="n"/>
      <c r="D62" s="227">
        <f>IF(C62="TOH","Type 1",IF(C62="POH","Type 2",IF(OR(C62="LTO",C62="TOH-LC",C62="TOH - LC"),"Type 3",IF(C62="Flourish","Type 4","Type 1"))))</f>
        <v/>
      </c>
      <c r="E62" s="853" t="n"/>
      <c r="F62" s="864" t="n"/>
      <c r="G62" s="865" t="n"/>
      <c r="H62" s="866" t="n"/>
      <c r="I62" s="867" t="n"/>
      <c r="J62" s="868" t="n"/>
      <c r="K62" s="50">
        <f>SUM(H62:J62)</f>
        <v/>
      </c>
      <c r="L62" s="880" t="n"/>
      <c r="M62" s="881" t="n"/>
      <c r="N62" s="882" t="n"/>
      <c r="O62" s="883" t="n"/>
      <c r="P62" s="50">
        <f>N62+O62+L62</f>
        <v/>
      </c>
      <c r="Q62" s="884" t="n"/>
      <c r="R62" s="877" t="n"/>
      <c r="S62" s="878" t="n"/>
      <c r="T62" s="884" t="n"/>
      <c r="U62" s="851" t="n"/>
      <c r="V62" s="877" t="n"/>
      <c r="W62" s="878" t="n"/>
      <c r="X62" s="852" t="n"/>
      <c r="Y62" s="852" t="n"/>
      <c r="Z62" s="852" t="n"/>
      <c r="AA62" s="852" t="n"/>
    </row>
    <row r="63" ht="15" customHeight="1">
      <c r="A63" s="39">
        <f>IF(C63="","",ROW()-2)</f>
        <v/>
      </c>
      <c r="B63" s="879" t="n"/>
      <c r="C63" s="863" t="n"/>
      <c r="D63" s="227">
        <f>IF(C63="TOH","Type 1",IF(C63="POH","Type 2",IF(OR(C63="LTO",C63="TOH-LC",C63="TOH - LC"),"Type 3",IF(C63="Flourish","Type 4","Type 1"))))</f>
        <v/>
      </c>
      <c r="E63" s="853" t="n"/>
      <c r="F63" s="864" t="n"/>
      <c r="G63" s="865" t="n"/>
      <c r="H63" s="866" t="n"/>
      <c r="I63" s="867" t="n"/>
      <c r="J63" s="868" t="n"/>
      <c r="K63" s="50">
        <f>SUM(H63:J63)</f>
        <v/>
      </c>
      <c r="L63" s="880" t="n"/>
      <c r="M63" s="881" t="n"/>
      <c r="N63" s="882" t="n"/>
      <c r="O63" s="883" t="n"/>
      <c r="P63" s="50">
        <f>N63+O63+L63</f>
        <v/>
      </c>
      <c r="Q63" s="884" t="n"/>
      <c r="R63" s="877" t="n"/>
      <c r="S63" s="878" t="n"/>
      <c r="T63" s="884" t="n"/>
      <c r="U63" s="851" t="n"/>
      <c r="V63" s="877" t="n"/>
      <c r="W63" s="878" t="n"/>
      <c r="X63" s="852" t="n"/>
      <c r="Y63" s="852" t="n"/>
      <c r="Z63" s="852" t="n"/>
      <c r="AA63" s="852" t="n"/>
    </row>
    <row r="64" ht="15" customHeight="1">
      <c r="A64" s="39">
        <f>IF(C64="","",ROW()-2)</f>
        <v/>
      </c>
      <c r="B64" s="879" t="n"/>
      <c r="C64" s="863" t="n"/>
      <c r="D64" s="227">
        <f>IF(C64="TOH","Type 1",IF(C64="POH","Type 2",IF(OR(C64="LTO",C64="TOH-LC",C64="TOH - LC"),"Type 3",IF(C64="Flourish","Type 4","Type 1"))))</f>
        <v/>
      </c>
      <c r="E64" s="853" t="n"/>
      <c r="F64" s="864" t="n"/>
      <c r="G64" s="865" t="n"/>
      <c r="H64" s="866" t="n"/>
      <c r="I64" s="867" t="n"/>
      <c r="J64" s="868" t="n"/>
      <c r="K64" s="50">
        <f>SUM(H64:J64)</f>
        <v/>
      </c>
      <c r="L64" s="880" t="n"/>
      <c r="M64" s="881" t="n"/>
      <c r="N64" s="882" t="n"/>
      <c r="O64" s="883" t="n"/>
      <c r="P64" s="50">
        <f>N64+O64+L64</f>
        <v/>
      </c>
      <c r="Q64" s="884" t="n"/>
      <c r="R64" s="877" t="n"/>
      <c r="S64" s="878" t="n"/>
      <c r="T64" s="884" t="n"/>
      <c r="U64" s="851" t="n"/>
      <c r="V64" s="877" t="n"/>
      <c r="W64" s="878" t="n"/>
      <c r="X64" s="852" t="n"/>
      <c r="Y64" s="852" t="n"/>
      <c r="Z64" s="852" t="n"/>
      <c r="AA64" s="852" t="n"/>
    </row>
    <row r="65" ht="15" customHeight="1">
      <c r="A65" s="39">
        <f>IF(C65="","",ROW()-2)</f>
        <v/>
      </c>
      <c r="B65" s="879" t="n"/>
      <c r="C65" s="863" t="n"/>
      <c r="D65" s="227">
        <f>IF(C65="TOH","Type 1",IF(C65="POH","Type 2",IF(OR(C65="LTO",C65="TOH-LC",C65="TOH - LC"),"Type 3",IF(C65="Flourish","Type 4","Type 1"))))</f>
        <v/>
      </c>
      <c r="E65" s="853" t="n"/>
      <c r="F65" s="864" t="n"/>
      <c r="G65" s="865" t="n"/>
      <c r="H65" s="866" t="n"/>
      <c r="I65" s="867" t="n"/>
      <c r="J65" s="868" t="n"/>
      <c r="K65" s="50">
        <f>SUM(H65:J65)</f>
        <v/>
      </c>
      <c r="L65" s="880" t="n"/>
      <c r="M65" s="881" t="n"/>
      <c r="N65" s="882" t="n"/>
      <c r="O65" s="883" t="n"/>
      <c r="P65" s="50">
        <f>N65+O65+L65</f>
        <v/>
      </c>
      <c r="Q65" s="884" t="n"/>
      <c r="R65" s="877" t="n"/>
      <c r="S65" s="878" t="n"/>
      <c r="T65" s="884" t="n"/>
      <c r="U65" s="851" t="n"/>
      <c r="V65" s="877" t="n"/>
      <c r="W65" s="878" t="n"/>
      <c r="X65" s="852" t="n"/>
      <c r="Y65" s="852" t="n"/>
      <c r="Z65" s="852" t="n"/>
      <c r="AA65" s="852" t="n"/>
    </row>
    <row r="66" ht="15" customHeight="1">
      <c r="A66" s="39">
        <f>IF(C66="","",ROW()-2)</f>
        <v/>
      </c>
      <c r="B66" s="879" t="n"/>
      <c r="C66" s="863" t="n"/>
      <c r="D66" s="227">
        <f>IF(C66="TOH","Type 1",IF(C66="POH","Type 2",IF(OR(C66="LTO",C66="TOH-LC",C66="TOH - LC"),"Type 3",IF(C66="Flourish","Type 4","Type 1"))))</f>
        <v/>
      </c>
      <c r="E66" s="853" t="n"/>
      <c r="F66" s="864" t="n"/>
      <c r="G66" s="865" t="n"/>
      <c r="H66" s="866" t="n"/>
      <c r="I66" s="867" t="n"/>
      <c r="J66" s="868" t="n"/>
      <c r="K66" s="50">
        <f>SUM(H66:J66)</f>
        <v/>
      </c>
      <c r="L66" s="880" t="n"/>
      <c r="M66" s="881" t="n"/>
      <c r="N66" s="882" t="n"/>
      <c r="O66" s="883" t="n"/>
      <c r="P66" s="50">
        <f>N66+O66+L66</f>
        <v/>
      </c>
      <c r="Q66" s="884" t="n"/>
      <c r="R66" s="877" t="n"/>
      <c r="S66" s="878" t="n"/>
      <c r="T66" s="884" t="n"/>
      <c r="U66" s="851" t="n"/>
      <c r="V66" s="877" t="n"/>
      <c r="W66" s="878" t="n"/>
      <c r="X66" s="852" t="n"/>
      <c r="Y66" s="852" t="n"/>
      <c r="Z66" s="852" t="n"/>
      <c r="AA66" s="852" t="n"/>
    </row>
    <row r="67" ht="15" customHeight="1">
      <c r="A67" s="39">
        <f>IF(C67="","",ROW()-2)</f>
        <v/>
      </c>
      <c r="B67" s="879" t="n"/>
      <c r="C67" s="863" t="n"/>
      <c r="D67" s="227">
        <f>IF(C67="TOH","Type 1",IF(C67="POH","Type 2",IF(OR(C67="LTO",C67="TOH-LC",C67="TOH - LC"),"Type 3",IF(C67="Flourish","Type 4","Type 1"))))</f>
        <v/>
      </c>
      <c r="E67" s="853" t="n"/>
      <c r="F67" s="864" t="n"/>
      <c r="G67" s="865" t="n"/>
      <c r="H67" s="866" t="n"/>
      <c r="I67" s="867" t="n"/>
      <c r="J67" s="868" t="n"/>
      <c r="K67" s="50">
        <f>SUM(H67:J67)</f>
        <v/>
      </c>
      <c r="L67" s="880" t="n"/>
      <c r="M67" s="881" t="n"/>
      <c r="N67" s="882" t="n"/>
      <c r="O67" s="883" t="n"/>
      <c r="P67" s="50">
        <f>N67+O67+L67</f>
        <v/>
      </c>
      <c r="Q67" s="884" t="n"/>
      <c r="R67" s="877" t="n"/>
      <c r="S67" s="878" t="n"/>
      <c r="T67" s="884" t="n"/>
      <c r="U67" s="851" t="n"/>
      <c r="V67" s="877" t="n"/>
      <c r="W67" s="878" t="n"/>
      <c r="X67" s="852" t="n"/>
      <c r="Y67" s="852" t="n"/>
      <c r="Z67" s="852" t="n"/>
      <c r="AA67" s="852" t="n"/>
    </row>
    <row r="68" ht="15" customHeight="1">
      <c r="A68" s="39">
        <f>IF(C68="","",ROW()-2)</f>
        <v/>
      </c>
      <c r="B68" s="879" t="n"/>
      <c r="C68" s="863" t="n"/>
      <c r="D68" s="227">
        <f>IF(C68="TOH","Type 1",IF(C68="POH","Type 2",IF(OR(C68="LTO",C68="TOH-LC",C68="TOH - LC"),"Type 3",IF(C68="Flourish","Type 4","Type 1"))))</f>
        <v/>
      </c>
      <c r="E68" s="853" t="n"/>
      <c r="F68" s="864" t="n"/>
      <c r="G68" s="865" t="n"/>
      <c r="H68" s="866" t="n"/>
      <c r="I68" s="867" t="n"/>
      <c r="J68" s="868" t="n"/>
      <c r="K68" s="50">
        <f>SUM(H68:J68)</f>
        <v/>
      </c>
      <c r="L68" s="880" t="n"/>
      <c r="M68" s="881" t="n"/>
      <c r="N68" s="882" t="n"/>
      <c r="O68" s="883" t="n"/>
      <c r="P68" s="50">
        <f>N68+O68+L68</f>
        <v/>
      </c>
      <c r="Q68" s="884" t="n"/>
      <c r="R68" s="877" t="n"/>
      <c r="S68" s="878" t="n"/>
      <c r="T68" s="884" t="n"/>
      <c r="U68" s="851" t="n"/>
      <c r="V68" s="877" t="n"/>
      <c r="W68" s="878" t="n"/>
      <c r="X68" s="852" t="n"/>
      <c r="Y68" s="852" t="n"/>
      <c r="Z68" s="852" t="n"/>
      <c r="AA68" s="852" t="n"/>
    </row>
    <row r="69" ht="15" customHeight="1">
      <c r="A69" s="39">
        <f>IF(C69="","",ROW()-2)</f>
        <v/>
      </c>
      <c r="B69" s="879" t="n"/>
      <c r="C69" s="863" t="n"/>
      <c r="D69" s="227">
        <f>IF(C69="TOH","Type 1",IF(C69="POH","Type 2",IF(OR(C69="LTO",C69="TOH-LC",C69="TOH - LC"),"Type 3",IF(C69="Flourish","Type 4","Type 1"))))</f>
        <v/>
      </c>
      <c r="E69" s="853" t="n"/>
      <c r="F69" s="864" t="n"/>
      <c r="G69" s="865" t="n"/>
      <c r="H69" s="866" t="n"/>
      <c r="I69" s="867" t="n"/>
      <c r="J69" s="868" t="n"/>
      <c r="K69" s="50">
        <f>SUM(H69:J69)</f>
        <v/>
      </c>
      <c r="L69" s="880" t="n"/>
      <c r="M69" s="881" t="n"/>
      <c r="N69" s="882" t="n"/>
      <c r="O69" s="883" t="n"/>
      <c r="P69" s="50">
        <f>N69+O69+L69</f>
        <v/>
      </c>
      <c r="Q69" s="884" t="n"/>
      <c r="R69" s="877" t="n"/>
      <c r="S69" s="878" t="n"/>
      <c r="T69" s="884" t="n"/>
      <c r="U69" s="851" t="n"/>
      <c r="V69" s="877" t="n"/>
      <c r="W69" s="878" t="n"/>
      <c r="X69" s="852" t="n"/>
      <c r="Y69" s="852" t="n"/>
      <c r="Z69" s="852" t="n"/>
      <c r="AA69" s="852" t="n"/>
    </row>
    <row r="70" ht="15" customHeight="1">
      <c r="A70" s="39">
        <f>IF(C70="","",ROW()-2)</f>
        <v/>
      </c>
      <c r="B70" s="879" t="n"/>
      <c r="C70" s="863" t="n"/>
      <c r="D70" s="227">
        <f>IF(C70="TOH","Type 1",IF(C70="POH","Type 2",IF(OR(C70="LTO",C70="TOH-LC",C70="TOH - LC"),"Type 3",IF(C70="Flourish","Type 4","Type 1"))))</f>
        <v/>
      </c>
      <c r="E70" s="853" t="n"/>
      <c r="F70" s="864" t="n"/>
      <c r="G70" s="865" t="n"/>
      <c r="H70" s="866" t="n"/>
      <c r="I70" s="867" t="n"/>
      <c r="J70" s="868" t="n"/>
      <c r="K70" s="50">
        <f>SUM(H70:J70)</f>
        <v/>
      </c>
      <c r="L70" s="880" t="n"/>
      <c r="M70" s="880" t="n"/>
      <c r="N70" s="882" t="n"/>
      <c r="O70" s="883" t="n"/>
      <c r="P70" s="50">
        <f>N70+O70+L70</f>
        <v/>
      </c>
      <c r="Q70" s="884" t="n"/>
      <c r="R70" s="877" t="n"/>
      <c r="S70" s="878" t="n"/>
      <c r="T70" s="884" t="n"/>
      <c r="U70" s="851" t="n"/>
      <c r="V70" s="877" t="n"/>
      <c r="W70" s="878" t="n"/>
      <c r="X70" s="852" t="n"/>
      <c r="Y70" s="852" t="n"/>
      <c r="Z70" s="852" t="n"/>
      <c r="AA70" s="852" t="n"/>
    </row>
    <row r="71" ht="15" customHeight="1">
      <c r="A71" s="39">
        <f>IF(C71="","",ROW()-2)</f>
        <v/>
      </c>
      <c r="B71" s="879" t="n"/>
      <c r="C71" s="863" t="n"/>
      <c r="D71" s="227">
        <f>IF(C71="TOH","Type 1",IF(C71="POH","Type 2",IF(OR(C71="LTO",C71="TOH-LC",C71="TOH - LC"),"Type 3",IF(C71="Flourish","Type 4","Type 1"))))</f>
        <v/>
      </c>
      <c r="E71" s="853" t="n"/>
      <c r="F71" s="864" t="n"/>
      <c r="G71" s="865" t="n"/>
      <c r="H71" s="866" t="n"/>
      <c r="I71" s="867" t="n"/>
      <c r="J71" s="868" t="n"/>
      <c r="K71" s="50">
        <f>SUM(H71:J71)</f>
        <v/>
      </c>
      <c r="L71" s="880" t="n"/>
      <c r="M71" s="880" t="n"/>
      <c r="N71" s="882" t="n"/>
      <c r="O71" s="883" t="n"/>
      <c r="P71" s="50">
        <f>N71+O71+L71</f>
        <v/>
      </c>
      <c r="Q71" s="884" t="n"/>
      <c r="R71" s="877" t="n"/>
      <c r="S71" s="878" t="n"/>
      <c r="T71" s="884" t="n"/>
      <c r="U71" s="851" t="n"/>
      <c r="V71" s="877" t="n"/>
      <c r="W71" s="878" t="n"/>
      <c r="X71" s="852" t="n"/>
      <c r="Y71" s="852" t="n"/>
      <c r="Z71" s="852" t="n"/>
      <c r="AA71" s="852" t="n"/>
    </row>
    <row r="72" ht="15" customHeight="1">
      <c r="A72" s="39">
        <f>IF(C72="","",ROW()-2)</f>
        <v/>
      </c>
      <c r="B72" s="879" t="n"/>
      <c r="C72" s="863" t="n"/>
      <c r="D72" s="227">
        <f>IF(C72="TOH","Type 1",IF(C72="POH","Type 2",IF(OR(C72="LTO",C72="TOH-LC",C72="TOH - LC"),"Type 3",IF(C72="Flourish","Type 4","Type 1"))))</f>
        <v/>
      </c>
      <c r="E72" s="853" t="n"/>
      <c r="F72" s="864" t="n"/>
      <c r="G72" s="865" t="n"/>
      <c r="H72" s="866" t="n"/>
      <c r="I72" s="867" t="n"/>
      <c r="J72" s="868" t="n"/>
      <c r="K72" s="50">
        <f>SUM(H72:J72)</f>
        <v/>
      </c>
      <c r="L72" s="880" t="n"/>
      <c r="M72" s="880" t="n"/>
      <c r="N72" s="882" t="n"/>
      <c r="O72" s="883" t="n"/>
      <c r="P72" s="50">
        <f>N72+O72+L72</f>
        <v/>
      </c>
      <c r="Q72" s="884" t="n"/>
      <c r="R72" s="877" t="n"/>
      <c r="S72" s="878" t="n"/>
      <c r="T72" s="884" t="n"/>
      <c r="U72" s="851" t="n"/>
      <c r="V72" s="877" t="n"/>
      <c r="W72" s="878" t="n"/>
      <c r="X72" s="852" t="n"/>
      <c r="Y72" s="852" t="n"/>
      <c r="Z72" s="852" t="n"/>
      <c r="AA72" s="852" t="n"/>
    </row>
    <row r="73" ht="15" customHeight="1">
      <c r="A73" s="39">
        <f>IF(C73="","",ROW()-2)</f>
        <v/>
      </c>
      <c r="B73" s="879" t="n"/>
      <c r="C73" s="863" t="n"/>
      <c r="D73" s="227">
        <f>IF(C73="TOH","Type 1",IF(C73="POH","Type 2",IF(OR(C73="LTO",C73="TOH-LC",C73="TOH - LC"),"Type 3",IF(C73="Flourish","Type 4","Type 1"))))</f>
        <v/>
      </c>
      <c r="E73" s="853" t="n"/>
      <c r="F73" s="864" t="n"/>
      <c r="G73" s="865" t="n"/>
      <c r="H73" s="866" t="n"/>
      <c r="I73" s="867" t="n"/>
      <c r="J73" s="868" t="n"/>
      <c r="K73" s="50">
        <f>SUM(H73:J73)</f>
        <v/>
      </c>
      <c r="L73" s="880" t="n"/>
      <c r="M73" s="880" t="n"/>
      <c r="N73" s="882" t="n"/>
      <c r="O73" s="883" t="n"/>
      <c r="P73" s="50">
        <f>N73+O73+L73</f>
        <v/>
      </c>
      <c r="Q73" s="884" t="n"/>
      <c r="R73" s="877" t="n"/>
      <c r="S73" s="878" t="n"/>
      <c r="T73" s="884" t="n"/>
      <c r="U73" s="851" t="n"/>
      <c r="V73" s="877" t="n"/>
      <c r="W73" s="878" t="n"/>
      <c r="X73" s="852" t="n"/>
      <c r="Y73" s="852" t="n"/>
      <c r="Z73" s="852" t="n"/>
      <c r="AA73" s="852" t="n"/>
    </row>
    <row r="74" ht="15" customHeight="1">
      <c r="A74" s="39">
        <f>IF(C74="","",ROW()-2)</f>
        <v/>
      </c>
      <c r="B74" s="879" t="n"/>
      <c r="C74" s="863" t="n"/>
      <c r="D74" s="227">
        <f>IF(C74="TOH","Type 1",IF(C74="POH","Type 2",IF(OR(C74="LTO",C74="TOH-LC",C74="TOH - LC"),"Type 3",IF(C74="Flourish","Type 4","Type 1"))))</f>
        <v/>
      </c>
      <c r="E74" s="853" t="n"/>
      <c r="F74" s="864" t="n"/>
      <c r="G74" s="865" t="n"/>
      <c r="H74" s="866" t="n"/>
      <c r="I74" s="867" t="n"/>
      <c r="J74" s="868" t="n"/>
      <c r="K74" s="50">
        <f>SUM(H74:J74)</f>
        <v/>
      </c>
      <c r="L74" s="880" t="n"/>
      <c r="M74" s="880" t="n"/>
      <c r="N74" s="882" t="n"/>
      <c r="O74" s="883" t="n"/>
      <c r="P74" s="50">
        <f>N74+O74+L74</f>
        <v/>
      </c>
      <c r="Q74" s="884" t="n"/>
      <c r="R74" s="877" t="n"/>
      <c r="S74" s="878" t="n"/>
      <c r="T74" s="884" t="n"/>
      <c r="U74" s="851" t="n"/>
      <c r="V74" s="877" t="n"/>
      <c r="W74" s="878" t="n"/>
      <c r="X74" s="852" t="n"/>
      <c r="Y74" s="852" t="n"/>
      <c r="Z74" s="852" t="n"/>
      <c r="AA74" s="852" t="n"/>
    </row>
    <row r="75" ht="15" customHeight="1">
      <c r="A75" s="39">
        <f>IF(C75="","",ROW()-2)</f>
        <v/>
      </c>
      <c r="B75" s="879" t="n"/>
      <c r="C75" s="863" t="n"/>
      <c r="D75" s="227">
        <f>IF(C75="TOH","Type 1",IF(C75="POH","Type 2",IF(OR(C75="LTO",C75="TOH-LC",C75="TOH - LC"),"Type 3",IF(C75="Flourish","Type 4","Type 1"))))</f>
        <v/>
      </c>
      <c r="E75" s="853" t="n"/>
      <c r="F75" s="864" t="n"/>
      <c r="G75" s="865" t="n"/>
      <c r="H75" s="866" t="n"/>
      <c r="I75" s="867" t="n"/>
      <c r="J75" s="868" t="n"/>
      <c r="K75" s="50">
        <f>SUM(H75:J75)</f>
        <v/>
      </c>
      <c r="L75" s="880" t="n"/>
      <c r="M75" s="880" t="n"/>
      <c r="N75" s="882" t="n"/>
      <c r="O75" s="883" t="n"/>
      <c r="P75" s="50">
        <f>N75+O75+L75</f>
        <v/>
      </c>
      <c r="Q75" s="884" t="n"/>
      <c r="R75" s="877" t="n"/>
      <c r="S75" s="878" t="n"/>
      <c r="T75" s="884" t="n"/>
      <c r="U75" s="851" t="n"/>
      <c r="V75" s="877" t="n"/>
      <c r="W75" s="878" t="n"/>
      <c r="X75" s="852" t="n"/>
      <c r="Y75" s="852" t="n"/>
      <c r="Z75" s="852" t="n"/>
      <c r="AA75" s="852" t="n"/>
    </row>
    <row r="76" ht="15" customHeight="1">
      <c r="A76" s="39">
        <f>IF(C76="","",ROW()-2)</f>
        <v/>
      </c>
      <c r="B76" s="879" t="n"/>
      <c r="C76" s="863" t="n"/>
      <c r="D76" s="227">
        <f>IF(C76="TOH","Type 1",IF(C76="POH","Type 2",IF(OR(C76="LTO",C76="TOH-LC",C76="TOH - LC"),"Type 3",IF(C76="Flourish","Type 4","Type 1"))))</f>
        <v/>
      </c>
      <c r="E76" s="853" t="n"/>
      <c r="F76" s="864" t="n"/>
      <c r="G76" s="865" t="n"/>
      <c r="H76" s="866" t="n"/>
      <c r="I76" s="867" t="n"/>
      <c r="J76" s="868" t="n"/>
      <c r="K76" s="50">
        <f>SUM(H76:J76)</f>
        <v/>
      </c>
      <c r="L76" s="880" t="n"/>
      <c r="M76" s="880" t="n"/>
      <c r="N76" s="882" t="n"/>
      <c r="O76" s="883" t="n"/>
      <c r="P76" s="50">
        <f>N76+O76+L76</f>
        <v/>
      </c>
      <c r="Q76" s="884" t="n"/>
      <c r="R76" s="877" t="n"/>
      <c r="S76" s="878" t="n"/>
      <c r="T76" s="884" t="n"/>
      <c r="U76" s="851" t="n"/>
      <c r="V76" s="877" t="n"/>
      <c r="W76" s="878" t="n"/>
      <c r="X76" s="852" t="n"/>
      <c r="Y76" s="852" t="n"/>
      <c r="Z76" s="852" t="n"/>
      <c r="AA76" s="852" t="n"/>
    </row>
    <row r="77" ht="15" customHeight="1">
      <c r="A77" s="39">
        <f>IF(C77="","",ROW()-2)</f>
        <v/>
      </c>
      <c r="B77" s="879" t="n"/>
      <c r="C77" s="863" t="n"/>
      <c r="D77" s="227">
        <f>IF(C77="TOH","Type 1",IF(C77="POH","Type 2",IF(OR(C77="LTO",C77="TOH-LC",C77="TOH - LC"),"Type 3",IF(C77="Flourish","Type 4","Type 1"))))</f>
        <v/>
      </c>
      <c r="E77" s="853" t="n"/>
      <c r="F77" s="864" t="n"/>
      <c r="G77" s="865" t="n"/>
      <c r="H77" s="866" t="n"/>
      <c r="I77" s="867" t="n"/>
      <c r="J77" s="868" t="n"/>
      <c r="K77" s="50">
        <f>SUM(H77:J77)</f>
        <v/>
      </c>
      <c r="L77" s="880" t="n"/>
      <c r="M77" s="880" t="n"/>
      <c r="N77" s="882" t="n"/>
      <c r="O77" s="883" t="n"/>
      <c r="P77" s="50">
        <f>N77+O77+L77</f>
        <v/>
      </c>
      <c r="Q77" s="884" t="n"/>
      <c r="R77" s="877" t="n"/>
      <c r="S77" s="878" t="n"/>
      <c r="T77" s="884" t="n"/>
      <c r="U77" s="851" t="n"/>
      <c r="V77" s="877" t="n"/>
      <c r="W77" s="878" t="n"/>
      <c r="X77" s="852" t="n"/>
      <c r="Y77" s="852" t="n"/>
      <c r="Z77" s="852" t="n"/>
      <c r="AA77" s="852" t="n"/>
    </row>
    <row r="78" ht="15" customHeight="1">
      <c r="A78" s="39">
        <f>IF(C78="","",ROW()-2)</f>
        <v/>
      </c>
      <c r="B78" s="879" t="n"/>
      <c r="C78" s="863" t="n"/>
      <c r="D78" s="227">
        <f>IF(C78="TOH","Type 1",IF(C78="POH","Type 2",IF(OR(C78="LTO",C78="TOH-LC",C78="TOH - LC"),"Type 3",IF(C78="Flourish","Type 4","Type 1"))))</f>
        <v/>
      </c>
      <c r="E78" s="853" t="n"/>
      <c r="F78" s="864" t="n"/>
      <c r="G78" s="865" t="n"/>
      <c r="H78" s="866" t="n"/>
      <c r="I78" s="867" t="n"/>
      <c r="J78" s="868" t="n"/>
      <c r="K78" s="50">
        <f>SUM(H78:J78)</f>
        <v/>
      </c>
      <c r="L78" s="880" t="n"/>
      <c r="M78" s="880" t="n"/>
      <c r="N78" s="882" t="n"/>
      <c r="O78" s="883" t="n"/>
      <c r="P78" s="50">
        <f>N78+O78+L78</f>
        <v/>
      </c>
      <c r="Q78" s="884" t="n"/>
      <c r="R78" s="877" t="n"/>
      <c r="S78" s="878" t="n"/>
      <c r="T78" s="884" t="n"/>
      <c r="U78" s="851" t="n"/>
      <c r="V78" s="877" t="n"/>
      <c r="W78" s="878" t="n"/>
      <c r="X78" s="852" t="n"/>
      <c r="Y78" s="852" t="n"/>
      <c r="Z78" s="852" t="n"/>
      <c r="AA78" s="852" t="n"/>
    </row>
    <row r="79" ht="15" customHeight="1">
      <c r="A79" s="39">
        <f>IF(C79="","",ROW()-2)</f>
        <v/>
      </c>
      <c r="B79" s="879" t="n"/>
      <c r="C79" s="863" t="n"/>
      <c r="D79" s="227">
        <f>IF(C79="TOH","Type 1",IF(C79="POH","Type 2",IF(OR(C79="LTO",C79="TOH-LC",C79="TOH - LC"),"Type 3",IF(C79="Flourish","Type 4","Type 1"))))</f>
        <v/>
      </c>
      <c r="E79" s="853" t="n"/>
      <c r="F79" s="864" t="n"/>
      <c r="G79" s="865" t="n"/>
      <c r="H79" s="866" t="n"/>
      <c r="I79" s="867" t="n"/>
      <c r="J79" s="868" t="n"/>
      <c r="K79" s="50">
        <f>SUM(H79:J79)</f>
        <v/>
      </c>
      <c r="L79" s="880" t="n"/>
      <c r="M79" s="880" t="n"/>
      <c r="N79" s="882" t="n"/>
      <c r="O79" s="883" t="n"/>
      <c r="P79" s="50">
        <f>N79+O79+L79</f>
        <v/>
      </c>
      <c r="Q79" s="884" t="n"/>
      <c r="R79" s="877" t="n"/>
      <c r="S79" s="878" t="n"/>
      <c r="T79" s="884" t="n"/>
      <c r="U79" s="851" t="n"/>
      <c r="V79" s="877" t="n"/>
      <c r="W79" s="878" t="n"/>
      <c r="X79" s="852" t="n"/>
      <c r="Y79" s="852" t="n"/>
      <c r="Z79" s="852" t="n"/>
      <c r="AA79" s="852" t="n"/>
    </row>
    <row r="80" ht="15" customHeight="1">
      <c r="A80" s="39">
        <f>IF(C80="","",ROW()-2)</f>
        <v/>
      </c>
      <c r="B80" s="879" t="n"/>
      <c r="C80" s="863" t="n"/>
      <c r="D80" s="227">
        <f>IF(C80="TOH","Type 1",IF(C80="POH","Type 2",IF(OR(C80="LTO",C80="TOH-LC",C80="TOH - LC"),"Type 3",IF(C80="Flourish","Type 4","Type 1"))))</f>
        <v/>
      </c>
      <c r="E80" s="853" t="n"/>
      <c r="F80" s="864" t="n"/>
      <c r="G80" s="865" t="n"/>
      <c r="H80" s="866" t="n"/>
      <c r="I80" s="867" t="n"/>
      <c r="J80" s="868" t="n"/>
      <c r="K80" s="50">
        <f>SUM(H80:J80)</f>
        <v/>
      </c>
      <c r="L80" s="880" t="n"/>
      <c r="M80" s="880" t="n"/>
      <c r="N80" s="882" t="n"/>
      <c r="O80" s="883" t="n"/>
      <c r="P80" s="50">
        <f>N80+O80+L80</f>
        <v/>
      </c>
      <c r="Q80" s="884" t="n"/>
      <c r="R80" s="877" t="n"/>
      <c r="S80" s="878" t="n"/>
      <c r="T80" s="884" t="n"/>
      <c r="U80" s="851" t="n"/>
      <c r="V80" s="877" t="n"/>
      <c r="W80" s="878" t="n"/>
      <c r="X80" s="852" t="n"/>
      <c r="Y80" s="852" t="n"/>
      <c r="Z80" s="852" t="n"/>
      <c r="AA80" s="852" t="n"/>
    </row>
    <row r="81" ht="15" customHeight="1">
      <c r="A81" s="39">
        <f>IF(C81="","",ROW()-2)</f>
        <v/>
      </c>
      <c r="B81" s="879" t="n"/>
      <c r="C81" s="863" t="n"/>
      <c r="D81" s="227">
        <f>IF(C81="TOH","Type 1",IF(C81="POH","Type 2",IF(OR(C81="LTO",C81="TOH-LC",C81="TOH - LC"),"Type 3",IF(C81="Flourish","Type 4","Type 1"))))</f>
        <v/>
      </c>
      <c r="E81" s="853" t="n"/>
      <c r="F81" s="864" t="n"/>
      <c r="G81" s="865" t="n"/>
      <c r="H81" s="866" t="n"/>
      <c r="I81" s="867" t="n"/>
      <c r="J81" s="868" t="n"/>
      <c r="K81" s="50">
        <f>SUM(H81:J81)</f>
        <v/>
      </c>
      <c r="L81" s="880" t="n"/>
      <c r="M81" s="880" t="n"/>
      <c r="N81" s="882" t="n"/>
      <c r="O81" s="883" t="n"/>
      <c r="P81" s="50">
        <f>N81+O81+L81</f>
        <v/>
      </c>
      <c r="Q81" s="884" t="n"/>
      <c r="R81" s="877" t="n"/>
      <c r="S81" s="878" t="n"/>
      <c r="T81" s="884" t="n"/>
      <c r="U81" s="851" t="n"/>
      <c r="V81" s="877" t="n"/>
      <c r="W81" s="878" t="n"/>
      <c r="X81" s="852" t="n"/>
      <c r="Y81" s="852" t="n"/>
      <c r="Z81" s="852" t="n"/>
      <c r="AA81" s="852" t="n"/>
    </row>
    <row r="82" ht="15" customHeight="1">
      <c r="A82" s="39">
        <f>IF(C82="","",ROW()-2)</f>
        <v/>
      </c>
      <c r="B82" s="879" t="n"/>
      <c r="C82" s="863" t="n"/>
      <c r="D82" s="227">
        <f>IF(C82="TOH","Type 1",IF(C82="POH","Type 2",IF(OR(C82="LTO",C82="TOH-LC",C82="TOH - LC"),"Type 3",IF(C82="Flourish","Type 4","Type 1"))))</f>
        <v/>
      </c>
      <c r="E82" s="853" t="n"/>
      <c r="F82" s="864" t="n"/>
      <c r="G82" s="865" t="n"/>
      <c r="H82" s="866" t="n"/>
      <c r="I82" s="867" t="n"/>
      <c r="J82" s="868" t="n"/>
      <c r="K82" s="50">
        <f>SUM(H82:J82)</f>
        <v/>
      </c>
      <c r="L82" s="880" t="n"/>
      <c r="M82" s="880" t="n"/>
      <c r="N82" s="882" t="n"/>
      <c r="O82" s="883" t="n"/>
      <c r="P82" s="50">
        <f>N82+O82+L82</f>
        <v/>
      </c>
      <c r="Q82" s="884" t="n"/>
      <c r="R82" s="877" t="n"/>
      <c r="S82" s="878" t="n"/>
      <c r="T82" s="884" t="n"/>
      <c r="U82" s="851" t="n"/>
      <c r="V82" s="877" t="n"/>
      <c r="W82" s="878" t="n"/>
      <c r="X82" s="852" t="n"/>
      <c r="Y82" s="852" t="n"/>
      <c r="Z82" s="852" t="n"/>
      <c r="AA82" s="852" t="n"/>
    </row>
    <row r="83" ht="15" customHeight="1">
      <c r="A83" s="39">
        <f>IF(C83="","",ROW()-2)</f>
        <v/>
      </c>
      <c r="B83" s="879" t="n"/>
      <c r="C83" s="863" t="n"/>
      <c r="D83" s="227">
        <f>IF(C83="TOH","Type 1",IF(C83="POH","Type 2",IF(OR(C83="LTO",C83="TOH-LC",C83="TOH - LC"),"Type 3",IF(C83="Flourish","Type 4","Type 1"))))</f>
        <v/>
      </c>
      <c r="E83" s="853" t="n"/>
      <c r="F83" s="864" t="n"/>
      <c r="G83" s="865" t="n"/>
      <c r="H83" s="866" t="n"/>
      <c r="I83" s="867" t="n"/>
      <c r="J83" s="868" t="n"/>
      <c r="K83" s="50">
        <f>SUM(H83:J83)</f>
        <v/>
      </c>
      <c r="L83" s="880" t="n"/>
      <c r="M83" s="880" t="n"/>
      <c r="N83" s="882" t="n"/>
      <c r="O83" s="883" t="n"/>
      <c r="P83" s="50">
        <f>N83+O83+L83</f>
        <v/>
      </c>
      <c r="Q83" s="884" t="n"/>
      <c r="R83" s="877" t="n"/>
      <c r="S83" s="878" t="n"/>
      <c r="T83" s="884" t="n"/>
      <c r="U83" s="851" t="n"/>
      <c r="V83" s="877" t="n"/>
      <c r="W83" s="878" t="n"/>
      <c r="X83" s="852" t="n"/>
      <c r="Y83" s="852" t="n"/>
      <c r="Z83" s="852" t="n"/>
      <c r="AA83" s="852" t="n"/>
    </row>
    <row r="84" ht="15" customHeight="1">
      <c r="A84" s="39">
        <f>IF(C84="","",ROW()-2)</f>
        <v/>
      </c>
      <c r="B84" s="879" t="n"/>
      <c r="C84" s="863" t="n"/>
      <c r="D84" s="227">
        <f>IF(C84="TOH","Type 1",IF(C84="POH","Type 2",IF(OR(C84="LTO",C84="TOH-LC",C84="TOH - LC"),"Type 3",IF(C84="Flourish","Type 4","Type 1"))))</f>
        <v/>
      </c>
      <c r="E84" s="853" t="n"/>
      <c r="F84" s="864" t="n"/>
      <c r="G84" s="865" t="n"/>
      <c r="H84" s="866" t="n"/>
      <c r="I84" s="867" t="n"/>
      <c r="J84" s="868" t="n"/>
      <c r="K84" s="50">
        <f>SUM(H84:J84)</f>
        <v/>
      </c>
      <c r="L84" s="880" t="n"/>
      <c r="M84" s="880" t="n"/>
      <c r="N84" s="882" t="n"/>
      <c r="O84" s="883" t="n"/>
      <c r="P84" s="50">
        <f>N84+O84+L84</f>
        <v/>
      </c>
      <c r="Q84" s="884" t="n"/>
      <c r="R84" s="877" t="n"/>
      <c r="S84" s="878" t="n"/>
      <c r="T84" s="884" t="n"/>
      <c r="U84" s="851" t="n"/>
      <c r="V84" s="877" t="n"/>
      <c r="W84" s="878" t="n"/>
      <c r="X84" s="852" t="n"/>
      <c r="Y84" s="852" t="n"/>
      <c r="Z84" s="852" t="n"/>
      <c r="AA84" s="852" t="n"/>
    </row>
    <row r="85" ht="15" customHeight="1">
      <c r="A85" s="39">
        <f>IF(C85="","",ROW()-2)</f>
        <v/>
      </c>
      <c r="B85" s="879" t="n"/>
      <c r="C85" s="863" t="n"/>
      <c r="D85" s="227">
        <f>IF(C85="TOH","Type 1",IF(C85="POH","Type 2",IF(OR(C85="LTO",C85="TOH-LC",C85="TOH - LC"),"Type 3",IF(C85="Flourish","Type 4","Type 1"))))</f>
        <v/>
      </c>
      <c r="E85" s="853" t="n"/>
      <c r="F85" s="864" t="n"/>
      <c r="G85" s="865" t="n"/>
      <c r="H85" s="866" t="n"/>
      <c r="I85" s="867" t="n"/>
      <c r="J85" s="868" t="n"/>
      <c r="K85" s="50">
        <f>SUM(H85:J85)</f>
        <v/>
      </c>
      <c r="L85" s="880" t="n"/>
      <c r="M85" s="880" t="n"/>
      <c r="N85" s="882" t="n"/>
      <c r="O85" s="883" t="n"/>
      <c r="P85" s="50">
        <f>N85+O85+L85</f>
        <v/>
      </c>
      <c r="Q85" s="884" t="n"/>
      <c r="R85" s="877" t="n"/>
      <c r="S85" s="878" t="n"/>
      <c r="T85" s="884" t="n"/>
      <c r="U85" s="851" t="n"/>
      <c r="V85" s="877" t="n"/>
      <c r="W85" s="878" t="n"/>
      <c r="X85" s="852" t="n"/>
      <c r="Y85" s="852" t="n"/>
      <c r="Z85" s="852" t="n"/>
      <c r="AA85" s="852" t="n"/>
    </row>
    <row r="86" ht="15" customHeight="1">
      <c r="A86" s="39">
        <f>IF(C86="","",ROW()-2)</f>
        <v/>
      </c>
      <c r="B86" s="879" t="n"/>
      <c r="C86" s="863" t="n"/>
      <c r="D86" s="227">
        <f>IF(C86="TOH","Type 1",IF(C86="POH","Type 2",IF(OR(C86="LTO",C86="TOH-LC",C86="TOH - LC"),"Type 3",IF(C86="Flourish","Type 4","Type 1"))))</f>
        <v/>
      </c>
      <c r="E86" s="853" t="n"/>
      <c r="F86" s="864" t="n"/>
      <c r="G86" s="865" t="n"/>
      <c r="H86" s="866" t="n"/>
      <c r="I86" s="867" t="n"/>
      <c r="J86" s="868" t="n"/>
      <c r="K86" s="50">
        <f>SUM(H86:J86)</f>
        <v/>
      </c>
      <c r="L86" s="880" t="n"/>
      <c r="M86" s="880" t="n"/>
      <c r="N86" s="882" t="n"/>
      <c r="O86" s="883" t="n"/>
      <c r="P86" s="50">
        <f>N86+O86+L86</f>
        <v/>
      </c>
      <c r="Q86" s="884" t="n"/>
      <c r="R86" s="877" t="n"/>
      <c r="S86" s="878" t="n"/>
      <c r="T86" s="884" t="n"/>
      <c r="U86" s="851" t="n"/>
      <c r="V86" s="877" t="n"/>
      <c r="W86" s="878" t="n"/>
      <c r="X86" s="852" t="n"/>
      <c r="Y86" s="852" t="n"/>
      <c r="Z86" s="852" t="n"/>
      <c r="AA86" s="852" t="n"/>
    </row>
    <row r="87" ht="15" customHeight="1">
      <c r="A87" s="39">
        <f>IF(C87="","",ROW()-2)</f>
        <v/>
      </c>
      <c r="B87" s="879" t="n"/>
      <c r="C87" s="863" t="n"/>
      <c r="D87" s="227">
        <f>IF(C87="TOH","Type 1",IF(C87="POH","Type 2",IF(OR(C87="LTO",C87="TOH-LC",C87="TOH - LC"),"Type 3",IF(C87="Flourish","Type 4","Type 1"))))</f>
        <v/>
      </c>
      <c r="E87" s="853" t="n"/>
      <c r="F87" s="864" t="n"/>
      <c r="G87" s="865" t="n"/>
      <c r="H87" s="866" t="n"/>
      <c r="I87" s="867" t="n"/>
      <c r="J87" s="868" t="n"/>
      <c r="K87" s="50">
        <f>SUM(H87:J87)</f>
        <v/>
      </c>
      <c r="L87" s="880" t="n"/>
      <c r="M87" s="880" t="n"/>
      <c r="N87" s="882" t="n"/>
      <c r="O87" s="883" t="n"/>
      <c r="P87" s="50">
        <f>N87+O87+L87</f>
        <v/>
      </c>
      <c r="Q87" s="884" t="n"/>
      <c r="R87" s="877" t="n"/>
      <c r="S87" s="878" t="n"/>
      <c r="T87" s="884" t="n"/>
      <c r="U87" s="851" t="n"/>
      <c r="V87" s="877" t="n"/>
      <c r="W87" s="878" t="n"/>
      <c r="X87" s="852" t="n"/>
      <c r="Y87" s="852" t="n"/>
      <c r="Z87" s="852" t="n"/>
      <c r="AA87" s="852" t="n"/>
    </row>
    <row r="88" ht="15" customHeight="1">
      <c r="A88" s="39">
        <f>IF(C88="","",ROW()-2)</f>
        <v/>
      </c>
      <c r="B88" s="879" t="n"/>
      <c r="C88" s="863" t="n"/>
      <c r="D88" s="227">
        <f>IF(C88="TOH","Type 1",IF(C88="POH","Type 2",IF(OR(C88="LTO",C88="TOH-LC",C88="TOH - LC"),"Type 3",IF(C88="Flourish","Type 4","Type 1"))))</f>
        <v/>
      </c>
      <c r="E88" s="853" t="n"/>
      <c r="F88" s="864" t="n"/>
      <c r="G88" s="865" t="n"/>
      <c r="H88" s="866" t="n"/>
      <c r="I88" s="867" t="n"/>
      <c r="J88" s="868" t="n"/>
      <c r="K88" s="50">
        <f>SUM(H88:J88)</f>
        <v/>
      </c>
      <c r="L88" s="880" t="n"/>
      <c r="M88" s="880" t="n"/>
      <c r="N88" s="882" t="n"/>
      <c r="O88" s="883" t="n"/>
      <c r="P88" s="50">
        <f>N88+O88+L88</f>
        <v/>
      </c>
      <c r="Q88" s="884" t="n"/>
      <c r="R88" s="877" t="n"/>
      <c r="S88" s="878" t="n"/>
      <c r="T88" s="884" t="n"/>
      <c r="U88" s="851" t="n"/>
      <c r="V88" s="877" t="n"/>
      <c r="W88" s="878" t="n"/>
      <c r="X88" s="852" t="n"/>
      <c r="Y88" s="852" t="n"/>
      <c r="Z88" s="852" t="n"/>
      <c r="AA88" s="852" t="n"/>
    </row>
    <row r="89" ht="15" customHeight="1">
      <c r="A89" s="39">
        <f>IF(C89="","",ROW()-2)</f>
        <v/>
      </c>
      <c r="B89" s="879" t="n"/>
      <c r="C89" s="863" t="n"/>
      <c r="D89" s="227">
        <f>IF(C89="TOH","Type 1",IF(C89="POH","Type 2",IF(OR(C89="LTO",C89="TOH-LC",C89="TOH - LC"),"Type 3",IF(C89="Flourish","Type 4","Type 1"))))</f>
        <v/>
      </c>
      <c r="E89" s="853" t="n"/>
      <c r="F89" s="864" t="n"/>
      <c r="G89" s="865" t="n"/>
      <c r="H89" s="866" t="n"/>
      <c r="I89" s="867" t="n"/>
      <c r="J89" s="868" t="n"/>
      <c r="K89" s="50">
        <f>SUM(H89:J89)</f>
        <v/>
      </c>
      <c r="L89" s="880" t="n"/>
      <c r="M89" s="880" t="n"/>
      <c r="N89" s="882" t="n"/>
      <c r="O89" s="883" t="n"/>
      <c r="P89" s="50">
        <f>N89+O89+L89</f>
        <v/>
      </c>
      <c r="Q89" s="884" t="n"/>
      <c r="R89" s="877" t="n"/>
      <c r="S89" s="878" t="n"/>
      <c r="T89" s="884" t="n"/>
      <c r="U89" s="851" t="n"/>
      <c r="V89" s="877" t="n"/>
      <c r="W89" s="878" t="n"/>
      <c r="X89" s="852" t="n"/>
      <c r="Y89" s="852" t="n"/>
      <c r="Z89" s="852" t="n"/>
      <c r="AA89" s="852" t="n"/>
    </row>
    <row r="90" ht="15" customHeight="1">
      <c r="A90" s="39">
        <f>IF(C90="","",ROW()-2)</f>
        <v/>
      </c>
      <c r="B90" s="879" t="n"/>
      <c r="C90" s="863" t="n"/>
      <c r="D90" s="227">
        <f>IF(C90="TOH","Type 1",IF(C90="POH","Type 2",IF(OR(C90="LTO",C90="TOH-LC",C90="TOH - LC"),"Type 3",IF(C90="Flourish","Type 4","Type 1"))))</f>
        <v/>
      </c>
      <c r="E90" s="853" t="n"/>
      <c r="F90" s="864" t="n"/>
      <c r="G90" s="865" t="n"/>
      <c r="H90" s="866" t="n"/>
      <c r="I90" s="867" t="n"/>
      <c r="J90" s="868" t="n"/>
      <c r="K90" s="50">
        <f>SUM(H90:J90)</f>
        <v/>
      </c>
      <c r="L90" s="880" t="n"/>
      <c r="M90" s="880" t="n"/>
      <c r="N90" s="882" t="n"/>
      <c r="O90" s="883" t="n"/>
      <c r="P90" s="50">
        <f>N90+O90+L90</f>
        <v/>
      </c>
      <c r="Q90" s="884" t="n"/>
      <c r="R90" s="877" t="n"/>
      <c r="S90" s="878" t="n"/>
      <c r="T90" s="884" t="n"/>
      <c r="U90" s="851" t="n"/>
      <c r="V90" s="877" t="n"/>
      <c r="W90" s="878" t="n"/>
      <c r="X90" s="852" t="n"/>
      <c r="Y90" s="852" t="n"/>
      <c r="Z90" s="852" t="n"/>
      <c r="AA90" s="852" t="n"/>
    </row>
    <row r="91" ht="15" customHeight="1">
      <c r="A91" s="39">
        <f>IF(C91="","",ROW()-2)</f>
        <v/>
      </c>
      <c r="B91" s="879" t="n"/>
      <c r="C91" s="863" t="n"/>
      <c r="D91" s="227">
        <f>IF(C91="TOH","Type 1",IF(C91="POH","Type 2",IF(OR(C91="LTO",C91="TOH-LC",C91="TOH - LC"),"Type 3",IF(C91="Flourish","Type 4","Type 1"))))</f>
        <v/>
      </c>
      <c r="E91" s="853" t="n"/>
      <c r="F91" s="864" t="n"/>
      <c r="G91" s="865" t="n"/>
      <c r="H91" s="866" t="n"/>
      <c r="I91" s="867" t="n"/>
      <c r="J91" s="868" t="n"/>
      <c r="K91" s="50">
        <f>SUM(H91:J91)</f>
        <v/>
      </c>
      <c r="L91" s="880" t="n"/>
      <c r="M91" s="880" t="n"/>
      <c r="N91" s="882" t="n"/>
      <c r="O91" s="883" t="n"/>
      <c r="P91" s="50">
        <f>N91+O91+L91</f>
        <v/>
      </c>
      <c r="Q91" s="884" t="n"/>
      <c r="R91" s="877" t="n"/>
      <c r="S91" s="878" t="n"/>
      <c r="T91" s="884" t="n"/>
      <c r="U91" s="851" t="n"/>
      <c r="V91" s="877" t="n"/>
      <c r="W91" s="878" t="n"/>
      <c r="X91" s="852" t="n"/>
      <c r="Y91" s="852" t="n"/>
      <c r="Z91" s="852" t="n"/>
      <c r="AA91" s="852" t="n"/>
    </row>
    <row r="92" ht="15" customHeight="1">
      <c r="A92" s="39">
        <f>IF(C92="","",ROW()-2)</f>
        <v/>
      </c>
      <c r="B92" s="879" t="n"/>
      <c r="C92" s="863" t="n"/>
      <c r="D92" s="227">
        <f>IF(C92="TOH","Type 1",IF(C92="POH","Type 2",IF(OR(C92="LTO",C92="TOH-LC",C92="TOH - LC"),"Type 3",IF(C92="Flourish","Type 4","Type 1"))))</f>
        <v/>
      </c>
      <c r="E92" s="853" t="n"/>
      <c r="F92" s="864" t="n"/>
      <c r="G92" s="865" t="n"/>
      <c r="H92" s="866" t="n"/>
      <c r="I92" s="867" t="n"/>
      <c r="J92" s="868" t="n"/>
      <c r="K92" s="50">
        <f>SUM(H92:J92)</f>
        <v/>
      </c>
      <c r="L92" s="880" t="n"/>
      <c r="M92" s="880" t="n"/>
      <c r="N92" s="882" t="n"/>
      <c r="O92" s="883" t="n"/>
      <c r="P92" s="50">
        <f>N92+O92+L92</f>
        <v/>
      </c>
      <c r="Q92" s="884" t="n"/>
      <c r="R92" s="877" t="n"/>
      <c r="S92" s="878" t="n"/>
      <c r="T92" s="884" t="n"/>
      <c r="U92" s="851" t="n"/>
      <c r="V92" s="877" t="n"/>
      <c r="W92" s="878" t="n"/>
      <c r="X92" s="852" t="n"/>
      <c r="Y92" s="852" t="n"/>
      <c r="Z92" s="852" t="n"/>
      <c r="AA92" s="852" t="n"/>
    </row>
    <row r="93" ht="15" customHeight="1">
      <c r="A93" s="39">
        <f>IF(C93="","",ROW()-2)</f>
        <v/>
      </c>
      <c r="B93" s="879" t="n"/>
      <c r="C93" s="863" t="n"/>
      <c r="D93" s="227">
        <f>IF(C93="TOH","Type 1",IF(C93="POH","Type 2",IF(OR(C93="LTO",C93="TOH-LC",C93="TOH - LC"),"Type 3",IF(C93="Flourish","Type 4","Type 1"))))</f>
        <v/>
      </c>
      <c r="E93" s="853" t="n"/>
      <c r="F93" s="864" t="n"/>
      <c r="G93" s="865" t="n"/>
      <c r="H93" s="866" t="n"/>
      <c r="I93" s="867" t="n"/>
      <c r="J93" s="868" t="n"/>
      <c r="K93" s="50">
        <f>SUM(H93:J93)</f>
        <v/>
      </c>
      <c r="L93" s="880" t="n"/>
      <c r="M93" s="880" t="n"/>
      <c r="N93" s="882" t="n"/>
      <c r="O93" s="883" t="n"/>
      <c r="P93" s="50">
        <f>N93+O93+L93</f>
        <v/>
      </c>
      <c r="Q93" s="884" t="n"/>
      <c r="R93" s="877" t="n"/>
      <c r="S93" s="878" t="n"/>
      <c r="T93" s="884" t="n"/>
      <c r="U93" s="851" t="n"/>
      <c r="V93" s="877" t="n"/>
      <c r="W93" s="878" t="n"/>
      <c r="X93" s="852" t="n"/>
      <c r="Y93" s="852" t="n"/>
      <c r="Z93" s="852" t="n"/>
      <c r="AA93" s="852" t="n"/>
    </row>
    <row r="94" ht="15" customHeight="1">
      <c r="A94" s="39">
        <f>IF(C94="","",ROW()-2)</f>
        <v/>
      </c>
      <c r="B94" s="879" t="n"/>
      <c r="C94" s="863" t="n"/>
      <c r="D94" s="227">
        <f>IF(C94="TOH","Type 1",IF(C94="POH","Type 2",IF(OR(C94="LTO",C94="TOH-LC",C94="TOH - LC"),"Type 3",IF(C94="Flourish","Type 4","Type 1"))))</f>
        <v/>
      </c>
      <c r="E94" s="853" t="n"/>
      <c r="F94" s="864" t="n"/>
      <c r="G94" s="865" t="n"/>
      <c r="H94" s="866" t="n"/>
      <c r="I94" s="867" t="n"/>
      <c r="J94" s="868" t="n"/>
      <c r="K94" s="50">
        <f>SUM(H94:J94)</f>
        <v/>
      </c>
      <c r="L94" s="880" t="n"/>
      <c r="M94" s="880" t="n"/>
      <c r="N94" s="882" t="n"/>
      <c r="O94" s="883" t="n"/>
      <c r="P94" s="50">
        <f>N94+O94+L94</f>
        <v/>
      </c>
      <c r="Q94" s="884" t="n"/>
      <c r="R94" s="877" t="n"/>
      <c r="S94" s="878" t="n"/>
      <c r="T94" s="884" t="n"/>
      <c r="U94" s="851" t="n"/>
      <c r="V94" s="877" t="n"/>
      <c r="W94" s="878" t="n"/>
      <c r="X94" s="852" t="n"/>
      <c r="Y94" s="852" t="n"/>
      <c r="Z94" s="852" t="n"/>
      <c r="AA94" s="852" t="n"/>
    </row>
    <row r="95" ht="15" customHeight="1">
      <c r="A95" s="39">
        <f>IF(C95="","",ROW()-2)</f>
        <v/>
      </c>
      <c r="B95" s="879" t="n"/>
      <c r="C95" s="863" t="n"/>
      <c r="D95" s="227">
        <f>IF(C95="TOH","Type 1",IF(C95="POH","Type 2",IF(OR(C95="LTO",C95="TOH-LC",C95="TOH - LC"),"Type 3",IF(C95="Flourish","Type 4","Type 1"))))</f>
        <v/>
      </c>
      <c r="E95" s="853" t="n"/>
      <c r="F95" s="864" t="n"/>
      <c r="G95" s="865" t="n"/>
      <c r="H95" s="866" t="n"/>
      <c r="I95" s="867" t="n"/>
      <c r="J95" s="868" t="n"/>
      <c r="K95" s="50">
        <f>SUM(H95:J95)</f>
        <v/>
      </c>
      <c r="L95" s="880" t="n"/>
      <c r="M95" s="880" t="n"/>
      <c r="N95" s="882" t="n"/>
      <c r="O95" s="883" t="n"/>
      <c r="P95" s="50">
        <f>N95+O95+L95</f>
        <v/>
      </c>
      <c r="Q95" s="884" t="n"/>
      <c r="R95" s="877" t="n"/>
      <c r="S95" s="878" t="n"/>
      <c r="T95" s="884" t="n"/>
      <c r="U95" s="851" t="n"/>
      <c r="V95" s="877" t="n"/>
      <c r="W95" s="878" t="n"/>
      <c r="X95" s="852" t="n"/>
      <c r="Y95" s="852" t="n"/>
      <c r="Z95" s="852" t="n"/>
      <c r="AA95" s="852" t="n"/>
    </row>
    <row r="96" ht="15" customHeight="1">
      <c r="A96" s="39">
        <f>IF(C96="","",ROW()-2)</f>
        <v/>
      </c>
      <c r="B96" s="879" t="n"/>
      <c r="C96" s="863" t="n"/>
      <c r="D96" s="227">
        <f>IF(C96="TOH","Type 1",IF(C96="POH","Type 2",IF(OR(C96="LTO",C96="TOH-LC",C96="TOH - LC"),"Type 3",IF(C96="Flourish","Type 4","Type 1"))))</f>
        <v/>
      </c>
      <c r="E96" s="853" t="n"/>
      <c r="F96" s="864" t="n"/>
      <c r="G96" s="865" t="n"/>
      <c r="H96" s="866" t="n"/>
      <c r="I96" s="867" t="n"/>
      <c r="J96" s="868" t="n"/>
      <c r="K96" s="50">
        <f>SUM(H96:J96)</f>
        <v/>
      </c>
      <c r="L96" s="880" t="n"/>
      <c r="M96" s="880" t="n"/>
      <c r="N96" s="882" t="n"/>
      <c r="O96" s="883" t="n"/>
      <c r="P96" s="50">
        <f>N96+O96+L96</f>
        <v/>
      </c>
      <c r="Q96" s="884" t="n"/>
      <c r="R96" s="877" t="n"/>
      <c r="S96" s="878" t="n"/>
      <c r="T96" s="884" t="n"/>
      <c r="U96" s="851" t="n"/>
      <c r="V96" s="877" t="n"/>
      <c r="W96" s="878" t="n"/>
      <c r="X96" s="852" t="n"/>
      <c r="Y96" s="852" t="n"/>
      <c r="Z96" s="852" t="n"/>
      <c r="AA96" s="852" t="n"/>
    </row>
    <row r="97" ht="15" customHeight="1">
      <c r="A97" s="39">
        <f>IF(C97="","",ROW()-2)</f>
        <v/>
      </c>
      <c r="B97" s="879" t="n"/>
      <c r="C97" s="863" t="n"/>
      <c r="D97" s="227">
        <f>IF(C97="TOH","Type 1",IF(C97="POH","Type 2",IF(OR(C97="LTO",C97="TOH-LC",C97="TOH - LC"),"Type 3",IF(C97="Flourish","Type 4","Type 1"))))</f>
        <v/>
      </c>
      <c r="E97" s="853" t="n"/>
      <c r="F97" s="864" t="n"/>
      <c r="G97" s="865" t="n"/>
      <c r="H97" s="866" t="n"/>
      <c r="I97" s="867" t="n"/>
      <c r="J97" s="868" t="n"/>
      <c r="K97" s="50">
        <f>SUM(H97:J97)</f>
        <v/>
      </c>
      <c r="L97" s="880" t="n"/>
      <c r="M97" s="880" t="n"/>
      <c r="N97" s="882" t="n"/>
      <c r="O97" s="883" t="n"/>
      <c r="P97" s="50">
        <f>N97+O97+L97</f>
        <v/>
      </c>
      <c r="Q97" s="884" t="n"/>
      <c r="R97" s="877" t="n"/>
      <c r="S97" s="878" t="n"/>
      <c r="T97" s="884" t="n"/>
      <c r="U97" s="851" t="n"/>
      <c r="V97" s="877" t="n"/>
      <c r="W97" s="878" t="n"/>
      <c r="X97" s="852" t="n"/>
      <c r="Y97" s="852" t="n"/>
      <c r="Z97" s="852" t="n"/>
      <c r="AA97" s="852" t="n"/>
    </row>
    <row r="98" ht="15" customHeight="1">
      <c r="A98" s="39">
        <f>IF(C98="","",ROW()-2)</f>
        <v/>
      </c>
      <c r="B98" s="879" t="n"/>
      <c r="C98" s="863" t="n"/>
      <c r="D98" s="227">
        <f>IF(C98="TOH","Type 1",IF(C98="POH","Type 2",IF(OR(C98="LTO",C98="TOH-LC",C98="TOH - LC"),"Type 3",IF(C98="Flourish","Type 4","Type 1"))))</f>
        <v/>
      </c>
      <c r="E98" s="853" t="n"/>
      <c r="F98" s="864" t="n"/>
      <c r="G98" s="865" t="n"/>
      <c r="H98" s="866" t="n"/>
      <c r="I98" s="867" t="n"/>
      <c r="J98" s="868" t="n"/>
      <c r="K98" s="50">
        <f>SUM(H98:J98)</f>
        <v/>
      </c>
      <c r="L98" s="880" t="n"/>
      <c r="M98" s="880" t="n"/>
      <c r="N98" s="882" t="n"/>
      <c r="O98" s="883" t="n"/>
      <c r="P98" s="50">
        <f>N98+O98+L98</f>
        <v/>
      </c>
      <c r="Q98" s="884" t="n"/>
      <c r="R98" s="877" t="n"/>
      <c r="S98" s="878" t="n"/>
      <c r="T98" s="884" t="n"/>
      <c r="U98" s="851" t="n"/>
      <c r="V98" s="877" t="n"/>
      <c r="W98" s="878" t="n"/>
      <c r="X98" s="852" t="n"/>
      <c r="Y98" s="852" t="n"/>
      <c r="Z98" s="852" t="n"/>
      <c r="AA98" s="852" t="n"/>
    </row>
    <row r="99" ht="15" customHeight="1">
      <c r="A99" s="39">
        <f>IF(C99="","",ROW()-2)</f>
        <v/>
      </c>
      <c r="B99" s="879" t="n"/>
      <c r="C99" s="863" t="n"/>
      <c r="D99" s="227">
        <f>IF(C99="TOH","Type 1",IF(C99="POH","Type 2",IF(OR(C99="LTO",C99="TOH-LC",C99="TOH - LC"),"Type 3",IF(C99="Flourish","Type 4","Type 1"))))</f>
        <v/>
      </c>
      <c r="E99" s="853" t="n"/>
      <c r="F99" s="864" t="n"/>
      <c r="G99" s="865" t="n"/>
      <c r="H99" s="866" t="n"/>
      <c r="I99" s="867" t="n"/>
      <c r="J99" s="868" t="n"/>
      <c r="K99" s="50">
        <f>SUM(H99:J99)</f>
        <v/>
      </c>
      <c r="L99" s="880" t="n"/>
      <c r="M99" s="880" t="n"/>
      <c r="N99" s="882" t="n"/>
      <c r="O99" s="883" t="n"/>
      <c r="P99" s="50">
        <f>N99+O99+L99</f>
        <v/>
      </c>
      <c r="Q99" s="884" t="n"/>
      <c r="R99" s="877" t="n"/>
      <c r="S99" s="878" t="n"/>
      <c r="T99" s="884" t="n"/>
      <c r="U99" s="851" t="n"/>
      <c r="V99" s="877" t="n"/>
      <c r="W99" s="878" t="n"/>
      <c r="X99" s="852" t="n"/>
      <c r="Y99" s="852" t="n"/>
      <c r="Z99" s="852" t="n"/>
      <c r="AA99" s="852" t="n"/>
    </row>
    <row r="100" ht="15" customHeight="1">
      <c r="A100" s="39">
        <f>IF(C100="","",ROW()-2)</f>
        <v/>
      </c>
      <c r="B100" s="879" t="n"/>
      <c r="C100" s="863" t="n"/>
      <c r="D100" s="227">
        <f>IF(C100="TOH","Type 1",IF(C100="POH","Type 2",IF(OR(C100="LTO",C100="TOH-LC",C100="TOH - LC"),"Type 3",IF(C100="Flourish","Type 4","Type 1"))))</f>
        <v/>
      </c>
      <c r="E100" s="853" t="n"/>
      <c r="F100" s="864" t="n"/>
      <c r="G100" s="865" t="n"/>
      <c r="H100" s="866" t="n"/>
      <c r="I100" s="867" t="n"/>
      <c r="J100" s="868" t="n"/>
      <c r="K100" s="50">
        <f>SUM(H100:J100)</f>
        <v/>
      </c>
      <c r="L100" s="880" t="n"/>
      <c r="M100" s="880" t="n"/>
      <c r="N100" s="882" t="n"/>
      <c r="O100" s="883" t="n"/>
      <c r="P100" s="50">
        <f>N100+O100+L100</f>
        <v/>
      </c>
      <c r="Q100" s="884" t="n"/>
      <c r="R100" s="877" t="n"/>
      <c r="S100" s="878" t="n"/>
      <c r="T100" s="884" t="n"/>
      <c r="U100" s="851" t="n"/>
      <c r="V100" s="877" t="n"/>
      <c r="W100" s="878" t="n"/>
      <c r="X100" s="852" t="n"/>
      <c r="Y100" s="852" t="n"/>
      <c r="Z100" s="852" t="n"/>
      <c r="AA100" s="852" t="n"/>
    </row>
    <row r="101" ht="15" customHeight="1">
      <c r="A101" s="39">
        <f>IF(C101="","",ROW()-2)</f>
        <v/>
      </c>
      <c r="B101" s="879" t="n"/>
      <c r="C101" s="863" t="n"/>
      <c r="D101" s="227">
        <f>IF(C101="TOH","Type 1",IF(C101="POH","Type 2",IF(OR(C101="LTO",C101="TOH-LC",C101="TOH - LC"),"Type 3",IF(C101="Flourish","Type 4","Type 1"))))</f>
        <v/>
      </c>
      <c r="E101" s="853" t="n"/>
      <c r="F101" s="864" t="n"/>
      <c r="G101" s="865" t="n"/>
      <c r="H101" s="866" t="n"/>
      <c r="I101" s="867" t="n"/>
      <c r="J101" s="868" t="n"/>
      <c r="K101" s="50">
        <f>SUM(H101:J101)</f>
        <v/>
      </c>
      <c r="L101" s="880" t="n"/>
      <c r="M101" s="880" t="n"/>
      <c r="N101" s="882" t="n"/>
      <c r="O101" s="883" t="n"/>
      <c r="P101" s="50">
        <f>N101+O101+L101</f>
        <v/>
      </c>
      <c r="Q101" s="884" t="n"/>
      <c r="R101" s="877" t="n"/>
      <c r="S101" s="878" t="n"/>
      <c r="T101" s="884" t="n"/>
      <c r="U101" s="851" t="n"/>
      <c r="V101" s="877" t="n"/>
      <c r="W101" s="878" t="n"/>
      <c r="X101" s="852" t="n"/>
      <c r="Y101" s="852" t="n"/>
      <c r="Z101" s="852" t="n"/>
      <c r="AA101" s="852" t="n"/>
    </row>
    <row r="102" ht="15" customHeight="1">
      <c r="A102" s="39">
        <f>IF(C102="","",ROW()-2)</f>
        <v/>
      </c>
      <c r="B102" s="879" t="n"/>
      <c r="C102" s="863" t="n"/>
      <c r="D102" s="227">
        <f>IF(C102="TOH","Type 1",IF(C102="POH","Type 2",IF(OR(C102="LTO",C102="TOH-LC",C102="TOH - LC"),"Type 3",IF(C102="Flourish","Type 4","Type 1"))))</f>
        <v/>
      </c>
      <c r="E102" s="853" t="n"/>
      <c r="F102" s="864" t="n"/>
      <c r="G102" s="865" t="n"/>
      <c r="H102" s="866" t="n"/>
      <c r="I102" s="867" t="n"/>
      <c r="J102" s="868" t="n"/>
      <c r="K102" s="50">
        <f>SUM(H102:J102)</f>
        <v/>
      </c>
      <c r="L102" s="880" t="n"/>
      <c r="M102" s="880" t="n"/>
      <c r="N102" s="882" t="n"/>
      <c r="O102" s="883" t="n"/>
      <c r="P102" s="50">
        <f>N102+O102+L102</f>
        <v/>
      </c>
      <c r="Q102" s="884" t="n"/>
      <c r="R102" s="877" t="n"/>
      <c r="S102" s="878" t="n"/>
      <c r="T102" s="884" t="n"/>
      <c r="U102" s="851" t="n"/>
      <c r="V102" s="877" t="n"/>
      <c r="W102" s="878" t="n"/>
      <c r="X102" s="852" t="n"/>
      <c r="Y102" s="852" t="n"/>
      <c r="Z102" s="852" t="n"/>
      <c r="AA102" s="852" t="n"/>
    </row>
    <row r="103" outlineLevel="1" ht="15" customHeight="1">
      <c r="A103" s="39">
        <f>IF(C103="","",ROW()-2)</f>
        <v/>
      </c>
      <c r="B103" s="879" t="n"/>
      <c r="C103" s="863" t="n"/>
      <c r="D103" s="227">
        <f>IF(C103="TOH","Type 1",IF(C103="POH","Type 2",IF(OR(C103="LTO",C103="TOH-LC",C103="TOH - LC"),"Type 3",IF(C103="Flourish","Type 4","Type 1"))))</f>
        <v/>
      </c>
      <c r="E103" s="853" t="n"/>
      <c r="F103" s="864" t="n"/>
      <c r="G103" s="865" t="n"/>
      <c r="H103" s="866" t="n"/>
      <c r="I103" s="867" t="n"/>
      <c r="J103" s="868" t="n"/>
      <c r="K103" s="50">
        <f>SUM(H103:J103)</f>
        <v/>
      </c>
      <c r="L103" s="880" t="n"/>
      <c r="M103" s="880" t="n"/>
      <c r="N103" s="882" t="n"/>
      <c r="O103" s="883" t="n"/>
      <c r="P103" s="50">
        <f>N103+O103+L103</f>
        <v/>
      </c>
      <c r="Q103" s="884" t="n"/>
      <c r="R103" s="877" t="n"/>
      <c r="S103" s="878" t="n"/>
      <c r="T103" s="884" t="n"/>
      <c r="U103" s="851" t="n"/>
      <c r="V103" s="877" t="n"/>
      <c r="W103" s="878" t="n"/>
      <c r="X103" s="852" t="n"/>
      <c r="Y103" s="852" t="n"/>
      <c r="Z103" s="852" t="n"/>
      <c r="AA103" s="852" t="n"/>
    </row>
    <row r="104" outlineLevel="1" ht="15" customHeight="1">
      <c r="A104" s="39">
        <f>IF(C104="","",ROW()-2)</f>
        <v/>
      </c>
      <c r="B104" s="879" t="n"/>
      <c r="C104" s="863" t="n"/>
      <c r="D104" s="227">
        <f>IF(C104="TOH","Type 1",IF(C104="POH","Type 2",IF(OR(C104="LTO",C104="TOH-LC",C104="TOH - LC"),"Type 3",IF(C104="Flourish","Type 4","Type 1"))))</f>
        <v/>
      </c>
      <c r="E104" s="853" t="n"/>
      <c r="F104" s="864" t="n"/>
      <c r="G104" s="865" t="n"/>
      <c r="H104" s="866" t="n"/>
      <c r="I104" s="867" t="n"/>
      <c r="J104" s="868" t="n"/>
      <c r="K104" s="50">
        <f>SUM(H104:J104)</f>
        <v/>
      </c>
      <c r="L104" s="880" t="n"/>
      <c r="M104" s="880" t="n"/>
      <c r="N104" s="882" t="n"/>
      <c r="O104" s="883" t="n"/>
      <c r="P104" s="50">
        <f>N104+O104+L104</f>
        <v/>
      </c>
      <c r="Q104" s="884" t="n"/>
      <c r="R104" s="877" t="n"/>
      <c r="S104" s="878" t="n"/>
      <c r="T104" s="884" t="n"/>
      <c r="U104" s="851" t="n"/>
      <c r="V104" s="877" t="n"/>
      <c r="W104" s="878" t="n"/>
      <c r="X104" s="852" t="n"/>
      <c r="Y104" s="852" t="n"/>
      <c r="Z104" s="852" t="n"/>
      <c r="AA104" s="852" t="n"/>
    </row>
    <row r="105" outlineLevel="1" ht="15" customHeight="1">
      <c r="A105" s="39">
        <f>IF(C105="","",ROW()-2)</f>
        <v/>
      </c>
      <c r="B105" s="879" t="n"/>
      <c r="C105" s="863" t="n"/>
      <c r="D105" s="227">
        <f>IF(C105="TOH","Type 1",IF(C105="POH","Type 2",IF(OR(C105="LTO",C105="TOH-LC",C105="TOH - LC"),"Type 3",IF(C105="Flourish","Type 4","Type 1"))))</f>
        <v/>
      </c>
      <c r="E105" s="853" t="n"/>
      <c r="F105" s="864" t="n"/>
      <c r="G105" s="865" t="n"/>
      <c r="H105" s="866" t="n"/>
      <c r="I105" s="867" t="n"/>
      <c r="J105" s="868" t="n"/>
      <c r="K105" s="50">
        <f>SUM(H105:J105)</f>
        <v/>
      </c>
      <c r="L105" s="880" t="n"/>
      <c r="M105" s="880" t="n"/>
      <c r="N105" s="882" t="n"/>
      <c r="O105" s="883" t="n"/>
      <c r="P105" s="50">
        <f>N105+O105+L105</f>
        <v/>
      </c>
      <c r="Q105" s="884" t="n"/>
      <c r="R105" s="877" t="n"/>
      <c r="S105" s="878" t="n"/>
      <c r="T105" s="884" t="n"/>
      <c r="U105" s="851" t="n"/>
      <c r="V105" s="877" t="n"/>
      <c r="W105" s="878" t="n"/>
      <c r="X105" s="852" t="n"/>
      <c r="Y105" s="852" t="n"/>
      <c r="Z105" s="852" t="n"/>
      <c r="AA105" s="852" t="n"/>
    </row>
    <row r="106" outlineLevel="1" ht="15" customHeight="1">
      <c r="A106" s="39">
        <f>IF(C106="","",ROW()-2)</f>
        <v/>
      </c>
      <c r="B106" s="879" t="n"/>
      <c r="C106" s="863" t="n"/>
      <c r="D106" s="227">
        <f>IF(C106="TOH","Type 1",IF(C106="POH","Type 2",IF(OR(C106="LTO",C106="TOH-LC",C106="TOH - LC"),"Type 3",IF(C106="Flourish","Type 4","Type 1"))))</f>
        <v/>
      </c>
      <c r="E106" s="853" t="n"/>
      <c r="F106" s="864" t="n"/>
      <c r="G106" s="865" t="n"/>
      <c r="H106" s="866" t="n"/>
      <c r="I106" s="867" t="n"/>
      <c r="J106" s="868" t="n"/>
      <c r="K106" s="50">
        <f>SUM(H106:J106)</f>
        <v/>
      </c>
      <c r="L106" s="880" t="n"/>
      <c r="M106" s="880" t="n"/>
      <c r="N106" s="882" t="n"/>
      <c r="O106" s="883" t="n"/>
      <c r="P106" s="50">
        <f>N106+O106+L106</f>
        <v/>
      </c>
      <c r="Q106" s="884" t="n"/>
      <c r="R106" s="877" t="n"/>
      <c r="S106" s="878" t="n"/>
      <c r="T106" s="884" t="n"/>
      <c r="U106" s="851" t="n"/>
      <c r="V106" s="877" t="n"/>
      <c r="W106" s="878" t="n"/>
      <c r="X106" s="852" t="n"/>
      <c r="Y106" s="852" t="n"/>
      <c r="Z106" s="852" t="n"/>
      <c r="AA106" s="852" t="n"/>
    </row>
    <row r="107" outlineLevel="1" ht="15" customHeight="1">
      <c r="A107" s="39">
        <f>IF(C107="","",ROW()-2)</f>
        <v/>
      </c>
      <c r="B107" s="879" t="n"/>
      <c r="C107" s="863" t="n"/>
      <c r="D107" s="227">
        <f>IF(C107="TOH","Type 1",IF(C107="POH","Type 2",IF(OR(C107="LTO",C107="TOH-LC",C107="TOH - LC"),"Type 3",IF(C107="Flourish","Type 4","Type 1"))))</f>
        <v/>
      </c>
      <c r="E107" s="853" t="n"/>
      <c r="F107" s="864" t="n"/>
      <c r="G107" s="865" t="n"/>
      <c r="H107" s="866" t="n"/>
      <c r="I107" s="867" t="n"/>
      <c r="J107" s="868" t="n"/>
      <c r="K107" s="50">
        <f>SUM(H107:J107)</f>
        <v/>
      </c>
      <c r="L107" s="880" t="n"/>
      <c r="M107" s="880" t="n"/>
      <c r="N107" s="882" t="n"/>
      <c r="O107" s="883" t="n"/>
      <c r="P107" s="50">
        <f>N107+O107+L107</f>
        <v/>
      </c>
      <c r="Q107" s="884" t="n"/>
      <c r="R107" s="877" t="n"/>
      <c r="S107" s="878" t="n"/>
      <c r="T107" s="884" t="n"/>
      <c r="U107" s="851" t="n"/>
      <c r="V107" s="877" t="n"/>
      <c r="W107" s="878" t="n"/>
      <c r="X107" s="852" t="n"/>
      <c r="Y107" s="852" t="n"/>
      <c r="Z107" s="852" t="n"/>
      <c r="AA107" s="852" t="n"/>
    </row>
    <row r="108" outlineLevel="1" ht="15" customHeight="1">
      <c r="A108" s="39">
        <f>IF(C108="","",ROW()-2)</f>
        <v/>
      </c>
      <c r="B108" s="879" t="n"/>
      <c r="C108" s="863" t="n"/>
      <c r="D108" s="227">
        <f>IF(C108="TOH","Type 1",IF(C108="POH","Type 2",IF(OR(C108="LTO",C108="TOH-LC",C108="TOH - LC"),"Type 3",IF(C108="Flourish","Type 4","Type 1"))))</f>
        <v/>
      </c>
      <c r="E108" s="853" t="n"/>
      <c r="F108" s="864" t="n"/>
      <c r="G108" s="865" t="n"/>
      <c r="H108" s="866" t="n"/>
      <c r="I108" s="867" t="n"/>
      <c r="J108" s="868" t="n"/>
      <c r="K108" s="50">
        <f>SUM(H108:J108)</f>
        <v/>
      </c>
      <c r="L108" s="880" t="n"/>
      <c r="M108" s="880" t="n"/>
      <c r="N108" s="882" t="n"/>
      <c r="O108" s="883" t="n"/>
      <c r="P108" s="50">
        <f>N108+O108+L108</f>
        <v/>
      </c>
      <c r="Q108" s="884" t="n"/>
      <c r="R108" s="877" t="n"/>
      <c r="S108" s="878" t="n"/>
      <c r="T108" s="884" t="n"/>
      <c r="U108" s="851" t="n"/>
      <c r="V108" s="877" t="n"/>
      <c r="W108" s="878" t="n"/>
      <c r="X108" s="852" t="n"/>
      <c r="Y108" s="852" t="n"/>
      <c r="Z108" s="852" t="n"/>
      <c r="AA108" s="852" t="n"/>
    </row>
    <row r="109" outlineLevel="1" ht="15" customHeight="1">
      <c r="A109" s="39">
        <f>IF(C109="","",ROW()-2)</f>
        <v/>
      </c>
      <c r="B109" s="879" t="n"/>
      <c r="C109" s="863" t="n"/>
      <c r="D109" s="227">
        <f>IF(C109="TOH","Type 1",IF(C109="POH","Type 2",IF(OR(C109="LTO",C109="TOH-LC",C109="TOH - LC"),"Type 3",IF(C109="Flourish","Type 4","Type 1"))))</f>
        <v/>
      </c>
      <c r="E109" s="853" t="n"/>
      <c r="F109" s="864" t="n"/>
      <c r="G109" s="865" t="n"/>
      <c r="H109" s="866" t="n"/>
      <c r="I109" s="867" t="n"/>
      <c r="J109" s="868" t="n"/>
      <c r="K109" s="50">
        <f>SUM(H109:J109)</f>
        <v/>
      </c>
      <c r="L109" s="880" t="n"/>
      <c r="M109" s="880" t="n"/>
      <c r="N109" s="882" t="n"/>
      <c r="O109" s="883" t="n"/>
      <c r="P109" s="50">
        <f>N109+O109+L109</f>
        <v/>
      </c>
      <c r="Q109" s="884" t="n"/>
      <c r="R109" s="877" t="n"/>
      <c r="S109" s="878" t="n"/>
      <c r="T109" s="884" t="n"/>
      <c r="U109" s="851" t="n"/>
      <c r="V109" s="877" t="n"/>
      <c r="W109" s="878" t="n"/>
      <c r="X109" s="852" t="n"/>
      <c r="Y109" s="852" t="n"/>
      <c r="Z109" s="852" t="n"/>
      <c r="AA109" s="852" t="n"/>
    </row>
    <row r="110" outlineLevel="1" ht="15" customHeight="1">
      <c r="A110" s="39">
        <f>IF(C110="","",ROW()-2)</f>
        <v/>
      </c>
      <c r="B110" s="879" t="n"/>
      <c r="C110" s="863" t="n"/>
      <c r="D110" s="227">
        <f>IF(C110="TOH","Type 1",IF(C110="POH","Type 2",IF(OR(C110="LTO",C110="TOH-LC",C110="TOH - LC"),"Type 3",IF(C110="Flourish","Type 4","Type 1"))))</f>
        <v/>
      </c>
      <c r="E110" s="853" t="n"/>
      <c r="F110" s="864" t="n"/>
      <c r="G110" s="865" t="n"/>
      <c r="H110" s="866" t="n"/>
      <c r="I110" s="867" t="n"/>
      <c r="J110" s="868" t="n"/>
      <c r="K110" s="50">
        <f>SUM(H110:J110)</f>
        <v/>
      </c>
      <c r="L110" s="880" t="n"/>
      <c r="M110" s="880" t="n"/>
      <c r="N110" s="882" t="n"/>
      <c r="O110" s="883" t="n"/>
      <c r="P110" s="50">
        <f>N110+O110+L110</f>
        <v/>
      </c>
      <c r="Q110" s="884" t="n"/>
      <c r="R110" s="877" t="n"/>
      <c r="S110" s="878" t="n"/>
      <c r="T110" s="884" t="n"/>
      <c r="U110" s="851" t="n"/>
      <c r="V110" s="877" t="n"/>
      <c r="W110" s="878" t="n"/>
      <c r="X110" s="852" t="n"/>
      <c r="Y110" s="852" t="n"/>
      <c r="Z110" s="852" t="n"/>
      <c r="AA110" s="852" t="n"/>
    </row>
    <row r="111" outlineLevel="1" ht="15" customHeight="1">
      <c r="A111" s="39">
        <f>IF(C111="","",ROW()-2)</f>
        <v/>
      </c>
      <c r="B111" s="879" t="n"/>
      <c r="C111" s="863" t="n"/>
      <c r="D111" s="227">
        <f>IF(C111="TOH","Type 1",IF(C111="POH","Type 2",IF(OR(C111="LTO",C111="TOH-LC",C111="TOH - LC"),"Type 3",IF(C111="Flourish","Type 4","Type 1"))))</f>
        <v/>
      </c>
      <c r="E111" s="853" t="n"/>
      <c r="F111" s="864" t="n"/>
      <c r="G111" s="865" t="n"/>
      <c r="H111" s="866" t="n"/>
      <c r="I111" s="867" t="n"/>
      <c r="J111" s="868" t="n"/>
      <c r="K111" s="50">
        <f>SUM(H111:J111)</f>
        <v/>
      </c>
      <c r="L111" s="880" t="n"/>
      <c r="M111" s="880" t="n"/>
      <c r="N111" s="882" t="n"/>
      <c r="O111" s="883" t="n"/>
      <c r="P111" s="50">
        <f>N111+O111+L111</f>
        <v/>
      </c>
      <c r="Q111" s="884" t="n"/>
      <c r="R111" s="877" t="n"/>
      <c r="S111" s="878" t="n"/>
      <c r="T111" s="884" t="n"/>
      <c r="U111" s="851" t="n"/>
      <c r="V111" s="877" t="n"/>
      <c r="W111" s="878" t="n"/>
      <c r="X111" s="852" t="n"/>
      <c r="Y111" s="852" t="n"/>
      <c r="Z111" s="852" t="n"/>
      <c r="AA111" s="852" t="n"/>
    </row>
    <row r="112" outlineLevel="1" ht="15" customHeight="1">
      <c r="A112" s="39">
        <f>IF(C112="","",ROW()-2)</f>
        <v/>
      </c>
      <c r="B112" s="879" t="n"/>
      <c r="C112" s="863" t="n"/>
      <c r="D112" s="227">
        <f>IF(C112="TOH","Type 1",IF(C112="POH","Type 2",IF(OR(C112="LTO",C112="TOH-LC",C112="TOH - LC"),"Type 3",IF(C112="Flourish","Type 4","Type 1"))))</f>
        <v/>
      </c>
      <c r="E112" s="853" t="n"/>
      <c r="F112" s="864" t="n"/>
      <c r="G112" s="865" t="n"/>
      <c r="H112" s="866" t="n"/>
      <c r="I112" s="867" t="n"/>
      <c r="J112" s="868" t="n"/>
      <c r="K112" s="50">
        <f>SUM(H112:J112)</f>
        <v/>
      </c>
      <c r="L112" s="880" t="n"/>
      <c r="M112" s="880" t="n"/>
      <c r="N112" s="882" t="n"/>
      <c r="O112" s="883" t="n"/>
      <c r="P112" s="50">
        <f>N112+O112+L112</f>
        <v/>
      </c>
      <c r="Q112" s="884" t="n"/>
      <c r="R112" s="877" t="n"/>
      <c r="S112" s="878" t="n"/>
      <c r="T112" s="884" t="n"/>
      <c r="U112" s="851" t="n"/>
      <c r="V112" s="877" t="n"/>
      <c r="W112" s="878" t="n"/>
      <c r="X112" s="852" t="n"/>
      <c r="Y112" s="852" t="n"/>
      <c r="Z112" s="852" t="n"/>
      <c r="AA112" s="852" t="n"/>
    </row>
    <row r="113" outlineLevel="1" ht="15" customHeight="1">
      <c r="A113" s="39">
        <f>IF(C113="","",ROW()-2)</f>
        <v/>
      </c>
      <c r="B113" s="879" t="n"/>
      <c r="C113" s="863" t="n"/>
      <c r="D113" s="227">
        <f>IF(C113="TOH","Type 1",IF(C113="POH","Type 2",IF(OR(C113="LTO",C113="TOH-LC",C113="TOH - LC"),"Type 3",IF(C113="Flourish","Type 4","Type 1"))))</f>
        <v/>
      </c>
      <c r="E113" s="853" t="n"/>
      <c r="F113" s="864" t="n"/>
      <c r="G113" s="865" t="n"/>
      <c r="H113" s="866" t="n"/>
      <c r="I113" s="867" t="n"/>
      <c r="J113" s="868" t="n"/>
      <c r="K113" s="50">
        <f>SUM(H113:J113)</f>
        <v/>
      </c>
      <c r="L113" s="880" t="n"/>
      <c r="M113" s="880" t="n"/>
      <c r="N113" s="882" t="n"/>
      <c r="O113" s="883" t="n"/>
      <c r="P113" s="50">
        <f>N113+O113+L113</f>
        <v/>
      </c>
      <c r="Q113" s="884" t="n"/>
      <c r="R113" s="877" t="n"/>
      <c r="S113" s="878" t="n"/>
      <c r="T113" s="884" t="n"/>
      <c r="U113" s="851" t="n"/>
      <c r="V113" s="877" t="n"/>
      <c r="W113" s="878" t="n"/>
      <c r="X113" s="852" t="n"/>
      <c r="Y113" s="852" t="n"/>
      <c r="Z113" s="852" t="n"/>
      <c r="AA113" s="852" t="n"/>
    </row>
    <row r="114" outlineLevel="1" ht="15" customHeight="1">
      <c r="A114" s="39">
        <f>IF(C114="","",ROW()-2)</f>
        <v/>
      </c>
      <c r="B114" s="879" t="n"/>
      <c r="C114" s="863" t="n"/>
      <c r="D114" s="227">
        <f>IF(C114="TOH","Type 1",IF(C114="POH","Type 2",IF(OR(C114="LTO",C114="TOH-LC",C114="TOH - LC"),"Type 3",IF(C114="Flourish","Type 4","Type 1"))))</f>
        <v/>
      </c>
      <c r="E114" s="853" t="n"/>
      <c r="F114" s="864" t="n"/>
      <c r="G114" s="865" t="n"/>
      <c r="H114" s="866" t="n"/>
      <c r="I114" s="867" t="n"/>
      <c r="J114" s="868" t="n"/>
      <c r="K114" s="50">
        <f>SUM(H114:J114)</f>
        <v/>
      </c>
      <c r="L114" s="880" t="n"/>
      <c r="M114" s="880" t="n"/>
      <c r="N114" s="882" t="n"/>
      <c r="O114" s="883" t="n"/>
      <c r="P114" s="50">
        <f>N114+O114+L114</f>
        <v/>
      </c>
      <c r="Q114" s="884" t="n"/>
      <c r="R114" s="877" t="n"/>
      <c r="S114" s="878" t="n"/>
      <c r="T114" s="884" t="n"/>
      <c r="U114" s="851" t="n"/>
      <c r="V114" s="877" t="n"/>
      <c r="W114" s="878" t="n"/>
      <c r="X114" s="852" t="n"/>
      <c r="Y114" s="852" t="n"/>
      <c r="Z114" s="852" t="n"/>
      <c r="AA114" s="852" t="n"/>
    </row>
    <row r="115" outlineLevel="1" ht="15" customHeight="1">
      <c r="A115" s="39">
        <f>IF(C115="","",ROW()-2)</f>
        <v/>
      </c>
      <c r="B115" s="879" t="n"/>
      <c r="C115" s="863" t="n"/>
      <c r="D115" s="227">
        <f>IF(C115="TOH","Type 1",IF(C115="POH","Type 2",IF(OR(C115="LTO",C115="TOH-LC",C115="TOH - LC"),"Type 3",IF(C115="Flourish","Type 4","Type 1"))))</f>
        <v/>
      </c>
      <c r="E115" s="853" t="n"/>
      <c r="F115" s="864" t="n"/>
      <c r="G115" s="865" t="n"/>
      <c r="H115" s="866" t="n"/>
      <c r="I115" s="867" t="n"/>
      <c r="J115" s="868" t="n"/>
      <c r="K115" s="50">
        <f>SUM(H115:J115)</f>
        <v/>
      </c>
      <c r="L115" s="880" t="n"/>
      <c r="M115" s="880" t="n"/>
      <c r="N115" s="882" t="n"/>
      <c r="O115" s="883" t="n"/>
      <c r="P115" s="50">
        <f>N115+O115+L115</f>
        <v/>
      </c>
      <c r="Q115" s="884" t="n"/>
      <c r="R115" s="877" t="n"/>
      <c r="S115" s="878" t="n"/>
      <c r="T115" s="884" t="n"/>
      <c r="U115" s="851" t="n"/>
      <c r="V115" s="877" t="n"/>
      <c r="W115" s="878" t="n"/>
      <c r="X115" s="852" t="n"/>
      <c r="Y115" s="852" t="n"/>
      <c r="Z115" s="852" t="n"/>
      <c r="AA115" s="852" t="n"/>
    </row>
    <row r="116" outlineLevel="1" ht="15" customHeight="1">
      <c r="A116" s="39">
        <f>IF(C116="","",ROW()-2)</f>
        <v/>
      </c>
      <c r="B116" s="879" t="n"/>
      <c r="C116" s="863" t="n"/>
      <c r="D116" s="227">
        <f>IF(C116="TOH","Type 1",IF(C116="POH","Type 2",IF(OR(C116="LTO",C116="TOH-LC",C116="TOH - LC"),"Type 3",IF(C116="Flourish","Type 4","Type 1"))))</f>
        <v/>
      </c>
      <c r="E116" s="853" t="n"/>
      <c r="F116" s="864" t="n"/>
      <c r="G116" s="865" t="n"/>
      <c r="H116" s="866" t="n"/>
      <c r="I116" s="867" t="n"/>
      <c r="J116" s="868" t="n"/>
      <c r="K116" s="50">
        <f>SUM(H116:J116)</f>
        <v/>
      </c>
      <c r="L116" s="880" t="n"/>
      <c r="M116" s="880" t="n"/>
      <c r="N116" s="882" t="n"/>
      <c r="O116" s="883" t="n"/>
      <c r="P116" s="50">
        <f>N116+O116+L116</f>
        <v/>
      </c>
      <c r="Q116" s="884" t="n"/>
      <c r="R116" s="877" t="n"/>
      <c r="S116" s="878" t="n"/>
      <c r="T116" s="884" t="n"/>
      <c r="U116" s="851" t="n"/>
      <c r="V116" s="877" t="n"/>
      <c r="W116" s="878" t="n"/>
      <c r="X116" s="852" t="n"/>
      <c r="Y116" s="852" t="n"/>
      <c r="Z116" s="852" t="n"/>
      <c r="AA116" s="852" t="n"/>
    </row>
    <row r="117" outlineLevel="1" ht="15" customHeight="1">
      <c r="A117" s="39">
        <f>IF(C117="","",ROW()-2)</f>
        <v/>
      </c>
      <c r="B117" s="879" t="n"/>
      <c r="C117" s="863" t="n"/>
      <c r="D117" s="227">
        <f>IF(C117="TOH","Type 1",IF(C117="POH","Type 2",IF(OR(C117="LTO",C117="TOH-LC",C117="TOH - LC"),"Type 3",IF(C117="Flourish","Type 4","Type 1"))))</f>
        <v/>
      </c>
      <c r="E117" s="853" t="n"/>
      <c r="F117" s="864" t="n"/>
      <c r="G117" s="865" t="n"/>
      <c r="H117" s="866" t="n"/>
      <c r="I117" s="867" t="n"/>
      <c r="J117" s="868" t="n"/>
      <c r="K117" s="50">
        <f>SUM(H117:J117)</f>
        <v/>
      </c>
      <c r="L117" s="880" t="n"/>
      <c r="M117" s="880" t="n"/>
      <c r="N117" s="882" t="n"/>
      <c r="O117" s="883" t="n"/>
      <c r="P117" s="50">
        <f>N117+O117+L117</f>
        <v/>
      </c>
      <c r="Q117" s="884" t="n"/>
      <c r="R117" s="877" t="n"/>
      <c r="S117" s="878" t="n"/>
      <c r="T117" s="884" t="n"/>
      <c r="U117" s="851" t="n"/>
      <c r="V117" s="877" t="n"/>
      <c r="W117" s="878" t="n"/>
      <c r="X117" s="852" t="n"/>
      <c r="Y117" s="852" t="n"/>
      <c r="Z117" s="852" t="n"/>
      <c r="AA117" s="852" t="n"/>
    </row>
    <row r="118" outlineLevel="1" ht="15" customHeight="1">
      <c r="A118" s="39">
        <f>IF(C118="","",ROW()-2)</f>
        <v/>
      </c>
      <c r="B118" s="879" t="n"/>
      <c r="C118" s="863" t="n"/>
      <c r="D118" s="227">
        <f>IF(C118="TOH","Type 1",IF(C118="POH","Type 2",IF(OR(C118="LTO",C118="TOH-LC",C118="TOH - LC"),"Type 3",IF(C118="Flourish","Type 4","Type 1"))))</f>
        <v/>
      </c>
      <c r="E118" s="853" t="n"/>
      <c r="F118" s="864" t="n"/>
      <c r="G118" s="865" t="n"/>
      <c r="H118" s="866" t="n"/>
      <c r="I118" s="867" t="n"/>
      <c r="J118" s="868" t="n"/>
      <c r="K118" s="50">
        <f>SUM(H118:J118)</f>
        <v/>
      </c>
      <c r="L118" s="880" t="n"/>
      <c r="M118" s="880" t="n"/>
      <c r="N118" s="882" t="n"/>
      <c r="O118" s="883" t="n"/>
      <c r="P118" s="50">
        <f>N118+O118+L118</f>
        <v/>
      </c>
      <c r="Q118" s="884" t="n"/>
      <c r="R118" s="877" t="n"/>
      <c r="S118" s="878" t="n"/>
      <c r="T118" s="884" t="n"/>
      <c r="U118" s="851" t="n"/>
      <c r="V118" s="877" t="n"/>
      <c r="W118" s="878" t="n"/>
      <c r="X118" s="852" t="n"/>
      <c r="Y118" s="852" t="n"/>
      <c r="Z118" s="852" t="n"/>
      <c r="AA118" s="852" t="n"/>
    </row>
    <row r="119" outlineLevel="1" ht="15" customHeight="1">
      <c r="A119" s="39">
        <f>IF(C119="","",ROW()-2)</f>
        <v/>
      </c>
      <c r="B119" s="879" t="n"/>
      <c r="C119" s="863" t="n"/>
      <c r="D119" s="227">
        <f>IF(C119="TOH","Type 1",IF(C119="POH","Type 2",IF(OR(C119="LTO",C119="TOH-LC",C119="TOH - LC"),"Type 3",IF(C119="Flourish","Type 4","Type 1"))))</f>
        <v/>
      </c>
      <c r="E119" s="853" t="n"/>
      <c r="F119" s="864" t="n"/>
      <c r="G119" s="865" t="n"/>
      <c r="H119" s="866" t="n"/>
      <c r="I119" s="867" t="n"/>
      <c r="J119" s="868" t="n"/>
      <c r="K119" s="50">
        <f>SUM(H119:J119)</f>
        <v/>
      </c>
      <c r="L119" s="880" t="n"/>
      <c r="M119" s="880" t="n"/>
      <c r="N119" s="882" t="n"/>
      <c r="O119" s="883" t="n"/>
      <c r="P119" s="50">
        <f>N119+O119+L119</f>
        <v/>
      </c>
      <c r="Q119" s="884" t="n"/>
      <c r="R119" s="877" t="n"/>
      <c r="S119" s="878" t="n"/>
      <c r="T119" s="884" t="n"/>
      <c r="U119" s="851" t="n"/>
      <c r="V119" s="877" t="n"/>
      <c r="W119" s="878" t="n"/>
      <c r="X119" s="852" t="n"/>
      <c r="Y119" s="852" t="n"/>
      <c r="Z119" s="852" t="n"/>
      <c r="AA119" s="852" t="n"/>
    </row>
    <row r="120" outlineLevel="1" ht="15" customHeight="1">
      <c r="A120" s="39">
        <f>IF(C120="","",ROW()-2)</f>
        <v/>
      </c>
      <c r="B120" s="879" t="n"/>
      <c r="C120" s="863" t="n"/>
      <c r="D120" s="227">
        <f>IF(C120="TOH","Type 1",IF(C120="POH","Type 2",IF(OR(C120="LTO",C120="TOH-LC",C120="TOH - LC"),"Type 3",IF(C120="Flourish","Type 4","Type 1"))))</f>
        <v/>
      </c>
      <c r="E120" s="853" t="n"/>
      <c r="F120" s="864" t="n"/>
      <c r="G120" s="865" t="n"/>
      <c r="H120" s="866" t="n"/>
      <c r="I120" s="867" t="n"/>
      <c r="J120" s="868" t="n"/>
      <c r="K120" s="50">
        <f>SUM(H120:J120)</f>
        <v/>
      </c>
      <c r="L120" s="880" t="n"/>
      <c r="M120" s="880" t="n"/>
      <c r="N120" s="882" t="n"/>
      <c r="O120" s="883" t="n"/>
      <c r="P120" s="50">
        <f>N120+O120+L120</f>
        <v/>
      </c>
      <c r="Q120" s="884" t="n"/>
      <c r="R120" s="877" t="n"/>
      <c r="S120" s="878" t="n"/>
      <c r="T120" s="884" t="n"/>
      <c r="U120" s="851" t="n"/>
      <c r="V120" s="877" t="n"/>
      <c r="W120" s="878" t="n"/>
      <c r="X120" s="852" t="n"/>
      <c r="Y120" s="852" t="n"/>
      <c r="Z120" s="852" t="n"/>
      <c r="AA120" s="852" t="n"/>
    </row>
    <row r="121" outlineLevel="1" ht="15" customHeight="1">
      <c r="A121" s="39">
        <f>IF(C121="","",ROW()-2)</f>
        <v/>
      </c>
      <c r="B121" s="879" t="n"/>
      <c r="C121" s="863" t="n"/>
      <c r="D121" s="227">
        <f>IF(C121="TOH","Type 1",IF(C121="POH","Type 2",IF(OR(C121="LTO",C121="TOH-LC",C121="TOH - LC"),"Type 3",IF(C121="Flourish","Type 4","Type 1"))))</f>
        <v/>
      </c>
      <c r="E121" s="853" t="n"/>
      <c r="F121" s="864" t="n"/>
      <c r="G121" s="865" t="n"/>
      <c r="H121" s="866" t="n"/>
      <c r="I121" s="867" t="n"/>
      <c r="J121" s="868" t="n"/>
      <c r="K121" s="50">
        <f>SUM(H121:J121)</f>
        <v/>
      </c>
      <c r="L121" s="880" t="n"/>
      <c r="M121" s="880" t="n"/>
      <c r="N121" s="882" t="n"/>
      <c r="O121" s="883" t="n"/>
      <c r="P121" s="50">
        <f>N121+O121+L121</f>
        <v/>
      </c>
      <c r="Q121" s="884" t="n"/>
      <c r="R121" s="877" t="n"/>
      <c r="S121" s="878" t="n"/>
      <c r="T121" s="884" t="n"/>
      <c r="U121" s="851" t="n"/>
      <c r="V121" s="877" t="n"/>
      <c r="W121" s="878" t="n"/>
      <c r="X121" s="852" t="n"/>
      <c r="Y121" s="852" t="n"/>
      <c r="Z121" s="852" t="n"/>
      <c r="AA121" s="852" t="n"/>
    </row>
    <row r="122" outlineLevel="1" ht="15" customHeight="1">
      <c r="A122" s="39">
        <f>IF(C122="","",ROW()-2)</f>
        <v/>
      </c>
      <c r="B122" s="879" t="n"/>
      <c r="C122" s="863" t="n"/>
      <c r="D122" s="227">
        <f>IF(C122="TOH","Type 1",IF(C122="POH","Type 2",IF(OR(C122="LTO",C122="TOH-LC",C122="TOH - LC"),"Type 3",IF(C122="Flourish","Type 4","Type 1"))))</f>
        <v/>
      </c>
      <c r="E122" s="853" t="n"/>
      <c r="F122" s="864" t="n"/>
      <c r="G122" s="865" t="n"/>
      <c r="H122" s="866" t="n"/>
      <c r="I122" s="867" t="n"/>
      <c r="J122" s="868" t="n"/>
      <c r="K122" s="50">
        <f>SUM(H122:J122)</f>
        <v/>
      </c>
      <c r="L122" s="880" t="n"/>
      <c r="M122" s="880" t="n"/>
      <c r="N122" s="882" t="n"/>
      <c r="O122" s="883" t="n"/>
      <c r="P122" s="50">
        <f>N122+O122+L122</f>
        <v/>
      </c>
      <c r="Q122" s="884" t="n"/>
      <c r="R122" s="877" t="n"/>
      <c r="S122" s="878" t="n"/>
      <c r="T122" s="884" t="n"/>
      <c r="U122" s="851" t="n"/>
      <c r="V122" s="877" t="n"/>
      <c r="W122" s="878" t="n"/>
      <c r="X122" s="852" t="n"/>
      <c r="Y122" s="852" t="n"/>
      <c r="Z122" s="852" t="n"/>
      <c r="AA122" s="852" t="n"/>
    </row>
    <row r="123" outlineLevel="1" ht="15" customHeight="1">
      <c r="A123" s="39">
        <f>IF(C123="","",ROW()-2)</f>
        <v/>
      </c>
      <c r="B123" s="879" t="n"/>
      <c r="C123" s="863" t="n"/>
      <c r="D123" s="227">
        <f>IF(C123="TOH","Type 1",IF(C123="POH","Type 2",IF(OR(C123="LTO",C123="TOH-LC",C123="TOH - LC"),"Type 3",IF(C123="Flourish","Type 4","Type 1"))))</f>
        <v/>
      </c>
      <c r="E123" s="853" t="n"/>
      <c r="F123" s="864" t="n"/>
      <c r="G123" s="865" t="n"/>
      <c r="H123" s="866" t="n"/>
      <c r="I123" s="867" t="n"/>
      <c r="J123" s="868" t="n"/>
      <c r="K123" s="50">
        <f>SUM(H123:J123)</f>
        <v/>
      </c>
      <c r="L123" s="880" t="n"/>
      <c r="M123" s="880" t="n"/>
      <c r="N123" s="882" t="n"/>
      <c r="O123" s="883" t="n"/>
      <c r="P123" s="50">
        <f>N123+O123+L123</f>
        <v/>
      </c>
      <c r="Q123" s="884" t="n"/>
      <c r="R123" s="877" t="n"/>
      <c r="S123" s="878" t="n"/>
      <c r="T123" s="884" t="n"/>
      <c r="U123" s="851" t="n"/>
      <c r="V123" s="877" t="n"/>
      <c r="W123" s="878" t="n"/>
      <c r="X123" s="852" t="n"/>
      <c r="Y123" s="852" t="n"/>
      <c r="Z123" s="852" t="n"/>
      <c r="AA123" s="852" t="n"/>
    </row>
    <row r="124" outlineLevel="1" ht="15" customHeight="1">
      <c r="A124" s="39">
        <f>IF(C124="","",ROW()-2)</f>
        <v/>
      </c>
      <c r="B124" s="879" t="n"/>
      <c r="C124" s="863" t="n"/>
      <c r="D124" s="227">
        <f>IF(C124="TOH","Type 1",IF(C124="POH","Type 2",IF(OR(C124="LTO",C124="TOH-LC",C124="TOH - LC"),"Type 3",IF(C124="Flourish","Type 4","Type 1"))))</f>
        <v/>
      </c>
      <c r="E124" s="853" t="n"/>
      <c r="F124" s="864" t="n"/>
      <c r="G124" s="865" t="n"/>
      <c r="H124" s="866" t="n"/>
      <c r="I124" s="867" t="n"/>
      <c r="J124" s="868" t="n"/>
      <c r="K124" s="50">
        <f>SUM(H124:J124)</f>
        <v/>
      </c>
      <c r="L124" s="880" t="n"/>
      <c r="M124" s="880" t="n"/>
      <c r="N124" s="882" t="n"/>
      <c r="O124" s="883" t="n"/>
      <c r="P124" s="50">
        <f>N124+O124+L124</f>
        <v/>
      </c>
      <c r="Q124" s="884" t="n"/>
      <c r="R124" s="877" t="n"/>
      <c r="S124" s="878" t="n"/>
      <c r="T124" s="884" t="n"/>
      <c r="U124" s="851" t="n"/>
      <c r="V124" s="877" t="n"/>
      <c r="W124" s="878" t="n"/>
      <c r="X124" s="852" t="n"/>
      <c r="Y124" s="852" t="n"/>
      <c r="Z124" s="852" t="n"/>
      <c r="AA124" s="852" t="n"/>
    </row>
    <row r="125" outlineLevel="1" ht="15" customHeight="1">
      <c r="A125" s="39">
        <f>IF(C125="","",ROW()-2)</f>
        <v/>
      </c>
      <c r="B125" s="879" t="n"/>
      <c r="C125" s="863" t="n"/>
      <c r="D125" s="227">
        <f>IF(C125="TOH","Type 1",IF(C125="POH","Type 2",IF(OR(C125="LTO",C125="TOH-LC",C125="TOH - LC"),"Type 3",IF(C125="Flourish","Type 4","Type 1"))))</f>
        <v/>
      </c>
      <c r="E125" s="853" t="n"/>
      <c r="F125" s="864" t="n"/>
      <c r="G125" s="865" t="n"/>
      <c r="H125" s="866" t="n"/>
      <c r="I125" s="867" t="n"/>
      <c r="J125" s="868" t="n"/>
      <c r="K125" s="50">
        <f>SUM(H125:J125)</f>
        <v/>
      </c>
      <c r="L125" s="880" t="n"/>
      <c r="M125" s="880" t="n"/>
      <c r="N125" s="882" t="n"/>
      <c r="O125" s="883" t="n"/>
      <c r="P125" s="50">
        <f>N125+O125+L125</f>
        <v/>
      </c>
      <c r="Q125" s="884" t="n"/>
      <c r="R125" s="877" t="n"/>
      <c r="S125" s="878" t="n"/>
      <c r="T125" s="884" t="n"/>
      <c r="U125" s="851" t="n"/>
      <c r="V125" s="877" t="n"/>
      <c r="W125" s="878" t="n"/>
      <c r="X125" s="852" t="n"/>
      <c r="Y125" s="852" t="n"/>
      <c r="Z125" s="852" t="n"/>
      <c r="AA125" s="852" t="n"/>
    </row>
    <row r="126" outlineLevel="1" ht="15" customHeight="1">
      <c r="A126" s="39">
        <f>IF(C126="","",ROW()-2)</f>
        <v/>
      </c>
      <c r="B126" s="879" t="n"/>
      <c r="C126" s="863" t="n"/>
      <c r="D126" s="227">
        <f>IF(C126="TOH","Type 1",IF(C126="POH","Type 2",IF(OR(C126="LTO",C126="TOH-LC",C126="TOH - LC"),"Type 3",IF(C126="Flourish","Type 4","Type 1"))))</f>
        <v/>
      </c>
      <c r="E126" s="853" t="n"/>
      <c r="F126" s="864" t="n"/>
      <c r="G126" s="865" t="n"/>
      <c r="H126" s="866" t="n"/>
      <c r="I126" s="867" t="n"/>
      <c r="J126" s="868" t="n"/>
      <c r="K126" s="50">
        <f>SUM(H126:J126)</f>
        <v/>
      </c>
      <c r="L126" s="880" t="n"/>
      <c r="M126" s="880" t="n"/>
      <c r="N126" s="882" t="n"/>
      <c r="O126" s="883" t="n"/>
      <c r="P126" s="50">
        <f>N126+O126+L126</f>
        <v/>
      </c>
      <c r="Q126" s="884" t="n"/>
      <c r="R126" s="877" t="n"/>
      <c r="S126" s="878" t="n"/>
      <c r="T126" s="884" t="n"/>
      <c r="U126" s="851" t="n"/>
      <c r="V126" s="877" t="n"/>
      <c r="W126" s="878" t="n"/>
      <c r="X126" s="852" t="n"/>
      <c r="Y126" s="852" t="n"/>
      <c r="Z126" s="852" t="n"/>
      <c r="AA126" s="852" t="n"/>
    </row>
    <row r="127" outlineLevel="1" ht="15" customHeight="1">
      <c r="A127" s="39">
        <f>IF(C127="","",ROW()-2)</f>
        <v/>
      </c>
      <c r="B127" s="879" t="n"/>
      <c r="C127" s="863" t="n"/>
      <c r="D127" s="227">
        <f>IF(C127="TOH","Type 1",IF(C127="POH","Type 2",IF(OR(C127="LTO",C127="TOH-LC",C127="TOH - LC"),"Type 3",IF(C127="Flourish","Type 4","Type 1"))))</f>
        <v/>
      </c>
      <c r="E127" s="853" t="n"/>
      <c r="F127" s="864" t="n"/>
      <c r="G127" s="865" t="n"/>
      <c r="H127" s="866" t="n"/>
      <c r="I127" s="867" t="n"/>
      <c r="J127" s="868" t="n"/>
      <c r="K127" s="50">
        <f>SUM(H127:J127)</f>
        <v/>
      </c>
      <c r="L127" s="880" t="n"/>
      <c r="M127" s="880" t="n"/>
      <c r="N127" s="882" t="n"/>
      <c r="O127" s="883" t="n"/>
      <c r="P127" s="50">
        <f>N127+O127+L127</f>
        <v/>
      </c>
      <c r="Q127" s="884" t="n"/>
      <c r="R127" s="877" t="n"/>
      <c r="S127" s="878" t="n"/>
      <c r="T127" s="884" t="n"/>
      <c r="U127" s="851" t="n"/>
      <c r="V127" s="877" t="n"/>
      <c r="W127" s="878" t="n"/>
      <c r="X127" s="852" t="n"/>
      <c r="Y127" s="852" t="n"/>
      <c r="Z127" s="852" t="n"/>
      <c r="AA127" s="852" t="n"/>
    </row>
    <row r="128" outlineLevel="1" ht="15" customHeight="1">
      <c r="A128" s="39">
        <f>IF(C128="","",ROW()-2)</f>
        <v/>
      </c>
      <c r="B128" s="879" t="n"/>
      <c r="C128" s="863" t="n"/>
      <c r="D128" s="227">
        <f>IF(C128="TOH","Type 1",IF(C128="POH","Type 2",IF(OR(C128="LTO",C128="TOH-LC",C128="TOH - LC"),"Type 3",IF(C128="Flourish","Type 4","Type 1"))))</f>
        <v/>
      </c>
      <c r="E128" s="853" t="n"/>
      <c r="F128" s="864" t="n"/>
      <c r="G128" s="865" t="n"/>
      <c r="H128" s="866" t="n"/>
      <c r="I128" s="868" t="n"/>
      <c r="J128" s="868" t="n"/>
      <c r="K128" s="50">
        <f>SUM(H128:J128)</f>
        <v/>
      </c>
      <c r="L128" s="880" t="n"/>
      <c r="M128" s="880" t="n"/>
      <c r="N128" s="882" t="n"/>
      <c r="O128" s="883" t="n"/>
      <c r="P128" s="50">
        <f>N128+O128+L128</f>
        <v/>
      </c>
      <c r="Q128" s="884" t="n"/>
      <c r="R128" s="877" t="n"/>
      <c r="S128" s="878" t="n"/>
      <c r="T128" s="884" t="n"/>
      <c r="U128" s="851" t="n"/>
      <c r="V128" s="877" t="n"/>
      <c r="W128" s="878" t="n"/>
      <c r="X128" s="852" t="n"/>
      <c r="Y128" s="852" t="n"/>
      <c r="Z128" s="852" t="n"/>
      <c r="AA128" s="852" t="n"/>
    </row>
    <row r="129" outlineLevel="1" ht="15" customHeight="1">
      <c r="A129" s="39">
        <f>IF(C129="","",ROW()-2)</f>
        <v/>
      </c>
      <c r="B129" s="879" t="n"/>
      <c r="C129" s="863" t="n"/>
      <c r="D129" s="227">
        <f>IF(C129="TOH","Type 1",IF(C129="POH","Type 2",IF(OR(C129="LTO",C129="TOH-LC",C129="TOH - LC"),"Type 3",IF(C129="Flourish","Type 4","Type 1"))))</f>
        <v/>
      </c>
      <c r="E129" s="853" t="n"/>
      <c r="F129" s="864" t="n"/>
      <c r="G129" s="865" t="n"/>
      <c r="H129" s="866" t="n"/>
      <c r="I129" s="868" t="n"/>
      <c r="J129" s="868" t="n"/>
      <c r="K129" s="50">
        <f>SUM(H129:J129)</f>
        <v/>
      </c>
      <c r="L129" s="880" t="n"/>
      <c r="M129" s="880" t="n"/>
      <c r="N129" s="882" t="n"/>
      <c r="O129" s="883" t="n"/>
      <c r="P129" s="50">
        <f>N129+O129+L129</f>
        <v/>
      </c>
      <c r="Q129" s="884" t="n"/>
      <c r="R129" s="877" t="n"/>
      <c r="S129" s="878" t="n"/>
      <c r="T129" s="884" t="n"/>
      <c r="U129" s="851" t="n"/>
      <c r="V129" s="877" t="n"/>
      <c r="W129" s="878" t="n"/>
      <c r="X129" s="852" t="n"/>
      <c r="Y129" s="852" t="n"/>
      <c r="Z129" s="852" t="n"/>
      <c r="AA129" s="852" t="n"/>
    </row>
    <row r="130" outlineLevel="1" ht="15" customHeight="1">
      <c r="A130" s="39">
        <f>IF(C130="","",ROW()-2)</f>
        <v/>
      </c>
      <c r="B130" s="879" t="n"/>
      <c r="C130" s="863" t="n"/>
      <c r="D130" s="227">
        <f>IF(C130="TOH","Type 1",IF(C130="POH","Type 2",IF(OR(C130="LTO",C130="TOH-LC",C130="TOH - LC"),"Type 3",IF(C130="Flourish","Type 4","Type 1"))))</f>
        <v/>
      </c>
      <c r="E130" s="853" t="n"/>
      <c r="F130" s="864" t="n"/>
      <c r="G130" s="865" t="n"/>
      <c r="H130" s="866" t="n"/>
      <c r="I130" s="868" t="n"/>
      <c r="J130" s="868" t="n"/>
      <c r="K130" s="50">
        <f>SUM(H130:J130)</f>
        <v/>
      </c>
      <c r="L130" s="880" t="n"/>
      <c r="M130" s="880" t="n"/>
      <c r="N130" s="882" t="n"/>
      <c r="O130" s="883" t="n"/>
      <c r="P130" s="50">
        <f>N130+O130+L130</f>
        <v/>
      </c>
      <c r="Q130" s="884" t="n"/>
      <c r="R130" s="877" t="n"/>
      <c r="S130" s="878" t="n"/>
      <c r="T130" s="884" t="n"/>
      <c r="U130" s="851" t="n"/>
      <c r="V130" s="877" t="n"/>
      <c r="W130" s="878" t="n"/>
      <c r="X130" s="852" t="n"/>
      <c r="Y130" s="852" t="n"/>
      <c r="Z130" s="852" t="n"/>
      <c r="AA130" s="852" t="n"/>
    </row>
    <row r="131" outlineLevel="1" ht="15" customHeight="1">
      <c r="A131" s="39">
        <f>IF(C131="","",ROW()-2)</f>
        <v/>
      </c>
      <c r="B131" s="879" t="n"/>
      <c r="C131" s="863" t="n"/>
      <c r="D131" s="227">
        <f>IF(C131="TOH","Type 1",IF(C131="POH","Type 2",IF(OR(C131="LTO",C131="TOH-LC",C131="TOH - LC"),"Type 3",IF(C131="Flourish","Type 4","Type 1"))))</f>
        <v/>
      </c>
      <c r="E131" s="853" t="n"/>
      <c r="F131" s="864" t="n"/>
      <c r="G131" s="865" t="n"/>
      <c r="H131" s="866" t="n"/>
      <c r="I131" s="868" t="n"/>
      <c r="J131" s="868" t="n"/>
      <c r="K131" s="50">
        <f>SUM(H131:J131)</f>
        <v/>
      </c>
      <c r="L131" s="880" t="n"/>
      <c r="M131" s="880" t="n"/>
      <c r="N131" s="882" t="n"/>
      <c r="O131" s="883" t="n"/>
      <c r="P131" s="50">
        <f>N131+O131+L131</f>
        <v/>
      </c>
      <c r="Q131" s="884" t="n"/>
      <c r="R131" s="877" t="n"/>
      <c r="S131" s="878" t="n"/>
      <c r="T131" s="884" t="n"/>
      <c r="U131" s="851" t="n"/>
      <c r="V131" s="877" t="n"/>
      <c r="W131" s="878" t="n"/>
      <c r="X131" s="852" t="n"/>
      <c r="Y131" s="852" t="n"/>
      <c r="Z131" s="852" t="n"/>
      <c r="AA131" s="852" t="n"/>
    </row>
    <row r="132" outlineLevel="1" ht="15" customHeight="1">
      <c r="A132" s="39">
        <f>IF(C132="","",ROW()-2)</f>
        <v/>
      </c>
      <c r="B132" s="879" t="n"/>
      <c r="C132" s="863" t="n"/>
      <c r="D132" s="227">
        <f>IF(C132="TOH","Type 1",IF(C132="POH","Type 2",IF(OR(C132="LTO",C132="TOH-LC",C132="TOH - LC"),"Type 3",IF(C132="Flourish","Type 4","Type 1"))))</f>
        <v/>
      </c>
      <c r="E132" s="853" t="n"/>
      <c r="F132" s="864" t="n"/>
      <c r="G132" s="865" t="n"/>
      <c r="H132" s="866" t="n"/>
      <c r="I132" s="868" t="n"/>
      <c r="J132" s="868" t="n"/>
      <c r="K132" s="50">
        <f>SUM(H132:J132)</f>
        <v/>
      </c>
      <c r="L132" s="880" t="n"/>
      <c r="M132" s="880" t="n"/>
      <c r="N132" s="882" t="n"/>
      <c r="O132" s="883" t="n"/>
      <c r="P132" s="50">
        <f>N132+O132+L132</f>
        <v/>
      </c>
      <c r="Q132" s="884" t="n"/>
      <c r="R132" s="877" t="n"/>
      <c r="S132" s="878" t="n"/>
      <c r="T132" s="884" t="n"/>
      <c r="U132" s="851" t="n"/>
      <c r="V132" s="877" t="n"/>
      <c r="W132" s="878" t="n"/>
      <c r="X132" s="852" t="n"/>
      <c r="Y132" s="852" t="n"/>
      <c r="Z132" s="852" t="n"/>
      <c r="AA132" s="852" t="n"/>
    </row>
    <row r="133" outlineLevel="1" ht="15" customHeight="1">
      <c r="A133" s="39">
        <f>IF(C133="","",ROW()-2)</f>
        <v/>
      </c>
      <c r="B133" s="879" t="n"/>
      <c r="C133" s="863" t="n"/>
      <c r="D133" s="227">
        <f>IF(C133="TOH","Type 1",IF(C133="POH","Type 2",IF(OR(C133="LTO",C133="TOH-LC",C133="TOH - LC"),"Type 3",IF(C133="Flourish","Type 4","Type 1"))))</f>
        <v/>
      </c>
      <c r="E133" s="853" t="n"/>
      <c r="F133" s="864" t="n"/>
      <c r="G133" s="865" t="n"/>
      <c r="H133" s="866" t="n"/>
      <c r="I133" s="868" t="n"/>
      <c r="J133" s="868" t="n"/>
      <c r="K133" s="50">
        <f>SUM(H133:J133)</f>
        <v/>
      </c>
      <c r="L133" s="880" t="n"/>
      <c r="M133" s="880" t="n"/>
      <c r="N133" s="882" t="n"/>
      <c r="O133" s="883" t="n"/>
      <c r="P133" s="50">
        <f>N133+O133+L133</f>
        <v/>
      </c>
      <c r="Q133" s="884" t="n"/>
      <c r="R133" s="877" t="n"/>
      <c r="S133" s="878" t="n"/>
      <c r="T133" s="884" t="n"/>
      <c r="U133" s="851" t="n"/>
      <c r="V133" s="877" t="n"/>
      <c r="W133" s="878" t="n"/>
      <c r="X133" s="852" t="n"/>
      <c r="Y133" s="852" t="n"/>
      <c r="Z133" s="852" t="n"/>
      <c r="AA133" s="852" t="n"/>
    </row>
    <row r="134" outlineLevel="1" ht="15" customHeight="1">
      <c r="A134" s="39">
        <f>IF(C134="","",ROW()-2)</f>
        <v/>
      </c>
      <c r="B134" s="879" t="n"/>
      <c r="C134" s="863" t="n"/>
      <c r="D134" s="227">
        <f>IF(C134="TOH","Type 1",IF(C134="POH","Type 2",IF(OR(C134="LTO",C134="TOH-LC",C134="TOH - LC"),"Type 3",IF(C134="Flourish","Type 4","Type 1"))))</f>
        <v/>
      </c>
      <c r="E134" s="853" t="n"/>
      <c r="F134" s="864" t="n"/>
      <c r="G134" s="865" t="n"/>
      <c r="H134" s="866" t="n"/>
      <c r="I134" s="868" t="n"/>
      <c r="J134" s="868" t="n"/>
      <c r="K134" s="50">
        <f>SUM(H134:J134)</f>
        <v/>
      </c>
      <c r="L134" s="880" t="n"/>
      <c r="M134" s="880" t="n"/>
      <c r="N134" s="882" t="n"/>
      <c r="O134" s="883" t="n"/>
      <c r="P134" s="50">
        <f>N134+O134+L134</f>
        <v/>
      </c>
      <c r="Q134" s="884" t="n"/>
      <c r="R134" s="877" t="n"/>
      <c r="S134" s="878" t="n"/>
      <c r="T134" s="884" t="n"/>
      <c r="U134" s="851" t="n"/>
      <c r="V134" s="877" t="n"/>
      <c r="W134" s="878" t="n"/>
      <c r="X134" s="852" t="n"/>
      <c r="Y134" s="852" t="n"/>
      <c r="Z134" s="852" t="n"/>
      <c r="AA134" s="852" t="n"/>
    </row>
    <row r="135" outlineLevel="1" ht="15" customHeight="1">
      <c r="A135" s="39">
        <f>IF(C135="","",ROW()-2)</f>
        <v/>
      </c>
      <c r="B135" s="879" t="n"/>
      <c r="C135" s="863" t="n"/>
      <c r="D135" s="227">
        <f>IF(C135="TOH","Type 1",IF(C135="POH","Type 2",IF(OR(C135="LTO",C135="TOH-LC",C135="TOH - LC"),"Type 3",IF(C135="Flourish","Type 4","Type 1"))))</f>
        <v/>
      </c>
      <c r="E135" s="853" t="n"/>
      <c r="F135" s="864" t="n"/>
      <c r="G135" s="865" t="n"/>
      <c r="H135" s="866" t="n"/>
      <c r="I135" s="868" t="n"/>
      <c r="J135" s="868" t="n"/>
      <c r="K135" s="50">
        <f>SUM(H135:J135)</f>
        <v/>
      </c>
      <c r="L135" s="880" t="n"/>
      <c r="M135" s="880" t="n"/>
      <c r="N135" s="882" t="n"/>
      <c r="O135" s="883" t="n"/>
      <c r="P135" s="50">
        <f>N135+O135+L135</f>
        <v/>
      </c>
      <c r="Q135" s="884" t="n"/>
      <c r="R135" s="877" t="n"/>
      <c r="S135" s="878" t="n"/>
      <c r="T135" s="884" t="n"/>
      <c r="U135" s="851" t="n"/>
      <c r="V135" s="877" t="n"/>
      <c r="W135" s="878" t="n"/>
      <c r="X135" s="852" t="n"/>
      <c r="Y135" s="852" t="n"/>
      <c r="Z135" s="852" t="n"/>
      <c r="AA135" s="852" t="n"/>
    </row>
    <row r="136" outlineLevel="1" ht="15" customHeight="1">
      <c r="A136" s="39">
        <f>IF(C136="","",ROW()-2)</f>
        <v/>
      </c>
      <c r="B136" s="879" t="n"/>
      <c r="C136" s="863" t="n"/>
      <c r="D136" s="227">
        <f>IF(C136="TOH","Type 1",IF(C136="POH","Type 2",IF(OR(C136="LTO",C136="TOH-LC",C136="TOH - LC"),"Type 3",IF(C136="Flourish","Type 4","Type 1"))))</f>
        <v/>
      </c>
      <c r="E136" s="853" t="n"/>
      <c r="F136" s="864" t="n"/>
      <c r="G136" s="865" t="n"/>
      <c r="H136" s="866" t="n"/>
      <c r="I136" s="868" t="n"/>
      <c r="J136" s="868" t="n"/>
      <c r="K136" s="50">
        <f>SUM(H136:J136)</f>
        <v/>
      </c>
      <c r="L136" s="880" t="n"/>
      <c r="M136" s="880" t="n"/>
      <c r="N136" s="882" t="n"/>
      <c r="O136" s="883" t="n"/>
      <c r="P136" s="50">
        <f>N136+O136+L136</f>
        <v/>
      </c>
      <c r="Q136" s="884" t="n"/>
      <c r="R136" s="877" t="n"/>
      <c r="S136" s="878" t="n"/>
      <c r="T136" s="884" t="n"/>
      <c r="U136" s="851" t="n"/>
      <c r="V136" s="877" t="n"/>
      <c r="W136" s="878" t="n"/>
      <c r="X136" s="852" t="n"/>
      <c r="Y136" s="852" t="n"/>
      <c r="Z136" s="852" t="n"/>
      <c r="AA136" s="852" t="n"/>
    </row>
    <row r="137" outlineLevel="1" ht="15" customHeight="1">
      <c r="A137" s="39">
        <f>IF(C137="","",ROW()-2)</f>
        <v/>
      </c>
      <c r="B137" s="879" t="n"/>
      <c r="C137" s="863" t="n"/>
      <c r="D137" s="227">
        <f>IF(C137="TOH","Type 1",IF(C137="POH","Type 2",IF(OR(C137="LTO",C137="TOH-LC",C137="TOH - LC"),"Type 3",IF(C137="Flourish","Type 4","Type 1"))))</f>
        <v/>
      </c>
      <c r="E137" s="853" t="n"/>
      <c r="F137" s="864" t="n"/>
      <c r="G137" s="865" t="n"/>
      <c r="H137" s="866" t="n"/>
      <c r="I137" s="868" t="n"/>
      <c r="J137" s="868" t="n"/>
      <c r="K137" s="50">
        <f>SUM(H137:J137)</f>
        <v/>
      </c>
      <c r="L137" s="880" t="n"/>
      <c r="M137" s="880" t="n"/>
      <c r="N137" s="882" t="n"/>
      <c r="O137" s="883" t="n"/>
      <c r="P137" s="50">
        <f>N137+O137+L137</f>
        <v/>
      </c>
      <c r="Q137" s="884" t="n"/>
      <c r="R137" s="877" t="n"/>
      <c r="S137" s="878" t="n"/>
      <c r="T137" s="884" t="n"/>
      <c r="U137" s="851" t="n"/>
      <c r="V137" s="877" t="n"/>
      <c r="W137" s="878" t="n"/>
      <c r="X137" s="852" t="n"/>
      <c r="Y137" s="852" t="n"/>
      <c r="Z137" s="852" t="n"/>
      <c r="AA137" s="852" t="n"/>
    </row>
    <row r="138" outlineLevel="1" ht="15" customHeight="1">
      <c r="A138" s="39">
        <f>IF(C138="","",ROW()-2)</f>
        <v/>
      </c>
      <c r="B138" s="879" t="n"/>
      <c r="C138" s="863" t="n"/>
      <c r="D138" s="227">
        <f>IF(C138="TOH","Type 1",IF(C138="POH","Type 2",IF(OR(C138="LTO",C138="TOH-LC",C138="TOH - LC"),"Type 3",IF(C138="Flourish","Type 4","Type 1"))))</f>
        <v/>
      </c>
      <c r="E138" s="853" t="n"/>
      <c r="F138" s="864" t="n"/>
      <c r="G138" s="865" t="n"/>
      <c r="H138" s="866" t="n"/>
      <c r="I138" s="868" t="n"/>
      <c r="J138" s="868" t="n"/>
      <c r="K138" s="50">
        <f>SUM(H138:J138)</f>
        <v/>
      </c>
      <c r="L138" s="880" t="n"/>
      <c r="M138" s="880" t="n"/>
      <c r="N138" s="882" t="n"/>
      <c r="O138" s="883" t="n"/>
      <c r="P138" s="50">
        <f>N138+O138+L138</f>
        <v/>
      </c>
      <c r="Q138" s="884" t="n"/>
      <c r="R138" s="877" t="n"/>
      <c r="S138" s="878" t="n"/>
      <c r="T138" s="884" t="n"/>
      <c r="U138" s="851" t="n"/>
      <c r="V138" s="877" t="n"/>
      <c r="W138" s="878" t="n"/>
      <c r="X138" s="852" t="n"/>
      <c r="Y138" s="852" t="n"/>
      <c r="Z138" s="852" t="n"/>
      <c r="AA138" s="852" t="n"/>
    </row>
    <row r="139" outlineLevel="1" ht="15" customHeight="1">
      <c r="A139" s="39">
        <f>IF(C139="","",ROW()-2)</f>
        <v/>
      </c>
      <c r="B139" s="879" t="n"/>
      <c r="C139" s="863" t="n"/>
      <c r="D139" s="227">
        <f>IF(C139="TOH","Type 1",IF(C139="POH","Type 2",IF(OR(C139="LTO",C139="TOH-LC",C139="TOH - LC"),"Type 3",IF(C139="Flourish","Type 4","Type 1"))))</f>
        <v/>
      </c>
      <c r="E139" s="853" t="n"/>
      <c r="F139" s="864" t="n"/>
      <c r="G139" s="865" t="n"/>
      <c r="H139" s="866" t="n"/>
      <c r="I139" s="868" t="n"/>
      <c r="J139" s="868" t="n"/>
      <c r="K139" s="50">
        <f>SUM(H139:J139)</f>
        <v/>
      </c>
      <c r="L139" s="880" t="n"/>
      <c r="M139" s="880" t="n"/>
      <c r="N139" s="882" t="n"/>
      <c r="O139" s="883" t="n"/>
      <c r="P139" s="50">
        <f>N139+O139+L139</f>
        <v/>
      </c>
      <c r="Q139" s="884" t="n"/>
      <c r="R139" s="877" t="n"/>
      <c r="S139" s="878" t="n"/>
      <c r="T139" s="884" t="n"/>
      <c r="U139" s="851" t="n"/>
      <c r="V139" s="877" t="n"/>
      <c r="W139" s="878" t="n"/>
      <c r="X139" s="852" t="n"/>
      <c r="Y139" s="852" t="n"/>
      <c r="Z139" s="852" t="n"/>
      <c r="AA139" s="852" t="n"/>
    </row>
    <row r="140" outlineLevel="1" ht="15" customHeight="1">
      <c r="A140" s="39">
        <f>IF(C140="","",ROW()-2)</f>
        <v/>
      </c>
      <c r="B140" s="879" t="n"/>
      <c r="C140" s="863" t="n"/>
      <c r="D140" s="227">
        <f>IF(C140="TOH","Type 1",IF(C140="POH","Type 2",IF(OR(C140="LTO",C140="TOH-LC",C140="TOH - LC"),"Type 3",IF(C140="Flourish","Type 4","Type 1"))))</f>
        <v/>
      </c>
      <c r="E140" s="853" t="n"/>
      <c r="F140" s="864" t="n"/>
      <c r="G140" s="865" t="n"/>
      <c r="H140" s="866" t="n"/>
      <c r="I140" s="868" t="n"/>
      <c r="J140" s="868" t="n"/>
      <c r="K140" s="50">
        <f>SUM(H140:J140)</f>
        <v/>
      </c>
      <c r="L140" s="880" t="n"/>
      <c r="M140" s="880" t="n"/>
      <c r="N140" s="882" t="n"/>
      <c r="O140" s="883" t="n"/>
      <c r="P140" s="50">
        <f>N140+O140+L140</f>
        <v/>
      </c>
      <c r="Q140" s="884" t="n"/>
      <c r="R140" s="877" t="n"/>
      <c r="S140" s="878" t="n"/>
      <c r="T140" s="884" t="n"/>
      <c r="U140" s="851" t="n"/>
      <c r="V140" s="877" t="n"/>
      <c r="W140" s="878" t="n"/>
      <c r="X140" s="852" t="n"/>
      <c r="Y140" s="852" t="n"/>
      <c r="Z140" s="852" t="n"/>
      <c r="AA140" s="852" t="n"/>
    </row>
    <row r="141" outlineLevel="1" ht="15" customHeight="1">
      <c r="A141" s="39">
        <f>IF(C141="","",ROW()-2)</f>
        <v/>
      </c>
      <c r="B141" s="879" t="n"/>
      <c r="C141" s="863" t="n"/>
      <c r="D141" s="227">
        <f>IF(C141="TOH","Type 1",IF(C141="POH","Type 2",IF(OR(C141="LTO",C141="TOH-LC",C141="TOH - LC"),"Type 3",IF(C141="Flourish","Type 4","Type 1"))))</f>
        <v/>
      </c>
      <c r="E141" s="853" t="n"/>
      <c r="F141" s="864" t="n"/>
      <c r="G141" s="865" t="n"/>
      <c r="H141" s="866" t="n"/>
      <c r="I141" s="868" t="n"/>
      <c r="J141" s="868" t="n"/>
      <c r="K141" s="50">
        <f>SUM(H141:J141)</f>
        <v/>
      </c>
      <c r="L141" s="880" t="n"/>
      <c r="M141" s="880" t="n"/>
      <c r="N141" s="882" t="n"/>
      <c r="O141" s="883" t="n"/>
      <c r="P141" s="50">
        <f>N141+O141+L141</f>
        <v/>
      </c>
      <c r="Q141" s="884" t="n"/>
      <c r="R141" s="877" t="n"/>
      <c r="S141" s="878" t="n"/>
      <c r="T141" s="884" t="n"/>
      <c r="U141" s="851" t="n"/>
      <c r="V141" s="877" t="n"/>
      <c r="W141" s="878" t="n"/>
      <c r="X141" s="852" t="n"/>
      <c r="Y141" s="852" t="n"/>
      <c r="Z141" s="852" t="n"/>
      <c r="AA141" s="852" t="n"/>
    </row>
    <row r="142" outlineLevel="1" ht="15" customHeight="1">
      <c r="A142" s="39">
        <f>IF(C142="","",ROW()-2)</f>
        <v/>
      </c>
      <c r="B142" s="879" t="n"/>
      <c r="C142" s="863" t="n"/>
      <c r="D142" s="227">
        <f>IF(C142="TOH","Type 1",IF(C142="POH","Type 2",IF(OR(C142="LTO",C142="TOH-LC",C142="TOH - LC"),"Type 3",IF(C142="Flourish","Type 4","Type 1"))))</f>
        <v/>
      </c>
      <c r="E142" s="853" t="n"/>
      <c r="F142" s="864" t="n"/>
      <c r="G142" s="865" t="n"/>
      <c r="H142" s="866" t="n"/>
      <c r="I142" s="868" t="n"/>
      <c r="J142" s="868" t="n"/>
      <c r="K142" s="50">
        <f>SUM(H142:J142)</f>
        <v/>
      </c>
      <c r="L142" s="880" t="n"/>
      <c r="M142" s="880" t="n"/>
      <c r="N142" s="882" t="n"/>
      <c r="O142" s="883" t="n"/>
      <c r="P142" s="50">
        <f>N142+O142+L142</f>
        <v/>
      </c>
      <c r="Q142" s="884" t="n"/>
      <c r="R142" s="877" t="n"/>
      <c r="S142" s="878" t="n"/>
      <c r="T142" s="884" t="n"/>
      <c r="U142" s="851" t="n"/>
      <c r="V142" s="877" t="n"/>
      <c r="W142" s="878" t="n"/>
      <c r="X142" s="852" t="n"/>
      <c r="Y142" s="852" t="n"/>
      <c r="Z142" s="852" t="n"/>
      <c r="AA142" s="852" t="n"/>
    </row>
    <row r="143" outlineLevel="1" ht="15" customHeight="1">
      <c r="A143" s="39">
        <f>IF(C143="","",ROW()-2)</f>
        <v/>
      </c>
      <c r="B143" s="879" t="n"/>
      <c r="C143" s="863" t="n"/>
      <c r="D143" s="227">
        <f>IF(C143="TOH","Type 1",IF(C143="POH","Type 2",IF(OR(C143="LTO",C143="TOH-LC",C143="TOH - LC"),"Type 3",IF(C143="Flourish","Type 4","Type 1"))))</f>
        <v/>
      </c>
      <c r="E143" s="853" t="n"/>
      <c r="F143" s="864" t="n"/>
      <c r="G143" s="865" t="n"/>
      <c r="H143" s="866" t="n"/>
      <c r="I143" s="868" t="n"/>
      <c r="J143" s="868" t="n"/>
      <c r="K143" s="50">
        <f>SUM(H143:J143)</f>
        <v/>
      </c>
      <c r="L143" s="880" t="n"/>
      <c r="M143" s="880" t="n"/>
      <c r="N143" s="882" t="n"/>
      <c r="O143" s="883" t="n"/>
      <c r="P143" s="50">
        <f>N143+O143+L143</f>
        <v/>
      </c>
      <c r="Q143" s="884" t="n"/>
      <c r="R143" s="877" t="n"/>
      <c r="S143" s="878" t="n"/>
      <c r="T143" s="884" t="n"/>
      <c r="U143" s="851" t="n"/>
      <c r="V143" s="877" t="n"/>
      <c r="W143" s="878" t="n"/>
      <c r="X143" s="852" t="n"/>
      <c r="Y143" s="852" t="n"/>
      <c r="Z143" s="852" t="n"/>
      <c r="AA143" s="852" t="n"/>
    </row>
    <row r="144" outlineLevel="1" ht="15" customHeight="1">
      <c r="A144" s="39">
        <f>IF(C144="","",ROW()-2)</f>
        <v/>
      </c>
      <c r="B144" s="879" t="n"/>
      <c r="C144" s="863" t="n"/>
      <c r="D144" s="227">
        <f>IF(C144="TOH","Type 1",IF(C144="POH","Type 2",IF(OR(C144="LTO",C144="TOH-LC",C144="TOH - LC"),"Type 3",IF(C144="Flourish","Type 4","Type 1"))))</f>
        <v/>
      </c>
      <c r="E144" s="853" t="n"/>
      <c r="F144" s="864" t="n"/>
      <c r="G144" s="865" t="n"/>
      <c r="H144" s="866" t="n"/>
      <c r="I144" s="868" t="n"/>
      <c r="J144" s="868" t="n"/>
      <c r="K144" s="50">
        <f>SUM(H144:J144)</f>
        <v/>
      </c>
      <c r="L144" s="880" t="n"/>
      <c r="M144" s="880" t="n"/>
      <c r="N144" s="882" t="n"/>
      <c r="O144" s="883" t="n"/>
      <c r="P144" s="50">
        <f>N144+O144+L144</f>
        <v/>
      </c>
      <c r="Q144" s="884" t="n"/>
      <c r="R144" s="877" t="n"/>
      <c r="S144" s="878" t="n"/>
      <c r="T144" s="884" t="n"/>
      <c r="U144" s="851" t="n"/>
      <c r="V144" s="877" t="n"/>
      <c r="W144" s="878" t="n"/>
      <c r="X144" s="852" t="n"/>
      <c r="Y144" s="852" t="n"/>
      <c r="Z144" s="852" t="n"/>
      <c r="AA144" s="852" t="n"/>
    </row>
    <row r="145" outlineLevel="1" ht="15" customHeight="1">
      <c r="A145" s="39">
        <f>IF(C145="","",ROW()-2)</f>
        <v/>
      </c>
      <c r="B145" s="879" t="n"/>
      <c r="C145" s="863" t="n"/>
      <c r="D145" s="227">
        <f>IF(C145="TOH","Type 1",IF(C145="POH","Type 2",IF(OR(C145="LTO",C145="TOH-LC",C145="TOH - LC"),"Type 3",IF(C145="Flourish","Type 4","Type 1"))))</f>
        <v/>
      </c>
      <c r="E145" s="853" t="n"/>
      <c r="F145" s="864" t="n"/>
      <c r="G145" s="865" t="n"/>
      <c r="H145" s="866" t="n"/>
      <c r="I145" s="868" t="n"/>
      <c r="J145" s="868" t="n"/>
      <c r="K145" s="50">
        <f>SUM(H145:J145)</f>
        <v/>
      </c>
      <c r="L145" s="880" t="n"/>
      <c r="M145" s="880" t="n"/>
      <c r="N145" s="882" t="n"/>
      <c r="O145" s="883" t="n"/>
      <c r="P145" s="50">
        <f>N145+O145+L145</f>
        <v/>
      </c>
      <c r="Q145" s="884" t="n"/>
      <c r="R145" s="877" t="n"/>
      <c r="S145" s="878" t="n"/>
      <c r="T145" s="884" t="n"/>
      <c r="U145" s="851" t="n"/>
      <c r="V145" s="877" t="n"/>
      <c r="W145" s="878" t="n"/>
      <c r="X145" s="852" t="n"/>
      <c r="Y145" s="852" t="n"/>
      <c r="Z145" s="852" t="n"/>
      <c r="AA145" s="852" t="n"/>
    </row>
    <row r="146" outlineLevel="1" ht="15" customHeight="1">
      <c r="A146" s="39">
        <f>IF(C146="","",ROW()-2)</f>
        <v/>
      </c>
      <c r="B146" s="879" t="n"/>
      <c r="C146" s="863" t="n"/>
      <c r="D146" s="227">
        <f>IF(C146="TOH","Type 1",IF(C146="POH","Type 2",IF(OR(C146="LTO",C146="TOH-LC",C146="TOH - LC"),"Type 3",IF(C146="Flourish","Type 4","Type 1"))))</f>
        <v/>
      </c>
      <c r="E146" s="853" t="n"/>
      <c r="F146" s="864" t="n"/>
      <c r="G146" s="865" t="n"/>
      <c r="H146" s="866" t="n"/>
      <c r="I146" s="868" t="n"/>
      <c r="J146" s="868" t="n"/>
      <c r="K146" s="50">
        <f>SUM(H146:J146)</f>
        <v/>
      </c>
      <c r="L146" s="880" t="n"/>
      <c r="M146" s="880" t="n"/>
      <c r="N146" s="882" t="n"/>
      <c r="O146" s="883" t="n"/>
      <c r="P146" s="50">
        <f>N146+O146+L146</f>
        <v/>
      </c>
      <c r="Q146" s="884" t="n"/>
      <c r="R146" s="877" t="n"/>
      <c r="S146" s="878" t="n"/>
      <c r="T146" s="884" t="n"/>
      <c r="U146" s="851" t="n"/>
      <c r="V146" s="877" t="n"/>
      <c r="W146" s="878" t="n"/>
      <c r="X146" s="852" t="n"/>
      <c r="Y146" s="852" t="n"/>
      <c r="Z146" s="852" t="n"/>
      <c r="AA146" s="852" t="n"/>
    </row>
    <row r="147" outlineLevel="1" ht="15" customHeight="1">
      <c r="A147" s="39">
        <f>IF(C147="","",ROW()-2)</f>
        <v/>
      </c>
      <c r="B147" s="879" t="n"/>
      <c r="C147" s="863" t="n"/>
      <c r="D147" s="227">
        <f>IF(C147="TOH","Type 1",IF(C147="POH","Type 2",IF(OR(C147="LTO",C147="TOH-LC",C147="TOH - LC"),"Type 3",IF(C147="Flourish","Type 4","Type 1"))))</f>
        <v/>
      </c>
      <c r="E147" s="853" t="n"/>
      <c r="F147" s="864" t="n"/>
      <c r="G147" s="865" t="n"/>
      <c r="H147" s="866" t="n"/>
      <c r="I147" s="868" t="n"/>
      <c r="J147" s="868" t="n"/>
      <c r="K147" s="50">
        <f>SUM(H147:J147)</f>
        <v/>
      </c>
      <c r="L147" s="880" t="n"/>
      <c r="M147" s="880" t="n"/>
      <c r="N147" s="882" t="n"/>
      <c r="O147" s="883" t="n"/>
      <c r="P147" s="50">
        <f>N147+O147+L147</f>
        <v/>
      </c>
      <c r="Q147" s="884" t="n"/>
      <c r="R147" s="877" t="n"/>
      <c r="S147" s="878" t="n"/>
      <c r="T147" s="884" t="n"/>
      <c r="U147" s="851" t="n"/>
      <c r="V147" s="877" t="n"/>
      <c r="W147" s="878" t="n"/>
      <c r="X147" s="852" t="n"/>
      <c r="Y147" s="852" t="n"/>
      <c r="Z147" s="852" t="n"/>
      <c r="AA147" s="852" t="n"/>
    </row>
    <row r="148" outlineLevel="1" ht="15" customHeight="1">
      <c r="A148" s="39">
        <f>IF(C148="","",ROW()-2)</f>
        <v/>
      </c>
      <c r="B148" s="879" t="n"/>
      <c r="C148" s="863" t="n"/>
      <c r="D148" s="227">
        <f>IF(C148="TOH","Type 1",IF(C148="POH","Type 2",IF(OR(C148="LTO",C148="TOH-LC",C148="TOH - LC"),"Type 3",IF(C148="Flourish","Type 4","Type 1"))))</f>
        <v/>
      </c>
      <c r="E148" s="853" t="n"/>
      <c r="F148" s="864" t="n"/>
      <c r="G148" s="865" t="n"/>
      <c r="H148" s="866" t="n"/>
      <c r="I148" s="868" t="n"/>
      <c r="J148" s="868" t="n"/>
      <c r="K148" s="50">
        <f>SUM(H148:J148)</f>
        <v/>
      </c>
      <c r="L148" s="880" t="n"/>
      <c r="M148" s="880" t="n"/>
      <c r="N148" s="882" t="n"/>
      <c r="O148" s="883" t="n"/>
      <c r="P148" s="50">
        <f>N148+O148+L148</f>
        <v/>
      </c>
      <c r="Q148" s="884" t="n"/>
      <c r="R148" s="877" t="n"/>
      <c r="S148" s="878" t="n"/>
      <c r="T148" s="884" t="n"/>
      <c r="U148" s="851" t="n"/>
      <c r="V148" s="877" t="n"/>
      <c r="W148" s="878" t="n"/>
      <c r="X148" s="852" t="n"/>
      <c r="Y148" s="852" t="n"/>
      <c r="Z148" s="852" t="n"/>
      <c r="AA148" s="852" t="n"/>
    </row>
    <row r="149" outlineLevel="1" ht="15" customHeight="1">
      <c r="A149" s="39">
        <f>IF(C149="","",ROW()-2)</f>
        <v/>
      </c>
      <c r="B149" s="879" t="n"/>
      <c r="C149" s="863" t="n"/>
      <c r="D149" s="227">
        <f>IF(C149="TOH","Type 1",IF(C149="POH","Type 2",IF(OR(C149="LTO",C149="TOH-LC",C149="TOH - LC"),"Type 3",IF(C149="Flourish","Type 4","Type 1"))))</f>
        <v/>
      </c>
      <c r="E149" s="853" t="n"/>
      <c r="F149" s="864" t="n"/>
      <c r="G149" s="865" t="n"/>
      <c r="H149" s="866" t="n"/>
      <c r="I149" s="868" t="n"/>
      <c r="J149" s="868" t="n"/>
      <c r="K149" s="50">
        <f>SUM(H149:J149)</f>
        <v/>
      </c>
      <c r="L149" s="880" t="n"/>
      <c r="M149" s="880" t="n"/>
      <c r="N149" s="882" t="n"/>
      <c r="O149" s="883" t="n"/>
      <c r="P149" s="50">
        <f>N149+O149+L149</f>
        <v/>
      </c>
      <c r="Q149" s="884" t="n"/>
      <c r="R149" s="877" t="n"/>
      <c r="S149" s="878" t="n"/>
      <c r="T149" s="884" t="n"/>
      <c r="U149" s="851" t="n"/>
      <c r="V149" s="877" t="n"/>
      <c r="W149" s="878" t="n"/>
      <c r="X149" s="852" t="n"/>
      <c r="Y149" s="852" t="n"/>
      <c r="Z149" s="852" t="n"/>
      <c r="AA149" s="852" t="n"/>
    </row>
    <row r="150" outlineLevel="1" ht="15.75" customHeight="1" thickBot="1">
      <c r="A150" s="39">
        <f>IF(C150="","",ROW()-2)</f>
        <v/>
      </c>
      <c r="B150" s="879" t="n"/>
      <c r="C150" s="863" t="n"/>
      <c r="D150" s="227">
        <f>IF(C150="TOH","Type 1",IF(C150="POH","Type 2",IF(OR(C150="LTO",C150="TOH-LC",C150="TOH - LC"),"Type 3",IF(C150="Flourish","Type 4","Type 1"))))</f>
        <v/>
      </c>
      <c r="E150" s="853" t="n"/>
      <c r="F150" s="864" t="n"/>
      <c r="G150" s="865" t="n"/>
      <c r="H150" s="866" t="n"/>
      <c r="I150" s="868" t="n"/>
      <c r="J150" s="868" t="n"/>
      <c r="K150" s="50">
        <f>SUM(H150:J150)</f>
        <v/>
      </c>
      <c r="L150" s="880" t="n"/>
      <c r="M150" s="880" t="n"/>
      <c r="N150" s="882" t="n"/>
      <c r="O150" s="883" t="n"/>
      <c r="P150" s="50">
        <f>N150+O150+L150</f>
        <v/>
      </c>
      <c r="Q150" s="884" t="n"/>
      <c r="R150" s="877" t="n"/>
      <c r="S150" s="878" t="n"/>
      <c r="T150" s="884" t="n"/>
      <c r="U150" s="851" t="n"/>
      <c r="V150" s="877" t="n"/>
      <c r="W150" s="878" t="n"/>
      <c r="X150" s="852" t="n"/>
      <c r="Y150" s="852" t="n"/>
      <c r="Z150" s="852" t="n"/>
      <c r="AA150" s="852" t="n"/>
    </row>
    <row r="151" ht="32.25" customHeight="1" thickBot="1">
      <c r="A151" s="885" t="n"/>
      <c r="B151" s="885" t="n"/>
      <c r="C151" s="885" t="n"/>
      <c r="D151" s="885" t="n"/>
      <c r="E151" s="885" t="n"/>
      <c r="F151" s="885" t="n"/>
      <c r="G151" s="885" t="n"/>
      <c r="H151" s="885" t="n"/>
      <c r="I151" s="886" t="n"/>
      <c r="J151" s="886" t="n"/>
      <c r="K151" s="886" t="n"/>
      <c r="L151" s="887" t="n"/>
      <c r="M151" s="80" t="n"/>
      <c r="N151" s="80">
        <f>SUM(N3:N150)</f>
        <v/>
      </c>
      <c r="O151" s="81">
        <f>SUM(O3:O150)</f>
        <v/>
      </c>
      <c r="P151" s="78">
        <f>SUM(P3:P150)</f>
        <v/>
      </c>
      <c r="Q151" s="76">
        <f>SUM(Q3:Q150)</f>
        <v/>
      </c>
      <c r="R151" s="80">
        <f>SUM(R3:R150)</f>
        <v/>
      </c>
      <c r="S151" s="77">
        <f>SUM(S3:S150)</f>
        <v/>
      </c>
      <c r="T151" s="76">
        <f>SUM(T3:T150)</f>
        <v/>
      </c>
      <c r="U151" s="80" t="inlineStr">
        <is>
          <t>N/A</t>
        </is>
      </c>
      <c r="V151" s="80" t="inlineStr">
        <is>
          <t>N/A</t>
        </is>
      </c>
      <c r="W151" s="77">
        <f>SUM(W3:W150)</f>
        <v/>
      </c>
      <c r="X151" s="852" t="n"/>
      <c r="Y151" s="852" t="n"/>
      <c r="Z151" s="852" t="n"/>
      <c r="AA151" s="852" t="n"/>
    </row>
    <row r="152" ht="15" customFormat="1" customHeight="1" s="3">
      <c r="A152">
        <f>IF(C152="","",ROW()-2)</f>
        <v/>
      </c>
      <c r="B152" s="852" t="n"/>
      <c r="C152" s="852" t="n"/>
      <c r="D152">
        <f>IF(C152="TOH","Type 1",IF(C152="POH","Type 2",IF(OR(C152="LTO",C152="TOH-LC",C152="TOH - LC"),"Type 3",IF(C152="Flourish","Type 4","Type 1"))))</f>
        <v/>
      </c>
      <c r="E152" s="852" t="n"/>
      <c r="F152" s="852" t="n"/>
      <c r="G152" s="852" t="n"/>
      <c r="H152" s="888" t="n"/>
      <c r="I152" s="889" t="n"/>
      <c r="J152" s="888" t="n"/>
      <c r="K152">
        <f>SUM(H152:J152)</f>
        <v/>
      </c>
      <c r="L152" s="852" t="n"/>
      <c r="M152" s="852" t="n"/>
      <c r="N152" s="852" t="n"/>
      <c r="O152" s="852" t="n"/>
      <c r="P152" s="852" t="n"/>
      <c r="Q152" s="852" t="n"/>
      <c r="R152" s="852" t="n"/>
      <c r="S152" s="852" t="n"/>
      <c r="T152" s="852" t="n"/>
      <c r="U152" s="852" t="n"/>
      <c r="V152" s="852" t="n"/>
      <c r="W152" s="852" t="n"/>
      <c r="X152" s="852" t="n"/>
      <c r="Y152" s="852" t="n"/>
      <c r="Z152" s="852" t="n"/>
      <c r="AA152" s="852" t="n"/>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c r="CL152" s="59" t="n"/>
      <c r="CM152" s="59" t="n"/>
      <c r="CN152" s="59" t="n"/>
    </row>
    <row r="153" ht="15" customHeight="1">
      <c r="A153">
        <f>IF(C153="","",ROW()-2)</f>
        <v/>
      </c>
      <c r="B153" s="852" t="n"/>
      <c r="C153" s="852" t="n"/>
      <c r="D153">
        <f>IF(C153="TOH","Type 1",IF(C153="POH","Type 2",IF(OR(C153="LTO",C153="TOH-LC",C153="TOH - LC"),"Type 3",IF(C153="Flourish","Type 4","Type 1"))))</f>
        <v/>
      </c>
      <c r="E153" s="852" t="n"/>
      <c r="F153" s="852" t="n"/>
      <c r="G153" s="852" t="n"/>
      <c r="H153" s="888" t="n"/>
      <c r="I153" s="890">
        <f>I151*12</f>
        <v/>
      </c>
      <c r="J153" s="891" t="n"/>
      <c r="K153">
        <f>SUM(H153:J153)</f>
        <v/>
      </c>
      <c r="L153" s="852" t="n"/>
      <c r="M153" s="852" t="n"/>
      <c r="N153" s="852" t="n"/>
      <c r="O153" s="852" t="n"/>
      <c r="P153" s="852" t="n"/>
      <c r="Q153" s="280">
        <f>Q151*12</f>
        <v/>
      </c>
      <c r="R153" s="317">
        <f>R151*12</f>
        <v/>
      </c>
      <c r="S153" s="852" t="n"/>
      <c r="T153" s="852" t="n"/>
      <c r="U153" s="852" t="n"/>
      <c r="V153" s="852" t="n"/>
      <c r="W153" s="852" t="n"/>
      <c r="X153" s="852" t="n"/>
      <c r="Y153" s="852" t="n"/>
      <c r="Z153" s="852" t="n"/>
      <c r="AA153" s="852" t="n"/>
    </row>
    <row r="154" ht="15" customFormat="1" customHeight="1" s="3">
      <c r="A154">
        <f>IF(C154="","",ROW()-2)</f>
        <v/>
      </c>
      <c r="B154" s="852" t="n"/>
      <c r="C154" s="852" t="n"/>
      <c r="D154">
        <f>IF(C154="TOH","Type 1",IF(C154="POH","Type 2",IF(OR(C154="LTO",C154="TOH-LC",C154="TOH - LC"),"Type 3",IF(C154="Flourish","Type 4","Type 1"))))</f>
        <v/>
      </c>
      <c r="E154" s="852" t="n"/>
      <c r="F154" s="852" t="n"/>
      <c r="G154" s="852" t="n"/>
      <c r="H154" s="888" t="n"/>
      <c r="I154" s="889" t="n"/>
      <c r="J154" s="888" t="n"/>
      <c r="K154">
        <f>SUM(H154:J154)</f>
        <v/>
      </c>
      <c r="L154" s="852" t="n"/>
      <c r="M154" s="852" t="n"/>
      <c r="N154" s="852" t="n"/>
      <c r="O154" s="852" t="n"/>
      <c r="P154" s="852" t="n"/>
      <c r="Q154" s="852" t="n"/>
      <c r="R154" s="852" t="n"/>
      <c r="S154" s="852" t="n"/>
      <c r="T154" s="852" t="n"/>
      <c r="U154" s="852" t="n"/>
      <c r="V154" s="852" t="n"/>
      <c r="W154" s="852" t="n"/>
      <c r="X154" s="852" t="n"/>
      <c r="Y154" s="852" t="n"/>
      <c r="Z154" s="852" t="n"/>
      <c r="AA154" s="852" t="n"/>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c r="CL154" s="59" t="n"/>
      <c r="CM154" s="59" t="n"/>
      <c r="CN154" s="59" t="n"/>
    </row>
    <row r="155" ht="15" customFormat="1" customHeight="1" s="3">
      <c r="A155">
        <f>IF(C155="","",ROW()-2)</f>
        <v/>
      </c>
      <c r="B155" s="852" t="n"/>
      <c r="C155" s="852" t="n"/>
      <c r="D155">
        <f>IF(C155="TOH","Type 1",IF(C155="POH","Type 2",IF(OR(C155="LTO",C155="TOH-LC",C155="TOH - LC"),"Type 3",IF(C155="Flourish","Type 4","Type 1"))))</f>
        <v/>
      </c>
      <c r="E155" s="852" t="n"/>
      <c r="F155" s="852" t="n"/>
      <c r="G155" s="852" t="n"/>
      <c r="H155" s="888" t="n"/>
      <c r="I155" s="889" t="n"/>
      <c r="J155" s="888" t="n"/>
      <c r="K155">
        <f>SUM(H155:J155)</f>
        <v/>
      </c>
      <c r="L155" s="852" t="n"/>
      <c r="M155" s="852" t="n"/>
      <c r="N155" s="852" t="n"/>
      <c r="O155" s="852" t="n"/>
      <c r="P155" s="852" t="n"/>
      <c r="Q155" s="852" t="n"/>
      <c r="R155" s="852" t="n"/>
      <c r="S155" s="852" t="n"/>
      <c r="T155" s="852" t="n"/>
      <c r="U155" s="852" t="n"/>
      <c r="V155" s="852" t="n"/>
      <c r="W155" s="852" t="n"/>
      <c r="X155" s="852" t="n"/>
      <c r="Y155" s="852" t="n"/>
      <c r="Z155" s="852" t="n"/>
      <c r="AA155" s="852" t="n"/>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c r="CL155" s="59" t="n"/>
      <c r="CM155" s="59" t="n"/>
      <c r="CN155" s="59" t="n"/>
    </row>
    <row r="156" ht="15" customFormat="1" customHeight="1" s="3">
      <c r="A156">
        <f>IF(C156="","",ROW()-2)</f>
        <v/>
      </c>
      <c r="B156" s="852" t="n"/>
      <c r="C156" s="852" t="n"/>
      <c r="D156">
        <f>IF(C156="TOH","Type 1",IF(C156="POH","Type 2",IF(OR(C156="LTO",C156="TOH-LC",C156="TOH - LC"),"Type 3",IF(C156="Flourish","Type 4","Type 1"))))</f>
        <v/>
      </c>
      <c r="E156" s="852" t="n"/>
      <c r="F156" s="852" t="n"/>
      <c r="G156" s="852" t="n"/>
      <c r="H156" s="888" t="n"/>
      <c r="I156" s="889" t="n"/>
      <c r="J156" s="888" t="n"/>
      <c r="K156">
        <f>SUM(H156:J156)</f>
        <v/>
      </c>
      <c r="L156" s="852" t="n"/>
      <c r="M156" s="852" t="n"/>
      <c r="N156" s="852" t="n"/>
      <c r="O156" s="852" t="n"/>
      <c r="P156" s="852" t="n"/>
      <c r="Q156" s="852" t="n"/>
      <c r="R156" s="852" t="n"/>
      <c r="S156" s="852" t="n"/>
      <c r="T156" s="852" t="n"/>
      <c r="U156" s="852" t="n"/>
      <c r="V156" s="852" t="n"/>
      <c r="W156" s="852" t="n"/>
      <c r="X156" s="852" t="n"/>
      <c r="Y156" s="852" t="n"/>
      <c r="Z156" s="852" t="n"/>
      <c r="AA156" s="852" t="n"/>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c r="CL156" s="59" t="n"/>
      <c r="CM156" s="59" t="n"/>
      <c r="CN156" s="59" t="n"/>
    </row>
    <row r="157" ht="15" customFormat="1" customHeight="1" s="3">
      <c r="A157">
        <f>IF(C157="","",ROW()-2)</f>
        <v/>
      </c>
      <c r="B157" s="852" t="n"/>
      <c r="C157" s="852" t="n"/>
      <c r="D157">
        <f>IF(C157="TOH","Type 1",IF(C157="POH","Type 2",IF(OR(C157="LTO",C157="TOH-LC",C157="TOH - LC"),"Type 3",IF(C157="Flourish","Type 4","Type 1"))))</f>
        <v/>
      </c>
      <c r="E157" s="852" t="n"/>
      <c r="F157" s="852" t="n"/>
      <c r="G157" s="852" t="n"/>
      <c r="H157" s="888" t="n"/>
      <c r="I157" s="889" t="n"/>
      <c r="J157" s="888" t="n"/>
      <c r="K157">
        <f>SUM(H157:J157)</f>
        <v/>
      </c>
      <c r="L157" s="852" t="n"/>
      <c r="M157" s="852" t="n"/>
      <c r="N157" s="852" t="n"/>
      <c r="O157" s="852" t="n"/>
      <c r="P157" s="852" t="n"/>
      <c r="Q157" s="852" t="n"/>
      <c r="R157" s="852" t="n"/>
      <c r="S157" s="852" t="n"/>
      <c r="T157" s="852" t="n"/>
      <c r="U157" s="852" t="n"/>
      <c r="V157" s="852" t="n"/>
      <c r="W157" s="852" t="n"/>
      <c r="X157" s="852" t="n"/>
      <c r="Y157" s="852" t="n"/>
      <c r="Z157" s="852" t="n"/>
      <c r="AA157" s="852" t="n"/>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c r="CL157" s="59" t="n"/>
      <c r="CM157" s="59" t="n"/>
      <c r="CN157" s="59" t="n"/>
    </row>
    <row r="158" ht="15" customFormat="1" customHeight="1" s="3">
      <c r="A158">
        <f>IF(C158="","",ROW()-2)</f>
        <v/>
      </c>
      <c r="B158" s="852" t="n"/>
      <c r="C158" s="852" t="n"/>
      <c r="D158">
        <f>IF(C158="TOH","Type 1",IF(C158="POH","Type 2",IF(OR(C158="LTO",C158="TOH-LC",C158="TOH - LC"),"Type 3",IF(C158="Flourish","Type 4","Type 1"))))</f>
        <v/>
      </c>
      <c r="E158" s="852" t="n"/>
      <c r="F158" s="852" t="n"/>
      <c r="G158" s="852" t="n"/>
      <c r="H158" s="888" t="n"/>
      <c r="I158" s="889" t="n"/>
      <c r="J158" s="888" t="n"/>
      <c r="K158">
        <f>SUM(H158:J158)</f>
        <v/>
      </c>
      <c r="L158" s="852" t="n"/>
      <c r="M158" s="852" t="n"/>
      <c r="N158" s="852" t="n"/>
      <c r="O158" s="852" t="n"/>
      <c r="P158" s="852" t="n"/>
      <c r="Q158" s="852" t="n"/>
      <c r="R158" s="852" t="n"/>
      <c r="S158" s="852" t="n"/>
      <c r="T158" s="852" t="n"/>
      <c r="U158" s="852" t="n"/>
      <c r="V158" s="852" t="n"/>
      <c r="W158" s="852" t="n"/>
      <c r="X158" s="852" t="n"/>
      <c r="Y158" s="852" t="n"/>
      <c r="Z158" s="852" t="n"/>
      <c r="AA158" s="852" t="n"/>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c r="CL158" s="59" t="n"/>
      <c r="CM158" s="59" t="n"/>
      <c r="CN158" s="59" t="n"/>
    </row>
    <row r="159" ht="15" customFormat="1" customHeight="1" s="3">
      <c r="A159">
        <f>IF(C159="","",ROW()-2)</f>
        <v/>
      </c>
      <c r="B159" s="852" t="n"/>
      <c r="C159" s="852" t="n"/>
      <c r="D159">
        <f>IF(C159="TOH","Type 1",IF(C159="POH","Type 2",IF(OR(C159="LTO",C159="TOH-LC",C159="TOH - LC"),"Type 3",IF(C159="Flourish","Type 4","Type 1"))))</f>
        <v/>
      </c>
      <c r="E159" s="852" t="n"/>
      <c r="F159" s="852" t="n"/>
      <c r="G159" s="852" t="n"/>
      <c r="H159" s="888" t="n"/>
      <c r="I159" s="889" t="n"/>
      <c r="J159" s="888" t="n"/>
      <c r="K159">
        <f>SUM(H159:J159)</f>
        <v/>
      </c>
      <c r="L159" s="852" t="n"/>
      <c r="M159" s="852" t="n"/>
      <c r="N159" s="852" t="n"/>
      <c r="O159" s="852" t="n"/>
      <c r="P159" s="852" t="n"/>
      <c r="Q159" s="852" t="n"/>
      <c r="R159" s="852" t="n"/>
      <c r="S159" s="852" t="n"/>
      <c r="T159" s="852" t="n"/>
      <c r="U159" s="852" t="n"/>
      <c r="V159" s="852" t="n"/>
      <c r="W159" s="852" t="n"/>
      <c r="X159" s="852" t="n"/>
      <c r="Y159" s="852" t="n"/>
      <c r="Z159" s="852" t="n"/>
      <c r="AA159" s="852" t="n"/>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c r="CL159" s="59" t="n"/>
      <c r="CM159" s="59" t="n"/>
      <c r="CN159" s="59" t="n"/>
    </row>
    <row r="160" ht="15" customFormat="1" customHeight="1" s="3">
      <c r="A160">
        <f>IF(C160="","",ROW()-2)</f>
        <v/>
      </c>
      <c r="B160" s="852" t="n"/>
      <c r="C160" s="852" t="n"/>
      <c r="D160">
        <f>IF(C160="TOH","Type 1",IF(C160="POH","Type 2",IF(OR(C160="LTO",C160="TOH-LC",C160="TOH - LC"),"Type 3",IF(C160="Flourish","Type 4","Type 1"))))</f>
        <v/>
      </c>
      <c r="E160" s="852" t="n"/>
      <c r="F160" s="852" t="n"/>
      <c r="G160" s="852" t="n"/>
      <c r="H160" s="888" t="n"/>
      <c r="I160" s="889" t="n"/>
      <c r="J160" s="888" t="n"/>
      <c r="K160">
        <f>SUM(H160:J160)</f>
        <v/>
      </c>
      <c r="L160" s="852" t="n"/>
      <c r="M160" s="852" t="n"/>
      <c r="N160" s="852" t="n"/>
      <c r="O160" s="852" t="n"/>
      <c r="P160" s="852" t="n"/>
      <c r="Q160" s="852" t="n"/>
      <c r="R160" s="852" t="n"/>
      <c r="S160" s="852" t="n"/>
      <c r="T160" s="852" t="n"/>
      <c r="U160" s="852" t="n"/>
      <c r="V160" s="852" t="n"/>
      <c r="W160" s="852" t="n"/>
      <c r="X160" s="852" t="n"/>
      <c r="Y160" s="852" t="n"/>
      <c r="Z160" s="852" t="n"/>
      <c r="AA160" s="852" t="n"/>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c r="CL160" s="59" t="n"/>
      <c r="CM160" s="59" t="n"/>
      <c r="CN160" s="59" t="n"/>
    </row>
    <row r="161" ht="15" customFormat="1" customHeight="1" s="3">
      <c r="A161">
        <f>IF(C161="","",ROW()-2)</f>
        <v/>
      </c>
      <c r="B161" s="852" t="n"/>
      <c r="C161" s="852" t="n"/>
      <c r="D161">
        <f>IF(C161="TOH","Type 1",IF(C161="POH","Type 2",IF(OR(C161="LTO",C161="TOH-LC",C161="TOH - LC"),"Type 3",IF(C161="Flourish","Type 4","Type 1"))))</f>
        <v/>
      </c>
      <c r="E161" s="852" t="n"/>
      <c r="F161" s="852" t="n"/>
      <c r="G161" s="852" t="n"/>
      <c r="H161" s="888" t="n"/>
      <c r="I161" s="889" t="n"/>
      <c r="J161" s="888" t="n"/>
      <c r="K161">
        <f>SUM(H161:J161)</f>
        <v/>
      </c>
      <c r="L161" s="852" t="n"/>
      <c r="M161" s="852" t="n"/>
      <c r="N161" s="852" t="n"/>
      <c r="O161" s="852" t="n"/>
      <c r="P161" s="852" t="n"/>
      <c r="Q161" s="852" t="n"/>
      <c r="R161" s="852" t="n"/>
      <c r="S161" s="852" t="n"/>
      <c r="T161" s="852" t="n"/>
      <c r="U161" s="852" t="n"/>
      <c r="V161" s="852" t="n"/>
      <c r="W161" s="852" t="n"/>
      <c r="X161" s="852" t="n"/>
      <c r="Y161" s="852" t="n"/>
      <c r="Z161" s="852" t="n"/>
      <c r="AA161" s="852" t="n"/>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c r="CL161" s="59" t="n"/>
      <c r="CM161" s="59" t="n"/>
      <c r="CN161" s="59" t="n"/>
    </row>
    <row r="162" ht="15" customFormat="1" customHeight="1" s="3">
      <c r="A162">
        <f>IF(C162="","",ROW()-2)</f>
        <v/>
      </c>
      <c r="B162" s="852" t="n"/>
      <c r="C162" s="852" t="n"/>
      <c r="D162">
        <f>IF(C162="TOH","Type 1",IF(C162="POH","Type 2",IF(OR(C162="LTO",C162="TOH-LC",C162="TOH - LC"),"Type 3",IF(C162="Flourish","Type 4","Type 1"))))</f>
        <v/>
      </c>
      <c r="E162" s="852" t="n"/>
      <c r="F162" s="852" t="n"/>
      <c r="G162" s="852" t="n"/>
      <c r="H162" s="888" t="n"/>
      <c r="I162" s="889" t="n"/>
      <c r="J162" s="888" t="n"/>
      <c r="K162">
        <f>SUM(H162:J162)</f>
        <v/>
      </c>
      <c r="L162" s="852" t="n"/>
      <c r="M162" s="852" t="n"/>
      <c r="N162" s="852" t="n"/>
      <c r="O162" s="852" t="n"/>
      <c r="P162" s="852" t="n"/>
      <c r="Q162" s="852" t="n"/>
      <c r="R162" s="852" t="n"/>
      <c r="S162" s="852" t="n"/>
      <c r="T162" s="852" t="n"/>
      <c r="U162" s="852" t="n"/>
      <c r="V162" s="852" t="n"/>
      <c r="W162" s="852" t="n"/>
      <c r="X162" s="852" t="n"/>
      <c r="Y162" s="852" t="n"/>
      <c r="Z162" s="852" t="n"/>
      <c r="AA162" s="852" t="n"/>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c r="CL162" s="59" t="n"/>
      <c r="CM162" s="59" t="n"/>
      <c r="CN162" s="59" t="n"/>
    </row>
    <row r="163" ht="15" customFormat="1" customHeight="1" s="3">
      <c r="A163">
        <f>IF(C163="","",ROW()-2)</f>
        <v/>
      </c>
      <c r="B163" s="852" t="n"/>
      <c r="C163" s="852" t="n"/>
      <c r="D163">
        <f>IF(C163="TOH","Type 1",IF(C163="POH","Type 2",IF(OR(C163="LTO",C163="TOH-LC",C163="TOH - LC"),"Type 3",IF(C163="Flourish","Type 4","Type 1"))))</f>
        <v/>
      </c>
      <c r="E163" s="852" t="n"/>
      <c r="F163" s="852" t="n"/>
      <c r="G163" s="852" t="n"/>
      <c r="H163" s="888" t="n"/>
      <c r="I163" s="889" t="n"/>
      <c r="J163" s="888" t="n"/>
      <c r="K163">
        <f>SUM(H163:J163)</f>
        <v/>
      </c>
      <c r="L163" s="852" t="n"/>
      <c r="M163" s="852" t="n"/>
      <c r="N163" s="852" t="n"/>
      <c r="O163" s="852" t="n"/>
      <c r="P163" s="852" t="n"/>
      <c r="Q163" s="852" t="n"/>
      <c r="R163" s="852" t="n"/>
      <c r="S163" s="852" t="n"/>
      <c r="T163" s="852" t="n"/>
      <c r="U163" s="852" t="n"/>
      <c r="V163" s="852" t="n"/>
      <c r="W163" s="852" t="n"/>
      <c r="X163" s="852" t="n"/>
      <c r="Y163" s="852" t="n"/>
      <c r="Z163" s="852" t="n"/>
      <c r="AA163" s="852" t="n"/>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c r="CL163" s="59" t="n"/>
      <c r="CM163" s="59" t="n"/>
      <c r="CN163" s="59" t="n"/>
    </row>
    <row r="164" ht="15" customFormat="1" customHeight="1" s="3">
      <c r="A164">
        <f>IF(C164="","",ROW()-2)</f>
        <v/>
      </c>
      <c r="B164" s="852" t="n"/>
      <c r="C164" s="852" t="n"/>
      <c r="D164">
        <f>IF(C164="TOH","Type 1",IF(C164="POH","Type 2",IF(OR(C164="LTO",C164="TOH-LC",C164="TOH - LC"),"Type 3",IF(C164="Flourish","Type 4","Type 1"))))</f>
        <v/>
      </c>
      <c r="E164" s="852" t="n"/>
      <c r="F164" s="852" t="n"/>
      <c r="G164" s="852" t="n"/>
      <c r="H164" s="888" t="n"/>
      <c r="I164" s="889" t="n"/>
      <c r="J164" s="888" t="n"/>
      <c r="K164">
        <f>SUM(H164:J164)</f>
        <v/>
      </c>
      <c r="L164" s="852" t="n"/>
      <c r="M164" s="852" t="n"/>
      <c r="N164" s="852" t="n"/>
      <c r="O164" s="852" t="n"/>
      <c r="P164" s="852" t="n"/>
      <c r="Q164" s="852" t="n"/>
      <c r="R164" s="852" t="n"/>
      <c r="S164" s="852" t="n"/>
      <c r="T164" s="852" t="n"/>
      <c r="U164" s="852" t="n"/>
      <c r="V164" s="852" t="n"/>
      <c r="W164" s="852" t="n"/>
      <c r="X164" s="852" t="n"/>
      <c r="Y164" s="852" t="n"/>
      <c r="Z164" s="852" t="n"/>
      <c r="AA164" s="852" t="n"/>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c r="CL164" s="59" t="n"/>
      <c r="CM164" s="59" t="n"/>
      <c r="CN164" s="59" t="n"/>
    </row>
    <row r="165" ht="15" customFormat="1" customHeight="1" s="3">
      <c r="A165">
        <f>IF(C165="","",ROW()-2)</f>
        <v/>
      </c>
      <c r="B165" s="852" t="n"/>
      <c r="C165" s="852" t="n"/>
      <c r="D165">
        <f>IF(C165="TOH","Type 1",IF(C165="POH","Type 2",IF(OR(C165="LTO",C165="TOH-LC",C165="TOH - LC"),"Type 3",IF(C165="Flourish","Type 4","Type 1"))))</f>
        <v/>
      </c>
      <c r="E165" s="852" t="n"/>
      <c r="F165" s="852" t="n"/>
      <c r="G165" s="852" t="n"/>
      <c r="H165" s="888" t="n"/>
      <c r="I165" s="889" t="n"/>
      <c r="J165" s="888" t="n"/>
      <c r="K165">
        <f>SUM(H165:J165)</f>
        <v/>
      </c>
      <c r="L165" s="852" t="n"/>
      <c r="M165" s="852" t="n"/>
      <c r="N165" s="852" t="n"/>
      <c r="O165" s="852" t="n"/>
      <c r="P165" s="852" t="n"/>
      <c r="Q165" s="852" t="n"/>
      <c r="R165" s="852" t="n"/>
      <c r="S165" s="852" t="n"/>
      <c r="T165" s="852" t="n"/>
      <c r="U165" s="852" t="n"/>
      <c r="V165" s="852" t="n"/>
      <c r="W165" s="852" t="n"/>
      <c r="X165" s="852" t="n"/>
      <c r="Y165" s="852" t="n"/>
      <c r="Z165" s="852" t="n"/>
      <c r="AA165" s="852" t="n"/>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c r="CL165" s="59" t="n"/>
      <c r="CM165" s="59" t="n"/>
      <c r="CN165" s="59" t="n"/>
    </row>
    <row r="166" ht="15" customFormat="1" customHeight="1" s="3">
      <c r="A166">
        <f>IF(C166="","",ROW()-2)</f>
        <v/>
      </c>
      <c r="B166" s="852" t="n"/>
      <c r="C166" s="852" t="n"/>
      <c r="D166">
        <f>IF(C166="TOH","Type 1",IF(C166="POH","Type 2",IF(OR(C166="LTO",C166="TOH-LC",C166="TOH - LC"),"Type 3",IF(C166="Flourish","Type 4","Type 1"))))</f>
        <v/>
      </c>
      <c r="E166" s="852" t="n"/>
      <c r="F166" s="852" t="n"/>
      <c r="G166" s="852" t="n"/>
      <c r="H166" s="888" t="n"/>
      <c r="I166" s="889" t="n"/>
      <c r="J166" s="888" t="n"/>
      <c r="K166">
        <f>SUM(H166:J166)</f>
        <v/>
      </c>
      <c r="L166" s="852" t="n"/>
      <c r="M166" s="852" t="n"/>
      <c r="N166" s="852" t="n"/>
      <c r="O166" s="852" t="n"/>
      <c r="P166" s="852" t="n"/>
      <c r="Q166" s="852" t="n"/>
      <c r="R166" s="852" t="n"/>
      <c r="S166" s="852" t="n"/>
      <c r="T166" s="852" t="n"/>
      <c r="U166" s="852" t="n"/>
      <c r="V166" s="852" t="n"/>
      <c r="W166" s="852" t="n"/>
      <c r="X166" s="852" t="n"/>
      <c r="Y166" s="852" t="n"/>
      <c r="Z166" s="852" t="n"/>
      <c r="AA166" s="852" t="n"/>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c r="CL166" s="59" t="n"/>
      <c r="CM166" s="59" t="n"/>
      <c r="CN166" s="59" t="n"/>
    </row>
    <row r="167" ht="15" customFormat="1" customHeight="1" s="3">
      <c r="A167">
        <f>IF(C167="","",ROW()-2)</f>
        <v/>
      </c>
      <c r="B167" s="852" t="n"/>
      <c r="C167" s="852" t="n"/>
      <c r="D167">
        <f>IF(C167="TOH","Type 1",IF(C167="POH","Type 2",IF(OR(C167="LTO",C167="TOH-LC",C167="TOH - LC"),"Type 3",IF(C167="Flourish","Type 4","Type 1"))))</f>
        <v/>
      </c>
      <c r="E167" s="852" t="n"/>
      <c r="F167" s="852" t="n"/>
      <c r="G167" s="852" t="n"/>
      <c r="H167" s="888" t="n"/>
      <c r="I167" s="889" t="n"/>
      <c r="J167" s="888" t="n"/>
      <c r="K167">
        <f>SUM(H167:J167)</f>
        <v/>
      </c>
      <c r="L167" s="852" t="n"/>
      <c r="M167" s="852" t="n"/>
      <c r="N167" s="852" t="n"/>
      <c r="O167" s="852" t="n"/>
      <c r="P167" s="852" t="n"/>
      <c r="Q167" s="852" t="n"/>
      <c r="R167" s="852" t="n"/>
      <c r="S167" s="852" t="n"/>
      <c r="T167" s="852" t="n"/>
      <c r="U167" s="852" t="n"/>
      <c r="V167" s="852" t="n"/>
      <c r="W167" s="852" t="n"/>
      <c r="X167" s="852" t="n"/>
      <c r="Y167" s="852" t="n"/>
      <c r="Z167" s="852" t="n"/>
      <c r="AA167" s="852" t="n"/>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c r="CL167" s="59" t="n"/>
      <c r="CM167" s="59" t="n"/>
      <c r="CN167" s="59" t="n"/>
    </row>
    <row r="168" ht="15" customFormat="1" customHeight="1" s="3">
      <c r="A168">
        <f>IF(C168="","",ROW()-2)</f>
        <v/>
      </c>
      <c r="B168" s="852" t="n"/>
      <c r="C168" s="852" t="n"/>
      <c r="D168">
        <f>IF(C168="TOH","Type 1",IF(C168="POH","Type 2",IF(OR(C168="LTO",C168="TOH-LC",C168="TOH - LC"),"Type 3",IF(C168="Flourish","Type 4","Type 1"))))</f>
        <v/>
      </c>
      <c r="E168" s="852" t="n"/>
      <c r="F168" s="852" t="n"/>
      <c r="G168" s="852" t="n"/>
      <c r="H168" s="888" t="n"/>
      <c r="I168" s="889" t="n"/>
      <c r="J168" s="888" t="n"/>
      <c r="K168">
        <f>SUM(H168:J168)</f>
        <v/>
      </c>
      <c r="L168" s="852" t="n"/>
      <c r="M168" s="852" t="n"/>
      <c r="N168" s="852" t="n"/>
      <c r="O168" s="852" t="n"/>
      <c r="P168" s="852" t="n"/>
      <c r="Q168" s="852" t="n"/>
      <c r="R168" s="852" t="n"/>
      <c r="S168" s="852" t="n"/>
      <c r="T168" s="852" t="n"/>
      <c r="U168" s="852" t="n"/>
      <c r="V168" s="852" t="n"/>
      <c r="W168" s="852" t="n"/>
      <c r="X168" s="852" t="n"/>
      <c r="Y168" s="852" t="n"/>
      <c r="Z168" s="852" t="n"/>
      <c r="AA168" s="852" t="n"/>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c r="CL168" s="59" t="n"/>
      <c r="CM168" s="59" t="n"/>
      <c r="CN168" s="59" t="n"/>
    </row>
    <row r="169" ht="15" customFormat="1" customHeight="1" s="3">
      <c r="A169">
        <f>IF(C169="","",ROW()-2)</f>
        <v/>
      </c>
      <c r="B169" s="852" t="n"/>
      <c r="C169" s="852" t="n"/>
      <c r="D169">
        <f>IF(C169="TOH","Type 1",IF(C169="POH","Type 2",IF(OR(C169="LTO",C169="TOH-LC",C169="TOH - LC"),"Type 3",IF(C169="Flourish","Type 4","Type 1"))))</f>
        <v/>
      </c>
      <c r="E169" s="852" t="n"/>
      <c r="F169" s="852" t="n"/>
      <c r="G169" s="852" t="n"/>
      <c r="H169" s="888" t="n"/>
      <c r="I169" s="889" t="n"/>
      <c r="J169" s="888" t="n"/>
      <c r="K169">
        <f>SUM(H169:J169)</f>
        <v/>
      </c>
      <c r="L169" s="852" t="n"/>
      <c r="M169" s="852" t="n"/>
      <c r="N169" s="852" t="n"/>
      <c r="O169" s="852" t="n"/>
      <c r="P169" s="852" t="n"/>
      <c r="Q169" s="852" t="n"/>
      <c r="R169" s="852" t="n"/>
      <c r="S169" s="852" t="n"/>
      <c r="T169" s="852" t="n"/>
      <c r="U169" s="852" t="n"/>
      <c r="V169" s="852" t="n"/>
      <c r="W169" s="852" t="n"/>
      <c r="X169" s="852" t="n"/>
      <c r="Y169" s="852" t="n"/>
      <c r="Z169" s="852" t="n"/>
      <c r="AA169" s="852" t="n"/>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c r="CL169" s="59" t="n"/>
      <c r="CM169" s="59" t="n"/>
      <c r="CN169" s="59" t="n"/>
    </row>
    <row r="170" ht="15" customFormat="1" customHeight="1" s="3">
      <c r="A170">
        <f>IF(C170="","",ROW()-2)</f>
        <v/>
      </c>
      <c r="B170" s="852" t="n"/>
      <c r="C170" s="852" t="n"/>
      <c r="D170">
        <f>IF(C170="TOH","Type 1",IF(C170="POH","Type 2",IF(OR(C170="LTO",C170="TOH-LC",C170="TOH - LC"),"Type 3",IF(C170="Flourish","Type 4","Type 1"))))</f>
        <v/>
      </c>
      <c r="E170" s="852" t="n"/>
      <c r="F170" s="852" t="n"/>
      <c r="G170" s="852" t="n"/>
      <c r="H170" s="888" t="n"/>
      <c r="I170" s="889" t="n"/>
      <c r="J170" s="888" t="n"/>
      <c r="K170">
        <f>SUM(H170:J170)</f>
        <v/>
      </c>
      <c r="L170" s="852" t="n"/>
      <c r="M170" s="852" t="n"/>
      <c r="N170" s="852" t="n"/>
      <c r="O170" s="852" t="n"/>
      <c r="P170" s="852" t="n"/>
      <c r="Q170" s="852" t="n"/>
      <c r="R170" s="852" t="n"/>
      <c r="S170" s="852" t="n"/>
      <c r="T170" s="852" t="n"/>
      <c r="U170" s="852" t="n"/>
      <c r="V170" s="852" t="n"/>
      <c r="W170" s="852" t="n"/>
      <c r="X170" s="852" t="n"/>
      <c r="Y170" s="852" t="n"/>
      <c r="Z170" s="852" t="n"/>
      <c r="AA170" s="852" t="n"/>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c r="CL170" s="59" t="n"/>
      <c r="CM170" s="59" t="n"/>
      <c r="CN170" s="59" t="n"/>
    </row>
    <row r="171" ht="15" customFormat="1" customHeight="1" s="3">
      <c r="A171">
        <f>IF(C171="","",ROW()-2)</f>
        <v/>
      </c>
      <c r="B171" s="852" t="n"/>
      <c r="C171" s="852" t="n"/>
      <c r="D171">
        <f>IF(C171="TOH","Type 1",IF(C171="POH","Type 2",IF(OR(C171="LTO",C171="TOH-LC",C171="TOH - LC"),"Type 3",IF(C171="Flourish","Type 4","Type 1"))))</f>
        <v/>
      </c>
      <c r="E171" s="852" t="n"/>
      <c r="F171" s="852" t="n"/>
      <c r="G171" s="852" t="n"/>
      <c r="H171" s="888" t="n"/>
      <c r="I171" s="889" t="n"/>
      <c r="J171" s="888" t="n"/>
      <c r="K171">
        <f>SUM(H171:J171)</f>
        <v/>
      </c>
      <c r="L171" s="852" t="n"/>
      <c r="M171" s="852" t="n"/>
      <c r="N171" s="852" t="n"/>
      <c r="O171" s="852" t="n"/>
      <c r="P171" s="852" t="n"/>
      <c r="Q171" s="852" t="n"/>
      <c r="R171" s="852" t="n"/>
      <c r="S171" s="852" t="n"/>
      <c r="T171" s="852" t="n"/>
      <c r="U171" s="852" t="n"/>
      <c r="V171" s="852" t="n"/>
      <c r="W171" s="852" t="n"/>
      <c r="X171" s="852" t="n"/>
      <c r="Y171" s="852" t="n"/>
      <c r="Z171" s="852" t="n"/>
      <c r="AA171" s="852" t="n"/>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c r="CL171" s="59" t="n"/>
      <c r="CM171" s="59" t="n"/>
      <c r="CN171" s="59" t="n"/>
    </row>
    <row r="172" ht="15" customFormat="1" customHeight="1" s="3">
      <c r="A172">
        <f>IF(C172="","",ROW()-2)</f>
        <v/>
      </c>
      <c r="B172" s="852" t="n"/>
      <c r="C172" s="852" t="n"/>
      <c r="D172">
        <f>IF(C172="TOH","Type 1",IF(C172="POH","Type 2",IF(OR(C172="LTO",C172="TOH-LC",C172="TOH - LC"),"Type 3",IF(C172="Flourish","Type 4","Type 1"))))</f>
        <v/>
      </c>
      <c r="E172" s="852" t="n"/>
      <c r="F172" s="852" t="n"/>
      <c r="G172" s="852" t="n"/>
      <c r="H172" s="888" t="n"/>
      <c r="I172" s="889" t="n"/>
      <c r="J172" s="888" t="n"/>
      <c r="K172">
        <f>SUM(H172:J172)</f>
        <v/>
      </c>
      <c r="L172" s="852" t="n"/>
      <c r="M172" s="852" t="n"/>
      <c r="N172" s="852" t="n"/>
      <c r="O172" s="852" t="n"/>
      <c r="P172" s="852" t="n"/>
      <c r="Q172" s="852" t="n"/>
      <c r="R172" s="852" t="n"/>
      <c r="S172" s="852" t="n"/>
      <c r="T172" s="852" t="n"/>
      <c r="U172" s="852" t="n"/>
      <c r="V172" s="852" t="n"/>
      <c r="W172" s="852" t="n"/>
      <c r="X172" s="852" t="n"/>
      <c r="Y172" s="852" t="n"/>
      <c r="Z172" s="852" t="n"/>
      <c r="AA172" s="852" t="n"/>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c r="CL172" s="59" t="n"/>
      <c r="CM172" s="59" t="n"/>
      <c r="CN172" s="59" t="n"/>
    </row>
    <row r="173" ht="15" customFormat="1" customHeight="1" s="3">
      <c r="A173">
        <f>IF(C173="","",ROW()-2)</f>
        <v/>
      </c>
      <c r="B173" s="852" t="n"/>
      <c r="C173" s="852" t="n"/>
      <c r="D173">
        <f>IF(C173="TOH","Type 1",IF(C173="POH","Type 2",IF(OR(C173="LTO",C173="TOH-LC",C173="TOH - LC"),"Type 3",IF(C173="Flourish","Type 4","Type 1"))))</f>
        <v/>
      </c>
      <c r="E173" s="852" t="n"/>
      <c r="F173" s="852" t="n"/>
      <c r="G173" s="852" t="n"/>
      <c r="H173" s="888" t="n"/>
      <c r="I173" s="889" t="n"/>
      <c r="J173" s="888" t="n"/>
      <c r="K173">
        <f>SUM(H173:J173)</f>
        <v/>
      </c>
      <c r="L173" s="852" t="n"/>
      <c r="M173" s="852" t="n"/>
      <c r="N173" s="852" t="n"/>
      <c r="O173" s="852" t="n"/>
      <c r="P173" s="852" t="n"/>
      <c r="Q173" s="852" t="n"/>
      <c r="R173" s="852" t="n"/>
      <c r="S173" s="852" t="n"/>
      <c r="T173" s="852" t="n"/>
      <c r="U173" s="852" t="n"/>
      <c r="V173" s="852" t="n"/>
      <c r="W173" s="852" t="n"/>
      <c r="X173" s="852" t="n"/>
      <c r="Y173" s="852" t="n"/>
      <c r="Z173" s="852" t="n"/>
      <c r="AA173" s="852" t="n"/>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c r="CL173" s="59" t="n"/>
      <c r="CM173" s="59" t="n"/>
      <c r="CN173" s="59" t="n"/>
    </row>
    <row r="174" ht="15" customFormat="1" customHeight="1" s="3">
      <c r="A174">
        <f>IF(C174="","",ROW()-2)</f>
        <v/>
      </c>
      <c r="B174" s="852" t="n"/>
      <c r="C174" s="852" t="n"/>
      <c r="D174">
        <f>IF(C174="TOH","Type 1",IF(C174="POH","Type 2",IF(OR(C174="LTO",C174="TOH-LC",C174="TOH - LC"),"Type 3",IF(C174="Flourish","Type 4","Type 1"))))</f>
        <v/>
      </c>
      <c r="E174" s="852" t="n"/>
      <c r="F174" s="852" t="n"/>
      <c r="G174" s="852" t="n"/>
      <c r="H174" s="888" t="n"/>
      <c r="I174" s="889" t="n"/>
      <c r="J174" s="888" t="n"/>
      <c r="K174">
        <f>SUM(H174:J174)</f>
        <v/>
      </c>
      <c r="L174" s="852" t="n"/>
      <c r="M174" s="852" t="n"/>
      <c r="N174" s="852" t="n"/>
      <c r="O174" s="852" t="n"/>
      <c r="P174" s="852" t="n"/>
      <c r="Q174" s="852" t="n"/>
      <c r="R174" s="852" t="n"/>
      <c r="S174" s="852" t="n"/>
      <c r="T174" s="852" t="n"/>
      <c r="U174" s="852" t="n"/>
      <c r="V174" s="852" t="n"/>
      <c r="W174" s="852" t="n"/>
      <c r="X174" s="852" t="n"/>
      <c r="Y174" s="852" t="n"/>
      <c r="Z174" s="852" t="n"/>
      <c r="AA174" s="852" t="n"/>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c r="CL174" s="59" t="n"/>
      <c r="CM174" s="59" t="n"/>
      <c r="CN174" s="59" t="n"/>
    </row>
    <row r="175" ht="15" customFormat="1" customHeight="1" s="3">
      <c r="A175">
        <f>IF(C175="","",ROW()-2)</f>
        <v/>
      </c>
      <c r="B175" s="852" t="n"/>
      <c r="C175" s="852" t="n"/>
      <c r="D175">
        <f>IF(C175="TOH","Type 1",IF(C175="POH","Type 2",IF(OR(C175="LTO",C175="TOH-LC",C175="TOH - LC"),"Type 3",IF(C175="Flourish","Type 4","Type 1"))))</f>
        <v/>
      </c>
      <c r="E175" s="852" t="n"/>
      <c r="F175" s="852" t="n"/>
      <c r="G175" s="852" t="n"/>
      <c r="H175" s="888" t="n"/>
      <c r="I175" s="889" t="n"/>
      <c r="J175" s="888" t="n"/>
      <c r="K175">
        <f>SUM(H175:J175)</f>
        <v/>
      </c>
      <c r="L175" s="852" t="n"/>
      <c r="M175" s="852" t="n"/>
      <c r="N175" s="852" t="n"/>
      <c r="O175" s="852" t="n"/>
      <c r="P175" s="852" t="n"/>
      <c r="Q175" s="852" t="n"/>
      <c r="R175" s="852" t="n"/>
      <c r="S175" s="852" t="n"/>
      <c r="T175" s="852" t="n"/>
      <c r="U175" s="852" t="n"/>
      <c r="V175" s="852" t="n"/>
      <c r="W175" s="852" t="n"/>
      <c r="X175" s="852" t="n"/>
      <c r="Y175" s="852" t="n"/>
      <c r="Z175" s="852" t="n"/>
      <c r="AA175" s="852" t="n"/>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c r="CL175" s="59" t="n"/>
      <c r="CM175" s="59" t="n"/>
      <c r="CN175" s="59" t="n"/>
    </row>
    <row r="176" ht="15" customFormat="1" customHeight="1" s="3">
      <c r="A176">
        <f>IF(C176="","",ROW()-2)</f>
        <v/>
      </c>
      <c r="B176" s="852" t="n"/>
      <c r="C176" s="852" t="n"/>
      <c r="D176">
        <f>IF(C176="TOH","Type 1",IF(C176="POH","Type 2",IF(OR(C176="LTO",C176="TOH-LC",C176="TOH - LC"),"Type 3",IF(C176="Flourish","Type 4","Type 1"))))</f>
        <v/>
      </c>
      <c r="E176" s="852" t="n"/>
      <c r="F176" s="852" t="n"/>
      <c r="G176" s="852" t="n"/>
      <c r="H176" s="888" t="n"/>
      <c r="I176" s="889" t="n"/>
      <c r="J176" s="888" t="n"/>
      <c r="K176">
        <f>SUM(H176:J176)</f>
        <v/>
      </c>
      <c r="L176" s="852" t="n"/>
      <c r="M176" s="852" t="n"/>
      <c r="N176" s="852" t="n"/>
      <c r="O176" s="852" t="n"/>
      <c r="P176" s="852" t="n"/>
      <c r="Q176" s="852" t="n"/>
      <c r="R176" s="852" t="n"/>
      <c r="S176" s="852" t="n"/>
      <c r="T176" s="852" t="n"/>
      <c r="U176" s="852" t="n"/>
      <c r="V176" s="852" t="n"/>
      <c r="W176" s="852" t="n"/>
      <c r="X176" s="852" t="n"/>
      <c r="Y176" s="852" t="n"/>
      <c r="Z176" s="852" t="n"/>
      <c r="AA176" s="852" t="n"/>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c r="CL176" s="59" t="n"/>
      <c r="CM176" s="59" t="n"/>
      <c r="CN176" s="59" t="n"/>
    </row>
    <row r="177" ht="15" customFormat="1" customHeight="1" s="3">
      <c r="A177">
        <f>IF(C177="","",ROW()-2)</f>
        <v/>
      </c>
      <c r="B177" s="852" t="n"/>
      <c r="C177" s="852" t="n"/>
      <c r="D177">
        <f>IF(C177="TOH","Type 1",IF(C177="POH","Type 2",IF(OR(C177="LTO",C177="TOH-LC",C177="TOH - LC"),"Type 3",IF(C177="Flourish","Type 4","Type 1"))))</f>
        <v/>
      </c>
      <c r="E177" s="852" t="n"/>
      <c r="F177" s="852" t="n"/>
      <c r="G177" s="852" t="n"/>
      <c r="H177" s="888" t="n"/>
      <c r="I177" s="889" t="n"/>
      <c r="J177" s="888" t="n"/>
      <c r="K177">
        <f>SUM(H177:J177)</f>
        <v/>
      </c>
      <c r="L177" s="852" t="n"/>
      <c r="M177" s="852" t="n"/>
      <c r="N177" s="852" t="n"/>
      <c r="O177" s="852" t="n"/>
      <c r="P177" s="852" t="n"/>
      <c r="Q177" s="852" t="n"/>
      <c r="R177" s="852" t="n"/>
      <c r="S177" s="852" t="n"/>
      <c r="T177" s="852" t="n"/>
      <c r="U177" s="852" t="n"/>
      <c r="V177" s="852" t="n"/>
      <c r="W177" s="852" t="n"/>
      <c r="X177" s="852" t="n"/>
      <c r="Y177" s="852" t="n"/>
      <c r="Z177" s="852" t="n"/>
      <c r="AA177" s="852" t="n"/>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c r="CL177" s="59" t="n"/>
      <c r="CM177" s="59" t="n"/>
      <c r="CN177" s="59" t="n"/>
    </row>
    <row r="178" ht="15" customFormat="1" customHeight="1" s="3">
      <c r="A178">
        <f>IF(C178="","",ROW()-2)</f>
        <v/>
      </c>
      <c r="B178" s="852" t="n"/>
      <c r="C178" s="852" t="n"/>
      <c r="D178">
        <f>IF(C178="TOH","Type 1",IF(C178="POH","Type 2",IF(OR(C178="LTO",C178="TOH-LC",C178="TOH - LC"),"Type 3",IF(C178="Flourish","Type 4","Type 1"))))</f>
        <v/>
      </c>
      <c r="E178" s="852" t="n"/>
      <c r="F178" s="852" t="n"/>
      <c r="G178" s="852" t="n"/>
      <c r="H178" s="888" t="n"/>
      <c r="I178" s="889" t="n"/>
      <c r="J178" s="888" t="n"/>
      <c r="K178">
        <f>SUM(H178:J178)</f>
        <v/>
      </c>
      <c r="L178" s="852" t="n"/>
      <c r="M178" s="852" t="n"/>
      <c r="N178" s="852" t="n"/>
      <c r="O178" s="852" t="n"/>
      <c r="P178" s="852" t="n"/>
      <c r="Q178" s="852" t="n"/>
      <c r="R178" s="852" t="n"/>
      <c r="S178" s="852" t="n"/>
      <c r="T178" s="852" t="n"/>
      <c r="U178" s="852" t="n"/>
      <c r="V178" s="852" t="n"/>
      <c r="W178" s="852" t="n"/>
      <c r="X178" s="852" t="n"/>
      <c r="Y178" s="852" t="n"/>
      <c r="Z178" s="852" t="n"/>
      <c r="AA178" s="852" t="n"/>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c r="CL178" s="59" t="n"/>
      <c r="CM178" s="59" t="n"/>
      <c r="CN178" s="59" t="n"/>
    </row>
    <row r="179" ht="15" customFormat="1" customHeight="1" s="3">
      <c r="A179">
        <f>IF(C179="","",ROW()-2)</f>
        <v/>
      </c>
      <c r="B179" s="852" t="n"/>
      <c r="C179" s="852" t="n"/>
      <c r="D179">
        <f>IF(C179="TOH","Type 1",IF(C179="POH","Type 2",IF(OR(C179="LTO",C179="TOH-LC",C179="TOH - LC"),"Type 3",IF(C179="Flourish","Type 4","Type 1"))))</f>
        <v/>
      </c>
      <c r="E179" s="852" t="n"/>
      <c r="F179" s="852" t="n"/>
      <c r="G179" s="852" t="n"/>
      <c r="H179" s="888" t="n"/>
      <c r="I179" s="889" t="n"/>
      <c r="J179" s="888" t="n"/>
      <c r="K179">
        <f>SUM(H179:J179)</f>
        <v/>
      </c>
      <c r="L179" s="852" t="n"/>
      <c r="M179" s="852" t="n"/>
      <c r="N179" s="852" t="n"/>
      <c r="O179" s="852" t="n"/>
      <c r="P179" s="852" t="n"/>
      <c r="Q179" s="852" t="n"/>
      <c r="R179" s="852" t="n"/>
      <c r="S179" s="852" t="n"/>
      <c r="T179" s="852" t="n"/>
      <c r="U179" s="852" t="n"/>
      <c r="V179" s="852" t="n"/>
      <c r="W179" s="852" t="n"/>
      <c r="X179" s="852" t="n"/>
      <c r="Y179" s="852" t="n"/>
      <c r="Z179" s="852" t="n"/>
      <c r="AA179" s="852" t="n"/>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c r="CL179" s="59" t="n"/>
      <c r="CM179" s="59" t="n"/>
      <c r="CN179" s="59" t="n"/>
    </row>
    <row r="180" ht="15" customFormat="1" customHeight="1" s="3">
      <c r="A180">
        <f>IF(C180="","",ROW()-2)</f>
        <v/>
      </c>
      <c r="B180" s="852" t="n"/>
      <c r="C180" s="852" t="n"/>
      <c r="D180">
        <f>IF(C180="TOH","Type 1",IF(C180="POH","Type 2",IF(OR(C180="LTO",C180="TOH-LC",C180="TOH - LC"),"Type 3",IF(C180="Flourish","Type 4","Type 1"))))</f>
        <v/>
      </c>
      <c r="E180" s="852" t="n"/>
      <c r="F180" s="852" t="n"/>
      <c r="G180" s="852" t="n"/>
      <c r="H180" s="888" t="n"/>
      <c r="I180" s="889" t="n"/>
      <c r="J180" s="888" t="n"/>
      <c r="K180">
        <f>SUM(H180:J180)</f>
        <v/>
      </c>
      <c r="L180" s="852" t="n"/>
      <c r="M180" s="852" t="n"/>
      <c r="N180" s="852" t="n"/>
      <c r="O180" s="852" t="n"/>
      <c r="P180" s="852" t="n"/>
      <c r="Q180" s="852" t="n"/>
      <c r="R180" s="852" t="n"/>
      <c r="S180" s="852" t="n"/>
      <c r="T180" s="852" t="n"/>
      <c r="U180" s="852" t="n"/>
      <c r="V180" s="852" t="n"/>
      <c r="W180" s="852" t="n"/>
      <c r="X180" s="852" t="n"/>
      <c r="Y180" s="852" t="n"/>
      <c r="Z180" s="852" t="n"/>
      <c r="AA180" s="852" t="n"/>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c r="CL180" s="59" t="n"/>
      <c r="CM180" s="59" t="n"/>
      <c r="CN180" s="59" t="n"/>
    </row>
    <row r="181" ht="15" customFormat="1" customHeight="1" s="3">
      <c r="A181">
        <f>IF(C181="","",ROW()-2)</f>
        <v/>
      </c>
      <c r="B181" s="852" t="n"/>
      <c r="C181" s="852" t="n"/>
      <c r="D181">
        <f>IF(C181="TOH","Type 1",IF(C181="POH","Type 2",IF(OR(C181="LTO",C181="TOH-LC",C181="TOH - LC"),"Type 3",IF(C181="Flourish","Type 4","Type 1"))))</f>
        <v/>
      </c>
      <c r="E181" s="852" t="n"/>
      <c r="F181" s="852" t="n"/>
      <c r="G181" s="852" t="n"/>
      <c r="H181" s="888" t="n"/>
      <c r="I181" s="889" t="n"/>
      <c r="J181" s="888" t="n"/>
      <c r="K181">
        <f>SUM(H181:J181)</f>
        <v/>
      </c>
      <c r="L181" s="852" t="n"/>
      <c r="M181" s="852" t="n"/>
      <c r="N181" s="852" t="n"/>
      <c r="O181" s="852" t="n"/>
      <c r="P181" s="852" t="n"/>
      <c r="Q181" s="852" t="n"/>
      <c r="R181" s="852" t="n"/>
      <c r="S181" s="852" t="n"/>
      <c r="T181" s="852" t="n"/>
      <c r="U181" s="852" t="n"/>
      <c r="V181" s="852" t="n"/>
      <c r="W181" s="852" t="n"/>
      <c r="X181" s="852" t="n"/>
      <c r="Y181" s="852" t="n"/>
      <c r="Z181" s="852" t="n"/>
      <c r="AA181" s="852" t="n"/>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c r="CL181" s="59" t="n"/>
      <c r="CM181" s="59" t="n"/>
      <c r="CN181" s="59" t="n"/>
    </row>
    <row r="182" ht="15" customFormat="1" customHeight="1" s="3">
      <c r="A182">
        <f>IF(C182="","",ROW()-2)</f>
        <v/>
      </c>
      <c r="B182" s="852" t="n"/>
      <c r="C182" s="852" t="n"/>
      <c r="D182">
        <f>IF(C182="TOH","Type 1",IF(C182="POH","Type 2",IF(OR(C182="LTO",C182="TOH-LC",C182="TOH - LC"),"Type 3",IF(C182="Flourish","Type 4","Type 1"))))</f>
        <v/>
      </c>
      <c r="E182" s="852" t="n"/>
      <c r="F182" s="852" t="n"/>
      <c r="G182" s="852" t="n"/>
      <c r="H182" s="888" t="n"/>
      <c r="I182" s="889" t="n"/>
      <c r="J182" s="888" t="n"/>
      <c r="K182">
        <f>SUM(H182:J182)</f>
        <v/>
      </c>
      <c r="L182" s="852" t="n"/>
      <c r="M182" s="852" t="n"/>
      <c r="N182" s="852" t="n"/>
      <c r="O182" s="852" t="n"/>
      <c r="P182" s="852" t="n"/>
      <c r="Q182" s="852" t="n"/>
      <c r="R182" s="852" t="n"/>
      <c r="S182" s="852" t="n"/>
      <c r="T182" s="852" t="n"/>
      <c r="U182" s="852" t="n"/>
      <c r="V182" s="852" t="n"/>
      <c r="W182" s="852" t="n"/>
      <c r="X182" s="852" t="n"/>
      <c r="Y182" s="852" t="n"/>
      <c r="Z182" s="852" t="n"/>
      <c r="AA182" s="852" t="n"/>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c r="CL182" s="59" t="n"/>
      <c r="CM182" s="59" t="n"/>
      <c r="CN182" s="59" t="n"/>
    </row>
    <row r="183" ht="15" customFormat="1" customHeight="1" s="3">
      <c r="A183">
        <f>IF(C183="","",ROW()-2)</f>
        <v/>
      </c>
      <c r="B183" s="852" t="n"/>
      <c r="C183" s="852" t="n"/>
      <c r="D183">
        <f>IF(C183="TOH","Type 1",IF(C183="POH","Type 2",IF(OR(C183="LTO",C183="TOH-LC",C183="TOH - LC"),"Type 3",IF(C183="Flourish","Type 4","Type 1"))))</f>
        <v/>
      </c>
      <c r="E183" s="852" t="n"/>
      <c r="F183" s="852" t="n"/>
      <c r="G183" s="852" t="n"/>
      <c r="H183" s="888" t="n"/>
      <c r="I183" s="889" t="n"/>
      <c r="J183" s="888" t="n"/>
      <c r="K183">
        <f>SUM(H183:J183)</f>
        <v/>
      </c>
      <c r="L183" s="852" t="n"/>
      <c r="M183" s="852" t="n"/>
      <c r="N183" s="852" t="n"/>
      <c r="O183" s="852" t="n"/>
      <c r="P183" s="852" t="n"/>
      <c r="Q183" s="852" t="n"/>
      <c r="R183" s="852" t="n"/>
      <c r="S183" s="852" t="n"/>
      <c r="T183" s="852" t="n"/>
      <c r="U183" s="852" t="n"/>
      <c r="V183" s="852" t="n"/>
      <c r="W183" s="852" t="n"/>
      <c r="X183" s="852" t="n"/>
      <c r="Y183" s="852" t="n"/>
      <c r="Z183" s="852" t="n"/>
      <c r="AA183" s="852" t="n"/>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c r="CL183" s="59" t="n"/>
      <c r="CM183" s="59" t="n"/>
      <c r="CN183" s="59" t="n"/>
    </row>
    <row r="184" ht="15" customFormat="1" customHeight="1" s="3">
      <c r="A184">
        <f>IF(C184="","",ROW()-2)</f>
        <v/>
      </c>
      <c r="B184" s="852" t="n"/>
      <c r="C184" s="852" t="n"/>
      <c r="D184">
        <f>IF(C184="TOH","Type 1",IF(C184="POH","Type 2",IF(OR(C184="LTO",C184="TOH-LC",C184="TOH - LC"),"Type 3",IF(C184="Flourish","Type 4","Type 1"))))</f>
        <v/>
      </c>
      <c r="E184" s="852" t="n"/>
      <c r="F184" s="852" t="n"/>
      <c r="G184" s="852" t="n"/>
      <c r="H184" s="888" t="n"/>
      <c r="I184" s="889" t="n"/>
      <c r="J184" s="888" t="n"/>
      <c r="K184">
        <f>SUM(H184:J184)</f>
        <v/>
      </c>
      <c r="L184" s="852" t="n"/>
      <c r="M184" s="852" t="n"/>
      <c r="N184" s="852" t="n"/>
      <c r="O184" s="852" t="n"/>
      <c r="P184" s="852" t="n"/>
      <c r="Q184" s="852" t="n"/>
      <c r="R184" s="852" t="n"/>
      <c r="S184" s="852" t="n"/>
      <c r="T184" s="852" t="n"/>
      <c r="U184" s="852" t="n"/>
      <c r="V184" s="852" t="n"/>
      <c r="W184" s="852" t="n"/>
      <c r="X184" s="852" t="n"/>
      <c r="Y184" s="852" t="n"/>
      <c r="Z184" s="852" t="n"/>
      <c r="AA184" s="852" t="n"/>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c r="CL184" s="59" t="n"/>
      <c r="CM184" s="59" t="n"/>
      <c r="CN184" s="59" t="n"/>
    </row>
    <row r="185" ht="15" customFormat="1" customHeight="1" s="3">
      <c r="A185">
        <f>IF(C185="","",ROW()-2)</f>
        <v/>
      </c>
      <c r="B185" s="852" t="n"/>
      <c r="C185" s="852" t="n"/>
      <c r="D185">
        <f>IF(C185="TOH","Type 1",IF(C185="POH","Type 2",IF(OR(C185="LTO",C185="TOH-LC",C185="TOH - LC"),"Type 3",IF(C185="Flourish","Type 4","Type 1"))))</f>
        <v/>
      </c>
      <c r="E185" s="852" t="n"/>
      <c r="F185" s="852" t="n"/>
      <c r="G185" s="852" t="n"/>
      <c r="H185" s="888" t="n"/>
      <c r="I185" s="889" t="n"/>
      <c r="J185" s="888" t="n"/>
      <c r="K185">
        <f>SUM(H185:J185)</f>
        <v/>
      </c>
      <c r="L185" s="852" t="n"/>
      <c r="M185" s="852" t="n"/>
      <c r="N185" s="852" t="n"/>
      <c r="O185" s="852" t="n"/>
      <c r="P185" s="852" t="n"/>
      <c r="Q185" s="852" t="n"/>
      <c r="R185" s="852" t="n"/>
      <c r="S185" s="852" t="n"/>
      <c r="T185" s="852" t="n"/>
      <c r="U185" s="852" t="n"/>
      <c r="V185" s="852" t="n"/>
      <c r="W185" s="852" t="n"/>
      <c r="X185" s="852" t="n"/>
      <c r="Y185" s="852" t="n"/>
      <c r="Z185" s="852" t="n"/>
      <c r="AA185" s="852" t="n"/>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c r="CL185" s="59" t="n"/>
      <c r="CM185" s="59" t="n"/>
      <c r="CN185" s="59" t="n"/>
    </row>
    <row r="186" ht="15" customFormat="1" customHeight="1" s="3">
      <c r="A186">
        <f>IF(C186="","",ROW()-2)</f>
        <v/>
      </c>
      <c r="B186" s="852" t="n"/>
      <c r="C186" s="852" t="n"/>
      <c r="D186">
        <f>IF(C186="TOH","Type 1",IF(C186="POH","Type 2",IF(OR(C186="LTO",C186="TOH-LC",C186="TOH - LC"),"Type 3",IF(C186="Flourish","Type 4","Type 1"))))</f>
        <v/>
      </c>
      <c r="E186" s="852" t="n"/>
      <c r="F186" s="852" t="n"/>
      <c r="G186" s="852" t="n"/>
      <c r="H186" s="888" t="n"/>
      <c r="I186" s="889" t="n"/>
      <c r="J186" s="888" t="n"/>
      <c r="K186">
        <f>SUM(H186:J186)</f>
        <v/>
      </c>
      <c r="L186" s="852" t="n"/>
      <c r="M186" s="852" t="n"/>
      <c r="N186" s="852" t="n"/>
      <c r="O186" s="852" t="n"/>
      <c r="P186" s="852" t="n"/>
      <c r="Q186" s="852" t="n"/>
      <c r="R186" s="852" t="n"/>
      <c r="S186" s="852" t="n"/>
      <c r="T186" s="852" t="n"/>
      <c r="U186" s="852" t="n"/>
      <c r="V186" s="852" t="n"/>
      <c r="W186" s="852" t="n"/>
      <c r="X186" s="852" t="n"/>
      <c r="Y186" s="852" t="n"/>
      <c r="Z186" s="852" t="n"/>
      <c r="AA186" s="852" t="n"/>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c r="CL186" s="59" t="n"/>
      <c r="CM186" s="59" t="n"/>
      <c r="CN186" s="59" t="n"/>
    </row>
    <row r="187" ht="15" customFormat="1" customHeight="1" s="3">
      <c r="A187">
        <f>IF(C187="","",ROW()-2)</f>
        <v/>
      </c>
      <c r="B187" s="852" t="n"/>
      <c r="C187" s="852" t="n"/>
      <c r="D187">
        <f>IF(C187="TOH","Type 1",IF(C187="POH","Type 2",IF(OR(C187="LTO",C187="TOH-LC",C187="TOH - LC"),"Type 3",IF(C187="Flourish","Type 4","Type 1"))))</f>
        <v/>
      </c>
      <c r="E187" s="852" t="n"/>
      <c r="F187" s="852" t="n"/>
      <c r="G187" s="852" t="n"/>
      <c r="H187" s="888" t="n"/>
      <c r="I187" s="889" t="n"/>
      <c r="J187" s="888" t="n"/>
      <c r="K187">
        <f>SUM(H187:J187)</f>
        <v/>
      </c>
      <c r="L187" s="852" t="n"/>
      <c r="M187" s="852" t="n"/>
      <c r="N187" s="852" t="n"/>
      <c r="O187" s="852" t="n"/>
      <c r="P187" s="852" t="n"/>
      <c r="Q187" s="852" t="n"/>
      <c r="R187" s="852" t="n"/>
      <c r="S187" s="852" t="n"/>
      <c r="T187" s="852" t="n"/>
      <c r="U187" s="852" t="n"/>
      <c r="V187" s="852" t="n"/>
      <c r="W187" s="852" t="n"/>
      <c r="X187" s="852" t="n"/>
      <c r="Y187" s="852" t="n"/>
      <c r="Z187" s="852" t="n"/>
      <c r="AA187" s="852" t="n"/>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c r="CL187" s="59" t="n"/>
      <c r="CM187" s="59" t="n"/>
      <c r="CN187" s="59" t="n"/>
    </row>
    <row r="188" ht="15" customFormat="1" customHeight="1" s="3">
      <c r="A188">
        <f>IF(C188="","",ROW()-2)</f>
        <v/>
      </c>
      <c r="B188" s="852" t="n"/>
      <c r="C188" s="852" t="n"/>
      <c r="D188">
        <f>IF(C188="TOH","Type 1",IF(C188="POH","Type 2",IF(OR(C188="LTO",C188="TOH-LC",C188="TOH - LC"),"Type 3",IF(C188="Flourish","Type 4","Type 1"))))</f>
        <v/>
      </c>
      <c r="E188" s="852" t="n"/>
      <c r="F188" s="852" t="n"/>
      <c r="G188" s="852" t="n"/>
      <c r="H188" s="888" t="n"/>
      <c r="I188" s="889" t="n"/>
      <c r="J188" s="888" t="n"/>
      <c r="K188">
        <f>SUM(H188:J188)</f>
        <v/>
      </c>
      <c r="L188" s="852" t="n"/>
      <c r="M188" s="852" t="n"/>
      <c r="N188" s="852" t="n"/>
      <c r="O188" s="852" t="n"/>
      <c r="P188" s="852" t="n"/>
      <c r="Q188" s="852" t="n"/>
      <c r="R188" s="852" t="n"/>
      <c r="S188" s="852" t="n"/>
      <c r="T188" s="852" t="n"/>
      <c r="U188" s="852" t="n"/>
      <c r="V188" s="852" t="n"/>
      <c r="W188" s="852" t="n"/>
      <c r="X188" s="852" t="n"/>
      <c r="Y188" s="852" t="n"/>
      <c r="Z188" s="852" t="n"/>
      <c r="AA188" s="852" t="n"/>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c r="CL188" s="59" t="n"/>
      <c r="CM188" s="59" t="n"/>
      <c r="CN188" s="59" t="n"/>
    </row>
    <row r="189" ht="15" customFormat="1" customHeight="1" s="3">
      <c r="A189">
        <f>IF(C189="","",ROW()-2)</f>
        <v/>
      </c>
      <c r="B189" s="852" t="n"/>
      <c r="C189" s="852" t="n"/>
      <c r="D189">
        <f>IF(C189="TOH","Type 1",IF(C189="POH","Type 2",IF(OR(C189="LTO",C189="TOH-LC",C189="TOH - LC"),"Type 3",IF(C189="Flourish","Type 4","Type 1"))))</f>
        <v/>
      </c>
      <c r="E189" s="852" t="n"/>
      <c r="F189" s="852" t="n"/>
      <c r="G189" s="852" t="n"/>
      <c r="H189" s="888" t="n"/>
      <c r="I189" s="889" t="n"/>
      <c r="J189" s="888" t="n"/>
      <c r="K189">
        <f>SUM(H189:J189)</f>
        <v/>
      </c>
      <c r="L189" s="852" t="n"/>
      <c r="M189" s="852" t="n"/>
      <c r="N189" s="852" t="n"/>
      <c r="O189" s="852" t="n"/>
      <c r="P189" s="852" t="n"/>
      <c r="Q189" s="852" t="n"/>
      <c r="R189" s="852" t="n"/>
      <c r="S189" s="852" t="n"/>
      <c r="T189" s="852" t="n"/>
      <c r="U189" s="852" t="n"/>
      <c r="V189" s="852" t="n"/>
      <c r="W189" s="852" t="n"/>
      <c r="X189" s="852" t="n"/>
      <c r="Y189" s="852" t="n"/>
      <c r="Z189" s="852" t="n"/>
      <c r="AA189" s="852" t="n"/>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c r="CL189" s="59" t="n"/>
      <c r="CM189" s="59" t="n"/>
      <c r="CN189" s="59" t="n"/>
    </row>
    <row r="190" ht="15" customFormat="1" customHeight="1" s="3">
      <c r="A190">
        <f>IF(C190="","",ROW()-2)</f>
        <v/>
      </c>
      <c r="B190" s="852" t="n"/>
      <c r="C190" s="852" t="n"/>
      <c r="D190">
        <f>IF(C190="TOH","Type 1",IF(C190="POH","Type 2",IF(OR(C190="LTO",C190="TOH-LC",C190="TOH - LC"),"Type 3",IF(C190="Flourish","Type 4","Type 1"))))</f>
        <v/>
      </c>
      <c r="E190" s="852" t="n"/>
      <c r="F190" s="852" t="n"/>
      <c r="G190" s="852" t="n"/>
      <c r="H190" s="888" t="n"/>
      <c r="I190" s="889" t="n"/>
      <c r="J190" s="888" t="n"/>
      <c r="K190">
        <f>SUM(H190:J190)</f>
        <v/>
      </c>
      <c r="L190" s="852" t="n"/>
      <c r="M190" s="852" t="n"/>
      <c r="N190" s="852" t="n"/>
      <c r="O190" s="852" t="n"/>
      <c r="P190" s="852" t="n"/>
      <c r="Q190" s="852" t="n"/>
      <c r="R190" s="852" t="n"/>
      <c r="S190" s="852" t="n"/>
      <c r="T190" s="852" t="n"/>
      <c r="U190" s="852" t="n"/>
      <c r="V190" s="852" t="n"/>
      <c r="W190" s="852" t="n"/>
      <c r="X190" s="852" t="n"/>
      <c r="Y190" s="852" t="n"/>
      <c r="Z190" s="852" t="n"/>
      <c r="AA190" s="852" t="n"/>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c r="CL190" s="59" t="n"/>
      <c r="CM190" s="59" t="n"/>
      <c r="CN190" s="59" t="n"/>
    </row>
    <row r="191" ht="15" customFormat="1" customHeight="1" s="3">
      <c r="A191">
        <f>IF(C191="","",ROW()-2)</f>
        <v/>
      </c>
      <c r="B191" s="852" t="n"/>
      <c r="C191" s="852" t="n"/>
      <c r="D191">
        <f>IF(C191="TOH","Type 1",IF(C191="POH","Type 2",IF(OR(C191="LTO",C191="TOH-LC",C191="TOH - LC"),"Type 3",IF(C191="Flourish","Type 4","Type 1"))))</f>
        <v/>
      </c>
      <c r="E191" s="852" t="n"/>
      <c r="F191" s="852" t="n"/>
      <c r="G191" s="852" t="n"/>
      <c r="H191" s="888" t="n"/>
      <c r="I191" s="889" t="n"/>
      <c r="J191" s="888" t="n"/>
      <c r="K191">
        <f>SUM(H191:J191)</f>
        <v/>
      </c>
      <c r="L191" s="852" t="n"/>
      <c r="M191" s="852" t="n"/>
      <c r="N191" s="852" t="n"/>
      <c r="O191" s="852" t="n"/>
      <c r="P191" s="852" t="n"/>
      <c r="Q191" s="852" t="n"/>
      <c r="R191" s="852" t="n"/>
      <c r="S191" s="852" t="n"/>
      <c r="T191" s="852" t="n"/>
      <c r="U191" s="852" t="n"/>
      <c r="V191" s="852" t="n"/>
      <c r="W191" s="852" t="n"/>
      <c r="X191" s="852" t="n"/>
      <c r="Y191" s="852" t="n"/>
      <c r="Z191" s="852" t="n"/>
      <c r="AA191" s="852" t="n"/>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c r="CL191" s="59" t="n"/>
      <c r="CM191" s="59" t="n"/>
      <c r="CN191" s="59" t="n"/>
    </row>
    <row r="192" ht="15" customFormat="1" customHeight="1" s="3">
      <c r="A192">
        <f>IF(C192="","",ROW()-2)</f>
        <v/>
      </c>
      <c r="B192" s="852" t="n"/>
      <c r="C192" s="852" t="n"/>
      <c r="D192">
        <f>IF(C192="TOH","Type 1",IF(C192="POH","Type 2",IF(OR(C192="LTO",C192="TOH-LC",C192="TOH - LC"),"Type 3",IF(C192="Flourish","Type 4","Type 1"))))</f>
        <v/>
      </c>
      <c r="E192" s="852" t="n"/>
      <c r="F192" s="852" t="n"/>
      <c r="G192" s="852" t="n"/>
      <c r="H192" s="888" t="n"/>
      <c r="I192" s="889" t="n"/>
      <c r="J192" s="888" t="n"/>
      <c r="K192">
        <f>SUM(H192:J192)</f>
        <v/>
      </c>
      <c r="L192" s="852" t="n"/>
      <c r="M192" s="852" t="n"/>
      <c r="N192" s="852" t="n"/>
      <c r="O192" s="852" t="n"/>
      <c r="P192" s="852" t="n"/>
      <c r="Q192" s="852" t="n"/>
      <c r="R192" s="852" t="n"/>
      <c r="S192" s="852" t="n"/>
      <c r="T192" s="852" t="n"/>
      <c r="U192" s="852" t="n"/>
      <c r="V192" s="852" t="n"/>
      <c r="W192" s="852" t="n"/>
      <c r="X192" s="852" t="n"/>
      <c r="Y192" s="852" t="n"/>
      <c r="Z192" s="852" t="n"/>
      <c r="AA192" s="852" t="n"/>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c r="CL192" s="59" t="n"/>
      <c r="CM192" s="59" t="n"/>
      <c r="CN192" s="59" t="n"/>
    </row>
    <row r="193" ht="15" customFormat="1" customHeight="1" s="3">
      <c r="A193">
        <f>IF(C193="","",ROW()-2)</f>
        <v/>
      </c>
      <c r="B193" s="852" t="n"/>
      <c r="C193" s="852" t="n"/>
      <c r="D193">
        <f>IF(C193="TOH","Type 1",IF(C193="POH","Type 2",IF(OR(C193="LTO",C193="TOH-LC",C193="TOH - LC"),"Type 3",IF(C193="Flourish","Type 4","Type 1"))))</f>
        <v/>
      </c>
      <c r="E193" s="852" t="n"/>
      <c r="F193" s="852" t="n"/>
      <c r="G193" s="852" t="n"/>
      <c r="H193" s="888" t="n"/>
      <c r="I193" s="889" t="n"/>
      <c r="J193" s="888" t="n"/>
      <c r="K193">
        <f>SUM(H193:J193)</f>
        <v/>
      </c>
      <c r="L193" s="852" t="n"/>
      <c r="M193" s="852" t="n"/>
      <c r="N193" s="852" t="n"/>
      <c r="O193" s="852" t="n"/>
      <c r="P193" s="852" t="n"/>
      <c r="Q193" s="852" t="n"/>
      <c r="R193" s="852" t="n"/>
      <c r="S193" s="852" t="n"/>
      <c r="T193" s="852" t="n"/>
      <c r="U193" s="852" t="n"/>
      <c r="V193" s="852" t="n"/>
      <c r="W193" s="852" t="n"/>
      <c r="X193" s="852" t="n"/>
      <c r="Y193" s="852" t="n"/>
      <c r="Z193" s="852" t="n"/>
      <c r="AA193" s="852" t="n"/>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c r="CL193" s="59" t="n"/>
      <c r="CM193" s="59" t="n"/>
      <c r="CN193" s="59" t="n"/>
    </row>
    <row r="194" ht="15" customFormat="1" customHeight="1" s="3">
      <c r="A194">
        <f>IF(C194="","",ROW()-2)</f>
        <v/>
      </c>
      <c r="B194" s="852" t="n"/>
      <c r="C194" s="852" t="n"/>
      <c r="D194">
        <f>IF(C194="TOH","Type 1",IF(C194="POH","Type 2",IF(OR(C194="LTO",C194="TOH-LC",C194="TOH - LC"),"Type 3",IF(C194="Flourish","Type 4","Type 1"))))</f>
        <v/>
      </c>
      <c r="E194" s="852" t="n"/>
      <c r="F194" s="852" t="n"/>
      <c r="G194" s="852" t="n"/>
      <c r="H194" s="888" t="n"/>
      <c r="I194" s="889" t="n"/>
      <c r="J194" s="888" t="n"/>
      <c r="K194">
        <f>SUM(H194:J194)</f>
        <v/>
      </c>
      <c r="L194" s="852" t="n"/>
      <c r="M194" s="852" t="n"/>
      <c r="N194" s="852" t="n"/>
      <c r="O194" s="852" t="n"/>
      <c r="P194" s="852" t="n"/>
      <c r="Q194" s="852" t="n"/>
      <c r="R194" s="852" t="n"/>
      <c r="S194" s="852" t="n"/>
      <c r="T194" s="852" t="n"/>
      <c r="U194" s="852" t="n"/>
      <c r="V194" s="852" t="n"/>
      <c r="W194" s="852" t="n"/>
      <c r="X194" s="852" t="n"/>
      <c r="Y194" s="852" t="n"/>
      <c r="Z194" s="852" t="n"/>
      <c r="AA194" s="852" t="n"/>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c r="CL194" s="59" t="n"/>
      <c r="CM194" s="59" t="n"/>
      <c r="CN194" s="59" t="n"/>
    </row>
    <row r="195" ht="15" customFormat="1" customHeight="1" s="3">
      <c r="A195">
        <f>IF(C195="","",ROW()-2)</f>
        <v/>
      </c>
      <c r="B195" s="852" t="n"/>
      <c r="C195" s="852" t="n"/>
      <c r="D195">
        <f>IF(C195="TOH","Type 1",IF(C195="POH","Type 2",IF(OR(C195="LTO",C195="TOH-LC",C195="TOH - LC"),"Type 3",IF(C195="Flourish","Type 4","Type 1"))))</f>
        <v/>
      </c>
      <c r="E195" s="852" t="n"/>
      <c r="F195" s="852" t="n"/>
      <c r="G195" s="852" t="n"/>
      <c r="H195" s="888" t="n"/>
      <c r="I195" s="889" t="n"/>
      <c r="J195" s="888" t="n"/>
      <c r="K195">
        <f>SUM(H195:J195)</f>
        <v/>
      </c>
      <c r="L195" s="852" t="n"/>
      <c r="M195" s="852" t="n"/>
      <c r="N195" s="852" t="n"/>
      <c r="O195" s="852" t="n"/>
      <c r="P195" s="852" t="n"/>
      <c r="Q195" s="852" t="n"/>
      <c r="R195" s="852" t="n"/>
      <c r="S195" s="852" t="n"/>
      <c r="T195" s="852" t="n"/>
      <c r="U195" s="852" t="n"/>
      <c r="V195" s="852" t="n"/>
      <c r="W195" s="852" t="n"/>
      <c r="X195" s="852" t="n"/>
      <c r="Y195" s="852" t="n"/>
      <c r="Z195" s="852" t="n"/>
      <c r="AA195" s="852" t="n"/>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c r="CL195" s="59" t="n"/>
      <c r="CM195" s="59" t="n"/>
      <c r="CN195" s="59" t="n"/>
    </row>
    <row r="196" ht="15" customFormat="1" customHeight="1" s="3">
      <c r="A196">
        <f>IF(C196="","",ROW()-2)</f>
        <v/>
      </c>
      <c r="B196" s="852" t="n"/>
      <c r="C196" s="852" t="n"/>
      <c r="D196">
        <f>IF(C196="TOH","Type 1",IF(C196="POH","Type 2",IF(OR(C196="LTO",C196="TOH-LC",C196="TOH - LC"),"Type 3",IF(C196="Flourish","Type 4","Type 1"))))</f>
        <v/>
      </c>
      <c r="E196" s="852" t="n"/>
      <c r="F196" s="852" t="n"/>
      <c r="G196" s="852" t="n"/>
      <c r="H196" s="888" t="n"/>
      <c r="I196" s="889" t="n"/>
      <c r="J196" s="888" t="n"/>
      <c r="K196">
        <f>SUM(H196:J196)</f>
        <v/>
      </c>
      <c r="L196" s="852" t="n"/>
      <c r="M196" s="852" t="n"/>
      <c r="N196" s="852" t="n"/>
      <c r="O196" s="852" t="n"/>
      <c r="P196" s="852" t="n"/>
      <c r="Q196" s="852" t="n"/>
      <c r="R196" s="852" t="n"/>
      <c r="S196" s="852" t="n"/>
      <c r="T196" s="852" t="n"/>
      <c r="U196" s="852" t="n"/>
      <c r="V196" s="852" t="n"/>
      <c r="W196" s="852" t="n"/>
      <c r="X196" s="852" t="n"/>
      <c r="Y196" s="852" t="n"/>
      <c r="Z196" s="852" t="n"/>
      <c r="AA196" s="852" t="n"/>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c r="CL196" s="59" t="n"/>
      <c r="CM196" s="59" t="n"/>
      <c r="CN196" s="59" t="n"/>
    </row>
    <row r="197" ht="15" customFormat="1" customHeight="1" s="3">
      <c r="A197">
        <f>IF(C197="","",ROW()-2)</f>
        <v/>
      </c>
      <c r="B197" s="852" t="n"/>
      <c r="C197" s="852" t="n"/>
      <c r="D197">
        <f>IF(C197="TOH","Type 1",IF(C197="POH","Type 2",IF(OR(C197="LTO",C197="TOH-LC",C197="TOH - LC"),"Type 3",IF(C197="Flourish","Type 4","Type 1"))))</f>
        <v/>
      </c>
      <c r="E197" s="852" t="n"/>
      <c r="F197" s="852" t="n"/>
      <c r="G197" s="852" t="n"/>
      <c r="H197" s="888" t="n"/>
      <c r="I197" s="889" t="n"/>
      <c r="J197" s="888" t="n"/>
      <c r="K197">
        <f>SUM(H197:J197)</f>
        <v/>
      </c>
      <c r="L197" s="852" t="n"/>
      <c r="M197" s="852" t="n"/>
      <c r="N197" s="852" t="n"/>
      <c r="O197" s="852" t="n"/>
      <c r="P197" s="852" t="n"/>
      <c r="Q197" s="852" t="n"/>
      <c r="R197" s="852" t="n"/>
      <c r="S197" s="852" t="n"/>
      <c r="T197" s="852" t="n"/>
      <c r="U197" s="852" t="n"/>
      <c r="V197" s="852" t="n"/>
      <c r="W197" s="852" t="n"/>
      <c r="X197" s="852" t="n"/>
      <c r="Y197" s="852" t="n"/>
      <c r="Z197" s="852" t="n"/>
      <c r="AA197" s="852" t="n"/>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c r="CL197" s="59" t="n"/>
      <c r="CM197" s="59" t="n"/>
      <c r="CN197" s="59" t="n"/>
    </row>
    <row r="198" ht="15" customFormat="1" customHeight="1" s="3">
      <c r="A198">
        <f>IF(C198="","",ROW()-2)</f>
        <v/>
      </c>
      <c r="B198" s="852" t="n"/>
      <c r="C198" s="852" t="n"/>
      <c r="D198">
        <f>IF(C198="TOH","Type 1",IF(C198="POH","Type 2",IF(OR(C198="LTO",C198="TOH-LC",C198="TOH - LC"),"Type 3",IF(C198="Flourish","Type 4","Type 1"))))</f>
        <v/>
      </c>
      <c r="E198" s="852" t="n"/>
      <c r="F198" s="852" t="n"/>
      <c r="G198" s="852" t="n"/>
      <c r="H198" s="888" t="n"/>
      <c r="I198" s="889" t="n"/>
      <c r="J198" s="888" t="n"/>
      <c r="K198">
        <f>SUM(H198:J198)</f>
        <v/>
      </c>
      <c r="L198" s="852" t="n"/>
      <c r="M198" s="852" t="n"/>
      <c r="N198" s="852" t="n"/>
      <c r="O198" s="852" t="n"/>
      <c r="P198" s="852" t="n"/>
      <c r="Q198" s="852" t="n"/>
      <c r="R198" s="852" t="n"/>
      <c r="S198" s="852" t="n"/>
      <c r="T198" s="852" t="n"/>
      <c r="U198" s="852" t="n"/>
      <c r="V198" s="852" t="n"/>
      <c r="W198" s="852" t="n"/>
      <c r="X198" s="852" t="n"/>
      <c r="Y198" s="852" t="n"/>
      <c r="Z198" s="852" t="n"/>
      <c r="AA198" s="852" t="n"/>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c r="CL198" s="59" t="n"/>
      <c r="CM198" s="59" t="n"/>
      <c r="CN198" s="59" t="n"/>
    </row>
    <row r="199" ht="15" customFormat="1" customHeight="1" s="3">
      <c r="A199">
        <f>IF(C199="","",ROW()-2)</f>
        <v/>
      </c>
      <c r="B199" s="852" t="n"/>
      <c r="C199" s="852" t="n"/>
      <c r="D199">
        <f>IF(C199="TOH","Type 1",IF(C199="POH","Type 2",IF(OR(C199="LTO",C199="TOH-LC",C199="TOH - LC"),"Type 3",IF(C199="Flourish","Type 4","Type 1"))))</f>
        <v/>
      </c>
      <c r="E199" s="852" t="n"/>
      <c r="F199" s="852" t="n"/>
      <c r="G199" s="852" t="n"/>
      <c r="H199" s="888" t="n"/>
      <c r="I199" s="889" t="n"/>
      <c r="J199" s="888" t="n"/>
      <c r="K199">
        <f>SUM(H199:J199)</f>
        <v/>
      </c>
      <c r="L199" s="852" t="n"/>
      <c r="M199" s="852" t="n"/>
      <c r="N199" s="852" t="n"/>
      <c r="O199" s="852" t="n"/>
      <c r="P199" s="852" t="n"/>
      <c r="Q199" s="852" t="n"/>
      <c r="R199" s="852" t="n"/>
      <c r="S199" s="852" t="n"/>
      <c r="T199" s="852" t="n"/>
      <c r="U199" s="852" t="n"/>
      <c r="V199" s="852" t="n"/>
      <c r="W199" s="852" t="n"/>
      <c r="X199" s="852" t="n"/>
      <c r="Y199" s="852" t="n"/>
      <c r="Z199" s="852" t="n"/>
      <c r="AA199" s="852" t="n"/>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c r="CL199" s="59" t="n"/>
      <c r="CM199" s="59" t="n"/>
      <c r="CN199" s="59" t="n"/>
    </row>
    <row r="200" ht="15" customFormat="1" customHeight="1" s="3">
      <c r="A200">
        <f>IF(C200="","",ROW()-2)</f>
        <v/>
      </c>
      <c r="B200" s="852" t="n"/>
      <c r="C200" s="852" t="n"/>
      <c r="D200">
        <f>IF(C200="TOH","Type 1",IF(C200="POH","Type 2",IF(OR(C200="LTO",C200="TOH-LC",C200="TOH - LC"),"Type 3",IF(C200="Flourish","Type 4","Type 1"))))</f>
        <v/>
      </c>
      <c r="E200" s="852" t="n"/>
      <c r="F200" s="852" t="n"/>
      <c r="G200" s="852" t="n"/>
      <c r="H200" s="888" t="n"/>
      <c r="I200" s="889" t="n"/>
      <c r="J200" s="888" t="n"/>
      <c r="K200">
        <f>SUM(H200:J200)</f>
        <v/>
      </c>
      <c r="L200" s="852" t="n"/>
      <c r="M200" s="852" t="n"/>
      <c r="N200" s="852" t="n"/>
      <c r="O200" s="852" t="n"/>
      <c r="P200" s="852" t="n"/>
      <c r="Q200" s="852" t="n"/>
      <c r="R200" s="852" t="n"/>
      <c r="S200" s="852" t="n"/>
      <c r="T200" s="852" t="n"/>
      <c r="U200" s="852" t="n"/>
      <c r="V200" s="852" t="n"/>
      <c r="W200" s="852" t="n"/>
      <c r="X200" s="852" t="n"/>
      <c r="Y200" s="852" t="n"/>
      <c r="Z200" s="852" t="n"/>
      <c r="AA200" s="852" t="n"/>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c r="CL200" s="59" t="n"/>
      <c r="CM200" s="59" t="n"/>
      <c r="CN200" s="59" t="n"/>
    </row>
    <row r="201" ht="15" customFormat="1" customHeight="1" s="3">
      <c r="A201">
        <f>IF(C201="","",ROW()-2)</f>
        <v/>
      </c>
      <c r="B201" s="852" t="n"/>
      <c r="C201" s="852" t="n"/>
      <c r="D201">
        <f>IF(C201="TOH","Type 1",IF(C201="POH","Type 2",IF(OR(C201="LTO",C201="TOH-LC",C201="TOH - LC"),"Type 3",IF(C201="Flourish","Type 4","Type 1"))))</f>
        <v/>
      </c>
      <c r="E201" s="852" t="n"/>
      <c r="F201" s="852" t="n"/>
      <c r="G201" s="852" t="n"/>
      <c r="H201" s="888" t="n"/>
      <c r="I201" s="889" t="n"/>
      <c r="J201" s="888" t="n"/>
      <c r="K201">
        <f>SUM(H201:J201)</f>
        <v/>
      </c>
      <c r="L201" s="852" t="n"/>
      <c r="M201" s="852" t="n"/>
      <c r="N201" s="852" t="n"/>
      <c r="O201" s="852" t="n"/>
      <c r="P201" s="852" t="n"/>
      <c r="Q201" s="852" t="n"/>
      <c r="R201" s="852" t="n"/>
      <c r="S201" s="852" t="n"/>
      <c r="T201" s="852" t="n"/>
      <c r="U201" s="852" t="n"/>
      <c r="V201" s="852" t="n"/>
      <c r="W201" s="852" t="n"/>
      <c r="X201" s="852" t="n"/>
      <c r="Y201" s="852" t="n"/>
      <c r="Z201" s="852" t="n"/>
      <c r="AA201" s="852" t="n"/>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c r="CL201" s="59" t="n"/>
      <c r="CM201" s="59" t="n"/>
      <c r="CN201" s="59" t="n"/>
    </row>
    <row r="202" ht="15" customFormat="1" customHeight="1" s="3">
      <c r="A202">
        <f>IF(C202="","",ROW()-2)</f>
        <v/>
      </c>
      <c r="B202" s="852" t="n"/>
      <c r="C202" s="852" t="n"/>
      <c r="D202">
        <f>IF(C202="TOH","Type 1",IF(C202="POH","Type 2",IF(OR(C202="LTO",C202="TOH-LC",C202="TOH - LC"),"Type 3",IF(C202="Flourish","Type 4","Type 1"))))</f>
        <v/>
      </c>
      <c r="E202" s="852" t="n"/>
      <c r="F202" s="852" t="n"/>
      <c r="G202" s="852" t="n"/>
      <c r="H202" s="888" t="n"/>
      <c r="I202" s="889" t="n"/>
      <c r="J202" s="888" t="n"/>
      <c r="K202">
        <f>SUM(H202:J202)</f>
        <v/>
      </c>
      <c r="L202" s="852" t="n"/>
      <c r="M202" s="852" t="n"/>
      <c r="N202" s="852" t="n"/>
      <c r="O202" s="852" t="n"/>
      <c r="P202" s="852" t="n"/>
      <c r="Q202" s="852" t="n"/>
      <c r="R202" s="852" t="n"/>
      <c r="S202" s="852" t="n"/>
      <c r="T202" s="852" t="n"/>
      <c r="U202" s="852" t="n"/>
      <c r="V202" s="852" t="n"/>
      <c r="W202" s="852" t="n"/>
      <c r="X202" s="852" t="n"/>
      <c r="Y202" s="852" t="n"/>
      <c r="Z202" s="852" t="n"/>
      <c r="AA202" s="852" t="n"/>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c r="CL202" s="59" t="n"/>
      <c r="CM202" s="59" t="n"/>
      <c r="CN202" s="59" t="n"/>
    </row>
    <row r="203" ht="15" customFormat="1" customHeight="1" s="3">
      <c r="A203">
        <f>IF(C203="","",ROW()-2)</f>
        <v/>
      </c>
      <c r="B203" s="852" t="n"/>
      <c r="C203" s="852" t="n"/>
      <c r="D203">
        <f>IF(C203="TOH","Type 1",IF(C203="POH","Type 2",IF(OR(C203="LTO",C203="TOH-LC",C203="TOH - LC"),"Type 3",IF(C203="Flourish","Type 4","Type 1"))))</f>
        <v/>
      </c>
      <c r="E203" s="852" t="n"/>
      <c r="F203" s="852" t="n"/>
      <c r="G203" s="852" t="n"/>
      <c r="H203" s="888" t="n"/>
      <c r="I203" s="889" t="n"/>
      <c r="J203" s="888" t="n"/>
      <c r="K203">
        <f>SUM(H203:J203)</f>
        <v/>
      </c>
      <c r="L203" s="852" t="n"/>
      <c r="M203" s="852" t="n"/>
      <c r="N203" s="852" t="n"/>
      <c r="O203" s="852" t="n"/>
      <c r="P203" s="852" t="n"/>
      <c r="Q203" s="852" t="n"/>
      <c r="R203" s="852" t="n"/>
      <c r="S203" s="852" t="n"/>
      <c r="T203" s="852" t="n"/>
      <c r="U203" s="852" t="n"/>
      <c r="V203" s="852" t="n"/>
      <c r="W203" s="852" t="n"/>
      <c r="X203" s="852" t="n"/>
      <c r="Y203" s="852" t="n"/>
      <c r="Z203" s="852" t="n"/>
      <c r="AA203" s="852" t="n"/>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c r="CL203" s="59" t="n"/>
      <c r="CM203" s="59" t="n"/>
      <c r="CN203" s="59" t="n"/>
    </row>
    <row r="204" ht="15" customFormat="1" customHeight="1" s="3">
      <c r="A204">
        <f>IF(C204="","",ROW()-2)</f>
        <v/>
      </c>
      <c r="B204" s="852" t="n"/>
      <c r="C204" s="852" t="n"/>
      <c r="D204">
        <f>IF(C204="TOH","Type 1",IF(C204="POH","Type 2",IF(OR(C204="LTO",C204="TOH-LC",C204="TOH - LC"),"Type 3",IF(C204="Flourish","Type 4","Type 1"))))</f>
        <v/>
      </c>
      <c r="E204" s="852" t="n"/>
      <c r="F204" s="852" t="n"/>
      <c r="G204" s="852" t="n"/>
      <c r="H204" s="888" t="n"/>
      <c r="I204" s="889" t="n"/>
      <c r="J204" s="888" t="n"/>
      <c r="K204">
        <f>SUM(H204:J204)</f>
        <v/>
      </c>
      <c r="L204" s="852" t="n"/>
      <c r="M204" s="852" t="n"/>
      <c r="N204" s="852" t="n"/>
      <c r="O204" s="852" t="n"/>
      <c r="P204" s="852" t="n"/>
      <c r="Q204" s="852" t="n"/>
      <c r="R204" s="852" t="n"/>
      <c r="S204" s="852" t="n"/>
      <c r="T204" s="852" t="n"/>
      <c r="U204" s="852" t="n"/>
      <c r="V204" s="852" t="n"/>
      <c r="W204" s="852" t="n"/>
      <c r="X204" s="852" t="n"/>
      <c r="Y204" s="852" t="n"/>
      <c r="Z204" s="852" t="n"/>
      <c r="AA204" s="852" t="n"/>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c r="CL204" s="59" t="n"/>
      <c r="CM204" s="59" t="n"/>
      <c r="CN204" s="59" t="n"/>
    </row>
    <row r="205" ht="15" customFormat="1" customHeight="1" s="3">
      <c r="A205">
        <f>IF(C205="","",ROW()-2)</f>
        <v/>
      </c>
      <c r="B205" s="852" t="n"/>
      <c r="C205" s="852" t="n"/>
      <c r="D205">
        <f>IF(C205="TOH","Type 1",IF(C205="POH","Type 2",IF(OR(C205="LTO",C205="TOH-LC",C205="TOH - LC"),"Type 3",IF(C205="Flourish","Type 4","Type 1"))))</f>
        <v/>
      </c>
      <c r="E205" s="852" t="n"/>
      <c r="F205" s="852" t="n"/>
      <c r="G205" s="852" t="n"/>
      <c r="H205" s="888" t="n"/>
      <c r="I205" s="889" t="n"/>
      <c r="J205" s="888" t="n"/>
      <c r="K205">
        <f>SUM(H205:J205)</f>
        <v/>
      </c>
      <c r="L205" s="852" t="n"/>
      <c r="M205" s="852" t="n"/>
      <c r="N205" s="852" t="n"/>
      <c r="O205" s="852" t="n"/>
      <c r="P205" s="852" t="n"/>
      <c r="Q205" s="852" t="n"/>
      <c r="R205" s="852" t="n"/>
      <c r="S205" s="852" t="n"/>
      <c r="T205" s="852" t="n"/>
      <c r="U205" s="852" t="n"/>
      <c r="V205" s="852" t="n"/>
      <c r="W205" s="852" t="n"/>
      <c r="X205" s="852" t="n"/>
      <c r="Y205" s="852" t="n"/>
      <c r="Z205" s="852" t="n"/>
      <c r="AA205" s="852" t="n"/>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c r="CL205" s="59" t="n"/>
      <c r="CM205" s="59" t="n"/>
      <c r="CN205" s="59" t="n"/>
    </row>
    <row r="206" ht="15" customFormat="1" customHeight="1" s="3">
      <c r="A206">
        <f>IF(C206="","",ROW()-2)</f>
        <v/>
      </c>
      <c r="B206" s="852" t="n"/>
      <c r="C206" s="852" t="n"/>
      <c r="D206">
        <f>IF(C206="TOH","Type 1",IF(C206="POH","Type 2",IF(OR(C206="LTO",C206="TOH-LC",C206="TOH - LC"),"Type 3",IF(C206="Flourish","Type 4","Type 1"))))</f>
        <v/>
      </c>
      <c r="E206" s="852" t="n"/>
      <c r="F206" s="852" t="n"/>
      <c r="G206" s="852" t="n"/>
      <c r="H206" s="888" t="n"/>
      <c r="I206" s="889" t="n"/>
      <c r="J206" s="888" t="n"/>
      <c r="K206">
        <f>SUM(H206:J206)</f>
        <v/>
      </c>
      <c r="L206" s="852" t="n"/>
      <c r="M206" s="852" t="n"/>
      <c r="N206" s="852" t="n"/>
      <c r="O206" s="852" t="n"/>
      <c r="P206" s="852" t="n"/>
      <c r="Q206" s="852" t="n"/>
      <c r="R206" s="852" t="n"/>
      <c r="S206" s="852" t="n"/>
      <c r="T206" s="852" t="n"/>
      <c r="U206" s="852" t="n"/>
      <c r="V206" s="852" t="n"/>
      <c r="W206" s="852" t="n"/>
      <c r="X206" s="852" t="n"/>
      <c r="Y206" s="852" t="n"/>
      <c r="Z206" s="852" t="n"/>
      <c r="AA206" s="852" t="n"/>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c r="CL206" s="59" t="n"/>
      <c r="CM206" s="59" t="n"/>
      <c r="CN206" s="59" t="n"/>
    </row>
    <row r="207" ht="15" customFormat="1" customHeight="1" s="3">
      <c r="A207">
        <f>IF(C207="","",ROW()-2)</f>
        <v/>
      </c>
      <c r="B207" s="852" t="n"/>
      <c r="C207" s="852" t="n"/>
      <c r="D207">
        <f>IF(C207="TOH","Type 1",IF(C207="POH","Type 2",IF(OR(C207="LTO",C207="TOH-LC",C207="TOH - LC"),"Type 3",IF(C207="Flourish","Type 4","Type 1"))))</f>
        <v/>
      </c>
      <c r="E207" s="852" t="n"/>
      <c r="F207" s="852" t="n"/>
      <c r="G207" s="852" t="n"/>
      <c r="H207" s="888" t="n"/>
      <c r="I207" s="889" t="n"/>
      <c r="J207" s="888" t="n"/>
      <c r="K207">
        <f>SUM(H207:J207)</f>
        <v/>
      </c>
      <c r="L207" s="852" t="n"/>
      <c r="M207" s="852" t="n"/>
      <c r="N207" s="852" t="n"/>
      <c r="O207" s="852" t="n"/>
      <c r="P207" s="852" t="n"/>
      <c r="Q207" s="852" t="n"/>
      <c r="R207" s="852" t="n"/>
      <c r="S207" s="852" t="n"/>
      <c r="T207" s="852" t="n"/>
      <c r="U207" s="852" t="n"/>
      <c r="V207" s="852" t="n"/>
      <c r="W207" s="852" t="n"/>
      <c r="X207" s="852" t="n"/>
      <c r="Y207" s="852" t="n"/>
      <c r="Z207" s="852" t="n"/>
      <c r="AA207" s="852" t="n"/>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c r="CL207" s="59" t="n"/>
      <c r="CM207" s="59" t="n"/>
      <c r="CN207" s="59" t="n"/>
    </row>
    <row r="208" ht="15" customFormat="1" customHeight="1" s="3">
      <c r="A208">
        <f>IF(C208="","",ROW()-2)</f>
        <v/>
      </c>
      <c r="B208" s="852" t="n"/>
      <c r="C208" s="852" t="n"/>
      <c r="D208">
        <f>IF(C208="TOH","Type 1",IF(C208="POH","Type 2",IF(OR(C208="LTO",C208="TOH-LC",C208="TOH - LC"),"Type 3",IF(C208="Flourish","Type 4","Type 1"))))</f>
        <v/>
      </c>
      <c r="E208" s="852" t="n"/>
      <c r="F208" s="852" t="n"/>
      <c r="G208" s="852" t="n"/>
      <c r="H208" s="888" t="n"/>
      <c r="I208" s="889" t="n"/>
      <c r="J208" s="888" t="n"/>
      <c r="K208">
        <f>SUM(H208:J208)</f>
        <v/>
      </c>
      <c r="L208" s="852" t="n"/>
      <c r="M208" s="852" t="n"/>
      <c r="N208" s="852" t="n"/>
      <c r="O208" s="852" t="n"/>
      <c r="P208" s="852" t="n"/>
      <c r="Q208" s="852" t="n"/>
      <c r="R208" s="852" t="n"/>
      <c r="S208" s="852" t="n"/>
      <c r="T208" s="852" t="n"/>
      <c r="U208" s="852" t="n"/>
      <c r="V208" s="852" t="n"/>
      <c r="W208" s="852" t="n"/>
      <c r="X208" s="852" t="n"/>
      <c r="Y208" s="852" t="n"/>
      <c r="Z208" s="852" t="n"/>
      <c r="AA208" s="852" t="n"/>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c r="CL208" s="59" t="n"/>
      <c r="CM208" s="59" t="n"/>
      <c r="CN208" s="59" t="n"/>
    </row>
    <row r="209" ht="15" customFormat="1" customHeight="1" s="3">
      <c r="A209">
        <f>IF(C209="","",ROW()-2)</f>
        <v/>
      </c>
      <c r="B209" s="852" t="n"/>
      <c r="C209" s="852" t="n"/>
      <c r="D209">
        <f>IF(C209="TOH","Type 1",IF(C209="POH","Type 2",IF(OR(C209="LTO",C209="TOH-LC",C209="TOH - LC"),"Type 3",IF(C209="Flourish","Type 4","Type 1"))))</f>
        <v/>
      </c>
      <c r="E209" s="852" t="n"/>
      <c r="F209" s="852" t="n"/>
      <c r="G209" s="852" t="n"/>
      <c r="H209" s="888" t="n"/>
      <c r="I209" s="889" t="n"/>
      <c r="J209" s="888" t="n"/>
      <c r="K209">
        <f>SUM(H209:J209)</f>
        <v/>
      </c>
      <c r="L209" s="852" t="n"/>
      <c r="M209" s="852" t="n"/>
      <c r="N209" s="852" t="n"/>
      <c r="O209" s="852" t="n"/>
      <c r="P209" s="852" t="n"/>
      <c r="Q209" s="852" t="n"/>
      <c r="R209" s="852" t="n"/>
      <c r="S209" s="852" t="n"/>
      <c r="T209" s="852" t="n"/>
      <c r="U209" s="852" t="n"/>
      <c r="V209" s="852" t="n"/>
      <c r="W209" s="852" t="n"/>
      <c r="X209" s="852" t="n"/>
      <c r="Y209" s="852" t="n"/>
      <c r="Z209" s="852" t="n"/>
      <c r="AA209" s="852" t="n"/>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c r="CL209" s="59" t="n"/>
      <c r="CM209" s="59" t="n"/>
      <c r="CN209" s="59" t="n"/>
    </row>
    <row r="210" ht="15" customFormat="1" customHeight="1" s="3">
      <c r="A210">
        <f>IF(C210="","",ROW()-2)</f>
        <v/>
      </c>
      <c r="B210" s="852" t="n"/>
      <c r="C210" s="852" t="n"/>
      <c r="D210">
        <f>IF(C210="TOH","Type 1",IF(C210="POH","Type 2",IF(OR(C210="LTO",C210="TOH-LC",C210="TOH - LC"),"Type 3",IF(C210="Flourish","Type 4","Type 1"))))</f>
        <v/>
      </c>
      <c r="E210" s="852" t="n"/>
      <c r="F210" s="852" t="n"/>
      <c r="G210" s="852" t="n"/>
      <c r="H210" s="888" t="n"/>
      <c r="I210" s="889" t="n"/>
      <c r="J210" s="888" t="n"/>
      <c r="K210">
        <f>SUM(H210:J210)</f>
        <v/>
      </c>
      <c r="L210" s="852" t="n"/>
      <c r="M210" s="852" t="n"/>
      <c r="N210" s="852" t="n"/>
      <c r="O210" s="852" t="n"/>
      <c r="P210" s="852" t="n"/>
      <c r="Q210" s="852" t="n"/>
      <c r="R210" s="852" t="n"/>
      <c r="S210" s="852" t="n"/>
      <c r="T210" s="852" t="n"/>
      <c r="U210" s="852" t="n"/>
      <c r="V210" s="852" t="n"/>
      <c r="W210" s="852" t="n"/>
      <c r="X210" s="852" t="n"/>
      <c r="Y210" s="852" t="n"/>
      <c r="Z210" s="852" t="n"/>
      <c r="AA210" s="852" t="n"/>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c r="CL210" s="59" t="n"/>
      <c r="CM210" s="59" t="n"/>
      <c r="CN210" s="59" t="n"/>
    </row>
    <row r="211" ht="15" customFormat="1" customHeight="1" s="3">
      <c r="A211">
        <f>IF(C211="","",ROW()-2)</f>
        <v/>
      </c>
      <c r="B211" s="852" t="n"/>
      <c r="C211" s="852" t="n"/>
      <c r="D211">
        <f>IF(C211="TOH","Type 1",IF(C211="POH","Type 2",IF(OR(C211="LTO",C211="TOH-LC",C211="TOH - LC"),"Type 3",IF(C211="Flourish","Type 4","Type 1"))))</f>
        <v/>
      </c>
      <c r="E211" s="852" t="n"/>
      <c r="F211" s="852" t="n"/>
      <c r="G211" s="852" t="n"/>
      <c r="H211" s="888" t="n"/>
      <c r="I211" s="889" t="n"/>
      <c r="J211" s="888" t="n"/>
      <c r="K211">
        <f>SUM(H211:J211)</f>
        <v/>
      </c>
      <c r="L211" s="852" t="n"/>
      <c r="M211" s="852" t="n"/>
      <c r="N211" s="852" t="n"/>
      <c r="O211" s="852" t="n"/>
      <c r="P211" s="852" t="n"/>
      <c r="Q211" s="852" t="n"/>
      <c r="R211" s="852" t="n"/>
      <c r="S211" s="852" t="n"/>
      <c r="T211" s="852" t="n"/>
      <c r="U211" s="852" t="n"/>
      <c r="V211" s="852" t="n"/>
      <c r="W211" s="852" t="n"/>
      <c r="X211" s="852" t="n"/>
      <c r="Y211" s="852" t="n"/>
      <c r="Z211" s="852" t="n"/>
      <c r="AA211" s="852" t="n"/>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c r="CL211" s="59" t="n"/>
      <c r="CM211" s="59" t="n"/>
      <c r="CN211" s="59" t="n"/>
    </row>
    <row r="212" ht="15" customFormat="1" customHeight="1" s="3">
      <c r="A212">
        <f>IF(C212="","",ROW()-2)</f>
        <v/>
      </c>
      <c r="B212" s="852" t="n"/>
      <c r="C212" s="852" t="n"/>
      <c r="D212">
        <f>IF(C212="TOH","Type 1",IF(C212="POH","Type 2",IF(OR(C212="LTO",C212="TOH-LC",C212="TOH - LC"),"Type 3",IF(C212="Flourish","Type 4","Type 1"))))</f>
        <v/>
      </c>
      <c r="E212" s="852" t="n"/>
      <c r="F212" s="852" t="n"/>
      <c r="G212" s="852" t="n"/>
      <c r="H212" s="888" t="n"/>
      <c r="I212" s="889" t="n"/>
      <c r="J212" s="888" t="n"/>
      <c r="K212">
        <f>SUM(H212:J212)</f>
        <v/>
      </c>
      <c r="L212" s="852" t="n"/>
      <c r="M212" s="852" t="n"/>
      <c r="N212" s="852" t="n"/>
      <c r="O212" s="852" t="n"/>
      <c r="P212" s="852" t="n"/>
      <c r="Q212" s="852" t="n"/>
      <c r="R212" s="852" t="n"/>
      <c r="S212" s="852" t="n"/>
      <c r="T212" s="852" t="n"/>
      <c r="U212" s="852" t="n"/>
      <c r="V212" s="852" t="n"/>
      <c r="W212" s="852" t="n"/>
      <c r="X212" s="852" t="n"/>
      <c r="Y212" s="852" t="n"/>
      <c r="Z212" s="852" t="n"/>
      <c r="AA212" s="852" t="n"/>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c r="CL212" s="59" t="n"/>
      <c r="CM212" s="59" t="n"/>
      <c r="CN212" s="59" t="n"/>
    </row>
    <row r="213" ht="15" customFormat="1" customHeight="1" s="3">
      <c r="A213">
        <f>IF(C213="","",ROW()-2)</f>
        <v/>
      </c>
      <c r="B213" s="852" t="n"/>
      <c r="C213" s="852" t="n"/>
      <c r="D213">
        <f>IF(C213="TOH","Type 1",IF(C213="POH","Type 2",IF(OR(C213="LTO",C213="TOH-LC",C213="TOH - LC"),"Type 3",IF(C213="Flourish","Type 4","Type 1"))))</f>
        <v/>
      </c>
      <c r="E213" s="852" t="n"/>
      <c r="F213" s="852" t="n"/>
      <c r="G213" s="852" t="n"/>
      <c r="H213" s="888" t="n"/>
      <c r="I213" s="889" t="n"/>
      <c r="J213" s="888" t="n"/>
      <c r="K213">
        <f>SUM(H213:J213)</f>
        <v/>
      </c>
      <c r="L213" s="852" t="n"/>
      <c r="M213" s="852" t="n"/>
      <c r="N213" s="852" t="n"/>
      <c r="O213" s="852" t="n"/>
      <c r="P213" s="852" t="n"/>
      <c r="Q213" s="852" t="n"/>
      <c r="R213" s="852" t="n"/>
      <c r="S213" s="852" t="n"/>
      <c r="T213" s="852" t="n"/>
      <c r="U213" s="852" t="n"/>
      <c r="V213" s="852" t="n"/>
      <c r="W213" s="852" t="n"/>
      <c r="X213" s="852" t="n"/>
      <c r="Y213" s="852" t="n"/>
      <c r="Z213" s="852" t="n"/>
      <c r="AA213" s="852" t="n"/>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c r="CL213" s="59" t="n"/>
      <c r="CM213" s="59" t="n"/>
      <c r="CN213" s="59" t="n"/>
    </row>
    <row r="214" ht="15" customFormat="1" customHeight="1" s="3">
      <c r="A214">
        <f>IF(C214="","",ROW()-2)</f>
        <v/>
      </c>
      <c r="B214" s="852" t="n"/>
      <c r="C214" s="852" t="n"/>
      <c r="D214">
        <f>IF(C214="TOH","Type 1",IF(C214="POH","Type 2",IF(OR(C214="LTO",C214="TOH-LC",C214="TOH - LC"),"Type 3",IF(C214="Flourish","Type 4","Type 1"))))</f>
        <v/>
      </c>
      <c r="E214" s="852" t="n"/>
      <c r="F214" s="852" t="n"/>
      <c r="G214" s="852" t="n"/>
      <c r="H214" s="888" t="n"/>
      <c r="I214" s="889" t="n"/>
      <c r="J214" s="888" t="n"/>
      <c r="K214">
        <f>SUM(H214:J214)</f>
        <v/>
      </c>
      <c r="L214" s="852" t="n"/>
      <c r="M214" s="852" t="n"/>
      <c r="N214" s="852" t="n"/>
      <c r="O214" s="852" t="n"/>
      <c r="P214" s="852" t="n"/>
      <c r="Q214" s="852" t="n"/>
      <c r="R214" s="852" t="n"/>
      <c r="S214" s="852" t="n"/>
      <c r="T214" s="852" t="n"/>
      <c r="U214" s="852" t="n"/>
      <c r="V214" s="852" t="n"/>
      <c r="W214" s="852" t="n"/>
      <c r="X214" s="852" t="n"/>
      <c r="Y214" s="852" t="n"/>
      <c r="Z214" s="852" t="n"/>
      <c r="AA214" s="852" t="n"/>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c r="CL214" s="59" t="n"/>
      <c r="CM214" s="59" t="n"/>
      <c r="CN214" s="59" t="n"/>
    </row>
    <row r="215" ht="15" customFormat="1" customHeight="1" s="3">
      <c r="A215">
        <f>IF(C215="","",ROW()-2)</f>
        <v/>
      </c>
      <c r="B215" s="852" t="n"/>
      <c r="C215" s="852" t="n"/>
      <c r="D215">
        <f>IF(C215="TOH","Type 1",IF(C215="POH","Type 2",IF(OR(C215="LTO",C215="TOH-LC",C215="TOH - LC"),"Type 3",IF(C215="Flourish","Type 4","Type 1"))))</f>
        <v/>
      </c>
      <c r="E215" s="852" t="n"/>
      <c r="F215" s="852" t="n"/>
      <c r="G215" s="852" t="n"/>
      <c r="H215" s="888" t="n"/>
      <c r="I215" s="889" t="n"/>
      <c r="J215" s="888" t="n"/>
      <c r="K215">
        <f>SUM(H215:J215)</f>
        <v/>
      </c>
      <c r="L215" s="852" t="n"/>
      <c r="M215" s="852" t="n"/>
      <c r="N215" s="852" t="n"/>
      <c r="O215" s="852" t="n"/>
      <c r="P215" s="852" t="n"/>
      <c r="Q215" s="852" t="n"/>
      <c r="R215" s="852" t="n"/>
      <c r="S215" s="852" t="n"/>
      <c r="T215" s="852" t="n"/>
      <c r="U215" s="852" t="n"/>
      <c r="V215" s="852" t="n"/>
      <c r="W215" s="852" t="n"/>
      <c r="X215" s="852" t="n"/>
      <c r="Y215" s="852" t="n"/>
      <c r="Z215" s="852" t="n"/>
      <c r="AA215" s="852" t="n"/>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c r="CL215" s="59" t="n"/>
      <c r="CM215" s="59" t="n"/>
      <c r="CN215" s="59" t="n"/>
    </row>
    <row r="216" ht="15" customFormat="1" customHeight="1" s="3">
      <c r="A216">
        <f>IF(C216="","",ROW()-2)</f>
        <v/>
      </c>
      <c r="B216" s="852" t="n"/>
      <c r="C216" s="852" t="n"/>
      <c r="D216">
        <f>IF(C216="TOH","Type 1",IF(C216="POH","Type 2",IF(OR(C216="LTO",C216="TOH-LC",C216="TOH - LC"),"Type 3",IF(C216="Flourish","Type 4","Type 1"))))</f>
        <v/>
      </c>
      <c r="E216" s="852" t="n"/>
      <c r="F216" s="852" t="n"/>
      <c r="G216" s="852" t="n"/>
      <c r="H216" s="888" t="n"/>
      <c r="I216" s="889" t="n"/>
      <c r="J216" s="888" t="n"/>
      <c r="K216">
        <f>SUM(H216:J216)</f>
        <v/>
      </c>
      <c r="L216" s="852" t="n"/>
      <c r="M216" s="852" t="n"/>
      <c r="N216" s="852" t="n"/>
      <c r="O216" s="852" t="n"/>
      <c r="P216" s="852" t="n"/>
      <c r="Q216" s="852" t="n"/>
      <c r="R216" s="852" t="n"/>
      <c r="S216" s="852" t="n"/>
      <c r="T216" s="852" t="n"/>
      <c r="U216" s="852" t="n"/>
      <c r="V216" s="852" t="n"/>
      <c r="W216" s="852" t="n"/>
      <c r="X216" s="852" t="n"/>
      <c r="Y216" s="852" t="n"/>
      <c r="Z216" s="852" t="n"/>
      <c r="AA216" s="852" t="n"/>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c r="CL216" s="59" t="n"/>
      <c r="CM216" s="59" t="n"/>
      <c r="CN216" s="59" t="n"/>
    </row>
    <row r="217" ht="15" customFormat="1" customHeight="1" s="3">
      <c r="A217">
        <f>IF(C217="","",ROW()-2)</f>
        <v/>
      </c>
      <c r="B217" s="852" t="n"/>
      <c r="C217" s="852" t="n"/>
      <c r="D217">
        <f>IF(C217="TOH","Type 1",IF(C217="POH","Type 2",IF(OR(C217="LTO",C217="TOH-LC",C217="TOH - LC"),"Type 3",IF(C217="Flourish","Type 4","Type 1"))))</f>
        <v/>
      </c>
      <c r="E217" s="852" t="n"/>
      <c r="F217" s="852" t="n"/>
      <c r="G217" s="852" t="n"/>
      <c r="H217" s="888" t="n"/>
      <c r="I217" s="889" t="n"/>
      <c r="J217" s="888" t="n"/>
      <c r="K217">
        <f>SUM(H217:J217)</f>
        <v/>
      </c>
      <c r="L217" s="852" t="n"/>
      <c r="M217" s="852" t="n"/>
      <c r="N217" s="852" t="n"/>
      <c r="O217" s="852" t="n"/>
      <c r="P217" s="852" t="n"/>
      <c r="Q217" s="852" t="n"/>
      <c r="R217" s="852" t="n"/>
      <c r="S217" s="852" t="n"/>
      <c r="T217" s="852" t="n"/>
      <c r="U217" s="852" t="n"/>
      <c r="V217" s="852" t="n"/>
      <c r="W217" s="852" t="n"/>
      <c r="X217" s="852" t="n"/>
      <c r="Y217" s="852" t="n"/>
      <c r="Z217" s="852" t="n"/>
      <c r="AA217" s="852" t="n"/>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c r="CL217" s="59" t="n"/>
      <c r="CM217" s="59" t="n"/>
      <c r="CN217" s="59" t="n"/>
    </row>
    <row r="218" ht="15" customFormat="1" customHeight="1" s="3">
      <c r="A218">
        <f>IF(C218="","",ROW()-2)</f>
        <v/>
      </c>
      <c r="B218" s="852" t="n"/>
      <c r="C218" s="852" t="n"/>
      <c r="D218">
        <f>IF(C218="TOH","Type 1",IF(C218="POH","Type 2",IF(OR(C218="LTO",C218="TOH-LC",C218="TOH - LC"),"Type 3",IF(C218="Flourish","Type 4","Type 1"))))</f>
        <v/>
      </c>
      <c r="E218" s="852" t="n"/>
      <c r="F218" s="852" t="n"/>
      <c r="G218" s="852" t="n"/>
      <c r="H218" s="888" t="n"/>
      <c r="I218" s="889" t="n"/>
      <c r="J218" s="888" t="n"/>
      <c r="K218">
        <f>SUM(H218:J218)</f>
        <v/>
      </c>
      <c r="L218" s="852" t="n"/>
      <c r="M218" s="852" t="n"/>
      <c r="N218" s="852" t="n"/>
      <c r="O218" s="852" t="n"/>
      <c r="P218" s="852" t="n"/>
      <c r="Q218" s="852" t="n"/>
      <c r="R218" s="852" t="n"/>
      <c r="S218" s="852" t="n"/>
      <c r="T218" s="852" t="n"/>
      <c r="U218" s="852" t="n"/>
      <c r="V218" s="852" t="n"/>
      <c r="W218" s="852" t="n"/>
      <c r="X218" s="852" t="n"/>
      <c r="Y218" s="852" t="n"/>
      <c r="Z218" s="852" t="n"/>
      <c r="AA218" s="852" t="n"/>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c r="CL218" s="59" t="n"/>
      <c r="CM218" s="59" t="n"/>
      <c r="CN218" s="59" t="n"/>
    </row>
    <row r="219" ht="15" customFormat="1" customHeight="1" s="3">
      <c r="A219">
        <f>IF(C219="","",ROW()-2)</f>
        <v/>
      </c>
      <c r="B219" s="852" t="n"/>
      <c r="C219" s="852" t="n"/>
      <c r="D219">
        <f>IF(C219="TOH","Type 1",IF(C219="POH","Type 2",IF(OR(C219="LTO",C219="TOH-LC",C219="TOH - LC"),"Type 3",IF(C219="Flourish","Type 4","Type 1"))))</f>
        <v/>
      </c>
      <c r="E219" s="852" t="n"/>
      <c r="F219" s="852" t="n"/>
      <c r="G219" s="852" t="n"/>
      <c r="H219" s="888" t="n"/>
      <c r="I219" s="889" t="n"/>
      <c r="J219" s="888" t="n"/>
      <c r="K219">
        <f>SUM(H219:J219)</f>
        <v/>
      </c>
      <c r="L219" s="852" t="n"/>
      <c r="M219" s="852" t="n"/>
      <c r="N219" s="852" t="n"/>
      <c r="O219" s="852" t="n"/>
      <c r="P219" s="852" t="n"/>
      <c r="Q219" s="852" t="n"/>
      <c r="R219" s="852" t="n"/>
      <c r="S219" s="852" t="n"/>
      <c r="T219" s="852" t="n"/>
      <c r="U219" s="852" t="n"/>
      <c r="V219" s="852" t="n"/>
      <c r="W219" s="852" t="n"/>
      <c r="X219" s="852" t="n"/>
      <c r="Y219" s="852" t="n"/>
      <c r="Z219" s="852" t="n"/>
      <c r="AA219" s="852" t="n"/>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c r="CL219" s="59" t="n"/>
      <c r="CM219" s="59" t="n"/>
      <c r="CN219" s="59" t="n"/>
    </row>
    <row r="220" ht="15" customFormat="1" customHeight="1" s="3">
      <c r="A220">
        <f>IF(C220="","",ROW()-2)</f>
        <v/>
      </c>
      <c r="B220" s="852" t="n"/>
      <c r="C220" s="852" t="n"/>
      <c r="D220">
        <f>IF(C220="TOH","Type 1",IF(C220="POH","Type 2",IF(OR(C220="LTO",C220="TOH-LC",C220="TOH - LC"),"Type 3",IF(C220="Flourish","Type 4","Type 1"))))</f>
        <v/>
      </c>
      <c r="E220" s="852" t="n"/>
      <c r="F220" s="852" t="n"/>
      <c r="G220" s="852" t="n"/>
      <c r="H220" s="888" t="n"/>
      <c r="I220" s="889" t="n"/>
      <c r="J220" s="888" t="n"/>
      <c r="K220">
        <f>SUM(H220:J220)</f>
        <v/>
      </c>
      <c r="L220" s="852" t="n"/>
      <c r="M220" s="852" t="n"/>
      <c r="N220" s="852" t="n"/>
      <c r="O220" s="852" t="n"/>
      <c r="P220" s="852" t="n"/>
      <c r="Q220" s="852" t="n"/>
      <c r="R220" s="852" t="n"/>
      <c r="S220" s="852" t="n"/>
      <c r="T220" s="852" t="n"/>
      <c r="U220" s="852" t="n"/>
      <c r="V220" s="852" t="n"/>
      <c r="W220" s="852" t="n"/>
      <c r="X220" s="852" t="n"/>
      <c r="Y220" s="852" t="n"/>
      <c r="Z220" s="852" t="n"/>
      <c r="AA220" s="852" t="n"/>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c r="CL220" s="59" t="n"/>
      <c r="CM220" s="59" t="n"/>
      <c r="CN220" s="59" t="n"/>
    </row>
    <row r="221" ht="15" customFormat="1" customHeight="1" s="3">
      <c r="A221">
        <f>IF(C221="","",ROW()-2)</f>
        <v/>
      </c>
      <c r="B221" s="852" t="n"/>
      <c r="C221" s="852" t="n"/>
      <c r="D221">
        <f>IF(C221="TOH","Type 1",IF(C221="POH","Type 2",IF(OR(C221="LTO",C221="TOH-LC",C221="TOH - LC"),"Type 3",IF(C221="Flourish","Type 4","Type 1"))))</f>
        <v/>
      </c>
      <c r="E221" s="852" t="n"/>
      <c r="F221" s="852" t="n"/>
      <c r="G221" s="852" t="n"/>
      <c r="H221" s="888" t="n"/>
      <c r="I221" s="889" t="n"/>
      <c r="J221" s="888" t="n"/>
      <c r="K221">
        <f>SUM(H221:J221)</f>
        <v/>
      </c>
      <c r="L221" s="852" t="n"/>
      <c r="M221" s="852" t="n"/>
      <c r="N221" s="852" t="n"/>
      <c r="O221" s="852" t="n"/>
      <c r="P221" s="852" t="n"/>
      <c r="Q221" s="852" t="n"/>
      <c r="R221" s="852" t="n"/>
      <c r="S221" s="852" t="n"/>
      <c r="T221" s="852" t="n"/>
      <c r="U221" s="852" t="n"/>
      <c r="V221" s="852" t="n"/>
      <c r="W221" s="852" t="n"/>
      <c r="X221" s="852" t="n"/>
      <c r="Y221" s="852" t="n"/>
      <c r="Z221" s="852" t="n"/>
      <c r="AA221" s="852" t="n"/>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c r="CL221" s="59" t="n"/>
      <c r="CM221" s="59" t="n"/>
      <c r="CN221" s="59" t="n"/>
    </row>
    <row r="222" ht="15" customFormat="1" customHeight="1" s="3">
      <c r="A222">
        <f>IF(C222="","",ROW()-2)</f>
        <v/>
      </c>
      <c r="B222" s="852" t="n"/>
      <c r="C222" s="852" t="n"/>
      <c r="D222">
        <f>IF(C222="TOH","Type 1",IF(C222="POH","Type 2",IF(OR(C222="LTO",C222="TOH-LC",C222="TOH - LC"),"Type 3",IF(C222="Flourish","Type 4","Type 1"))))</f>
        <v/>
      </c>
      <c r="E222" s="852" t="n"/>
      <c r="F222" s="852" t="n"/>
      <c r="G222" s="852" t="n"/>
      <c r="H222" s="888" t="n"/>
      <c r="I222" s="889" t="n"/>
      <c r="J222" s="888" t="n"/>
      <c r="K222">
        <f>SUM(H222:J222)</f>
        <v/>
      </c>
      <c r="L222" s="852" t="n"/>
      <c r="M222" s="852" t="n"/>
      <c r="N222" s="852" t="n"/>
      <c r="O222" s="852" t="n"/>
      <c r="P222" s="852" t="n"/>
      <c r="Q222" s="852" t="n"/>
      <c r="R222" s="852" t="n"/>
      <c r="S222" s="852" t="n"/>
      <c r="T222" s="852" t="n"/>
      <c r="U222" s="852" t="n"/>
      <c r="V222" s="852" t="n"/>
      <c r="W222" s="852" t="n"/>
      <c r="X222" s="852" t="n"/>
      <c r="Y222" s="852" t="n"/>
      <c r="Z222" s="852" t="n"/>
      <c r="AA222" s="852" t="n"/>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c r="CL222" s="59" t="n"/>
      <c r="CM222" s="59" t="n"/>
      <c r="CN222" s="59" t="n"/>
    </row>
    <row r="223" ht="15" customFormat="1" customHeight="1" s="3">
      <c r="A223">
        <f>IF(C223="","",ROW()-2)</f>
        <v/>
      </c>
      <c r="B223" s="852" t="n"/>
      <c r="C223" s="852" t="n"/>
      <c r="D223">
        <f>IF(C223="TOH","Type 1",IF(C223="POH","Type 2",IF(OR(C223="LTO",C223="TOH-LC",C223="TOH - LC"),"Type 3",IF(C223="Flourish","Type 4","Type 1"))))</f>
        <v/>
      </c>
      <c r="E223" s="852" t="n"/>
      <c r="F223" s="852" t="n"/>
      <c r="G223" s="852" t="n"/>
      <c r="H223" s="888" t="n"/>
      <c r="I223" s="889" t="n"/>
      <c r="J223" s="888" t="n"/>
      <c r="K223">
        <f>SUM(H223:J223)</f>
        <v/>
      </c>
      <c r="L223" s="852" t="n"/>
      <c r="M223" s="852" t="n"/>
      <c r="N223" s="852" t="n"/>
      <c r="O223" s="852" t="n"/>
      <c r="P223" s="852" t="n"/>
      <c r="Q223" s="852" t="n"/>
      <c r="R223" s="852" t="n"/>
      <c r="S223" s="852" t="n"/>
      <c r="T223" s="852" t="n"/>
      <c r="U223" s="852" t="n"/>
      <c r="V223" s="852" t="n"/>
      <c r="W223" s="852" t="n"/>
      <c r="X223" s="852" t="n"/>
      <c r="Y223" s="852" t="n"/>
      <c r="Z223" s="852" t="n"/>
      <c r="AA223" s="852" t="n"/>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c r="CL223" s="59" t="n"/>
      <c r="CM223" s="59" t="n"/>
      <c r="CN223" s="59" t="n"/>
    </row>
    <row r="224" ht="15" customFormat="1" customHeight="1" s="3">
      <c r="A224">
        <f>IF(C224="","",ROW()-2)</f>
        <v/>
      </c>
      <c r="B224" s="852" t="n"/>
      <c r="C224" s="852" t="n"/>
      <c r="D224">
        <f>IF(C224="TOH","Type 1",IF(C224="POH","Type 2",IF(OR(C224="LTO",C224="TOH-LC",C224="TOH - LC"),"Type 3",IF(C224="Flourish","Type 4","Type 1"))))</f>
        <v/>
      </c>
      <c r="E224" s="852" t="n"/>
      <c r="F224" s="852" t="n"/>
      <c r="G224" s="852" t="n"/>
      <c r="H224" s="888" t="n"/>
      <c r="I224" s="889" t="n"/>
      <c r="J224" s="888" t="n"/>
      <c r="K224">
        <f>SUM(H224:J224)</f>
        <v/>
      </c>
      <c r="L224" s="852" t="n"/>
      <c r="M224" s="852" t="n"/>
      <c r="N224" s="852" t="n"/>
      <c r="O224" s="852" t="n"/>
      <c r="P224" s="852" t="n"/>
      <c r="Q224" s="852" t="n"/>
      <c r="R224" s="852" t="n"/>
      <c r="S224" s="852" t="n"/>
      <c r="T224" s="852" t="n"/>
      <c r="U224" s="852" t="n"/>
      <c r="V224" s="852" t="n"/>
      <c r="W224" s="852" t="n"/>
      <c r="X224" s="852" t="n"/>
      <c r="Y224" s="852" t="n"/>
      <c r="Z224" s="852" t="n"/>
      <c r="AA224" s="852" t="n"/>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c r="CL224" s="59" t="n"/>
      <c r="CM224" s="59" t="n"/>
      <c r="CN224" s="59" t="n"/>
    </row>
    <row r="225" ht="15" customFormat="1" customHeight="1" s="3">
      <c r="A225">
        <f>IF(C225="","",ROW()-2)</f>
        <v/>
      </c>
      <c r="B225" s="852" t="n"/>
      <c r="C225" s="852" t="n"/>
      <c r="D225">
        <f>IF(C225="TOH","Type 1",IF(C225="POH","Type 2",IF(OR(C225="LTO",C225="TOH-LC",C225="TOH - LC"),"Type 3",IF(C225="Flourish","Type 4","Type 1"))))</f>
        <v/>
      </c>
      <c r="E225" s="852" t="n"/>
      <c r="F225" s="852" t="n"/>
      <c r="G225" s="852" t="n"/>
      <c r="H225" s="888" t="n"/>
      <c r="I225" s="889" t="n"/>
      <c r="J225" s="888" t="n"/>
      <c r="K225">
        <f>SUM(H225:J225)</f>
        <v/>
      </c>
      <c r="L225" s="852" t="n"/>
      <c r="M225" s="852" t="n"/>
      <c r="N225" s="852" t="n"/>
      <c r="O225" s="852" t="n"/>
      <c r="P225" s="852" t="n"/>
      <c r="Q225" s="852" t="n"/>
      <c r="R225" s="852" t="n"/>
      <c r="S225" s="852" t="n"/>
      <c r="T225" s="852" t="n"/>
      <c r="U225" s="852" t="n"/>
      <c r="V225" s="852" t="n"/>
      <c r="W225" s="852" t="n"/>
      <c r="X225" s="852" t="n"/>
      <c r="Y225" s="852" t="n"/>
      <c r="Z225" s="852" t="n"/>
      <c r="AA225" s="852" t="n"/>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c r="CL225" s="59" t="n"/>
      <c r="CM225" s="59" t="n"/>
      <c r="CN225" s="59" t="n"/>
    </row>
    <row r="226" ht="15" customFormat="1" customHeight="1" s="3">
      <c r="A226">
        <f>IF(C226="","",ROW()-2)</f>
        <v/>
      </c>
      <c r="B226" s="852" t="n"/>
      <c r="C226" s="852" t="n"/>
      <c r="D226">
        <f>IF(C226="TOH","Type 1",IF(C226="POH","Type 2",IF(OR(C226="LTO",C226="TOH-LC",C226="TOH - LC"),"Type 3",IF(C226="Flourish","Type 4","Type 1"))))</f>
        <v/>
      </c>
      <c r="E226" s="852" t="n"/>
      <c r="F226" s="852" t="n"/>
      <c r="G226" s="852" t="n"/>
      <c r="H226" s="888" t="n"/>
      <c r="I226" s="889" t="n"/>
      <c r="J226" s="888" t="n"/>
      <c r="K226">
        <f>SUM(H226:J226)</f>
        <v/>
      </c>
      <c r="L226" s="852" t="n"/>
      <c r="M226" s="852" t="n"/>
      <c r="N226" s="852" t="n"/>
      <c r="O226" s="852" t="n"/>
      <c r="P226" s="852" t="n"/>
      <c r="Q226" s="852" t="n"/>
      <c r="R226" s="852" t="n"/>
      <c r="S226" s="852" t="n"/>
      <c r="T226" s="852" t="n"/>
      <c r="U226" s="852" t="n"/>
      <c r="V226" s="852" t="n"/>
      <c r="W226" s="852" t="n"/>
      <c r="X226" s="852" t="n"/>
      <c r="Y226" s="852" t="n"/>
      <c r="Z226" s="852" t="n"/>
      <c r="AA226" s="852" t="n"/>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c r="CL226" s="59" t="n"/>
      <c r="CM226" s="59" t="n"/>
      <c r="CN226" s="59" t="n"/>
    </row>
    <row r="227" ht="15" customFormat="1" customHeight="1" s="3">
      <c r="A227">
        <f>IF(C227="","",ROW()-2)</f>
        <v/>
      </c>
      <c r="B227" s="852" t="n"/>
      <c r="C227" s="852" t="n"/>
      <c r="D227">
        <f>IF(C227="TOH","Type 1",IF(C227="POH","Type 2",IF(OR(C227="LTO",C227="TOH-LC",C227="TOH - LC"),"Type 3",IF(C227="Flourish","Type 4","Type 1"))))</f>
        <v/>
      </c>
      <c r="E227" s="852" t="n"/>
      <c r="F227" s="852" t="n"/>
      <c r="G227" s="852" t="n"/>
      <c r="H227" s="888" t="n"/>
      <c r="I227" s="889" t="n"/>
      <c r="J227" s="888" t="n"/>
      <c r="K227">
        <f>SUM(H227:J227)</f>
        <v/>
      </c>
      <c r="L227" s="852" t="n"/>
      <c r="M227" s="852" t="n"/>
      <c r="N227" s="852" t="n"/>
      <c r="O227" s="852" t="n"/>
      <c r="P227" s="852" t="n"/>
      <c r="Q227" s="852" t="n"/>
      <c r="R227" s="852" t="n"/>
      <c r="S227" s="852" t="n"/>
      <c r="T227" s="852" t="n"/>
      <c r="U227" s="852" t="n"/>
      <c r="V227" s="852" t="n"/>
      <c r="W227" s="852" t="n"/>
      <c r="X227" s="852" t="n"/>
      <c r="Y227" s="852" t="n"/>
      <c r="Z227" s="852" t="n"/>
      <c r="AA227" s="852" t="n"/>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c r="CL227" s="59" t="n"/>
      <c r="CM227" s="59" t="n"/>
      <c r="CN227" s="59" t="n"/>
    </row>
    <row r="228" ht="15" customFormat="1" customHeight="1" s="3">
      <c r="A228">
        <f>IF(C228="","",ROW()-2)</f>
        <v/>
      </c>
      <c r="B228" s="852" t="n"/>
      <c r="C228" s="852" t="n"/>
      <c r="D228">
        <f>IF(C228="TOH","Type 1",IF(C228="POH","Type 2",IF(OR(C228="LTO",C228="TOH-LC",C228="TOH - LC"),"Type 3",IF(C228="Flourish","Type 4","Type 1"))))</f>
        <v/>
      </c>
      <c r="E228" s="852" t="n"/>
      <c r="F228" s="852" t="n"/>
      <c r="G228" s="852" t="n"/>
      <c r="H228" s="888" t="n"/>
      <c r="I228" s="889" t="n"/>
      <c r="J228" s="888" t="n"/>
      <c r="K228">
        <f>SUM(H228:J228)</f>
        <v/>
      </c>
      <c r="L228" s="852" t="n"/>
      <c r="M228" s="852" t="n"/>
      <c r="N228" s="852" t="n"/>
      <c r="O228" s="852" t="n"/>
      <c r="P228" s="852" t="n"/>
      <c r="Q228" s="852" t="n"/>
      <c r="R228" s="852" t="n"/>
      <c r="S228" s="852" t="n"/>
      <c r="T228" s="852" t="n"/>
      <c r="U228" s="852" t="n"/>
      <c r="V228" s="852" t="n"/>
      <c r="W228" s="852" t="n"/>
      <c r="X228" s="852" t="n"/>
      <c r="Y228" s="852" t="n"/>
      <c r="Z228" s="852" t="n"/>
      <c r="AA228" s="852" t="n"/>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c r="CL228" s="59" t="n"/>
      <c r="CM228" s="59" t="n"/>
      <c r="CN228" s="59" t="n"/>
    </row>
    <row r="229" ht="15" customFormat="1" customHeight="1" s="3">
      <c r="A229">
        <f>IF(C229="","",ROW()-2)</f>
        <v/>
      </c>
      <c r="B229" s="852" t="n"/>
      <c r="C229" s="852" t="n"/>
      <c r="D229">
        <f>IF(C229="TOH","Type 1",IF(C229="POH","Type 2",IF(OR(C229="LTO",C229="TOH-LC",C229="TOH - LC"),"Type 3",IF(C229="Flourish","Type 4","Type 1"))))</f>
        <v/>
      </c>
      <c r="E229" s="852" t="n"/>
      <c r="F229" s="852" t="n"/>
      <c r="G229" s="852" t="n"/>
      <c r="H229" s="888" t="n"/>
      <c r="I229" s="889" t="n"/>
      <c r="J229" s="888" t="n"/>
      <c r="K229">
        <f>SUM(H229:J229)</f>
        <v/>
      </c>
      <c r="L229" s="852" t="n"/>
      <c r="M229" s="852" t="n"/>
      <c r="N229" s="852" t="n"/>
      <c r="O229" s="852" t="n"/>
      <c r="P229" s="852" t="n"/>
      <c r="Q229" s="852" t="n"/>
      <c r="R229" s="852" t="n"/>
      <c r="S229" s="852" t="n"/>
      <c r="T229" s="852" t="n"/>
      <c r="U229" s="852" t="n"/>
      <c r="V229" s="852" t="n"/>
      <c r="W229" s="852" t="n"/>
      <c r="X229" s="852" t="n"/>
      <c r="Y229" s="852" t="n"/>
      <c r="Z229" s="852" t="n"/>
      <c r="AA229" s="852" t="n"/>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c r="CL229" s="59" t="n"/>
      <c r="CM229" s="59" t="n"/>
      <c r="CN229" s="59" t="n"/>
    </row>
    <row r="230" ht="15" customFormat="1" customHeight="1" s="3">
      <c r="A230">
        <f>IF(C230="","",ROW()-2)</f>
        <v/>
      </c>
      <c r="B230" s="852" t="n"/>
      <c r="C230" s="852" t="n"/>
      <c r="D230">
        <f>IF(C230="TOH","Type 1",IF(C230="POH","Type 2",IF(OR(C230="LTO",C230="TOH-LC",C230="TOH - LC"),"Type 3",IF(C230="Flourish","Type 4","Type 1"))))</f>
        <v/>
      </c>
      <c r="E230" s="852" t="n"/>
      <c r="F230" s="852" t="n"/>
      <c r="G230" s="852" t="n"/>
      <c r="H230" s="888" t="n"/>
      <c r="I230" s="889" t="n"/>
      <c r="J230" s="888" t="n"/>
      <c r="K230">
        <f>SUM(H230:J230)</f>
        <v/>
      </c>
      <c r="L230" s="852" t="n"/>
      <c r="M230" s="852" t="n"/>
      <c r="N230" s="852" t="n"/>
      <c r="O230" s="852" t="n"/>
      <c r="P230" s="852" t="n"/>
      <c r="Q230" s="852" t="n"/>
      <c r="R230" s="852" t="n"/>
      <c r="S230" s="852" t="n"/>
      <c r="T230" s="852" t="n"/>
      <c r="U230" s="852" t="n"/>
      <c r="V230" s="852" t="n"/>
      <c r="W230" s="852" t="n"/>
      <c r="X230" s="852" t="n"/>
      <c r="Y230" s="852" t="n"/>
      <c r="Z230" s="852" t="n"/>
      <c r="AA230" s="852" t="n"/>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c r="CL230" s="59" t="n"/>
      <c r="CM230" s="59" t="n"/>
      <c r="CN230" s="59" t="n"/>
    </row>
    <row r="231" ht="15" customFormat="1" customHeight="1" s="3">
      <c r="A231">
        <f>IF(C231="","",ROW()-2)</f>
        <v/>
      </c>
      <c r="B231" s="852" t="n"/>
      <c r="C231" s="852" t="n"/>
      <c r="D231">
        <f>IF(C231="TOH","Type 1",IF(C231="POH","Type 2",IF(OR(C231="LTO",C231="TOH-LC",C231="TOH - LC"),"Type 3",IF(C231="Flourish","Type 4","Type 1"))))</f>
        <v/>
      </c>
      <c r="E231" s="852" t="n"/>
      <c r="F231" s="852" t="n"/>
      <c r="G231" s="852" t="n"/>
      <c r="H231" s="888" t="n"/>
      <c r="I231" s="889" t="n"/>
      <c r="J231" s="888" t="n"/>
      <c r="K231">
        <f>SUM(H231:J231)</f>
        <v/>
      </c>
      <c r="L231" s="852" t="n"/>
      <c r="M231" s="852" t="n"/>
      <c r="N231" s="852" t="n"/>
      <c r="O231" s="852" t="n"/>
      <c r="P231" s="852" t="n"/>
      <c r="Q231" s="852" t="n"/>
      <c r="R231" s="852" t="n"/>
      <c r="S231" s="852" t="n"/>
      <c r="T231" s="852" t="n"/>
      <c r="U231" s="852" t="n"/>
      <c r="V231" s="852" t="n"/>
      <c r="W231" s="852" t="n"/>
      <c r="X231" s="852" t="n"/>
      <c r="Y231" s="852" t="n"/>
      <c r="Z231" s="852" t="n"/>
      <c r="AA231" s="852" t="n"/>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c r="CL231" s="59" t="n"/>
      <c r="CM231" s="59" t="n"/>
      <c r="CN231" s="59" t="n"/>
    </row>
    <row r="232" ht="15" customFormat="1" customHeight="1" s="3">
      <c r="A232">
        <f>IF(C232="","",ROW()-2)</f>
        <v/>
      </c>
      <c r="B232" s="852" t="n"/>
      <c r="C232" s="852" t="n"/>
      <c r="D232">
        <f>IF(C232="TOH","Type 1",IF(C232="POH","Type 2",IF(OR(C232="LTO",C232="TOH-LC",C232="TOH - LC"),"Type 3",IF(C232="Flourish","Type 4","Type 1"))))</f>
        <v/>
      </c>
      <c r="E232" s="852" t="n"/>
      <c r="F232" s="852" t="n"/>
      <c r="G232" s="852" t="n"/>
      <c r="H232" s="888" t="n"/>
      <c r="I232" s="889" t="n"/>
      <c r="J232" s="888" t="n"/>
      <c r="K232">
        <f>SUM(H232:J232)</f>
        <v/>
      </c>
      <c r="L232" s="852" t="n"/>
      <c r="M232" s="852" t="n"/>
      <c r="N232" s="852" t="n"/>
      <c r="O232" s="852" t="n"/>
      <c r="P232" s="852" t="n"/>
      <c r="Q232" s="852" t="n"/>
      <c r="R232" s="852" t="n"/>
      <c r="S232" s="852" t="n"/>
      <c r="T232" s="852" t="n"/>
      <c r="U232" s="852" t="n"/>
      <c r="V232" s="852" t="n"/>
      <c r="W232" s="852" t="n"/>
      <c r="X232" s="852" t="n"/>
      <c r="Y232" s="852" t="n"/>
      <c r="Z232" s="852" t="n"/>
      <c r="AA232" s="852" t="n"/>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c r="CL232" s="59" t="n"/>
      <c r="CM232" s="59" t="n"/>
      <c r="CN232" s="59" t="n"/>
    </row>
    <row r="233" ht="15" customFormat="1" customHeight="1" s="3">
      <c r="A233">
        <f>IF(C233="","",ROW()-2)</f>
        <v/>
      </c>
      <c r="B233" s="852" t="n"/>
      <c r="C233" s="852" t="n"/>
      <c r="D233">
        <f>IF(C233="TOH","Type 1",IF(C233="POH","Type 2",IF(OR(C233="LTO",C233="TOH-LC",C233="TOH - LC"),"Type 3",IF(C233="Flourish","Type 4","Type 1"))))</f>
        <v/>
      </c>
      <c r="E233" s="852" t="n"/>
      <c r="F233" s="852" t="n"/>
      <c r="G233" s="852" t="n"/>
      <c r="H233" s="888" t="n"/>
      <c r="I233" s="889" t="n"/>
      <c r="J233" s="888" t="n"/>
      <c r="K233">
        <f>SUM(H233:J233)</f>
        <v/>
      </c>
      <c r="L233" s="852" t="n"/>
      <c r="M233" s="852" t="n"/>
      <c r="N233" s="852" t="n"/>
      <c r="O233" s="852" t="n"/>
      <c r="P233" s="852" t="n"/>
      <c r="Q233" s="852" t="n"/>
      <c r="R233" s="852" t="n"/>
      <c r="S233" s="852" t="n"/>
      <c r="T233" s="852" t="n"/>
      <c r="U233" s="852" t="n"/>
      <c r="V233" s="852" t="n"/>
      <c r="W233" s="852" t="n"/>
      <c r="X233" s="852" t="n"/>
      <c r="Y233" s="852" t="n"/>
      <c r="Z233" s="852" t="n"/>
      <c r="AA233" s="852" t="n"/>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c r="CL233" s="59" t="n"/>
      <c r="CM233" s="59" t="n"/>
      <c r="CN233" s="59" t="n"/>
    </row>
    <row r="234" ht="15" customFormat="1" customHeight="1" s="3">
      <c r="A234">
        <f>IF(C234="","",ROW()-2)</f>
        <v/>
      </c>
      <c r="B234" s="852" t="n"/>
      <c r="C234" s="852" t="n"/>
      <c r="D234">
        <f>IF(C234="TOH","Type 1",IF(C234="POH","Type 2",IF(OR(C234="LTO",C234="TOH-LC",C234="TOH - LC"),"Type 3",IF(C234="Flourish","Type 4","Type 1"))))</f>
        <v/>
      </c>
      <c r="E234" s="852" t="n"/>
      <c r="F234" s="852" t="n"/>
      <c r="G234" s="852" t="n"/>
      <c r="H234" s="888" t="n"/>
      <c r="I234" s="889" t="n"/>
      <c r="J234" s="888" t="n"/>
      <c r="K234">
        <f>SUM(H234:J234)</f>
        <v/>
      </c>
      <c r="L234" s="852" t="n"/>
      <c r="M234" s="852" t="n"/>
      <c r="N234" s="852" t="n"/>
      <c r="O234" s="852" t="n"/>
      <c r="P234" s="852" t="n"/>
      <c r="Q234" s="852" t="n"/>
      <c r="R234" s="852" t="n"/>
      <c r="S234" s="852" t="n"/>
      <c r="T234" s="852" t="n"/>
      <c r="U234" s="852" t="n"/>
      <c r="V234" s="852" t="n"/>
      <c r="W234" s="852" t="n"/>
      <c r="X234" s="852" t="n"/>
      <c r="Y234" s="852" t="n"/>
      <c r="Z234" s="852" t="n"/>
      <c r="AA234" s="852" t="n"/>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c r="CL234" s="59" t="n"/>
      <c r="CM234" s="59" t="n"/>
      <c r="CN234" s="59" t="n"/>
    </row>
    <row r="235" ht="15" customFormat="1" customHeight="1" s="3">
      <c r="A235">
        <f>IF(C235="","",ROW()-2)</f>
        <v/>
      </c>
      <c r="B235" s="852" t="n"/>
      <c r="C235" s="852" t="n"/>
      <c r="D235">
        <f>IF(C235="TOH","Type 1",IF(C235="POH","Type 2",IF(OR(C235="LTO",C235="TOH-LC",C235="TOH - LC"),"Type 3",IF(C235="Flourish","Type 4","Type 1"))))</f>
        <v/>
      </c>
      <c r="E235" s="852" t="n"/>
      <c r="F235" s="852" t="n"/>
      <c r="G235" s="852" t="n"/>
      <c r="H235" s="888" t="n"/>
      <c r="I235" s="889" t="n"/>
      <c r="J235" s="888" t="n"/>
      <c r="K235">
        <f>SUM(H235:J235)</f>
        <v/>
      </c>
      <c r="L235" s="852" t="n"/>
      <c r="M235" s="852" t="n"/>
      <c r="N235" s="852" t="n"/>
      <c r="O235" s="852" t="n"/>
      <c r="P235" s="852" t="n"/>
      <c r="Q235" s="852" t="n"/>
      <c r="R235" s="852" t="n"/>
      <c r="S235" s="852" t="n"/>
      <c r="T235" s="852" t="n"/>
      <c r="U235" s="852" t="n"/>
      <c r="V235" s="852" t="n"/>
      <c r="W235" s="852" t="n"/>
      <c r="X235" s="852" t="n"/>
      <c r="Y235" s="852" t="n"/>
      <c r="Z235" s="852" t="n"/>
      <c r="AA235" s="852" t="n"/>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c r="CL235" s="59" t="n"/>
      <c r="CM235" s="59" t="n"/>
      <c r="CN235" s="59" t="n"/>
    </row>
    <row r="236" ht="15" customFormat="1" customHeight="1" s="3">
      <c r="A236">
        <f>IF(C236="","",ROW()-2)</f>
        <v/>
      </c>
      <c r="B236" s="852" t="n"/>
      <c r="C236" s="852" t="n"/>
      <c r="D236">
        <f>IF(C236="TOH","Type 1",IF(C236="POH","Type 2",IF(OR(C236="LTO",C236="TOH-LC",C236="TOH - LC"),"Type 3",IF(C236="Flourish","Type 4","Type 1"))))</f>
        <v/>
      </c>
      <c r="E236" s="852" t="n"/>
      <c r="F236" s="852" t="n"/>
      <c r="G236" s="852" t="n"/>
      <c r="H236" s="888" t="n"/>
      <c r="I236" s="889" t="n"/>
      <c r="J236" s="888" t="n"/>
      <c r="K236">
        <f>SUM(H236:J236)</f>
        <v/>
      </c>
      <c r="L236" s="852" t="n"/>
      <c r="M236" s="852" t="n"/>
      <c r="N236" s="852" t="n"/>
      <c r="O236" s="852" t="n"/>
      <c r="P236" s="852" t="n"/>
      <c r="Q236" s="852" t="n"/>
      <c r="R236" s="852" t="n"/>
      <c r="S236" s="852" t="n"/>
      <c r="T236" s="852" t="n"/>
      <c r="U236" s="852" t="n"/>
      <c r="V236" s="852" t="n"/>
      <c r="W236" s="852" t="n"/>
      <c r="X236" s="852" t="n"/>
      <c r="Y236" s="852" t="n"/>
      <c r="Z236" s="852" t="n"/>
      <c r="AA236" s="852" t="n"/>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c r="CL236" s="59" t="n"/>
      <c r="CM236" s="59" t="n"/>
      <c r="CN236" s="59" t="n"/>
    </row>
    <row r="237" ht="15" customFormat="1" customHeight="1" s="3">
      <c r="A237">
        <f>IF(C237="","",ROW()-2)</f>
        <v/>
      </c>
      <c r="B237" s="852" t="n"/>
      <c r="C237" s="852" t="n"/>
      <c r="D237">
        <f>IF(C237="TOH","Type 1",IF(C237="POH","Type 2",IF(OR(C237="LTO",C237="TOH-LC",C237="TOH - LC"),"Type 3",IF(C237="Flourish","Type 4","Type 1"))))</f>
        <v/>
      </c>
      <c r="E237" s="852" t="n"/>
      <c r="F237" s="852" t="n"/>
      <c r="G237" s="852" t="n"/>
      <c r="H237" s="888" t="n"/>
      <c r="I237" s="889" t="n"/>
      <c r="J237" s="888" t="n"/>
      <c r="K237">
        <f>SUM(H237:J237)</f>
        <v/>
      </c>
      <c r="L237" s="852" t="n"/>
      <c r="M237" s="852" t="n"/>
      <c r="N237" s="852" t="n"/>
      <c r="O237" s="852" t="n"/>
      <c r="P237" s="852" t="n"/>
      <c r="Q237" s="852" t="n"/>
      <c r="R237" s="852" t="n"/>
      <c r="S237" s="852" t="n"/>
      <c r="T237" s="852" t="n"/>
      <c r="U237" s="852" t="n"/>
      <c r="V237" s="852" t="n"/>
      <c r="W237" s="852" t="n"/>
      <c r="X237" s="852" t="n"/>
      <c r="Y237" s="852" t="n"/>
      <c r="Z237" s="852" t="n"/>
      <c r="AA237" s="852"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c r="CL237" s="59" t="n"/>
      <c r="CM237" s="59" t="n"/>
      <c r="CN237" s="59" t="n"/>
    </row>
    <row r="238" ht="15" customFormat="1" customHeight="1" s="3">
      <c r="A238">
        <f>IF(C238="","",ROW()-2)</f>
        <v/>
      </c>
      <c r="B238" s="852" t="n"/>
      <c r="C238" s="852" t="n"/>
      <c r="D238">
        <f>IF(C238="TOH","Type 1",IF(C238="POH","Type 2",IF(OR(C238="LTO",C238="TOH-LC",C238="TOH - LC"),"Type 3",IF(C238="Flourish","Type 4","Type 1"))))</f>
        <v/>
      </c>
      <c r="E238" s="852" t="n"/>
      <c r="F238" s="852" t="n"/>
      <c r="G238" s="852" t="n"/>
      <c r="H238" s="888" t="n"/>
      <c r="I238" s="889" t="n"/>
      <c r="J238" s="888" t="n"/>
      <c r="K238">
        <f>SUM(H238:J238)</f>
        <v/>
      </c>
      <c r="L238" s="852" t="n"/>
      <c r="M238" s="852" t="n"/>
      <c r="N238" s="852" t="n"/>
      <c r="O238" s="852" t="n"/>
      <c r="P238" s="852" t="n"/>
      <c r="Q238" s="852" t="n"/>
      <c r="R238" s="852" t="n"/>
      <c r="S238" s="852" t="n"/>
      <c r="T238" s="852" t="n"/>
      <c r="U238" s="852" t="n"/>
      <c r="V238" s="852" t="n"/>
      <c r="W238" s="852" t="n"/>
      <c r="X238" s="852" t="n"/>
      <c r="Y238" s="852" t="n"/>
      <c r="Z238" s="852" t="n"/>
      <c r="AA238" s="852" t="n"/>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c r="CL238" s="59" t="n"/>
      <c r="CM238" s="59" t="n"/>
      <c r="CN238" s="59" t="n"/>
    </row>
    <row r="239" ht="15" customFormat="1" customHeight="1" s="3">
      <c r="A239">
        <f>IF(C239="","",ROW()-2)</f>
        <v/>
      </c>
      <c r="B239" s="852" t="n"/>
      <c r="C239" s="852" t="n"/>
      <c r="D239">
        <f>IF(C239="TOH","Type 1",IF(C239="POH","Type 2",IF(OR(C239="LTO",C239="TOH-LC",C239="TOH - LC"),"Type 3",IF(C239="Flourish","Type 4","Type 1"))))</f>
        <v/>
      </c>
      <c r="E239" s="852" t="n"/>
      <c r="F239" s="852" t="n"/>
      <c r="G239" s="852" t="n"/>
      <c r="H239" s="888" t="n"/>
      <c r="I239" s="889" t="n"/>
      <c r="J239" s="888" t="n"/>
      <c r="K239">
        <f>SUM(H239:J239)</f>
        <v/>
      </c>
      <c r="L239" s="852" t="n"/>
      <c r="M239" s="852" t="n"/>
      <c r="N239" s="852" t="n"/>
      <c r="O239" s="852" t="n"/>
      <c r="P239" s="852" t="n"/>
      <c r="Q239" s="852" t="n"/>
      <c r="R239" s="852" t="n"/>
      <c r="S239" s="852" t="n"/>
      <c r="T239" s="852" t="n"/>
      <c r="U239" s="852" t="n"/>
      <c r="V239" s="852" t="n"/>
      <c r="W239" s="852" t="n"/>
      <c r="X239" s="852" t="n"/>
      <c r="Y239" s="852" t="n"/>
      <c r="Z239" s="852" t="n"/>
      <c r="AA239" s="852" t="n"/>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c r="CL239" s="59" t="n"/>
      <c r="CM239" s="59" t="n"/>
      <c r="CN239" s="59" t="n"/>
    </row>
    <row r="240" ht="15" customFormat="1" customHeight="1" s="3">
      <c r="A240">
        <f>IF(C240="","",ROW()-2)</f>
        <v/>
      </c>
      <c r="B240" s="852" t="n"/>
      <c r="C240" s="852" t="n"/>
      <c r="D240">
        <f>IF(C240="TOH","Type 1",IF(C240="POH","Type 2",IF(OR(C240="LTO",C240="TOH-LC",C240="TOH - LC"),"Type 3",IF(C240="Flourish","Type 4","Type 1"))))</f>
        <v/>
      </c>
      <c r="E240" s="852" t="n"/>
      <c r="F240" s="852" t="n"/>
      <c r="G240" s="852" t="n"/>
      <c r="H240" s="888" t="n"/>
      <c r="I240" s="889" t="n"/>
      <c r="J240" s="888" t="n"/>
      <c r="K240">
        <f>SUM(H240:J240)</f>
        <v/>
      </c>
      <c r="L240" s="852" t="n"/>
      <c r="M240" s="852" t="n"/>
      <c r="N240" s="852" t="n"/>
      <c r="O240" s="852" t="n"/>
      <c r="P240" s="852" t="n"/>
      <c r="Q240" s="852" t="n"/>
      <c r="R240" s="852" t="n"/>
      <c r="S240" s="852" t="n"/>
      <c r="T240" s="852" t="n"/>
      <c r="U240" s="852" t="n"/>
      <c r="V240" s="852" t="n"/>
      <c r="W240" s="852" t="n"/>
      <c r="X240" s="852" t="n"/>
      <c r="Y240" s="852" t="n"/>
      <c r="Z240" s="852" t="n"/>
      <c r="AA240" s="852" t="n"/>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c r="CL240" s="59" t="n"/>
      <c r="CM240" s="59" t="n"/>
      <c r="CN240" s="59" t="n"/>
    </row>
    <row r="241" ht="15" customFormat="1" customHeight="1" s="3">
      <c r="A241">
        <f>IF(C241="","",ROW()-2)</f>
        <v/>
      </c>
      <c r="B241" s="852" t="n"/>
      <c r="C241" s="852" t="n"/>
      <c r="D241">
        <f>IF(C241="TOH","Type 1",IF(C241="POH","Type 2",IF(OR(C241="LTO",C241="TOH-LC",C241="TOH - LC"),"Type 3",IF(C241="Flourish","Type 4","Type 1"))))</f>
        <v/>
      </c>
      <c r="E241" s="852" t="n"/>
      <c r="F241" s="852" t="n"/>
      <c r="G241" s="852" t="n"/>
      <c r="H241" s="888" t="n"/>
      <c r="I241" s="889" t="n"/>
      <c r="J241" s="888" t="n"/>
      <c r="K241">
        <f>SUM(H241:J241)</f>
        <v/>
      </c>
      <c r="L241" s="852" t="n"/>
      <c r="M241" s="852" t="n"/>
      <c r="N241" s="852" t="n"/>
      <c r="O241" s="852" t="n"/>
      <c r="P241" s="852" t="n"/>
      <c r="Q241" s="852" t="n"/>
      <c r="R241" s="852" t="n"/>
      <c r="S241" s="852" t="n"/>
      <c r="T241" s="852" t="n"/>
      <c r="U241" s="852" t="n"/>
      <c r="V241" s="852" t="n"/>
      <c r="W241" s="852" t="n"/>
      <c r="X241" s="852" t="n"/>
      <c r="Y241" s="852" t="n"/>
      <c r="Z241" s="852" t="n"/>
      <c r="AA241" s="852" t="n"/>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c r="CL241" s="59" t="n"/>
      <c r="CM241" s="59" t="n"/>
      <c r="CN241" s="59" t="n"/>
    </row>
    <row r="242" ht="15" customFormat="1" customHeight="1" s="3">
      <c r="A242">
        <f>IF(C242="","",ROW()-2)</f>
        <v/>
      </c>
      <c r="B242" s="852" t="n"/>
      <c r="C242" s="852" t="n"/>
      <c r="D242">
        <f>IF(C242="TOH","Type 1",IF(C242="POH","Type 2",IF(OR(C242="LTO",C242="TOH-LC",C242="TOH - LC"),"Type 3",IF(C242="Flourish","Type 4","Type 1"))))</f>
        <v/>
      </c>
      <c r="E242" s="852" t="n"/>
      <c r="F242" s="852" t="n"/>
      <c r="G242" s="852" t="n"/>
      <c r="H242" s="888" t="n"/>
      <c r="I242" s="889" t="n"/>
      <c r="J242" s="888" t="n"/>
      <c r="K242">
        <f>SUM(H242:J242)</f>
        <v/>
      </c>
      <c r="L242" s="852" t="n"/>
      <c r="M242" s="852" t="n"/>
      <c r="N242" s="852" t="n"/>
      <c r="O242" s="852" t="n"/>
      <c r="P242" s="852" t="n"/>
      <c r="Q242" s="852" t="n"/>
      <c r="R242" s="852" t="n"/>
      <c r="S242" s="852" t="n"/>
      <c r="T242" s="852" t="n"/>
      <c r="U242" s="852" t="n"/>
      <c r="V242" s="852" t="n"/>
      <c r="W242" s="852" t="n"/>
      <c r="X242" s="852" t="n"/>
      <c r="Y242" s="852" t="n"/>
      <c r="Z242" s="852" t="n"/>
      <c r="AA242" s="852" t="n"/>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c r="CL242" s="59" t="n"/>
      <c r="CM242" s="59" t="n"/>
      <c r="CN242" s="59" t="n"/>
    </row>
    <row r="243" ht="15" customFormat="1" customHeight="1" s="3">
      <c r="A243">
        <f>IF(C243="","",ROW()-2)</f>
        <v/>
      </c>
      <c r="B243" s="852" t="n"/>
      <c r="C243" s="852" t="n"/>
      <c r="D243">
        <f>IF(C243="TOH","Type 1",IF(C243="POH","Type 2",IF(OR(C243="LTO",C243="TOH-LC",C243="TOH - LC"),"Type 3",IF(C243="Flourish","Type 4","Type 1"))))</f>
        <v/>
      </c>
      <c r="E243" s="852" t="n"/>
      <c r="F243" s="852" t="n"/>
      <c r="G243" s="852" t="n"/>
      <c r="H243" s="888" t="n"/>
      <c r="I243" s="889" t="n"/>
      <c r="J243" s="888" t="n"/>
      <c r="K243">
        <f>SUM(H243:J243)</f>
        <v/>
      </c>
      <c r="L243" s="852" t="n"/>
      <c r="M243" s="852" t="n"/>
      <c r="N243" s="852" t="n"/>
      <c r="O243" s="852" t="n"/>
      <c r="P243" s="852" t="n"/>
      <c r="Q243" s="852" t="n"/>
      <c r="R243" s="852" t="n"/>
      <c r="S243" s="852" t="n"/>
      <c r="T243" s="852" t="n"/>
      <c r="U243" s="852" t="n"/>
      <c r="V243" s="852" t="n"/>
      <c r="W243" s="852" t="n"/>
      <c r="X243" s="852" t="n"/>
      <c r="Y243" s="852" t="n"/>
      <c r="Z243" s="852" t="n"/>
      <c r="AA243" s="852" t="n"/>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c r="CL243" s="59" t="n"/>
      <c r="CM243" s="59" t="n"/>
      <c r="CN243" s="59" t="n"/>
    </row>
    <row r="244" ht="15" customFormat="1" customHeight="1" s="3">
      <c r="A244">
        <f>IF(C244="","",ROW()-2)</f>
        <v/>
      </c>
      <c r="B244" s="852" t="n"/>
      <c r="C244" s="852" t="n"/>
      <c r="D244">
        <f>IF(C244="TOH","Type 1",IF(C244="POH","Type 2",IF(OR(C244="LTO",C244="TOH-LC",C244="TOH - LC"),"Type 3",IF(C244="Flourish","Type 4","Type 1"))))</f>
        <v/>
      </c>
      <c r="E244" s="852" t="n"/>
      <c r="F244" s="852" t="n"/>
      <c r="G244" s="852" t="n"/>
      <c r="H244" s="888" t="n"/>
      <c r="I244" s="889" t="n"/>
      <c r="J244" s="888" t="n"/>
      <c r="K244">
        <f>SUM(H244:J244)</f>
        <v/>
      </c>
      <c r="L244" s="852" t="n"/>
      <c r="M244" s="852" t="n"/>
      <c r="N244" s="852" t="n"/>
      <c r="O244" s="852" t="n"/>
      <c r="P244" s="852" t="n"/>
      <c r="Q244" s="852" t="n"/>
      <c r="R244" s="852" t="n"/>
      <c r="S244" s="852" t="n"/>
      <c r="T244" s="852" t="n"/>
      <c r="U244" s="852" t="n"/>
      <c r="V244" s="852" t="n"/>
      <c r="W244" s="852" t="n"/>
      <c r="X244" s="852" t="n"/>
      <c r="Y244" s="852" t="n"/>
      <c r="Z244" s="852" t="n"/>
      <c r="AA244" s="852" t="n"/>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c r="CL244" s="59" t="n"/>
      <c r="CM244" s="59" t="n"/>
      <c r="CN244" s="59" t="n"/>
    </row>
    <row r="245" ht="15" customFormat="1" customHeight="1" s="3">
      <c r="A245">
        <f>IF(C245="","",ROW()-2)</f>
        <v/>
      </c>
      <c r="B245" s="852" t="n"/>
      <c r="C245" s="852" t="n"/>
      <c r="D245">
        <f>IF(C245="TOH","Type 1",IF(C245="POH","Type 2",IF(OR(C245="LTO",C245="TOH-LC",C245="TOH - LC"),"Type 3",IF(C245="Flourish","Type 4","Type 1"))))</f>
        <v/>
      </c>
      <c r="E245" s="852" t="n"/>
      <c r="F245" s="852" t="n"/>
      <c r="G245" s="852" t="n"/>
      <c r="H245" s="888" t="n"/>
      <c r="I245" s="889" t="n"/>
      <c r="J245" s="888" t="n"/>
      <c r="K245">
        <f>SUM(H245:J245)</f>
        <v/>
      </c>
      <c r="L245" s="852" t="n"/>
      <c r="M245" s="852" t="n"/>
      <c r="N245" s="852" t="n"/>
      <c r="O245" s="852" t="n"/>
      <c r="P245" s="852" t="n"/>
      <c r="Q245" s="852" t="n"/>
      <c r="R245" s="852" t="n"/>
      <c r="S245" s="852" t="n"/>
      <c r="T245" s="852" t="n"/>
      <c r="U245" s="852" t="n"/>
      <c r="V245" s="852" t="n"/>
      <c r="W245" s="852" t="n"/>
      <c r="X245" s="852" t="n"/>
      <c r="Y245" s="852" t="n"/>
      <c r="Z245" s="852" t="n"/>
      <c r="AA245" s="852" t="n"/>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c r="CL245" s="59" t="n"/>
      <c r="CM245" s="59" t="n"/>
      <c r="CN245" s="59" t="n"/>
    </row>
    <row r="246" ht="15" customFormat="1" customHeight="1" s="3">
      <c r="A246">
        <f>IF(C246="","",ROW()-2)</f>
        <v/>
      </c>
      <c r="B246" s="852" t="n"/>
      <c r="C246" s="852" t="n"/>
      <c r="D246">
        <f>IF(C246="TOH","Type 1",IF(C246="POH","Type 2",IF(OR(C246="LTO",C246="TOH-LC",C246="TOH - LC"),"Type 3",IF(C246="Flourish","Type 4","Type 1"))))</f>
        <v/>
      </c>
      <c r="E246" s="852" t="n"/>
      <c r="F246" s="852" t="n"/>
      <c r="G246" s="852" t="n"/>
      <c r="H246" s="888" t="n"/>
      <c r="I246" s="889" t="n"/>
      <c r="J246" s="888" t="n"/>
      <c r="K246">
        <f>SUM(H246:J246)</f>
        <v/>
      </c>
      <c r="L246" s="852" t="n"/>
      <c r="M246" s="852" t="n"/>
      <c r="N246" s="852" t="n"/>
      <c r="O246" s="852" t="n"/>
      <c r="P246" s="852" t="n"/>
      <c r="Q246" s="852" t="n"/>
      <c r="R246" s="852" t="n"/>
      <c r="S246" s="852" t="n"/>
      <c r="T246" s="852" t="n"/>
      <c r="U246" s="852" t="n"/>
      <c r="V246" s="852" t="n"/>
      <c r="W246" s="852" t="n"/>
      <c r="X246" s="852" t="n"/>
      <c r="Y246" s="852" t="n"/>
      <c r="Z246" s="852" t="n"/>
      <c r="AA246" s="852" t="n"/>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c r="CL246" s="59" t="n"/>
      <c r="CM246" s="59" t="n"/>
      <c r="CN246" s="59" t="n"/>
    </row>
    <row r="247" ht="15" customFormat="1" customHeight="1" s="3">
      <c r="A247">
        <f>IF(C247="","",ROW()-2)</f>
        <v/>
      </c>
      <c r="B247" s="852" t="n"/>
      <c r="C247" s="852" t="n"/>
      <c r="D247">
        <f>IF(C247="TOH","Type 1",IF(C247="POH","Type 2",IF(OR(C247="LTO",C247="TOH-LC",C247="TOH - LC"),"Type 3",IF(C247="Flourish","Type 4","Type 1"))))</f>
        <v/>
      </c>
      <c r="E247" s="852" t="n"/>
      <c r="F247" s="852" t="n"/>
      <c r="G247" s="852" t="n"/>
      <c r="H247" s="888" t="n"/>
      <c r="I247" s="889" t="n"/>
      <c r="J247" s="888" t="n"/>
      <c r="K247">
        <f>SUM(H247:J247)</f>
        <v/>
      </c>
      <c r="L247" s="852" t="n"/>
      <c r="M247" s="852" t="n"/>
      <c r="N247" s="852" t="n"/>
      <c r="O247" s="852" t="n"/>
      <c r="P247" s="852" t="n"/>
      <c r="Q247" s="852" t="n"/>
      <c r="R247" s="852" t="n"/>
      <c r="S247" s="852" t="n"/>
      <c r="T247" s="852" t="n"/>
      <c r="U247" s="852" t="n"/>
      <c r="V247" s="852" t="n"/>
      <c r="W247" s="852" t="n"/>
      <c r="X247" s="852" t="n"/>
      <c r="Y247" s="852" t="n"/>
      <c r="Z247" s="852" t="n"/>
      <c r="AA247" s="852" t="n"/>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c r="CL247" s="59" t="n"/>
      <c r="CM247" s="59" t="n"/>
      <c r="CN247" s="59" t="n"/>
    </row>
    <row r="248" ht="15" customFormat="1" customHeight="1" s="3">
      <c r="A248">
        <f>IF(C248="","",ROW()-2)</f>
        <v/>
      </c>
      <c r="B248" s="852" t="n"/>
      <c r="C248" s="852" t="n"/>
      <c r="D248">
        <f>IF(C248="TOH","Type 1",IF(C248="POH","Type 2",IF(OR(C248="LTO",C248="TOH-LC",C248="TOH - LC"),"Type 3",IF(C248="Flourish","Type 4","Type 1"))))</f>
        <v/>
      </c>
      <c r="E248" s="852" t="n"/>
      <c r="F248" s="852" t="n"/>
      <c r="G248" s="852" t="n"/>
      <c r="H248" s="888" t="n"/>
      <c r="I248" s="889" t="n"/>
      <c r="J248" s="888" t="n"/>
      <c r="K248">
        <f>SUM(H248:J248)</f>
        <v/>
      </c>
      <c r="L248" s="852" t="n"/>
      <c r="M248" s="852" t="n"/>
      <c r="N248" s="852" t="n"/>
      <c r="O248" s="852" t="n"/>
      <c r="P248" s="852" t="n"/>
      <c r="Q248" s="852" t="n"/>
      <c r="R248" s="852" t="n"/>
      <c r="S248" s="852" t="n"/>
      <c r="T248" s="852" t="n"/>
      <c r="U248" s="852" t="n"/>
      <c r="V248" s="852" t="n"/>
      <c r="W248" s="852" t="n"/>
      <c r="X248" s="852" t="n"/>
      <c r="Y248" s="852" t="n"/>
      <c r="Z248" s="852" t="n"/>
      <c r="AA248" s="852" t="n"/>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c r="CL248" s="59" t="n"/>
      <c r="CM248" s="59" t="n"/>
      <c r="CN248" s="59" t="n"/>
    </row>
    <row r="249" ht="15" customFormat="1" customHeight="1" s="3">
      <c r="A249">
        <f>IF(C249="","",ROW()-2)</f>
        <v/>
      </c>
      <c r="B249" s="852" t="n"/>
      <c r="C249" s="852" t="n"/>
      <c r="D249">
        <f>IF(C249="TOH","Type 1",IF(C249="POH","Type 2",IF(OR(C249="LTO",C249="TOH-LC",C249="TOH - LC"),"Type 3",IF(C249="Flourish","Type 4","Type 1"))))</f>
        <v/>
      </c>
      <c r="E249" s="852" t="n"/>
      <c r="F249" s="852" t="n"/>
      <c r="G249" s="852" t="n"/>
      <c r="H249" s="888" t="n"/>
      <c r="I249" s="889" t="n"/>
      <c r="J249" s="888" t="n"/>
      <c r="K249">
        <f>SUM(H249:J249)</f>
        <v/>
      </c>
      <c r="L249" s="852" t="n"/>
      <c r="M249" s="852" t="n"/>
      <c r="N249" s="852" t="n"/>
      <c r="O249" s="852" t="n"/>
      <c r="P249" s="852" t="n"/>
      <c r="Q249" s="852" t="n"/>
      <c r="R249" s="852" t="n"/>
      <c r="S249" s="852" t="n"/>
      <c r="T249" s="852" t="n"/>
      <c r="U249" s="852" t="n"/>
      <c r="V249" s="852" t="n"/>
      <c r="W249" s="852" t="n"/>
      <c r="X249" s="852" t="n"/>
      <c r="Y249" s="852" t="n"/>
      <c r="Z249" s="852" t="n"/>
      <c r="AA249" s="852" t="n"/>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c r="CL249" s="59" t="n"/>
      <c r="CM249" s="59" t="n"/>
      <c r="CN249" s="59" t="n"/>
    </row>
    <row r="250" ht="15" customFormat="1" customHeight="1" s="3">
      <c r="A250">
        <f>IF(C250="","",ROW()-2)</f>
        <v/>
      </c>
      <c r="B250" s="852" t="n"/>
      <c r="C250" s="852" t="n"/>
      <c r="D250">
        <f>IF(C250="TOH","Type 1",IF(C250="POH","Type 2",IF(OR(C250="LTO",C250="TOH-LC",C250="TOH - LC"),"Type 3",IF(C250="Flourish","Type 4","Type 1"))))</f>
        <v/>
      </c>
      <c r="E250" s="852" t="n"/>
      <c r="F250" s="852" t="n"/>
      <c r="G250" s="852" t="n"/>
      <c r="H250" s="888" t="n"/>
      <c r="I250" s="889" t="n"/>
      <c r="J250" s="888" t="n"/>
      <c r="K250">
        <f>SUM(H250:J250)</f>
        <v/>
      </c>
      <c r="L250" s="852" t="n"/>
      <c r="M250" s="852" t="n"/>
      <c r="N250" s="852" t="n"/>
      <c r="O250" s="852" t="n"/>
      <c r="P250" s="852" t="n"/>
      <c r="Q250" s="852" t="n"/>
      <c r="R250" s="852" t="n"/>
      <c r="S250" s="852" t="n"/>
      <c r="T250" s="852" t="n"/>
      <c r="U250" s="852" t="n"/>
      <c r="V250" s="852" t="n"/>
      <c r="W250" s="852" t="n"/>
      <c r="X250" s="852" t="n"/>
      <c r="Y250" s="852" t="n"/>
      <c r="Z250" s="852" t="n"/>
      <c r="AA250" s="852" t="n"/>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c r="CL250" s="59" t="n"/>
      <c r="CM250" s="59" t="n"/>
      <c r="CN250" s="59" t="n"/>
    </row>
    <row r="251" ht="15" customFormat="1" customHeight="1" s="3">
      <c r="A251">
        <f>IF(C251="","",ROW()-2)</f>
        <v/>
      </c>
      <c r="B251" s="852" t="n"/>
      <c r="C251" s="852" t="n"/>
      <c r="D251">
        <f>IF(C251="TOH","Type 1",IF(C251="POH","Type 2",IF(OR(C251="LTO",C251="TOH-LC",C251="TOH - LC"),"Type 3",IF(C251="Flourish","Type 4","Type 1"))))</f>
        <v/>
      </c>
      <c r="E251" s="852" t="n"/>
      <c r="F251" s="852" t="n"/>
      <c r="G251" s="852" t="n"/>
      <c r="H251" s="888" t="n"/>
      <c r="I251" s="889" t="n"/>
      <c r="J251" s="888" t="n"/>
      <c r="K251">
        <f>SUM(H251:J251)</f>
        <v/>
      </c>
      <c r="L251" s="852" t="n"/>
      <c r="M251" s="852" t="n"/>
      <c r="N251" s="852" t="n"/>
      <c r="O251" s="852" t="n"/>
      <c r="P251" s="852" t="n"/>
      <c r="Q251" s="852" t="n"/>
      <c r="R251" s="852" t="n"/>
      <c r="S251" s="852" t="n"/>
      <c r="T251" s="852" t="n"/>
      <c r="U251" s="852" t="n"/>
      <c r="V251" s="852" t="n"/>
      <c r="W251" s="852" t="n"/>
      <c r="X251" s="852" t="n"/>
      <c r="Y251" s="852" t="n"/>
      <c r="Z251" s="852" t="n"/>
      <c r="AA251" s="852" t="n"/>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c r="CL251" s="59" t="n"/>
      <c r="CM251" s="59" t="n"/>
      <c r="CN251" s="59" t="n"/>
    </row>
    <row r="252" ht="15" customFormat="1" customHeight="1" s="3">
      <c r="A252">
        <f>IF(C252="","",ROW()-2)</f>
        <v/>
      </c>
      <c r="B252" s="852" t="n"/>
      <c r="C252" s="852" t="n"/>
      <c r="D252">
        <f>IF(C252="TOH","Type 1",IF(C252="POH","Type 2",IF(OR(C252="LTO",C252="TOH-LC",C252="TOH - LC"),"Type 3",IF(C252="Flourish","Type 4","Type 1"))))</f>
        <v/>
      </c>
      <c r="E252" s="852" t="n"/>
      <c r="F252" s="852" t="n"/>
      <c r="G252" s="852" t="n"/>
      <c r="H252" s="888" t="n"/>
      <c r="I252" s="889" t="n"/>
      <c r="J252" s="888" t="n"/>
      <c r="K252">
        <f>SUM(H252:J252)</f>
        <v/>
      </c>
      <c r="L252" s="852" t="n"/>
      <c r="M252" s="852" t="n"/>
      <c r="N252" s="852" t="n"/>
      <c r="O252" s="852" t="n"/>
      <c r="P252" s="852" t="n"/>
      <c r="Q252" s="852" t="n"/>
      <c r="R252" s="852" t="n"/>
      <c r="S252" s="852" t="n"/>
      <c r="T252" s="852" t="n"/>
      <c r="U252" s="852" t="n"/>
      <c r="V252" s="852" t="n"/>
      <c r="W252" s="852" t="n"/>
      <c r="X252" s="852" t="n"/>
      <c r="Y252" s="852" t="n"/>
      <c r="Z252" s="852" t="n"/>
      <c r="AA252" s="852" t="n"/>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c r="CL252" s="59" t="n"/>
      <c r="CM252" s="59" t="n"/>
      <c r="CN252" s="59" t="n"/>
    </row>
    <row r="253" ht="15" customFormat="1" customHeight="1" s="3">
      <c r="A253">
        <f>IF(C253="","",ROW()-2)</f>
        <v/>
      </c>
      <c r="B253" s="852" t="n"/>
      <c r="C253" s="852" t="n"/>
      <c r="D253">
        <f>IF(C253="TOH","Type 1",IF(C253="POH","Type 2",IF(OR(C253="LTO",C253="TOH-LC",C253="TOH - LC"),"Type 3",IF(C253="Flourish","Type 4","Type 1"))))</f>
        <v/>
      </c>
      <c r="E253" s="852" t="n"/>
      <c r="F253" s="852" t="n"/>
      <c r="G253" s="852" t="n"/>
      <c r="H253" s="888" t="n"/>
      <c r="I253" s="889" t="n"/>
      <c r="J253" s="888" t="n"/>
      <c r="K253">
        <f>SUM(H253:J253)</f>
        <v/>
      </c>
      <c r="L253" s="852" t="n"/>
      <c r="M253" s="852" t="n"/>
      <c r="N253" s="852" t="n"/>
      <c r="O253" s="852" t="n"/>
      <c r="P253" s="852" t="n"/>
      <c r="Q253" s="852" t="n"/>
      <c r="R253" s="852" t="n"/>
      <c r="S253" s="852" t="n"/>
      <c r="T253" s="852" t="n"/>
      <c r="U253" s="852" t="n"/>
      <c r="V253" s="852" t="n"/>
      <c r="W253" s="852" t="n"/>
      <c r="X253" s="852" t="n"/>
      <c r="Y253" s="852" t="n"/>
      <c r="Z253" s="852" t="n"/>
      <c r="AA253" s="852" t="n"/>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c r="CL253" s="59" t="n"/>
      <c r="CM253" s="59" t="n"/>
      <c r="CN253" s="59" t="n"/>
    </row>
    <row r="254" ht="15" customFormat="1" customHeight="1" s="3">
      <c r="A254">
        <f>IF(C254="","",ROW()-2)</f>
        <v/>
      </c>
      <c r="B254" s="852" t="n"/>
      <c r="C254" s="852" t="n"/>
      <c r="D254">
        <f>IF(C254="TOH","Type 1",IF(C254="POH","Type 2",IF(OR(C254="LTO",C254="TOH-LC",C254="TOH - LC"),"Type 3",IF(C254="Flourish","Type 4","Type 1"))))</f>
        <v/>
      </c>
      <c r="E254" s="852" t="n"/>
      <c r="F254" s="852" t="n"/>
      <c r="G254" s="852" t="n"/>
      <c r="H254" s="888" t="n"/>
      <c r="I254" s="889" t="n"/>
      <c r="J254" s="888" t="n"/>
      <c r="K254">
        <f>SUM(H254:J254)</f>
        <v/>
      </c>
      <c r="L254" s="852" t="n"/>
      <c r="M254" s="852" t="n"/>
      <c r="N254" s="852" t="n"/>
      <c r="O254" s="852" t="n"/>
      <c r="P254" s="852" t="n"/>
      <c r="Q254" s="852" t="n"/>
      <c r="R254" s="852" t="n"/>
      <c r="S254" s="852" t="n"/>
      <c r="T254" s="852" t="n"/>
      <c r="U254" s="852" t="n"/>
      <c r="V254" s="852" t="n"/>
      <c r="W254" s="852" t="n"/>
      <c r="X254" s="852" t="n"/>
      <c r="Y254" s="852" t="n"/>
      <c r="Z254" s="852" t="n"/>
      <c r="AA254" s="852" t="n"/>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c r="CL254" s="59" t="n"/>
      <c r="CM254" s="59" t="n"/>
      <c r="CN254" s="59" t="n"/>
    </row>
    <row r="255" ht="15" customFormat="1" customHeight="1" s="3">
      <c r="A255">
        <f>IF(C255="","",ROW()-2)</f>
        <v/>
      </c>
      <c r="B255" s="852" t="n"/>
      <c r="C255" s="852" t="n"/>
      <c r="D255">
        <f>IF(C255="TOH","Type 1",IF(C255="POH","Type 2",IF(OR(C255="LTO",C255="TOH-LC",C255="TOH - LC"),"Type 3",IF(C255="Flourish","Type 4","Type 1"))))</f>
        <v/>
      </c>
      <c r="E255" s="852" t="n"/>
      <c r="F255" s="852" t="n"/>
      <c r="G255" s="852" t="n"/>
      <c r="H255" s="888" t="n"/>
      <c r="I255" s="889" t="n"/>
      <c r="J255" s="888" t="n"/>
      <c r="K255">
        <f>SUM(H255:J255)</f>
        <v/>
      </c>
      <c r="L255" s="852" t="n"/>
      <c r="M255" s="852" t="n"/>
      <c r="N255" s="852" t="n"/>
      <c r="O255" s="852" t="n"/>
      <c r="P255" s="852" t="n"/>
      <c r="Q255" s="852" t="n"/>
      <c r="R255" s="852" t="n"/>
      <c r="S255" s="852" t="n"/>
      <c r="T255" s="852" t="n"/>
      <c r="U255" s="852" t="n"/>
      <c r="V255" s="852" t="n"/>
      <c r="W255" s="852" t="n"/>
      <c r="X255" s="852" t="n"/>
      <c r="Y255" s="852" t="n"/>
      <c r="Z255" s="852" t="n"/>
      <c r="AA255" s="852" t="n"/>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c r="CL255" s="59" t="n"/>
      <c r="CM255" s="59" t="n"/>
      <c r="CN255" s="59" t="n"/>
    </row>
    <row r="256" ht="15" customFormat="1" customHeight="1" s="3">
      <c r="A256">
        <f>IF(C256="","",ROW()-2)</f>
        <v/>
      </c>
      <c r="B256" s="852" t="n"/>
      <c r="C256" s="852" t="n"/>
      <c r="D256">
        <f>IF(C256="TOH","Type 1",IF(C256="POH","Type 2",IF(OR(C256="LTO",C256="TOH-LC",C256="TOH - LC"),"Type 3",IF(C256="Flourish","Type 4","Type 1"))))</f>
        <v/>
      </c>
      <c r="E256" s="852" t="n"/>
      <c r="F256" s="852" t="n"/>
      <c r="G256" s="852" t="n"/>
      <c r="H256" s="888" t="n"/>
      <c r="I256" s="889" t="n"/>
      <c r="J256" s="888" t="n"/>
      <c r="K256">
        <f>SUM(H256:J256)</f>
        <v/>
      </c>
      <c r="L256" s="852" t="n"/>
      <c r="M256" s="852" t="n"/>
      <c r="N256" s="852" t="n"/>
      <c r="O256" s="852" t="n"/>
      <c r="P256" s="852" t="n"/>
      <c r="Q256" s="852" t="n"/>
      <c r="R256" s="852" t="n"/>
      <c r="S256" s="852" t="n"/>
      <c r="T256" s="852" t="n"/>
      <c r="U256" s="852" t="n"/>
      <c r="V256" s="852" t="n"/>
      <c r="W256" s="852" t="n"/>
      <c r="X256" s="852" t="n"/>
      <c r="Y256" s="852" t="n"/>
      <c r="Z256" s="852" t="n"/>
      <c r="AA256" s="852" t="n"/>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c r="CL256" s="59" t="n"/>
      <c r="CM256" s="59" t="n"/>
      <c r="CN256" s="59" t="n"/>
    </row>
    <row r="257" ht="15" customFormat="1" customHeight="1" s="3">
      <c r="A257">
        <f>IF(C257="","",ROW()-2)</f>
        <v/>
      </c>
      <c r="B257" s="852" t="n"/>
      <c r="C257" s="852" t="n"/>
      <c r="D257">
        <f>IF(C257="TOH","Type 1",IF(C257="POH","Type 2",IF(OR(C257="LTO",C257="TOH-LC",C257="TOH - LC"),"Type 3",IF(C257="Flourish","Type 4","Type 1"))))</f>
        <v/>
      </c>
      <c r="E257" s="852" t="n"/>
      <c r="F257" s="852" t="n"/>
      <c r="G257" s="852" t="n"/>
      <c r="H257" s="888" t="n"/>
      <c r="I257" s="889" t="n"/>
      <c r="J257" s="888" t="n"/>
      <c r="K257">
        <f>SUM(H257:J257)</f>
        <v/>
      </c>
      <c r="L257" s="852" t="n"/>
      <c r="M257" s="852" t="n"/>
      <c r="N257" s="852" t="n"/>
      <c r="O257" s="852" t="n"/>
      <c r="P257" s="852" t="n"/>
      <c r="Q257" s="852" t="n"/>
      <c r="R257" s="852" t="n"/>
      <c r="S257" s="852" t="n"/>
      <c r="T257" s="852" t="n"/>
      <c r="U257" s="852" t="n"/>
      <c r="V257" s="852" t="n"/>
      <c r="W257" s="852" t="n"/>
      <c r="X257" s="852" t="n"/>
      <c r="Y257" s="852" t="n"/>
      <c r="Z257" s="852" t="n"/>
      <c r="AA257" s="852" t="n"/>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c r="CL257" s="59" t="n"/>
      <c r="CM257" s="59" t="n"/>
      <c r="CN257" s="59" t="n"/>
    </row>
    <row r="258" ht="15" customFormat="1" customHeight="1" s="3">
      <c r="A258">
        <f>IF(C258="","",ROW()-2)</f>
        <v/>
      </c>
      <c r="B258" s="852" t="n"/>
      <c r="C258" s="852" t="n"/>
      <c r="D258">
        <f>IF(C258="TOH","Type 1",IF(C258="POH","Type 2",IF(OR(C258="LTO",C258="TOH-LC",C258="TOH - LC"),"Type 3",IF(C258="Flourish","Type 4","Type 1"))))</f>
        <v/>
      </c>
      <c r="E258" s="852" t="n"/>
      <c r="F258" s="852" t="n"/>
      <c r="G258" s="852" t="n"/>
      <c r="H258" s="888" t="n"/>
      <c r="I258" s="889" t="n"/>
      <c r="J258" s="888" t="n"/>
      <c r="K258">
        <f>SUM(H258:J258)</f>
        <v/>
      </c>
      <c r="L258" s="852" t="n"/>
      <c r="M258" s="852" t="n"/>
      <c r="N258" s="852" t="n"/>
      <c r="O258" s="852" t="n"/>
      <c r="P258" s="852" t="n"/>
      <c r="Q258" s="852" t="n"/>
      <c r="R258" s="852" t="n"/>
      <c r="S258" s="852" t="n"/>
      <c r="T258" s="852" t="n"/>
      <c r="U258" s="852" t="n"/>
      <c r="V258" s="852" t="n"/>
      <c r="W258" s="852" t="n"/>
      <c r="X258" s="852" t="n"/>
      <c r="Y258" s="852" t="n"/>
      <c r="Z258" s="852" t="n"/>
      <c r="AA258" s="852" t="n"/>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c r="CL258" s="59" t="n"/>
      <c r="CM258" s="59" t="n"/>
      <c r="CN258" s="59" t="n"/>
    </row>
    <row r="259" ht="15" customFormat="1" customHeight="1" s="3">
      <c r="A259">
        <f>IF(C259="","",ROW()-2)</f>
        <v/>
      </c>
      <c r="B259" s="852" t="n"/>
      <c r="C259" s="852" t="n"/>
      <c r="D259">
        <f>IF(C259="TOH","Type 1",IF(C259="POH","Type 2",IF(OR(C259="LTO",C259="TOH-LC",C259="TOH - LC"),"Type 3",IF(C259="Flourish","Type 4","Type 1"))))</f>
        <v/>
      </c>
      <c r="E259" s="852" t="n"/>
      <c r="F259" s="852" t="n"/>
      <c r="G259" s="852" t="n"/>
      <c r="H259" s="888" t="n"/>
      <c r="I259" s="889" t="n"/>
      <c r="J259" s="888" t="n"/>
      <c r="K259">
        <f>SUM(H259:J259)</f>
        <v/>
      </c>
      <c r="L259" s="852" t="n"/>
      <c r="M259" s="852" t="n"/>
      <c r="N259" s="852" t="n"/>
      <c r="O259" s="852" t="n"/>
      <c r="P259" s="852" t="n"/>
      <c r="Q259" s="852" t="n"/>
      <c r="R259" s="852" t="n"/>
      <c r="S259" s="852" t="n"/>
      <c r="T259" s="852" t="n"/>
      <c r="U259" s="852" t="n"/>
      <c r="V259" s="852" t="n"/>
      <c r="W259" s="852" t="n"/>
      <c r="X259" s="852" t="n"/>
      <c r="Y259" s="852" t="n"/>
      <c r="Z259" s="852" t="n"/>
      <c r="AA259" s="852" t="n"/>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c r="CL259" s="59" t="n"/>
      <c r="CM259" s="59" t="n"/>
      <c r="CN259" s="59" t="n"/>
    </row>
    <row r="260" ht="15" customFormat="1" customHeight="1" s="3">
      <c r="A260">
        <f>IF(C260="","",ROW()-2)</f>
        <v/>
      </c>
      <c r="B260" s="852" t="n"/>
      <c r="C260" s="852" t="n"/>
      <c r="D260">
        <f>IF(C260="TOH","Type 1",IF(C260="POH","Type 2",IF(OR(C260="LTO",C260="TOH-LC",C260="TOH - LC"),"Type 3",IF(C260="Flourish","Type 4","Type 1"))))</f>
        <v/>
      </c>
      <c r="E260" s="852" t="n"/>
      <c r="F260" s="852" t="n"/>
      <c r="G260" s="852" t="n"/>
      <c r="H260" s="888" t="n"/>
      <c r="I260" s="889" t="n"/>
      <c r="J260" s="888" t="n"/>
      <c r="K260">
        <f>SUM(H260:J260)</f>
        <v/>
      </c>
      <c r="L260" s="852" t="n"/>
      <c r="M260" s="852" t="n"/>
      <c r="N260" s="852" t="n"/>
      <c r="O260" s="852" t="n"/>
      <c r="P260" s="852" t="n"/>
      <c r="Q260" s="852" t="n"/>
      <c r="R260" s="852" t="n"/>
      <c r="S260" s="852" t="n"/>
      <c r="T260" s="852" t="n"/>
      <c r="U260" s="852" t="n"/>
      <c r="V260" s="852" t="n"/>
      <c r="W260" s="852" t="n"/>
      <c r="X260" s="852" t="n"/>
      <c r="Y260" s="852" t="n"/>
      <c r="Z260" s="852" t="n"/>
      <c r="AA260" s="852" t="n"/>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c r="CL260" s="59" t="n"/>
      <c r="CM260" s="59" t="n"/>
      <c r="CN260" s="59" t="n"/>
    </row>
    <row r="261" ht="15" customFormat="1" customHeight="1" s="3">
      <c r="A261">
        <f>IF(C261="","",ROW()-2)</f>
        <v/>
      </c>
      <c r="B261" s="852" t="n"/>
      <c r="C261" s="852" t="n"/>
      <c r="D261">
        <f>IF(C261="TOH","Type 1",IF(C261="POH","Type 2",IF(OR(C261="LTO",C261="TOH-LC",C261="TOH - LC"),"Type 3",IF(C261="Flourish","Type 4","Type 1"))))</f>
        <v/>
      </c>
      <c r="E261" s="852" t="n"/>
      <c r="F261" s="852" t="n"/>
      <c r="G261" s="852" t="n"/>
      <c r="H261" s="888" t="n"/>
      <c r="I261" s="889" t="n"/>
      <c r="J261" s="888" t="n"/>
      <c r="K261">
        <f>SUM(H261:J261)</f>
        <v/>
      </c>
      <c r="L261" s="852" t="n"/>
      <c r="M261" s="852" t="n"/>
      <c r="N261" s="852" t="n"/>
      <c r="O261" s="852" t="n"/>
      <c r="P261" s="852" t="n"/>
      <c r="Q261" s="852" t="n"/>
      <c r="R261" s="852" t="n"/>
      <c r="S261" s="852" t="n"/>
      <c r="T261" s="852" t="n"/>
      <c r="U261" s="852" t="n"/>
      <c r="V261" s="852" t="n"/>
      <c r="W261" s="852" t="n"/>
      <c r="X261" s="852" t="n"/>
      <c r="Y261" s="852" t="n"/>
      <c r="Z261" s="852" t="n"/>
      <c r="AA261" s="852" t="n"/>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c r="CL261" s="59" t="n"/>
      <c r="CM261" s="59" t="n"/>
      <c r="CN261" s="59" t="n"/>
    </row>
    <row r="262" ht="15" customFormat="1" customHeight="1" s="3">
      <c r="A262">
        <f>IF(C262="","",ROW()-2)</f>
        <v/>
      </c>
      <c r="B262" s="852" t="n"/>
      <c r="C262" s="852" t="n"/>
      <c r="D262">
        <f>IF(C262="TOH","Type 1",IF(C262="POH","Type 2",IF(OR(C262="LTO",C262="TOH-LC",C262="TOH - LC"),"Type 3",IF(C262="Flourish","Type 4","Type 1"))))</f>
        <v/>
      </c>
      <c r="E262" s="852" t="n"/>
      <c r="F262" s="852" t="n"/>
      <c r="G262" s="852" t="n"/>
      <c r="H262" s="888" t="n"/>
      <c r="I262" s="889" t="n"/>
      <c r="J262" s="888" t="n"/>
      <c r="K262">
        <f>SUM(H262:J262)</f>
        <v/>
      </c>
      <c r="L262" s="852" t="n"/>
      <c r="M262" s="852" t="n"/>
      <c r="N262" s="852" t="n"/>
      <c r="O262" s="852" t="n"/>
      <c r="P262" s="852" t="n"/>
      <c r="Q262" s="852" t="n"/>
      <c r="R262" s="852" t="n"/>
      <c r="S262" s="852" t="n"/>
      <c r="T262" s="852" t="n"/>
      <c r="U262" s="852" t="n"/>
      <c r="V262" s="852" t="n"/>
      <c r="W262" s="852" t="n"/>
      <c r="X262" s="852" t="n"/>
      <c r="Y262" s="852" t="n"/>
      <c r="Z262" s="852" t="n"/>
      <c r="AA262" s="852" t="n"/>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c r="CL262" s="59" t="n"/>
      <c r="CM262" s="59" t="n"/>
      <c r="CN262" s="59" t="n"/>
    </row>
    <row r="263" ht="15" customFormat="1" customHeight="1" s="3">
      <c r="A263">
        <f>IF(C263="","",ROW()-2)</f>
        <v/>
      </c>
      <c r="B263" s="852" t="n"/>
      <c r="C263" s="852" t="n"/>
      <c r="D263">
        <f>IF(C263="TOH","Type 1",IF(C263="POH","Type 2",IF(OR(C263="LTO",C263="TOH-LC",C263="TOH - LC"),"Type 3",IF(C263="Flourish","Type 4","Type 1"))))</f>
        <v/>
      </c>
      <c r="E263" s="852" t="n"/>
      <c r="F263" s="852" t="n"/>
      <c r="G263" s="852" t="n"/>
      <c r="H263" s="888" t="n"/>
      <c r="I263" s="889" t="n"/>
      <c r="J263" s="888" t="n"/>
      <c r="K263">
        <f>SUM(H263:J263)</f>
        <v/>
      </c>
      <c r="L263" s="852" t="n"/>
      <c r="M263" s="852" t="n"/>
      <c r="N263" s="852" t="n"/>
      <c r="O263" s="852" t="n"/>
      <c r="P263" s="852" t="n"/>
      <c r="Q263" s="852" t="n"/>
      <c r="R263" s="852" t="n"/>
      <c r="S263" s="852" t="n"/>
      <c r="T263" s="852" t="n"/>
      <c r="U263" s="852" t="n"/>
      <c r="V263" s="852" t="n"/>
      <c r="W263" s="852" t="n"/>
      <c r="X263" s="852" t="n"/>
      <c r="Y263" s="852" t="n"/>
      <c r="Z263" s="852" t="n"/>
      <c r="AA263" s="852" t="n"/>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c r="CL263" s="59" t="n"/>
      <c r="CM263" s="59" t="n"/>
      <c r="CN263" s="59" t="n"/>
    </row>
    <row r="264" ht="15" customFormat="1" customHeight="1" s="3">
      <c r="A264">
        <f>IF(C264="","",ROW()-2)</f>
        <v/>
      </c>
      <c r="B264" s="852" t="n"/>
      <c r="C264" s="852" t="n"/>
      <c r="D264">
        <f>IF(C264="TOH","Type 1",IF(C264="POH","Type 2",IF(OR(C264="LTO",C264="TOH-LC",C264="TOH - LC"),"Type 3",IF(C264="Flourish","Type 4","Type 1"))))</f>
        <v/>
      </c>
      <c r="E264" s="852" t="n"/>
      <c r="F264" s="852" t="n"/>
      <c r="G264" s="852" t="n"/>
      <c r="H264" s="888" t="n"/>
      <c r="I264" s="889" t="n"/>
      <c r="J264" s="888" t="n"/>
      <c r="K264">
        <f>SUM(H264:J264)</f>
        <v/>
      </c>
      <c r="L264" s="852" t="n"/>
      <c r="M264" s="852" t="n"/>
      <c r="N264" s="852" t="n"/>
      <c r="O264" s="852" t="n"/>
      <c r="P264" s="852" t="n"/>
      <c r="Q264" s="852" t="n"/>
      <c r="R264" s="852" t="n"/>
      <c r="S264" s="852" t="n"/>
      <c r="T264" s="852" t="n"/>
      <c r="U264" s="852" t="n"/>
      <c r="V264" s="852" t="n"/>
      <c r="W264" s="852" t="n"/>
      <c r="X264" s="852" t="n"/>
      <c r="Y264" s="852" t="n"/>
      <c r="Z264" s="852" t="n"/>
      <c r="AA264" s="852" t="n"/>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c r="CL264" s="59" t="n"/>
      <c r="CM264" s="59" t="n"/>
      <c r="CN264" s="59" t="n"/>
    </row>
    <row r="265" ht="15" customFormat="1" customHeight="1" s="3">
      <c r="A265">
        <f>IF(C265="","",ROW()-2)</f>
        <v/>
      </c>
      <c r="B265" s="852" t="n"/>
      <c r="C265" s="852" t="n"/>
      <c r="D265">
        <f>IF(C265="TOH","Type 1",IF(C265="POH","Type 2",IF(OR(C265="LTO",C265="TOH-LC",C265="TOH - LC"),"Type 3",IF(C265="Flourish","Type 4","Type 1"))))</f>
        <v/>
      </c>
      <c r="E265" s="852" t="n"/>
      <c r="F265" s="852" t="n"/>
      <c r="G265" s="852" t="n"/>
      <c r="H265" s="888" t="n"/>
      <c r="I265" s="889" t="n"/>
      <c r="J265" s="888" t="n"/>
      <c r="K265">
        <f>SUM(H265:J265)</f>
        <v/>
      </c>
      <c r="L265" s="852" t="n"/>
      <c r="M265" s="852" t="n"/>
      <c r="N265" s="852" t="n"/>
      <c r="O265" s="852" t="n"/>
      <c r="P265" s="852" t="n"/>
      <c r="Q265" s="852" t="n"/>
      <c r="R265" s="852" t="n"/>
      <c r="S265" s="852" t="n"/>
      <c r="T265" s="852" t="n"/>
      <c r="U265" s="852" t="n"/>
      <c r="V265" s="852" t="n"/>
      <c r="W265" s="852" t="n"/>
      <c r="X265" s="852" t="n"/>
      <c r="Y265" s="852" t="n"/>
      <c r="Z265" s="852" t="n"/>
      <c r="AA265" s="852" t="n"/>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c r="CL265" s="59" t="n"/>
      <c r="CM265" s="59" t="n"/>
      <c r="CN265" s="59" t="n"/>
    </row>
    <row r="266" ht="15" customFormat="1" customHeight="1" s="3">
      <c r="A266">
        <f>IF(C266="","",ROW()-2)</f>
        <v/>
      </c>
      <c r="B266" s="852" t="n"/>
      <c r="C266" s="852" t="n"/>
      <c r="D266">
        <f>IF(C266="TOH","Type 1",IF(C266="POH","Type 2",IF(OR(C266="LTO",C266="TOH-LC",C266="TOH - LC"),"Type 3",IF(C266="Flourish","Type 4","Type 1"))))</f>
        <v/>
      </c>
      <c r="E266" s="852" t="n"/>
      <c r="F266" s="852" t="n"/>
      <c r="G266" s="852" t="n"/>
      <c r="H266" s="888" t="n"/>
      <c r="I266" s="889" t="n"/>
      <c r="J266" s="888" t="n"/>
      <c r="K266">
        <f>SUM(H266:J266)</f>
        <v/>
      </c>
      <c r="L266" s="852" t="n"/>
      <c r="M266" s="852" t="n"/>
      <c r="N266" s="852" t="n"/>
      <c r="O266" s="852" t="n"/>
      <c r="P266" s="852" t="n"/>
      <c r="Q266" s="852" t="n"/>
      <c r="R266" s="852" t="n"/>
      <c r="S266" s="852" t="n"/>
      <c r="T266" s="852" t="n"/>
      <c r="U266" s="852" t="n"/>
      <c r="V266" s="852" t="n"/>
      <c r="W266" s="852" t="n"/>
      <c r="X266" s="852" t="n"/>
      <c r="Y266" s="852" t="n"/>
      <c r="Z266" s="852" t="n"/>
      <c r="AA266" s="852" t="n"/>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c r="CL266" s="59" t="n"/>
      <c r="CM266" s="59" t="n"/>
      <c r="CN266" s="59" t="n"/>
    </row>
    <row r="267" ht="15" customFormat="1" customHeight="1" s="3">
      <c r="A267">
        <f>IF(C267="","",ROW()-2)</f>
        <v/>
      </c>
      <c r="B267" s="852" t="n"/>
      <c r="C267" s="852" t="n"/>
      <c r="D267">
        <f>IF(C267="TOH","Type 1",IF(C267="POH","Type 2",IF(OR(C267="LTO",C267="TOH-LC",C267="TOH - LC"),"Type 3",IF(C267="Flourish","Type 4","Type 1"))))</f>
        <v/>
      </c>
      <c r="E267" s="852" t="n"/>
      <c r="F267" s="852" t="n"/>
      <c r="G267" s="852" t="n"/>
      <c r="H267" s="888" t="n"/>
      <c r="I267" s="889" t="n"/>
      <c r="J267" s="888" t="n"/>
      <c r="K267">
        <f>SUM(H267:J267)</f>
        <v/>
      </c>
      <c r="L267" s="852" t="n"/>
      <c r="M267" s="852" t="n"/>
      <c r="N267" s="852" t="n"/>
      <c r="O267" s="852" t="n"/>
      <c r="P267" s="852" t="n"/>
      <c r="Q267" s="852" t="n"/>
      <c r="R267" s="852" t="n"/>
      <c r="S267" s="852" t="n"/>
      <c r="T267" s="852" t="n"/>
      <c r="U267" s="852" t="n"/>
      <c r="V267" s="852" t="n"/>
      <c r="W267" s="852" t="n"/>
      <c r="X267" s="852" t="n"/>
      <c r="Y267" s="852" t="n"/>
      <c r="Z267" s="852" t="n"/>
      <c r="AA267" s="852" t="n"/>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c r="CL267" s="59" t="n"/>
      <c r="CM267" s="59" t="n"/>
      <c r="CN267" s="59" t="n"/>
    </row>
    <row r="268" ht="15" customFormat="1" customHeight="1" s="3">
      <c r="A268">
        <f>IF(C268="","",ROW()-2)</f>
        <v/>
      </c>
      <c r="B268" s="852" t="n"/>
      <c r="C268" s="852" t="n"/>
      <c r="D268">
        <f>IF(C268="TOH","Type 1",IF(C268="POH","Type 2",IF(OR(C268="LTO",C268="TOH-LC",C268="TOH - LC"),"Type 3",IF(C268="Flourish","Type 4","Type 1"))))</f>
        <v/>
      </c>
      <c r="E268" s="852" t="n"/>
      <c r="F268" s="852" t="n"/>
      <c r="G268" s="852" t="n"/>
      <c r="H268" s="888" t="n"/>
      <c r="I268" s="889" t="n"/>
      <c r="J268" s="888" t="n"/>
      <c r="K268">
        <f>SUM(H268:J268)</f>
        <v/>
      </c>
      <c r="L268" s="852" t="n"/>
      <c r="M268" s="852" t="n"/>
      <c r="N268" s="852" t="n"/>
      <c r="O268" s="852" t="n"/>
      <c r="P268" s="852" t="n"/>
      <c r="Q268" s="852" t="n"/>
      <c r="R268" s="852" t="n"/>
      <c r="S268" s="852" t="n"/>
      <c r="T268" s="852" t="n"/>
      <c r="U268" s="852" t="n"/>
      <c r="V268" s="852" t="n"/>
      <c r="W268" s="852" t="n"/>
      <c r="X268" s="852" t="n"/>
      <c r="Y268" s="852" t="n"/>
      <c r="Z268" s="852" t="n"/>
      <c r="AA268" s="852" t="n"/>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c r="CL268" s="59" t="n"/>
      <c r="CM268" s="59" t="n"/>
      <c r="CN268" s="59" t="n"/>
    </row>
    <row r="269" ht="15" customFormat="1" customHeight="1" s="3">
      <c r="A269">
        <f>IF(C269="","",ROW()-2)</f>
        <v/>
      </c>
      <c r="B269" s="852" t="n"/>
      <c r="C269" s="852" t="n"/>
      <c r="D269">
        <f>IF(C269="TOH","Type 1",IF(C269="POH","Type 2",IF(OR(C269="LTO",C269="TOH-LC",C269="TOH - LC"),"Type 3",IF(C269="Flourish","Type 4","Type 1"))))</f>
        <v/>
      </c>
      <c r="E269" s="852" t="n"/>
      <c r="F269" s="852" t="n"/>
      <c r="G269" s="852" t="n"/>
      <c r="H269" s="888" t="n"/>
      <c r="I269" s="889" t="n"/>
      <c r="J269" s="888" t="n"/>
      <c r="K269">
        <f>SUM(H269:J269)</f>
        <v/>
      </c>
      <c r="L269" s="852" t="n"/>
      <c r="M269" s="852" t="n"/>
      <c r="N269" s="852" t="n"/>
      <c r="O269" s="852" t="n"/>
      <c r="P269" s="852" t="n"/>
      <c r="Q269" s="852" t="n"/>
      <c r="R269" s="852" t="n"/>
      <c r="S269" s="852" t="n"/>
      <c r="T269" s="852" t="n"/>
      <c r="U269" s="852" t="n"/>
      <c r="V269" s="852" t="n"/>
      <c r="W269" s="852" t="n"/>
      <c r="X269" s="852" t="n"/>
      <c r="Y269" s="852" t="n"/>
      <c r="Z269" s="852" t="n"/>
      <c r="AA269" s="852" t="n"/>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c r="CL269" s="59" t="n"/>
      <c r="CM269" s="59" t="n"/>
      <c r="CN269" s="59" t="n"/>
    </row>
    <row r="270" ht="15" customFormat="1" customHeight="1" s="3">
      <c r="A270">
        <f>IF(C270="","",ROW()-2)</f>
        <v/>
      </c>
      <c r="B270" s="852" t="n"/>
      <c r="C270" s="852" t="n"/>
      <c r="D270">
        <f>IF(C270="TOH","Type 1",IF(C270="POH","Type 2",IF(OR(C270="LTO",C270="TOH-LC",C270="TOH - LC"),"Type 3",IF(C270="Flourish","Type 4","Type 1"))))</f>
        <v/>
      </c>
      <c r="E270" s="852" t="n"/>
      <c r="F270" s="852" t="n"/>
      <c r="G270" s="852" t="n"/>
      <c r="H270" s="888" t="n"/>
      <c r="I270" s="889" t="n"/>
      <c r="J270" s="888" t="n"/>
      <c r="K270">
        <f>SUM(H270:J270)</f>
        <v/>
      </c>
      <c r="L270" s="852" t="n"/>
      <c r="M270" s="852" t="n"/>
      <c r="N270" s="852" t="n"/>
      <c r="O270" s="852" t="n"/>
      <c r="P270" s="852" t="n"/>
      <c r="Q270" s="852" t="n"/>
      <c r="R270" s="852" t="n"/>
      <c r="S270" s="852" t="n"/>
      <c r="T270" s="852" t="n"/>
      <c r="U270" s="852" t="n"/>
      <c r="V270" s="852" t="n"/>
      <c r="W270" s="852" t="n"/>
      <c r="X270" s="852" t="n"/>
      <c r="Y270" s="852" t="n"/>
      <c r="Z270" s="852" t="n"/>
      <c r="AA270" s="852" t="n"/>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c r="CL270" s="59" t="n"/>
      <c r="CM270" s="59" t="n"/>
      <c r="CN270" s="59" t="n"/>
    </row>
    <row r="271" ht="15" customFormat="1" customHeight="1" s="3">
      <c r="A271">
        <f>IF(C271="","",ROW()-2)</f>
        <v/>
      </c>
      <c r="B271" s="852" t="n"/>
      <c r="C271" s="852" t="n"/>
      <c r="D271">
        <f>IF(C271="TOH","Type 1",IF(C271="POH","Type 2",IF(OR(C271="LTO",C271="TOH-LC",C271="TOH - LC"),"Type 3",IF(C271="Flourish","Type 4","Type 1"))))</f>
        <v/>
      </c>
      <c r="E271" s="852" t="n"/>
      <c r="F271" s="852" t="n"/>
      <c r="G271" s="852" t="n"/>
      <c r="H271" s="888" t="n"/>
      <c r="I271" s="889" t="n"/>
      <c r="J271" s="888" t="n"/>
      <c r="K271">
        <f>SUM(H271:J271)</f>
        <v/>
      </c>
      <c r="L271" s="852" t="n"/>
      <c r="M271" s="852" t="n"/>
      <c r="N271" s="852" t="n"/>
      <c r="O271" s="852" t="n"/>
      <c r="P271" s="852" t="n"/>
      <c r="Q271" s="852" t="n"/>
      <c r="R271" s="852" t="n"/>
      <c r="S271" s="852" t="n"/>
      <c r="T271" s="852" t="n"/>
      <c r="U271" s="852" t="n"/>
      <c r="V271" s="852" t="n"/>
      <c r="W271" s="852" t="n"/>
      <c r="X271" s="852" t="n"/>
      <c r="Y271" s="852" t="n"/>
      <c r="Z271" s="852" t="n"/>
      <c r="AA271" s="852" t="n"/>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c r="CL271" s="59" t="n"/>
      <c r="CM271" s="59" t="n"/>
      <c r="CN271" s="59" t="n"/>
    </row>
    <row r="272" ht="15" customFormat="1" customHeight="1" s="3">
      <c r="A272">
        <f>IF(C272="","",ROW()-2)</f>
        <v/>
      </c>
      <c r="B272" s="852" t="n"/>
      <c r="C272" s="852" t="n"/>
      <c r="D272">
        <f>IF(C272="TOH","Type 1",IF(C272="POH","Type 2",IF(OR(C272="LTO",C272="TOH-LC",C272="TOH - LC"),"Type 3",IF(C272="Flourish","Type 4","Type 1"))))</f>
        <v/>
      </c>
      <c r="E272" s="852" t="n"/>
      <c r="F272" s="852" t="n"/>
      <c r="G272" s="852" t="n"/>
      <c r="H272" s="888" t="n"/>
      <c r="I272" s="889" t="n"/>
      <c r="J272" s="888" t="n"/>
      <c r="K272">
        <f>SUM(H272:J272)</f>
        <v/>
      </c>
      <c r="L272" s="852" t="n"/>
      <c r="M272" s="852" t="n"/>
      <c r="N272" s="852" t="n"/>
      <c r="O272" s="852" t="n"/>
      <c r="P272" s="852" t="n"/>
      <c r="Q272" s="852" t="n"/>
      <c r="R272" s="852" t="n"/>
      <c r="S272" s="852" t="n"/>
      <c r="T272" s="852" t="n"/>
      <c r="U272" s="852" t="n"/>
      <c r="V272" s="852" t="n"/>
      <c r="W272" s="852" t="n"/>
      <c r="X272" s="852" t="n"/>
      <c r="Y272" s="852" t="n"/>
      <c r="Z272" s="852" t="n"/>
      <c r="AA272" s="852" t="n"/>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c r="CL272" s="59" t="n"/>
      <c r="CM272" s="59" t="n"/>
      <c r="CN272" s="59" t="n"/>
    </row>
    <row r="273" ht="15" customFormat="1" customHeight="1" s="3">
      <c r="A273">
        <f>IF(C273="","",ROW()-2)</f>
        <v/>
      </c>
      <c r="B273" s="852" t="n"/>
      <c r="C273" s="852" t="n"/>
      <c r="D273">
        <f>IF(C273="TOH","Type 1",IF(C273="POH","Type 2",IF(OR(C273="LTO",C273="TOH-LC",C273="TOH - LC"),"Type 3",IF(C273="Flourish","Type 4","Type 1"))))</f>
        <v/>
      </c>
      <c r="E273" s="852" t="n"/>
      <c r="F273" s="852" t="n"/>
      <c r="G273" s="852" t="n"/>
      <c r="H273" s="888" t="n"/>
      <c r="I273" s="889" t="n"/>
      <c r="J273" s="888" t="n"/>
      <c r="K273">
        <f>SUM(H273:J273)</f>
        <v/>
      </c>
      <c r="L273" s="852" t="n"/>
      <c r="M273" s="852" t="n"/>
      <c r="N273" s="852" t="n"/>
      <c r="O273" s="852" t="n"/>
      <c r="P273" s="852" t="n"/>
      <c r="Q273" s="852" t="n"/>
      <c r="R273" s="852" t="n"/>
      <c r="S273" s="852" t="n"/>
      <c r="T273" s="852" t="n"/>
      <c r="U273" s="852" t="n"/>
      <c r="V273" s="852" t="n"/>
      <c r="W273" s="852" t="n"/>
      <c r="X273" s="852" t="n"/>
      <c r="Y273" s="852" t="n"/>
      <c r="Z273" s="852" t="n"/>
      <c r="AA273" s="852" t="n"/>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c r="CL273" s="59" t="n"/>
      <c r="CM273" s="59" t="n"/>
      <c r="CN273" s="59" t="n"/>
    </row>
    <row r="274" ht="15" customFormat="1" customHeight="1" s="3">
      <c r="A274">
        <f>IF(C274="","",ROW()-2)</f>
        <v/>
      </c>
      <c r="B274" s="852" t="n"/>
      <c r="C274" s="852" t="n"/>
      <c r="D274">
        <f>IF(C274="TOH","Type 1",IF(C274="POH","Type 2",IF(OR(C274="LTO",C274="TOH-LC",C274="TOH - LC"),"Type 3",IF(C274="Flourish","Type 4","Type 1"))))</f>
        <v/>
      </c>
      <c r="E274" s="852" t="n"/>
      <c r="F274" s="852" t="n"/>
      <c r="G274" s="852" t="n"/>
      <c r="H274" s="888" t="n"/>
      <c r="I274" s="889" t="n"/>
      <c r="J274" s="888" t="n"/>
      <c r="K274">
        <f>SUM(H274:J274)</f>
        <v/>
      </c>
      <c r="L274" s="852" t="n"/>
      <c r="M274" s="852" t="n"/>
      <c r="N274" s="852" t="n"/>
      <c r="O274" s="852" t="n"/>
      <c r="P274" s="852" t="n"/>
      <c r="Q274" s="852" t="n"/>
      <c r="R274" s="852" t="n"/>
      <c r="S274" s="852" t="n"/>
      <c r="T274" s="852" t="n"/>
      <c r="U274" s="852" t="n"/>
      <c r="V274" s="852" t="n"/>
      <c r="W274" s="852" t="n"/>
      <c r="X274" s="852" t="n"/>
      <c r="Y274" s="852" t="n"/>
      <c r="Z274" s="852" t="n"/>
      <c r="AA274" s="852" t="n"/>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c r="CL274" s="59" t="n"/>
      <c r="CM274" s="59" t="n"/>
      <c r="CN274" s="59" t="n"/>
    </row>
    <row r="275" ht="15" customFormat="1" customHeight="1" s="3">
      <c r="A275">
        <f>IF(C275="","",ROW()-2)</f>
        <v/>
      </c>
      <c r="B275" s="852" t="n"/>
      <c r="C275" s="852" t="n"/>
      <c r="D275">
        <f>IF(C275="TOH","Type 1",IF(C275="POH","Type 2",IF(OR(C275="LTO",C275="TOH-LC",C275="TOH - LC"),"Type 3",IF(C275="Flourish","Type 4","Type 1"))))</f>
        <v/>
      </c>
      <c r="E275" s="852" t="n"/>
      <c r="F275" s="852" t="n"/>
      <c r="G275" s="852" t="n"/>
      <c r="H275" s="888" t="n"/>
      <c r="I275" s="889" t="n"/>
      <c r="J275" s="888" t="n"/>
      <c r="K275">
        <f>SUM(H275:J275)</f>
        <v/>
      </c>
      <c r="L275" s="852" t="n"/>
      <c r="M275" s="852" t="n"/>
      <c r="N275" s="852" t="n"/>
      <c r="O275" s="852" t="n"/>
      <c r="P275" s="852" t="n"/>
      <c r="Q275" s="852" t="n"/>
      <c r="R275" s="852" t="n"/>
      <c r="S275" s="852" t="n"/>
      <c r="T275" s="852" t="n"/>
      <c r="U275" s="852" t="n"/>
      <c r="V275" s="852" t="n"/>
      <c r="W275" s="852" t="n"/>
      <c r="X275" s="852" t="n"/>
      <c r="Y275" s="852" t="n"/>
      <c r="Z275" s="852" t="n"/>
      <c r="AA275" s="852" t="n"/>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c r="CL275" s="59" t="n"/>
      <c r="CM275" s="59" t="n"/>
      <c r="CN275" s="59" t="n"/>
    </row>
    <row r="276" ht="15" customFormat="1" customHeight="1" s="3">
      <c r="A276">
        <f>IF(C276="","",ROW()-2)</f>
        <v/>
      </c>
      <c r="B276" s="852" t="n"/>
      <c r="C276" s="852" t="n"/>
      <c r="D276">
        <f>IF(C276="TOH","Type 1",IF(C276="POH","Type 2",IF(OR(C276="LTO",C276="TOH-LC",C276="TOH - LC"),"Type 3",IF(C276="Flourish","Type 4","Type 1"))))</f>
        <v/>
      </c>
      <c r="E276" s="852" t="n"/>
      <c r="F276" s="852" t="n"/>
      <c r="G276" s="852" t="n"/>
      <c r="H276" s="888" t="n"/>
      <c r="I276" s="889" t="n"/>
      <c r="J276" s="888" t="n"/>
      <c r="K276">
        <f>SUM(H276:J276)</f>
        <v/>
      </c>
      <c r="L276" s="852" t="n"/>
      <c r="M276" s="852" t="n"/>
      <c r="N276" s="852" t="n"/>
      <c r="O276" s="852" t="n"/>
      <c r="P276" s="852" t="n"/>
      <c r="Q276" s="852" t="n"/>
      <c r="R276" s="852" t="n"/>
      <c r="S276" s="852" t="n"/>
      <c r="T276" s="852" t="n"/>
      <c r="U276" s="852" t="n"/>
      <c r="V276" s="852" t="n"/>
      <c r="W276" s="852" t="n"/>
      <c r="X276" s="852" t="n"/>
      <c r="Y276" s="852" t="n"/>
      <c r="Z276" s="852" t="n"/>
      <c r="AA276" s="852" t="n"/>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c r="CL276" s="59" t="n"/>
      <c r="CM276" s="59" t="n"/>
      <c r="CN276" s="59" t="n"/>
    </row>
    <row r="277" ht="15" customFormat="1" customHeight="1" s="3">
      <c r="A277">
        <f>IF(C277="","",ROW()-2)</f>
        <v/>
      </c>
      <c r="B277" s="852" t="n"/>
      <c r="C277" s="852" t="n"/>
      <c r="D277">
        <f>IF(C277="TOH","Type 1",IF(C277="POH","Type 2",IF(OR(C277="LTO",C277="TOH-LC",C277="TOH - LC"),"Type 3",IF(C277="Flourish","Type 4","Type 1"))))</f>
        <v/>
      </c>
      <c r="E277" s="852" t="n"/>
      <c r="F277" s="852" t="n"/>
      <c r="G277" s="852" t="n"/>
      <c r="H277" s="888" t="n"/>
      <c r="I277" s="889" t="n"/>
      <c r="J277" s="888" t="n"/>
      <c r="K277">
        <f>SUM(H277:J277)</f>
        <v/>
      </c>
      <c r="L277" s="852" t="n"/>
      <c r="M277" s="852" t="n"/>
      <c r="N277" s="852" t="n"/>
      <c r="O277" s="852" t="n"/>
      <c r="P277" s="852" t="n"/>
      <c r="Q277" s="852" t="n"/>
      <c r="R277" s="852" t="n"/>
      <c r="S277" s="852" t="n"/>
      <c r="T277" s="852" t="n"/>
      <c r="U277" s="852" t="n"/>
      <c r="V277" s="852" t="n"/>
      <c r="W277" s="852" t="n"/>
      <c r="X277" s="852" t="n"/>
      <c r="Y277" s="852" t="n"/>
      <c r="Z277" s="852" t="n"/>
      <c r="AA277" s="852" t="n"/>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c r="CL277" s="59" t="n"/>
      <c r="CM277" s="59" t="n"/>
      <c r="CN277" s="59" t="n"/>
    </row>
    <row r="278" ht="15" customFormat="1" customHeight="1" s="3">
      <c r="A278">
        <f>IF(C278="","",ROW()-2)</f>
        <v/>
      </c>
      <c r="B278" s="852" t="n"/>
      <c r="C278" s="852" t="n"/>
      <c r="D278">
        <f>IF(C278="TOH","Type 1",IF(C278="POH","Type 2",IF(OR(C278="LTO",C278="TOH-LC",C278="TOH - LC"),"Type 3",IF(C278="Flourish","Type 4","Type 1"))))</f>
        <v/>
      </c>
      <c r="E278" s="852" t="n"/>
      <c r="F278" s="852" t="n"/>
      <c r="G278" s="852" t="n"/>
      <c r="H278" s="888" t="n"/>
      <c r="I278" s="889" t="n"/>
      <c r="J278" s="888" t="n"/>
      <c r="K278">
        <f>SUM(H278:J278)</f>
        <v/>
      </c>
      <c r="L278" s="852" t="n"/>
      <c r="M278" s="852" t="n"/>
      <c r="N278" s="852" t="n"/>
      <c r="O278" s="852" t="n"/>
      <c r="P278" s="852" t="n"/>
      <c r="Q278" s="852" t="n"/>
      <c r="R278" s="852" t="n"/>
      <c r="S278" s="852" t="n"/>
      <c r="T278" s="852" t="n"/>
      <c r="U278" s="852" t="n"/>
      <c r="V278" s="852" t="n"/>
      <c r="W278" s="852" t="n"/>
      <c r="X278" s="852" t="n"/>
      <c r="Y278" s="852" t="n"/>
      <c r="Z278" s="852" t="n"/>
      <c r="AA278" s="852" t="n"/>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c r="CL278" s="59" t="n"/>
      <c r="CM278" s="59" t="n"/>
      <c r="CN278" s="59" t="n"/>
    </row>
    <row r="279" ht="15" customFormat="1" customHeight="1" s="3">
      <c r="A279">
        <f>IF(C279="","",ROW()-2)</f>
        <v/>
      </c>
      <c r="B279" s="852" t="n"/>
      <c r="C279" s="852" t="n"/>
      <c r="D279">
        <f>IF(C279="TOH","Type 1",IF(C279="POH","Type 2",IF(OR(C279="LTO",C279="TOH-LC",C279="TOH - LC"),"Type 3",IF(C279="Flourish","Type 4","Type 1"))))</f>
        <v/>
      </c>
      <c r="E279" s="852" t="n"/>
      <c r="F279" s="852" t="n"/>
      <c r="G279" s="852" t="n"/>
      <c r="H279" s="888" t="n"/>
      <c r="I279" s="889" t="n"/>
      <c r="J279" s="888" t="n"/>
      <c r="K279">
        <f>SUM(H279:J279)</f>
        <v/>
      </c>
      <c r="L279" s="852" t="n"/>
      <c r="M279" s="852" t="n"/>
      <c r="N279" s="852" t="n"/>
      <c r="O279" s="852" t="n"/>
      <c r="P279" s="852" t="n"/>
      <c r="Q279" s="852" t="n"/>
      <c r="R279" s="852" t="n"/>
      <c r="S279" s="852" t="n"/>
      <c r="T279" s="852" t="n"/>
      <c r="U279" s="852" t="n"/>
      <c r="V279" s="852" t="n"/>
      <c r="W279" s="852" t="n"/>
      <c r="X279" s="852" t="n"/>
      <c r="Y279" s="852" t="n"/>
      <c r="Z279" s="852" t="n"/>
      <c r="AA279" s="852" t="n"/>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c r="CL279" s="59" t="n"/>
      <c r="CM279" s="59" t="n"/>
      <c r="CN279" s="59" t="n"/>
    </row>
    <row r="280" ht="15" customFormat="1" customHeight="1" s="3">
      <c r="A280">
        <f>IF(C280="","",ROW()-2)</f>
        <v/>
      </c>
      <c r="B280" s="852" t="n"/>
      <c r="C280" s="852" t="n"/>
      <c r="D280">
        <f>IF(C280="TOH","Type 1",IF(C280="POH","Type 2",IF(OR(C280="LTO",C280="TOH-LC",C280="TOH - LC"),"Type 3",IF(C280="Flourish","Type 4","Type 1"))))</f>
        <v/>
      </c>
      <c r="E280" s="852" t="n"/>
      <c r="F280" s="852" t="n"/>
      <c r="G280" s="852" t="n"/>
      <c r="H280" s="888" t="n"/>
      <c r="I280" s="889" t="n"/>
      <c r="J280" s="888" t="n"/>
      <c r="K280">
        <f>SUM(H280:J280)</f>
        <v/>
      </c>
      <c r="L280" s="852" t="n"/>
      <c r="M280" s="852" t="n"/>
      <c r="N280" s="852" t="n"/>
      <c r="O280" s="852" t="n"/>
      <c r="P280" s="852" t="n"/>
      <c r="Q280" s="852" t="n"/>
      <c r="R280" s="852" t="n"/>
      <c r="S280" s="852" t="n"/>
      <c r="T280" s="852" t="n"/>
      <c r="U280" s="852" t="n"/>
      <c r="V280" s="852" t="n"/>
      <c r="W280" s="852" t="n"/>
      <c r="X280" s="852" t="n"/>
      <c r="Y280" s="852" t="n"/>
      <c r="Z280" s="852" t="n"/>
      <c r="AA280" s="852" t="n"/>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c r="CL280" s="59" t="n"/>
      <c r="CM280" s="59" t="n"/>
      <c r="CN280" s="59" t="n"/>
    </row>
    <row r="281" ht="15" customFormat="1" customHeight="1" s="3">
      <c r="A281">
        <f>IF(C281="","",ROW()-2)</f>
        <v/>
      </c>
      <c r="B281" s="852" t="n"/>
      <c r="C281" s="852" t="n"/>
      <c r="D281">
        <f>IF(C281="TOH","Type 1",IF(C281="POH","Type 2",IF(OR(C281="LTO",C281="TOH-LC",C281="TOH - LC"),"Type 3",IF(C281="Flourish","Type 4","Type 1"))))</f>
        <v/>
      </c>
      <c r="E281" s="852" t="n"/>
      <c r="F281" s="852" t="n"/>
      <c r="G281" s="852" t="n"/>
      <c r="H281" s="888" t="n"/>
      <c r="I281" s="889" t="n"/>
      <c r="J281" s="888" t="n"/>
      <c r="K281">
        <f>SUM(H281:J281)</f>
        <v/>
      </c>
      <c r="L281" s="852" t="n"/>
      <c r="M281" s="852" t="n"/>
      <c r="N281" s="852" t="n"/>
      <c r="O281" s="852" t="n"/>
      <c r="P281" s="852" t="n"/>
      <c r="Q281" s="852" t="n"/>
      <c r="R281" s="852" t="n"/>
      <c r="S281" s="852" t="n"/>
      <c r="T281" s="852" t="n"/>
      <c r="U281" s="852" t="n"/>
      <c r="V281" s="852" t="n"/>
      <c r="W281" s="852" t="n"/>
      <c r="X281" s="852" t="n"/>
      <c r="Y281" s="852" t="n"/>
      <c r="Z281" s="852" t="n"/>
      <c r="AA281" s="852" t="n"/>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c r="CL281" s="59" t="n"/>
      <c r="CM281" s="59" t="n"/>
      <c r="CN281" s="59" t="n"/>
    </row>
    <row r="282" ht="15" customFormat="1" customHeight="1" s="3">
      <c r="A282">
        <f>IF(C282="","",ROW()-2)</f>
        <v/>
      </c>
      <c r="B282" s="852" t="n"/>
      <c r="C282" s="852" t="n"/>
      <c r="D282">
        <f>IF(C282="TOH","Type 1",IF(C282="POH","Type 2",IF(OR(C282="LTO",C282="TOH-LC",C282="TOH - LC"),"Type 3",IF(C282="Flourish","Type 4","Type 1"))))</f>
        <v/>
      </c>
      <c r="E282" s="852" t="n"/>
      <c r="F282" s="852" t="n"/>
      <c r="G282" s="852" t="n"/>
      <c r="H282" s="888" t="n"/>
      <c r="I282" s="889" t="n"/>
      <c r="J282" s="888" t="n"/>
      <c r="K282">
        <f>SUM(H282:J282)</f>
        <v/>
      </c>
      <c r="L282" s="852" t="n"/>
      <c r="M282" s="852" t="n"/>
      <c r="N282" s="852" t="n"/>
      <c r="O282" s="852" t="n"/>
      <c r="P282" s="852" t="n"/>
      <c r="Q282" s="852" t="n"/>
      <c r="R282" s="852" t="n"/>
      <c r="S282" s="852" t="n"/>
      <c r="T282" s="852" t="n"/>
      <c r="U282" s="852" t="n"/>
      <c r="V282" s="852" t="n"/>
      <c r="W282" s="852" t="n"/>
      <c r="X282" s="852" t="n"/>
      <c r="Y282" s="852" t="n"/>
      <c r="Z282" s="852" t="n"/>
      <c r="AA282" s="852" t="n"/>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c r="CL282" s="59" t="n"/>
      <c r="CM282" s="59" t="n"/>
      <c r="CN282" s="59" t="n"/>
    </row>
    <row r="283" ht="15" customFormat="1" customHeight="1" s="3">
      <c r="A283">
        <f>IF(C283="","",ROW()-2)</f>
        <v/>
      </c>
      <c r="B283" s="852" t="n"/>
      <c r="C283" s="852" t="n"/>
      <c r="D283">
        <f>IF(C283="TOH","Type 1",IF(C283="POH","Type 2",IF(OR(C283="LTO",C283="TOH-LC",C283="TOH - LC"),"Type 3",IF(C283="Flourish","Type 4","Type 1"))))</f>
        <v/>
      </c>
      <c r="E283" s="852" t="n"/>
      <c r="F283" s="852" t="n"/>
      <c r="G283" s="852" t="n"/>
      <c r="H283" s="888" t="n"/>
      <c r="I283" s="889" t="n"/>
      <c r="J283" s="888" t="n"/>
      <c r="K283">
        <f>SUM(H283:J283)</f>
        <v/>
      </c>
      <c r="L283" s="852" t="n"/>
      <c r="M283" s="852" t="n"/>
      <c r="N283" s="852" t="n"/>
      <c r="O283" s="852" t="n"/>
      <c r="P283" s="852" t="n"/>
      <c r="Q283" s="852" t="n"/>
      <c r="R283" s="852" t="n"/>
      <c r="S283" s="852" t="n"/>
      <c r="T283" s="852" t="n"/>
      <c r="U283" s="852" t="n"/>
      <c r="V283" s="852" t="n"/>
      <c r="W283" s="852" t="n"/>
      <c r="X283" s="852" t="n"/>
      <c r="Y283" s="852" t="n"/>
      <c r="Z283" s="852" t="n"/>
      <c r="AA283" s="852" t="n"/>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c r="CL283" s="59" t="n"/>
      <c r="CM283" s="59" t="n"/>
      <c r="CN283" s="59" t="n"/>
    </row>
    <row r="284" ht="15" customFormat="1" customHeight="1" s="3">
      <c r="A284">
        <f>IF(C284="","",ROW()-2)</f>
        <v/>
      </c>
      <c r="B284" s="852" t="n"/>
      <c r="C284" s="852" t="n"/>
      <c r="D284">
        <f>IF(C284="TOH","Type 1",IF(C284="POH","Type 2",IF(OR(C284="LTO",C284="TOH-LC",C284="TOH - LC"),"Type 3",IF(C284="Flourish","Type 4","Type 1"))))</f>
        <v/>
      </c>
      <c r="E284" s="852" t="n"/>
      <c r="F284" s="852" t="n"/>
      <c r="G284" s="852" t="n"/>
      <c r="H284" s="888" t="n"/>
      <c r="I284" s="889" t="n"/>
      <c r="J284" s="888" t="n"/>
      <c r="K284">
        <f>SUM(H284:J284)</f>
        <v/>
      </c>
      <c r="L284" s="852" t="n"/>
      <c r="M284" s="852" t="n"/>
      <c r="N284" s="852" t="n"/>
      <c r="O284" s="852" t="n"/>
      <c r="P284" s="852" t="n"/>
      <c r="Q284" s="852" t="n"/>
      <c r="R284" s="852" t="n"/>
      <c r="S284" s="852" t="n"/>
      <c r="T284" s="852" t="n"/>
      <c r="U284" s="852" t="n"/>
      <c r="V284" s="852" t="n"/>
      <c r="W284" s="852" t="n"/>
      <c r="X284" s="852" t="n"/>
      <c r="Y284" s="852" t="n"/>
      <c r="Z284" s="852" t="n"/>
      <c r="AA284" s="852" t="n"/>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c r="CL284" s="59" t="n"/>
      <c r="CM284" s="59" t="n"/>
      <c r="CN284" s="59" t="n"/>
    </row>
    <row r="285" ht="15" customFormat="1" customHeight="1" s="3">
      <c r="A285">
        <f>IF(C285="","",ROW()-2)</f>
        <v/>
      </c>
      <c r="B285" s="852" t="n"/>
      <c r="C285" s="852" t="n"/>
      <c r="D285">
        <f>IF(C285="TOH","Type 1",IF(C285="POH","Type 2",IF(OR(C285="LTO",C285="TOH-LC",C285="TOH - LC"),"Type 3",IF(C285="Flourish","Type 4","Type 1"))))</f>
        <v/>
      </c>
      <c r="E285" s="852" t="n"/>
      <c r="F285" s="852" t="n"/>
      <c r="G285" s="852" t="n"/>
      <c r="H285" s="888" t="n"/>
      <c r="I285" s="889" t="n"/>
      <c r="J285" s="888" t="n"/>
      <c r="K285">
        <f>SUM(H285:J285)</f>
        <v/>
      </c>
      <c r="L285" s="852" t="n"/>
      <c r="M285" s="852" t="n"/>
      <c r="N285" s="852" t="n"/>
      <c r="O285" s="852" t="n"/>
      <c r="P285" s="852" t="n"/>
      <c r="Q285" s="852" t="n"/>
      <c r="R285" s="852" t="n"/>
      <c r="S285" s="852" t="n"/>
      <c r="T285" s="852" t="n"/>
      <c r="U285" s="852" t="n"/>
      <c r="V285" s="852" t="n"/>
      <c r="W285" s="852" t="n"/>
      <c r="X285" s="852" t="n"/>
      <c r="Y285" s="852" t="n"/>
      <c r="Z285" s="852" t="n"/>
      <c r="AA285" s="852" t="n"/>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c r="CL285" s="59" t="n"/>
      <c r="CM285" s="59" t="n"/>
      <c r="CN285" s="59" t="n"/>
    </row>
    <row r="286" ht="15" customFormat="1" customHeight="1" s="3">
      <c r="A286">
        <f>IF(C286="","",ROW()-2)</f>
        <v/>
      </c>
      <c r="B286" s="852" t="n"/>
      <c r="C286" s="852" t="n"/>
      <c r="D286">
        <f>IF(C286="TOH","Type 1",IF(C286="POH","Type 2",IF(OR(C286="LTO",C286="TOH-LC",C286="TOH - LC"),"Type 3",IF(C286="Flourish","Type 4","Type 1"))))</f>
        <v/>
      </c>
      <c r="E286" s="852" t="n"/>
      <c r="F286" s="852" t="n"/>
      <c r="G286" s="852" t="n"/>
      <c r="H286" s="888" t="n"/>
      <c r="I286" s="889" t="n"/>
      <c r="J286" s="888" t="n"/>
      <c r="K286">
        <f>SUM(H286:J286)</f>
        <v/>
      </c>
      <c r="L286" s="852" t="n"/>
      <c r="M286" s="852" t="n"/>
      <c r="N286" s="852" t="n"/>
      <c r="O286" s="852" t="n"/>
      <c r="P286" s="852" t="n"/>
      <c r="Q286" s="852" t="n"/>
      <c r="R286" s="852" t="n"/>
      <c r="S286" s="852" t="n"/>
      <c r="T286" s="852" t="n"/>
      <c r="U286" s="852" t="n"/>
      <c r="V286" s="852" t="n"/>
      <c r="W286" s="852" t="n"/>
      <c r="X286" s="852" t="n"/>
      <c r="Y286" s="852" t="n"/>
      <c r="Z286" s="852" t="n"/>
      <c r="AA286" s="852" t="n"/>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c r="CL286" s="59" t="n"/>
      <c r="CM286" s="59" t="n"/>
      <c r="CN286" s="59" t="n"/>
    </row>
    <row r="287" ht="15" customFormat="1" customHeight="1" s="3">
      <c r="A287">
        <f>IF(C287="","",ROW()-2)</f>
        <v/>
      </c>
      <c r="B287" s="852" t="n"/>
      <c r="C287" s="852" t="n"/>
      <c r="D287">
        <f>IF(C287="TOH","Type 1",IF(C287="POH","Type 2",IF(OR(C287="LTO",C287="TOH-LC",C287="TOH - LC"),"Type 3",IF(C287="Flourish","Type 4","Type 1"))))</f>
        <v/>
      </c>
      <c r="E287" s="852" t="n"/>
      <c r="F287" s="852" t="n"/>
      <c r="G287" s="852" t="n"/>
      <c r="H287" s="888" t="n"/>
      <c r="I287" s="889" t="n"/>
      <c r="J287" s="888" t="n"/>
      <c r="K287">
        <f>SUM(H287:J287)</f>
        <v/>
      </c>
      <c r="L287" s="852" t="n"/>
      <c r="M287" s="852" t="n"/>
      <c r="N287" s="852" t="n"/>
      <c r="O287" s="852" t="n"/>
      <c r="P287" s="852" t="n"/>
      <c r="Q287" s="852" t="n"/>
      <c r="R287" s="852" t="n"/>
      <c r="S287" s="852" t="n"/>
      <c r="T287" s="852" t="n"/>
      <c r="U287" s="852" t="n"/>
      <c r="V287" s="852" t="n"/>
      <c r="W287" s="852" t="n"/>
      <c r="X287" s="852" t="n"/>
      <c r="Y287" s="852" t="n"/>
      <c r="Z287" s="852" t="n"/>
      <c r="AA287" s="852" t="n"/>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c r="CL287" s="59" t="n"/>
      <c r="CM287" s="59" t="n"/>
      <c r="CN287" s="59" t="n"/>
    </row>
    <row r="288" ht="15" customFormat="1" customHeight="1" s="3">
      <c r="A288">
        <f>IF(C288="","",ROW()-2)</f>
        <v/>
      </c>
      <c r="B288" s="852" t="n"/>
      <c r="C288" s="852" t="n"/>
      <c r="D288">
        <f>IF(C288="TOH","Type 1",IF(C288="POH","Type 2",IF(OR(C288="LTO",C288="TOH-LC",C288="TOH - LC"),"Type 3",IF(C288="Flourish","Type 4","Type 1"))))</f>
        <v/>
      </c>
      <c r="E288" s="852" t="n"/>
      <c r="F288" s="852" t="n"/>
      <c r="G288" s="852" t="n"/>
      <c r="H288" s="888" t="n"/>
      <c r="I288" s="889" t="n"/>
      <c r="J288" s="888" t="n"/>
      <c r="K288">
        <f>SUM(H288:J288)</f>
        <v/>
      </c>
      <c r="L288" s="852" t="n"/>
      <c r="M288" s="852" t="n"/>
      <c r="N288" s="852" t="n"/>
      <c r="O288" s="852" t="n"/>
      <c r="P288" s="852" t="n"/>
      <c r="Q288" s="852" t="n"/>
      <c r="R288" s="852" t="n"/>
      <c r="S288" s="852" t="n"/>
      <c r="T288" s="852" t="n"/>
      <c r="U288" s="852" t="n"/>
      <c r="V288" s="852" t="n"/>
      <c r="W288" s="852" t="n"/>
      <c r="X288" s="852" t="n"/>
      <c r="Y288" s="852" t="n"/>
      <c r="Z288" s="852" t="n"/>
      <c r="AA288" s="852" t="n"/>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c r="CL288" s="59" t="n"/>
      <c r="CM288" s="59" t="n"/>
      <c r="CN288" s="59" t="n"/>
    </row>
    <row r="289" ht="15" customFormat="1" customHeight="1" s="3">
      <c r="A289">
        <f>IF(C289="","",ROW()-2)</f>
        <v/>
      </c>
      <c r="B289" s="852" t="n"/>
      <c r="C289" s="852" t="n"/>
      <c r="D289">
        <f>IF(C289="TOH","Type 1",IF(C289="POH","Type 2",IF(OR(C289="LTO",C289="TOH-LC",C289="TOH - LC"),"Type 3",IF(C289="Flourish","Type 4","Type 1"))))</f>
        <v/>
      </c>
      <c r="E289" s="852" t="n"/>
      <c r="F289" s="852" t="n"/>
      <c r="G289" s="852" t="n"/>
      <c r="H289" s="888" t="n"/>
      <c r="I289" s="889" t="n"/>
      <c r="J289" s="888" t="n"/>
      <c r="K289">
        <f>SUM(H289:J289)</f>
        <v/>
      </c>
      <c r="L289" s="852" t="n"/>
      <c r="M289" s="852" t="n"/>
      <c r="N289" s="852" t="n"/>
      <c r="O289" s="852" t="n"/>
      <c r="P289" s="852" t="n"/>
      <c r="Q289" s="852" t="n"/>
      <c r="R289" s="852" t="n"/>
      <c r="S289" s="852" t="n"/>
      <c r="T289" s="852" t="n"/>
      <c r="U289" s="852" t="n"/>
      <c r="V289" s="852" t="n"/>
      <c r="W289" s="852" t="n"/>
      <c r="X289" s="852" t="n"/>
      <c r="Y289" s="852" t="n"/>
      <c r="Z289" s="852" t="n"/>
      <c r="AA289" s="852" t="n"/>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c r="CL289" s="59" t="n"/>
      <c r="CM289" s="59" t="n"/>
      <c r="CN289" s="59" t="n"/>
    </row>
    <row r="290" ht="15" customFormat="1" customHeight="1" s="3">
      <c r="A290">
        <f>IF(C290="","",ROW()-2)</f>
        <v/>
      </c>
      <c r="B290" s="852" t="n"/>
      <c r="C290" s="852" t="n"/>
      <c r="D290">
        <f>IF(C290="TOH","Type 1",IF(C290="POH","Type 2",IF(OR(C290="LTO",C290="TOH-LC",C290="TOH - LC"),"Type 3",IF(C290="Flourish","Type 4","Type 1"))))</f>
        <v/>
      </c>
      <c r="E290" s="852" t="n"/>
      <c r="F290" s="852" t="n"/>
      <c r="G290" s="852" t="n"/>
      <c r="H290" s="888" t="n"/>
      <c r="I290" s="889" t="n"/>
      <c r="J290" s="888" t="n"/>
      <c r="K290">
        <f>SUM(H290:J290)</f>
        <v/>
      </c>
      <c r="L290" s="852" t="n"/>
      <c r="M290" s="852" t="n"/>
      <c r="N290" s="852" t="n"/>
      <c r="O290" s="852" t="n"/>
      <c r="P290" s="852" t="n"/>
      <c r="Q290" s="852" t="n"/>
      <c r="R290" s="852" t="n"/>
      <c r="S290" s="852" t="n"/>
      <c r="T290" s="852" t="n"/>
      <c r="U290" s="852" t="n"/>
      <c r="V290" s="852" t="n"/>
      <c r="W290" s="852" t="n"/>
      <c r="X290" s="852" t="n"/>
      <c r="Y290" s="852" t="n"/>
      <c r="Z290" s="852" t="n"/>
      <c r="AA290" s="852" t="n"/>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c r="CL290" s="59" t="n"/>
      <c r="CM290" s="59" t="n"/>
      <c r="CN290" s="59" t="n"/>
    </row>
    <row r="291" ht="15" customFormat="1" customHeight="1" s="3">
      <c r="A291">
        <f>IF(C291="","",ROW()-2)</f>
        <v/>
      </c>
      <c r="B291" s="852" t="n"/>
      <c r="C291" s="852" t="n"/>
      <c r="D291">
        <f>IF(C291="TOH","Type 1",IF(C291="POH","Type 2",IF(OR(C291="LTO",C291="TOH-LC",C291="TOH - LC"),"Type 3",IF(C291="Flourish","Type 4","Type 1"))))</f>
        <v/>
      </c>
      <c r="E291" s="852" t="n"/>
      <c r="F291" s="852" t="n"/>
      <c r="G291" s="852" t="n"/>
      <c r="H291" s="888" t="n"/>
      <c r="I291" s="889" t="n"/>
      <c r="J291" s="888" t="n"/>
      <c r="K291">
        <f>SUM(H291:J291)</f>
        <v/>
      </c>
      <c r="L291" s="852" t="n"/>
      <c r="M291" s="852" t="n"/>
      <c r="N291" s="852" t="n"/>
      <c r="O291" s="852" t="n"/>
      <c r="P291" s="852" t="n"/>
      <c r="Q291" s="852" t="n"/>
      <c r="R291" s="852" t="n"/>
      <c r="S291" s="852" t="n"/>
      <c r="T291" s="852" t="n"/>
      <c r="U291" s="852" t="n"/>
      <c r="V291" s="852" t="n"/>
      <c r="W291" s="852" t="n"/>
      <c r="X291" s="852" t="n"/>
      <c r="Y291" s="852" t="n"/>
      <c r="Z291" s="852" t="n"/>
      <c r="AA291" s="852" t="n"/>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c r="CL291" s="59" t="n"/>
      <c r="CM291" s="59" t="n"/>
      <c r="CN291" s="59" t="n"/>
    </row>
    <row r="292" ht="15" customFormat="1" customHeight="1" s="3">
      <c r="A292">
        <f>IF(C292="","",ROW()-2)</f>
        <v/>
      </c>
      <c r="B292" s="852" t="n"/>
      <c r="C292" s="852" t="n"/>
      <c r="D292">
        <f>IF(C292="TOH","Type 1",IF(C292="POH","Type 2",IF(OR(C292="LTO",C292="TOH-LC",C292="TOH - LC"),"Type 3",IF(C292="Flourish","Type 4","Type 1"))))</f>
        <v/>
      </c>
      <c r="E292" s="852" t="n"/>
      <c r="F292" s="852" t="n"/>
      <c r="G292" s="852" t="n"/>
      <c r="H292" s="888" t="n"/>
      <c r="I292" s="889" t="n"/>
      <c r="J292" s="888" t="n"/>
      <c r="K292">
        <f>SUM(H292:J292)</f>
        <v/>
      </c>
      <c r="L292" s="852" t="n"/>
      <c r="M292" s="852" t="n"/>
      <c r="N292" s="852" t="n"/>
      <c r="O292" s="852" t="n"/>
      <c r="P292" s="852" t="n"/>
      <c r="Q292" s="852" t="n"/>
      <c r="R292" s="852" t="n"/>
      <c r="S292" s="852" t="n"/>
      <c r="T292" s="852" t="n"/>
      <c r="U292" s="852" t="n"/>
      <c r="V292" s="852" t="n"/>
      <c r="W292" s="852" t="n"/>
      <c r="X292" s="852" t="n"/>
      <c r="Y292" s="852" t="n"/>
      <c r="Z292" s="852" t="n"/>
      <c r="AA292" s="852" t="n"/>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c r="CL292" s="59" t="n"/>
      <c r="CM292" s="59" t="n"/>
      <c r="CN292" s="59" t="n"/>
    </row>
    <row r="293" ht="15" customFormat="1" customHeight="1" s="3">
      <c r="A293">
        <f>IF(C293="","",ROW()-2)</f>
        <v/>
      </c>
      <c r="B293" s="852" t="n"/>
      <c r="C293" s="852" t="n"/>
      <c r="D293">
        <f>IF(C293="TOH","Type 1",IF(C293="POH","Type 2",IF(OR(C293="LTO",C293="TOH-LC",C293="TOH - LC"),"Type 3",IF(C293="Flourish","Type 4","Type 1"))))</f>
        <v/>
      </c>
      <c r="E293" s="852" t="n"/>
      <c r="F293" s="852" t="n"/>
      <c r="G293" s="852" t="n"/>
      <c r="H293" s="888" t="n"/>
      <c r="I293" s="889" t="n"/>
      <c r="J293" s="888" t="n"/>
      <c r="K293">
        <f>SUM(H293:J293)</f>
        <v/>
      </c>
      <c r="L293" s="852" t="n"/>
      <c r="M293" s="852" t="n"/>
      <c r="N293" s="852" t="n"/>
      <c r="O293" s="852" t="n"/>
      <c r="P293" s="852" t="n"/>
      <c r="Q293" s="852" t="n"/>
      <c r="R293" s="852" t="n"/>
      <c r="S293" s="852" t="n"/>
      <c r="T293" s="852" t="n"/>
      <c r="U293" s="852" t="n"/>
      <c r="V293" s="852" t="n"/>
      <c r="W293" s="852" t="n"/>
      <c r="X293" s="852" t="n"/>
      <c r="Y293" s="852" t="n"/>
      <c r="Z293" s="852" t="n"/>
      <c r="AA293" s="852" t="n"/>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c r="CL293" s="59" t="n"/>
      <c r="CM293" s="59" t="n"/>
      <c r="CN293" s="59" t="n"/>
    </row>
    <row r="294" ht="15" customFormat="1" customHeight="1" s="3">
      <c r="A294">
        <f>IF(C294="","",ROW()-2)</f>
        <v/>
      </c>
      <c r="B294" s="852" t="n"/>
      <c r="C294" s="852" t="n"/>
      <c r="D294">
        <f>IF(C294="TOH","Type 1",IF(C294="POH","Type 2",IF(OR(C294="LTO",C294="TOH-LC",C294="TOH - LC"),"Type 3",IF(C294="Flourish","Type 4","Type 1"))))</f>
        <v/>
      </c>
      <c r="E294" s="852" t="n"/>
      <c r="F294" s="852" t="n"/>
      <c r="G294" s="852" t="n"/>
      <c r="H294" s="888" t="n"/>
      <c r="I294" s="889" t="n"/>
      <c r="J294" s="888" t="n"/>
      <c r="K294">
        <f>SUM(H294:J294)</f>
        <v/>
      </c>
      <c r="L294" s="852" t="n"/>
      <c r="M294" s="852" t="n"/>
      <c r="N294" s="852" t="n"/>
      <c r="O294" s="852" t="n"/>
      <c r="P294" s="852" t="n"/>
      <c r="Q294" s="852" t="n"/>
      <c r="R294" s="852" t="n"/>
      <c r="S294" s="852" t="n"/>
      <c r="T294" s="852" t="n"/>
      <c r="U294" s="852" t="n"/>
      <c r="V294" s="852" t="n"/>
      <c r="W294" s="852" t="n"/>
      <c r="X294" s="852" t="n"/>
      <c r="Y294" s="852" t="n"/>
      <c r="Z294" s="852" t="n"/>
      <c r="AA294" s="852" t="n"/>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c r="CL294" s="59" t="n"/>
      <c r="CM294" s="59" t="n"/>
      <c r="CN294" s="59" t="n"/>
    </row>
    <row r="295" ht="15" customFormat="1" customHeight="1" s="3">
      <c r="A295">
        <f>IF(C295="","",ROW()-2)</f>
        <v/>
      </c>
      <c r="B295" s="852" t="n"/>
      <c r="C295" s="852" t="n"/>
      <c r="D295">
        <f>IF(C295="TOH","Type 1",IF(C295="POH","Type 2",IF(OR(C295="LTO",C295="TOH-LC",C295="TOH - LC"),"Type 3",IF(C295="Flourish","Type 4","Type 1"))))</f>
        <v/>
      </c>
      <c r="E295" s="852" t="n"/>
      <c r="F295" s="852" t="n"/>
      <c r="G295" s="852" t="n"/>
      <c r="H295" s="888" t="n"/>
      <c r="I295" s="889" t="n"/>
      <c r="J295" s="888" t="n"/>
      <c r="K295">
        <f>SUM(H295:J295)</f>
        <v/>
      </c>
      <c r="L295" s="852" t="n"/>
      <c r="M295" s="852" t="n"/>
      <c r="N295" s="852" t="n"/>
      <c r="O295" s="852" t="n"/>
      <c r="P295" s="852" t="n"/>
      <c r="Q295" s="852" t="n"/>
      <c r="R295" s="852" t="n"/>
      <c r="S295" s="852" t="n"/>
      <c r="T295" s="852" t="n"/>
      <c r="U295" s="852" t="n"/>
      <c r="V295" s="852" t="n"/>
      <c r="W295" s="852" t="n"/>
      <c r="X295" s="852" t="n"/>
      <c r="Y295" s="852" t="n"/>
      <c r="Z295" s="852" t="n"/>
      <c r="AA295" s="852" t="n"/>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c r="CL295" s="59" t="n"/>
      <c r="CM295" s="59" t="n"/>
      <c r="CN295" s="59" t="n"/>
    </row>
    <row r="296" ht="15" customFormat="1" customHeight="1" s="3">
      <c r="A296">
        <f>IF(C296="","",ROW()-2)</f>
        <v/>
      </c>
      <c r="B296" s="852" t="n"/>
      <c r="C296" s="852" t="n"/>
      <c r="D296">
        <f>IF(C296="TOH","Type 1",IF(C296="POH","Type 2",IF(OR(C296="LTO",C296="TOH-LC",C296="TOH - LC"),"Type 3",IF(C296="Flourish","Type 4","Type 1"))))</f>
        <v/>
      </c>
      <c r="E296" s="852" t="n"/>
      <c r="F296" s="852" t="n"/>
      <c r="G296" s="852" t="n"/>
      <c r="H296" s="888" t="n"/>
      <c r="I296" s="889" t="n"/>
      <c r="J296" s="888" t="n"/>
      <c r="K296">
        <f>SUM(H296:J296)</f>
        <v/>
      </c>
      <c r="L296" s="852" t="n"/>
      <c r="M296" s="852" t="n"/>
      <c r="N296" s="852" t="n"/>
      <c r="O296" s="852" t="n"/>
      <c r="P296" s="852" t="n"/>
      <c r="Q296" s="852" t="n"/>
      <c r="R296" s="852" t="n"/>
      <c r="S296" s="852" t="n"/>
      <c r="T296" s="852" t="n"/>
      <c r="U296" s="852" t="n"/>
      <c r="V296" s="852" t="n"/>
      <c r="W296" s="852" t="n"/>
      <c r="X296" s="852" t="n"/>
      <c r="Y296" s="852" t="n"/>
      <c r="Z296" s="852" t="n"/>
      <c r="AA296" s="852" t="n"/>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c r="CL296" s="59" t="n"/>
      <c r="CM296" s="59" t="n"/>
      <c r="CN296" s="59" t="n"/>
    </row>
    <row r="297" ht="15" customFormat="1" customHeight="1" s="3">
      <c r="A297">
        <f>IF(C297="","",ROW()-2)</f>
        <v/>
      </c>
      <c r="B297" s="852" t="n"/>
      <c r="C297" s="852" t="n"/>
      <c r="D297">
        <f>IF(C297="TOH","Type 1",IF(C297="POH","Type 2",IF(OR(C297="LTO",C297="TOH-LC",C297="TOH - LC"),"Type 3",IF(C297="Flourish","Type 4","Type 1"))))</f>
        <v/>
      </c>
      <c r="E297" s="852" t="n"/>
      <c r="F297" s="852" t="n"/>
      <c r="G297" s="852" t="n"/>
      <c r="H297" s="888" t="n"/>
      <c r="I297" s="889" t="n"/>
      <c r="J297" s="888" t="n"/>
      <c r="K297">
        <f>SUM(H297:J297)</f>
        <v/>
      </c>
      <c r="L297" s="852" t="n"/>
      <c r="M297" s="852" t="n"/>
      <c r="N297" s="852" t="n"/>
      <c r="O297" s="852" t="n"/>
      <c r="P297" s="852" t="n"/>
      <c r="Q297" s="852" t="n"/>
      <c r="R297" s="852" t="n"/>
      <c r="S297" s="852" t="n"/>
      <c r="T297" s="852" t="n"/>
      <c r="U297" s="852" t="n"/>
      <c r="V297" s="852" t="n"/>
      <c r="W297" s="852" t="n"/>
      <c r="X297" s="852" t="n"/>
      <c r="Y297" s="852" t="n"/>
      <c r="Z297" s="852" t="n"/>
      <c r="AA297" s="852" t="n"/>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c r="CL297" s="59" t="n"/>
      <c r="CM297" s="59" t="n"/>
      <c r="CN297" s="59" t="n"/>
    </row>
    <row r="298" ht="15" customFormat="1" customHeight="1" s="3">
      <c r="A298">
        <f>IF(C298="","",ROW()-2)</f>
        <v/>
      </c>
      <c r="B298" s="852" t="n"/>
      <c r="C298" s="852" t="n"/>
      <c r="D298">
        <f>IF(C298="TOH","Type 1",IF(C298="POH","Type 2",IF(OR(C298="LTO",C298="TOH-LC",C298="TOH - LC"),"Type 3",IF(C298="Flourish","Type 4","Type 1"))))</f>
        <v/>
      </c>
      <c r="E298" s="852" t="n"/>
      <c r="F298" s="852" t="n"/>
      <c r="G298" s="852" t="n"/>
      <c r="H298" s="888" t="n"/>
      <c r="I298" s="889" t="n"/>
      <c r="J298" s="888" t="n"/>
      <c r="K298">
        <f>SUM(H298:J298)</f>
        <v/>
      </c>
      <c r="L298" s="852" t="n"/>
      <c r="M298" s="852" t="n"/>
      <c r="N298" s="852" t="n"/>
      <c r="O298" s="852" t="n"/>
      <c r="P298" s="852" t="n"/>
      <c r="Q298" s="852" t="n"/>
      <c r="R298" s="852" t="n"/>
      <c r="S298" s="852" t="n"/>
      <c r="T298" s="852" t="n"/>
      <c r="U298" s="852" t="n"/>
      <c r="V298" s="852" t="n"/>
      <c r="W298" s="852" t="n"/>
      <c r="X298" s="852" t="n"/>
      <c r="Y298" s="852" t="n"/>
      <c r="Z298" s="852" t="n"/>
      <c r="AA298" s="852" t="n"/>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c r="CL298" s="59" t="n"/>
      <c r="CM298" s="59" t="n"/>
      <c r="CN298" s="59" t="n"/>
    </row>
    <row r="299" ht="15" customFormat="1" customHeight="1" s="3">
      <c r="A299">
        <f>IF(C299="","",ROW()-2)</f>
        <v/>
      </c>
      <c r="B299" s="852" t="n"/>
      <c r="C299" s="852" t="n"/>
      <c r="D299">
        <f>IF(C299="TOH","Type 1",IF(C299="POH","Type 2",IF(OR(C299="LTO",C299="TOH-LC",C299="TOH - LC"),"Type 3",IF(C299="Flourish","Type 4","Type 1"))))</f>
        <v/>
      </c>
      <c r="E299" s="852" t="n"/>
      <c r="F299" s="852" t="n"/>
      <c r="G299" s="852" t="n"/>
      <c r="H299" s="888" t="n"/>
      <c r="I299" s="889" t="n"/>
      <c r="J299" s="888" t="n"/>
      <c r="K299">
        <f>SUM(H299:J299)</f>
        <v/>
      </c>
      <c r="L299" s="852" t="n"/>
      <c r="M299" s="852" t="n"/>
      <c r="N299" s="852" t="n"/>
      <c r="O299" s="852" t="n"/>
      <c r="P299" s="852" t="n"/>
      <c r="Q299" s="852" t="n"/>
      <c r="R299" s="852" t="n"/>
      <c r="S299" s="852" t="n"/>
      <c r="T299" s="852" t="n"/>
      <c r="U299" s="852" t="n"/>
      <c r="V299" s="852" t="n"/>
      <c r="W299" s="852" t="n"/>
      <c r="X299" s="852" t="n"/>
      <c r="Y299" s="852" t="n"/>
      <c r="Z299" s="852" t="n"/>
      <c r="AA299" s="852" t="n"/>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c r="CL299" s="59" t="n"/>
      <c r="CM299" s="59" t="n"/>
      <c r="CN299" s="59" t="n"/>
    </row>
    <row r="300" ht="15" customFormat="1" customHeight="1" s="3">
      <c r="A300">
        <f>IF(C300="","",ROW()-2)</f>
        <v/>
      </c>
      <c r="B300" s="852" t="n"/>
      <c r="C300" s="852" t="n"/>
      <c r="D300">
        <f>IF(C300="TOH","Type 1",IF(C300="POH","Type 2",IF(OR(C300="LTO",C300="TOH-LC",C300="TOH - LC"),"Type 3",IF(C300="Flourish","Type 4","Type 1"))))</f>
        <v/>
      </c>
      <c r="E300" s="852" t="n"/>
      <c r="F300" s="852" t="n"/>
      <c r="G300" s="852" t="n"/>
      <c r="H300" s="888" t="n"/>
      <c r="I300" s="889" t="n"/>
      <c r="J300" s="888" t="n"/>
      <c r="K300">
        <f>SUM(H300:J300)</f>
        <v/>
      </c>
      <c r="L300" s="852" t="n"/>
      <c r="M300" s="852" t="n"/>
      <c r="N300" s="852" t="n"/>
      <c r="O300" s="852" t="n"/>
      <c r="P300" s="852" t="n"/>
      <c r="Q300" s="852" t="n"/>
      <c r="R300" s="852" t="n"/>
      <c r="S300" s="852" t="n"/>
      <c r="T300" s="852" t="n"/>
      <c r="U300" s="852" t="n"/>
      <c r="V300" s="852" t="n"/>
      <c r="W300" s="852" t="n"/>
      <c r="X300" s="852" t="n"/>
      <c r="Y300" s="852" t="n"/>
      <c r="Z300" s="852" t="n"/>
      <c r="AA300" s="852" t="n"/>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c r="CL300" s="59" t="n"/>
      <c r="CM300" s="59" t="n"/>
      <c r="CN300" s="59" t="n"/>
    </row>
    <row r="301" ht="15" customFormat="1" customHeight="1" s="3">
      <c r="A301">
        <f>IF(C301="","",ROW()-2)</f>
        <v/>
      </c>
      <c r="B301" s="852" t="n"/>
      <c r="C301" s="852" t="n"/>
      <c r="D301">
        <f>IF(C301="TOH","Type 1",IF(C301="POH","Type 2",IF(OR(C301="LTO",C301="TOH-LC",C301="TOH - LC"),"Type 3",IF(C301="Flourish","Type 4","Type 1"))))</f>
        <v/>
      </c>
      <c r="E301" s="852" t="n"/>
      <c r="F301" s="852" t="n"/>
      <c r="G301" s="852" t="n"/>
      <c r="H301" s="888" t="n"/>
      <c r="I301" s="889" t="n"/>
      <c r="J301" s="888" t="n"/>
      <c r="K301">
        <f>SUM(H301:J301)</f>
        <v/>
      </c>
      <c r="L301" s="852" t="n"/>
      <c r="M301" s="852" t="n"/>
      <c r="N301" s="852" t="n"/>
      <c r="O301" s="852" t="n"/>
      <c r="P301" s="852" t="n"/>
      <c r="Q301" s="852" t="n"/>
      <c r="R301" s="852" t="n"/>
      <c r="S301" s="852" t="n"/>
      <c r="T301" s="852" t="n"/>
      <c r="U301" s="852" t="n"/>
      <c r="V301" s="852" t="n"/>
      <c r="W301" s="852" t="n"/>
      <c r="X301" s="852" t="n"/>
      <c r="Y301" s="852" t="n"/>
      <c r="Z301" s="852" t="n"/>
      <c r="AA301" s="852" t="n"/>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c r="CL301" s="59" t="n"/>
      <c r="CM301" s="59" t="n"/>
      <c r="CN301" s="59" t="n"/>
    </row>
    <row r="302" ht="15" customFormat="1" customHeight="1" s="3">
      <c r="A302">
        <f>IF(C302="","",ROW()-2)</f>
        <v/>
      </c>
      <c r="B302" s="852" t="n"/>
      <c r="C302" s="852" t="n"/>
      <c r="D302">
        <f>IF(C302="TOH","Type 1",IF(C302="POH","Type 2",IF(OR(C302="LTO",C302="TOH-LC",C302="TOH - LC"),"Type 3",IF(C302="Flourish","Type 4","Type 1"))))</f>
        <v/>
      </c>
      <c r="E302" s="852" t="n"/>
      <c r="F302" s="852" t="n"/>
      <c r="G302" s="852" t="n"/>
      <c r="H302" s="888" t="n"/>
      <c r="I302" s="889" t="n"/>
      <c r="J302" s="888" t="n"/>
      <c r="K302">
        <f>SUM(H302:J302)</f>
        <v/>
      </c>
      <c r="L302" s="852" t="n"/>
      <c r="M302" s="852" t="n"/>
      <c r="N302" s="852" t="n"/>
      <c r="O302" s="852" t="n"/>
      <c r="P302" s="852" t="n"/>
      <c r="Q302" s="852" t="n"/>
      <c r="R302" s="852" t="n"/>
      <c r="S302" s="852" t="n"/>
      <c r="T302" s="852" t="n"/>
      <c r="U302" s="852" t="n"/>
      <c r="V302" s="852" t="n"/>
      <c r="W302" s="852" t="n"/>
      <c r="X302" s="852" t="n"/>
      <c r="Y302" s="852" t="n"/>
      <c r="Z302" s="852" t="n"/>
      <c r="AA302" s="852" t="n"/>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c r="CL302" s="59" t="n"/>
      <c r="CM302" s="59" t="n"/>
      <c r="CN302" s="59" t="n"/>
    </row>
    <row r="303" ht="15" customFormat="1" customHeight="1" s="3">
      <c r="A303">
        <f>IF(C303="","",ROW()-2)</f>
        <v/>
      </c>
      <c r="B303" s="852" t="n"/>
      <c r="C303" s="852" t="n"/>
      <c r="D303">
        <f>IF(C303="TOH","Type 1",IF(C303="POH","Type 2",IF(OR(C303="LTO",C303="TOH-LC",C303="TOH - LC"),"Type 3",IF(C303="Flourish","Type 4","Type 1"))))</f>
        <v/>
      </c>
      <c r="E303" s="852" t="n"/>
      <c r="F303" s="852" t="n"/>
      <c r="G303" s="852" t="n"/>
      <c r="H303" s="888" t="n"/>
      <c r="I303" s="889" t="n"/>
      <c r="J303" s="888" t="n"/>
      <c r="K303">
        <f>SUM(H303:J303)</f>
        <v/>
      </c>
      <c r="L303" s="852" t="n"/>
      <c r="M303" s="852" t="n"/>
      <c r="N303" s="852" t="n"/>
      <c r="O303" s="852" t="n"/>
      <c r="P303" s="852" t="n"/>
      <c r="Q303" s="852" t="n"/>
      <c r="R303" s="852" t="n"/>
      <c r="S303" s="852" t="n"/>
      <c r="T303" s="852" t="n"/>
      <c r="U303" s="852" t="n"/>
      <c r="V303" s="852" t="n"/>
      <c r="W303" s="852" t="n"/>
      <c r="X303" s="852" t="n"/>
      <c r="Y303" s="852" t="n"/>
      <c r="Z303" s="852" t="n"/>
      <c r="AA303" s="852" t="n"/>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c r="CL303" s="59" t="n"/>
      <c r="CM303" s="59" t="n"/>
      <c r="CN303" s="59" t="n"/>
    </row>
    <row r="304" ht="15" customFormat="1" customHeight="1" s="3">
      <c r="A304">
        <f>IF(C304="","",ROW()-2)</f>
        <v/>
      </c>
      <c r="B304" s="852" t="n"/>
      <c r="C304" s="852" t="n"/>
      <c r="D304">
        <f>IF(C304="TOH","Type 1",IF(C304="POH","Type 2",IF(OR(C304="LTO",C304="TOH-LC",C304="TOH - LC"),"Type 3",IF(C304="Flourish","Type 4","Type 1"))))</f>
        <v/>
      </c>
      <c r="E304" s="852" t="n"/>
      <c r="F304" s="852" t="n"/>
      <c r="G304" s="852" t="n"/>
      <c r="H304" s="888" t="n"/>
      <c r="I304" s="889" t="n"/>
      <c r="J304" s="888" t="n"/>
      <c r="K304">
        <f>SUM(H304:J304)</f>
        <v/>
      </c>
      <c r="L304" s="852" t="n"/>
      <c r="M304" s="852" t="n"/>
      <c r="N304" s="852" t="n"/>
      <c r="O304" s="852" t="n"/>
      <c r="P304" s="852" t="n"/>
      <c r="Q304" s="852" t="n"/>
      <c r="R304" s="852" t="n"/>
      <c r="S304" s="852" t="n"/>
      <c r="T304" s="852" t="n"/>
      <c r="U304" s="852" t="n"/>
      <c r="V304" s="852" t="n"/>
      <c r="W304" s="852" t="n"/>
      <c r="X304" s="852" t="n"/>
      <c r="Y304" s="852" t="n"/>
      <c r="Z304" s="852" t="n"/>
      <c r="AA304" s="852" t="n"/>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c r="CL304" s="59" t="n"/>
      <c r="CM304" s="59" t="n"/>
      <c r="CN304" s="59" t="n"/>
    </row>
    <row r="305" ht="15" customFormat="1" customHeight="1" s="3">
      <c r="A305">
        <f>IF(C305="","",ROW()-2)</f>
        <v/>
      </c>
      <c r="B305" s="852" t="n"/>
      <c r="C305" s="852" t="n"/>
      <c r="D305">
        <f>IF(C305="TOH","Type 1",IF(C305="POH","Type 2",IF(OR(C305="LTO",C305="TOH-LC",C305="TOH - LC"),"Type 3",IF(C305="Flourish","Type 4","Type 1"))))</f>
        <v/>
      </c>
      <c r="E305" s="852" t="n"/>
      <c r="F305" s="852" t="n"/>
      <c r="G305" s="852" t="n"/>
      <c r="H305" s="888" t="n"/>
      <c r="I305" s="889" t="n"/>
      <c r="J305" s="888" t="n"/>
      <c r="K305">
        <f>SUM(H305:J305)</f>
        <v/>
      </c>
      <c r="L305" s="852" t="n"/>
      <c r="M305" s="852" t="n"/>
      <c r="N305" s="852" t="n"/>
      <c r="O305" s="852" t="n"/>
      <c r="P305" s="852" t="n"/>
      <c r="Q305" s="852" t="n"/>
      <c r="R305" s="852" t="n"/>
      <c r="S305" s="852" t="n"/>
      <c r="T305" s="852" t="n"/>
      <c r="U305" s="852" t="n"/>
      <c r="V305" s="852" t="n"/>
      <c r="W305" s="852" t="n"/>
      <c r="X305" s="852" t="n"/>
      <c r="Y305" s="852" t="n"/>
      <c r="Z305" s="852" t="n"/>
      <c r="AA305" s="852" t="n"/>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c r="CL305" s="59" t="n"/>
      <c r="CM305" s="59" t="n"/>
      <c r="CN305" s="59" t="n"/>
    </row>
    <row r="306" ht="15" customFormat="1" customHeight="1" s="3">
      <c r="A306">
        <f>IF(C306="","",ROW()-2)</f>
        <v/>
      </c>
      <c r="B306" s="852" t="n"/>
      <c r="C306" s="852" t="n"/>
      <c r="D306">
        <f>IF(C306="TOH","Type 1",IF(C306="POH","Type 2",IF(OR(C306="LTO",C306="TOH-LC",C306="TOH - LC"),"Type 3",IF(C306="Flourish","Type 4","Type 1"))))</f>
        <v/>
      </c>
      <c r="E306" s="852" t="n"/>
      <c r="F306" s="852" t="n"/>
      <c r="G306" s="852" t="n"/>
      <c r="H306" s="888" t="n"/>
      <c r="I306" s="889" t="n"/>
      <c r="J306" s="888" t="n"/>
      <c r="K306">
        <f>SUM(H306:J306)</f>
        <v/>
      </c>
      <c r="L306" s="852" t="n"/>
      <c r="M306" s="852" t="n"/>
      <c r="N306" s="852" t="n"/>
      <c r="O306" s="852" t="n"/>
      <c r="P306" s="852" t="n"/>
      <c r="Q306" s="852" t="n"/>
      <c r="R306" s="852" t="n"/>
      <c r="S306" s="852" t="n"/>
      <c r="T306" s="852" t="n"/>
      <c r="U306" s="852" t="n"/>
      <c r="V306" s="852" t="n"/>
      <c r="W306" s="852" t="n"/>
      <c r="X306" s="852" t="n"/>
      <c r="Y306" s="852" t="n"/>
      <c r="Z306" s="852" t="n"/>
      <c r="AA306" s="852" t="n"/>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c r="CL306" s="59" t="n"/>
      <c r="CM306" s="59" t="n"/>
      <c r="CN306" s="59" t="n"/>
    </row>
    <row r="307" ht="15" customFormat="1" customHeight="1" s="3">
      <c r="A307">
        <f>IF(C307="","",ROW()-2)</f>
        <v/>
      </c>
      <c r="B307" s="852" t="n"/>
      <c r="C307" s="852" t="n"/>
      <c r="D307">
        <f>IF(C307="TOH","Type 1",IF(C307="POH","Type 2",IF(OR(C307="LTO",C307="TOH-LC",C307="TOH - LC"),"Type 3",IF(C307="Flourish","Type 4","Type 1"))))</f>
        <v/>
      </c>
      <c r="E307" s="852" t="n"/>
      <c r="F307" s="852" t="n"/>
      <c r="G307" s="852" t="n"/>
      <c r="H307" s="888" t="n"/>
      <c r="I307" s="889" t="n"/>
      <c r="J307" s="888" t="n"/>
      <c r="K307">
        <f>SUM(H307:J307)</f>
        <v/>
      </c>
      <c r="L307" s="852" t="n"/>
      <c r="M307" s="852" t="n"/>
      <c r="N307" s="852" t="n"/>
      <c r="O307" s="852" t="n"/>
      <c r="P307" s="852" t="n"/>
      <c r="Q307" s="852" t="n"/>
      <c r="R307" s="852" t="n"/>
      <c r="S307" s="852" t="n"/>
      <c r="T307" s="852" t="n"/>
      <c r="U307" s="852" t="n"/>
      <c r="V307" s="852" t="n"/>
      <c r="W307" s="852" t="n"/>
      <c r="X307" s="852" t="n"/>
      <c r="Y307" s="852" t="n"/>
      <c r="Z307" s="852" t="n"/>
      <c r="AA307" s="852" t="n"/>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c r="CL307" s="59" t="n"/>
      <c r="CM307" s="59" t="n"/>
      <c r="CN307" s="59" t="n"/>
    </row>
    <row r="308" ht="15" customFormat="1" customHeight="1" s="3">
      <c r="A308">
        <f>IF(C308="","",ROW()-2)</f>
        <v/>
      </c>
      <c r="B308" s="852" t="n"/>
      <c r="C308" s="852" t="n"/>
      <c r="D308">
        <f>IF(C308="TOH","Type 1",IF(C308="POH","Type 2",IF(OR(C308="LTO",C308="TOH-LC",C308="TOH - LC"),"Type 3",IF(C308="Flourish","Type 4","Type 1"))))</f>
        <v/>
      </c>
      <c r="E308" s="852" t="n"/>
      <c r="F308" s="852" t="n"/>
      <c r="G308" s="852" t="n"/>
      <c r="H308" s="888" t="n"/>
      <c r="I308" s="889" t="n"/>
      <c r="J308" s="888" t="n"/>
      <c r="K308">
        <f>SUM(H308:J308)</f>
        <v/>
      </c>
      <c r="L308" s="852" t="n"/>
      <c r="M308" s="852" t="n"/>
      <c r="N308" s="852" t="n"/>
      <c r="O308" s="852" t="n"/>
      <c r="P308" s="852" t="n"/>
      <c r="Q308" s="852" t="n"/>
      <c r="R308" s="852" t="n"/>
      <c r="S308" s="852" t="n"/>
      <c r="T308" s="852" t="n"/>
      <c r="U308" s="852" t="n"/>
      <c r="V308" s="852" t="n"/>
      <c r="W308" s="852" t="n"/>
      <c r="X308" s="852" t="n"/>
      <c r="Y308" s="852" t="n"/>
      <c r="Z308" s="852" t="n"/>
      <c r="AA308" s="852" t="n"/>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c r="CL308" s="59" t="n"/>
      <c r="CM308" s="59" t="n"/>
      <c r="CN308" s="59" t="n"/>
    </row>
    <row r="309" ht="15" customFormat="1" customHeight="1" s="3">
      <c r="A309">
        <f>IF(C309="","",ROW()-2)</f>
        <v/>
      </c>
      <c r="B309" s="852" t="n"/>
      <c r="C309" s="852" t="n"/>
      <c r="D309">
        <f>IF(C309="TOH","Type 1",IF(C309="POH","Type 2",IF(OR(C309="LTO",C309="TOH-LC",C309="TOH - LC"),"Type 3",IF(C309="Flourish","Type 4","Type 1"))))</f>
        <v/>
      </c>
      <c r="E309" s="852" t="n"/>
      <c r="F309" s="852" t="n"/>
      <c r="G309" s="852" t="n"/>
      <c r="H309" s="888" t="n"/>
      <c r="I309" s="889" t="n"/>
      <c r="J309" s="888" t="n"/>
      <c r="K309">
        <f>SUM(H309:J309)</f>
        <v/>
      </c>
      <c r="L309" s="852" t="n"/>
      <c r="M309" s="852" t="n"/>
      <c r="N309" s="852" t="n"/>
      <c r="O309" s="852" t="n"/>
      <c r="P309" s="852" t="n"/>
      <c r="Q309" s="852" t="n"/>
      <c r="R309" s="852" t="n"/>
      <c r="S309" s="852" t="n"/>
      <c r="T309" s="852" t="n"/>
      <c r="U309" s="852" t="n"/>
      <c r="V309" s="852" t="n"/>
      <c r="W309" s="852" t="n"/>
      <c r="X309" s="852" t="n"/>
      <c r="Y309" s="852" t="n"/>
      <c r="Z309" s="852" t="n"/>
      <c r="AA309" s="852" t="n"/>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c r="CL309" s="59" t="n"/>
      <c r="CM309" s="59" t="n"/>
      <c r="CN309" s="59" t="n"/>
    </row>
    <row r="310" ht="15" customFormat="1" customHeight="1" s="3">
      <c r="A310">
        <f>IF(C310="","",ROW()-2)</f>
        <v/>
      </c>
      <c r="B310" s="852" t="n"/>
      <c r="C310" s="852" t="n"/>
      <c r="D310">
        <f>IF(C310="TOH","Type 1",IF(C310="POH","Type 2",IF(OR(C310="LTO",C310="TOH-LC",C310="TOH - LC"),"Type 3",IF(C310="Flourish","Type 4","Type 1"))))</f>
        <v/>
      </c>
      <c r="E310" s="852" t="n"/>
      <c r="F310" s="852" t="n"/>
      <c r="G310" s="852" t="n"/>
      <c r="H310" s="888" t="n"/>
      <c r="I310" s="889" t="n"/>
      <c r="J310" s="888" t="n"/>
      <c r="K310">
        <f>SUM(H310:J310)</f>
        <v/>
      </c>
      <c r="L310" s="852" t="n"/>
      <c r="M310" s="852" t="n"/>
      <c r="N310" s="852" t="n"/>
      <c r="O310" s="852" t="n"/>
      <c r="P310" s="852" t="n"/>
      <c r="Q310" s="852" t="n"/>
      <c r="R310" s="852" t="n"/>
      <c r="S310" s="852" t="n"/>
      <c r="T310" s="852" t="n"/>
      <c r="U310" s="852" t="n"/>
      <c r="V310" s="852" t="n"/>
      <c r="W310" s="852" t="n"/>
      <c r="X310" s="852" t="n"/>
      <c r="Y310" s="852" t="n"/>
      <c r="Z310" s="852" t="n"/>
      <c r="AA310" s="852" t="n"/>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c r="CL310" s="59" t="n"/>
      <c r="CM310" s="59" t="n"/>
      <c r="CN310" s="59" t="n"/>
    </row>
    <row r="311" ht="15" customFormat="1" customHeight="1" s="3">
      <c r="A311">
        <f>IF(C311="","",ROW()-2)</f>
        <v/>
      </c>
      <c r="B311" s="852" t="n"/>
      <c r="C311" s="852" t="n"/>
      <c r="D311">
        <f>IF(C311="TOH","Type 1",IF(C311="POH","Type 2",IF(OR(C311="LTO",C311="TOH-LC",C311="TOH - LC"),"Type 3",IF(C311="Flourish","Type 4","Type 1"))))</f>
        <v/>
      </c>
      <c r="E311" s="852" t="n"/>
      <c r="F311" s="852" t="n"/>
      <c r="G311" s="852" t="n"/>
      <c r="H311" s="888" t="n"/>
      <c r="I311" s="889" t="n"/>
      <c r="J311" s="888" t="n"/>
      <c r="K311">
        <f>SUM(H311:J311)</f>
        <v/>
      </c>
      <c r="L311" s="852" t="n"/>
      <c r="M311" s="852" t="n"/>
      <c r="N311" s="852" t="n"/>
      <c r="O311" s="852" t="n"/>
      <c r="P311" s="852" t="n"/>
      <c r="Q311" s="852" t="n"/>
      <c r="R311" s="852" t="n"/>
      <c r="S311" s="852" t="n"/>
      <c r="T311" s="852" t="n"/>
      <c r="U311" s="852" t="n"/>
      <c r="V311" s="852" t="n"/>
      <c r="W311" s="852" t="n"/>
      <c r="X311" s="852" t="n"/>
      <c r="Y311" s="852" t="n"/>
      <c r="Z311" s="852" t="n"/>
      <c r="AA311" s="852" t="n"/>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c r="CL311" s="59" t="n"/>
      <c r="CM311" s="59" t="n"/>
      <c r="CN311" s="59" t="n"/>
    </row>
    <row r="312" ht="15" customFormat="1" customHeight="1" s="3">
      <c r="A312">
        <f>IF(C312="","",ROW()-2)</f>
        <v/>
      </c>
      <c r="B312" s="852" t="n"/>
      <c r="C312" s="852" t="n"/>
      <c r="D312">
        <f>IF(C312="TOH","Type 1",IF(C312="POH","Type 2",IF(OR(C312="LTO",C312="TOH-LC",C312="TOH - LC"),"Type 3",IF(C312="Flourish","Type 4","Type 1"))))</f>
        <v/>
      </c>
      <c r="E312" s="852" t="n"/>
      <c r="F312" s="852" t="n"/>
      <c r="G312" s="852" t="n"/>
      <c r="H312" s="888" t="n"/>
      <c r="I312" s="889" t="n"/>
      <c r="J312" s="888" t="n"/>
      <c r="K312">
        <f>SUM(H312:J312)</f>
        <v/>
      </c>
      <c r="L312" s="852" t="n"/>
      <c r="M312" s="852" t="n"/>
      <c r="N312" s="852" t="n"/>
      <c r="O312" s="852" t="n"/>
      <c r="P312" s="852" t="n"/>
      <c r="Q312" s="852" t="n"/>
      <c r="R312" s="852" t="n"/>
      <c r="S312" s="852" t="n"/>
      <c r="T312" s="852" t="n"/>
      <c r="U312" s="852" t="n"/>
      <c r="V312" s="852" t="n"/>
      <c r="W312" s="852" t="n"/>
      <c r="X312" s="852" t="n"/>
      <c r="Y312" s="852" t="n"/>
      <c r="Z312" s="852" t="n"/>
      <c r="AA312" s="852" t="n"/>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c r="CL312" s="59" t="n"/>
      <c r="CM312" s="59" t="n"/>
      <c r="CN312" s="59" t="n"/>
    </row>
    <row r="313" ht="15" customFormat="1" customHeight="1" s="3">
      <c r="A313">
        <f>IF(C313="","",ROW()-2)</f>
        <v/>
      </c>
      <c r="B313" s="852" t="n"/>
      <c r="C313" s="852" t="n"/>
      <c r="D313">
        <f>IF(C313="TOH","Type 1",IF(C313="POH","Type 2",IF(OR(C313="LTO",C313="TOH-LC",C313="TOH - LC"),"Type 3",IF(C313="Flourish","Type 4","Type 1"))))</f>
        <v/>
      </c>
      <c r="E313" s="852" t="n"/>
      <c r="F313" s="852" t="n"/>
      <c r="G313" s="852" t="n"/>
      <c r="H313" s="888" t="n"/>
      <c r="I313" s="889" t="n"/>
      <c r="J313" s="888" t="n"/>
      <c r="K313">
        <f>SUM(H313:J313)</f>
        <v/>
      </c>
      <c r="L313" s="852" t="n"/>
      <c r="M313" s="852" t="n"/>
      <c r="N313" s="852" t="n"/>
      <c r="O313" s="852" t="n"/>
      <c r="P313" s="852" t="n"/>
      <c r="Q313" s="852" t="n"/>
      <c r="R313" s="852" t="n"/>
      <c r="S313" s="852" t="n"/>
      <c r="T313" s="852" t="n"/>
      <c r="U313" s="852" t="n"/>
      <c r="V313" s="852" t="n"/>
      <c r="W313" s="852" t="n"/>
      <c r="X313" s="852" t="n"/>
      <c r="Y313" s="852" t="n"/>
      <c r="Z313" s="852" t="n"/>
      <c r="AA313" s="852" t="n"/>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c r="CL313" s="59" t="n"/>
      <c r="CM313" s="59" t="n"/>
      <c r="CN313" s="59" t="n"/>
    </row>
    <row r="314" ht="15" customFormat="1" customHeight="1" s="3">
      <c r="A314">
        <f>IF(C314="","",ROW()-2)</f>
        <v/>
      </c>
      <c r="B314" s="852" t="n"/>
      <c r="C314" s="852" t="n"/>
      <c r="D314">
        <f>IF(C314="TOH","Type 1",IF(C314="POH","Type 2",IF(OR(C314="LTO",C314="TOH-LC",C314="TOH - LC"),"Type 3",IF(C314="Flourish","Type 4","Type 1"))))</f>
        <v/>
      </c>
      <c r="E314" s="852" t="n"/>
      <c r="F314" s="852" t="n"/>
      <c r="G314" s="852" t="n"/>
      <c r="H314" s="888" t="n"/>
      <c r="I314" s="889" t="n"/>
      <c r="J314" s="888" t="n"/>
      <c r="K314">
        <f>SUM(H314:J314)</f>
        <v/>
      </c>
      <c r="L314" s="852" t="n"/>
      <c r="M314" s="852" t="n"/>
      <c r="N314" s="852" t="n"/>
      <c r="O314" s="852" t="n"/>
      <c r="P314" s="852" t="n"/>
      <c r="Q314" s="852" t="n"/>
      <c r="R314" s="852" t="n"/>
      <c r="S314" s="852" t="n"/>
      <c r="T314" s="852" t="n"/>
      <c r="U314" s="852" t="n"/>
      <c r="V314" s="852" t="n"/>
      <c r="W314" s="852" t="n"/>
      <c r="X314" s="852" t="n"/>
      <c r="Y314" s="852" t="n"/>
      <c r="Z314" s="852" t="n"/>
      <c r="AA314" s="852" t="n"/>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c r="CL314" s="59" t="n"/>
      <c r="CM314" s="59" t="n"/>
      <c r="CN314" s="59" t="n"/>
    </row>
    <row r="315" ht="15" customFormat="1" customHeight="1" s="3">
      <c r="A315">
        <f>IF(C315="","",ROW()-2)</f>
        <v/>
      </c>
      <c r="B315" s="852" t="n"/>
      <c r="C315" s="852" t="n"/>
      <c r="D315">
        <f>IF(C315="TOH","Type 1",IF(C315="POH","Type 2",IF(OR(C315="LTO",C315="TOH-LC",C315="TOH - LC"),"Type 3",IF(C315="Flourish","Type 4","Type 1"))))</f>
        <v/>
      </c>
      <c r="E315" s="852" t="n"/>
      <c r="F315" s="852" t="n"/>
      <c r="G315" s="852" t="n"/>
      <c r="H315" s="888" t="n"/>
      <c r="I315" s="889" t="n"/>
      <c r="J315" s="888" t="n"/>
      <c r="K315">
        <f>SUM(H315:J315)</f>
        <v/>
      </c>
      <c r="L315" s="852" t="n"/>
      <c r="M315" s="852" t="n"/>
      <c r="N315" s="852" t="n"/>
      <c r="O315" s="852" t="n"/>
      <c r="P315" s="852" t="n"/>
      <c r="Q315" s="852" t="n"/>
      <c r="R315" s="852" t="n"/>
      <c r="S315" s="852" t="n"/>
      <c r="T315" s="852" t="n"/>
      <c r="U315" s="852" t="n"/>
      <c r="V315" s="852" t="n"/>
      <c r="W315" s="852" t="n"/>
      <c r="X315" s="852" t="n"/>
      <c r="Y315" s="852" t="n"/>
      <c r="Z315" s="852" t="n"/>
      <c r="AA315" s="852" t="n"/>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c r="CL315" s="59" t="n"/>
      <c r="CM315" s="59" t="n"/>
      <c r="CN315" s="59" t="n"/>
    </row>
    <row r="316" ht="15" customFormat="1" customHeight="1" s="3">
      <c r="A316">
        <f>IF(C316="","",ROW()-2)</f>
        <v/>
      </c>
      <c r="B316" s="852" t="n"/>
      <c r="C316" s="852" t="n"/>
      <c r="D316">
        <f>IF(C316="TOH","Type 1",IF(C316="POH","Type 2",IF(OR(C316="LTO",C316="TOH-LC",C316="TOH - LC"),"Type 3",IF(C316="Flourish","Type 4","Type 1"))))</f>
        <v/>
      </c>
      <c r="E316" s="852" t="n"/>
      <c r="F316" s="852" t="n"/>
      <c r="G316" s="852" t="n"/>
      <c r="H316" s="888" t="n"/>
      <c r="I316" s="889" t="n"/>
      <c r="J316" s="888" t="n"/>
      <c r="K316">
        <f>SUM(H316:J316)</f>
        <v/>
      </c>
      <c r="L316" s="852" t="n"/>
      <c r="M316" s="852" t="n"/>
      <c r="N316" s="852" t="n"/>
      <c r="O316" s="852" t="n"/>
      <c r="P316" s="852" t="n"/>
      <c r="Q316" s="852" t="n"/>
      <c r="R316" s="852" t="n"/>
      <c r="S316" s="852" t="n"/>
      <c r="T316" s="852" t="n"/>
      <c r="U316" s="852" t="n"/>
      <c r="V316" s="852" t="n"/>
      <c r="W316" s="852" t="n"/>
      <c r="X316" s="852" t="n"/>
      <c r="Y316" s="852" t="n"/>
      <c r="Z316" s="852" t="n"/>
      <c r="AA316" s="852" t="n"/>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c r="CL316" s="59" t="n"/>
      <c r="CM316" s="59" t="n"/>
      <c r="CN316" s="59" t="n"/>
    </row>
    <row r="317" ht="15" customFormat="1" customHeight="1" s="3">
      <c r="A317">
        <f>IF(C317="","",ROW()-2)</f>
        <v/>
      </c>
      <c r="B317" s="852" t="n"/>
      <c r="C317" s="852" t="n"/>
      <c r="D317">
        <f>IF(C317="TOH","Type 1",IF(C317="POH","Type 2",IF(OR(C317="LTO",C317="TOH-LC",C317="TOH - LC"),"Type 3",IF(C317="Flourish","Type 4","Type 1"))))</f>
        <v/>
      </c>
      <c r="E317" s="852" t="n"/>
      <c r="F317" s="852" t="n"/>
      <c r="G317" s="852" t="n"/>
      <c r="H317" s="888" t="n"/>
      <c r="I317" s="889" t="n"/>
      <c r="J317" s="888" t="n"/>
      <c r="K317">
        <f>SUM(H317:J317)</f>
        <v/>
      </c>
      <c r="L317" s="852" t="n"/>
      <c r="M317" s="852" t="n"/>
      <c r="N317" s="852" t="n"/>
      <c r="O317" s="852" t="n"/>
      <c r="P317" s="852" t="n"/>
      <c r="Q317" s="852" t="n"/>
      <c r="R317" s="852" t="n"/>
      <c r="S317" s="852" t="n"/>
      <c r="T317" s="852" t="n"/>
      <c r="U317" s="852" t="n"/>
      <c r="V317" s="852" t="n"/>
      <c r="W317" s="852" t="n"/>
      <c r="X317" s="852" t="n"/>
      <c r="Y317" s="852" t="n"/>
      <c r="Z317" s="852" t="n"/>
      <c r="AA317" s="852" t="n"/>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c r="CL317" s="59" t="n"/>
      <c r="CM317" s="59" t="n"/>
      <c r="CN317" s="59" t="n"/>
    </row>
    <row r="318" ht="15" customFormat="1" customHeight="1" s="3">
      <c r="A318">
        <f>IF(C318="","",ROW()-2)</f>
        <v/>
      </c>
      <c r="B318" s="852" t="n"/>
      <c r="C318" s="852" t="n"/>
      <c r="D318">
        <f>IF(C318="TOH","Type 1",IF(C318="POH","Type 2",IF(OR(C318="LTO",C318="TOH-LC",C318="TOH - LC"),"Type 3",IF(C318="Flourish","Type 4","Type 1"))))</f>
        <v/>
      </c>
      <c r="E318" s="852" t="n"/>
      <c r="F318" s="852" t="n"/>
      <c r="G318" s="852" t="n"/>
      <c r="H318" s="888" t="n"/>
      <c r="I318" s="889" t="n"/>
      <c r="J318" s="888" t="n"/>
      <c r="K318">
        <f>SUM(H318:J318)</f>
        <v/>
      </c>
      <c r="L318" s="852" t="n"/>
      <c r="M318" s="852" t="n"/>
      <c r="N318" s="852" t="n"/>
      <c r="O318" s="852" t="n"/>
      <c r="P318" s="852" t="n"/>
      <c r="Q318" s="852" t="n"/>
      <c r="R318" s="852" t="n"/>
      <c r="S318" s="852" t="n"/>
      <c r="T318" s="852" t="n"/>
      <c r="U318" s="852" t="n"/>
      <c r="V318" s="852" t="n"/>
      <c r="W318" s="852" t="n"/>
      <c r="X318" s="852" t="n"/>
      <c r="Y318" s="852" t="n"/>
      <c r="Z318" s="852" t="n"/>
      <c r="AA318" s="852" t="n"/>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c r="CL318" s="59" t="n"/>
      <c r="CM318" s="59" t="n"/>
      <c r="CN318" s="59" t="n"/>
    </row>
    <row r="319" ht="15" customFormat="1" customHeight="1" s="3">
      <c r="A319">
        <f>IF(C319="","",ROW()-2)</f>
        <v/>
      </c>
      <c r="B319" s="852" t="n"/>
      <c r="C319" s="852" t="n"/>
      <c r="D319">
        <f>IF(C319="TOH","Type 1",IF(C319="POH","Type 2",IF(OR(C319="LTO",C319="TOH-LC",C319="TOH - LC"),"Type 3",IF(C319="Flourish","Type 4","Type 1"))))</f>
        <v/>
      </c>
      <c r="E319" s="852" t="n"/>
      <c r="F319" s="852" t="n"/>
      <c r="G319" s="852" t="n"/>
      <c r="H319" s="888" t="n"/>
      <c r="I319" s="889" t="n"/>
      <c r="J319" s="888" t="n"/>
      <c r="K319">
        <f>SUM(H319:J319)</f>
        <v/>
      </c>
      <c r="L319" s="852" t="n"/>
      <c r="M319" s="852" t="n"/>
      <c r="N319" s="852" t="n"/>
      <c r="O319" s="852" t="n"/>
      <c r="P319" s="852" t="n"/>
      <c r="Q319" s="852" t="n"/>
      <c r="R319" s="852" t="n"/>
      <c r="S319" s="852" t="n"/>
      <c r="T319" s="852" t="n"/>
      <c r="U319" s="852" t="n"/>
      <c r="V319" s="852" t="n"/>
      <c r="W319" s="852" t="n"/>
      <c r="X319" s="852" t="n"/>
      <c r="Y319" s="852" t="n"/>
      <c r="Z319" s="852" t="n"/>
      <c r="AA319" s="852" t="n"/>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c r="CL319" s="59" t="n"/>
      <c r="CM319" s="59" t="n"/>
      <c r="CN319" s="59" t="n"/>
    </row>
    <row r="320" ht="15" customFormat="1" customHeight="1" s="3">
      <c r="A320">
        <f>IF(C320="","",ROW()-2)</f>
        <v/>
      </c>
      <c r="B320" s="852" t="n"/>
      <c r="C320" s="852" t="n"/>
      <c r="D320">
        <f>IF(C320="TOH","Type 1",IF(C320="POH","Type 2",IF(OR(C320="LTO",C320="TOH-LC",C320="TOH - LC"),"Type 3",IF(C320="Flourish","Type 4","Type 1"))))</f>
        <v/>
      </c>
      <c r="E320" s="852" t="n"/>
      <c r="F320" s="852" t="n"/>
      <c r="G320" s="852" t="n"/>
      <c r="H320" s="888" t="n"/>
      <c r="I320" s="889" t="n"/>
      <c r="J320" s="888" t="n"/>
      <c r="K320">
        <f>SUM(H320:J320)</f>
        <v/>
      </c>
      <c r="L320" s="852" t="n"/>
      <c r="M320" s="852" t="n"/>
      <c r="N320" s="852" t="n"/>
      <c r="O320" s="852" t="n"/>
      <c r="P320" s="852" t="n"/>
      <c r="Q320" s="852" t="n"/>
      <c r="R320" s="852" t="n"/>
      <c r="S320" s="852" t="n"/>
      <c r="T320" s="852" t="n"/>
      <c r="U320" s="852" t="n"/>
      <c r="V320" s="852" t="n"/>
      <c r="W320" s="852" t="n"/>
      <c r="X320" s="852" t="n"/>
      <c r="Y320" s="852" t="n"/>
      <c r="Z320" s="852" t="n"/>
      <c r="AA320" s="852" t="n"/>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c r="CL320" s="59" t="n"/>
      <c r="CM320" s="59" t="n"/>
      <c r="CN320" s="59" t="n"/>
    </row>
    <row r="321" ht="15" customFormat="1" customHeight="1" s="3">
      <c r="A321">
        <f>IF(C321="","",ROW()-2)</f>
        <v/>
      </c>
      <c r="B321" s="852" t="n"/>
      <c r="C321" s="852" t="n"/>
      <c r="D321">
        <f>IF(C321="TOH","Type 1",IF(C321="POH","Type 2",IF(OR(C321="LTO",C321="TOH-LC",C321="TOH - LC"),"Type 3",IF(C321="Flourish","Type 4","Type 1"))))</f>
        <v/>
      </c>
      <c r="E321" s="852" t="n"/>
      <c r="F321" s="852" t="n"/>
      <c r="G321" s="852" t="n"/>
      <c r="H321" s="888" t="n"/>
      <c r="I321" s="889" t="n"/>
      <c r="J321" s="888" t="n"/>
      <c r="K321">
        <f>SUM(H321:J321)</f>
        <v/>
      </c>
      <c r="L321" s="852" t="n"/>
      <c r="M321" s="852" t="n"/>
      <c r="N321" s="852" t="n"/>
      <c r="O321" s="852" t="n"/>
      <c r="P321" s="852" t="n"/>
      <c r="Q321" s="852" t="n"/>
      <c r="R321" s="852" t="n"/>
      <c r="S321" s="852" t="n"/>
      <c r="T321" s="852" t="n"/>
      <c r="U321" s="852" t="n"/>
      <c r="V321" s="852" t="n"/>
      <c r="W321" s="852" t="n"/>
      <c r="X321" s="852" t="n"/>
      <c r="Y321" s="852" t="n"/>
      <c r="Z321" s="852" t="n"/>
      <c r="AA321" s="852" t="n"/>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c r="CL321" s="59" t="n"/>
      <c r="CM321" s="59" t="n"/>
      <c r="CN321" s="59" t="n"/>
    </row>
    <row r="322" ht="15" customFormat="1" customHeight="1" s="3">
      <c r="A322">
        <f>IF(C322="","",ROW()-2)</f>
        <v/>
      </c>
      <c r="B322" s="852" t="n"/>
      <c r="C322" s="852" t="n"/>
      <c r="D322">
        <f>IF(C322="TOH","Type 1",IF(C322="POH","Type 2",IF(OR(C322="LTO",C322="TOH-LC",C322="TOH - LC"),"Type 3",IF(C322="Flourish","Type 4","Type 1"))))</f>
        <v/>
      </c>
      <c r="E322" s="852" t="n"/>
      <c r="F322" s="852" t="n"/>
      <c r="G322" s="852" t="n"/>
      <c r="H322" s="888" t="n"/>
      <c r="I322" s="889" t="n"/>
      <c r="J322" s="888" t="n"/>
      <c r="K322">
        <f>SUM(H322:J322)</f>
        <v/>
      </c>
      <c r="L322" s="852" t="n"/>
      <c r="M322" s="852" t="n"/>
      <c r="N322" s="852" t="n"/>
      <c r="O322" s="852" t="n"/>
      <c r="P322" s="852" t="n"/>
      <c r="Q322" s="852" t="n"/>
      <c r="R322" s="852" t="n"/>
      <c r="S322" s="852" t="n"/>
      <c r="T322" s="852" t="n"/>
      <c r="U322" s="852" t="n"/>
      <c r="V322" s="852" t="n"/>
      <c r="W322" s="852" t="n"/>
      <c r="X322" s="852" t="n"/>
      <c r="Y322" s="852" t="n"/>
      <c r="Z322" s="852" t="n"/>
      <c r="AA322" s="852" t="n"/>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c r="CL322" s="59" t="n"/>
      <c r="CM322" s="59" t="n"/>
      <c r="CN322" s="59" t="n"/>
    </row>
    <row r="323" ht="15" customFormat="1" customHeight="1" s="3">
      <c r="A323">
        <f>IF(C323="","",ROW()-2)</f>
        <v/>
      </c>
      <c r="B323" s="852" t="n"/>
      <c r="C323" s="852" t="n"/>
      <c r="D323">
        <f>IF(C323="TOH","Type 1",IF(C323="POH","Type 2",IF(OR(C323="LTO",C323="TOH-LC",C323="TOH - LC"),"Type 3",IF(C323="Flourish","Type 4","Type 1"))))</f>
        <v/>
      </c>
      <c r="E323" s="852" t="n"/>
      <c r="F323" s="852" t="n"/>
      <c r="G323" s="852" t="n"/>
      <c r="H323" s="888" t="n"/>
      <c r="I323" s="889" t="n"/>
      <c r="J323" s="888" t="n"/>
      <c r="K323">
        <f>SUM(H323:J323)</f>
        <v/>
      </c>
      <c r="L323" s="852" t="n"/>
      <c r="M323" s="852" t="n"/>
      <c r="N323" s="852" t="n"/>
      <c r="O323" s="852" t="n"/>
      <c r="P323" s="852" t="n"/>
      <c r="Q323" s="852" t="n"/>
      <c r="R323" s="852" t="n"/>
      <c r="S323" s="852" t="n"/>
      <c r="T323" s="852" t="n"/>
      <c r="U323" s="852" t="n"/>
      <c r="V323" s="852" t="n"/>
      <c r="W323" s="852" t="n"/>
      <c r="X323" s="852" t="n"/>
      <c r="Y323" s="852" t="n"/>
      <c r="Z323" s="852" t="n"/>
      <c r="AA323" s="852" t="n"/>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c r="CL323" s="59" t="n"/>
      <c r="CM323" s="59" t="n"/>
      <c r="CN323" s="59" t="n"/>
    </row>
    <row r="324" ht="15" customFormat="1" customHeight="1" s="3">
      <c r="A324">
        <f>IF(C324="","",ROW()-2)</f>
        <v/>
      </c>
      <c r="B324" s="852" t="n"/>
      <c r="C324" s="852" t="n"/>
      <c r="D324">
        <f>IF(C324="TOH","Type 1",IF(C324="POH","Type 2",IF(OR(C324="LTO",C324="TOH-LC",C324="TOH - LC"),"Type 3",IF(C324="Flourish","Type 4","Type 1"))))</f>
        <v/>
      </c>
      <c r="E324" s="852" t="n"/>
      <c r="F324" s="852" t="n"/>
      <c r="G324" s="852" t="n"/>
      <c r="H324" s="888" t="n"/>
      <c r="I324" s="889" t="n"/>
      <c r="J324" s="888" t="n"/>
      <c r="K324">
        <f>SUM(H324:J324)</f>
        <v/>
      </c>
      <c r="L324" s="852" t="n"/>
      <c r="M324" s="852" t="n"/>
      <c r="N324" s="852" t="n"/>
      <c r="O324" s="852" t="n"/>
      <c r="P324" s="852" t="n"/>
      <c r="Q324" s="852" t="n"/>
      <c r="R324" s="852" t="n"/>
      <c r="S324" s="852" t="n"/>
      <c r="T324" s="852" t="n"/>
      <c r="U324" s="852" t="n"/>
      <c r="V324" s="852" t="n"/>
      <c r="W324" s="852" t="n"/>
      <c r="X324" s="852" t="n"/>
      <c r="Y324" s="852" t="n"/>
      <c r="Z324" s="852" t="n"/>
      <c r="AA324" s="852" t="n"/>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c r="CL324" s="59" t="n"/>
      <c r="CM324" s="59" t="n"/>
      <c r="CN324" s="59" t="n"/>
    </row>
    <row r="325" ht="15" customFormat="1" customHeight="1" s="3">
      <c r="A325">
        <f>IF(C325="","",ROW()-2)</f>
        <v/>
      </c>
      <c r="B325" s="852" t="n"/>
      <c r="C325" s="852" t="n"/>
      <c r="D325">
        <f>IF(C325="TOH","Type 1",IF(C325="POH","Type 2",IF(OR(C325="LTO",C325="TOH-LC",C325="TOH - LC"),"Type 3",IF(C325="Flourish","Type 4","Type 1"))))</f>
        <v/>
      </c>
      <c r="E325" s="852" t="n"/>
      <c r="F325" s="852" t="n"/>
      <c r="G325" s="852" t="n"/>
      <c r="H325" s="888" t="n"/>
      <c r="I325" s="889" t="n"/>
      <c r="J325" s="888" t="n"/>
      <c r="K325">
        <f>SUM(H325:J325)</f>
        <v/>
      </c>
      <c r="L325" s="852" t="n"/>
      <c r="M325" s="852" t="n"/>
      <c r="N325" s="852" t="n"/>
      <c r="O325" s="852" t="n"/>
      <c r="P325" s="852" t="n"/>
      <c r="Q325" s="852" t="n"/>
      <c r="R325" s="852" t="n"/>
      <c r="S325" s="852" t="n"/>
      <c r="T325" s="852" t="n"/>
      <c r="U325" s="852" t="n"/>
      <c r="V325" s="852" t="n"/>
      <c r="W325" s="852" t="n"/>
      <c r="X325" s="852" t="n"/>
      <c r="Y325" s="852" t="n"/>
      <c r="Z325" s="852" t="n"/>
      <c r="AA325" s="852" t="n"/>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c r="CL325" s="59" t="n"/>
      <c r="CM325" s="59" t="n"/>
      <c r="CN325" s="59" t="n"/>
    </row>
    <row r="326" ht="15" customFormat="1" customHeight="1" s="3">
      <c r="A326">
        <f>IF(C326="","",ROW()-2)</f>
        <v/>
      </c>
      <c r="B326" s="852" t="n"/>
      <c r="C326" s="852" t="n"/>
      <c r="D326">
        <f>IF(C326="TOH","Type 1",IF(C326="POH","Type 2",IF(OR(C326="LTO",C326="TOH-LC",C326="TOH - LC"),"Type 3",IF(C326="Flourish","Type 4","Type 1"))))</f>
        <v/>
      </c>
      <c r="E326" s="852" t="n"/>
      <c r="F326" s="852" t="n"/>
      <c r="G326" s="852" t="n"/>
      <c r="H326" s="888" t="n"/>
      <c r="I326" s="889" t="n"/>
      <c r="J326" s="888" t="n"/>
      <c r="K326">
        <f>SUM(H326:J326)</f>
        <v/>
      </c>
      <c r="L326" s="852" t="n"/>
      <c r="M326" s="852" t="n"/>
      <c r="N326" s="852" t="n"/>
      <c r="O326" s="852" t="n"/>
      <c r="P326" s="852" t="n"/>
      <c r="Q326" s="852" t="n"/>
      <c r="R326" s="852" t="n"/>
      <c r="S326" s="852" t="n"/>
      <c r="T326" s="852" t="n"/>
      <c r="U326" s="852" t="n"/>
      <c r="V326" s="852" t="n"/>
      <c r="W326" s="852" t="n"/>
      <c r="X326" s="852" t="n"/>
      <c r="Y326" s="852" t="n"/>
      <c r="Z326" s="852" t="n"/>
      <c r="AA326" s="852" t="n"/>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c r="CL326" s="59" t="n"/>
      <c r="CM326" s="59" t="n"/>
      <c r="CN326" s="59" t="n"/>
    </row>
    <row r="327" ht="15" customFormat="1" customHeight="1" s="3">
      <c r="A327">
        <f>IF(C327="","",ROW()-2)</f>
        <v/>
      </c>
      <c r="B327" s="852" t="n"/>
      <c r="C327" s="852" t="n"/>
      <c r="D327">
        <f>IF(C327="TOH","Type 1",IF(C327="POH","Type 2",IF(OR(C327="LTO",C327="TOH-LC",C327="TOH - LC"),"Type 3",IF(C327="Flourish","Type 4","Type 1"))))</f>
        <v/>
      </c>
      <c r="E327" s="852" t="n"/>
      <c r="F327" s="852" t="n"/>
      <c r="G327" s="852" t="n"/>
      <c r="H327" s="888" t="n"/>
      <c r="I327" s="889" t="n"/>
      <c r="J327" s="888" t="n"/>
      <c r="K327">
        <f>SUM(H327:J327)</f>
        <v/>
      </c>
      <c r="L327" s="852" t="n"/>
      <c r="M327" s="852" t="n"/>
      <c r="N327" s="852" t="n"/>
      <c r="O327" s="852" t="n"/>
      <c r="P327" s="852" t="n"/>
      <c r="Q327" s="852" t="n"/>
      <c r="R327" s="852" t="n"/>
      <c r="S327" s="852" t="n"/>
      <c r="T327" s="852" t="n"/>
      <c r="U327" s="852" t="n"/>
      <c r="V327" s="852" t="n"/>
      <c r="W327" s="852" t="n"/>
      <c r="X327" s="852" t="n"/>
      <c r="Y327" s="852" t="n"/>
      <c r="Z327" s="852" t="n"/>
      <c r="AA327" s="852" t="n"/>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c r="CL327" s="59" t="n"/>
      <c r="CM327" s="59" t="n"/>
      <c r="CN327" s="59" t="n"/>
    </row>
    <row r="328" ht="15" customFormat="1" customHeight="1" s="3">
      <c r="A328">
        <f>IF(C328="","",ROW()-2)</f>
        <v/>
      </c>
      <c r="B328" s="852" t="n"/>
      <c r="C328" s="852" t="n"/>
      <c r="D328">
        <f>IF(C328="TOH","Type 1",IF(C328="POH","Type 2",IF(OR(C328="LTO",C328="TOH-LC",C328="TOH - LC"),"Type 3",IF(C328="Flourish","Type 4","Type 1"))))</f>
        <v/>
      </c>
      <c r="E328" s="852" t="n"/>
      <c r="F328" s="852" t="n"/>
      <c r="G328" s="852" t="n"/>
      <c r="H328" s="888" t="n"/>
      <c r="I328" s="889" t="n"/>
      <c r="J328" s="888" t="n"/>
      <c r="K328">
        <f>SUM(H328:J328)</f>
        <v/>
      </c>
      <c r="L328" s="852" t="n"/>
      <c r="M328" s="852" t="n"/>
      <c r="N328" s="852" t="n"/>
      <c r="O328" s="852" t="n"/>
      <c r="P328" s="852" t="n"/>
      <c r="Q328" s="852" t="n"/>
      <c r="R328" s="852" t="n"/>
      <c r="S328" s="852" t="n"/>
      <c r="T328" s="852" t="n"/>
      <c r="U328" s="852" t="n"/>
      <c r="V328" s="852" t="n"/>
      <c r="W328" s="852" t="n"/>
      <c r="X328" s="852" t="n"/>
      <c r="Y328" s="852" t="n"/>
      <c r="Z328" s="852" t="n"/>
      <c r="AA328" s="852" t="n"/>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c r="CL328" s="59" t="n"/>
      <c r="CM328" s="59" t="n"/>
      <c r="CN328" s="59" t="n"/>
    </row>
    <row r="329" ht="15" customFormat="1" customHeight="1" s="3">
      <c r="A329">
        <f>IF(C329="","",ROW()-2)</f>
        <v/>
      </c>
      <c r="B329" s="852" t="n"/>
      <c r="C329" s="852" t="n"/>
      <c r="D329">
        <f>IF(C329="TOH","Type 1",IF(C329="POH","Type 2",IF(OR(C329="LTO",C329="TOH-LC",C329="TOH - LC"),"Type 3",IF(C329="Flourish","Type 4","Type 1"))))</f>
        <v/>
      </c>
      <c r="E329" s="852" t="n"/>
      <c r="F329" s="852" t="n"/>
      <c r="G329" s="852" t="n"/>
      <c r="H329" s="888" t="n"/>
      <c r="I329" s="889" t="n"/>
      <c r="J329" s="888" t="n"/>
      <c r="K329">
        <f>SUM(H329:J329)</f>
        <v/>
      </c>
      <c r="L329" s="852" t="n"/>
      <c r="M329" s="852" t="n"/>
      <c r="N329" s="852" t="n"/>
      <c r="O329" s="852" t="n"/>
      <c r="P329" s="852" t="n"/>
      <c r="Q329" s="852" t="n"/>
      <c r="R329" s="852" t="n"/>
      <c r="S329" s="852" t="n"/>
      <c r="T329" s="852" t="n"/>
      <c r="U329" s="852" t="n"/>
      <c r="V329" s="852" t="n"/>
      <c r="W329" s="852" t="n"/>
      <c r="X329" s="852" t="n"/>
      <c r="Y329" s="852" t="n"/>
      <c r="Z329" s="852" t="n"/>
      <c r="AA329" s="852" t="n"/>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c r="CL329" s="59" t="n"/>
      <c r="CM329" s="59" t="n"/>
      <c r="CN329" s="59" t="n"/>
    </row>
    <row r="330" ht="15" customFormat="1" customHeight="1" s="3">
      <c r="A330">
        <f>IF(C330="","",ROW()-2)</f>
        <v/>
      </c>
      <c r="B330" s="852" t="n"/>
      <c r="C330" s="852" t="n"/>
      <c r="D330">
        <f>IF(C330="TOH","Type 1",IF(C330="POH","Type 2",IF(OR(C330="LTO",C330="TOH-LC",C330="TOH - LC"),"Type 3",IF(C330="Flourish","Type 4","Type 1"))))</f>
        <v/>
      </c>
      <c r="E330" s="852" t="n"/>
      <c r="F330" s="852" t="n"/>
      <c r="G330" s="852" t="n"/>
      <c r="H330" s="888" t="n"/>
      <c r="I330" s="889" t="n"/>
      <c r="J330" s="888" t="n"/>
      <c r="K330">
        <f>SUM(H330:J330)</f>
        <v/>
      </c>
      <c r="L330" s="852" t="n"/>
      <c r="M330" s="852" t="n"/>
      <c r="N330" s="852" t="n"/>
      <c r="O330" s="852" t="n"/>
      <c r="P330" s="852" t="n"/>
      <c r="Q330" s="852" t="n"/>
      <c r="R330" s="852" t="n"/>
      <c r="S330" s="852" t="n"/>
      <c r="T330" s="852" t="n"/>
      <c r="U330" s="852" t="n"/>
      <c r="V330" s="852" t="n"/>
      <c r="W330" s="852" t="n"/>
      <c r="X330" s="852" t="n"/>
      <c r="Y330" s="852" t="n"/>
      <c r="Z330" s="852" t="n"/>
      <c r="AA330" s="852" t="n"/>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c r="CL330" s="59" t="n"/>
      <c r="CM330" s="59" t="n"/>
      <c r="CN330" s="59" t="n"/>
    </row>
    <row r="331" ht="15" customFormat="1" customHeight="1" s="3">
      <c r="A331">
        <f>IF(C331="","",ROW()-2)</f>
        <v/>
      </c>
      <c r="B331" s="852" t="n"/>
      <c r="C331" s="852" t="n"/>
      <c r="D331">
        <f>IF(C331="TOH","Type 1",IF(C331="POH","Type 2",IF(OR(C331="LTO",C331="TOH-LC",C331="TOH - LC"),"Type 3",IF(C331="Flourish","Type 4","Type 1"))))</f>
        <v/>
      </c>
      <c r="E331" s="852" t="n"/>
      <c r="F331" s="852" t="n"/>
      <c r="G331" s="852" t="n"/>
      <c r="H331" s="888" t="n"/>
      <c r="I331" s="889" t="n"/>
      <c r="J331" s="888" t="n"/>
      <c r="K331">
        <f>SUM(H331:J331)</f>
        <v/>
      </c>
      <c r="L331" s="852" t="n"/>
      <c r="M331" s="852" t="n"/>
      <c r="N331" s="852" t="n"/>
      <c r="O331" s="852" t="n"/>
      <c r="P331" s="852" t="n"/>
      <c r="Q331" s="852" t="n"/>
      <c r="R331" s="852" t="n"/>
      <c r="S331" s="852" t="n"/>
      <c r="T331" s="852" t="n"/>
      <c r="U331" s="852" t="n"/>
      <c r="V331" s="852" t="n"/>
      <c r="W331" s="852" t="n"/>
      <c r="X331" s="852" t="n"/>
      <c r="Y331" s="852" t="n"/>
      <c r="Z331" s="852" t="n"/>
      <c r="AA331" s="852" t="n"/>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c r="CL331" s="59" t="n"/>
      <c r="CM331" s="59" t="n"/>
      <c r="CN331" s="59" t="n"/>
    </row>
    <row r="332" ht="15" customFormat="1" customHeight="1" s="3">
      <c r="A332">
        <f>IF(C332="","",ROW()-2)</f>
        <v/>
      </c>
      <c r="B332" s="852" t="n"/>
      <c r="C332" s="852" t="n"/>
      <c r="D332">
        <f>IF(C332="TOH","Type 1",IF(C332="POH","Type 2",IF(OR(C332="LTO",C332="TOH-LC",C332="TOH - LC"),"Type 3",IF(C332="Flourish","Type 4","Type 1"))))</f>
        <v/>
      </c>
      <c r="E332" s="852" t="n"/>
      <c r="F332" s="852" t="n"/>
      <c r="G332" s="852" t="n"/>
      <c r="H332" s="888" t="n"/>
      <c r="I332" s="889" t="n"/>
      <c r="J332" s="888" t="n"/>
      <c r="K332">
        <f>SUM(H332:J332)</f>
        <v/>
      </c>
      <c r="L332" s="852" t="n"/>
      <c r="M332" s="852" t="n"/>
      <c r="N332" s="852" t="n"/>
      <c r="O332" s="852" t="n"/>
      <c r="P332" s="852" t="n"/>
      <c r="Q332" s="852" t="n"/>
      <c r="R332" s="852" t="n"/>
      <c r="S332" s="852" t="n"/>
      <c r="T332" s="852" t="n"/>
      <c r="U332" s="852" t="n"/>
      <c r="V332" s="852" t="n"/>
      <c r="W332" s="852" t="n"/>
      <c r="X332" s="852" t="n"/>
      <c r="Y332" s="852" t="n"/>
      <c r="Z332" s="852" t="n"/>
      <c r="AA332" s="852" t="n"/>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c r="CL332" s="59" t="n"/>
      <c r="CM332" s="59" t="n"/>
      <c r="CN332" s="59" t="n"/>
    </row>
    <row r="333" ht="15" customFormat="1" customHeight="1" s="3">
      <c r="A333">
        <f>IF(C333="","",ROW()-2)</f>
        <v/>
      </c>
      <c r="B333" s="852" t="n"/>
      <c r="C333" s="852" t="n"/>
      <c r="D333">
        <f>IF(C333="TOH","Type 1",IF(C333="POH","Type 2",IF(OR(C333="LTO",C333="TOH-LC",C333="TOH - LC"),"Type 3",IF(C333="Flourish","Type 4","Type 1"))))</f>
        <v/>
      </c>
      <c r="E333" s="852" t="n"/>
      <c r="F333" s="852" t="n"/>
      <c r="G333" s="852" t="n"/>
      <c r="H333" s="888" t="n"/>
      <c r="I333" s="889" t="n"/>
      <c r="J333" s="888" t="n"/>
      <c r="K333">
        <f>SUM(H333:J333)</f>
        <v/>
      </c>
      <c r="L333" s="852" t="n"/>
      <c r="M333" s="852" t="n"/>
      <c r="N333" s="852" t="n"/>
      <c r="O333" s="852" t="n"/>
      <c r="P333" s="852" t="n"/>
      <c r="Q333" s="852" t="n"/>
      <c r="R333" s="852" t="n"/>
      <c r="S333" s="852" t="n"/>
      <c r="T333" s="852" t="n"/>
      <c r="U333" s="852" t="n"/>
      <c r="V333" s="852" t="n"/>
      <c r="W333" s="852" t="n"/>
      <c r="X333" s="852" t="n"/>
      <c r="Y333" s="852" t="n"/>
      <c r="Z333" s="852" t="n"/>
      <c r="AA333" s="852" t="n"/>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c r="CL333" s="59" t="n"/>
      <c r="CM333" s="59" t="n"/>
      <c r="CN333" s="59" t="n"/>
    </row>
    <row r="334" ht="15" customFormat="1" customHeight="1" s="3">
      <c r="A334">
        <f>IF(C334="","",ROW()-2)</f>
        <v/>
      </c>
      <c r="B334" s="852" t="n"/>
      <c r="C334" s="852" t="n"/>
      <c r="D334">
        <f>IF(C334="TOH","Type 1",IF(C334="POH","Type 2",IF(OR(C334="LTO",C334="TOH-LC",C334="TOH - LC"),"Type 3",IF(C334="Flourish","Type 4","Type 1"))))</f>
        <v/>
      </c>
      <c r="E334" s="852" t="n"/>
      <c r="F334" s="852" t="n"/>
      <c r="G334" s="852" t="n"/>
      <c r="H334" s="888" t="n"/>
      <c r="I334" s="889" t="n"/>
      <c r="J334" s="888" t="n"/>
      <c r="K334">
        <f>SUM(H334:J334)</f>
        <v/>
      </c>
      <c r="L334" s="852" t="n"/>
      <c r="M334" s="852" t="n"/>
      <c r="N334" s="852" t="n"/>
      <c r="O334" s="852" t="n"/>
      <c r="P334" s="852" t="n"/>
      <c r="Q334" s="852" t="n"/>
      <c r="R334" s="852" t="n"/>
      <c r="S334" s="852" t="n"/>
      <c r="T334" s="852" t="n"/>
      <c r="U334" s="852" t="n"/>
      <c r="V334" s="852" t="n"/>
      <c r="W334" s="852" t="n"/>
      <c r="X334" s="852" t="n"/>
      <c r="Y334" s="852" t="n"/>
      <c r="Z334" s="852" t="n"/>
      <c r="AA334" s="852" t="n"/>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c r="CL334" s="59" t="n"/>
      <c r="CM334" s="59" t="n"/>
      <c r="CN334" s="59" t="n"/>
    </row>
    <row r="335" ht="15" customFormat="1" customHeight="1" s="3">
      <c r="A335">
        <f>IF(C335="","",ROW()-2)</f>
        <v/>
      </c>
      <c r="B335" s="852" t="n"/>
      <c r="C335" s="852" t="n"/>
      <c r="D335">
        <f>IF(C335="TOH","Type 1",IF(C335="POH","Type 2",IF(OR(C335="LTO",C335="TOH-LC",C335="TOH - LC"),"Type 3",IF(C335="Flourish","Type 4","Type 1"))))</f>
        <v/>
      </c>
      <c r="E335" s="852" t="n"/>
      <c r="F335" s="852" t="n"/>
      <c r="G335" s="852" t="n"/>
      <c r="H335" s="888" t="n"/>
      <c r="I335" s="889" t="n"/>
      <c r="J335" s="888" t="n"/>
      <c r="K335">
        <f>SUM(H335:J335)</f>
        <v/>
      </c>
      <c r="L335" s="852" t="n"/>
      <c r="M335" s="852" t="n"/>
      <c r="N335" s="852" t="n"/>
      <c r="O335" s="852" t="n"/>
      <c r="P335" s="852" t="n"/>
      <c r="Q335" s="852" t="n"/>
      <c r="R335" s="852" t="n"/>
      <c r="S335" s="852" t="n"/>
      <c r="T335" s="852" t="n"/>
      <c r="U335" s="852" t="n"/>
      <c r="V335" s="852" t="n"/>
      <c r="W335" s="852" t="n"/>
      <c r="X335" s="852" t="n"/>
      <c r="Y335" s="852" t="n"/>
      <c r="Z335" s="852" t="n"/>
      <c r="AA335" s="852" t="n"/>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c r="CL335" s="59" t="n"/>
      <c r="CM335" s="59" t="n"/>
      <c r="CN335" s="59" t="n"/>
    </row>
    <row r="336" ht="15" customFormat="1" customHeight="1" s="3">
      <c r="A336">
        <f>IF(C336="","",ROW()-2)</f>
        <v/>
      </c>
      <c r="B336" s="852" t="n"/>
      <c r="C336" s="852" t="n"/>
      <c r="D336">
        <f>IF(C336="TOH","Type 1",IF(C336="POH","Type 2",IF(OR(C336="LTO",C336="TOH-LC",C336="TOH - LC"),"Type 3",IF(C336="Flourish","Type 4","Type 1"))))</f>
        <v/>
      </c>
      <c r="E336" s="852" t="n"/>
      <c r="F336" s="852" t="n"/>
      <c r="G336" s="852" t="n"/>
      <c r="H336" s="888" t="n"/>
      <c r="I336" s="889" t="n"/>
      <c r="J336" s="888" t="n"/>
      <c r="K336">
        <f>SUM(H336:J336)</f>
        <v/>
      </c>
      <c r="L336" s="852" t="n"/>
      <c r="M336" s="852" t="n"/>
      <c r="N336" s="852" t="n"/>
      <c r="O336" s="852" t="n"/>
      <c r="P336" s="852" t="n"/>
      <c r="Q336" s="852" t="n"/>
      <c r="R336" s="852" t="n"/>
      <c r="S336" s="852" t="n"/>
      <c r="T336" s="852" t="n"/>
      <c r="U336" s="852" t="n"/>
      <c r="V336" s="852" t="n"/>
      <c r="W336" s="852" t="n"/>
      <c r="X336" s="852" t="n"/>
      <c r="Y336" s="852" t="n"/>
      <c r="Z336" s="852" t="n"/>
      <c r="AA336" s="852" t="n"/>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c r="CL336" s="59" t="n"/>
      <c r="CM336" s="59" t="n"/>
      <c r="CN336" s="59" t="n"/>
    </row>
    <row r="337" ht="15" customFormat="1" customHeight="1" s="3">
      <c r="A337">
        <f>IF(C337="","",ROW()-2)</f>
        <v/>
      </c>
      <c r="B337" s="852" t="n"/>
      <c r="C337" s="852" t="n"/>
      <c r="D337">
        <f>IF(C337="TOH","Type 1",IF(C337="POH","Type 2",IF(OR(C337="LTO",C337="TOH-LC",C337="TOH - LC"),"Type 3",IF(C337="Flourish","Type 4","Type 1"))))</f>
        <v/>
      </c>
      <c r="E337" s="852" t="n"/>
      <c r="F337" s="852" t="n"/>
      <c r="G337" s="852" t="n"/>
      <c r="H337" s="888" t="n"/>
      <c r="I337" s="889" t="n"/>
      <c r="J337" s="888" t="n"/>
      <c r="K337">
        <f>SUM(H337:J337)</f>
        <v/>
      </c>
      <c r="L337" s="852" t="n"/>
      <c r="M337" s="852" t="n"/>
      <c r="N337" s="852" t="n"/>
      <c r="O337" s="852" t="n"/>
      <c r="P337" s="852" t="n"/>
      <c r="Q337" s="852" t="n"/>
      <c r="R337" s="852" t="n"/>
      <c r="S337" s="852" t="n"/>
      <c r="T337" s="852" t="n"/>
      <c r="U337" s="852" t="n"/>
      <c r="V337" s="852" t="n"/>
      <c r="W337" s="852" t="n"/>
      <c r="X337" s="852" t="n"/>
      <c r="Y337" s="852" t="n"/>
      <c r="Z337" s="852" t="n"/>
      <c r="AA337" s="852" t="n"/>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c r="CL337" s="59" t="n"/>
      <c r="CM337" s="59" t="n"/>
      <c r="CN337" s="59" t="n"/>
    </row>
    <row r="338" ht="15" customFormat="1" customHeight="1" s="3">
      <c r="A338">
        <f>IF(C338="","",ROW()-2)</f>
        <v/>
      </c>
      <c r="B338" s="852" t="n"/>
      <c r="C338" s="852" t="n"/>
      <c r="D338">
        <f>IF(C338="TOH","Type 1",IF(C338="POH","Type 2",IF(OR(C338="LTO",C338="TOH-LC",C338="TOH - LC"),"Type 3",IF(C338="Flourish","Type 4","Type 1"))))</f>
        <v/>
      </c>
      <c r="E338" s="852" t="n"/>
      <c r="F338" s="852" t="n"/>
      <c r="G338" s="852" t="n"/>
      <c r="H338" s="888" t="n"/>
      <c r="I338" s="889" t="n"/>
      <c r="J338" s="888" t="n"/>
      <c r="K338">
        <f>SUM(H338:J338)</f>
        <v/>
      </c>
      <c r="L338" s="852" t="n"/>
      <c r="M338" s="852" t="n"/>
      <c r="N338" s="852" t="n"/>
      <c r="O338" s="852" t="n"/>
      <c r="P338" s="852" t="n"/>
      <c r="Q338" s="852" t="n"/>
      <c r="R338" s="852" t="n"/>
      <c r="S338" s="852" t="n"/>
      <c r="T338" s="852" t="n"/>
      <c r="U338" s="852" t="n"/>
      <c r="V338" s="852" t="n"/>
      <c r="W338" s="852" t="n"/>
      <c r="X338" s="852" t="n"/>
      <c r="Y338" s="852" t="n"/>
      <c r="Z338" s="852" t="n"/>
      <c r="AA338" s="852" t="n"/>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c r="CL338" s="59" t="n"/>
      <c r="CM338" s="59" t="n"/>
      <c r="CN338" s="59" t="n"/>
    </row>
    <row r="339" ht="15" customFormat="1" customHeight="1" s="3">
      <c r="A339">
        <f>IF(C339="","",ROW()-2)</f>
        <v/>
      </c>
      <c r="B339" s="852" t="n"/>
      <c r="C339" s="852" t="n"/>
      <c r="D339">
        <f>IF(C339="TOH","Type 1",IF(C339="POH","Type 2",IF(OR(C339="LTO",C339="TOH-LC",C339="TOH - LC"),"Type 3",IF(C339="Flourish","Type 4","Type 1"))))</f>
        <v/>
      </c>
      <c r="E339" s="852" t="n"/>
      <c r="F339" s="852" t="n"/>
      <c r="G339" s="852" t="n"/>
      <c r="H339" s="888" t="n"/>
      <c r="I339" s="889" t="n"/>
      <c r="J339" s="888" t="n"/>
      <c r="K339">
        <f>SUM(H339:J339)</f>
        <v/>
      </c>
      <c r="L339" s="852" t="n"/>
      <c r="M339" s="852" t="n"/>
      <c r="N339" s="852" t="n"/>
      <c r="O339" s="852" t="n"/>
      <c r="P339" s="852" t="n"/>
      <c r="Q339" s="852" t="n"/>
      <c r="R339" s="852" t="n"/>
      <c r="S339" s="852" t="n"/>
      <c r="T339" s="852" t="n"/>
      <c r="U339" s="852" t="n"/>
      <c r="V339" s="852" t="n"/>
      <c r="W339" s="852" t="n"/>
      <c r="X339" s="852" t="n"/>
      <c r="Y339" s="852" t="n"/>
      <c r="Z339" s="852" t="n"/>
      <c r="AA339" s="852" t="n"/>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c r="CL339" s="59" t="n"/>
      <c r="CM339" s="59" t="n"/>
      <c r="CN339" s="59" t="n"/>
    </row>
    <row r="340" ht="15" customFormat="1" customHeight="1" s="3">
      <c r="A340">
        <f>IF(C340="","",ROW()-2)</f>
        <v/>
      </c>
      <c r="B340" s="852" t="n"/>
      <c r="C340" s="852" t="n"/>
      <c r="D340">
        <f>IF(C340="TOH","Type 1",IF(C340="POH","Type 2",IF(OR(C340="LTO",C340="TOH-LC",C340="TOH - LC"),"Type 3",IF(C340="Flourish","Type 4","Type 1"))))</f>
        <v/>
      </c>
      <c r="E340" s="852" t="n"/>
      <c r="F340" s="852" t="n"/>
      <c r="G340" s="852" t="n"/>
      <c r="H340" s="888" t="n"/>
      <c r="I340" s="889" t="n"/>
      <c r="J340" s="888" t="n"/>
      <c r="K340">
        <f>SUM(H340:J340)</f>
        <v/>
      </c>
      <c r="L340" s="852" t="n"/>
      <c r="M340" s="852" t="n"/>
      <c r="N340" s="852" t="n"/>
      <c r="O340" s="852" t="n"/>
      <c r="P340" s="852" t="n"/>
      <c r="Q340" s="852" t="n"/>
      <c r="R340" s="852" t="n"/>
      <c r="S340" s="852" t="n"/>
      <c r="T340" s="852" t="n"/>
      <c r="U340" s="852" t="n"/>
      <c r="V340" s="852" t="n"/>
      <c r="W340" s="852" t="n"/>
      <c r="X340" s="852" t="n"/>
      <c r="Y340" s="852" t="n"/>
      <c r="Z340" s="852" t="n"/>
      <c r="AA340" s="852" t="n"/>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c r="CL340" s="59" t="n"/>
      <c r="CM340" s="59" t="n"/>
      <c r="CN340" s="59" t="n"/>
    </row>
    <row r="341" ht="15" customFormat="1" customHeight="1" s="3">
      <c r="A341">
        <f>IF(C341="","",ROW()-2)</f>
        <v/>
      </c>
      <c r="B341" s="852" t="n"/>
      <c r="C341" s="852" t="n"/>
      <c r="D341">
        <f>IF(C341="TOH","Type 1",IF(C341="POH","Type 2",IF(OR(C341="LTO",C341="TOH-LC",C341="TOH - LC"),"Type 3",IF(C341="Flourish","Type 4","Type 1"))))</f>
        <v/>
      </c>
      <c r="E341" s="852" t="n"/>
      <c r="F341" s="852" t="n"/>
      <c r="G341" s="852" t="n"/>
      <c r="H341" s="888" t="n"/>
      <c r="I341" s="889" t="n"/>
      <c r="J341" s="888" t="n"/>
      <c r="K341">
        <f>SUM(H341:J341)</f>
        <v/>
      </c>
      <c r="L341" s="852" t="n"/>
      <c r="M341" s="852" t="n"/>
      <c r="N341" s="852" t="n"/>
      <c r="O341" s="852" t="n"/>
      <c r="P341" s="852" t="n"/>
      <c r="Q341" s="852" t="n"/>
      <c r="R341" s="852" t="n"/>
      <c r="S341" s="852" t="n"/>
      <c r="T341" s="852" t="n"/>
      <c r="U341" s="852" t="n"/>
      <c r="V341" s="852" t="n"/>
      <c r="W341" s="852" t="n"/>
      <c r="X341" s="852" t="n"/>
      <c r="Y341" s="852" t="n"/>
      <c r="Z341" s="852" t="n"/>
      <c r="AA341" s="852" t="n"/>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c r="CL341" s="59" t="n"/>
      <c r="CM341" s="59" t="n"/>
      <c r="CN341" s="59" t="n"/>
    </row>
    <row r="342" ht="15" customFormat="1" customHeight="1" s="3">
      <c r="A342">
        <f>IF(C342="","",ROW()-2)</f>
        <v/>
      </c>
      <c r="B342" s="852" t="n"/>
      <c r="C342" s="852" t="n"/>
      <c r="D342">
        <f>IF(C342="TOH","Type 1",IF(C342="POH","Type 2",IF(OR(C342="LTO",C342="TOH-LC",C342="TOH - LC"),"Type 3",IF(C342="Flourish","Type 4","Type 1"))))</f>
        <v/>
      </c>
      <c r="E342" s="852" t="n"/>
      <c r="F342" s="852" t="n"/>
      <c r="G342" s="852" t="n"/>
      <c r="H342" s="888" t="n"/>
      <c r="I342" s="889" t="n"/>
      <c r="J342" s="888" t="n"/>
      <c r="K342">
        <f>SUM(H342:J342)</f>
        <v/>
      </c>
      <c r="L342" s="852" t="n"/>
      <c r="M342" s="852" t="n"/>
      <c r="N342" s="852" t="n"/>
      <c r="O342" s="852" t="n"/>
      <c r="P342" s="852" t="n"/>
      <c r="Q342" s="852" t="n"/>
      <c r="R342" s="852" t="n"/>
      <c r="S342" s="852" t="n"/>
      <c r="T342" s="852" t="n"/>
      <c r="U342" s="852" t="n"/>
      <c r="V342" s="852" t="n"/>
      <c r="W342" s="852" t="n"/>
      <c r="X342" s="852" t="n"/>
      <c r="Y342" s="852" t="n"/>
      <c r="Z342" s="852" t="n"/>
      <c r="AA342" s="852" t="n"/>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c r="CL342" s="59" t="n"/>
      <c r="CM342" s="59" t="n"/>
      <c r="CN342" s="59" t="n"/>
    </row>
    <row r="343" ht="15" customFormat="1" customHeight="1" s="3">
      <c r="A343">
        <f>IF(C343="","",ROW()-2)</f>
        <v/>
      </c>
      <c r="B343" s="852" t="n"/>
      <c r="C343" s="852" t="n"/>
      <c r="D343">
        <f>IF(C343="TOH","Type 1",IF(C343="POH","Type 2",IF(OR(C343="LTO",C343="TOH-LC",C343="TOH - LC"),"Type 3",IF(C343="Flourish","Type 4","Type 1"))))</f>
        <v/>
      </c>
      <c r="E343" s="852" t="n"/>
      <c r="F343" s="852" t="n"/>
      <c r="G343" s="852" t="n"/>
      <c r="H343" s="888" t="n"/>
      <c r="I343" s="889" t="n"/>
      <c r="J343" s="888" t="n"/>
      <c r="K343">
        <f>SUM(H343:J343)</f>
        <v/>
      </c>
      <c r="L343" s="852" t="n"/>
      <c r="M343" s="852" t="n"/>
      <c r="N343" s="852" t="n"/>
      <c r="O343" s="852" t="n"/>
      <c r="P343" s="852" t="n"/>
      <c r="Q343" s="852" t="n"/>
      <c r="R343" s="852" t="n"/>
      <c r="S343" s="852" t="n"/>
      <c r="T343" s="852" t="n"/>
      <c r="U343" s="852" t="n"/>
      <c r="V343" s="852" t="n"/>
      <c r="W343" s="852" t="n"/>
      <c r="X343" s="852" t="n"/>
      <c r="Y343" s="852" t="n"/>
      <c r="Z343" s="852" t="n"/>
      <c r="AA343" s="852" t="n"/>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c r="CL343" s="59" t="n"/>
      <c r="CM343" s="59" t="n"/>
      <c r="CN343" s="59" t="n"/>
    </row>
    <row r="344" ht="15" customFormat="1" customHeight="1" s="3">
      <c r="A344">
        <f>IF(C344="","",ROW()-2)</f>
        <v/>
      </c>
      <c r="B344" s="852" t="n"/>
      <c r="C344" s="852" t="n"/>
      <c r="D344">
        <f>IF(C344="TOH","Type 1",IF(C344="POH","Type 2",IF(OR(C344="LTO",C344="TOH-LC",C344="TOH - LC"),"Type 3",IF(C344="Flourish","Type 4","Type 1"))))</f>
        <v/>
      </c>
      <c r="E344" s="852" t="n"/>
      <c r="F344" s="852" t="n"/>
      <c r="G344" s="852" t="n"/>
      <c r="H344" s="888" t="n"/>
      <c r="I344" s="889" t="n"/>
      <c r="J344" s="888" t="n"/>
      <c r="K344">
        <f>SUM(H344:J344)</f>
        <v/>
      </c>
      <c r="L344" s="852" t="n"/>
      <c r="M344" s="852" t="n"/>
      <c r="N344" s="852" t="n"/>
      <c r="O344" s="852" t="n"/>
      <c r="P344" s="852" t="n"/>
      <c r="Q344" s="852" t="n"/>
      <c r="R344" s="852" t="n"/>
      <c r="S344" s="852" t="n"/>
      <c r="T344" s="852" t="n"/>
      <c r="U344" s="852" t="n"/>
      <c r="V344" s="852" t="n"/>
      <c r="W344" s="852" t="n"/>
      <c r="X344" s="852" t="n"/>
      <c r="Y344" s="852" t="n"/>
      <c r="Z344" s="852" t="n"/>
      <c r="AA344" s="852" t="n"/>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c r="CL344" s="59" t="n"/>
      <c r="CM344" s="59" t="n"/>
      <c r="CN344" s="59" t="n"/>
    </row>
    <row r="345" ht="15" customFormat="1" customHeight="1" s="3">
      <c r="A345">
        <f>IF(C345="","",ROW()-2)</f>
        <v/>
      </c>
      <c r="B345" s="852" t="n"/>
      <c r="C345" s="852" t="n"/>
      <c r="D345">
        <f>IF(C345="TOH","Type 1",IF(C345="POH","Type 2",IF(OR(C345="LTO",C345="TOH-LC",C345="TOH - LC"),"Type 3",IF(C345="Flourish","Type 4","Type 1"))))</f>
        <v/>
      </c>
      <c r="E345" s="852" t="n"/>
      <c r="F345" s="852" t="n"/>
      <c r="G345" s="852" t="n"/>
      <c r="H345" s="888" t="n"/>
      <c r="I345" s="889" t="n"/>
      <c r="J345" s="888" t="n"/>
      <c r="K345">
        <f>SUM(H345:J345)</f>
        <v/>
      </c>
      <c r="L345" s="852" t="n"/>
      <c r="M345" s="852" t="n"/>
      <c r="N345" s="852" t="n"/>
      <c r="O345" s="852" t="n"/>
      <c r="P345" s="852" t="n"/>
      <c r="Q345" s="852" t="n"/>
      <c r="R345" s="852" t="n"/>
      <c r="S345" s="852" t="n"/>
      <c r="T345" s="852" t="n"/>
      <c r="U345" s="852" t="n"/>
      <c r="V345" s="852" t="n"/>
      <c r="W345" s="852" t="n"/>
      <c r="X345" s="852" t="n"/>
      <c r="Y345" s="852" t="n"/>
      <c r="Z345" s="852" t="n"/>
      <c r="AA345" s="852" t="n"/>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c r="CL345" s="59" t="n"/>
      <c r="CM345" s="59" t="n"/>
      <c r="CN345" s="59" t="n"/>
    </row>
    <row r="346" ht="15" customFormat="1" customHeight="1" s="3">
      <c r="A346">
        <f>IF(C346="","",ROW()-2)</f>
        <v/>
      </c>
      <c r="B346" s="852" t="n"/>
      <c r="C346" s="852" t="n"/>
      <c r="D346">
        <f>IF(C346="TOH","Type 1",IF(C346="POH","Type 2",IF(OR(C346="LTO",C346="TOH-LC",C346="TOH - LC"),"Type 3",IF(C346="Flourish","Type 4","Type 1"))))</f>
        <v/>
      </c>
      <c r="E346" s="852" t="n"/>
      <c r="F346" s="852" t="n"/>
      <c r="G346" s="852" t="n"/>
      <c r="H346" s="888" t="n"/>
      <c r="I346" s="889" t="n"/>
      <c r="J346" s="888" t="n"/>
      <c r="K346">
        <f>SUM(H346:J346)</f>
        <v/>
      </c>
      <c r="L346" s="852" t="n"/>
      <c r="M346" s="852" t="n"/>
      <c r="N346" s="852" t="n"/>
      <c r="O346" s="852" t="n"/>
      <c r="P346" s="852" t="n"/>
      <c r="Q346" s="852" t="n"/>
      <c r="R346" s="852" t="n"/>
      <c r="S346" s="852" t="n"/>
      <c r="T346" s="852" t="n"/>
      <c r="U346" s="852" t="n"/>
      <c r="V346" s="852" t="n"/>
      <c r="W346" s="852" t="n"/>
      <c r="X346" s="852" t="n"/>
      <c r="Y346" s="852" t="n"/>
      <c r="Z346" s="852" t="n"/>
      <c r="AA346" s="852" t="n"/>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c r="CL346" s="59" t="n"/>
      <c r="CM346" s="59" t="n"/>
      <c r="CN346" s="59" t="n"/>
    </row>
    <row r="347" ht="15" customFormat="1" customHeight="1" s="3">
      <c r="A347">
        <f>IF(C347="","",ROW()-2)</f>
        <v/>
      </c>
      <c r="B347" s="852" t="n"/>
      <c r="C347" s="852" t="n"/>
      <c r="D347">
        <f>IF(C347="TOH","Type 1",IF(C347="POH","Type 2",IF(OR(C347="LTO",C347="TOH-LC",C347="TOH - LC"),"Type 3",IF(C347="Flourish","Type 4","Type 1"))))</f>
        <v/>
      </c>
      <c r="E347" s="852" t="n"/>
      <c r="F347" s="852" t="n"/>
      <c r="G347" s="852" t="n"/>
      <c r="H347" s="888" t="n"/>
      <c r="I347" s="889" t="n"/>
      <c r="J347" s="888" t="n"/>
      <c r="K347">
        <f>SUM(H347:J347)</f>
        <v/>
      </c>
      <c r="L347" s="852" t="n"/>
      <c r="M347" s="852" t="n"/>
      <c r="N347" s="852" t="n"/>
      <c r="O347" s="852" t="n"/>
      <c r="P347" s="852" t="n"/>
      <c r="Q347" s="852" t="n"/>
      <c r="R347" s="852" t="n"/>
      <c r="S347" s="852" t="n"/>
      <c r="T347" s="852" t="n"/>
      <c r="U347" s="852" t="n"/>
      <c r="V347" s="852" t="n"/>
      <c r="W347" s="852" t="n"/>
      <c r="X347" s="852" t="n"/>
      <c r="Y347" s="852" t="n"/>
      <c r="Z347" s="852" t="n"/>
      <c r="AA347" s="852" t="n"/>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c r="CL347" s="59" t="n"/>
      <c r="CM347" s="59" t="n"/>
      <c r="CN347" s="59" t="n"/>
    </row>
    <row r="348" ht="15" customFormat="1" customHeight="1" s="3">
      <c r="A348">
        <f>IF(C348="","",ROW()-2)</f>
        <v/>
      </c>
      <c r="B348" s="852" t="n"/>
      <c r="C348" s="852" t="n"/>
      <c r="D348">
        <f>IF(C348="TOH","Type 1",IF(C348="POH","Type 2",IF(OR(C348="LTO",C348="TOH-LC",C348="TOH - LC"),"Type 3",IF(C348="Flourish","Type 4","Type 1"))))</f>
        <v/>
      </c>
      <c r="E348" s="852" t="n"/>
      <c r="F348" s="852" t="n"/>
      <c r="G348" s="852" t="n"/>
      <c r="H348" s="888" t="n"/>
      <c r="I348" s="889" t="n"/>
      <c r="J348" s="888" t="n"/>
      <c r="K348">
        <f>SUM(H348:J348)</f>
        <v/>
      </c>
      <c r="L348" s="852" t="n"/>
      <c r="M348" s="852" t="n"/>
      <c r="N348" s="852" t="n"/>
      <c r="O348" s="852" t="n"/>
      <c r="P348" s="852" t="n"/>
      <c r="Q348" s="852" t="n"/>
      <c r="R348" s="852" t="n"/>
      <c r="S348" s="852" t="n"/>
      <c r="T348" s="852" t="n"/>
      <c r="U348" s="852" t="n"/>
      <c r="V348" s="852" t="n"/>
      <c r="W348" s="852" t="n"/>
      <c r="X348" s="852" t="n"/>
      <c r="Y348" s="852" t="n"/>
      <c r="Z348" s="852" t="n"/>
      <c r="AA348" s="852" t="n"/>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c r="CL348" s="59" t="n"/>
      <c r="CM348" s="59" t="n"/>
      <c r="CN348" s="59" t="n"/>
    </row>
    <row r="349" ht="15" customFormat="1" customHeight="1" s="3">
      <c r="A349">
        <f>IF(C349="","",ROW()-2)</f>
        <v/>
      </c>
      <c r="B349" s="852" t="n"/>
      <c r="C349" s="852" t="n"/>
      <c r="D349">
        <f>IF(C349="TOH","Type 1",IF(C349="POH","Type 2",IF(OR(C349="LTO",C349="TOH-LC",C349="TOH - LC"),"Type 3",IF(C349="Flourish","Type 4","Type 1"))))</f>
        <v/>
      </c>
      <c r="E349" s="852" t="n"/>
      <c r="F349" s="852" t="n"/>
      <c r="G349" s="852" t="n"/>
      <c r="H349" s="888" t="n"/>
      <c r="I349" s="889" t="n"/>
      <c r="J349" s="888" t="n"/>
      <c r="K349">
        <f>SUM(H349:J349)</f>
        <v/>
      </c>
      <c r="L349" s="852" t="n"/>
      <c r="M349" s="852" t="n"/>
      <c r="N349" s="852" t="n"/>
      <c r="O349" s="852" t="n"/>
      <c r="P349" s="852" t="n"/>
      <c r="Q349" s="852" t="n"/>
      <c r="R349" s="852" t="n"/>
      <c r="S349" s="852" t="n"/>
      <c r="T349" s="852" t="n"/>
      <c r="U349" s="852" t="n"/>
      <c r="V349" s="852" t="n"/>
      <c r="W349" s="852" t="n"/>
      <c r="X349" s="852" t="n"/>
      <c r="Y349" s="852" t="n"/>
      <c r="Z349" s="852" t="n"/>
      <c r="AA349" s="852" t="n"/>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c r="CL349" s="59" t="n"/>
      <c r="CM349" s="59" t="n"/>
      <c r="CN349" s="59" t="n"/>
    </row>
    <row r="350" ht="15" customFormat="1" customHeight="1" s="3">
      <c r="A350">
        <f>IF(C350="","",ROW()-2)</f>
        <v/>
      </c>
      <c r="B350" s="852" t="n"/>
      <c r="C350" s="852" t="n"/>
      <c r="D350">
        <f>IF(C350="TOH","Type 1",IF(C350="POH","Type 2",IF(OR(C350="LTO",C350="TOH-LC",C350="TOH - LC"),"Type 3",IF(C350="Flourish","Type 4","Type 1"))))</f>
        <v/>
      </c>
      <c r="E350" s="852" t="n"/>
      <c r="F350" s="852" t="n"/>
      <c r="G350" s="852" t="n"/>
      <c r="H350" s="888" t="n"/>
      <c r="I350" s="889" t="n"/>
      <c r="J350" s="888" t="n"/>
      <c r="K350">
        <f>SUM(H350:J350)</f>
        <v/>
      </c>
      <c r="L350" s="852" t="n"/>
      <c r="M350" s="852" t="n"/>
      <c r="N350" s="852" t="n"/>
      <c r="O350" s="852" t="n"/>
      <c r="P350" s="852" t="n"/>
      <c r="Q350" s="852" t="n"/>
      <c r="R350" s="852" t="n"/>
      <c r="S350" s="852" t="n"/>
      <c r="T350" s="852" t="n"/>
      <c r="U350" s="852" t="n"/>
      <c r="V350" s="852" t="n"/>
      <c r="W350" s="852" t="n"/>
      <c r="X350" s="852" t="n"/>
      <c r="Y350" s="852" t="n"/>
      <c r="Z350" s="852" t="n"/>
      <c r="AA350" s="852" t="n"/>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c r="CL350" s="59" t="n"/>
      <c r="CM350" s="59" t="n"/>
      <c r="CN350" s="59" t="n"/>
    </row>
    <row r="351" ht="15" customFormat="1" customHeight="1" s="3">
      <c r="A351">
        <f>IF(C351="","",ROW()-2)</f>
        <v/>
      </c>
      <c r="B351" s="852" t="n"/>
      <c r="C351" s="852" t="n"/>
      <c r="D351">
        <f>IF(C351="TOH","Type 1",IF(C351="POH","Type 2",IF(OR(C351="LTO",C351="TOH-LC",C351="TOH - LC"),"Type 3",IF(C351="Flourish","Type 4","Type 1"))))</f>
        <v/>
      </c>
      <c r="E351" s="852" t="n"/>
      <c r="F351" s="852" t="n"/>
      <c r="G351" s="852" t="n"/>
      <c r="H351" s="888" t="n"/>
      <c r="I351" s="889" t="n"/>
      <c r="J351" s="888" t="n"/>
      <c r="K351">
        <f>SUM(H351:J351)</f>
        <v/>
      </c>
      <c r="L351" s="852" t="n"/>
      <c r="M351" s="852" t="n"/>
      <c r="N351" s="852" t="n"/>
      <c r="O351" s="852" t="n"/>
      <c r="P351" s="852" t="n"/>
      <c r="Q351" s="852" t="n"/>
      <c r="R351" s="852" t="n"/>
      <c r="S351" s="852" t="n"/>
      <c r="T351" s="852" t="n"/>
      <c r="U351" s="852" t="n"/>
      <c r="V351" s="852" t="n"/>
      <c r="W351" s="852" t="n"/>
      <c r="X351" s="852" t="n"/>
      <c r="Y351" s="852" t="n"/>
      <c r="Z351" s="852" t="n"/>
      <c r="AA351" s="852" t="n"/>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c r="CL351" s="59" t="n"/>
      <c r="CM351" s="59" t="n"/>
      <c r="CN351" s="59" t="n"/>
    </row>
    <row r="352" ht="15" customFormat="1" customHeight="1" s="3">
      <c r="A352">
        <f>IF(C352="","",ROW()-2)</f>
        <v/>
      </c>
      <c r="B352" s="852" t="n"/>
      <c r="C352" s="852" t="n"/>
      <c r="D352">
        <f>IF(C352="TOH","Type 1",IF(C352="POH","Type 2",IF(OR(C352="LTO",C352="TOH-LC",C352="TOH - LC"),"Type 3",IF(C352="Flourish","Type 4","Type 1"))))</f>
        <v/>
      </c>
      <c r="E352" s="852" t="n"/>
      <c r="F352" s="852" t="n"/>
      <c r="G352" s="852" t="n"/>
      <c r="H352" s="888" t="n"/>
      <c r="I352" s="889" t="n"/>
      <c r="J352" s="888" t="n"/>
      <c r="K352">
        <f>SUM(H352:J352)</f>
        <v/>
      </c>
      <c r="L352" s="852" t="n"/>
      <c r="M352" s="852" t="n"/>
      <c r="N352" s="852" t="n"/>
      <c r="O352" s="852" t="n"/>
      <c r="P352" s="852" t="n"/>
      <c r="Q352" s="852" t="n"/>
      <c r="R352" s="852" t="n"/>
      <c r="S352" s="852" t="n"/>
      <c r="T352" s="852" t="n"/>
      <c r="U352" s="852" t="n"/>
      <c r="V352" s="852" t="n"/>
      <c r="W352" s="852" t="n"/>
      <c r="X352" s="852" t="n"/>
      <c r="Y352" s="852" t="n"/>
      <c r="Z352" s="852" t="n"/>
      <c r="AA352" s="852" t="n"/>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c r="CL352" s="59" t="n"/>
      <c r="CM352" s="59" t="n"/>
      <c r="CN352" s="59" t="n"/>
    </row>
    <row r="353" ht="15" customFormat="1" customHeight="1" s="3">
      <c r="A353">
        <f>IF(C353="","",ROW()-2)</f>
        <v/>
      </c>
      <c r="B353" s="852" t="n"/>
      <c r="C353" s="852" t="n"/>
      <c r="D353">
        <f>IF(C353="TOH","Type 1",IF(C353="POH","Type 2",IF(OR(C353="LTO",C353="TOH-LC",C353="TOH - LC"),"Type 3",IF(C353="Flourish","Type 4","Type 1"))))</f>
        <v/>
      </c>
      <c r="E353" s="852" t="n"/>
      <c r="F353" s="852" t="n"/>
      <c r="G353" s="852" t="n"/>
      <c r="H353" s="888" t="n"/>
      <c r="I353" s="889" t="n"/>
      <c r="J353" s="888" t="n"/>
      <c r="K353">
        <f>SUM(H353:J353)</f>
        <v/>
      </c>
      <c r="L353" s="852" t="n"/>
      <c r="M353" s="852" t="n"/>
      <c r="N353" s="852" t="n"/>
      <c r="O353" s="852" t="n"/>
      <c r="P353" s="852" t="n"/>
      <c r="Q353" s="852" t="n"/>
      <c r="R353" s="852" t="n"/>
      <c r="S353" s="852" t="n"/>
      <c r="T353" s="852" t="n"/>
      <c r="U353" s="852" t="n"/>
      <c r="V353" s="852" t="n"/>
      <c r="W353" s="852" t="n"/>
      <c r="X353" s="852" t="n"/>
      <c r="Y353" s="852" t="n"/>
      <c r="Z353" s="852" t="n"/>
      <c r="AA353" s="852" t="n"/>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c r="CL353" s="59" t="n"/>
      <c r="CM353" s="59" t="n"/>
      <c r="CN353" s="59" t="n"/>
    </row>
    <row r="354" ht="15" customFormat="1" customHeight="1" s="3">
      <c r="A354">
        <f>IF(C354="","",ROW()-2)</f>
        <v/>
      </c>
      <c r="B354" s="852" t="n"/>
      <c r="C354" s="852" t="n"/>
      <c r="D354">
        <f>IF(C354="TOH","Type 1",IF(C354="POH","Type 2",IF(OR(C354="LTO",C354="TOH-LC",C354="TOH - LC"),"Type 3",IF(C354="Flourish","Type 4","Type 1"))))</f>
        <v/>
      </c>
      <c r="E354" s="852" t="n"/>
      <c r="F354" s="852" t="n"/>
      <c r="G354" s="852" t="n"/>
      <c r="H354" s="888" t="n"/>
      <c r="I354" s="889" t="n"/>
      <c r="J354" s="888" t="n"/>
      <c r="K354">
        <f>SUM(H354:J354)</f>
        <v/>
      </c>
      <c r="L354" s="852" t="n"/>
      <c r="M354" s="852" t="n"/>
      <c r="N354" s="852" t="n"/>
      <c r="O354" s="852" t="n"/>
      <c r="P354" s="852" t="n"/>
      <c r="Q354" s="852" t="n"/>
      <c r="R354" s="852" t="n"/>
      <c r="S354" s="852" t="n"/>
      <c r="T354" s="852" t="n"/>
      <c r="U354" s="852" t="n"/>
      <c r="V354" s="852" t="n"/>
      <c r="W354" s="852" t="n"/>
      <c r="X354" s="852" t="n"/>
      <c r="Y354" s="852" t="n"/>
      <c r="Z354" s="852" t="n"/>
      <c r="AA354" s="852" t="n"/>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c r="CL354" s="59" t="n"/>
      <c r="CM354" s="59" t="n"/>
      <c r="CN354" s="59" t="n"/>
    </row>
    <row r="355" ht="15" customFormat="1" customHeight="1" s="3">
      <c r="A355">
        <f>IF(C355="","",ROW()-2)</f>
        <v/>
      </c>
      <c r="B355" s="852" t="n"/>
      <c r="C355" s="852" t="n"/>
      <c r="D355">
        <f>IF(C355="TOH","Type 1",IF(C355="POH","Type 2",IF(OR(C355="LTO",C355="TOH-LC",C355="TOH - LC"),"Type 3",IF(C355="Flourish","Type 4","Type 1"))))</f>
        <v/>
      </c>
      <c r="E355" s="852" t="n"/>
      <c r="F355" s="852" t="n"/>
      <c r="G355" s="852" t="n"/>
      <c r="H355" s="888" t="n"/>
      <c r="I355" s="889" t="n"/>
      <c r="J355" s="888" t="n"/>
      <c r="K355">
        <f>SUM(H355:J355)</f>
        <v/>
      </c>
      <c r="L355" s="852" t="n"/>
      <c r="M355" s="852" t="n"/>
      <c r="N355" s="852" t="n"/>
      <c r="O355" s="852" t="n"/>
      <c r="P355" s="852" t="n"/>
      <c r="Q355" s="852" t="n"/>
      <c r="R355" s="852" t="n"/>
      <c r="S355" s="852" t="n"/>
      <c r="T355" s="852" t="n"/>
      <c r="U355" s="852" t="n"/>
      <c r="V355" s="852" t="n"/>
      <c r="W355" s="852" t="n"/>
      <c r="X355" s="852" t="n"/>
      <c r="Y355" s="852" t="n"/>
      <c r="Z355" s="852" t="n"/>
      <c r="AA355" s="852" t="n"/>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c r="CL355" s="59" t="n"/>
      <c r="CM355" s="59" t="n"/>
      <c r="CN355" s="59" t="n"/>
    </row>
    <row r="356" ht="15" customFormat="1" customHeight="1" s="3">
      <c r="A356">
        <f>IF(C356="","",ROW()-2)</f>
        <v/>
      </c>
      <c r="B356" s="852" t="n"/>
      <c r="C356" s="852" t="n"/>
      <c r="D356">
        <f>IF(C356="TOH","Type 1",IF(C356="POH","Type 2",IF(OR(C356="LTO",C356="TOH-LC",C356="TOH - LC"),"Type 3",IF(C356="Flourish","Type 4","Type 1"))))</f>
        <v/>
      </c>
      <c r="E356" s="852" t="n"/>
      <c r="F356" s="852" t="n"/>
      <c r="G356" s="852" t="n"/>
      <c r="H356" s="888" t="n"/>
      <c r="I356" s="889" t="n"/>
      <c r="J356" s="888" t="n"/>
      <c r="K356">
        <f>SUM(H356:J356)</f>
        <v/>
      </c>
      <c r="L356" s="852" t="n"/>
      <c r="M356" s="852" t="n"/>
      <c r="N356" s="852" t="n"/>
      <c r="O356" s="852" t="n"/>
      <c r="P356" s="852" t="n"/>
      <c r="Q356" s="852" t="n"/>
      <c r="R356" s="852" t="n"/>
      <c r="S356" s="852" t="n"/>
      <c r="T356" s="852" t="n"/>
      <c r="U356" s="852" t="n"/>
      <c r="V356" s="852" t="n"/>
      <c r="W356" s="852" t="n"/>
      <c r="X356" s="852" t="n"/>
      <c r="Y356" s="852" t="n"/>
      <c r="Z356" s="852" t="n"/>
      <c r="AA356" s="852" t="n"/>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c r="CL356" s="59" t="n"/>
      <c r="CM356" s="59" t="n"/>
      <c r="CN356" s="59" t="n"/>
    </row>
    <row r="357" ht="15" customFormat="1" customHeight="1" s="3">
      <c r="A357">
        <f>IF(C357="","",ROW()-2)</f>
        <v/>
      </c>
      <c r="B357" s="852" t="n"/>
      <c r="C357" s="852" t="n"/>
      <c r="D357">
        <f>IF(C357="TOH","Type 1",IF(C357="POH","Type 2",IF(OR(C357="LTO",C357="TOH-LC",C357="TOH - LC"),"Type 3",IF(C357="Flourish","Type 4","Type 1"))))</f>
        <v/>
      </c>
      <c r="E357" s="852" t="n"/>
      <c r="F357" s="852" t="n"/>
      <c r="G357" s="852" t="n"/>
      <c r="H357" s="888" t="n"/>
      <c r="I357" s="889" t="n"/>
      <c r="J357" s="888" t="n"/>
      <c r="K357">
        <f>SUM(H357:J357)</f>
        <v/>
      </c>
      <c r="L357" s="852" t="n"/>
      <c r="M357" s="852" t="n"/>
      <c r="N357" s="852" t="n"/>
      <c r="O357" s="852" t="n"/>
      <c r="P357" s="852" t="n"/>
      <c r="Q357" s="852" t="n"/>
      <c r="R357" s="852" t="n"/>
      <c r="S357" s="852" t="n"/>
      <c r="T357" s="852" t="n"/>
      <c r="U357" s="852" t="n"/>
      <c r="V357" s="852" t="n"/>
      <c r="W357" s="852" t="n"/>
      <c r="X357" s="852" t="n"/>
      <c r="Y357" s="852" t="n"/>
      <c r="Z357" s="852" t="n"/>
      <c r="AA357" s="852" t="n"/>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c r="CL357" s="59" t="n"/>
      <c r="CM357" s="59" t="n"/>
      <c r="CN357" s="59" t="n"/>
    </row>
    <row r="358" ht="15" customFormat="1" customHeight="1" s="3">
      <c r="A358">
        <f>IF(C358="","",ROW()-2)</f>
        <v/>
      </c>
      <c r="B358" s="852" t="n"/>
      <c r="C358" s="852" t="n"/>
      <c r="D358">
        <f>IF(C358="TOH","Type 1",IF(C358="POH","Type 2",IF(OR(C358="LTO",C358="TOH-LC",C358="TOH - LC"),"Type 3",IF(C358="Flourish","Type 4","Type 1"))))</f>
        <v/>
      </c>
      <c r="E358" s="852" t="n"/>
      <c r="F358" s="852" t="n"/>
      <c r="G358" s="852" t="n"/>
      <c r="H358" s="888" t="n"/>
      <c r="I358" s="889" t="n"/>
      <c r="J358" s="888" t="n"/>
      <c r="K358">
        <f>SUM(H358:J358)</f>
        <v/>
      </c>
      <c r="L358" s="852" t="n"/>
      <c r="M358" s="852" t="n"/>
      <c r="N358" s="852" t="n"/>
      <c r="O358" s="852" t="n"/>
      <c r="P358" s="852" t="n"/>
      <c r="Q358" s="852" t="n"/>
      <c r="R358" s="852" t="n"/>
      <c r="S358" s="852" t="n"/>
      <c r="T358" s="852" t="n"/>
      <c r="U358" s="852" t="n"/>
      <c r="V358" s="852" t="n"/>
      <c r="W358" s="852" t="n"/>
      <c r="X358" s="852" t="n"/>
      <c r="Y358" s="852" t="n"/>
      <c r="Z358" s="852" t="n"/>
      <c r="AA358" s="852" t="n"/>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c r="CL358" s="59" t="n"/>
      <c r="CM358" s="59" t="n"/>
      <c r="CN358" s="59" t="n"/>
    </row>
    <row r="359" ht="15" customFormat="1" customHeight="1" s="3">
      <c r="A359">
        <f>IF(C359="","",ROW()-2)</f>
        <v/>
      </c>
      <c r="B359" s="852" t="n"/>
      <c r="C359" s="852" t="n"/>
      <c r="D359">
        <f>IF(C359="TOH","Type 1",IF(C359="POH","Type 2",IF(OR(C359="LTO",C359="TOH-LC",C359="TOH - LC"),"Type 3",IF(C359="Flourish","Type 4","Type 1"))))</f>
        <v/>
      </c>
      <c r="E359" s="852" t="n"/>
      <c r="F359" s="852" t="n"/>
      <c r="G359" s="852" t="n"/>
      <c r="H359" s="888" t="n"/>
      <c r="I359" s="889" t="n"/>
      <c r="J359" s="888" t="n"/>
      <c r="K359">
        <f>SUM(H359:J359)</f>
        <v/>
      </c>
      <c r="L359" s="852" t="n"/>
      <c r="M359" s="852" t="n"/>
      <c r="N359" s="852" t="n"/>
      <c r="O359" s="852" t="n"/>
      <c r="P359" s="852" t="n"/>
      <c r="Q359" s="852" t="n"/>
      <c r="R359" s="852" t="n"/>
      <c r="S359" s="852" t="n"/>
      <c r="T359" s="852" t="n"/>
      <c r="U359" s="852" t="n"/>
      <c r="V359" s="852" t="n"/>
      <c r="W359" s="852" t="n"/>
      <c r="X359" s="852" t="n"/>
      <c r="Y359" s="852" t="n"/>
      <c r="Z359" s="852" t="n"/>
      <c r="AA359" s="852" t="n"/>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c r="CL359" s="59" t="n"/>
      <c r="CM359" s="59" t="n"/>
      <c r="CN359" s="59" t="n"/>
    </row>
    <row r="360" ht="15" customFormat="1" customHeight="1" s="3">
      <c r="A360">
        <f>IF(C360="","",ROW()-2)</f>
        <v/>
      </c>
      <c r="B360" s="852" t="n"/>
      <c r="C360" s="852" t="n"/>
      <c r="D360">
        <f>IF(C360="TOH","Type 1",IF(C360="POH","Type 2",IF(OR(C360="LTO",C360="TOH-LC",C360="TOH - LC"),"Type 3",IF(C360="Flourish","Type 4","Type 1"))))</f>
        <v/>
      </c>
      <c r="E360" s="852" t="n"/>
      <c r="F360" s="852" t="n"/>
      <c r="G360" s="852" t="n"/>
      <c r="H360" s="888" t="n"/>
      <c r="I360" s="889" t="n"/>
      <c r="J360" s="888" t="n"/>
      <c r="K360">
        <f>SUM(H360:J360)</f>
        <v/>
      </c>
      <c r="L360" s="852" t="n"/>
      <c r="M360" s="852" t="n"/>
      <c r="N360" s="852" t="n"/>
      <c r="O360" s="852" t="n"/>
      <c r="P360" s="852" t="n"/>
      <c r="Q360" s="852" t="n"/>
      <c r="R360" s="852" t="n"/>
      <c r="S360" s="852" t="n"/>
      <c r="T360" s="852" t="n"/>
      <c r="U360" s="852" t="n"/>
      <c r="V360" s="852" t="n"/>
      <c r="W360" s="852" t="n"/>
      <c r="X360" s="852" t="n"/>
      <c r="Y360" s="852" t="n"/>
      <c r="Z360" s="852" t="n"/>
      <c r="AA360" s="852" t="n"/>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c r="CL360" s="59" t="n"/>
      <c r="CM360" s="59" t="n"/>
      <c r="CN360" s="59" t="n"/>
    </row>
    <row r="361" ht="15" customFormat="1" customHeight="1" s="3">
      <c r="A361">
        <f>IF(C361="","",ROW()-2)</f>
        <v/>
      </c>
      <c r="B361" s="852" t="n"/>
      <c r="C361" s="852" t="n"/>
      <c r="D361">
        <f>IF(C361="TOH","Type 1",IF(C361="POH","Type 2",IF(OR(C361="LTO",C361="TOH-LC",C361="TOH - LC"),"Type 3",IF(C361="Flourish","Type 4","Type 1"))))</f>
        <v/>
      </c>
      <c r="E361" s="852" t="n"/>
      <c r="F361" s="852" t="n"/>
      <c r="G361" s="852" t="n"/>
      <c r="H361" s="888" t="n"/>
      <c r="I361" s="889" t="n"/>
      <c r="J361" s="888" t="n"/>
      <c r="K361">
        <f>SUM(H361:J361)</f>
        <v/>
      </c>
      <c r="L361" s="852" t="n"/>
      <c r="M361" s="852" t="n"/>
      <c r="N361" s="852" t="n"/>
      <c r="O361" s="852" t="n"/>
      <c r="P361" s="852" t="n"/>
      <c r="Q361" s="852" t="n"/>
      <c r="R361" s="852" t="n"/>
      <c r="S361" s="852" t="n"/>
      <c r="T361" s="852" t="n"/>
      <c r="U361" s="852" t="n"/>
      <c r="V361" s="852" t="n"/>
      <c r="W361" s="852" t="n"/>
      <c r="X361" s="852" t="n"/>
      <c r="Y361" s="852" t="n"/>
      <c r="Z361" s="852" t="n"/>
      <c r="AA361" s="852" t="n"/>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c r="CL361" s="59" t="n"/>
      <c r="CM361" s="59" t="n"/>
      <c r="CN361" s="59" t="n"/>
    </row>
    <row r="362" ht="15" customFormat="1" customHeight="1" s="3">
      <c r="A362">
        <f>IF(C362="","",ROW()-2)</f>
        <v/>
      </c>
      <c r="B362" s="852" t="n"/>
      <c r="C362" s="852" t="n"/>
      <c r="D362">
        <f>IF(C362="TOH","Type 1",IF(C362="POH","Type 2",IF(OR(C362="LTO",C362="TOH-LC",C362="TOH - LC"),"Type 3",IF(C362="Flourish","Type 4","Type 1"))))</f>
        <v/>
      </c>
      <c r="E362" s="852" t="n"/>
      <c r="F362" s="852" t="n"/>
      <c r="G362" s="852" t="n"/>
      <c r="H362" s="888" t="n"/>
      <c r="I362" s="889" t="n"/>
      <c r="J362" s="888" t="n"/>
      <c r="K362">
        <f>SUM(H362:J362)</f>
        <v/>
      </c>
      <c r="L362" s="852" t="n"/>
      <c r="M362" s="852" t="n"/>
      <c r="N362" s="852" t="n"/>
      <c r="O362" s="852" t="n"/>
      <c r="P362" s="852" t="n"/>
      <c r="Q362" s="852" t="n"/>
      <c r="R362" s="852" t="n"/>
      <c r="S362" s="852" t="n"/>
      <c r="T362" s="852" t="n"/>
      <c r="U362" s="852" t="n"/>
      <c r="V362" s="852" t="n"/>
      <c r="W362" s="852" t="n"/>
      <c r="X362" s="852" t="n"/>
      <c r="Y362" s="852" t="n"/>
      <c r="Z362" s="852" t="n"/>
      <c r="AA362" s="852" t="n"/>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c r="CL362" s="59" t="n"/>
      <c r="CM362" s="59" t="n"/>
      <c r="CN362" s="59" t="n"/>
    </row>
    <row r="363" ht="15" customFormat="1" customHeight="1" s="3">
      <c r="A363">
        <f>IF(C363="","",ROW()-2)</f>
        <v/>
      </c>
      <c r="B363" s="852" t="n"/>
      <c r="C363" s="852" t="n"/>
      <c r="D363">
        <f>IF(C363="TOH","Type 1",IF(C363="POH","Type 2",IF(OR(C363="LTO",C363="TOH-LC",C363="TOH - LC"),"Type 3",IF(C363="Flourish","Type 4","Type 1"))))</f>
        <v/>
      </c>
      <c r="E363" s="852" t="n"/>
      <c r="F363" s="852" t="n"/>
      <c r="G363" s="852" t="n"/>
      <c r="H363" s="888" t="n"/>
      <c r="I363" s="889" t="n"/>
      <c r="J363" s="888" t="n"/>
      <c r="K363">
        <f>SUM(H363:J363)</f>
        <v/>
      </c>
      <c r="L363" s="852" t="n"/>
      <c r="M363" s="852" t="n"/>
      <c r="N363" s="852" t="n"/>
      <c r="O363" s="852" t="n"/>
      <c r="P363" s="852" t="n"/>
      <c r="Q363" s="852" t="n"/>
      <c r="R363" s="852" t="n"/>
      <c r="S363" s="852" t="n"/>
      <c r="T363" s="852" t="n"/>
      <c r="U363" s="852" t="n"/>
      <c r="V363" s="852" t="n"/>
      <c r="W363" s="852" t="n"/>
      <c r="X363" s="852" t="n"/>
      <c r="Y363" s="852" t="n"/>
      <c r="Z363" s="852" t="n"/>
      <c r="AA363" s="852" t="n"/>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c r="CL363" s="59" t="n"/>
      <c r="CM363" s="59" t="n"/>
      <c r="CN363" s="59" t="n"/>
    </row>
    <row r="364" ht="15" customFormat="1" customHeight="1" s="3">
      <c r="A364">
        <f>IF(C364="","",ROW()-2)</f>
        <v/>
      </c>
      <c r="B364" s="852" t="n"/>
      <c r="C364" s="852" t="n"/>
      <c r="D364">
        <f>IF(C364="TOH","Type 1",IF(C364="POH","Type 2",IF(OR(C364="LTO",C364="TOH-LC",C364="TOH - LC"),"Type 3",IF(C364="Flourish","Type 4","Type 1"))))</f>
        <v/>
      </c>
      <c r="E364" s="852" t="n"/>
      <c r="F364" s="852" t="n"/>
      <c r="G364" s="852" t="n"/>
      <c r="H364" s="888" t="n"/>
      <c r="I364" s="889" t="n"/>
      <c r="J364" s="888" t="n"/>
      <c r="K364">
        <f>SUM(H364:J364)</f>
        <v/>
      </c>
      <c r="L364" s="852" t="n"/>
      <c r="M364" s="852" t="n"/>
      <c r="N364" s="852" t="n"/>
      <c r="O364" s="852" t="n"/>
      <c r="P364" s="852" t="n"/>
      <c r="Q364" s="852" t="n"/>
      <c r="R364" s="852" t="n"/>
      <c r="S364" s="852" t="n"/>
      <c r="T364" s="852" t="n"/>
      <c r="U364" s="852" t="n"/>
      <c r="V364" s="852" t="n"/>
      <c r="W364" s="852" t="n"/>
      <c r="X364" s="852" t="n"/>
      <c r="Y364" s="852" t="n"/>
      <c r="Z364" s="852" t="n"/>
      <c r="AA364" s="852" t="n"/>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c r="CL364" s="59" t="n"/>
      <c r="CM364" s="59" t="n"/>
      <c r="CN364" s="59" t="n"/>
    </row>
    <row r="365" ht="15" customFormat="1" customHeight="1" s="3">
      <c r="A365">
        <f>IF(C365="","",ROW()-2)</f>
        <v/>
      </c>
      <c r="B365" s="852" t="n"/>
      <c r="C365" s="852" t="n"/>
      <c r="D365">
        <f>IF(C365="TOH","Type 1",IF(C365="POH","Type 2",IF(OR(C365="LTO",C365="TOH-LC",C365="TOH - LC"),"Type 3",IF(C365="Flourish","Type 4","Type 1"))))</f>
        <v/>
      </c>
      <c r="E365" s="852" t="n"/>
      <c r="F365" s="852" t="n"/>
      <c r="G365" s="852" t="n"/>
      <c r="H365" s="888" t="n"/>
      <c r="I365" s="889" t="n"/>
      <c r="J365" s="888" t="n"/>
      <c r="K365">
        <f>SUM(H365:J365)</f>
        <v/>
      </c>
      <c r="L365" s="852" t="n"/>
      <c r="M365" s="852" t="n"/>
      <c r="N365" s="852" t="n"/>
      <c r="O365" s="852" t="n"/>
      <c r="P365" s="852" t="n"/>
      <c r="Q365" s="852" t="n"/>
      <c r="R365" s="852" t="n"/>
      <c r="S365" s="852" t="n"/>
      <c r="T365" s="852" t="n"/>
      <c r="U365" s="852" t="n"/>
      <c r="V365" s="852" t="n"/>
      <c r="W365" s="852" t="n"/>
      <c r="X365" s="852" t="n"/>
      <c r="Y365" s="852" t="n"/>
      <c r="Z365" s="852" t="n"/>
      <c r="AA365" s="852" t="n"/>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c r="CL365" s="59" t="n"/>
      <c r="CM365" s="59" t="n"/>
      <c r="CN365" s="59" t="n"/>
    </row>
    <row r="366" ht="15" customFormat="1" customHeight="1" s="3">
      <c r="A366">
        <f>IF(C366="","",ROW()-2)</f>
        <v/>
      </c>
      <c r="B366" s="852" t="n"/>
      <c r="C366" s="852" t="n"/>
      <c r="D366">
        <f>IF(C366="TOH","Type 1",IF(C366="POH","Type 2",IF(OR(C366="LTO",C366="TOH-LC",C366="TOH - LC"),"Type 3",IF(C366="Flourish","Type 4","Type 1"))))</f>
        <v/>
      </c>
      <c r="E366" s="852" t="n"/>
      <c r="F366" s="852" t="n"/>
      <c r="G366" s="852" t="n"/>
      <c r="H366" s="888" t="n"/>
      <c r="I366" s="889" t="n"/>
      <c r="J366" s="888" t="n"/>
      <c r="K366">
        <f>SUM(H366:J366)</f>
        <v/>
      </c>
      <c r="L366" s="852" t="n"/>
      <c r="M366" s="852" t="n"/>
      <c r="N366" s="852" t="n"/>
      <c r="O366" s="852" t="n"/>
      <c r="P366" s="852" t="n"/>
      <c r="Q366" s="852" t="n"/>
      <c r="R366" s="852" t="n"/>
      <c r="S366" s="852" t="n"/>
      <c r="T366" s="852" t="n"/>
      <c r="U366" s="852" t="n"/>
      <c r="V366" s="852" t="n"/>
      <c r="W366" s="852" t="n"/>
      <c r="X366" s="852" t="n"/>
      <c r="Y366" s="852" t="n"/>
      <c r="Z366" s="852" t="n"/>
      <c r="AA366" s="852" t="n"/>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c r="CL366" s="59" t="n"/>
      <c r="CM366" s="59" t="n"/>
      <c r="CN366" s="59" t="n"/>
    </row>
    <row r="367" ht="15" customFormat="1" customHeight="1" s="3">
      <c r="A367">
        <f>IF(C367="","",ROW()-2)</f>
        <v/>
      </c>
      <c r="B367" s="852" t="n"/>
      <c r="C367" s="852" t="n"/>
      <c r="D367">
        <f>IF(C367="TOH","Type 1",IF(C367="POH","Type 2",IF(OR(C367="LTO",C367="TOH-LC",C367="TOH - LC"),"Type 3",IF(C367="Flourish","Type 4","Type 1"))))</f>
        <v/>
      </c>
      <c r="E367" s="852" t="n"/>
      <c r="F367" s="852" t="n"/>
      <c r="G367" s="852" t="n"/>
      <c r="H367" s="888" t="n"/>
      <c r="I367" s="889" t="n"/>
      <c r="J367" s="888" t="n"/>
      <c r="K367">
        <f>SUM(H367:J367)</f>
        <v/>
      </c>
      <c r="L367" s="852" t="n"/>
      <c r="M367" s="852" t="n"/>
      <c r="N367" s="852" t="n"/>
      <c r="O367" s="852" t="n"/>
      <c r="P367" s="852" t="n"/>
      <c r="Q367" s="852" t="n"/>
      <c r="R367" s="852" t="n"/>
      <c r="S367" s="852" t="n"/>
      <c r="T367" s="852" t="n"/>
      <c r="U367" s="852" t="n"/>
      <c r="V367" s="852" t="n"/>
      <c r="W367" s="852" t="n"/>
      <c r="X367" s="852" t="n"/>
      <c r="Y367" s="852" t="n"/>
      <c r="Z367" s="852" t="n"/>
      <c r="AA367" s="852" t="n"/>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c r="CL367" s="59" t="n"/>
      <c r="CM367" s="59" t="n"/>
      <c r="CN367" s="59" t="n"/>
    </row>
    <row r="368" ht="15" customFormat="1" customHeight="1" s="3">
      <c r="A368">
        <f>IF(C368="","",ROW()-2)</f>
        <v/>
      </c>
      <c r="B368" s="852" t="n"/>
      <c r="C368" s="852" t="n"/>
      <c r="D368">
        <f>IF(C368="TOH","Type 1",IF(C368="POH","Type 2",IF(OR(C368="LTO",C368="TOH-LC",C368="TOH - LC"),"Type 3",IF(C368="Flourish","Type 4","Type 1"))))</f>
        <v/>
      </c>
      <c r="E368" s="852" t="n"/>
      <c r="F368" s="852" t="n"/>
      <c r="G368" s="852" t="n"/>
      <c r="H368" s="888" t="n"/>
      <c r="I368" s="889" t="n"/>
      <c r="J368" s="888" t="n"/>
      <c r="K368">
        <f>SUM(H368:J368)</f>
        <v/>
      </c>
      <c r="L368" s="852" t="n"/>
      <c r="M368" s="852" t="n"/>
      <c r="N368" s="852" t="n"/>
      <c r="O368" s="852" t="n"/>
      <c r="P368" s="852" t="n"/>
      <c r="Q368" s="852" t="n"/>
      <c r="R368" s="852" t="n"/>
      <c r="S368" s="852" t="n"/>
      <c r="T368" s="852" t="n"/>
      <c r="U368" s="852" t="n"/>
      <c r="V368" s="852" t="n"/>
      <c r="W368" s="852" t="n"/>
      <c r="X368" s="852" t="n"/>
      <c r="Y368" s="852" t="n"/>
      <c r="Z368" s="852" t="n"/>
      <c r="AA368" s="852" t="n"/>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c r="CL368" s="59" t="n"/>
      <c r="CM368" s="59" t="n"/>
      <c r="CN368" s="59" t="n"/>
    </row>
    <row r="369" ht="15" customFormat="1" customHeight="1" s="3">
      <c r="A369">
        <f>IF(C369="","",ROW()-2)</f>
        <v/>
      </c>
      <c r="B369" s="852" t="n"/>
      <c r="C369" s="852" t="n"/>
      <c r="D369">
        <f>IF(C369="TOH","Type 1",IF(C369="POH","Type 2",IF(OR(C369="LTO",C369="TOH-LC",C369="TOH - LC"),"Type 3",IF(C369="Flourish","Type 4","Type 1"))))</f>
        <v/>
      </c>
      <c r="E369" s="852" t="n"/>
      <c r="F369" s="852" t="n"/>
      <c r="G369" s="852" t="n"/>
      <c r="H369" s="888" t="n"/>
      <c r="I369" s="889" t="n"/>
      <c r="J369" s="888" t="n"/>
      <c r="K369">
        <f>SUM(H369:J369)</f>
        <v/>
      </c>
      <c r="L369" s="852" t="n"/>
      <c r="M369" s="852" t="n"/>
      <c r="N369" s="852" t="n"/>
      <c r="O369" s="852" t="n"/>
      <c r="P369" s="852" t="n"/>
      <c r="Q369" s="852" t="n"/>
      <c r="R369" s="852" t="n"/>
      <c r="S369" s="852" t="n"/>
      <c r="T369" s="852" t="n"/>
      <c r="U369" s="852" t="n"/>
      <c r="V369" s="852" t="n"/>
      <c r="W369" s="852" t="n"/>
      <c r="X369" s="852" t="n"/>
      <c r="Y369" s="852" t="n"/>
      <c r="Z369" s="852" t="n"/>
      <c r="AA369" s="852" t="n"/>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c r="CL369" s="59" t="n"/>
      <c r="CM369" s="59" t="n"/>
      <c r="CN369" s="59" t="n"/>
    </row>
    <row r="370" ht="15" customFormat="1" customHeight="1" s="3">
      <c r="A370">
        <f>IF(C370="","",ROW()-2)</f>
        <v/>
      </c>
      <c r="B370" s="852" t="n"/>
      <c r="C370" s="852" t="n"/>
      <c r="D370">
        <f>IF(C370="TOH","Type 1",IF(C370="POH","Type 2",IF(OR(C370="LTO",C370="TOH-LC",C370="TOH - LC"),"Type 3",IF(C370="Flourish","Type 4","Type 1"))))</f>
        <v/>
      </c>
      <c r="E370" s="852" t="n"/>
      <c r="F370" s="852" t="n"/>
      <c r="G370" s="852" t="n"/>
      <c r="H370" s="888" t="n"/>
      <c r="I370" s="889" t="n"/>
      <c r="J370" s="888" t="n"/>
      <c r="K370">
        <f>SUM(H370:J370)</f>
        <v/>
      </c>
      <c r="L370" s="852" t="n"/>
      <c r="M370" s="852" t="n"/>
      <c r="N370" s="852" t="n"/>
      <c r="O370" s="852" t="n"/>
      <c r="P370" s="852" t="n"/>
      <c r="Q370" s="852" t="n"/>
      <c r="R370" s="852" t="n"/>
      <c r="S370" s="852" t="n"/>
      <c r="T370" s="852" t="n"/>
      <c r="U370" s="852" t="n"/>
      <c r="V370" s="852" t="n"/>
      <c r="W370" s="852" t="n"/>
      <c r="X370" s="852" t="n"/>
      <c r="Y370" s="852" t="n"/>
      <c r="Z370" s="852" t="n"/>
      <c r="AA370" s="852" t="n"/>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c r="CL370" s="59" t="n"/>
      <c r="CM370" s="59" t="n"/>
      <c r="CN370" s="59" t="n"/>
    </row>
    <row r="371" ht="15" customFormat="1" customHeight="1" s="3">
      <c r="A371">
        <f>IF(C371="","",ROW()-2)</f>
        <v/>
      </c>
      <c r="B371" s="852" t="n"/>
      <c r="C371" s="852" t="n"/>
      <c r="D371">
        <f>IF(C371="TOH","Type 1",IF(C371="POH","Type 2",IF(OR(C371="LTO",C371="TOH-LC",C371="TOH - LC"),"Type 3",IF(C371="Flourish","Type 4","Type 1"))))</f>
        <v/>
      </c>
      <c r="E371" s="852" t="n"/>
      <c r="F371" s="852" t="n"/>
      <c r="G371" s="852" t="n"/>
      <c r="H371" s="888" t="n"/>
      <c r="I371" s="889" t="n"/>
      <c r="J371" s="888" t="n"/>
      <c r="K371">
        <f>SUM(H371:J371)</f>
        <v/>
      </c>
      <c r="L371" s="852" t="n"/>
      <c r="M371" s="852" t="n"/>
      <c r="N371" s="852" t="n"/>
      <c r="O371" s="852" t="n"/>
      <c r="P371" s="852" t="n"/>
      <c r="Q371" s="852" t="n"/>
      <c r="R371" s="852" t="n"/>
      <c r="S371" s="852" t="n"/>
      <c r="T371" s="852" t="n"/>
      <c r="U371" s="852" t="n"/>
      <c r="V371" s="852" t="n"/>
      <c r="W371" s="852" t="n"/>
      <c r="X371" s="852" t="n"/>
      <c r="Y371" s="852" t="n"/>
      <c r="Z371" s="852" t="n"/>
      <c r="AA371" s="852" t="n"/>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c r="CL371" s="59" t="n"/>
      <c r="CM371" s="59" t="n"/>
      <c r="CN371" s="59" t="n"/>
    </row>
    <row r="372" ht="15" customFormat="1" customHeight="1" s="3">
      <c r="A372">
        <f>IF(C372="","",ROW()-2)</f>
        <v/>
      </c>
      <c r="B372" s="852" t="n"/>
      <c r="C372" s="852" t="n"/>
      <c r="D372">
        <f>IF(C372="TOH","Type 1",IF(C372="POH","Type 2",IF(OR(C372="LTO",C372="TOH-LC",C372="TOH - LC"),"Type 3",IF(C372="Flourish","Type 4","Type 1"))))</f>
        <v/>
      </c>
      <c r="E372" s="852" t="n"/>
      <c r="F372" s="852" t="n"/>
      <c r="G372" s="852" t="n"/>
      <c r="H372" s="888" t="n"/>
      <c r="I372" s="889" t="n"/>
      <c r="J372" s="888" t="n"/>
      <c r="K372">
        <f>SUM(H372:J372)</f>
        <v/>
      </c>
      <c r="L372" s="852" t="n"/>
      <c r="M372" s="852" t="n"/>
      <c r="N372" s="852" t="n"/>
      <c r="O372" s="852" t="n"/>
      <c r="P372" s="852" t="n"/>
      <c r="Q372" s="852" t="n"/>
      <c r="R372" s="852" t="n"/>
      <c r="S372" s="852" t="n"/>
      <c r="T372" s="852" t="n"/>
      <c r="U372" s="852" t="n"/>
      <c r="V372" s="852" t="n"/>
      <c r="W372" s="852" t="n"/>
      <c r="X372" s="852" t="n"/>
      <c r="Y372" s="852" t="n"/>
      <c r="Z372" s="852" t="n"/>
      <c r="AA372" s="852" t="n"/>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c r="CL372" s="59" t="n"/>
      <c r="CM372" s="59" t="n"/>
      <c r="CN372" s="59" t="n"/>
    </row>
    <row r="373" ht="15" customFormat="1" customHeight="1" s="3">
      <c r="A373">
        <f>IF(C373="","",ROW()-2)</f>
        <v/>
      </c>
      <c r="B373" s="852" t="n"/>
      <c r="C373" s="852" t="n"/>
      <c r="D373">
        <f>IF(C373="TOH","Type 1",IF(C373="POH","Type 2",IF(OR(C373="LTO",C373="TOH-LC",C373="TOH - LC"),"Type 3",IF(C373="Flourish","Type 4","Type 1"))))</f>
        <v/>
      </c>
      <c r="E373" s="852" t="n"/>
      <c r="F373" s="852" t="n"/>
      <c r="G373" s="852" t="n"/>
      <c r="H373" s="888" t="n"/>
      <c r="I373" s="889" t="n"/>
      <c r="J373" s="888" t="n"/>
      <c r="K373">
        <f>SUM(H373:J373)</f>
        <v/>
      </c>
      <c r="L373" s="852" t="n"/>
      <c r="M373" s="852" t="n"/>
      <c r="N373" s="852" t="n"/>
      <c r="O373" s="852" t="n"/>
      <c r="P373" s="852" t="n"/>
      <c r="Q373" s="852" t="n"/>
      <c r="R373" s="852" t="n"/>
      <c r="S373" s="852" t="n"/>
      <c r="T373" s="852" t="n"/>
      <c r="U373" s="852" t="n"/>
      <c r="V373" s="852" t="n"/>
      <c r="W373" s="852" t="n"/>
      <c r="X373" s="852" t="n"/>
      <c r="Y373" s="852" t="n"/>
      <c r="Z373" s="852" t="n"/>
      <c r="AA373" s="852" t="n"/>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c r="CL373" s="59" t="n"/>
      <c r="CM373" s="59" t="n"/>
      <c r="CN373" s="59" t="n"/>
    </row>
    <row r="374" ht="15" customFormat="1" customHeight="1" s="3">
      <c r="A374">
        <f>IF(C374="","",ROW()-2)</f>
        <v/>
      </c>
      <c r="B374" s="852" t="n"/>
      <c r="C374" s="852" t="n"/>
      <c r="D374">
        <f>IF(C374="TOH","Type 1",IF(C374="POH","Type 2",IF(OR(C374="LTO",C374="TOH-LC",C374="TOH - LC"),"Type 3",IF(C374="Flourish","Type 4","Type 1"))))</f>
        <v/>
      </c>
      <c r="E374" s="852" t="n"/>
      <c r="F374" s="852" t="n"/>
      <c r="G374" s="852" t="n"/>
      <c r="H374" s="888" t="n"/>
      <c r="I374" s="889" t="n"/>
      <c r="J374" s="888" t="n"/>
      <c r="K374">
        <f>SUM(H374:J374)</f>
        <v/>
      </c>
      <c r="L374" s="852" t="n"/>
      <c r="M374" s="852" t="n"/>
      <c r="N374" s="852" t="n"/>
      <c r="O374" s="852" t="n"/>
      <c r="P374" s="852" t="n"/>
      <c r="Q374" s="852" t="n"/>
      <c r="R374" s="852" t="n"/>
      <c r="S374" s="852" t="n"/>
      <c r="T374" s="852" t="n"/>
      <c r="U374" s="852" t="n"/>
      <c r="V374" s="852" t="n"/>
      <c r="W374" s="852" t="n"/>
      <c r="X374" s="852" t="n"/>
      <c r="Y374" s="852" t="n"/>
      <c r="Z374" s="852" t="n"/>
      <c r="AA374" s="852" t="n"/>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c r="CL374" s="59" t="n"/>
      <c r="CM374" s="59" t="n"/>
      <c r="CN374" s="59" t="n"/>
    </row>
    <row r="375" ht="15" customFormat="1" customHeight="1" s="3">
      <c r="A375">
        <f>IF(C375="","",ROW()-2)</f>
        <v/>
      </c>
      <c r="B375" s="852" t="n"/>
      <c r="C375" s="852" t="n"/>
      <c r="D375">
        <f>IF(C375="TOH","Type 1",IF(C375="POH","Type 2",IF(OR(C375="LTO",C375="TOH-LC",C375="TOH - LC"),"Type 3",IF(C375="Flourish","Type 4","Type 1"))))</f>
        <v/>
      </c>
      <c r="E375" s="852" t="n"/>
      <c r="F375" s="852" t="n"/>
      <c r="G375" s="852" t="n"/>
      <c r="H375" s="888" t="n"/>
      <c r="I375" s="889" t="n"/>
      <c r="J375" s="888" t="n"/>
      <c r="K375">
        <f>SUM(H375:J375)</f>
        <v/>
      </c>
      <c r="L375" s="852" t="n"/>
      <c r="M375" s="852" t="n"/>
      <c r="N375" s="852" t="n"/>
      <c r="O375" s="852" t="n"/>
      <c r="P375" s="852" t="n"/>
      <c r="Q375" s="852" t="n"/>
      <c r="R375" s="852" t="n"/>
      <c r="S375" s="852" t="n"/>
      <c r="T375" s="852" t="n"/>
      <c r="U375" s="852" t="n"/>
      <c r="V375" s="852" t="n"/>
      <c r="W375" s="852" t="n"/>
      <c r="X375" s="852" t="n"/>
      <c r="Y375" s="852" t="n"/>
      <c r="Z375" s="852" t="n"/>
      <c r="AA375" s="852" t="n"/>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c r="CL375" s="59" t="n"/>
      <c r="CM375" s="59" t="n"/>
      <c r="CN375" s="59" t="n"/>
    </row>
    <row r="376" ht="15" customFormat="1" customHeight="1" s="3">
      <c r="A376">
        <f>IF(C376="","",ROW()-2)</f>
        <v/>
      </c>
      <c r="B376" s="852" t="n"/>
      <c r="C376" s="852" t="n"/>
      <c r="D376">
        <f>IF(C376="TOH","Type 1",IF(C376="POH","Type 2",IF(OR(C376="LTO",C376="TOH-LC",C376="TOH - LC"),"Type 3",IF(C376="Flourish","Type 4","Type 1"))))</f>
        <v/>
      </c>
      <c r="E376" s="852" t="n"/>
      <c r="F376" s="852" t="n"/>
      <c r="G376" s="852" t="n"/>
      <c r="H376" s="888" t="n"/>
      <c r="I376" s="889" t="n"/>
      <c r="J376" s="888" t="n"/>
      <c r="K376">
        <f>SUM(H376:J376)</f>
        <v/>
      </c>
      <c r="L376" s="852" t="n"/>
      <c r="M376" s="852" t="n"/>
      <c r="N376" s="852" t="n"/>
      <c r="O376" s="852" t="n"/>
      <c r="P376" s="852" t="n"/>
      <c r="Q376" s="852" t="n"/>
      <c r="R376" s="852" t="n"/>
      <c r="S376" s="852" t="n"/>
      <c r="T376" s="852" t="n"/>
      <c r="U376" s="852" t="n"/>
      <c r="V376" s="852" t="n"/>
      <c r="W376" s="852" t="n"/>
      <c r="X376" s="852" t="n"/>
      <c r="Y376" s="852" t="n"/>
      <c r="Z376" s="852" t="n"/>
      <c r="AA376" s="852" t="n"/>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c r="CL376" s="59" t="n"/>
      <c r="CM376" s="59" t="n"/>
      <c r="CN376" s="59" t="n"/>
    </row>
    <row r="377" ht="15" customFormat="1" customHeight="1" s="3">
      <c r="A377">
        <f>IF(C377="","",ROW()-2)</f>
        <v/>
      </c>
      <c r="B377" s="852" t="n"/>
      <c r="C377" s="852" t="n"/>
      <c r="D377">
        <f>IF(C377="TOH","Type 1",IF(C377="POH","Type 2",IF(OR(C377="LTO",C377="TOH-LC",C377="TOH - LC"),"Type 3",IF(C377="Flourish","Type 4","Type 1"))))</f>
        <v/>
      </c>
      <c r="E377" s="852" t="n"/>
      <c r="F377" s="852" t="n"/>
      <c r="G377" s="852" t="n"/>
      <c r="H377" s="888" t="n"/>
      <c r="I377" s="889" t="n"/>
      <c r="J377" s="888" t="n"/>
      <c r="K377">
        <f>SUM(H377:J377)</f>
        <v/>
      </c>
      <c r="L377" s="852" t="n"/>
      <c r="M377" s="852" t="n"/>
      <c r="N377" s="852" t="n"/>
      <c r="O377" s="852" t="n"/>
      <c r="P377" s="852" t="n"/>
      <c r="Q377" s="852" t="n"/>
      <c r="R377" s="852" t="n"/>
      <c r="S377" s="852" t="n"/>
      <c r="T377" s="852" t="n"/>
      <c r="U377" s="852" t="n"/>
      <c r="V377" s="852" t="n"/>
      <c r="W377" s="852" t="n"/>
      <c r="X377" s="852" t="n"/>
      <c r="Y377" s="852" t="n"/>
      <c r="Z377" s="852" t="n"/>
      <c r="AA377" s="852" t="n"/>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c r="CL377" s="59" t="n"/>
      <c r="CM377" s="59" t="n"/>
      <c r="CN377" s="59" t="n"/>
    </row>
    <row r="378" ht="15" customFormat="1" customHeight="1" s="3">
      <c r="A378">
        <f>IF(C378="","",ROW()-2)</f>
        <v/>
      </c>
      <c r="B378" s="852" t="n"/>
      <c r="C378" s="852" t="n"/>
      <c r="D378">
        <f>IF(C378="TOH","Type 1",IF(C378="POH","Type 2",IF(OR(C378="LTO",C378="TOH-LC",C378="TOH - LC"),"Type 3",IF(C378="Flourish","Type 4","Type 1"))))</f>
        <v/>
      </c>
      <c r="E378" s="852" t="n"/>
      <c r="F378" s="852" t="n"/>
      <c r="G378" s="852" t="n"/>
      <c r="H378" s="888" t="n"/>
      <c r="I378" s="889" t="n"/>
      <c r="J378" s="888" t="n"/>
      <c r="K378">
        <f>SUM(H378:J378)</f>
        <v/>
      </c>
      <c r="L378" s="852" t="n"/>
      <c r="M378" s="852" t="n"/>
      <c r="N378" s="852" t="n"/>
      <c r="O378" s="852" t="n"/>
      <c r="P378" s="852" t="n"/>
      <c r="Q378" s="852" t="n"/>
      <c r="R378" s="852" t="n"/>
      <c r="S378" s="852" t="n"/>
      <c r="T378" s="852" t="n"/>
      <c r="U378" s="852" t="n"/>
      <c r="V378" s="852" t="n"/>
      <c r="W378" s="852" t="n"/>
      <c r="X378" s="852" t="n"/>
      <c r="Y378" s="852" t="n"/>
      <c r="Z378" s="852" t="n"/>
      <c r="AA378" s="852" t="n"/>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c r="CL378" s="59" t="n"/>
      <c r="CM378" s="59" t="n"/>
      <c r="CN378" s="59" t="n"/>
    </row>
    <row r="379" ht="15" customFormat="1" customHeight="1" s="3">
      <c r="A379">
        <f>IF(C379="","",ROW()-2)</f>
        <v/>
      </c>
      <c r="B379" s="852" t="n"/>
      <c r="C379" s="852" t="n"/>
      <c r="D379">
        <f>IF(C379="TOH","Type 1",IF(C379="POH","Type 2",IF(OR(C379="LTO",C379="TOH-LC",C379="TOH - LC"),"Type 3",IF(C379="Flourish","Type 4","Type 1"))))</f>
        <v/>
      </c>
      <c r="E379" s="852" t="n"/>
      <c r="F379" s="852" t="n"/>
      <c r="G379" s="852" t="n"/>
      <c r="H379" s="888" t="n"/>
      <c r="I379" s="889" t="n"/>
      <c r="J379" s="888" t="n"/>
      <c r="K379">
        <f>SUM(H379:J379)</f>
        <v/>
      </c>
      <c r="L379" s="852" t="n"/>
      <c r="M379" s="852" t="n"/>
      <c r="N379" s="852" t="n"/>
      <c r="O379" s="852" t="n"/>
      <c r="P379" s="852" t="n"/>
      <c r="Q379" s="852" t="n"/>
      <c r="R379" s="852" t="n"/>
      <c r="S379" s="852" t="n"/>
      <c r="T379" s="852" t="n"/>
      <c r="U379" s="852" t="n"/>
      <c r="V379" s="852" t="n"/>
      <c r="W379" s="852" t="n"/>
      <c r="X379" s="852" t="n"/>
      <c r="Y379" s="852" t="n"/>
      <c r="Z379" s="852" t="n"/>
      <c r="AA379" s="852" t="n"/>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c r="CL379" s="59" t="n"/>
      <c r="CM379" s="59" t="n"/>
      <c r="CN379" s="59" t="n"/>
    </row>
    <row r="380" ht="15" customFormat="1" customHeight="1" s="3">
      <c r="A380">
        <f>IF(C380="","",ROW()-2)</f>
        <v/>
      </c>
      <c r="B380" s="852" t="n"/>
      <c r="C380" s="852" t="n"/>
      <c r="D380">
        <f>IF(C380="TOH","Type 1",IF(C380="POH","Type 2",IF(OR(C380="LTO",C380="TOH-LC",C380="TOH - LC"),"Type 3",IF(C380="Flourish","Type 4","Type 1"))))</f>
        <v/>
      </c>
      <c r="E380" s="852" t="n"/>
      <c r="F380" s="852" t="n"/>
      <c r="G380" s="852" t="n"/>
      <c r="H380" s="888" t="n"/>
      <c r="I380" s="889" t="n"/>
      <c r="J380" s="888" t="n"/>
      <c r="K380">
        <f>SUM(H380:J380)</f>
        <v/>
      </c>
      <c r="L380" s="852" t="n"/>
      <c r="M380" s="852" t="n"/>
      <c r="N380" s="852" t="n"/>
      <c r="O380" s="852" t="n"/>
      <c r="P380" s="852" t="n"/>
      <c r="Q380" s="852" t="n"/>
      <c r="R380" s="852" t="n"/>
      <c r="S380" s="852" t="n"/>
      <c r="T380" s="852" t="n"/>
      <c r="U380" s="852" t="n"/>
      <c r="V380" s="852" t="n"/>
      <c r="W380" s="852" t="n"/>
      <c r="X380" s="852" t="n"/>
      <c r="Y380" s="852" t="n"/>
      <c r="Z380" s="852" t="n"/>
      <c r="AA380" s="852" t="n"/>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c r="CL380" s="59" t="n"/>
      <c r="CM380" s="59" t="n"/>
      <c r="CN380" s="59" t="n"/>
    </row>
    <row r="381" ht="15" customFormat="1" customHeight="1" s="3">
      <c r="A381">
        <f>IF(C381="","",ROW()-2)</f>
        <v/>
      </c>
      <c r="B381" s="852" t="n"/>
      <c r="C381" s="852" t="n"/>
      <c r="D381">
        <f>IF(C381="TOH","Type 1",IF(C381="POH","Type 2",IF(OR(C381="LTO",C381="TOH-LC",C381="TOH - LC"),"Type 3",IF(C381="Flourish","Type 4","Type 1"))))</f>
        <v/>
      </c>
      <c r="E381" s="852" t="n"/>
      <c r="F381" s="852" t="n"/>
      <c r="G381" s="852" t="n"/>
      <c r="H381" s="888" t="n"/>
      <c r="I381" s="889" t="n"/>
      <c r="J381" s="888" t="n"/>
      <c r="K381">
        <f>SUM(H381:J381)</f>
        <v/>
      </c>
      <c r="L381" s="852" t="n"/>
      <c r="M381" s="852" t="n"/>
      <c r="N381" s="852" t="n"/>
      <c r="O381" s="852" t="n"/>
      <c r="P381" s="852" t="n"/>
      <c r="Q381" s="852" t="n"/>
      <c r="R381" s="852" t="n"/>
      <c r="S381" s="852" t="n"/>
      <c r="T381" s="852" t="n"/>
      <c r="U381" s="852" t="n"/>
      <c r="V381" s="852" t="n"/>
      <c r="W381" s="852" t="n"/>
      <c r="X381" s="852" t="n"/>
      <c r="Y381" s="852" t="n"/>
      <c r="Z381" s="852" t="n"/>
      <c r="AA381" s="852" t="n"/>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c r="CL381" s="59" t="n"/>
      <c r="CM381" s="59" t="n"/>
      <c r="CN381" s="59" t="n"/>
    </row>
    <row r="382" ht="15" customFormat="1" customHeight="1" s="3">
      <c r="A382">
        <f>IF(C382="","",ROW()-2)</f>
        <v/>
      </c>
      <c r="B382" s="852" t="n"/>
      <c r="C382" s="852" t="n"/>
      <c r="D382">
        <f>IF(C382="TOH","Type 1",IF(C382="POH","Type 2",IF(OR(C382="LTO",C382="TOH-LC",C382="TOH - LC"),"Type 3",IF(C382="Flourish","Type 4","Type 1"))))</f>
        <v/>
      </c>
      <c r="E382" s="852" t="n"/>
      <c r="F382" s="852" t="n"/>
      <c r="G382" s="852" t="n"/>
      <c r="H382" s="888" t="n"/>
      <c r="I382" s="889" t="n"/>
      <c r="J382" s="888" t="n"/>
      <c r="K382">
        <f>SUM(H382:J382)</f>
        <v/>
      </c>
      <c r="L382" s="852" t="n"/>
      <c r="M382" s="852" t="n"/>
      <c r="N382" s="852" t="n"/>
      <c r="O382" s="852" t="n"/>
      <c r="P382" s="852" t="n"/>
      <c r="Q382" s="852" t="n"/>
      <c r="R382" s="852" t="n"/>
      <c r="S382" s="852" t="n"/>
      <c r="T382" s="852" t="n"/>
      <c r="U382" s="852" t="n"/>
      <c r="V382" s="852" t="n"/>
      <c r="W382" s="852" t="n"/>
      <c r="X382" s="852" t="n"/>
      <c r="Y382" s="852" t="n"/>
      <c r="Z382" s="852" t="n"/>
      <c r="AA382" s="852" t="n"/>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c r="CL382" s="59" t="n"/>
      <c r="CM382" s="59" t="n"/>
      <c r="CN382" s="59" t="n"/>
    </row>
    <row r="383" ht="15" customFormat="1" customHeight="1" s="3">
      <c r="A383">
        <f>IF(C383="","",ROW()-2)</f>
        <v/>
      </c>
      <c r="B383" s="852" t="n"/>
      <c r="C383" s="852" t="n"/>
      <c r="D383">
        <f>IF(C383="TOH","Type 1",IF(C383="POH","Type 2",IF(OR(C383="LTO",C383="TOH-LC",C383="TOH - LC"),"Type 3",IF(C383="Flourish","Type 4","Type 1"))))</f>
        <v/>
      </c>
      <c r="E383" s="852" t="n"/>
      <c r="F383" s="852" t="n"/>
      <c r="G383" s="852" t="n"/>
      <c r="H383" s="888" t="n"/>
      <c r="I383" s="889" t="n"/>
      <c r="J383" s="888" t="n"/>
      <c r="K383">
        <f>SUM(H383:J383)</f>
        <v/>
      </c>
      <c r="L383" s="852" t="n"/>
      <c r="M383" s="852" t="n"/>
      <c r="N383" s="852" t="n"/>
      <c r="O383" s="852" t="n"/>
      <c r="P383" s="852" t="n"/>
      <c r="Q383" s="852" t="n"/>
      <c r="R383" s="852" t="n"/>
      <c r="S383" s="852" t="n"/>
      <c r="T383" s="852" t="n"/>
      <c r="U383" s="852" t="n"/>
      <c r="V383" s="852" t="n"/>
      <c r="W383" s="852" t="n"/>
      <c r="X383" s="852" t="n"/>
      <c r="Y383" s="852" t="n"/>
      <c r="Z383" s="852" t="n"/>
      <c r="AA383" s="852" t="n"/>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c r="CL383" s="59" t="n"/>
      <c r="CM383" s="59" t="n"/>
      <c r="CN383" s="59" t="n"/>
    </row>
    <row r="384" ht="15" customFormat="1" customHeight="1" s="3">
      <c r="A384">
        <f>IF(C384="","",ROW()-2)</f>
        <v/>
      </c>
      <c r="B384" s="852" t="n"/>
      <c r="C384" s="852" t="n"/>
      <c r="D384">
        <f>IF(C384="TOH","Type 1",IF(C384="POH","Type 2",IF(OR(C384="LTO",C384="TOH-LC",C384="TOH - LC"),"Type 3",IF(C384="Flourish","Type 4","Type 1"))))</f>
        <v/>
      </c>
      <c r="E384" s="852" t="n"/>
      <c r="F384" s="852" t="n"/>
      <c r="G384" s="852" t="n"/>
      <c r="H384" s="888" t="n"/>
      <c r="I384" s="889" t="n"/>
      <c r="J384" s="888" t="n"/>
      <c r="K384">
        <f>SUM(H384:J384)</f>
        <v/>
      </c>
      <c r="L384" s="852" t="n"/>
      <c r="M384" s="852" t="n"/>
      <c r="N384" s="852" t="n"/>
      <c r="O384" s="852" t="n"/>
      <c r="P384" s="852" t="n"/>
      <c r="Q384" s="852" t="n"/>
      <c r="R384" s="852" t="n"/>
      <c r="S384" s="852" t="n"/>
      <c r="T384" s="852" t="n"/>
      <c r="U384" s="852" t="n"/>
      <c r="V384" s="852" t="n"/>
      <c r="W384" s="852" t="n"/>
      <c r="X384" s="852" t="n"/>
      <c r="Y384" s="852" t="n"/>
      <c r="Z384" s="852" t="n"/>
      <c r="AA384" s="852" t="n"/>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c r="CL384" s="59" t="n"/>
      <c r="CM384" s="59" t="n"/>
      <c r="CN384" s="59" t="n"/>
    </row>
    <row r="385" ht="15" customFormat="1" customHeight="1" s="3">
      <c r="A385">
        <f>IF(C385="","",ROW()-2)</f>
        <v/>
      </c>
      <c r="B385" s="852" t="n"/>
      <c r="C385" s="852" t="n"/>
      <c r="D385">
        <f>IF(C385="TOH","Type 1",IF(C385="POH","Type 2",IF(OR(C385="LTO",C385="TOH-LC",C385="TOH - LC"),"Type 3",IF(C385="Flourish","Type 4","Type 1"))))</f>
        <v/>
      </c>
      <c r="E385" s="852" t="n"/>
      <c r="F385" s="852" t="n"/>
      <c r="G385" s="852" t="n"/>
      <c r="H385" s="888" t="n"/>
      <c r="I385" s="889" t="n"/>
      <c r="J385" s="888" t="n"/>
      <c r="K385">
        <f>SUM(H385:J385)</f>
        <v/>
      </c>
      <c r="L385" s="852" t="n"/>
      <c r="M385" s="852" t="n"/>
      <c r="N385" s="852" t="n"/>
      <c r="O385" s="852" t="n"/>
      <c r="P385" s="852" t="n"/>
      <c r="Q385" s="852" t="n"/>
      <c r="R385" s="852" t="n"/>
      <c r="S385" s="852" t="n"/>
      <c r="T385" s="852" t="n"/>
      <c r="U385" s="852" t="n"/>
      <c r="V385" s="852" t="n"/>
      <c r="W385" s="852" t="n"/>
      <c r="X385" s="852" t="n"/>
      <c r="Y385" s="852" t="n"/>
      <c r="Z385" s="852" t="n"/>
      <c r="AA385" s="852" t="n"/>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c r="CL385" s="59" t="n"/>
      <c r="CM385" s="59" t="n"/>
      <c r="CN385" s="59" t="n"/>
    </row>
    <row r="386" ht="15" customFormat="1" customHeight="1" s="3">
      <c r="A386">
        <f>IF(C386="","",ROW()-2)</f>
        <v/>
      </c>
      <c r="B386" s="852" t="n"/>
      <c r="C386" s="852" t="n"/>
      <c r="D386">
        <f>IF(C386="TOH","Type 1",IF(C386="POH","Type 2",IF(OR(C386="LTO",C386="TOH-LC",C386="TOH - LC"),"Type 3",IF(C386="Flourish","Type 4","Type 1"))))</f>
        <v/>
      </c>
      <c r="E386" s="852" t="n"/>
      <c r="F386" s="852" t="n"/>
      <c r="G386" s="852" t="n"/>
      <c r="H386" s="888" t="n"/>
      <c r="I386" s="889" t="n"/>
      <c r="J386" s="888" t="n"/>
      <c r="K386">
        <f>SUM(H386:J386)</f>
        <v/>
      </c>
      <c r="L386" s="852" t="n"/>
      <c r="M386" s="852" t="n"/>
      <c r="N386" s="852" t="n"/>
      <c r="O386" s="852" t="n"/>
      <c r="P386" s="852" t="n"/>
      <c r="Q386" s="852" t="n"/>
      <c r="R386" s="852" t="n"/>
      <c r="S386" s="852" t="n"/>
      <c r="T386" s="852" t="n"/>
      <c r="U386" s="852" t="n"/>
      <c r="V386" s="852" t="n"/>
      <c r="W386" s="852" t="n"/>
      <c r="X386" s="852" t="n"/>
      <c r="Y386" s="852" t="n"/>
      <c r="Z386" s="852" t="n"/>
      <c r="AA386" s="852" t="n"/>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c r="CL386" s="59" t="n"/>
      <c r="CM386" s="59" t="n"/>
      <c r="CN386" s="59" t="n"/>
    </row>
    <row r="387" ht="15" customFormat="1" customHeight="1" s="3">
      <c r="A387">
        <f>IF(C387="","",ROW()-2)</f>
        <v/>
      </c>
      <c r="B387" s="852" t="n"/>
      <c r="C387" s="852" t="n"/>
      <c r="D387">
        <f>IF(C387="TOH","Type 1",IF(C387="POH","Type 2",IF(OR(C387="LTO",C387="TOH-LC",C387="TOH - LC"),"Type 3",IF(C387="Flourish","Type 4","Type 1"))))</f>
        <v/>
      </c>
      <c r="E387" s="852" t="n"/>
      <c r="F387" s="852" t="n"/>
      <c r="G387" s="852" t="n"/>
      <c r="H387" s="888" t="n"/>
      <c r="I387" s="889" t="n"/>
      <c r="J387" s="888" t="n"/>
      <c r="K387">
        <f>SUM(H387:J387)</f>
        <v/>
      </c>
      <c r="L387" s="852" t="n"/>
      <c r="M387" s="852" t="n"/>
      <c r="N387" s="852" t="n"/>
      <c r="O387" s="852" t="n"/>
      <c r="P387" s="852" t="n"/>
      <c r="Q387" s="852" t="n"/>
      <c r="R387" s="852" t="n"/>
      <c r="S387" s="852" t="n"/>
      <c r="T387" s="852" t="n"/>
      <c r="U387" s="852" t="n"/>
      <c r="V387" s="852" t="n"/>
      <c r="W387" s="852" t="n"/>
      <c r="X387" s="852" t="n"/>
      <c r="Y387" s="852" t="n"/>
      <c r="Z387" s="852" t="n"/>
      <c r="AA387" s="852" t="n"/>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c r="CL387" s="59" t="n"/>
      <c r="CM387" s="59" t="n"/>
      <c r="CN387" s="59" t="n"/>
    </row>
    <row r="388" ht="15" customFormat="1" customHeight="1" s="3">
      <c r="A388">
        <f>IF(C388="","",ROW()-2)</f>
        <v/>
      </c>
      <c r="B388" s="852" t="n"/>
      <c r="C388" s="852" t="n"/>
      <c r="D388">
        <f>IF(C388="TOH","Type 1",IF(C388="POH","Type 2",IF(OR(C388="LTO",C388="TOH-LC",C388="TOH - LC"),"Type 3",IF(C388="Flourish","Type 4","Type 1"))))</f>
        <v/>
      </c>
      <c r="E388" s="852" t="n"/>
      <c r="F388" s="852" t="n"/>
      <c r="G388" s="852" t="n"/>
      <c r="H388" s="888" t="n"/>
      <c r="I388" s="889" t="n"/>
      <c r="J388" s="888" t="n"/>
      <c r="K388">
        <f>SUM(H388:J388)</f>
        <v/>
      </c>
      <c r="L388" s="852" t="n"/>
      <c r="M388" s="852" t="n"/>
      <c r="N388" s="852" t="n"/>
      <c r="O388" s="852" t="n"/>
      <c r="P388" s="852" t="n"/>
      <c r="Q388" s="852" t="n"/>
      <c r="R388" s="852" t="n"/>
      <c r="S388" s="852" t="n"/>
      <c r="T388" s="852" t="n"/>
      <c r="U388" s="852" t="n"/>
      <c r="V388" s="852" t="n"/>
      <c r="W388" s="852" t="n"/>
      <c r="X388" s="852" t="n"/>
      <c r="Y388" s="852" t="n"/>
      <c r="Z388" s="852" t="n"/>
      <c r="AA388" s="852" t="n"/>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c r="CL388" s="59" t="n"/>
      <c r="CM388" s="59" t="n"/>
      <c r="CN388" s="59" t="n"/>
    </row>
    <row r="389" ht="15" customFormat="1" customHeight="1" s="3">
      <c r="A389">
        <f>IF(C389="","",ROW()-2)</f>
        <v/>
      </c>
      <c r="B389" s="852" t="n"/>
      <c r="C389" s="852" t="n"/>
      <c r="D389">
        <f>IF(C389="TOH","Type 1",IF(C389="POH","Type 2",IF(OR(C389="LTO",C389="TOH-LC",C389="TOH - LC"),"Type 3",IF(C389="Flourish","Type 4","Type 1"))))</f>
        <v/>
      </c>
      <c r="E389" s="852" t="n"/>
      <c r="F389" s="852" t="n"/>
      <c r="G389" s="852" t="n"/>
      <c r="H389" s="888" t="n"/>
      <c r="I389" s="889" t="n"/>
      <c r="J389" s="888" t="n"/>
      <c r="K389">
        <f>SUM(H389:J389)</f>
        <v/>
      </c>
      <c r="L389" s="852" t="n"/>
      <c r="M389" s="852" t="n"/>
      <c r="N389" s="852" t="n"/>
      <c r="O389" s="852" t="n"/>
      <c r="P389" s="852" t="n"/>
      <c r="Q389" s="852" t="n"/>
      <c r="R389" s="852" t="n"/>
      <c r="S389" s="852" t="n"/>
      <c r="T389" s="852" t="n"/>
      <c r="U389" s="852" t="n"/>
      <c r="V389" s="852" t="n"/>
      <c r="W389" s="852" t="n"/>
      <c r="X389" s="852" t="n"/>
      <c r="Y389" s="852" t="n"/>
      <c r="Z389" s="852" t="n"/>
      <c r="AA389" s="852" t="n"/>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c r="CL389" s="59" t="n"/>
      <c r="CM389" s="59" t="n"/>
      <c r="CN389" s="59" t="n"/>
    </row>
    <row r="390" ht="15" customFormat="1" customHeight="1" s="3">
      <c r="A390">
        <f>IF(C390="","",ROW()-2)</f>
        <v/>
      </c>
      <c r="B390" s="852" t="n"/>
      <c r="C390" s="852" t="n"/>
      <c r="D390">
        <f>IF(C390="TOH","Type 1",IF(C390="POH","Type 2",IF(OR(C390="LTO",C390="TOH-LC",C390="TOH - LC"),"Type 3",IF(C390="Flourish","Type 4","Type 1"))))</f>
        <v/>
      </c>
      <c r="E390" s="852" t="n"/>
      <c r="F390" s="852" t="n"/>
      <c r="G390" s="852" t="n"/>
      <c r="H390" s="888" t="n"/>
      <c r="I390" s="889" t="n"/>
      <c r="J390" s="888" t="n"/>
      <c r="K390">
        <f>SUM(H390:J390)</f>
        <v/>
      </c>
      <c r="L390" s="852" t="n"/>
      <c r="M390" s="852" t="n"/>
      <c r="N390" s="852" t="n"/>
      <c r="O390" s="852" t="n"/>
      <c r="P390" s="852" t="n"/>
      <c r="Q390" s="852" t="n"/>
      <c r="R390" s="852" t="n"/>
      <c r="S390" s="852" t="n"/>
      <c r="T390" s="852" t="n"/>
      <c r="U390" s="852" t="n"/>
      <c r="V390" s="852" t="n"/>
      <c r="W390" s="852" t="n"/>
      <c r="X390" s="852" t="n"/>
      <c r="Y390" s="852" t="n"/>
      <c r="Z390" s="852" t="n"/>
      <c r="AA390" s="852" t="n"/>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c r="CL390" s="59" t="n"/>
      <c r="CM390" s="59" t="n"/>
      <c r="CN390" s="59" t="n"/>
    </row>
    <row r="391" ht="15" customFormat="1" customHeight="1" s="3">
      <c r="A391">
        <f>IF(C391="","",ROW()-2)</f>
        <v/>
      </c>
      <c r="B391" s="852" t="n"/>
      <c r="C391" s="852" t="n"/>
      <c r="D391">
        <f>IF(C391="TOH","Type 1",IF(C391="POH","Type 2",IF(OR(C391="LTO",C391="TOH-LC",C391="TOH - LC"),"Type 3",IF(C391="Flourish","Type 4","Type 1"))))</f>
        <v/>
      </c>
      <c r="E391" s="852" t="n"/>
      <c r="F391" s="852" t="n"/>
      <c r="G391" s="852" t="n"/>
      <c r="H391" s="888" t="n"/>
      <c r="I391" s="889" t="n"/>
      <c r="J391" s="888" t="n"/>
      <c r="K391">
        <f>SUM(H391:J391)</f>
        <v/>
      </c>
      <c r="L391" s="852" t="n"/>
      <c r="M391" s="852" t="n"/>
      <c r="N391" s="852" t="n"/>
      <c r="O391" s="852" t="n"/>
      <c r="P391" s="852" t="n"/>
      <c r="Q391" s="852" t="n"/>
      <c r="R391" s="852" t="n"/>
      <c r="S391" s="852" t="n"/>
      <c r="T391" s="852" t="n"/>
      <c r="U391" s="852" t="n"/>
      <c r="V391" s="852" t="n"/>
      <c r="W391" s="852" t="n"/>
      <c r="X391" s="852" t="n"/>
      <c r="Y391" s="852" t="n"/>
      <c r="Z391" s="852" t="n"/>
      <c r="AA391" s="852" t="n"/>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c r="CL391" s="59" t="n"/>
      <c r="CM391" s="59" t="n"/>
      <c r="CN391" s="59" t="n"/>
    </row>
    <row r="392" ht="15" customFormat="1" customHeight="1" s="3">
      <c r="A392">
        <f>IF(C392="","",ROW()-2)</f>
        <v/>
      </c>
      <c r="B392" s="852" t="n"/>
      <c r="C392" s="852" t="n"/>
      <c r="D392">
        <f>IF(C392="TOH","Type 1",IF(C392="POH","Type 2",IF(OR(C392="LTO",C392="TOH-LC",C392="TOH - LC"),"Type 3",IF(C392="Flourish","Type 4","Type 1"))))</f>
        <v/>
      </c>
      <c r="E392" s="852" t="n"/>
      <c r="F392" s="852" t="n"/>
      <c r="G392" s="852" t="n"/>
      <c r="H392" s="888" t="n"/>
      <c r="I392" s="889" t="n"/>
      <c r="J392" s="888" t="n"/>
      <c r="K392">
        <f>SUM(H392:J392)</f>
        <v/>
      </c>
      <c r="L392" s="852" t="n"/>
      <c r="M392" s="852" t="n"/>
      <c r="N392" s="852" t="n"/>
      <c r="O392" s="852" t="n"/>
      <c r="P392" s="852" t="n"/>
      <c r="Q392" s="852" t="n"/>
      <c r="R392" s="852" t="n"/>
      <c r="S392" s="852" t="n"/>
      <c r="T392" s="852" t="n"/>
      <c r="U392" s="852" t="n"/>
      <c r="V392" s="852" t="n"/>
      <c r="W392" s="852" t="n"/>
      <c r="X392" s="852" t="n"/>
      <c r="Y392" s="852" t="n"/>
      <c r="Z392" s="852" t="n"/>
      <c r="AA392" s="852" t="n"/>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c r="CL392" s="59" t="n"/>
      <c r="CM392" s="59" t="n"/>
      <c r="CN392" s="59" t="n"/>
    </row>
    <row r="393" ht="15" customFormat="1" customHeight="1" s="3">
      <c r="A393">
        <f>IF(C393="","",ROW()-2)</f>
        <v/>
      </c>
      <c r="B393" s="852" t="n"/>
      <c r="C393" s="852" t="n"/>
      <c r="D393">
        <f>IF(C393="TOH","Type 1",IF(C393="POH","Type 2",IF(OR(C393="LTO",C393="TOH-LC",C393="TOH - LC"),"Type 3",IF(C393="Flourish","Type 4","Type 1"))))</f>
        <v/>
      </c>
      <c r="E393" s="852" t="n"/>
      <c r="F393" s="852" t="n"/>
      <c r="G393" s="852" t="n"/>
      <c r="H393" s="888" t="n"/>
      <c r="I393" s="889" t="n"/>
      <c r="J393" s="888" t="n"/>
      <c r="K393">
        <f>SUM(H393:J393)</f>
        <v/>
      </c>
      <c r="L393" s="852" t="n"/>
      <c r="M393" s="852" t="n"/>
      <c r="N393" s="852" t="n"/>
      <c r="O393" s="852" t="n"/>
      <c r="P393" s="852" t="n"/>
      <c r="Q393" s="852" t="n"/>
      <c r="R393" s="852" t="n"/>
      <c r="S393" s="852" t="n"/>
      <c r="T393" s="852" t="n"/>
      <c r="U393" s="852" t="n"/>
      <c r="V393" s="852" t="n"/>
      <c r="W393" s="852" t="n"/>
      <c r="X393" s="852" t="n"/>
      <c r="Y393" s="852" t="n"/>
      <c r="Z393" s="852" t="n"/>
      <c r="AA393" s="852" t="n"/>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c r="CL393" s="59" t="n"/>
      <c r="CM393" s="59" t="n"/>
      <c r="CN393" s="59" t="n"/>
    </row>
    <row r="394" ht="15" customFormat="1" customHeight="1" s="3">
      <c r="A394">
        <f>IF(C394="","",ROW()-2)</f>
        <v/>
      </c>
      <c r="B394" s="852" t="n"/>
      <c r="C394" s="852" t="n"/>
      <c r="D394">
        <f>IF(C394="TOH","Type 1",IF(C394="POH","Type 2",IF(OR(C394="LTO",C394="TOH-LC",C394="TOH - LC"),"Type 3",IF(C394="Flourish","Type 4","Type 1"))))</f>
        <v/>
      </c>
      <c r="E394" s="852" t="n"/>
      <c r="F394" s="852" t="n"/>
      <c r="G394" s="852" t="n"/>
      <c r="H394" s="888" t="n"/>
      <c r="I394" s="889" t="n"/>
      <c r="J394" s="888" t="n"/>
      <c r="K394">
        <f>SUM(H394:J394)</f>
        <v/>
      </c>
      <c r="L394" s="852" t="n"/>
      <c r="M394" s="852" t="n"/>
      <c r="N394" s="852" t="n"/>
      <c r="O394" s="852" t="n"/>
      <c r="P394" s="852" t="n"/>
      <c r="Q394" s="852" t="n"/>
      <c r="R394" s="852" t="n"/>
      <c r="S394" s="852" t="n"/>
      <c r="T394" s="852" t="n"/>
      <c r="U394" s="852" t="n"/>
      <c r="V394" s="852" t="n"/>
      <c r="W394" s="852" t="n"/>
      <c r="X394" s="852" t="n"/>
      <c r="Y394" s="852" t="n"/>
      <c r="Z394" s="852" t="n"/>
      <c r="AA394" s="852" t="n"/>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c r="CL394" s="59" t="n"/>
      <c r="CM394" s="59" t="n"/>
      <c r="CN394" s="59" t="n"/>
    </row>
    <row r="395" ht="15" customFormat="1" customHeight="1" s="3">
      <c r="A395">
        <f>IF(C395="","",ROW()-2)</f>
        <v/>
      </c>
      <c r="B395" s="852" t="n"/>
      <c r="C395" s="852" t="n"/>
      <c r="D395">
        <f>IF(C395="TOH","Type 1",IF(C395="POH","Type 2",IF(OR(C395="LTO",C395="TOH-LC",C395="TOH - LC"),"Type 3",IF(C395="Flourish","Type 4","Type 1"))))</f>
        <v/>
      </c>
      <c r="E395" s="852" t="n"/>
      <c r="F395" s="852" t="n"/>
      <c r="G395" s="852" t="n"/>
      <c r="H395" s="888" t="n"/>
      <c r="I395" s="889" t="n"/>
      <c r="J395" s="888" t="n"/>
      <c r="K395">
        <f>SUM(H395:J395)</f>
        <v/>
      </c>
      <c r="L395" s="852" t="n"/>
      <c r="M395" s="852" t="n"/>
      <c r="N395" s="852" t="n"/>
      <c r="O395" s="852" t="n"/>
      <c r="P395" s="852" t="n"/>
      <c r="Q395" s="852" t="n"/>
      <c r="R395" s="852" t="n"/>
      <c r="S395" s="852" t="n"/>
      <c r="T395" s="852" t="n"/>
      <c r="U395" s="852" t="n"/>
      <c r="V395" s="852" t="n"/>
      <c r="W395" s="852" t="n"/>
      <c r="X395" s="852" t="n"/>
      <c r="Y395" s="852" t="n"/>
      <c r="Z395" s="852" t="n"/>
      <c r="AA395" s="852" t="n"/>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c r="CL395" s="59" t="n"/>
      <c r="CM395" s="59" t="n"/>
      <c r="CN395" s="59" t="n"/>
    </row>
    <row r="396" ht="15" customFormat="1" customHeight="1" s="3">
      <c r="A396">
        <f>IF(C396="","",ROW()-2)</f>
        <v/>
      </c>
      <c r="B396" s="852" t="n"/>
      <c r="C396" s="852" t="n"/>
      <c r="D396">
        <f>IF(C396="TOH","Type 1",IF(C396="POH","Type 2",IF(OR(C396="LTO",C396="TOH-LC",C396="TOH - LC"),"Type 3",IF(C396="Flourish","Type 4","Type 1"))))</f>
        <v/>
      </c>
      <c r="E396" s="852" t="n"/>
      <c r="F396" s="852" t="n"/>
      <c r="G396" s="852" t="n"/>
      <c r="H396" s="888" t="n"/>
      <c r="I396" s="889" t="n"/>
      <c r="J396" s="888" t="n"/>
      <c r="K396">
        <f>SUM(H396:J396)</f>
        <v/>
      </c>
      <c r="L396" s="852" t="n"/>
      <c r="M396" s="852" t="n"/>
      <c r="N396" s="852" t="n"/>
      <c r="O396" s="852" t="n"/>
      <c r="P396" s="852" t="n"/>
      <c r="Q396" s="852" t="n"/>
      <c r="R396" s="852" t="n"/>
      <c r="S396" s="852" t="n"/>
      <c r="T396" s="852" t="n"/>
      <c r="U396" s="852" t="n"/>
      <c r="V396" s="852" t="n"/>
      <c r="W396" s="852" t="n"/>
      <c r="X396" s="852" t="n"/>
      <c r="Y396" s="852" t="n"/>
      <c r="Z396" s="852" t="n"/>
      <c r="AA396" s="852" t="n"/>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c r="CL396" s="59" t="n"/>
      <c r="CM396" s="59" t="n"/>
      <c r="CN396" s="59" t="n"/>
    </row>
    <row r="397" ht="15" customFormat="1" customHeight="1" s="3">
      <c r="A397">
        <f>IF(C397="","",ROW()-2)</f>
        <v/>
      </c>
      <c r="B397" s="852" t="n"/>
      <c r="C397" s="852" t="n"/>
      <c r="D397">
        <f>IF(C397="TOH","Type 1",IF(C397="POH","Type 2",IF(OR(C397="LTO",C397="TOH-LC",C397="TOH - LC"),"Type 3",IF(C397="Flourish","Type 4","Type 1"))))</f>
        <v/>
      </c>
      <c r="E397" s="852" t="n"/>
      <c r="F397" s="852" t="n"/>
      <c r="G397" s="852" t="n"/>
      <c r="H397" s="888" t="n"/>
      <c r="I397" s="889" t="n"/>
      <c r="J397" s="888" t="n"/>
      <c r="K397">
        <f>SUM(H397:J397)</f>
        <v/>
      </c>
      <c r="L397" s="852" t="n"/>
      <c r="M397" s="852" t="n"/>
      <c r="N397" s="852" t="n"/>
      <c r="O397" s="852" t="n"/>
      <c r="P397" s="852" t="n"/>
      <c r="Q397" s="852" t="n"/>
      <c r="R397" s="852" t="n"/>
      <c r="S397" s="852" t="n"/>
      <c r="T397" s="852" t="n"/>
      <c r="U397" s="852" t="n"/>
      <c r="V397" s="852" t="n"/>
      <c r="W397" s="852" t="n"/>
      <c r="X397" s="852" t="n"/>
      <c r="Y397" s="852" t="n"/>
      <c r="Z397" s="852" t="n"/>
      <c r="AA397" s="852" t="n"/>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c r="CL397" s="59" t="n"/>
      <c r="CM397" s="59" t="n"/>
      <c r="CN397" s="59" t="n"/>
    </row>
    <row r="398" ht="15" customFormat="1" customHeight="1" s="3">
      <c r="A398">
        <f>IF(C398="","",ROW()-2)</f>
        <v/>
      </c>
      <c r="B398" s="852" t="n"/>
      <c r="C398" s="852" t="n"/>
      <c r="D398">
        <f>IF(C398="TOH","Type 1",IF(C398="POH","Type 2",IF(OR(C398="LTO",C398="TOH-LC",C398="TOH - LC"),"Type 3",IF(C398="Flourish","Type 4","Type 1"))))</f>
        <v/>
      </c>
      <c r="E398" s="852" t="n"/>
      <c r="F398" s="852" t="n"/>
      <c r="G398" s="852" t="n"/>
      <c r="H398" s="888" t="n"/>
      <c r="I398" s="889" t="n"/>
      <c r="J398" s="888" t="n"/>
      <c r="K398">
        <f>SUM(H398:J398)</f>
        <v/>
      </c>
      <c r="L398" s="852" t="n"/>
      <c r="M398" s="852" t="n"/>
      <c r="N398" s="852" t="n"/>
      <c r="O398" s="852" t="n"/>
      <c r="P398" s="852" t="n"/>
      <c r="Q398" s="852" t="n"/>
      <c r="R398" s="852" t="n"/>
      <c r="S398" s="852" t="n"/>
      <c r="T398" s="852" t="n"/>
      <c r="U398" s="852" t="n"/>
      <c r="V398" s="852" t="n"/>
      <c r="W398" s="852" t="n"/>
      <c r="X398" s="852" t="n"/>
      <c r="Y398" s="852" t="n"/>
      <c r="Z398" s="852" t="n"/>
      <c r="AA398" s="852" t="n"/>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c r="CL398" s="59" t="n"/>
      <c r="CM398" s="59" t="n"/>
      <c r="CN398" s="59" t="n"/>
    </row>
    <row r="399" ht="15" customFormat="1" customHeight="1" s="3">
      <c r="A399">
        <f>IF(C399="","",ROW()-2)</f>
        <v/>
      </c>
      <c r="B399" s="852" t="n"/>
      <c r="C399" s="852" t="n"/>
      <c r="D399">
        <f>IF(C399="TOH","Type 1",IF(C399="POH","Type 2",IF(OR(C399="LTO",C399="TOH-LC",C399="TOH - LC"),"Type 3",IF(C399="Flourish","Type 4","Type 1"))))</f>
        <v/>
      </c>
      <c r="E399" s="852" t="n"/>
      <c r="F399" s="852" t="n"/>
      <c r="G399" s="852" t="n"/>
      <c r="H399" s="888" t="n"/>
      <c r="I399" s="889" t="n"/>
      <c r="J399" s="888" t="n"/>
      <c r="K399">
        <f>SUM(H399:J399)</f>
        <v/>
      </c>
      <c r="L399" s="852" t="n"/>
      <c r="M399" s="852" t="n"/>
      <c r="N399" s="852" t="n"/>
      <c r="O399" s="852" t="n"/>
      <c r="P399" s="852" t="n"/>
      <c r="Q399" s="852" t="n"/>
      <c r="R399" s="852" t="n"/>
      <c r="S399" s="852" t="n"/>
      <c r="T399" s="852" t="n"/>
      <c r="U399" s="852" t="n"/>
      <c r="V399" s="852" t="n"/>
      <c r="W399" s="852" t="n"/>
      <c r="X399" s="852" t="n"/>
      <c r="Y399" s="852" t="n"/>
      <c r="Z399" s="852" t="n"/>
      <c r="AA399" s="852" t="n"/>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c r="CL399" s="59" t="n"/>
      <c r="CM399" s="59" t="n"/>
      <c r="CN399" s="59" t="n"/>
    </row>
    <row r="400" ht="15" customFormat="1" customHeight="1" s="3">
      <c r="A400">
        <f>IF(C400="","",ROW()-2)</f>
        <v/>
      </c>
      <c r="B400" s="852" t="n"/>
      <c r="C400" s="852" t="n"/>
      <c r="D400">
        <f>IF(C400="TOH","Type 1",IF(C400="POH","Type 2",IF(OR(C400="LTO",C400="TOH-LC",C400="TOH - LC"),"Type 3",IF(C400="Flourish","Type 4","Type 1"))))</f>
        <v/>
      </c>
      <c r="E400" s="852" t="n"/>
      <c r="F400" s="852" t="n"/>
      <c r="G400" s="852" t="n"/>
      <c r="H400" s="888" t="n"/>
      <c r="I400" s="889" t="n"/>
      <c r="J400" s="888" t="n"/>
      <c r="K400">
        <f>SUM(H400:J400)</f>
        <v/>
      </c>
      <c r="L400" s="852" t="n"/>
      <c r="M400" s="852" t="n"/>
      <c r="N400" s="852" t="n"/>
      <c r="O400" s="852" t="n"/>
      <c r="P400" s="852" t="n"/>
      <c r="Q400" s="852" t="n"/>
      <c r="R400" s="852" t="n"/>
      <c r="S400" s="852" t="n"/>
      <c r="T400" s="852" t="n"/>
      <c r="U400" s="852" t="n"/>
      <c r="V400" s="852" t="n"/>
      <c r="W400" s="852" t="n"/>
      <c r="X400" s="852" t="n"/>
      <c r="Y400" s="852" t="n"/>
      <c r="Z400" s="852" t="n"/>
      <c r="AA400" s="852" t="n"/>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c r="CL400" s="59" t="n"/>
      <c r="CM400" s="59" t="n"/>
      <c r="CN400" s="59" t="n"/>
    </row>
    <row r="401" ht="15" customFormat="1" customHeight="1" s="3">
      <c r="A401">
        <f>IF(C401="","",ROW()-2)</f>
        <v/>
      </c>
      <c r="B401" s="852" t="n"/>
      <c r="C401" s="852" t="n"/>
      <c r="D401">
        <f>IF(C401="TOH","Type 1",IF(C401="POH","Type 2",IF(OR(C401="LTO",C401="TOH-LC",C401="TOH - LC"),"Type 3",IF(C401="Flourish","Type 4","Type 1"))))</f>
        <v/>
      </c>
      <c r="E401" s="852" t="n"/>
      <c r="F401" s="852" t="n"/>
      <c r="G401" s="852" t="n"/>
      <c r="H401" s="888" t="n"/>
      <c r="I401" s="889" t="n"/>
      <c r="J401" s="888" t="n"/>
      <c r="K401">
        <f>SUM(H401:J401)</f>
        <v/>
      </c>
      <c r="L401" s="852" t="n"/>
      <c r="M401" s="852" t="n"/>
      <c r="N401" s="852" t="n"/>
      <c r="O401" s="852" t="n"/>
      <c r="P401" s="852" t="n"/>
      <c r="Q401" s="852" t="n"/>
      <c r="R401" s="852" t="n"/>
      <c r="S401" s="852" t="n"/>
      <c r="T401" s="852" t="n"/>
      <c r="U401" s="852" t="n"/>
      <c r="V401" s="852" t="n"/>
      <c r="W401" s="852" t="n"/>
      <c r="X401" s="852" t="n"/>
      <c r="Y401" s="852" t="n"/>
      <c r="Z401" s="852" t="n"/>
      <c r="AA401" s="852" t="n"/>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c r="CL401" s="59" t="n"/>
      <c r="CM401" s="59" t="n"/>
      <c r="CN401" s="59" t="n"/>
    </row>
    <row r="402" ht="15" customFormat="1" customHeight="1" s="3">
      <c r="A402">
        <f>IF(C402="","",ROW()-2)</f>
        <v/>
      </c>
      <c r="B402" s="852" t="n"/>
      <c r="C402" s="852" t="n"/>
      <c r="D402">
        <f>IF(C402="TOH","Type 1",IF(C402="POH","Type 2",IF(OR(C402="LTO",C402="TOH-LC",C402="TOH - LC"),"Type 3",IF(C402="Flourish","Type 4","Type 1"))))</f>
        <v/>
      </c>
      <c r="E402" s="852" t="n"/>
      <c r="F402" s="852" t="n"/>
      <c r="G402" s="852" t="n"/>
      <c r="H402" s="888" t="n"/>
      <c r="I402" s="889" t="n"/>
      <c r="J402" s="888" t="n"/>
      <c r="K402">
        <f>SUM(H402:J402)</f>
        <v/>
      </c>
      <c r="L402" s="852" t="n"/>
      <c r="M402" s="852" t="n"/>
      <c r="N402" s="852" t="n"/>
      <c r="O402" s="852" t="n"/>
      <c r="P402" s="852" t="n"/>
      <c r="Q402" s="852" t="n"/>
      <c r="R402" s="852" t="n"/>
      <c r="S402" s="852" t="n"/>
      <c r="T402" s="852" t="n"/>
      <c r="U402" s="852" t="n"/>
      <c r="V402" s="852" t="n"/>
      <c r="W402" s="852" t="n"/>
      <c r="X402" s="852" t="n"/>
      <c r="Y402" s="852" t="n"/>
      <c r="Z402" s="852" t="n"/>
      <c r="AA402" s="852" t="n"/>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c r="CL402" s="59" t="n"/>
      <c r="CM402" s="59" t="n"/>
      <c r="CN402" s="59" t="n"/>
    </row>
    <row r="403" ht="15" customFormat="1" customHeight="1" s="3">
      <c r="A403">
        <f>IF(C403="","",ROW()-2)</f>
        <v/>
      </c>
      <c r="B403" s="852" t="n"/>
      <c r="C403" s="852" t="n"/>
      <c r="D403">
        <f>IF(C403="TOH","Type 1",IF(C403="POH","Type 2",IF(OR(C403="LTO",C403="TOH-LC",C403="TOH - LC"),"Type 3",IF(C403="Flourish","Type 4","Type 1"))))</f>
        <v/>
      </c>
      <c r="E403" s="852" t="n"/>
      <c r="F403" s="852" t="n"/>
      <c r="G403" s="852" t="n"/>
      <c r="H403" s="888" t="n"/>
      <c r="I403" s="889" t="n"/>
      <c r="J403" s="888" t="n"/>
      <c r="K403">
        <f>SUM(H403:J403)</f>
        <v/>
      </c>
      <c r="L403" s="852" t="n"/>
      <c r="M403" s="852" t="n"/>
      <c r="N403" s="852" t="n"/>
      <c r="O403" s="852" t="n"/>
      <c r="P403" s="852" t="n"/>
      <c r="Q403" s="852" t="n"/>
      <c r="R403" s="852" t="n"/>
      <c r="S403" s="852" t="n"/>
      <c r="T403" s="852" t="n"/>
      <c r="U403" s="852" t="n"/>
      <c r="V403" s="852" t="n"/>
      <c r="W403" s="852" t="n"/>
      <c r="X403" s="852" t="n"/>
      <c r="Y403" s="852" t="n"/>
      <c r="Z403" s="852" t="n"/>
      <c r="AA403" s="852" t="n"/>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c r="CL403" s="59" t="n"/>
      <c r="CM403" s="59" t="n"/>
      <c r="CN403" s="59" t="n"/>
    </row>
    <row r="404" ht="15" customFormat="1" customHeight="1" s="3">
      <c r="A404">
        <f>IF(C404="","",ROW()-2)</f>
        <v/>
      </c>
      <c r="B404" s="852" t="n"/>
      <c r="C404" s="852" t="n"/>
      <c r="D404">
        <f>IF(C404="TOH","Type 1",IF(C404="POH","Type 2",IF(OR(C404="LTO",C404="TOH-LC",C404="TOH - LC"),"Type 3",IF(C404="Flourish","Type 4","Type 1"))))</f>
        <v/>
      </c>
      <c r="E404" s="852" t="n"/>
      <c r="F404" s="852" t="n"/>
      <c r="G404" s="852" t="n"/>
      <c r="H404" s="888" t="n"/>
      <c r="I404" s="889" t="n"/>
      <c r="J404" s="888" t="n"/>
      <c r="K404">
        <f>SUM(H404:J404)</f>
        <v/>
      </c>
      <c r="L404" s="852" t="n"/>
      <c r="M404" s="852" t="n"/>
      <c r="N404" s="852" t="n"/>
      <c r="O404" s="852" t="n"/>
      <c r="P404" s="852" t="n"/>
      <c r="Q404" s="852" t="n"/>
      <c r="R404" s="852" t="n"/>
      <c r="S404" s="852" t="n"/>
      <c r="T404" s="852" t="n"/>
      <c r="U404" s="852" t="n"/>
      <c r="V404" s="852" t="n"/>
      <c r="W404" s="852" t="n"/>
      <c r="X404" s="852" t="n"/>
      <c r="Y404" s="852" t="n"/>
      <c r="Z404" s="852" t="n"/>
      <c r="AA404" s="852" t="n"/>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c r="CL404" s="59" t="n"/>
      <c r="CM404" s="59" t="n"/>
      <c r="CN404" s="59" t="n"/>
    </row>
    <row r="405" ht="15" customFormat="1" customHeight="1" s="3">
      <c r="A405">
        <f>IF(C405="","",ROW()-2)</f>
        <v/>
      </c>
      <c r="B405" s="852" t="n"/>
      <c r="C405" s="852" t="n"/>
      <c r="D405">
        <f>IF(C405="TOH","Type 1",IF(C405="POH","Type 2",IF(OR(C405="LTO",C405="TOH-LC",C405="TOH - LC"),"Type 3",IF(C405="Flourish","Type 4","Type 1"))))</f>
        <v/>
      </c>
      <c r="E405" s="852" t="n"/>
      <c r="F405" s="852" t="n"/>
      <c r="G405" s="852" t="n"/>
      <c r="H405" s="888" t="n"/>
      <c r="I405" s="889" t="n"/>
      <c r="J405" s="888" t="n"/>
      <c r="K405">
        <f>SUM(H405:J405)</f>
        <v/>
      </c>
      <c r="L405" s="852" t="n"/>
      <c r="M405" s="852" t="n"/>
      <c r="N405" s="852" t="n"/>
      <c r="O405" s="852" t="n"/>
      <c r="P405" s="852" t="n"/>
      <c r="Q405" s="852" t="n"/>
      <c r="R405" s="852" t="n"/>
      <c r="S405" s="852" t="n"/>
      <c r="T405" s="852" t="n"/>
      <c r="U405" s="852" t="n"/>
      <c r="V405" s="852" t="n"/>
      <c r="W405" s="852" t="n"/>
      <c r="X405" s="852" t="n"/>
      <c r="Y405" s="852" t="n"/>
      <c r="Z405" s="852" t="n"/>
      <c r="AA405" s="852" t="n"/>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c r="CL405" s="59" t="n"/>
      <c r="CM405" s="59" t="n"/>
      <c r="CN405" s="59" t="n"/>
    </row>
    <row r="406" ht="15" customFormat="1" customHeight="1" s="3">
      <c r="A406">
        <f>IF(C406="","",ROW()-2)</f>
        <v/>
      </c>
      <c r="B406" s="852" t="n"/>
      <c r="C406" s="852" t="n"/>
      <c r="D406">
        <f>IF(C406="TOH","Type 1",IF(C406="POH","Type 2",IF(OR(C406="LTO",C406="TOH-LC",C406="TOH - LC"),"Type 3",IF(C406="Flourish","Type 4","Type 1"))))</f>
        <v/>
      </c>
      <c r="E406" s="852" t="n"/>
      <c r="F406" s="852" t="n"/>
      <c r="G406" s="852" t="n"/>
      <c r="H406" s="888" t="n"/>
      <c r="I406" s="889" t="n"/>
      <c r="J406" s="888" t="n"/>
      <c r="K406">
        <f>SUM(H406:J406)</f>
        <v/>
      </c>
      <c r="L406" s="852" t="n"/>
      <c r="M406" s="852" t="n"/>
      <c r="N406" s="852" t="n"/>
      <c r="O406" s="852" t="n"/>
      <c r="P406" s="852" t="n"/>
      <c r="Q406" s="852" t="n"/>
      <c r="R406" s="852" t="n"/>
      <c r="S406" s="852" t="n"/>
      <c r="T406" s="852" t="n"/>
      <c r="U406" s="852" t="n"/>
      <c r="V406" s="852" t="n"/>
      <c r="W406" s="852" t="n"/>
      <c r="X406" s="852" t="n"/>
      <c r="Y406" s="852" t="n"/>
      <c r="Z406" s="852" t="n"/>
      <c r="AA406" s="852" t="n"/>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c r="CL406" s="59" t="n"/>
      <c r="CM406" s="59" t="n"/>
      <c r="CN406" s="59" t="n"/>
    </row>
    <row r="407" ht="15" customFormat="1" customHeight="1" s="3">
      <c r="A407">
        <f>IF(C407="","",ROW()-2)</f>
        <v/>
      </c>
      <c r="B407" s="852" t="n"/>
      <c r="C407" s="852" t="n"/>
      <c r="D407">
        <f>IF(C407="TOH","Type 1",IF(C407="POH","Type 2",IF(OR(C407="LTO",C407="TOH-LC",C407="TOH - LC"),"Type 3",IF(C407="Flourish","Type 4","Type 1"))))</f>
        <v/>
      </c>
      <c r="E407" s="852" t="n"/>
      <c r="F407" s="852" t="n"/>
      <c r="G407" s="852" t="n"/>
      <c r="H407" s="888" t="n"/>
      <c r="I407" s="889" t="n"/>
      <c r="J407" s="888" t="n"/>
      <c r="K407">
        <f>SUM(H407:J407)</f>
        <v/>
      </c>
      <c r="L407" s="852" t="n"/>
      <c r="M407" s="852" t="n"/>
      <c r="N407" s="852" t="n"/>
      <c r="O407" s="852" t="n"/>
      <c r="P407" s="852" t="n"/>
      <c r="Q407" s="852" t="n"/>
      <c r="R407" s="852" t="n"/>
      <c r="S407" s="852" t="n"/>
      <c r="T407" s="852" t="n"/>
      <c r="U407" s="852" t="n"/>
      <c r="V407" s="852" t="n"/>
      <c r="W407" s="852" t="n"/>
      <c r="X407" s="852" t="n"/>
      <c r="Y407" s="852" t="n"/>
      <c r="Z407" s="852" t="n"/>
      <c r="AA407" s="852" t="n"/>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c r="CL407" s="59" t="n"/>
      <c r="CM407" s="59" t="n"/>
      <c r="CN407" s="59" t="n"/>
    </row>
    <row r="408" ht="15" customFormat="1" customHeight="1" s="3">
      <c r="A408">
        <f>IF(C408="","",ROW()-2)</f>
        <v/>
      </c>
      <c r="B408" s="852" t="n"/>
      <c r="C408" s="852" t="n"/>
      <c r="D408">
        <f>IF(C408="TOH","Type 1",IF(C408="POH","Type 2",IF(OR(C408="LTO",C408="TOH-LC",C408="TOH - LC"),"Type 3",IF(C408="Flourish","Type 4","Type 1"))))</f>
        <v/>
      </c>
      <c r="E408" s="852" t="n"/>
      <c r="F408" s="852" t="n"/>
      <c r="G408" s="852" t="n"/>
      <c r="H408" s="888" t="n"/>
      <c r="I408" s="889" t="n"/>
      <c r="J408" s="888" t="n"/>
      <c r="K408">
        <f>SUM(H408:J408)</f>
        <v/>
      </c>
      <c r="L408" s="852" t="n"/>
      <c r="M408" s="852" t="n"/>
      <c r="N408" s="852" t="n"/>
      <c r="O408" s="852" t="n"/>
      <c r="P408" s="852" t="n"/>
      <c r="Q408" s="852" t="n"/>
      <c r="R408" s="852" t="n"/>
      <c r="S408" s="852" t="n"/>
      <c r="T408" s="852" t="n"/>
      <c r="U408" s="852" t="n"/>
      <c r="V408" s="852" t="n"/>
      <c r="W408" s="852" t="n"/>
      <c r="X408" s="852" t="n"/>
      <c r="Y408" s="852" t="n"/>
      <c r="Z408" s="852" t="n"/>
      <c r="AA408" s="852" t="n"/>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c r="CL408" s="59" t="n"/>
      <c r="CM408" s="59" t="n"/>
      <c r="CN408" s="59" t="n"/>
    </row>
    <row r="409" ht="15" customFormat="1" customHeight="1" s="3">
      <c r="A409">
        <f>IF(C409="","",ROW()-2)</f>
        <v/>
      </c>
      <c r="B409" s="852" t="n"/>
      <c r="C409" s="852" t="n"/>
      <c r="D409">
        <f>IF(C409="TOH","Type 1",IF(C409="POH","Type 2",IF(OR(C409="LTO",C409="TOH-LC",C409="TOH - LC"),"Type 3",IF(C409="Flourish","Type 4","Type 1"))))</f>
        <v/>
      </c>
      <c r="E409" s="852" t="n"/>
      <c r="F409" s="852" t="n"/>
      <c r="G409" s="852" t="n"/>
      <c r="H409" s="888" t="n"/>
      <c r="I409" s="889" t="n"/>
      <c r="J409" s="888" t="n"/>
      <c r="K409">
        <f>SUM(H409:J409)</f>
        <v/>
      </c>
      <c r="L409" s="852" t="n"/>
      <c r="M409" s="852" t="n"/>
      <c r="N409" s="852" t="n"/>
      <c r="O409" s="852" t="n"/>
      <c r="P409" s="852" t="n"/>
      <c r="Q409" s="852" t="n"/>
      <c r="R409" s="852" t="n"/>
      <c r="S409" s="852" t="n"/>
      <c r="T409" s="852" t="n"/>
      <c r="U409" s="852" t="n"/>
      <c r="V409" s="852" t="n"/>
      <c r="W409" s="852" t="n"/>
      <c r="X409" s="852" t="n"/>
      <c r="Y409" s="852" t="n"/>
      <c r="Z409" s="852" t="n"/>
      <c r="AA409" s="852" t="n"/>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c r="CL409" s="59" t="n"/>
      <c r="CM409" s="59" t="n"/>
      <c r="CN409" s="59" t="n"/>
    </row>
    <row r="410" ht="15" customFormat="1" customHeight="1" s="3">
      <c r="A410">
        <f>IF(C410="","",ROW()-2)</f>
        <v/>
      </c>
      <c r="B410" s="852" t="n"/>
      <c r="C410" s="852" t="n"/>
      <c r="D410">
        <f>IF(C410="TOH","Type 1",IF(C410="POH","Type 2",IF(OR(C410="LTO",C410="TOH-LC",C410="TOH - LC"),"Type 3",IF(C410="Flourish","Type 4","Type 1"))))</f>
        <v/>
      </c>
      <c r="E410" s="852" t="n"/>
      <c r="F410" s="852" t="n"/>
      <c r="G410" s="852" t="n"/>
      <c r="H410" s="888" t="n"/>
      <c r="I410" s="889" t="n"/>
      <c r="J410" s="888" t="n"/>
      <c r="K410">
        <f>SUM(H410:J410)</f>
        <v/>
      </c>
      <c r="L410" s="852" t="n"/>
      <c r="M410" s="852" t="n"/>
      <c r="N410" s="852" t="n"/>
      <c r="O410" s="852" t="n"/>
      <c r="P410" s="852" t="n"/>
      <c r="Q410" s="852" t="n"/>
      <c r="R410" s="852" t="n"/>
      <c r="S410" s="852" t="n"/>
      <c r="T410" s="852" t="n"/>
      <c r="U410" s="852" t="n"/>
      <c r="V410" s="852" t="n"/>
      <c r="W410" s="852" t="n"/>
      <c r="X410" s="852" t="n"/>
      <c r="Y410" s="852" t="n"/>
      <c r="Z410" s="852" t="n"/>
      <c r="AA410" s="852" t="n"/>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c r="CL410" s="59" t="n"/>
      <c r="CM410" s="59" t="n"/>
      <c r="CN410" s="59" t="n"/>
    </row>
    <row r="411" ht="15" customFormat="1" customHeight="1" s="3">
      <c r="A411">
        <f>IF(C411="","",ROW()-2)</f>
        <v/>
      </c>
      <c r="B411" s="852" t="n"/>
      <c r="C411" s="852" t="n"/>
      <c r="D411">
        <f>IF(C411="TOH","Type 1",IF(C411="POH","Type 2",IF(OR(C411="LTO",C411="TOH-LC",C411="TOH - LC"),"Type 3",IF(C411="Flourish","Type 4","Type 1"))))</f>
        <v/>
      </c>
      <c r="E411" s="852" t="n"/>
      <c r="F411" s="852" t="n"/>
      <c r="G411" s="852" t="n"/>
      <c r="H411" s="888" t="n"/>
      <c r="I411" s="889" t="n"/>
      <c r="J411" s="888" t="n"/>
      <c r="K411">
        <f>SUM(H411:J411)</f>
        <v/>
      </c>
      <c r="L411" s="852" t="n"/>
      <c r="M411" s="852" t="n"/>
      <c r="N411" s="852" t="n"/>
      <c r="O411" s="852" t="n"/>
      <c r="P411" s="852" t="n"/>
      <c r="Q411" s="852" t="n"/>
      <c r="R411" s="852" t="n"/>
      <c r="S411" s="852" t="n"/>
      <c r="T411" s="852" t="n"/>
      <c r="U411" s="852" t="n"/>
      <c r="V411" s="852" t="n"/>
      <c r="W411" s="852" t="n"/>
      <c r="X411" s="852" t="n"/>
      <c r="Y411" s="852" t="n"/>
      <c r="Z411" s="852" t="n"/>
      <c r="AA411" s="852" t="n"/>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c r="CL411" s="59" t="n"/>
      <c r="CM411" s="59" t="n"/>
      <c r="CN411" s="59" t="n"/>
    </row>
    <row r="412" ht="15" customFormat="1" customHeight="1" s="3">
      <c r="A412">
        <f>IF(C412="","",ROW()-2)</f>
        <v/>
      </c>
      <c r="B412" s="852" t="n"/>
      <c r="C412" s="852" t="n"/>
      <c r="D412">
        <f>IF(C412="TOH","Type 1",IF(C412="POH","Type 2",IF(OR(C412="LTO",C412="TOH-LC",C412="TOH - LC"),"Type 3",IF(C412="Flourish","Type 4","Type 1"))))</f>
        <v/>
      </c>
      <c r="E412" s="852" t="n"/>
      <c r="F412" s="852" t="n"/>
      <c r="G412" s="852" t="n"/>
      <c r="H412" s="888" t="n"/>
      <c r="I412" s="889" t="n"/>
      <c r="J412" s="888" t="n"/>
      <c r="K412">
        <f>SUM(H412:J412)</f>
        <v/>
      </c>
      <c r="L412" s="852" t="n"/>
      <c r="M412" s="852" t="n"/>
      <c r="N412" s="852" t="n"/>
      <c r="O412" s="852" t="n"/>
      <c r="P412" s="852" t="n"/>
      <c r="Q412" s="852" t="n"/>
      <c r="R412" s="852" t="n"/>
      <c r="S412" s="852" t="n"/>
      <c r="T412" s="852" t="n"/>
      <c r="U412" s="852" t="n"/>
      <c r="V412" s="852" t="n"/>
      <c r="W412" s="852" t="n"/>
      <c r="X412" s="852" t="n"/>
      <c r="Y412" s="852" t="n"/>
      <c r="Z412" s="852" t="n"/>
      <c r="AA412" s="852" t="n"/>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c r="CL412" s="59" t="n"/>
      <c r="CM412" s="59" t="n"/>
      <c r="CN412" s="59" t="n"/>
    </row>
    <row r="413" ht="15" customFormat="1" customHeight="1" s="3">
      <c r="A413">
        <f>IF(C413="","",ROW()-2)</f>
        <v/>
      </c>
      <c r="B413" s="852" t="n"/>
      <c r="C413" s="852" t="n"/>
      <c r="D413">
        <f>IF(C413="TOH","Type 1",IF(C413="POH","Type 2",IF(OR(C413="LTO",C413="TOH-LC",C413="TOH - LC"),"Type 3",IF(C413="Flourish","Type 4","Type 1"))))</f>
        <v/>
      </c>
      <c r="E413" s="852" t="n"/>
      <c r="F413" s="852" t="n"/>
      <c r="G413" s="852" t="n"/>
      <c r="H413" s="888" t="n"/>
      <c r="I413" s="889" t="n"/>
      <c r="J413" s="888" t="n"/>
      <c r="K413">
        <f>SUM(H413:J413)</f>
        <v/>
      </c>
      <c r="L413" s="852" t="n"/>
      <c r="M413" s="852" t="n"/>
      <c r="N413" s="852" t="n"/>
      <c r="O413" s="852" t="n"/>
      <c r="P413" s="852" t="n"/>
      <c r="Q413" s="852" t="n"/>
      <c r="R413" s="852" t="n"/>
      <c r="S413" s="852" t="n"/>
      <c r="T413" s="852" t="n"/>
      <c r="U413" s="852" t="n"/>
      <c r="V413" s="852" t="n"/>
      <c r="W413" s="852" t="n"/>
      <c r="X413" s="852" t="n"/>
      <c r="Y413" s="852" t="n"/>
      <c r="Z413" s="852" t="n"/>
      <c r="AA413" s="852" t="n"/>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c r="CL413" s="59" t="n"/>
      <c r="CM413" s="59" t="n"/>
      <c r="CN413" s="59" t="n"/>
    </row>
    <row r="414" ht="15" customFormat="1" customHeight="1" s="3">
      <c r="A414">
        <f>IF(C414="","",ROW()-2)</f>
        <v/>
      </c>
      <c r="B414" s="852" t="n"/>
      <c r="C414" s="852" t="n"/>
      <c r="D414">
        <f>IF(C414="TOH","Type 1",IF(C414="POH","Type 2",IF(OR(C414="LTO",C414="TOH-LC",C414="TOH - LC"),"Type 3",IF(C414="Flourish","Type 4","Type 1"))))</f>
        <v/>
      </c>
      <c r="E414" s="852" t="n"/>
      <c r="F414" s="852" t="n"/>
      <c r="G414" s="852" t="n"/>
      <c r="H414" s="888" t="n"/>
      <c r="I414" s="889" t="n"/>
      <c r="J414" s="888" t="n"/>
      <c r="K414">
        <f>SUM(H414:J414)</f>
        <v/>
      </c>
      <c r="L414" s="852" t="n"/>
      <c r="M414" s="852" t="n"/>
      <c r="N414" s="852" t="n"/>
      <c r="O414" s="852" t="n"/>
      <c r="P414" s="852" t="n"/>
      <c r="Q414" s="852" t="n"/>
      <c r="R414" s="852" t="n"/>
      <c r="S414" s="852" t="n"/>
      <c r="T414" s="852" t="n"/>
      <c r="U414" s="852" t="n"/>
      <c r="V414" s="852" t="n"/>
      <c r="W414" s="852" t="n"/>
      <c r="X414" s="852" t="n"/>
      <c r="Y414" s="852" t="n"/>
      <c r="Z414" s="852" t="n"/>
      <c r="AA414" s="852" t="n"/>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c r="CL414" s="59" t="n"/>
      <c r="CM414" s="59" t="n"/>
      <c r="CN414" s="59" t="n"/>
    </row>
    <row r="415" ht="15" customFormat="1" customHeight="1" s="3">
      <c r="A415">
        <f>IF(C415="","",ROW()-2)</f>
        <v/>
      </c>
      <c r="B415" s="852" t="n"/>
      <c r="C415" s="852" t="n"/>
      <c r="D415">
        <f>IF(C415="TOH","Type 1",IF(C415="POH","Type 2",IF(OR(C415="LTO",C415="TOH-LC",C415="TOH - LC"),"Type 3",IF(C415="Flourish","Type 4","Type 1"))))</f>
        <v/>
      </c>
      <c r="E415" s="852" t="n"/>
      <c r="F415" s="852" t="n"/>
      <c r="G415" s="852" t="n"/>
      <c r="H415" s="888" t="n"/>
      <c r="I415" s="889" t="n"/>
      <c r="J415" s="888" t="n"/>
      <c r="K415">
        <f>SUM(H415:J415)</f>
        <v/>
      </c>
      <c r="L415" s="852" t="n"/>
      <c r="M415" s="852" t="n"/>
      <c r="N415" s="852" t="n"/>
      <c r="O415" s="852" t="n"/>
      <c r="P415" s="852" t="n"/>
      <c r="Q415" s="852" t="n"/>
      <c r="R415" s="852" t="n"/>
      <c r="S415" s="852" t="n"/>
      <c r="T415" s="852" t="n"/>
      <c r="U415" s="852" t="n"/>
      <c r="V415" s="852" t="n"/>
      <c r="W415" s="852" t="n"/>
      <c r="X415" s="852" t="n"/>
      <c r="Y415" s="852" t="n"/>
      <c r="Z415" s="852" t="n"/>
      <c r="AA415" s="852" t="n"/>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c r="CL415" s="59" t="n"/>
      <c r="CM415" s="59" t="n"/>
      <c r="CN415" s="59" t="n"/>
    </row>
    <row r="416" ht="15" customFormat="1" customHeight="1" s="3">
      <c r="A416">
        <f>IF(C416="","",ROW()-2)</f>
        <v/>
      </c>
      <c r="B416" s="852" t="n"/>
      <c r="C416" s="852" t="n"/>
      <c r="D416">
        <f>IF(C416="TOH","Type 1",IF(C416="POH","Type 2",IF(OR(C416="LTO",C416="TOH-LC",C416="TOH - LC"),"Type 3",IF(C416="Flourish","Type 4","Type 1"))))</f>
        <v/>
      </c>
      <c r="E416" s="852" t="n"/>
      <c r="F416" s="852" t="n"/>
      <c r="G416" s="852" t="n"/>
      <c r="H416" s="888" t="n"/>
      <c r="I416" s="889" t="n"/>
      <c r="J416" s="888" t="n"/>
      <c r="K416">
        <f>SUM(H416:J416)</f>
        <v/>
      </c>
      <c r="L416" s="852" t="n"/>
      <c r="M416" s="852" t="n"/>
      <c r="N416" s="852" t="n"/>
      <c r="O416" s="852" t="n"/>
      <c r="P416" s="852" t="n"/>
      <c r="Q416" s="852" t="n"/>
      <c r="R416" s="852" t="n"/>
      <c r="S416" s="852" t="n"/>
      <c r="T416" s="852" t="n"/>
      <c r="U416" s="852" t="n"/>
      <c r="V416" s="852" t="n"/>
      <c r="W416" s="852" t="n"/>
      <c r="X416" s="852" t="n"/>
      <c r="Y416" s="852" t="n"/>
      <c r="Z416" s="852" t="n"/>
      <c r="AA416" s="852" t="n"/>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c r="CL416" s="59" t="n"/>
      <c r="CM416" s="59" t="n"/>
      <c r="CN416" s="59" t="n"/>
    </row>
    <row r="417" ht="15" customFormat="1" customHeight="1" s="3">
      <c r="A417">
        <f>IF(C417="","",ROW()-2)</f>
        <v/>
      </c>
      <c r="B417" s="852" t="n"/>
      <c r="C417" s="852" t="n"/>
      <c r="D417">
        <f>IF(C417="TOH","Type 1",IF(C417="POH","Type 2",IF(OR(C417="LTO",C417="TOH-LC",C417="TOH - LC"),"Type 3",IF(C417="Flourish","Type 4","Type 1"))))</f>
        <v/>
      </c>
      <c r="E417" s="852" t="n"/>
      <c r="F417" s="852" t="n"/>
      <c r="G417" s="852" t="n"/>
      <c r="H417" s="888" t="n"/>
      <c r="I417" s="889" t="n"/>
      <c r="J417" s="888" t="n"/>
      <c r="K417">
        <f>SUM(H417:J417)</f>
        <v/>
      </c>
      <c r="L417" s="852" t="n"/>
      <c r="M417" s="852" t="n"/>
      <c r="N417" s="852" t="n"/>
      <c r="O417" s="852" t="n"/>
      <c r="P417" s="852" t="n"/>
      <c r="Q417" s="852" t="n"/>
      <c r="R417" s="852" t="n"/>
      <c r="S417" s="852" t="n"/>
      <c r="T417" s="852" t="n"/>
      <c r="U417" s="852" t="n"/>
      <c r="V417" s="852" t="n"/>
      <c r="W417" s="852" t="n"/>
      <c r="X417" s="852" t="n"/>
      <c r="Y417" s="852" t="n"/>
      <c r="Z417" s="852" t="n"/>
      <c r="AA417" s="852" t="n"/>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c r="CL417" s="59" t="n"/>
      <c r="CM417" s="59" t="n"/>
      <c r="CN417" s="59" t="n"/>
    </row>
    <row r="418" ht="15" customFormat="1" customHeight="1" s="3">
      <c r="A418">
        <f>IF(C418="","",ROW()-2)</f>
        <v/>
      </c>
      <c r="B418" s="852" t="n"/>
      <c r="C418" s="852" t="n"/>
      <c r="D418">
        <f>IF(C418="TOH","Type 1",IF(C418="POH","Type 2",IF(OR(C418="LTO",C418="TOH-LC",C418="TOH - LC"),"Type 3",IF(C418="Flourish","Type 4","Type 1"))))</f>
        <v/>
      </c>
      <c r="E418" s="852" t="n"/>
      <c r="F418" s="852" t="n"/>
      <c r="G418" s="852" t="n"/>
      <c r="H418" s="888" t="n"/>
      <c r="I418" s="889" t="n"/>
      <c r="J418" s="888" t="n"/>
      <c r="K418">
        <f>SUM(H418:J418)</f>
        <v/>
      </c>
      <c r="L418" s="852" t="n"/>
      <c r="M418" s="852" t="n"/>
      <c r="N418" s="852" t="n"/>
      <c r="O418" s="852" t="n"/>
      <c r="P418" s="852" t="n"/>
      <c r="Q418" s="852" t="n"/>
      <c r="R418" s="852" t="n"/>
      <c r="S418" s="852" t="n"/>
      <c r="T418" s="852" t="n"/>
      <c r="U418" s="852" t="n"/>
      <c r="V418" s="852" t="n"/>
      <c r="W418" s="852" t="n"/>
      <c r="X418" s="852" t="n"/>
      <c r="Y418" s="852" t="n"/>
      <c r="Z418" s="852" t="n"/>
      <c r="AA418" s="852" t="n"/>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c r="CL418" s="59" t="n"/>
      <c r="CM418" s="59" t="n"/>
      <c r="CN418" s="59" t="n"/>
    </row>
    <row r="419" ht="15" customFormat="1" customHeight="1" s="3">
      <c r="A419">
        <f>IF(C419="","",ROW()-2)</f>
        <v/>
      </c>
      <c r="B419" s="852" t="n"/>
      <c r="C419" s="852" t="n"/>
      <c r="D419">
        <f>IF(C419="TOH","Type 1",IF(C419="POH","Type 2",IF(OR(C419="LTO",C419="TOH-LC",C419="TOH - LC"),"Type 3",IF(C419="Flourish","Type 4","Type 1"))))</f>
        <v/>
      </c>
      <c r="E419" s="852" t="n"/>
      <c r="F419" s="852" t="n"/>
      <c r="G419" s="852" t="n"/>
      <c r="H419" s="888" t="n"/>
      <c r="I419" s="889" t="n"/>
      <c r="J419" s="888" t="n"/>
      <c r="K419">
        <f>SUM(H419:J419)</f>
        <v/>
      </c>
      <c r="L419" s="852" t="n"/>
      <c r="M419" s="852" t="n"/>
      <c r="N419" s="852" t="n"/>
      <c r="O419" s="852" t="n"/>
      <c r="P419" s="852" t="n"/>
      <c r="Q419" s="852" t="n"/>
      <c r="R419" s="852" t="n"/>
      <c r="S419" s="852" t="n"/>
      <c r="T419" s="852" t="n"/>
      <c r="U419" s="852" t="n"/>
      <c r="V419" s="852" t="n"/>
      <c r="W419" s="852" t="n"/>
      <c r="X419" s="852" t="n"/>
      <c r="Y419" s="852" t="n"/>
      <c r="Z419" s="852" t="n"/>
      <c r="AA419" s="852" t="n"/>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c r="CL419" s="59" t="n"/>
      <c r="CM419" s="59" t="n"/>
      <c r="CN419" s="59" t="n"/>
    </row>
    <row r="420" ht="15" customFormat="1" customHeight="1" s="3">
      <c r="A420">
        <f>IF(C420="","",ROW()-2)</f>
        <v/>
      </c>
      <c r="B420" s="852" t="n"/>
      <c r="C420" s="852" t="n"/>
      <c r="D420">
        <f>IF(C420="TOH","Type 1",IF(C420="POH","Type 2",IF(OR(C420="LTO",C420="TOH-LC",C420="TOH - LC"),"Type 3",IF(C420="Flourish","Type 4","Type 1"))))</f>
        <v/>
      </c>
      <c r="E420" s="852" t="n"/>
      <c r="F420" s="852" t="n"/>
      <c r="G420" s="852" t="n"/>
      <c r="H420" s="888" t="n"/>
      <c r="I420" s="889" t="n"/>
      <c r="J420" s="888" t="n"/>
      <c r="K420">
        <f>SUM(H420:J420)</f>
        <v/>
      </c>
      <c r="L420" s="852" t="n"/>
      <c r="M420" s="852" t="n"/>
      <c r="N420" s="852" t="n"/>
      <c r="O420" s="852" t="n"/>
      <c r="P420" s="852" t="n"/>
      <c r="Q420" s="852" t="n"/>
      <c r="R420" s="852" t="n"/>
      <c r="S420" s="852" t="n"/>
      <c r="T420" s="852" t="n"/>
      <c r="U420" s="852" t="n"/>
      <c r="V420" s="852" t="n"/>
      <c r="W420" s="852" t="n"/>
      <c r="X420" s="852" t="n"/>
      <c r="Y420" s="852" t="n"/>
      <c r="Z420" s="852" t="n"/>
      <c r="AA420" s="852" t="n"/>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c r="CL420" s="59" t="n"/>
      <c r="CM420" s="59" t="n"/>
      <c r="CN420" s="59" t="n"/>
    </row>
    <row r="421" ht="15" customFormat="1" customHeight="1" s="3">
      <c r="A421">
        <f>IF(C421="","",ROW()-2)</f>
        <v/>
      </c>
      <c r="B421" s="852" t="n"/>
      <c r="C421" s="852" t="n"/>
      <c r="D421">
        <f>IF(C421="TOH","Type 1",IF(C421="POH","Type 2",IF(OR(C421="LTO",C421="TOH-LC",C421="TOH - LC"),"Type 3",IF(C421="Flourish","Type 4","Type 1"))))</f>
        <v/>
      </c>
      <c r="E421" s="852" t="n"/>
      <c r="F421" s="852" t="n"/>
      <c r="G421" s="852" t="n"/>
      <c r="H421" s="888" t="n"/>
      <c r="I421" s="889" t="n"/>
      <c r="J421" s="888" t="n"/>
      <c r="K421">
        <f>SUM(H421:J421)</f>
        <v/>
      </c>
      <c r="L421" s="852" t="n"/>
      <c r="M421" s="852" t="n"/>
      <c r="N421" s="852" t="n"/>
      <c r="O421" s="852" t="n"/>
      <c r="P421" s="852" t="n"/>
      <c r="Q421" s="852" t="n"/>
      <c r="R421" s="852" t="n"/>
      <c r="S421" s="852" t="n"/>
      <c r="T421" s="852" t="n"/>
      <c r="U421" s="852" t="n"/>
      <c r="V421" s="852" t="n"/>
      <c r="W421" s="852" t="n"/>
      <c r="X421" s="852" t="n"/>
      <c r="Y421" s="852" t="n"/>
      <c r="Z421" s="852" t="n"/>
      <c r="AA421" s="852" t="n"/>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c r="CL421" s="59" t="n"/>
      <c r="CM421" s="59" t="n"/>
      <c r="CN421" s="59" t="n"/>
    </row>
    <row r="422" ht="15" customFormat="1" customHeight="1" s="3">
      <c r="A422">
        <f>IF(C422="","",ROW()-2)</f>
        <v/>
      </c>
      <c r="B422" s="852" t="n"/>
      <c r="C422" s="852" t="n"/>
      <c r="D422">
        <f>IF(C422="TOH","Type 1",IF(C422="POH","Type 2",IF(OR(C422="LTO",C422="TOH-LC",C422="TOH - LC"),"Type 3",IF(C422="Flourish","Type 4","Type 1"))))</f>
        <v/>
      </c>
      <c r="E422" s="852" t="n"/>
      <c r="F422" s="852" t="n"/>
      <c r="G422" s="852" t="n"/>
      <c r="H422" s="888" t="n"/>
      <c r="I422" s="889" t="n"/>
      <c r="J422" s="888" t="n"/>
      <c r="K422">
        <f>SUM(H422:J422)</f>
        <v/>
      </c>
      <c r="L422" s="852" t="n"/>
      <c r="M422" s="852" t="n"/>
      <c r="N422" s="852" t="n"/>
      <c r="O422" s="852" t="n"/>
      <c r="P422" s="852" t="n"/>
      <c r="Q422" s="852" t="n"/>
      <c r="R422" s="852" t="n"/>
      <c r="S422" s="852" t="n"/>
      <c r="T422" s="852" t="n"/>
      <c r="U422" s="852" t="n"/>
      <c r="V422" s="852" t="n"/>
      <c r="W422" s="852" t="n"/>
      <c r="X422" s="852" t="n"/>
      <c r="Y422" s="852" t="n"/>
      <c r="Z422" s="852" t="n"/>
      <c r="AA422" s="852" t="n"/>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c r="CL422" s="59" t="n"/>
      <c r="CM422" s="59" t="n"/>
      <c r="CN422" s="59" t="n"/>
    </row>
    <row r="423" ht="15" customFormat="1" customHeight="1" s="3">
      <c r="A423">
        <f>IF(C423="","",ROW()-2)</f>
        <v/>
      </c>
      <c r="B423" s="852" t="n"/>
      <c r="C423" s="852" t="n"/>
      <c r="D423">
        <f>IF(C423="TOH","Type 1",IF(C423="POH","Type 2",IF(OR(C423="LTO",C423="TOH-LC",C423="TOH - LC"),"Type 3",IF(C423="Flourish","Type 4","Type 1"))))</f>
        <v/>
      </c>
      <c r="E423" s="852" t="n"/>
      <c r="F423" s="852" t="n"/>
      <c r="G423" s="852" t="n"/>
      <c r="H423" s="888" t="n"/>
      <c r="I423" s="889" t="n"/>
      <c r="J423" s="888" t="n"/>
      <c r="K423">
        <f>SUM(H423:J423)</f>
        <v/>
      </c>
      <c r="L423" s="852" t="n"/>
      <c r="M423" s="852" t="n"/>
      <c r="N423" s="852" t="n"/>
      <c r="O423" s="852" t="n"/>
      <c r="P423" s="852" t="n"/>
      <c r="Q423" s="852" t="n"/>
      <c r="R423" s="852" t="n"/>
      <c r="S423" s="852" t="n"/>
      <c r="T423" s="852" t="n"/>
      <c r="U423" s="852" t="n"/>
      <c r="V423" s="852" t="n"/>
      <c r="W423" s="852" t="n"/>
      <c r="X423" s="852" t="n"/>
      <c r="Y423" s="852" t="n"/>
      <c r="Z423" s="852" t="n"/>
      <c r="AA423" s="852" t="n"/>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c r="CL423" s="59" t="n"/>
      <c r="CM423" s="59" t="n"/>
      <c r="CN423" s="59" t="n"/>
    </row>
    <row r="424" ht="15" customFormat="1" customHeight="1" s="3">
      <c r="A424">
        <f>IF(C424="","",ROW()-2)</f>
        <v/>
      </c>
      <c r="B424" s="852" t="n"/>
      <c r="C424" s="852" t="n"/>
      <c r="D424">
        <f>IF(C424="TOH","Type 1",IF(C424="POH","Type 2",IF(OR(C424="LTO",C424="TOH-LC",C424="TOH - LC"),"Type 3",IF(C424="Flourish","Type 4","Type 1"))))</f>
        <v/>
      </c>
      <c r="E424" s="852" t="n"/>
      <c r="F424" s="852" t="n"/>
      <c r="G424" s="852" t="n"/>
      <c r="H424" s="888" t="n"/>
      <c r="I424" s="889" t="n"/>
      <c r="J424" s="888" t="n"/>
      <c r="K424">
        <f>SUM(H424:J424)</f>
        <v/>
      </c>
      <c r="L424" s="852" t="n"/>
      <c r="M424" s="852" t="n"/>
      <c r="N424" s="852" t="n"/>
      <c r="O424" s="852" t="n"/>
      <c r="P424" s="852" t="n"/>
      <c r="Q424" s="852" t="n"/>
      <c r="R424" s="852" t="n"/>
      <c r="S424" s="852" t="n"/>
      <c r="T424" s="852" t="n"/>
      <c r="U424" s="852" t="n"/>
      <c r="V424" s="852" t="n"/>
      <c r="W424" s="852" t="n"/>
      <c r="X424" s="852" t="n"/>
      <c r="Y424" s="852" t="n"/>
      <c r="Z424" s="852" t="n"/>
      <c r="AA424" s="852" t="n"/>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c r="CL424" s="59" t="n"/>
      <c r="CM424" s="59" t="n"/>
      <c r="CN424" s="59" t="n"/>
    </row>
    <row r="425" ht="15" customFormat="1" customHeight="1" s="3">
      <c r="A425">
        <f>IF(C425="","",ROW()-2)</f>
        <v/>
      </c>
      <c r="B425" s="852" t="n"/>
      <c r="C425" s="852" t="n"/>
      <c r="D425">
        <f>IF(C425="TOH","Type 1",IF(C425="POH","Type 2",IF(OR(C425="LTO",C425="TOH-LC",C425="TOH - LC"),"Type 3",IF(C425="Flourish","Type 4","Type 1"))))</f>
        <v/>
      </c>
      <c r="E425" s="852" t="n"/>
      <c r="F425" s="852" t="n"/>
      <c r="G425" s="852" t="n"/>
      <c r="H425" s="888" t="n"/>
      <c r="I425" s="889" t="n"/>
      <c r="J425" s="888" t="n"/>
      <c r="K425">
        <f>SUM(H425:J425)</f>
        <v/>
      </c>
      <c r="L425" s="852" t="n"/>
      <c r="M425" s="852" t="n"/>
      <c r="N425" s="852" t="n"/>
      <c r="O425" s="852" t="n"/>
      <c r="P425" s="852" t="n"/>
      <c r="Q425" s="852" t="n"/>
      <c r="R425" s="852" t="n"/>
      <c r="S425" s="852" t="n"/>
      <c r="T425" s="852" t="n"/>
      <c r="U425" s="852" t="n"/>
      <c r="V425" s="852" t="n"/>
      <c r="W425" s="852" t="n"/>
      <c r="X425" s="852" t="n"/>
      <c r="Y425" s="852" t="n"/>
      <c r="Z425" s="852" t="n"/>
      <c r="AA425" s="852" t="n"/>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c r="CL425" s="59" t="n"/>
      <c r="CM425" s="59" t="n"/>
      <c r="CN425" s="59" t="n"/>
    </row>
    <row r="426" ht="15" customFormat="1" customHeight="1" s="3">
      <c r="A426">
        <f>IF(C426="","",ROW()-2)</f>
        <v/>
      </c>
      <c r="B426" s="852" t="n"/>
      <c r="C426" s="852" t="n"/>
      <c r="D426">
        <f>IF(C426="TOH","Type 1",IF(C426="POH","Type 2",IF(OR(C426="LTO",C426="TOH-LC",C426="TOH - LC"),"Type 3",IF(C426="Flourish","Type 4","Type 1"))))</f>
        <v/>
      </c>
      <c r="E426" s="852" t="n"/>
      <c r="F426" s="852" t="n"/>
      <c r="G426" s="852" t="n"/>
      <c r="H426" s="888" t="n"/>
      <c r="I426" s="889" t="n"/>
      <c r="J426" s="888" t="n"/>
      <c r="K426">
        <f>SUM(H426:J426)</f>
        <v/>
      </c>
      <c r="L426" s="852" t="n"/>
      <c r="M426" s="852" t="n"/>
      <c r="N426" s="852" t="n"/>
      <c r="O426" s="852" t="n"/>
      <c r="P426" s="852" t="n"/>
      <c r="Q426" s="852" t="n"/>
      <c r="R426" s="852" t="n"/>
      <c r="S426" s="852" t="n"/>
      <c r="T426" s="852" t="n"/>
      <c r="U426" s="852" t="n"/>
      <c r="V426" s="852" t="n"/>
      <c r="W426" s="852" t="n"/>
      <c r="X426" s="852" t="n"/>
      <c r="Y426" s="852" t="n"/>
      <c r="Z426" s="852" t="n"/>
      <c r="AA426" s="852" t="n"/>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c r="CL426" s="59" t="n"/>
      <c r="CM426" s="59" t="n"/>
      <c r="CN426" s="59" t="n"/>
    </row>
    <row r="427" ht="15" customFormat="1" customHeight="1" s="3">
      <c r="A427">
        <f>IF(C427="","",ROW()-2)</f>
        <v/>
      </c>
      <c r="B427" s="852" t="n"/>
      <c r="C427" s="852" t="n"/>
      <c r="D427">
        <f>IF(C427="TOH","Type 1",IF(C427="POH","Type 2",IF(OR(C427="LTO",C427="TOH-LC",C427="TOH - LC"),"Type 3",IF(C427="Flourish","Type 4","Type 1"))))</f>
        <v/>
      </c>
      <c r="E427" s="852" t="n"/>
      <c r="F427" s="852" t="n"/>
      <c r="G427" s="852" t="n"/>
      <c r="H427" s="888" t="n"/>
      <c r="I427" s="889" t="n"/>
      <c r="J427" s="888" t="n"/>
      <c r="K427">
        <f>SUM(H427:J427)</f>
        <v/>
      </c>
      <c r="L427" s="852" t="n"/>
      <c r="M427" s="852" t="n"/>
      <c r="N427" s="852" t="n"/>
      <c r="O427" s="852" t="n"/>
      <c r="P427" s="852" t="n"/>
      <c r="Q427" s="852" t="n"/>
      <c r="R427" s="852" t="n"/>
      <c r="S427" s="852" t="n"/>
      <c r="T427" s="852" t="n"/>
      <c r="U427" s="852" t="n"/>
      <c r="V427" s="852" t="n"/>
      <c r="W427" s="852" t="n"/>
      <c r="X427" s="852" t="n"/>
      <c r="Y427" s="852" t="n"/>
      <c r="Z427" s="852" t="n"/>
      <c r="AA427" s="852" t="n"/>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c r="CL427" s="59" t="n"/>
      <c r="CM427" s="59" t="n"/>
      <c r="CN427" s="59" t="n"/>
    </row>
    <row r="428" ht="15" customFormat="1" customHeight="1" s="3">
      <c r="A428">
        <f>IF(C428="","",ROW()-2)</f>
        <v/>
      </c>
      <c r="B428" s="852" t="n"/>
      <c r="C428" s="852" t="n"/>
      <c r="D428">
        <f>IF(C428="TOH","Type 1",IF(C428="POH","Type 2",IF(OR(C428="LTO",C428="TOH-LC",C428="TOH - LC"),"Type 3",IF(C428="Flourish","Type 4","Type 1"))))</f>
        <v/>
      </c>
      <c r="E428" s="852" t="n"/>
      <c r="F428" s="852" t="n"/>
      <c r="G428" s="852" t="n"/>
      <c r="H428" s="888" t="n"/>
      <c r="I428" s="889" t="n"/>
      <c r="J428" s="888" t="n"/>
      <c r="K428">
        <f>SUM(H428:J428)</f>
        <v/>
      </c>
      <c r="L428" s="852" t="n"/>
      <c r="M428" s="852" t="n"/>
      <c r="N428" s="852" t="n"/>
      <c r="O428" s="852" t="n"/>
      <c r="P428" s="852" t="n"/>
      <c r="Q428" s="852" t="n"/>
      <c r="R428" s="852" t="n"/>
      <c r="S428" s="852" t="n"/>
      <c r="T428" s="852" t="n"/>
      <c r="U428" s="852" t="n"/>
      <c r="V428" s="852" t="n"/>
      <c r="W428" s="852" t="n"/>
      <c r="X428" s="852" t="n"/>
      <c r="Y428" s="852" t="n"/>
      <c r="Z428" s="852" t="n"/>
      <c r="AA428" s="852" t="n"/>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c r="CL428" s="59" t="n"/>
      <c r="CM428" s="59" t="n"/>
      <c r="CN428" s="59" t="n"/>
    </row>
    <row r="429" ht="15" customFormat="1" customHeight="1" s="3">
      <c r="A429">
        <f>IF(C429="","",ROW()-2)</f>
        <v/>
      </c>
      <c r="B429" s="852" t="n"/>
      <c r="C429" s="852" t="n"/>
      <c r="D429">
        <f>IF(C429="TOH","Type 1",IF(C429="POH","Type 2",IF(OR(C429="LTO",C429="TOH-LC",C429="TOH - LC"),"Type 3",IF(C429="Flourish","Type 4","Type 1"))))</f>
        <v/>
      </c>
      <c r="E429" s="852" t="n"/>
      <c r="F429" s="852" t="n"/>
      <c r="G429" s="852" t="n"/>
      <c r="H429" s="888" t="n"/>
      <c r="I429" s="889" t="n"/>
      <c r="J429" s="888" t="n"/>
      <c r="K429">
        <f>SUM(H429:J429)</f>
        <v/>
      </c>
      <c r="L429" s="852" t="n"/>
      <c r="M429" s="852" t="n"/>
      <c r="N429" s="852" t="n"/>
      <c r="O429" s="852" t="n"/>
      <c r="P429" s="852" t="n"/>
      <c r="Q429" s="852" t="n"/>
      <c r="R429" s="852" t="n"/>
      <c r="S429" s="852" t="n"/>
      <c r="T429" s="852" t="n"/>
      <c r="U429" s="852" t="n"/>
      <c r="V429" s="852" t="n"/>
      <c r="W429" s="852" t="n"/>
      <c r="X429" s="852" t="n"/>
      <c r="Y429" s="852" t="n"/>
      <c r="Z429" s="852" t="n"/>
      <c r="AA429" s="852" t="n"/>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c r="CL429" s="59" t="n"/>
      <c r="CM429" s="59" t="n"/>
      <c r="CN429" s="59" t="n"/>
    </row>
    <row r="430" ht="15" customFormat="1" customHeight="1" s="3">
      <c r="A430">
        <f>IF(C430="","",ROW()-2)</f>
        <v/>
      </c>
      <c r="B430" s="852" t="n"/>
      <c r="C430" s="852" t="n"/>
      <c r="D430">
        <f>IF(C430="TOH","Type 1",IF(C430="POH","Type 2",IF(OR(C430="LTO",C430="TOH-LC",C430="TOH - LC"),"Type 3",IF(C430="Flourish","Type 4","Type 1"))))</f>
        <v/>
      </c>
      <c r="E430" s="852" t="n"/>
      <c r="F430" s="852" t="n"/>
      <c r="G430" s="852" t="n"/>
      <c r="H430" s="888" t="n"/>
      <c r="I430" s="889" t="n"/>
      <c r="J430" s="888" t="n"/>
      <c r="K430">
        <f>SUM(H430:J430)</f>
        <v/>
      </c>
      <c r="L430" s="852" t="n"/>
      <c r="M430" s="852" t="n"/>
      <c r="N430" s="852" t="n"/>
      <c r="O430" s="852" t="n"/>
      <c r="P430" s="852" t="n"/>
      <c r="Q430" s="852" t="n"/>
      <c r="R430" s="852" t="n"/>
      <c r="S430" s="852" t="n"/>
      <c r="T430" s="852" t="n"/>
      <c r="U430" s="852" t="n"/>
      <c r="V430" s="852" t="n"/>
      <c r="W430" s="852" t="n"/>
      <c r="X430" s="852" t="n"/>
      <c r="Y430" s="852" t="n"/>
      <c r="Z430" s="852" t="n"/>
      <c r="AA430" s="852" t="n"/>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c r="CL430" s="59" t="n"/>
      <c r="CM430" s="59" t="n"/>
      <c r="CN430" s="59" t="n"/>
    </row>
    <row r="431" ht="15" customFormat="1" customHeight="1" s="3">
      <c r="A431">
        <f>IF(C431="","",ROW()-2)</f>
        <v/>
      </c>
      <c r="B431" s="852" t="n"/>
      <c r="C431" s="852" t="n"/>
      <c r="D431">
        <f>IF(C431="TOH","Type 1",IF(C431="POH","Type 2",IF(OR(C431="LTO",C431="TOH-LC",C431="TOH - LC"),"Type 3",IF(C431="Flourish","Type 4","Type 1"))))</f>
        <v/>
      </c>
      <c r="E431" s="852" t="n"/>
      <c r="F431" s="852" t="n"/>
      <c r="G431" s="852" t="n"/>
      <c r="H431" s="888" t="n"/>
      <c r="I431" s="889" t="n"/>
      <c r="J431" s="888" t="n"/>
      <c r="K431">
        <f>SUM(H431:J431)</f>
        <v/>
      </c>
      <c r="L431" s="852" t="n"/>
      <c r="M431" s="852" t="n"/>
      <c r="N431" s="852" t="n"/>
      <c r="O431" s="852" t="n"/>
      <c r="P431" s="852" t="n"/>
      <c r="Q431" s="852" t="n"/>
      <c r="R431" s="852" t="n"/>
      <c r="S431" s="852" t="n"/>
      <c r="T431" s="852" t="n"/>
      <c r="U431" s="852" t="n"/>
      <c r="V431" s="852" t="n"/>
      <c r="W431" s="852" t="n"/>
      <c r="X431" s="852" t="n"/>
      <c r="Y431" s="852" t="n"/>
      <c r="Z431" s="852" t="n"/>
      <c r="AA431" s="852" t="n"/>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c r="CL431" s="59" t="n"/>
      <c r="CM431" s="59" t="n"/>
      <c r="CN431" s="59" t="n"/>
    </row>
    <row r="432" ht="15" customFormat="1" customHeight="1" s="3">
      <c r="A432">
        <f>IF(C432="","",ROW()-2)</f>
        <v/>
      </c>
      <c r="B432" s="852" t="n"/>
      <c r="C432" s="852" t="n"/>
      <c r="D432">
        <f>IF(C432="TOH","Type 1",IF(C432="POH","Type 2",IF(OR(C432="LTO",C432="TOH-LC",C432="TOH - LC"),"Type 3",IF(C432="Flourish","Type 4","Type 1"))))</f>
        <v/>
      </c>
      <c r="E432" s="852" t="n"/>
      <c r="F432" s="852" t="n"/>
      <c r="G432" s="852" t="n"/>
      <c r="H432" s="888" t="n"/>
      <c r="I432" s="889" t="n"/>
      <c r="J432" s="888" t="n"/>
      <c r="K432">
        <f>SUM(H432:J432)</f>
        <v/>
      </c>
      <c r="L432" s="852" t="n"/>
      <c r="M432" s="852" t="n"/>
      <c r="N432" s="852" t="n"/>
      <c r="O432" s="852" t="n"/>
      <c r="P432" s="852" t="n"/>
      <c r="Q432" s="852" t="n"/>
      <c r="R432" s="852" t="n"/>
      <c r="S432" s="852" t="n"/>
      <c r="T432" s="852" t="n"/>
      <c r="U432" s="852" t="n"/>
      <c r="V432" s="852" t="n"/>
      <c r="W432" s="852" t="n"/>
      <c r="X432" s="852" t="n"/>
      <c r="Y432" s="852" t="n"/>
      <c r="Z432" s="852" t="n"/>
      <c r="AA432" s="852" t="n"/>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c r="CL432" s="59" t="n"/>
      <c r="CM432" s="59" t="n"/>
      <c r="CN432" s="59" t="n"/>
    </row>
    <row r="433" ht="15" customFormat="1" customHeight="1" s="3">
      <c r="A433">
        <f>IF(C433="","",ROW()-2)</f>
        <v/>
      </c>
      <c r="B433" s="852" t="n"/>
      <c r="C433" s="852" t="n"/>
      <c r="D433">
        <f>IF(C433="TOH","Type 1",IF(C433="POH","Type 2",IF(OR(C433="LTO",C433="TOH-LC",C433="TOH - LC"),"Type 3",IF(C433="Flourish","Type 4","Type 1"))))</f>
        <v/>
      </c>
      <c r="E433" s="852" t="n"/>
      <c r="F433" s="852" t="n"/>
      <c r="G433" s="852" t="n"/>
      <c r="H433" s="888" t="n"/>
      <c r="I433" s="889" t="n"/>
      <c r="J433" s="888" t="n"/>
      <c r="K433">
        <f>SUM(H433:J433)</f>
        <v/>
      </c>
      <c r="L433" s="852" t="n"/>
      <c r="M433" s="852" t="n"/>
      <c r="N433" s="852" t="n"/>
      <c r="O433" s="852" t="n"/>
      <c r="P433" s="852" t="n"/>
      <c r="Q433" s="852" t="n"/>
      <c r="R433" s="852" t="n"/>
      <c r="S433" s="852" t="n"/>
      <c r="T433" s="852" t="n"/>
      <c r="U433" s="852" t="n"/>
      <c r="V433" s="852" t="n"/>
      <c r="W433" s="852" t="n"/>
      <c r="X433" s="852" t="n"/>
      <c r="Y433" s="852" t="n"/>
      <c r="Z433" s="852" t="n"/>
      <c r="AA433" s="852" t="n"/>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c r="CL433" s="59" t="n"/>
      <c r="CM433" s="59" t="n"/>
      <c r="CN433" s="59" t="n"/>
    </row>
    <row r="434" ht="15" customFormat="1" customHeight="1" s="3">
      <c r="A434">
        <f>IF(C434="","",ROW()-2)</f>
        <v/>
      </c>
      <c r="B434" s="852" t="n"/>
      <c r="C434" s="852" t="n"/>
      <c r="D434">
        <f>IF(C434="TOH","Type 1",IF(C434="POH","Type 2",IF(OR(C434="LTO",C434="TOH-LC",C434="TOH - LC"),"Type 3",IF(C434="Flourish","Type 4","Type 1"))))</f>
        <v/>
      </c>
      <c r="E434" s="852" t="n"/>
      <c r="F434" s="852" t="n"/>
      <c r="G434" s="852" t="n"/>
      <c r="H434" s="888" t="n"/>
      <c r="I434" s="889" t="n"/>
      <c r="J434" s="888" t="n"/>
      <c r="K434">
        <f>SUM(H434:J434)</f>
        <v/>
      </c>
      <c r="L434" s="852" t="n"/>
      <c r="M434" s="852" t="n"/>
      <c r="N434" s="852" t="n"/>
      <c r="O434" s="852" t="n"/>
      <c r="P434" s="852" t="n"/>
      <c r="Q434" s="852" t="n"/>
      <c r="R434" s="852" t="n"/>
      <c r="S434" s="852" t="n"/>
      <c r="T434" s="852" t="n"/>
      <c r="U434" s="852" t="n"/>
      <c r="V434" s="852" t="n"/>
      <c r="W434" s="852" t="n"/>
      <c r="X434" s="852" t="n"/>
      <c r="Y434" s="852" t="n"/>
      <c r="Z434" s="852" t="n"/>
      <c r="AA434" s="852" t="n"/>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c r="CL434" s="59" t="n"/>
      <c r="CM434" s="59" t="n"/>
      <c r="CN434" s="59" t="n"/>
    </row>
    <row r="435" ht="15" customFormat="1" customHeight="1" s="3">
      <c r="A435">
        <f>IF(C435="","",ROW()-2)</f>
        <v/>
      </c>
      <c r="B435" s="852" t="n"/>
      <c r="C435" s="852" t="n"/>
      <c r="D435">
        <f>IF(C435="TOH","Type 1",IF(C435="POH","Type 2",IF(OR(C435="LTO",C435="TOH-LC",C435="TOH - LC"),"Type 3",IF(C435="Flourish","Type 4","Type 1"))))</f>
        <v/>
      </c>
      <c r="E435" s="852" t="n"/>
      <c r="F435" s="852" t="n"/>
      <c r="G435" s="852" t="n"/>
      <c r="H435" s="888" t="n"/>
      <c r="I435" s="889" t="n"/>
      <c r="J435" s="888" t="n"/>
      <c r="K435">
        <f>SUM(H435:J435)</f>
        <v/>
      </c>
      <c r="L435" s="852" t="n"/>
      <c r="M435" s="852" t="n"/>
      <c r="N435" s="852" t="n"/>
      <c r="O435" s="852" t="n"/>
      <c r="P435" s="852" t="n"/>
      <c r="Q435" s="852" t="n"/>
      <c r="R435" s="852" t="n"/>
      <c r="S435" s="852" t="n"/>
      <c r="T435" s="852" t="n"/>
      <c r="U435" s="852" t="n"/>
      <c r="V435" s="852" t="n"/>
      <c r="W435" s="852" t="n"/>
      <c r="X435" s="852" t="n"/>
      <c r="Y435" s="852" t="n"/>
      <c r="Z435" s="852" t="n"/>
      <c r="AA435" s="852" t="n"/>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c r="CL435" s="59" t="n"/>
      <c r="CM435" s="59" t="n"/>
      <c r="CN435" s="59" t="n"/>
    </row>
    <row r="436" ht="15" customFormat="1" customHeight="1" s="3">
      <c r="A436">
        <f>IF(C436="","",ROW()-2)</f>
        <v/>
      </c>
      <c r="B436" s="852" t="n"/>
      <c r="C436" s="852" t="n"/>
      <c r="D436">
        <f>IF(C436="TOH","Type 1",IF(C436="POH","Type 2",IF(OR(C436="LTO",C436="TOH-LC",C436="TOH - LC"),"Type 3",IF(C436="Flourish","Type 4","Type 1"))))</f>
        <v/>
      </c>
      <c r="E436" s="852" t="n"/>
      <c r="F436" s="852" t="n"/>
      <c r="G436" s="852" t="n"/>
      <c r="H436" s="888" t="n"/>
      <c r="I436" s="889" t="n"/>
      <c r="J436" s="888" t="n"/>
      <c r="K436">
        <f>SUM(H436:J436)</f>
        <v/>
      </c>
      <c r="L436" s="852" t="n"/>
      <c r="M436" s="852" t="n"/>
      <c r="N436" s="852" t="n"/>
      <c r="O436" s="852" t="n"/>
      <c r="P436" s="852" t="n"/>
      <c r="Q436" s="852" t="n"/>
      <c r="R436" s="852" t="n"/>
      <c r="S436" s="852" t="n"/>
      <c r="T436" s="852" t="n"/>
      <c r="U436" s="852" t="n"/>
      <c r="V436" s="852" t="n"/>
      <c r="W436" s="852" t="n"/>
      <c r="X436" s="852" t="n"/>
      <c r="Y436" s="852" t="n"/>
      <c r="Z436" s="852" t="n"/>
      <c r="AA436" s="852" t="n"/>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c r="CL436" s="59" t="n"/>
      <c r="CM436" s="59" t="n"/>
      <c r="CN436" s="59" t="n"/>
    </row>
    <row r="437" ht="15" customFormat="1" customHeight="1" s="3">
      <c r="A437">
        <f>IF(C437="","",ROW()-2)</f>
        <v/>
      </c>
      <c r="B437" s="852" t="n"/>
      <c r="C437" s="852" t="n"/>
      <c r="D437">
        <f>IF(C437="TOH","Type 1",IF(C437="POH","Type 2",IF(OR(C437="LTO",C437="TOH-LC",C437="TOH - LC"),"Type 3",IF(C437="Flourish","Type 4","Type 1"))))</f>
        <v/>
      </c>
      <c r="E437" s="852" t="n"/>
      <c r="F437" s="852" t="n"/>
      <c r="G437" s="852" t="n"/>
      <c r="H437" s="888" t="n"/>
      <c r="I437" s="889" t="n"/>
      <c r="J437" s="888" t="n"/>
      <c r="K437">
        <f>SUM(H437:J437)</f>
        <v/>
      </c>
      <c r="L437" s="852" t="n"/>
      <c r="M437" s="852" t="n"/>
      <c r="N437" s="852" t="n"/>
      <c r="O437" s="852" t="n"/>
      <c r="P437" s="852" t="n"/>
      <c r="Q437" s="852" t="n"/>
      <c r="R437" s="852" t="n"/>
      <c r="S437" s="852" t="n"/>
      <c r="T437" s="852" t="n"/>
      <c r="U437" s="852" t="n"/>
      <c r="V437" s="852" t="n"/>
      <c r="W437" s="852" t="n"/>
      <c r="X437" s="852" t="n"/>
      <c r="Y437" s="852" t="n"/>
      <c r="Z437" s="852" t="n"/>
      <c r="AA437" s="852" t="n"/>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c r="CL437" s="59" t="n"/>
      <c r="CM437" s="59" t="n"/>
      <c r="CN437" s="59" t="n"/>
    </row>
    <row r="438" ht="15" customFormat="1" customHeight="1" s="3">
      <c r="A438">
        <f>IF(C438="","",ROW()-2)</f>
        <v/>
      </c>
      <c r="B438" s="852" t="n"/>
      <c r="C438" s="852" t="n"/>
      <c r="D438">
        <f>IF(C438="TOH","Type 1",IF(C438="POH","Type 2",IF(OR(C438="LTO",C438="TOH-LC",C438="TOH - LC"),"Type 3",IF(C438="Flourish","Type 4","Type 1"))))</f>
        <v/>
      </c>
      <c r="E438" s="852" t="n"/>
      <c r="F438" s="852" t="n"/>
      <c r="G438" s="852" t="n"/>
      <c r="H438" s="888" t="n"/>
      <c r="I438" s="889" t="n"/>
      <c r="J438" s="888" t="n"/>
      <c r="K438">
        <f>SUM(H438:J438)</f>
        <v/>
      </c>
      <c r="L438" s="852" t="n"/>
      <c r="M438" s="852" t="n"/>
      <c r="N438" s="852" t="n"/>
      <c r="O438" s="852" t="n"/>
      <c r="P438" s="852" t="n"/>
      <c r="Q438" s="852" t="n"/>
      <c r="R438" s="852" t="n"/>
      <c r="S438" s="852" t="n"/>
      <c r="T438" s="852" t="n"/>
      <c r="U438" s="852" t="n"/>
      <c r="V438" s="852" t="n"/>
      <c r="W438" s="852" t="n"/>
      <c r="X438" s="852" t="n"/>
      <c r="Y438" s="852" t="n"/>
      <c r="Z438" s="852" t="n"/>
      <c r="AA438" s="852" t="n"/>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c r="CL438" s="59" t="n"/>
      <c r="CM438" s="59" t="n"/>
      <c r="CN438" s="59" t="n"/>
    </row>
    <row r="439" ht="15" customFormat="1" customHeight="1" s="3">
      <c r="A439">
        <f>IF(C439="","",ROW()-2)</f>
        <v/>
      </c>
      <c r="B439" s="852" t="n"/>
      <c r="C439" s="852" t="n"/>
      <c r="D439">
        <f>IF(C439="TOH","Type 1",IF(C439="POH","Type 2",IF(OR(C439="LTO",C439="TOH-LC",C439="TOH - LC"),"Type 3",IF(C439="Flourish","Type 4","Type 1"))))</f>
        <v/>
      </c>
      <c r="E439" s="852" t="n"/>
      <c r="F439" s="852" t="n"/>
      <c r="G439" s="852" t="n"/>
      <c r="H439" s="888" t="n"/>
      <c r="I439" s="889" t="n"/>
      <c r="J439" s="888" t="n"/>
      <c r="K439">
        <f>SUM(H439:J439)</f>
        <v/>
      </c>
      <c r="L439" s="852" t="n"/>
      <c r="M439" s="852" t="n"/>
      <c r="N439" s="852" t="n"/>
      <c r="O439" s="852" t="n"/>
      <c r="P439" s="852" t="n"/>
      <c r="Q439" s="852" t="n"/>
      <c r="R439" s="852" t="n"/>
      <c r="S439" s="852" t="n"/>
      <c r="T439" s="852" t="n"/>
      <c r="U439" s="852" t="n"/>
      <c r="V439" s="852" t="n"/>
      <c r="W439" s="852" t="n"/>
      <c r="X439" s="852" t="n"/>
      <c r="Y439" s="852" t="n"/>
      <c r="Z439" s="852" t="n"/>
      <c r="AA439" s="852" t="n"/>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c r="CL439" s="59" t="n"/>
      <c r="CM439" s="59" t="n"/>
      <c r="CN439" s="59" t="n"/>
    </row>
    <row r="440" ht="15" customFormat="1" customHeight="1" s="3">
      <c r="A440">
        <f>IF(C440="","",ROW()-2)</f>
        <v/>
      </c>
      <c r="B440" s="852" t="n"/>
      <c r="C440" s="852" t="n"/>
      <c r="D440">
        <f>IF(C440="TOH","Type 1",IF(C440="POH","Type 2",IF(OR(C440="LTO",C440="TOH-LC",C440="TOH - LC"),"Type 3",IF(C440="Flourish","Type 4","Type 1"))))</f>
        <v/>
      </c>
      <c r="E440" s="852" t="n"/>
      <c r="F440" s="852" t="n"/>
      <c r="G440" s="852" t="n"/>
      <c r="H440" s="888" t="n"/>
      <c r="I440" s="889" t="n"/>
      <c r="J440" s="888" t="n"/>
      <c r="K440">
        <f>SUM(H440:J440)</f>
        <v/>
      </c>
      <c r="L440" s="852" t="n"/>
      <c r="M440" s="852" t="n"/>
      <c r="N440" s="852" t="n"/>
      <c r="O440" s="852" t="n"/>
      <c r="P440" s="852" t="n"/>
      <c r="Q440" s="852" t="n"/>
      <c r="R440" s="852" t="n"/>
      <c r="S440" s="852" t="n"/>
      <c r="T440" s="852" t="n"/>
      <c r="U440" s="852" t="n"/>
      <c r="V440" s="852" t="n"/>
      <c r="W440" s="852" t="n"/>
      <c r="X440" s="852" t="n"/>
      <c r="Y440" s="852" t="n"/>
      <c r="Z440" s="852" t="n"/>
      <c r="AA440" s="852" t="n"/>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c r="CL440" s="59" t="n"/>
      <c r="CM440" s="59" t="n"/>
      <c r="CN440" s="59" t="n"/>
    </row>
    <row r="441" ht="15" customFormat="1" customHeight="1" s="3">
      <c r="A441">
        <f>IF(C441="","",ROW()-2)</f>
        <v/>
      </c>
      <c r="B441" s="852" t="n"/>
      <c r="C441" s="852" t="n"/>
      <c r="D441">
        <f>IF(C441="TOH","Type 1",IF(C441="POH","Type 2",IF(OR(C441="LTO",C441="TOH-LC",C441="TOH - LC"),"Type 3",IF(C441="Flourish","Type 4","Type 1"))))</f>
        <v/>
      </c>
      <c r="E441" s="852" t="n"/>
      <c r="F441" s="852" t="n"/>
      <c r="G441" s="852" t="n"/>
      <c r="H441" s="888" t="n"/>
      <c r="I441" s="889" t="n"/>
      <c r="J441" s="888" t="n"/>
      <c r="K441">
        <f>SUM(H441:J441)</f>
        <v/>
      </c>
      <c r="L441" s="852" t="n"/>
      <c r="M441" s="852" t="n"/>
      <c r="N441" s="852" t="n"/>
      <c r="O441" s="852" t="n"/>
      <c r="P441" s="852" t="n"/>
      <c r="Q441" s="852" t="n"/>
      <c r="R441" s="852" t="n"/>
      <c r="S441" s="852" t="n"/>
      <c r="T441" s="852" t="n"/>
      <c r="U441" s="852" t="n"/>
      <c r="V441" s="852" t="n"/>
      <c r="W441" s="852" t="n"/>
      <c r="X441" s="852" t="n"/>
      <c r="Y441" s="852" t="n"/>
      <c r="Z441" s="852" t="n"/>
      <c r="AA441" s="852" t="n"/>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c r="CL441" s="59" t="n"/>
      <c r="CM441" s="59" t="n"/>
      <c r="CN441" s="59" t="n"/>
    </row>
    <row r="442" ht="15" customFormat="1" customHeight="1" s="3">
      <c r="A442">
        <f>IF(C442="","",ROW()-2)</f>
        <v/>
      </c>
      <c r="B442" s="852" t="n"/>
      <c r="C442" s="852" t="n"/>
      <c r="D442">
        <f>IF(C442="TOH","Type 1",IF(C442="POH","Type 2",IF(OR(C442="LTO",C442="TOH-LC",C442="TOH - LC"),"Type 3",IF(C442="Flourish","Type 4","Type 1"))))</f>
        <v/>
      </c>
      <c r="E442" s="852" t="n"/>
      <c r="F442" s="852" t="n"/>
      <c r="G442" s="852" t="n"/>
      <c r="H442" s="888" t="n"/>
      <c r="I442" s="889" t="n"/>
      <c r="J442" s="888" t="n"/>
      <c r="K442">
        <f>SUM(H442:J442)</f>
        <v/>
      </c>
      <c r="L442" s="852" t="n"/>
      <c r="M442" s="852" t="n"/>
      <c r="N442" s="852" t="n"/>
      <c r="O442" s="852" t="n"/>
      <c r="P442" s="852" t="n"/>
      <c r="Q442" s="852" t="n"/>
      <c r="R442" s="852" t="n"/>
      <c r="S442" s="852" t="n"/>
      <c r="T442" s="852" t="n"/>
      <c r="U442" s="852" t="n"/>
      <c r="V442" s="852" t="n"/>
      <c r="W442" s="852" t="n"/>
      <c r="X442" s="852" t="n"/>
      <c r="Y442" s="852" t="n"/>
      <c r="Z442" s="852" t="n"/>
      <c r="AA442" s="852" t="n"/>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c r="CL442" s="59" t="n"/>
      <c r="CM442" s="59" t="n"/>
      <c r="CN442" s="59" t="n"/>
    </row>
    <row r="443" ht="15" customFormat="1" customHeight="1" s="3">
      <c r="A443">
        <f>IF(C443="","",ROW()-2)</f>
        <v/>
      </c>
      <c r="B443" s="852" t="n"/>
      <c r="C443" s="852" t="n"/>
      <c r="D443">
        <f>IF(C443="TOH","Type 1",IF(C443="POH","Type 2",IF(OR(C443="LTO",C443="TOH-LC",C443="TOH - LC"),"Type 3",IF(C443="Flourish","Type 4","Type 1"))))</f>
        <v/>
      </c>
      <c r="E443" s="852" t="n"/>
      <c r="F443" s="852" t="n"/>
      <c r="G443" s="852" t="n"/>
      <c r="H443" s="888" t="n"/>
      <c r="I443" s="889" t="n"/>
      <c r="J443" s="888" t="n"/>
      <c r="K443">
        <f>SUM(H443:J443)</f>
        <v/>
      </c>
      <c r="L443" s="852" t="n"/>
      <c r="M443" s="852" t="n"/>
      <c r="N443" s="852" t="n"/>
      <c r="O443" s="852" t="n"/>
      <c r="P443" s="852" t="n"/>
      <c r="Q443" s="852" t="n"/>
      <c r="R443" s="852" t="n"/>
      <c r="S443" s="852" t="n"/>
      <c r="T443" s="852" t="n"/>
      <c r="U443" s="852" t="n"/>
      <c r="V443" s="852" t="n"/>
      <c r="W443" s="852" t="n"/>
      <c r="X443" s="852" t="n"/>
      <c r="Y443" s="852" t="n"/>
      <c r="Z443" s="852" t="n"/>
      <c r="AA443" s="852" t="n"/>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c r="CL443" s="59" t="n"/>
      <c r="CM443" s="59" t="n"/>
      <c r="CN443" s="59" t="n"/>
    </row>
    <row r="444" ht="15" customFormat="1" customHeight="1" s="3">
      <c r="A444">
        <f>IF(C444="","",ROW()-2)</f>
        <v/>
      </c>
      <c r="B444" s="852" t="n"/>
      <c r="C444" s="852" t="n"/>
      <c r="D444">
        <f>IF(C444="TOH","Type 1",IF(C444="POH","Type 2",IF(OR(C444="LTO",C444="TOH-LC",C444="TOH - LC"),"Type 3",IF(C444="Flourish","Type 4","Type 1"))))</f>
        <v/>
      </c>
      <c r="E444" s="852" t="n"/>
      <c r="F444" s="852" t="n"/>
      <c r="G444" s="852" t="n"/>
      <c r="H444" s="888" t="n"/>
      <c r="I444" s="889" t="n"/>
      <c r="J444" s="888" t="n"/>
      <c r="K444">
        <f>SUM(H444:J444)</f>
        <v/>
      </c>
      <c r="L444" s="852" t="n"/>
      <c r="M444" s="852" t="n"/>
      <c r="N444" s="852" t="n"/>
      <c r="O444" s="852" t="n"/>
      <c r="P444" s="852" t="n"/>
      <c r="Q444" s="852" t="n"/>
      <c r="R444" s="852" t="n"/>
      <c r="S444" s="852" t="n"/>
      <c r="T444" s="852" t="n"/>
      <c r="U444" s="852" t="n"/>
      <c r="V444" s="852" t="n"/>
      <c r="W444" s="852" t="n"/>
      <c r="X444" s="852" t="n"/>
      <c r="Y444" s="852" t="n"/>
      <c r="Z444" s="852" t="n"/>
      <c r="AA444" s="852" t="n"/>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c r="CL444" s="59" t="n"/>
      <c r="CM444" s="59" t="n"/>
      <c r="CN444" s="59" t="n"/>
    </row>
    <row r="445" ht="15" customFormat="1" customHeight="1" s="3">
      <c r="A445">
        <f>IF(C445="","",ROW()-2)</f>
        <v/>
      </c>
      <c r="B445" s="852" t="n"/>
      <c r="C445" s="852" t="n"/>
      <c r="D445">
        <f>IF(C445="TOH","Type 1",IF(C445="POH","Type 2",IF(OR(C445="LTO",C445="TOH-LC",C445="TOH - LC"),"Type 3",IF(C445="Flourish","Type 4","Type 1"))))</f>
        <v/>
      </c>
      <c r="E445" s="852" t="n"/>
      <c r="F445" s="852" t="n"/>
      <c r="G445" s="852" t="n"/>
      <c r="H445" s="888" t="n"/>
      <c r="I445" s="889" t="n"/>
      <c r="J445" s="888" t="n"/>
      <c r="K445">
        <f>SUM(H445:J445)</f>
        <v/>
      </c>
      <c r="L445" s="852" t="n"/>
      <c r="M445" s="852" t="n"/>
      <c r="N445" s="852" t="n"/>
      <c r="O445" s="852" t="n"/>
      <c r="P445" s="852" t="n"/>
      <c r="Q445" s="852" t="n"/>
      <c r="R445" s="852" t="n"/>
      <c r="S445" s="852" t="n"/>
      <c r="T445" s="852" t="n"/>
      <c r="U445" s="852" t="n"/>
      <c r="V445" s="852" t="n"/>
      <c r="W445" s="852" t="n"/>
      <c r="X445" s="852" t="n"/>
      <c r="Y445" s="852" t="n"/>
      <c r="Z445" s="852" t="n"/>
      <c r="AA445" s="852" t="n"/>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c r="CL445" s="59" t="n"/>
      <c r="CM445" s="59" t="n"/>
      <c r="CN445" s="59" t="n"/>
    </row>
    <row r="446" ht="15" customFormat="1" customHeight="1" s="3">
      <c r="A446">
        <f>IF(C446="","",ROW()-2)</f>
        <v/>
      </c>
      <c r="B446" s="852" t="n"/>
      <c r="C446" s="852" t="n"/>
      <c r="D446">
        <f>IF(C446="TOH","Type 1",IF(C446="POH","Type 2",IF(OR(C446="LTO",C446="TOH-LC",C446="TOH - LC"),"Type 3",IF(C446="Flourish","Type 4","Type 1"))))</f>
        <v/>
      </c>
      <c r="E446" s="852" t="n"/>
      <c r="F446" s="852" t="n"/>
      <c r="G446" s="852" t="n"/>
      <c r="H446" s="888" t="n"/>
      <c r="I446" s="889" t="n"/>
      <c r="J446" s="888" t="n"/>
      <c r="K446">
        <f>SUM(H446:J446)</f>
        <v/>
      </c>
      <c r="L446" s="852" t="n"/>
      <c r="M446" s="852" t="n"/>
      <c r="N446" s="852" t="n"/>
      <c r="O446" s="852" t="n"/>
      <c r="P446" s="852" t="n"/>
      <c r="Q446" s="852" t="n"/>
      <c r="R446" s="852" t="n"/>
      <c r="S446" s="852" t="n"/>
      <c r="T446" s="852" t="n"/>
      <c r="U446" s="852" t="n"/>
      <c r="V446" s="852" t="n"/>
      <c r="W446" s="852" t="n"/>
      <c r="X446" s="852" t="n"/>
      <c r="Y446" s="852" t="n"/>
      <c r="Z446" s="852" t="n"/>
      <c r="AA446" s="852" t="n"/>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c r="CL446" s="59" t="n"/>
      <c r="CM446" s="59" t="n"/>
      <c r="CN446" s="59" t="n"/>
    </row>
    <row r="447" ht="15" customFormat="1" customHeight="1" s="3">
      <c r="A447">
        <f>IF(C447="","",ROW()-2)</f>
        <v/>
      </c>
      <c r="B447" s="852" t="n"/>
      <c r="C447" s="852" t="n"/>
      <c r="D447">
        <f>IF(C447="TOH","Type 1",IF(C447="POH","Type 2",IF(OR(C447="LTO",C447="TOH-LC",C447="TOH - LC"),"Type 3",IF(C447="Flourish","Type 4","Type 1"))))</f>
        <v/>
      </c>
      <c r="E447" s="852" t="n"/>
      <c r="F447" s="852" t="n"/>
      <c r="G447" s="852" t="n"/>
      <c r="H447" s="888" t="n"/>
      <c r="I447" s="889" t="n"/>
      <c r="J447" s="888" t="n"/>
      <c r="K447">
        <f>SUM(H447:J447)</f>
        <v/>
      </c>
      <c r="L447" s="852" t="n"/>
      <c r="M447" s="852" t="n"/>
      <c r="N447" s="852" t="n"/>
      <c r="O447" s="852" t="n"/>
      <c r="P447" s="852" t="n"/>
      <c r="Q447" s="852" t="n"/>
      <c r="R447" s="852" t="n"/>
      <c r="S447" s="852" t="n"/>
      <c r="T447" s="852" t="n"/>
      <c r="U447" s="852" t="n"/>
      <c r="V447" s="852" t="n"/>
      <c r="W447" s="852" t="n"/>
      <c r="X447" s="852" t="n"/>
      <c r="Y447" s="852" t="n"/>
      <c r="Z447" s="852" t="n"/>
      <c r="AA447" s="852" t="n"/>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c r="CL447" s="59" t="n"/>
      <c r="CM447" s="59" t="n"/>
      <c r="CN447" s="59" t="n"/>
    </row>
    <row r="448" ht="15" customFormat="1" customHeight="1" s="3">
      <c r="A448">
        <f>IF(C448="","",ROW()-2)</f>
        <v/>
      </c>
      <c r="B448" s="852" t="n"/>
      <c r="C448" s="852" t="n"/>
      <c r="D448">
        <f>IF(C448="TOH","Type 1",IF(C448="POH","Type 2",IF(OR(C448="LTO",C448="TOH-LC",C448="TOH - LC"),"Type 3",IF(C448="Flourish","Type 4","Type 1"))))</f>
        <v/>
      </c>
      <c r="E448" s="852" t="n"/>
      <c r="F448" s="852" t="n"/>
      <c r="G448" s="852" t="n"/>
      <c r="H448" s="888" t="n"/>
      <c r="I448" s="889" t="n"/>
      <c r="J448" s="888" t="n"/>
      <c r="K448">
        <f>SUM(H448:J448)</f>
        <v/>
      </c>
      <c r="L448" s="852" t="n"/>
      <c r="M448" s="852" t="n"/>
      <c r="N448" s="852" t="n"/>
      <c r="O448" s="852" t="n"/>
      <c r="P448" s="852" t="n"/>
      <c r="Q448" s="852" t="n"/>
      <c r="R448" s="852" t="n"/>
      <c r="S448" s="852" t="n"/>
      <c r="T448" s="852" t="n"/>
      <c r="U448" s="852" t="n"/>
      <c r="V448" s="852" t="n"/>
      <c r="W448" s="852" t="n"/>
      <c r="X448" s="852" t="n"/>
      <c r="Y448" s="852" t="n"/>
      <c r="Z448" s="852" t="n"/>
      <c r="AA448" s="852" t="n"/>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c r="CL448" s="59" t="n"/>
      <c r="CM448" s="59" t="n"/>
      <c r="CN448" s="59" t="n"/>
    </row>
    <row r="449" ht="15" customFormat="1" customHeight="1" s="3">
      <c r="A449">
        <f>IF(C449="","",ROW()-2)</f>
        <v/>
      </c>
      <c r="B449" s="852" t="n"/>
      <c r="C449" s="852" t="n"/>
      <c r="D449">
        <f>IF(C449="TOH","Type 1",IF(C449="POH","Type 2",IF(OR(C449="LTO",C449="TOH-LC",C449="TOH - LC"),"Type 3",IF(C449="Flourish","Type 4","Type 1"))))</f>
        <v/>
      </c>
      <c r="E449" s="852" t="n"/>
      <c r="F449" s="852" t="n"/>
      <c r="G449" s="852" t="n"/>
      <c r="H449" s="888" t="n"/>
      <c r="I449" s="889" t="n"/>
      <c r="J449" s="888" t="n"/>
      <c r="K449">
        <f>SUM(H449:J449)</f>
        <v/>
      </c>
      <c r="L449" s="852" t="n"/>
      <c r="M449" s="852" t="n"/>
      <c r="N449" s="852" t="n"/>
      <c r="O449" s="852" t="n"/>
      <c r="P449" s="852" t="n"/>
      <c r="Q449" s="852" t="n"/>
      <c r="R449" s="852" t="n"/>
      <c r="S449" s="852" t="n"/>
      <c r="T449" s="852" t="n"/>
      <c r="U449" s="852" t="n"/>
      <c r="V449" s="852" t="n"/>
      <c r="W449" s="852" t="n"/>
      <c r="X449" s="852" t="n"/>
      <c r="Y449" s="852" t="n"/>
      <c r="Z449" s="852" t="n"/>
      <c r="AA449" s="852" t="n"/>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c r="CL449" s="59" t="n"/>
      <c r="CM449" s="59" t="n"/>
      <c r="CN449" s="59" t="n"/>
    </row>
    <row r="450" ht="15" customFormat="1" customHeight="1" s="3">
      <c r="A450">
        <f>IF(C450="","",ROW()-2)</f>
        <v/>
      </c>
      <c r="B450" s="852" t="n"/>
      <c r="C450" s="852" t="n"/>
      <c r="D450">
        <f>IF(C450="TOH","Type 1",IF(C450="POH","Type 2",IF(OR(C450="LTO",C450="TOH-LC",C450="TOH - LC"),"Type 3",IF(C450="Flourish","Type 4","Type 1"))))</f>
        <v/>
      </c>
      <c r="E450" s="852" t="n"/>
      <c r="F450" s="852" t="n"/>
      <c r="G450" s="852" t="n"/>
      <c r="H450" s="888" t="n"/>
      <c r="I450" s="889" t="n"/>
      <c r="J450" s="888" t="n"/>
      <c r="K450">
        <f>SUM(H450:J450)</f>
        <v/>
      </c>
      <c r="L450" s="852" t="n"/>
      <c r="M450" s="852" t="n"/>
      <c r="N450" s="852" t="n"/>
      <c r="O450" s="852" t="n"/>
      <c r="P450" s="852" t="n"/>
      <c r="Q450" s="852" t="n"/>
      <c r="R450" s="852" t="n"/>
      <c r="S450" s="852" t="n"/>
      <c r="T450" s="852" t="n"/>
      <c r="U450" s="852" t="n"/>
      <c r="V450" s="852" t="n"/>
      <c r="W450" s="852" t="n"/>
      <c r="X450" s="852" t="n"/>
      <c r="Y450" s="852" t="n"/>
      <c r="Z450" s="852" t="n"/>
      <c r="AA450" s="852" t="n"/>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c r="CL450" s="59" t="n"/>
      <c r="CM450" s="59" t="n"/>
      <c r="CN450" s="59" t="n"/>
    </row>
    <row r="451" ht="15" customFormat="1" customHeight="1" s="3">
      <c r="A451">
        <f>IF(C451="","",ROW()-2)</f>
        <v/>
      </c>
      <c r="B451" s="852" t="n"/>
      <c r="C451" s="852" t="n"/>
      <c r="D451">
        <f>IF(C451="TOH","Type 1",IF(C451="POH","Type 2",IF(OR(C451="LTO",C451="TOH-LC",C451="TOH - LC"),"Type 3",IF(C451="Flourish","Type 4","Type 1"))))</f>
        <v/>
      </c>
      <c r="E451" s="852" t="n"/>
      <c r="F451" s="852" t="n"/>
      <c r="G451" s="852" t="n"/>
      <c r="H451" s="888" t="n"/>
      <c r="I451" s="889" t="n"/>
      <c r="J451" s="888" t="n"/>
      <c r="K451">
        <f>SUM(H451:J451)</f>
        <v/>
      </c>
      <c r="L451" s="852" t="n"/>
      <c r="M451" s="852" t="n"/>
      <c r="N451" s="852" t="n"/>
      <c r="O451" s="852" t="n"/>
      <c r="P451" s="852" t="n"/>
      <c r="Q451" s="852" t="n"/>
      <c r="R451" s="852" t="n"/>
      <c r="S451" s="852" t="n"/>
      <c r="T451" s="852" t="n"/>
      <c r="U451" s="852" t="n"/>
      <c r="V451" s="852" t="n"/>
      <c r="W451" s="852" t="n"/>
      <c r="X451" s="852" t="n"/>
      <c r="Y451" s="852" t="n"/>
      <c r="Z451" s="852" t="n"/>
      <c r="AA451" s="852" t="n"/>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c r="CL451" s="59" t="n"/>
      <c r="CM451" s="59" t="n"/>
      <c r="CN451" s="59" t="n"/>
    </row>
    <row r="452" ht="15" customFormat="1" customHeight="1" s="3">
      <c r="A452">
        <f>IF(C452="","",ROW()-2)</f>
        <v/>
      </c>
      <c r="B452" s="852" t="n"/>
      <c r="C452" s="852" t="n"/>
      <c r="D452">
        <f>IF(C452="TOH","Type 1",IF(C452="POH","Type 2",IF(OR(C452="LTO",C452="TOH-LC",C452="TOH - LC"),"Type 3",IF(C452="Flourish","Type 4","Type 1"))))</f>
        <v/>
      </c>
      <c r="E452" s="852" t="n"/>
      <c r="F452" s="852" t="n"/>
      <c r="G452" s="852" t="n"/>
      <c r="H452" s="888" t="n"/>
      <c r="I452" s="889" t="n"/>
      <c r="J452" s="888" t="n"/>
      <c r="K452">
        <f>SUM(H452:J452)</f>
        <v/>
      </c>
      <c r="L452" s="852" t="n"/>
      <c r="M452" s="852" t="n"/>
      <c r="N452" s="852" t="n"/>
      <c r="O452" s="852" t="n"/>
      <c r="P452" s="852" t="n"/>
      <c r="Q452" s="852" t="n"/>
      <c r="R452" s="852" t="n"/>
      <c r="S452" s="852" t="n"/>
      <c r="T452" s="852" t="n"/>
      <c r="U452" s="852" t="n"/>
      <c r="V452" s="852" t="n"/>
      <c r="W452" s="852" t="n"/>
      <c r="X452" s="852" t="n"/>
      <c r="Y452" s="852" t="n"/>
      <c r="Z452" s="852" t="n"/>
      <c r="AA452" s="852" t="n"/>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c r="CL452" s="59" t="n"/>
      <c r="CM452" s="59" t="n"/>
      <c r="CN452" s="59" t="n"/>
    </row>
    <row r="453" ht="15" customFormat="1" customHeight="1" s="3">
      <c r="A453">
        <f>IF(C453="","",ROW()-2)</f>
        <v/>
      </c>
      <c r="B453" s="852" t="n"/>
      <c r="C453" s="852" t="n"/>
      <c r="D453">
        <f>IF(C453="TOH","Type 1",IF(C453="POH","Type 2",IF(OR(C453="LTO",C453="TOH-LC",C453="TOH - LC"),"Type 3",IF(C453="Flourish","Type 4","Type 1"))))</f>
        <v/>
      </c>
      <c r="E453" s="852" t="n"/>
      <c r="F453" s="852" t="n"/>
      <c r="G453" s="852" t="n"/>
      <c r="H453" s="888" t="n"/>
      <c r="I453" s="889" t="n"/>
      <c r="J453" s="888" t="n"/>
      <c r="K453">
        <f>SUM(H453:J453)</f>
        <v/>
      </c>
      <c r="L453" s="852" t="n"/>
      <c r="M453" s="852" t="n"/>
      <c r="N453" s="852" t="n"/>
      <c r="O453" s="852" t="n"/>
      <c r="P453" s="852" t="n"/>
      <c r="Q453" s="852" t="n"/>
      <c r="R453" s="852" t="n"/>
      <c r="S453" s="852" t="n"/>
      <c r="T453" s="852" t="n"/>
      <c r="U453" s="852" t="n"/>
      <c r="V453" s="852" t="n"/>
      <c r="W453" s="852" t="n"/>
      <c r="X453" s="852" t="n"/>
      <c r="Y453" s="852" t="n"/>
      <c r="Z453" s="852" t="n"/>
      <c r="AA453" s="852" t="n"/>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c r="CL453" s="59" t="n"/>
      <c r="CM453" s="59" t="n"/>
      <c r="CN453" s="59" t="n"/>
    </row>
    <row r="454" ht="15" customFormat="1" customHeight="1" s="3">
      <c r="A454">
        <f>IF(C454="","",ROW()-2)</f>
        <v/>
      </c>
      <c r="B454" s="852" t="n"/>
      <c r="C454" s="852" t="n"/>
      <c r="D454">
        <f>IF(C454="TOH","Type 1",IF(C454="POH","Type 2",IF(OR(C454="LTO",C454="TOH-LC",C454="TOH - LC"),"Type 3",IF(C454="Flourish","Type 4","Type 1"))))</f>
        <v/>
      </c>
      <c r="E454" s="852" t="n"/>
      <c r="F454" s="852" t="n"/>
      <c r="G454" s="852" t="n"/>
      <c r="H454" s="888" t="n"/>
      <c r="I454" s="889" t="n"/>
      <c r="J454" s="888" t="n"/>
      <c r="K454">
        <f>SUM(H454:J454)</f>
        <v/>
      </c>
      <c r="L454" s="852" t="n"/>
      <c r="M454" s="852" t="n"/>
      <c r="N454" s="852" t="n"/>
      <c r="O454" s="852" t="n"/>
      <c r="P454" s="852" t="n"/>
      <c r="Q454" s="852" t="n"/>
      <c r="R454" s="852" t="n"/>
      <c r="S454" s="852" t="n"/>
      <c r="T454" s="852" t="n"/>
      <c r="U454" s="852" t="n"/>
      <c r="V454" s="852" t="n"/>
      <c r="W454" s="852" t="n"/>
      <c r="X454" s="852" t="n"/>
      <c r="Y454" s="852" t="n"/>
      <c r="Z454" s="852" t="n"/>
      <c r="AA454" s="852" t="n"/>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c r="CL454" s="59" t="n"/>
      <c r="CM454" s="59" t="n"/>
      <c r="CN454" s="59" t="n"/>
    </row>
    <row r="455" ht="15" customFormat="1" customHeight="1" s="3">
      <c r="A455">
        <f>IF(C455="","",ROW()-2)</f>
        <v/>
      </c>
      <c r="B455" s="852" t="n"/>
      <c r="C455" s="852" t="n"/>
      <c r="D455">
        <f>IF(C455="TOH","Type 1",IF(C455="POH","Type 2",IF(OR(C455="LTO",C455="TOH-LC",C455="TOH - LC"),"Type 3",IF(C455="Flourish","Type 4","Type 1"))))</f>
        <v/>
      </c>
      <c r="E455" s="852" t="n"/>
      <c r="F455" s="852" t="n"/>
      <c r="G455" s="852" t="n"/>
      <c r="H455" s="888" t="n"/>
      <c r="I455" s="889" t="n"/>
      <c r="J455" s="888" t="n"/>
      <c r="K455">
        <f>SUM(H455:J455)</f>
        <v/>
      </c>
      <c r="L455" s="852" t="n"/>
      <c r="M455" s="852" t="n"/>
      <c r="N455" s="852" t="n"/>
      <c r="O455" s="852" t="n"/>
      <c r="P455" s="852" t="n"/>
      <c r="Q455" s="852" t="n"/>
      <c r="R455" s="852" t="n"/>
      <c r="S455" s="852" t="n"/>
      <c r="T455" s="852" t="n"/>
      <c r="U455" s="852" t="n"/>
      <c r="V455" s="852" t="n"/>
      <c r="W455" s="852" t="n"/>
      <c r="X455" s="852" t="n"/>
      <c r="Y455" s="852" t="n"/>
      <c r="Z455" s="852" t="n"/>
      <c r="AA455" s="852" t="n"/>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c r="CL455" s="59" t="n"/>
      <c r="CM455" s="59" t="n"/>
      <c r="CN455" s="59" t="n"/>
    </row>
    <row r="456" ht="15" customFormat="1" customHeight="1" s="3">
      <c r="A456">
        <f>IF(C456="","",ROW()-2)</f>
        <v/>
      </c>
      <c r="B456" s="852" t="n"/>
      <c r="C456" s="852" t="n"/>
      <c r="D456">
        <f>IF(C456="TOH","Type 1",IF(C456="POH","Type 2",IF(OR(C456="LTO",C456="TOH-LC",C456="TOH - LC"),"Type 3",IF(C456="Flourish","Type 4","Type 1"))))</f>
        <v/>
      </c>
      <c r="E456" s="852" t="n"/>
      <c r="F456" s="852" t="n"/>
      <c r="G456" s="852" t="n"/>
      <c r="H456" s="888" t="n"/>
      <c r="I456" s="889" t="n"/>
      <c r="J456" s="888" t="n"/>
      <c r="K456">
        <f>SUM(H456:J456)</f>
        <v/>
      </c>
      <c r="L456" s="852" t="n"/>
      <c r="M456" s="852" t="n"/>
      <c r="N456" s="852" t="n"/>
      <c r="O456" s="852" t="n"/>
      <c r="P456" s="852" t="n"/>
      <c r="Q456" s="852" t="n"/>
      <c r="R456" s="852" t="n"/>
      <c r="S456" s="852" t="n"/>
      <c r="T456" s="852" t="n"/>
      <c r="U456" s="852" t="n"/>
      <c r="V456" s="852" t="n"/>
      <c r="W456" s="852" t="n"/>
      <c r="X456" s="852" t="n"/>
      <c r="Y456" s="852" t="n"/>
      <c r="Z456" s="852" t="n"/>
      <c r="AA456" s="852" t="n"/>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c r="CL456" s="59" t="n"/>
      <c r="CM456" s="59" t="n"/>
      <c r="CN456" s="59" t="n"/>
    </row>
    <row r="457" ht="15" customFormat="1" customHeight="1" s="3">
      <c r="A457">
        <f>IF(C457="","",ROW()-2)</f>
        <v/>
      </c>
      <c r="B457" s="852" t="n"/>
      <c r="C457" s="852" t="n"/>
      <c r="D457">
        <f>IF(C457="TOH","Type 1",IF(C457="POH","Type 2",IF(OR(C457="LTO",C457="TOH-LC",C457="TOH - LC"),"Type 3",IF(C457="Flourish","Type 4","Type 1"))))</f>
        <v/>
      </c>
      <c r="E457" s="852" t="n"/>
      <c r="F457" s="852" t="n"/>
      <c r="G457" s="852" t="n"/>
      <c r="H457" s="888" t="n"/>
      <c r="I457" s="889" t="n"/>
      <c r="J457" s="888" t="n"/>
      <c r="K457">
        <f>SUM(H457:J457)</f>
        <v/>
      </c>
      <c r="L457" s="852" t="n"/>
      <c r="M457" s="852" t="n"/>
      <c r="N457" s="852" t="n"/>
      <c r="O457" s="852" t="n"/>
      <c r="P457" s="852" t="n"/>
      <c r="Q457" s="852" t="n"/>
      <c r="R457" s="852" t="n"/>
      <c r="S457" s="852" t="n"/>
      <c r="T457" s="852" t="n"/>
      <c r="U457" s="852" t="n"/>
      <c r="V457" s="852" t="n"/>
      <c r="W457" s="852" t="n"/>
      <c r="X457" s="852" t="n"/>
      <c r="Y457" s="852" t="n"/>
      <c r="Z457" s="852" t="n"/>
      <c r="AA457" s="852" t="n"/>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c r="CL457" s="59" t="n"/>
      <c r="CM457" s="59" t="n"/>
      <c r="CN457" s="59" t="n"/>
    </row>
    <row r="458" ht="15" customFormat="1" customHeight="1" s="3">
      <c r="A458">
        <f>IF(C458="","",ROW()-2)</f>
        <v/>
      </c>
      <c r="B458" s="852" t="n"/>
      <c r="C458" s="852" t="n"/>
      <c r="D458">
        <f>IF(C458="TOH","Type 1",IF(C458="POH","Type 2",IF(OR(C458="LTO",C458="TOH-LC",C458="TOH - LC"),"Type 3",IF(C458="Flourish","Type 4","Type 1"))))</f>
        <v/>
      </c>
      <c r="E458" s="852" t="n"/>
      <c r="F458" s="852" t="n"/>
      <c r="G458" s="852" t="n"/>
      <c r="H458" s="888" t="n"/>
      <c r="I458" s="889" t="n"/>
      <c r="J458" s="888" t="n"/>
      <c r="K458">
        <f>SUM(H458:J458)</f>
        <v/>
      </c>
      <c r="L458" s="852" t="n"/>
      <c r="M458" s="852" t="n"/>
      <c r="N458" s="852" t="n"/>
      <c r="O458" s="852" t="n"/>
      <c r="P458" s="852" t="n"/>
      <c r="Q458" s="852" t="n"/>
      <c r="R458" s="852" t="n"/>
      <c r="S458" s="852" t="n"/>
      <c r="T458" s="852" t="n"/>
      <c r="U458" s="852" t="n"/>
      <c r="V458" s="852" t="n"/>
      <c r="W458" s="852" t="n"/>
      <c r="X458" s="852" t="n"/>
      <c r="Y458" s="852" t="n"/>
      <c r="Z458" s="852" t="n"/>
      <c r="AA458" s="852" t="n"/>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c r="CL458" s="59" t="n"/>
      <c r="CM458" s="59" t="n"/>
      <c r="CN458" s="59" t="n"/>
    </row>
    <row r="459" ht="15" customFormat="1" customHeight="1" s="3">
      <c r="A459">
        <f>IF(C459="","",ROW()-2)</f>
        <v/>
      </c>
      <c r="B459" s="852" t="n"/>
      <c r="C459" s="852" t="n"/>
      <c r="D459">
        <f>IF(C459="TOH","Type 1",IF(C459="POH","Type 2",IF(OR(C459="LTO",C459="TOH-LC",C459="TOH - LC"),"Type 3",IF(C459="Flourish","Type 4","Type 1"))))</f>
        <v/>
      </c>
      <c r="E459" s="852" t="n"/>
      <c r="F459" s="852" t="n"/>
      <c r="G459" s="852" t="n"/>
      <c r="H459" s="888" t="n"/>
      <c r="I459" s="889" t="n"/>
      <c r="J459" s="888" t="n"/>
      <c r="K459">
        <f>SUM(H459:J459)</f>
        <v/>
      </c>
      <c r="L459" s="852" t="n"/>
      <c r="M459" s="852" t="n"/>
      <c r="N459" s="852" t="n"/>
      <c r="O459" s="852" t="n"/>
      <c r="P459" s="852" t="n"/>
      <c r="Q459" s="852" t="n"/>
      <c r="R459" s="852" t="n"/>
      <c r="S459" s="852" t="n"/>
      <c r="T459" s="852" t="n"/>
      <c r="U459" s="852" t="n"/>
      <c r="V459" s="852" t="n"/>
      <c r="W459" s="852" t="n"/>
      <c r="X459" s="852" t="n"/>
      <c r="Y459" s="852" t="n"/>
      <c r="Z459" s="852" t="n"/>
      <c r="AA459" s="852" t="n"/>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c r="CL459" s="59" t="n"/>
      <c r="CM459" s="59" t="n"/>
      <c r="CN459" s="59" t="n"/>
    </row>
    <row r="460" ht="15" customFormat="1" customHeight="1" s="3">
      <c r="A460">
        <f>IF(C460="","",ROW()-2)</f>
        <v/>
      </c>
      <c r="B460" s="852" t="n"/>
      <c r="C460" s="852" t="n"/>
      <c r="D460">
        <f>IF(C460="TOH","Type 1",IF(C460="POH","Type 2",IF(OR(C460="LTO",C460="TOH-LC",C460="TOH - LC"),"Type 3",IF(C460="Flourish","Type 4","Type 1"))))</f>
        <v/>
      </c>
      <c r="E460" s="852" t="n"/>
      <c r="F460" s="852" t="n"/>
      <c r="G460" s="852" t="n"/>
      <c r="H460" s="888" t="n"/>
      <c r="I460" s="889" t="n"/>
      <c r="J460" s="888" t="n"/>
      <c r="K460">
        <f>SUM(H460:J460)</f>
        <v/>
      </c>
      <c r="L460" s="852" t="n"/>
      <c r="M460" s="852" t="n"/>
      <c r="N460" s="852" t="n"/>
      <c r="O460" s="852" t="n"/>
      <c r="P460" s="852" t="n"/>
      <c r="Q460" s="852" t="n"/>
      <c r="R460" s="852" t="n"/>
      <c r="S460" s="852" t="n"/>
      <c r="T460" s="852" t="n"/>
      <c r="U460" s="852" t="n"/>
      <c r="V460" s="852" t="n"/>
      <c r="W460" s="852" t="n"/>
      <c r="X460" s="852" t="n"/>
      <c r="Y460" s="852" t="n"/>
      <c r="Z460" s="852" t="n"/>
      <c r="AA460" s="852" t="n"/>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c r="CL460" s="59" t="n"/>
      <c r="CM460" s="59" t="n"/>
      <c r="CN460" s="59" t="n"/>
    </row>
    <row r="461" ht="15" customFormat="1" customHeight="1" s="3">
      <c r="A461">
        <f>IF(C461="","",ROW()-2)</f>
        <v/>
      </c>
      <c r="B461" s="852" t="n"/>
      <c r="C461" s="852" t="n"/>
      <c r="D461">
        <f>IF(C461="TOH","Type 1",IF(C461="POH","Type 2",IF(OR(C461="LTO",C461="TOH-LC",C461="TOH - LC"),"Type 3",IF(C461="Flourish","Type 4","Type 1"))))</f>
        <v/>
      </c>
      <c r="E461" s="852" t="n"/>
      <c r="F461" s="852" t="n"/>
      <c r="G461" s="852" t="n"/>
      <c r="H461" s="888" t="n"/>
      <c r="I461" s="889" t="n"/>
      <c r="J461" s="888" t="n"/>
      <c r="K461">
        <f>SUM(H461:J461)</f>
        <v/>
      </c>
      <c r="L461" s="852" t="n"/>
      <c r="M461" s="852" t="n"/>
      <c r="N461" s="852" t="n"/>
      <c r="O461" s="852" t="n"/>
      <c r="P461" s="852" t="n"/>
      <c r="Q461" s="852" t="n"/>
      <c r="R461" s="852" t="n"/>
      <c r="S461" s="852" t="n"/>
      <c r="T461" s="852" t="n"/>
      <c r="U461" s="852" t="n"/>
      <c r="V461" s="852" t="n"/>
      <c r="W461" s="852" t="n"/>
      <c r="X461" s="852" t="n"/>
      <c r="Y461" s="852" t="n"/>
      <c r="Z461" s="852" t="n"/>
      <c r="AA461" s="852" t="n"/>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c r="CL461" s="59" t="n"/>
      <c r="CM461" s="59" t="n"/>
      <c r="CN461" s="59" t="n"/>
    </row>
    <row r="462" ht="15" customFormat="1" customHeight="1" s="3">
      <c r="A462">
        <f>IF(C462="","",ROW()-2)</f>
        <v/>
      </c>
      <c r="B462" s="852" t="n"/>
      <c r="C462" s="852" t="n"/>
      <c r="D462">
        <f>IF(C462="TOH","Type 1",IF(C462="POH","Type 2",IF(OR(C462="LTO",C462="TOH-LC",C462="TOH - LC"),"Type 3",IF(C462="Flourish","Type 4","Type 1"))))</f>
        <v/>
      </c>
      <c r="E462" s="852" t="n"/>
      <c r="F462" s="852" t="n"/>
      <c r="G462" s="852" t="n"/>
      <c r="H462" s="888" t="n"/>
      <c r="I462" s="889" t="n"/>
      <c r="J462" s="888" t="n"/>
      <c r="K462">
        <f>SUM(H462:J462)</f>
        <v/>
      </c>
      <c r="L462" s="852" t="n"/>
      <c r="M462" s="852" t="n"/>
      <c r="N462" s="852" t="n"/>
      <c r="O462" s="852" t="n"/>
      <c r="P462" s="852" t="n"/>
      <c r="Q462" s="852" t="n"/>
      <c r="R462" s="852" t="n"/>
      <c r="S462" s="852" t="n"/>
      <c r="T462" s="852" t="n"/>
      <c r="U462" s="852" t="n"/>
      <c r="V462" s="852" t="n"/>
      <c r="W462" s="852" t="n"/>
      <c r="X462" s="852" t="n"/>
      <c r="Y462" s="852" t="n"/>
      <c r="Z462" s="852" t="n"/>
      <c r="AA462" s="852" t="n"/>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c r="CL462" s="59" t="n"/>
      <c r="CM462" s="59" t="n"/>
      <c r="CN462" s="59" t="n"/>
    </row>
    <row r="463" ht="15" customFormat="1" customHeight="1" s="3">
      <c r="A463">
        <f>IF(C463="","",ROW()-2)</f>
        <v/>
      </c>
      <c r="B463" s="852" t="n"/>
      <c r="C463" s="852" t="n"/>
      <c r="D463">
        <f>IF(C463="TOH","Type 1",IF(C463="POH","Type 2",IF(OR(C463="LTO",C463="TOH-LC",C463="TOH - LC"),"Type 3",IF(C463="Flourish","Type 4","Type 1"))))</f>
        <v/>
      </c>
      <c r="E463" s="852" t="n"/>
      <c r="F463" s="852" t="n"/>
      <c r="G463" s="852" t="n"/>
      <c r="H463" s="888" t="n"/>
      <c r="I463" s="889" t="n"/>
      <c r="J463" s="888" t="n"/>
      <c r="K463">
        <f>SUM(H463:J463)</f>
        <v/>
      </c>
      <c r="L463" s="852" t="n"/>
      <c r="M463" s="852" t="n"/>
      <c r="N463" s="852" t="n"/>
      <c r="O463" s="852" t="n"/>
      <c r="P463" s="852" t="n"/>
      <c r="Q463" s="852" t="n"/>
      <c r="R463" s="852" t="n"/>
      <c r="S463" s="852" t="n"/>
      <c r="T463" s="852" t="n"/>
      <c r="U463" s="852" t="n"/>
      <c r="V463" s="852" t="n"/>
      <c r="W463" s="852" t="n"/>
      <c r="X463" s="852" t="n"/>
      <c r="Y463" s="852" t="n"/>
      <c r="Z463" s="852" t="n"/>
      <c r="AA463" s="852" t="n"/>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c r="CL463" s="59" t="n"/>
      <c r="CM463" s="59" t="n"/>
      <c r="CN463" s="59" t="n"/>
    </row>
    <row r="464" ht="15" customFormat="1" customHeight="1" s="3">
      <c r="A464">
        <f>IF(C464="","",ROW()-2)</f>
        <v/>
      </c>
      <c r="B464" s="852" t="n"/>
      <c r="C464" s="852" t="n"/>
      <c r="D464">
        <f>IF(C464="TOH","Type 1",IF(C464="POH","Type 2",IF(OR(C464="LTO",C464="TOH-LC",C464="TOH - LC"),"Type 3",IF(C464="Flourish","Type 4","Type 1"))))</f>
        <v/>
      </c>
      <c r="E464" s="852" t="n"/>
      <c r="F464" s="852" t="n"/>
      <c r="G464" s="852" t="n"/>
      <c r="H464" s="888" t="n"/>
      <c r="I464" s="889" t="n"/>
      <c r="J464" s="888" t="n"/>
      <c r="K464">
        <f>SUM(H464:J464)</f>
        <v/>
      </c>
      <c r="L464" s="852" t="n"/>
      <c r="M464" s="852" t="n"/>
      <c r="N464" s="852" t="n"/>
      <c r="O464" s="852" t="n"/>
      <c r="P464" s="852" t="n"/>
      <c r="Q464" s="852" t="n"/>
      <c r="R464" s="852" t="n"/>
      <c r="S464" s="852" t="n"/>
      <c r="T464" s="852" t="n"/>
      <c r="U464" s="852" t="n"/>
      <c r="V464" s="852" t="n"/>
      <c r="W464" s="852" t="n"/>
      <c r="X464" s="852" t="n"/>
      <c r="Y464" s="852" t="n"/>
      <c r="Z464" s="852" t="n"/>
      <c r="AA464" s="852" t="n"/>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c r="CL464" s="59" t="n"/>
      <c r="CM464" s="59" t="n"/>
      <c r="CN464" s="59" t="n"/>
    </row>
    <row r="465" ht="15" customFormat="1" customHeight="1" s="3">
      <c r="A465">
        <f>IF(C465="","",ROW()-2)</f>
        <v/>
      </c>
      <c r="B465" s="852" t="n"/>
      <c r="C465" s="852" t="n"/>
      <c r="D465">
        <f>IF(C465="TOH","Type 1",IF(C465="POH","Type 2",IF(OR(C465="LTO",C465="TOH-LC",C465="TOH - LC"),"Type 3",IF(C465="Flourish","Type 4","Type 1"))))</f>
        <v/>
      </c>
      <c r="E465" s="852" t="n"/>
      <c r="F465" s="852" t="n"/>
      <c r="G465" s="852" t="n"/>
      <c r="H465" s="888" t="n"/>
      <c r="I465" s="889" t="n"/>
      <c r="J465" s="888" t="n"/>
      <c r="K465">
        <f>SUM(H465:J465)</f>
        <v/>
      </c>
      <c r="L465" s="852" t="n"/>
      <c r="M465" s="852" t="n"/>
      <c r="N465" s="852" t="n"/>
      <c r="O465" s="852" t="n"/>
      <c r="P465" s="852" t="n"/>
      <c r="Q465" s="852" t="n"/>
      <c r="R465" s="852" t="n"/>
      <c r="S465" s="852" t="n"/>
      <c r="T465" s="852" t="n"/>
      <c r="U465" s="852" t="n"/>
      <c r="V465" s="852" t="n"/>
      <c r="W465" s="852" t="n"/>
      <c r="X465" s="852" t="n"/>
      <c r="Y465" s="852" t="n"/>
      <c r="Z465" s="852" t="n"/>
      <c r="AA465" s="852" t="n"/>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c r="CL465" s="59" t="n"/>
      <c r="CM465" s="59" t="n"/>
      <c r="CN465" s="59" t="n"/>
    </row>
    <row r="466" ht="15" customFormat="1" customHeight="1" s="3">
      <c r="A466">
        <f>IF(C466="","",ROW()-2)</f>
        <v/>
      </c>
      <c r="B466" s="852" t="n"/>
      <c r="C466" s="852" t="n"/>
      <c r="D466">
        <f>IF(C466="TOH","Type 1",IF(C466="POH","Type 2",IF(OR(C466="LTO",C466="TOH-LC",C466="TOH - LC"),"Type 3",IF(C466="Flourish","Type 4","Type 1"))))</f>
        <v/>
      </c>
      <c r="E466" s="852" t="n"/>
      <c r="F466" s="852" t="n"/>
      <c r="G466" s="852" t="n"/>
      <c r="H466" s="888" t="n"/>
      <c r="I466" s="889" t="n"/>
      <c r="J466" s="888" t="n"/>
      <c r="K466">
        <f>SUM(H466:J466)</f>
        <v/>
      </c>
      <c r="L466" s="852" t="n"/>
      <c r="M466" s="852" t="n"/>
      <c r="N466" s="852" t="n"/>
      <c r="O466" s="852" t="n"/>
      <c r="P466" s="852" t="n"/>
      <c r="Q466" s="852" t="n"/>
      <c r="R466" s="852" t="n"/>
      <c r="S466" s="852" t="n"/>
      <c r="T466" s="852" t="n"/>
      <c r="U466" s="852" t="n"/>
      <c r="V466" s="852" t="n"/>
      <c r="W466" s="852" t="n"/>
      <c r="X466" s="852" t="n"/>
      <c r="Y466" s="852" t="n"/>
      <c r="Z466" s="852" t="n"/>
      <c r="AA466" s="852" t="n"/>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c r="CL466" s="59" t="n"/>
      <c r="CM466" s="59" t="n"/>
      <c r="CN466" s="59" t="n"/>
    </row>
    <row r="467" ht="15" customFormat="1" customHeight="1" s="3">
      <c r="A467">
        <f>IF(C467="","",ROW()-2)</f>
        <v/>
      </c>
      <c r="B467" s="852" t="n"/>
      <c r="C467" s="852" t="n"/>
      <c r="D467">
        <f>IF(C467="TOH","Type 1",IF(C467="POH","Type 2",IF(OR(C467="LTO",C467="TOH-LC",C467="TOH - LC"),"Type 3",IF(C467="Flourish","Type 4","Type 1"))))</f>
        <v/>
      </c>
      <c r="E467" s="852" t="n"/>
      <c r="F467" s="852" t="n"/>
      <c r="G467" s="852" t="n"/>
      <c r="H467" s="888" t="n"/>
      <c r="I467" s="889" t="n"/>
      <c r="J467" s="888" t="n"/>
      <c r="K467">
        <f>SUM(H467:J467)</f>
        <v/>
      </c>
      <c r="L467" s="852" t="n"/>
      <c r="M467" s="852" t="n"/>
      <c r="N467" s="852" t="n"/>
      <c r="O467" s="852" t="n"/>
      <c r="P467" s="852" t="n"/>
      <c r="Q467" s="852" t="n"/>
      <c r="R467" s="852" t="n"/>
      <c r="S467" s="852" t="n"/>
      <c r="T467" s="852" t="n"/>
      <c r="U467" s="852" t="n"/>
      <c r="V467" s="852" t="n"/>
      <c r="W467" s="852" t="n"/>
      <c r="X467" s="852" t="n"/>
      <c r="Y467" s="852" t="n"/>
      <c r="Z467" s="852" t="n"/>
      <c r="AA467" s="852" t="n"/>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c r="CL467" s="59" t="n"/>
      <c r="CM467" s="59" t="n"/>
      <c r="CN467" s="59" t="n"/>
    </row>
    <row r="468" ht="15" customFormat="1" customHeight="1" s="3">
      <c r="A468">
        <f>IF(C468="","",ROW()-2)</f>
        <v/>
      </c>
      <c r="B468" s="852" t="n"/>
      <c r="C468" s="852" t="n"/>
      <c r="D468">
        <f>IF(C468="TOH","Type 1",IF(C468="POH","Type 2",IF(OR(C468="LTO",C468="TOH-LC",C468="TOH - LC"),"Type 3",IF(C468="Flourish","Type 4","Type 1"))))</f>
        <v/>
      </c>
      <c r="E468" s="852" t="n"/>
      <c r="F468" s="852" t="n"/>
      <c r="G468" s="852" t="n"/>
      <c r="H468" s="888" t="n"/>
      <c r="I468" s="889" t="n"/>
      <c r="J468" s="888" t="n"/>
      <c r="K468">
        <f>SUM(H468:J468)</f>
        <v/>
      </c>
      <c r="L468" s="852" t="n"/>
      <c r="M468" s="852" t="n"/>
      <c r="N468" s="852" t="n"/>
      <c r="O468" s="852" t="n"/>
      <c r="P468" s="852" t="n"/>
      <c r="Q468" s="852" t="n"/>
      <c r="R468" s="852" t="n"/>
      <c r="S468" s="852" t="n"/>
      <c r="T468" s="852" t="n"/>
      <c r="U468" s="852" t="n"/>
      <c r="V468" s="852" t="n"/>
      <c r="W468" s="852" t="n"/>
      <c r="X468" s="852" t="n"/>
      <c r="Y468" s="852" t="n"/>
      <c r="Z468" s="852" t="n"/>
      <c r="AA468" s="852" t="n"/>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c r="CL468" s="59" t="n"/>
      <c r="CM468" s="59" t="n"/>
      <c r="CN468" s="59" t="n"/>
    </row>
    <row r="469" ht="15" customFormat="1" customHeight="1" s="3">
      <c r="A469">
        <f>IF(C469="","",ROW()-2)</f>
        <v/>
      </c>
      <c r="B469" s="852" t="n"/>
      <c r="C469" s="852" t="n"/>
      <c r="D469">
        <f>IF(C469="TOH","Type 1",IF(C469="POH","Type 2",IF(OR(C469="LTO",C469="TOH-LC",C469="TOH - LC"),"Type 3",IF(C469="Flourish","Type 4","Type 1"))))</f>
        <v/>
      </c>
      <c r="E469" s="852" t="n"/>
      <c r="F469" s="852" t="n"/>
      <c r="G469" s="852" t="n"/>
      <c r="H469" s="888" t="n"/>
      <c r="I469" s="889" t="n"/>
      <c r="J469" s="888" t="n"/>
      <c r="K469">
        <f>SUM(H469:J469)</f>
        <v/>
      </c>
      <c r="L469" s="852" t="n"/>
      <c r="M469" s="852" t="n"/>
      <c r="N469" s="852" t="n"/>
      <c r="O469" s="852" t="n"/>
      <c r="P469" s="852" t="n"/>
      <c r="Q469" s="852" t="n"/>
      <c r="R469" s="852" t="n"/>
      <c r="S469" s="852" t="n"/>
      <c r="T469" s="852" t="n"/>
      <c r="U469" s="852" t="n"/>
      <c r="V469" s="852" t="n"/>
      <c r="W469" s="852" t="n"/>
      <c r="X469" s="852" t="n"/>
      <c r="Y469" s="852" t="n"/>
      <c r="Z469" s="852" t="n"/>
      <c r="AA469" s="852" t="n"/>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c r="CL469" s="59" t="n"/>
      <c r="CM469" s="59" t="n"/>
      <c r="CN469" s="59" t="n"/>
    </row>
    <row r="470" ht="15" customFormat="1" customHeight="1" s="3">
      <c r="A470">
        <f>IF(C470="","",ROW()-2)</f>
        <v/>
      </c>
      <c r="B470" s="852" t="n"/>
      <c r="C470" s="852" t="n"/>
      <c r="D470">
        <f>IF(C470="TOH","Type 1",IF(C470="POH","Type 2",IF(OR(C470="LTO",C470="TOH-LC",C470="TOH - LC"),"Type 3",IF(C470="Flourish","Type 4","Type 1"))))</f>
        <v/>
      </c>
      <c r="E470" s="852" t="n"/>
      <c r="F470" s="852" t="n"/>
      <c r="G470" s="852" t="n"/>
      <c r="H470" s="888" t="n"/>
      <c r="I470" s="889" t="n"/>
      <c r="J470" s="888" t="n"/>
      <c r="K470">
        <f>SUM(H470:J470)</f>
        <v/>
      </c>
      <c r="L470" s="852" t="n"/>
      <c r="M470" s="852" t="n"/>
      <c r="N470" s="852" t="n"/>
      <c r="O470" s="852" t="n"/>
      <c r="P470" s="852" t="n"/>
      <c r="Q470" s="852" t="n"/>
      <c r="R470" s="852" t="n"/>
      <c r="S470" s="852" t="n"/>
      <c r="T470" s="852" t="n"/>
      <c r="U470" s="852" t="n"/>
      <c r="V470" s="852" t="n"/>
      <c r="W470" s="852" t="n"/>
      <c r="X470" s="852" t="n"/>
      <c r="Y470" s="852" t="n"/>
      <c r="Z470" s="852" t="n"/>
      <c r="AA470" s="852" t="n"/>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c r="CL470" s="59" t="n"/>
      <c r="CM470" s="59" t="n"/>
      <c r="CN470" s="59" t="n"/>
    </row>
    <row r="471" ht="15" customFormat="1" customHeight="1" s="3">
      <c r="A471">
        <f>IF(C471="","",ROW()-2)</f>
        <v/>
      </c>
      <c r="B471" s="852" t="n"/>
      <c r="C471" s="852" t="n"/>
      <c r="D471">
        <f>IF(C471="TOH","Type 1",IF(C471="POH","Type 2",IF(OR(C471="LTO",C471="TOH-LC",C471="TOH - LC"),"Type 3",IF(C471="Flourish","Type 4","Type 1"))))</f>
        <v/>
      </c>
      <c r="E471" s="852" t="n"/>
      <c r="F471" s="852" t="n"/>
      <c r="G471" s="852" t="n"/>
      <c r="H471" s="888" t="n"/>
      <c r="I471" s="889" t="n"/>
      <c r="J471" s="888" t="n"/>
      <c r="K471">
        <f>SUM(H471:J471)</f>
        <v/>
      </c>
      <c r="L471" s="852" t="n"/>
      <c r="M471" s="852" t="n"/>
      <c r="N471" s="852" t="n"/>
      <c r="O471" s="852" t="n"/>
      <c r="P471" s="852" t="n"/>
      <c r="Q471" s="852" t="n"/>
      <c r="R471" s="852" t="n"/>
      <c r="S471" s="852" t="n"/>
      <c r="T471" s="852" t="n"/>
      <c r="U471" s="852" t="n"/>
      <c r="V471" s="852" t="n"/>
      <c r="W471" s="852" t="n"/>
      <c r="X471" s="852" t="n"/>
      <c r="Y471" s="852" t="n"/>
      <c r="Z471" s="852" t="n"/>
      <c r="AA471" s="852" t="n"/>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c r="CL471" s="59" t="n"/>
      <c r="CM471" s="59" t="n"/>
      <c r="CN471" s="59" t="n"/>
    </row>
    <row r="472" ht="15" customFormat="1" customHeight="1" s="3">
      <c r="A472">
        <f>IF(C472="","",ROW()-2)</f>
        <v/>
      </c>
      <c r="B472" s="852" t="n"/>
      <c r="C472" s="852" t="n"/>
      <c r="D472">
        <f>IF(C472="TOH","Type 1",IF(C472="POH","Type 2",IF(OR(C472="LTO",C472="TOH-LC",C472="TOH - LC"),"Type 3",IF(C472="Flourish","Type 4","Type 1"))))</f>
        <v/>
      </c>
      <c r="E472" s="852" t="n"/>
      <c r="F472" s="852" t="n"/>
      <c r="G472" s="852" t="n"/>
      <c r="H472" s="888" t="n"/>
      <c r="I472" s="889" t="n"/>
      <c r="J472" s="888" t="n"/>
      <c r="K472">
        <f>SUM(H472:J472)</f>
        <v/>
      </c>
      <c r="L472" s="852" t="n"/>
      <c r="M472" s="852" t="n"/>
      <c r="N472" s="852" t="n"/>
      <c r="O472" s="852" t="n"/>
      <c r="P472" s="852" t="n"/>
      <c r="Q472" s="852" t="n"/>
      <c r="R472" s="852" t="n"/>
      <c r="S472" s="852" t="n"/>
      <c r="T472" s="852" t="n"/>
      <c r="U472" s="852" t="n"/>
      <c r="V472" s="852" t="n"/>
      <c r="W472" s="852" t="n"/>
      <c r="X472" s="852" t="n"/>
      <c r="Y472" s="852" t="n"/>
      <c r="Z472" s="852" t="n"/>
      <c r="AA472" s="852" t="n"/>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c r="CL472" s="59" t="n"/>
      <c r="CM472" s="59" t="n"/>
      <c r="CN472" s="59" t="n"/>
    </row>
    <row r="473" ht="15" customFormat="1" customHeight="1" s="3">
      <c r="A473">
        <f>IF(C473="","",ROW()-2)</f>
        <v/>
      </c>
      <c r="B473" s="852" t="n"/>
      <c r="C473" s="852" t="n"/>
      <c r="D473">
        <f>IF(C473="TOH","Type 1",IF(C473="POH","Type 2",IF(OR(C473="LTO",C473="TOH-LC",C473="TOH - LC"),"Type 3",IF(C473="Flourish","Type 4","Type 1"))))</f>
        <v/>
      </c>
      <c r="E473" s="852" t="n"/>
      <c r="F473" s="852" t="n"/>
      <c r="G473" s="852" t="n"/>
      <c r="H473" s="888" t="n"/>
      <c r="I473" s="889" t="n"/>
      <c r="J473" s="888" t="n"/>
      <c r="K473">
        <f>SUM(H473:J473)</f>
        <v/>
      </c>
      <c r="L473" s="852" t="n"/>
      <c r="M473" s="852" t="n"/>
      <c r="N473" s="852" t="n"/>
      <c r="O473" s="852" t="n"/>
      <c r="P473" s="852" t="n"/>
      <c r="Q473" s="852" t="n"/>
      <c r="R473" s="852" t="n"/>
      <c r="S473" s="852" t="n"/>
      <c r="T473" s="852" t="n"/>
      <c r="U473" s="852" t="n"/>
      <c r="V473" s="852" t="n"/>
      <c r="W473" s="852" t="n"/>
      <c r="X473" s="852" t="n"/>
      <c r="Y473" s="852" t="n"/>
      <c r="Z473" s="852" t="n"/>
      <c r="AA473" s="852" t="n"/>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c r="CL473" s="59" t="n"/>
      <c r="CM473" s="59" t="n"/>
      <c r="CN473" s="59" t="n"/>
    </row>
    <row r="474" ht="15" customFormat="1" customHeight="1" s="3">
      <c r="A474">
        <f>IF(C474="","",ROW()-2)</f>
        <v/>
      </c>
      <c r="B474" s="852" t="n"/>
      <c r="C474" s="852" t="n"/>
      <c r="D474">
        <f>IF(C474="TOH","Type 1",IF(C474="POH","Type 2",IF(OR(C474="LTO",C474="TOH-LC",C474="TOH - LC"),"Type 3",IF(C474="Flourish","Type 4","Type 1"))))</f>
        <v/>
      </c>
      <c r="E474" s="852" t="n"/>
      <c r="F474" s="852" t="n"/>
      <c r="G474" s="852" t="n"/>
      <c r="H474" s="888" t="n"/>
      <c r="I474" s="889" t="n"/>
      <c r="J474" s="888" t="n"/>
      <c r="K474">
        <f>SUM(H474:J474)</f>
        <v/>
      </c>
      <c r="L474" s="852" t="n"/>
      <c r="M474" s="852" t="n"/>
      <c r="N474" s="852" t="n"/>
      <c r="O474" s="852" t="n"/>
      <c r="P474" s="852" t="n"/>
      <c r="Q474" s="852" t="n"/>
      <c r="R474" s="852" t="n"/>
      <c r="S474" s="852" t="n"/>
      <c r="T474" s="852" t="n"/>
      <c r="U474" s="852" t="n"/>
      <c r="V474" s="852" t="n"/>
      <c r="W474" s="852" t="n"/>
      <c r="X474" s="852" t="n"/>
      <c r="Y474" s="852" t="n"/>
      <c r="Z474" s="852" t="n"/>
      <c r="AA474" s="852" t="n"/>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c r="CL474" s="59" t="n"/>
      <c r="CM474" s="59" t="n"/>
      <c r="CN474" s="59" t="n"/>
    </row>
    <row r="475" ht="15" customFormat="1" customHeight="1" s="3">
      <c r="A475">
        <f>IF(C475="","",ROW()-2)</f>
        <v/>
      </c>
      <c r="B475" s="852" t="n"/>
      <c r="C475" s="852" t="n"/>
      <c r="D475">
        <f>IF(C475="TOH","Type 1",IF(C475="POH","Type 2",IF(OR(C475="LTO",C475="TOH-LC",C475="TOH - LC"),"Type 3",IF(C475="Flourish","Type 4","Type 1"))))</f>
        <v/>
      </c>
      <c r="E475" s="852" t="n"/>
      <c r="F475" s="852" t="n"/>
      <c r="G475" s="852" t="n"/>
      <c r="H475" s="888" t="n"/>
      <c r="I475" s="889" t="n"/>
      <c r="J475" s="888" t="n"/>
      <c r="K475">
        <f>SUM(H475:J475)</f>
        <v/>
      </c>
      <c r="L475" s="852" t="n"/>
      <c r="M475" s="852" t="n"/>
      <c r="N475" s="852" t="n"/>
      <c r="O475" s="852" t="n"/>
      <c r="P475" s="852" t="n"/>
      <c r="Q475" s="852" t="n"/>
      <c r="R475" s="852" t="n"/>
      <c r="S475" s="852" t="n"/>
      <c r="T475" s="852" t="n"/>
      <c r="U475" s="852" t="n"/>
      <c r="V475" s="852" t="n"/>
      <c r="W475" s="852" t="n"/>
      <c r="X475" s="852" t="n"/>
      <c r="Y475" s="852" t="n"/>
      <c r="Z475" s="852" t="n"/>
      <c r="AA475" s="852" t="n"/>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c r="CL475" s="59" t="n"/>
      <c r="CM475" s="59" t="n"/>
      <c r="CN475" s="59" t="n"/>
    </row>
    <row r="476" ht="15" customFormat="1" customHeight="1" s="3">
      <c r="A476">
        <f>IF(C476="","",ROW()-2)</f>
        <v/>
      </c>
      <c r="B476" s="852" t="n"/>
      <c r="C476" s="852" t="n"/>
      <c r="D476">
        <f>IF(C476="TOH","Type 1",IF(C476="POH","Type 2",IF(OR(C476="LTO",C476="TOH-LC",C476="TOH - LC"),"Type 3",IF(C476="Flourish","Type 4","Type 1"))))</f>
        <v/>
      </c>
      <c r="E476" s="852" t="n"/>
      <c r="F476" s="852" t="n"/>
      <c r="G476" s="852" t="n"/>
      <c r="H476" s="888" t="n"/>
      <c r="I476" s="889" t="n"/>
      <c r="J476" s="888" t="n"/>
      <c r="K476">
        <f>SUM(H476:J476)</f>
        <v/>
      </c>
      <c r="L476" s="852" t="n"/>
      <c r="M476" s="852" t="n"/>
      <c r="N476" s="852" t="n"/>
      <c r="O476" s="852" t="n"/>
      <c r="P476" s="852" t="n"/>
      <c r="Q476" s="852" t="n"/>
      <c r="R476" s="852" t="n"/>
      <c r="S476" s="852" t="n"/>
      <c r="T476" s="852" t="n"/>
      <c r="U476" s="852" t="n"/>
      <c r="V476" s="852" t="n"/>
      <c r="W476" s="852" t="n"/>
      <c r="X476" s="852" t="n"/>
      <c r="Y476" s="852" t="n"/>
      <c r="Z476" s="852" t="n"/>
      <c r="AA476" s="852" t="n"/>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c r="CL476" s="59" t="n"/>
      <c r="CM476" s="59" t="n"/>
      <c r="CN476" s="59" t="n"/>
    </row>
    <row r="477" ht="15" customFormat="1" customHeight="1" s="3">
      <c r="A477">
        <f>IF(C477="","",ROW()-2)</f>
        <v/>
      </c>
      <c r="B477" s="852" t="n"/>
      <c r="C477" s="852" t="n"/>
      <c r="D477">
        <f>IF(C477="TOH","Type 1",IF(C477="POH","Type 2",IF(OR(C477="LTO",C477="TOH-LC",C477="TOH - LC"),"Type 3",IF(C477="Flourish","Type 4","Type 1"))))</f>
        <v/>
      </c>
      <c r="E477" s="852" t="n"/>
      <c r="F477" s="852" t="n"/>
      <c r="G477" s="852" t="n"/>
      <c r="H477" s="888" t="n"/>
      <c r="I477" s="889" t="n"/>
      <c r="J477" s="888" t="n"/>
      <c r="K477">
        <f>SUM(H477:J477)</f>
        <v/>
      </c>
      <c r="L477" s="852" t="n"/>
      <c r="M477" s="852" t="n"/>
      <c r="N477" s="852" t="n"/>
      <c r="O477" s="852" t="n"/>
      <c r="P477" s="852" t="n"/>
      <c r="Q477" s="852" t="n"/>
      <c r="R477" s="852" t="n"/>
      <c r="S477" s="852" t="n"/>
      <c r="T477" s="852" t="n"/>
      <c r="U477" s="852" t="n"/>
      <c r="V477" s="852" t="n"/>
      <c r="W477" s="852" t="n"/>
      <c r="X477" s="852" t="n"/>
      <c r="Y477" s="852" t="n"/>
      <c r="Z477" s="852" t="n"/>
      <c r="AA477" s="852" t="n"/>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c r="CL477" s="59" t="n"/>
      <c r="CM477" s="59" t="n"/>
      <c r="CN477" s="59" t="n"/>
    </row>
    <row r="478" ht="15" customFormat="1" customHeight="1" s="3">
      <c r="A478">
        <f>IF(C478="","",ROW()-2)</f>
        <v/>
      </c>
      <c r="B478" s="852" t="n"/>
      <c r="C478" s="852" t="n"/>
      <c r="D478">
        <f>IF(C478="TOH","Type 1",IF(C478="POH","Type 2",IF(OR(C478="LTO",C478="TOH-LC",C478="TOH - LC"),"Type 3",IF(C478="Flourish","Type 4","Type 1"))))</f>
        <v/>
      </c>
      <c r="E478" s="852" t="n"/>
      <c r="F478" s="852" t="n"/>
      <c r="G478" s="852" t="n"/>
      <c r="H478" s="888" t="n"/>
      <c r="I478" s="889" t="n"/>
      <c r="J478" s="888" t="n"/>
      <c r="K478">
        <f>SUM(H478:J478)</f>
        <v/>
      </c>
      <c r="L478" s="852" t="n"/>
      <c r="M478" s="852" t="n"/>
      <c r="N478" s="852" t="n"/>
      <c r="O478" s="852" t="n"/>
      <c r="P478" s="852" t="n"/>
      <c r="Q478" s="852" t="n"/>
      <c r="R478" s="852" t="n"/>
      <c r="S478" s="852" t="n"/>
      <c r="T478" s="852" t="n"/>
      <c r="U478" s="852" t="n"/>
      <c r="V478" s="852" t="n"/>
      <c r="W478" s="852" t="n"/>
      <c r="X478" s="852" t="n"/>
      <c r="Y478" s="852" t="n"/>
      <c r="Z478" s="852" t="n"/>
      <c r="AA478" s="852" t="n"/>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c r="CL478" s="59" t="n"/>
      <c r="CM478" s="59" t="n"/>
      <c r="CN478" s="59" t="n"/>
    </row>
    <row r="479" ht="15" customFormat="1" customHeight="1" s="3">
      <c r="A479">
        <f>IF(C479="","",ROW()-2)</f>
        <v/>
      </c>
      <c r="B479" s="852" t="n"/>
      <c r="C479" s="852" t="n"/>
      <c r="D479">
        <f>IF(C479="TOH","Type 1",IF(C479="POH","Type 2",IF(OR(C479="LTO",C479="TOH-LC",C479="TOH - LC"),"Type 3",IF(C479="Flourish","Type 4","Type 1"))))</f>
        <v/>
      </c>
      <c r="E479" s="852" t="n"/>
      <c r="F479" s="852" t="n"/>
      <c r="G479" s="852" t="n"/>
      <c r="H479" s="888" t="n"/>
      <c r="I479" s="889" t="n"/>
      <c r="J479" s="888" t="n"/>
      <c r="K479">
        <f>SUM(H479:J479)</f>
        <v/>
      </c>
      <c r="L479" s="852" t="n"/>
      <c r="M479" s="852" t="n"/>
      <c r="N479" s="852" t="n"/>
      <c r="O479" s="852" t="n"/>
      <c r="P479" s="852" t="n"/>
      <c r="Q479" s="852" t="n"/>
      <c r="R479" s="852" t="n"/>
      <c r="S479" s="852" t="n"/>
      <c r="T479" s="852" t="n"/>
      <c r="U479" s="852" t="n"/>
      <c r="V479" s="852" t="n"/>
      <c r="W479" s="852" t="n"/>
      <c r="X479" s="852" t="n"/>
      <c r="Y479" s="852" t="n"/>
      <c r="Z479" s="852" t="n"/>
      <c r="AA479" s="852" t="n"/>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c r="CL479" s="59" t="n"/>
      <c r="CM479" s="59" t="n"/>
      <c r="CN479" s="59" t="n"/>
    </row>
    <row r="480" ht="15" customFormat="1" customHeight="1" s="3">
      <c r="A480">
        <f>IF(C480="","",ROW()-2)</f>
        <v/>
      </c>
      <c r="B480" s="852" t="n"/>
      <c r="C480" s="852" t="n"/>
      <c r="D480">
        <f>IF(C480="TOH","Type 1",IF(C480="POH","Type 2",IF(OR(C480="LTO",C480="TOH-LC",C480="TOH - LC"),"Type 3",IF(C480="Flourish","Type 4","Type 1"))))</f>
        <v/>
      </c>
      <c r="E480" s="852" t="n"/>
      <c r="F480" s="852" t="n"/>
      <c r="G480" s="852" t="n"/>
      <c r="H480" s="888" t="n"/>
      <c r="I480" s="889" t="n"/>
      <c r="J480" s="888" t="n"/>
      <c r="K480">
        <f>SUM(H480:J480)</f>
        <v/>
      </c>
      <c r="L480" s="852" t="n"/>
      <c r="M480" s="852" t="n"/>
      <c r="N480" s="852" t="n"/>
      <c r="O480" s="852" t="n"/>
      <c r="P480" s="852" t="n"/>
      <c r="Q480" s="852" t="n"/>
      <c r="R480" s="852" t="n"/>
      <c r="S480" s="852" t="n"/>
      <c r="T480" s="852" t="n"/>
      <c r="U480" s="852" t="n"/>
      <c r="V480" s="852" t="n"/>
      <c r="W480" s="852" t="n"/>
      <c r="X480" s="852" t="n"/>
      <c r="Y480" s="852" t="n"/>
      <c r="Z480" s="852" t="n"/>
      <c r="AA480" s="852" t="n"/>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c r="CL480" s="59" t="n"/>
      <c r="CM480" s="59" t="n"/>
      <c r="CN480" s="59" t="n"/>
    </row>
    <row r="481" ht="15" customFormat="1" customHeight="1" s="3">
      <c r="A481">
        <f>IF(C481="","",ROW()-2)</f>
        <v/>
      </c>
      <c r="B481" s="852" t="n"/>
      <c r="C481" s="852" t="n"/>
      <c r="D481">
        <f>IF(C481="TOH","Type 1",IF(C481="POH","Type 2",IF(OR(C481="LTO",C481="TOH-LC",C481="TOH - LC"),"Type 3",IF(C481="Flourish","Type 4","Type 1"))))</f>
        <v/>
      </c>
      <c r="E481" s="852" t="n"/>
      <c r="F481" s="852" t="n"/>
      <c r="G481" s="852" t="n"/>
      <c r="H481" s="888" t="n"/>
      <c r="I481" s="889" t="n"/>
      <c r="J481" s="888" t="n"/>
      <c r="K481">
        <f>SUM(H481:J481)</f>
        <v/>
      </c>
      <c r="L481" s="852" t="n"/>
      <c r="M481" s="852" t="n"/>
      <c r="N481" s="852" t="n"/>
      <c r="O481" s="852" t="n"/>
      <c r="P481" s="852" t="n"/>
      <c r="Q481" s="852" t="n"/>
      <c r="R481" s="852" t="n"/>
      <c r="S481" s="852" t="n"/>
      <c r="T481" s="852" t="n"/>
      <c r="U481" s="852" t="n"/>
      <c r="V481" s="852" t="n"/>
      <c r="W481" s="852" t="n"/>
      <c r="X481" s="852" t="n"/>
      <c r="Y481" s="852" t="n"/>
      <c r="Z481" s="852" t="n"/>
      <c r="AA481" s="852" t="n"/>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c r="CL481" s="59" t="n"/>
      <c r="CM481" s="59" t="n"/>
      <c r="CN481" s="59" t="n"/>
    </row>
    <row r="482" ht="15" customFormat="1" customHeight="1" s="3">
      <c r="A482">
        <f>IF(C482="","",ROW()-2)</f>
        <v/>
      </c>
      <c r="B482" s="852" t="n"/>
      <c r="C482" s="852" t="n"/>
      <c r="D482">
        <f>IF(C482="TOH","Type 1",IF(C482="POH","Type 2",IF(OR(C482="LTO",C482="TOH-LC",C482="TOH - LC"),"Type 3",IF(C482="Flourish","Type 4","Type 1"))))</f>
        <v/>
      </c>
      <c r="E482" s="852" t="n"/>
      <c r="F482" s="852" t="n"/>
      <c r="G482" s="852" t="n"/>
      <c r="H482" s="888" t="n"/>
      <c r="I482" s="889" t="n"/>
      <c r="J482" s="888" t="n"/>
      <c r="K482">
        <f>SUM(H482:J482)</f>
        <v/>
      </c>
      <c r="L482" s="852" t="n"/>
      <c r="M482" s="852" t="n"/>
      <c r="N482" s="852" t="n"/>
      <c r="O482" s="852" t="n"/>
      <c r="P482" s="852" t="n"/>
      <c r="Q482" s="852" t="n"/>
      <c r="R482" s="852" t="n"/>
      <c r="S482" s="852" t="n"/>
      <c r="T482" s="852" t="n"/>
      <c r="U482" s="852" t="n"/>
      <c r="V482" s="852" t="n"/>
      <c r="W482" s="852" t="n"/>
      <c r="X482" s="852" t="n"/>
      <c r="Y482" s="852" t="n"/>
      <c r="Z482" s="852" t="n"/>
      <c r="AA482" s="852" t="n"/>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c r="CL482" s="59" t="n"/>
      <c r="CM482" s="59" t="n"/>
      <c r="CN482" s="59" t="n"/>
    </row>
    <row r="483" ht="15" customFormat="1" customHeight="1" s="3">
      <c r="A483">
        <f>IF(C483="","",ROW()-2)</f>
        <v/>
      </c>
      <c r="B483" s="852" t="n"/>
      <c r="C483" s="852" t="n"/>
      <c r="D483">
        <f>IF(C483="TOH","Type 1",IF(C483="POH","Type 2",IF(OR(C483="LTO",C483="TOH-LC",C483="TOH - LC"),"Type 3",IF(C483="Flourish","Type 4","Type 1"))))</f>
        <v/>
      </c>
      <c r="E483" s="852" t="n"/>
      <c r="F483" s="852" t="n"/>
      <c r="G483" s="852" t="n"/>
      <c r="H483" s="888" t="n"/>
      <c r="I483" s="889" t="n"/>
      <c r="J483" s="888" t="n"/>
      <c r="K483">
        <f>SUM(H483:J483)</f>
        <v/>
      </c>
      <c r="L483" s="852" t="n"/>
      <c r="M483" s="852" t="n"/>
      <c r="N483" s="852" t="n"/>
      <c r="O483" s="852" t="n"/>
      <c r="P483" s="852" t="n"/>
      <c r="Q483" s="852" t="n"/>
      <c r="R483" s="852" t="n"/>
      <c r="S483" s="852" t="n"/>
      <c r="T483" s="852" t="n"/>
      <c r="U483" s="852" t="n"/>
      <c r="V483" s="852" t="n"/>
      <c r="W483" s="852" t="n"/>
      <c r="X483" s="852" t="n"/>
      <c r="Y483" s="852" t="n"/>
      <c r="Z483" s="852" t="n"/>
      <c r="AA483" s="852" t="n"/>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c r="CL483" s="59" t="n"/>
      <c r="CM483" s="59" t="n"/>
      <c r="CN483" s="59" t="n"/>
    </row>
    <row r="484" ht="15" customFormat="1" customHeight="1" s="3">
      <c r="A484">
        <f>IF(C484="","",ROW()-2)</f>
        <v/>
      </c>
      <c r="B484" s="852" t="n"/>
      <c r="C484" s="852" t="n"/>
      <c r="D484">
        <f>IF(C484="TOH","Type 1",IF(C484="POH","Type 2",IF(OR(C484="LTO",C484="TOH-LC",C484="TOH - LC"),"Type 3",IF(C484="Flourish","Type 4","Type 1"))))</f>
        <v/>
      </c>
      <c r="E484" s="852" t="n"/>
      <c r="F484" s="852" t="n"/>
      <c r="G484" s="852" t="n"/>
      <c r="H484" s="888" t="n"/>
      <c r="I484" s="889" t="n"/>
      <c r="J484" s="888" t="n"/>
      <c r="K484">
        <f>SUM(H484:J484)</f>
        <v/>
      </c>
      <c r="L484" s="852" t="n"/>
      <c r="M484" s="852" t="n"/>
      <c r="N484" s="852" t="n"/>
      <c r="O484" s="852" t="n"/>
      <c r="P484" s="852" t="n"/>
      <c r="Q484" s="852" t="n"/>
      <c r="R484" s="852" t="n"/>
      <c r="S484" s="852" t="n"/>
      <c r="T484" s="852" t="n"/>
      <c r="U484" s="852" t="n"/>
      <c r="V484" s="852" t="n"/>
      <c r="W484" s="852" t="n"/>
      <c r="X484" s="852" t="n"/>
      <c r="Y484" s="852" t="n"/>
      <c r="Z484" s="852" t="n"/>
      <c r="AA484" s="852" t="n"/>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c r="CL484" s="59" t="n"/>
      <c r="CM484" s="59" t="n"/>
      <c r="CN484" s="59" t="n"/>
    </row>
    <row r="485" ht="15" customFormat="1" customHeight="1" s="3">
      <c r="A485">
        <f>IF(C485="","",ROW()-2)</f>
        <v/>
      </c>
      <c r="B485" s="852" t="n"/>
      <c r="C485" s="852" t="n"/>
      <c r="D485">
        <f>IF(C485="TOH","Type 1",IF(C485="POH","Type 2",IF(OR(C485="LTO",C485="TOH-LC",C485="TOH - LC"),"Type 3",IF(C485="Flourish","Type 4","Type 1"))))</f>
        <v/>
      </c>
      <c r="E485" s="852" t="n"/>
      <c r="F485" s="852" t="n"/>
      <c r="G485" s="852" t="n"/>
      <c r="H485" s="888" t="n"/>
      <c r="I485" s="889" t="n"/>
      <c r="J485" s="888" t="n"/>
      <c r="K485">
        <f>SUM(H485:J485)</f>
        <v/>
      </c>
      <c r="L485" s="852" t="n"/>
      <c r="M485" s="852" t="n"/>
      <c r="N485" s="852" t="n"/>
      <c r="O485" s="852" t="n"/>
      <c r="P485" s="852" t="n"/>
      <c r="Q485" s="852" t="n"/>
      <c r="R485" s="852" t="n"/>
      <c r="S485" s="852" t="n"/>
      <c r="T485" s="852" t="n"/>
      <c r="U485" s="852" t="n"/>
      <c r="V485" s="852" t="n"/>
      <c r="W485" s="852" t="n"/>
      <c r="X485" s="852" t="n"/>
      <c r="Y485" s="852" t="n"/>
      <c r="Z485" s="852" t="n"/>
      <c r="AA485" s="852" t="n"/>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c r="CL485" s="59" t="n"/>
      <c r="CM485" s="59" t="n"/>
      <c r="CN485" s="59" t="n"/>
    </row>
    <row r="486" ht="15" customFormat="1" customHeight="1" s="3">
      <c r="A486">
        <f>IF(C486="","",ROW()-2)</f>
        <v/>
      </c>
      <c r="B486" s="852" t="n"/>
      <c r="C486" s="852" t="n"/>
      <c r="D486">
        <f>IF(C486="TOH","Type 1",IF(C486="POH","Type 2",IF(OR(C486="LTO",C486="TOH-LC",C486="TOH - LC"),"Type 3",IF(C486="Flourish","Type 4","Type 1"))))</f>
        <v/>
      </c>
      <c r="E486" s="852" t="n"/>
      <c r="F486" s="852" t="n"/>
      <c r="G486" s="852" t="n"/>
      <c r="H486" s="888" t="n"/>
      <c r="I486" s="889" t="n"/>
      <c r="J486" s="888" t="n"/>
      <c r="K486">
        <f>SUM(H486:J486)</f>
        <v/>
      </c>
      <c r="L486" s="852" t="n"/>
      <c r="M486" s="852" t="n"/>
      <c r="N486" s="852" t="n"/>
      <c r="O486" s="852" t="n"/>
      <c r="P486" s="852" t="n"/>
      <c r="Q486" s="852" t="n"/>
      <c r="R486" s="852" t="n"/>
      <c r="S486" s="852" t="n"/>
      <c r="T486" s="852" t="n"/>
      <c r="U486" s="852" t="n"/>
      <c r="V486" s="852" t="n"/>
      <c r="W486" s="852" t="n"/>
      <c r="X486" s="852" t="n"/>
      <c r="Y486" s="852" t="n"/>
      <c r="Z486" s="852" t="n"/>
      <c r="AA486" s="852" t="n"/>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c r="CL486" s="59" t="n"/>
      <c r="CM486" s="59" t="n"/>
      <c r="CN486" s="59" t="n"/>
    </row>
    <row r="487" ht="15" customFormat="1" customHeight="1" s="3">
      <c r="A487">
        <f>IF(C487="","",ROW()-2)</f>
        <v/>
      </c>
      <c r="B487" s="852" t="n"/>
      <c r="C487" s="852" t="n"/>
      <c r="D487">
        <f>IF(C487="TOH","Type 1",IF(C487="POH","Type 2",IF(OR(C487="LTO",C487="TOH-LC",C487="TOH - LC"),"Type 3",IF(C487="Flourish","Type 4","Type 1"))))</f>
        <v/>
      </c>
      <c r="E487" s="852" t="n"/>
      <c r="F487" s="852" t="n"/>
      <c r="G487" s="852" t="n"/>
      <c r="H487" s="888" t="n"/>
      <c r="I487" s="889" t="n"/>
      <c r="J487" s="888" t="n"/>
      <c r="K487">
        <f>SUM(H487:J487)</f>
        <v/>
      </c>
      <c r="L487" s="852" t="n"/>
      <c r="M487" s="852" t="n"/>
      <c r="N487" s="852" t="n"/>
      <c r="O487" s="852" t="n"/>
      <c r="P487" s="852" t="n"/>
      <c r="Q487" s="852" t="n"/>
      <c r="R487" s="852" t="n"/>
      <c r="S487" s="852" t="n"/>
      <c r="T487" s="852" t="n"/>
      <c r="U487" s="852" t="n"/>
      <c r="V487" s="852" t="n"/>
      <c r="W487" s="852" t="n"/>
      <c r="X487" s="852" t="n"/>
      <c r="Y487" s="852" t="n"/>
      <c r="Z487" s="852" t="n"/>
      <c r="AA487" s="852" t="n"/>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c r="CL487" s="59" t="n"/>
      <c r="CM487" s="59" t="n"/>
      <c r="CN487" s="59" t="n"/>
    </row>
    <row r="488" ht="15" customFormat="1" customHeight="1" s="3">
      <c r="A488">
        <f>IF(C488="","",ROW()-2)</f>
        <v/>
      </c>
      <c r="B488" s="852" t="n"/>
      <c r="C488" s="852" t="n"/>
      <c r="D488">
        <f>IF(C488="TOH","Type 1",IF(C488="POH","Type 2",IF(OR(C488="LTO",C488="TOH-LC",C488="TOH - LC"),"Type 3",IF(C488="Flourish","Type 4","Type 1"))))</f>
        <v/>
      </c>
      <c r="E488" s="852" t="n"/>
      <c r="F488" s="852" t="n"/>
      <c r="G488" s="852" t="n"/>
      <c r="H488" s="888" t="n"/>
      <c r="I488" s="889" t="n"/>
      <c r="J488" s="888" t="n"/>
      <c r="K488">
        <f>SUM(H488:J488)</f>
        <v/>
      </c>
      <c r="L488" s="852" t="n"/>
      <c r="M488" s="852" t="n"/>
      <c r="N488" s="852" t="n"/>
      <c r="O488" s="852" t="n"/>
      <c r="P488" s="852" t="n"/>
      <c r="Q488" s="852" t="n"/>
      <c r="R488" s="852" t="n"/>
      <c r="S488" s="852" t="n"/>
      <c r="T488" s="852" t="n"/>
      <c r="U488" s="852" t="n"/>
      <c r="V488" s="852" t="n"/>
      <c r="W488" s="852" t="n"/>
      <c r="X488" s="852" t="n"/>
      <c r="Y488" s="852" t="n"/>
      <c r="Z488" s="852" t="n"/>
      <c r="AA488" s="852" t="n"/>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c r="CL488" s="59" t="n"/>
      <c r="CM488" s="59" t="n"/>
      <c r="CN488" s="59" t="n"/>
    </row>
    <row r="489" ht="15" customFormat="1" customHeight="1" s="3">
      <c r="A489">
        <f>IF(C489="","",ROW()-2)</f>
        <v/>
      </c>
      <c r="B489" s="852" t="n"/>
      <c r="C489" s="852" t="n"/>
      <c r="D489">
        <f>IF(C489="TOH","Type 1",IF(C489="POH","Type 2",IF(OR(C489="LTO",C489="TOH-LC",C489="TOH - LC"),"Type 3",IF(C489="Flourish","Type 4","Type 1"))))</f>
        <v/>
      </c>
      <c r="E489" s="852" t="n"/>
      <c r="F489" s="852" t="n"/>
      <c r="G489" s="852" t="n"/>
      <c r="H489" s="888" t="n"/>
      <c r="I489" s="889" t="n"/>
      <c r="J489" s="888" t="n"/>
      <c r="K489">
        <f>SUM(H489:J489)</f>
        <v/>
      </c>
      <c r="L489" s="852" t="n"/>
      <c r="M489" s="852" t="n"/>
      <c r="N489" s="852" t="n"/>
      <c r="O489" s="852" t="n"/>
      <c r="P489" s="852" t="n"/>
      <c r="Q489" s="852" t="n"/>
      <c r="R489" s="852" t="n"/>
      <c r="S489" s="852" t="n"/>
      <c r="T489" s="852" t="n"/>
      <c r="U489" s="852" t="n"/>
      <c r="V489" s="852" t="n"/>
      <c r="W489" s="852" t="n"/>
      <c r="X489" s="852" t="n"/>
      <c r="Y489" s="852" t="n"/>
      <c r="Z489" s="852" t="n"/>
      <c r="AA489" s="852" t="n"/>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c r="CL489" s="59" t="n"/>
      <c r="CM489" s="59" t="n"/>
      <c r="CN489" s="59" t="n"/>
    </row>
    <row r="490" ht="15" customFormat="1" customHeight="1" s="3">
      <c r="A490">
        <f>IF(C490="","",ROW()-2)</f>
        <v/>
      </c>
      <c r="B490" s="852" t="n"/>
      <c r="C490" s="852" t="n"/>
      <c r="D490">
        <f>IF(C490="TOH","Type 1",IF(C490="POH","Type 2",IF(OR(C490="LTO",C490="TOH-LC",C490="TOH - LC"),"Type 3",IF(C490="Flourish","Type 4","Type 1"))))</f>
        <v/>
      </c>
      <c r="E490" s="852" t="n"/>
      <c r="F490" s="852" t="n"/>
      <c r="G490" s="852" t="n"/>
      <c r="H490" s="888" t="n"/>
      <c r="I490" s="889" t="n"/>
      <c r="J490" s="888" t="n"/>
      <c r="K490">
        <f>SUM(H490:J490)</f>
        <v/>
      </c>
      <c r="L490" s="852" t="n"/>
      <c r="M490" s="852" t="n"/>
      <c r="N490" s="852" t="n"/>
      <c r="O490" s="852" t="n"/>
      <c r="P490" s="852" t="n"/>
      <c r="Q490" s="852" t="n"/>
      <c r="R490" s="852" t="n"/>
      <c r="S490" s="852" t="n"/>
      <c r="T490" s="852" t="n"/>
      <c r="U490" s="852" t="n"/>
      <c r="V490" s="852" t="n"/>
      <c r="W490" s="852" t="n"/>
      <c r="X490" s="852" t="n"/>
      <c r="Y490" s="852" t="n"/>
      <c r="Z490" s="852" t="n"/>
      <c r="AA490" s="852" t="n"/>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c r="CL490" s="59" t="n"/>
      <c r="CM490" s="59" t="n"/>
      <c r="CN490" s="59" t="n"/>
    </row>
    <row r="491" ht="15" customFormat="1" customHeight="1" s="3">
      <c r="A491">
        <f>IF(C491="","",ROW()-2)</f>
        <v/>
      </c>
      <c r="B491" s="852" t="n"/>
      <c r="C491" s="852" t="n"/>
      <c r="D491">
        <f>IF(C491="TOH","Type 1",IF(C491="POH","Type 2",IF(OR(C491="LTO",C491="TOH-LC",C491="TOH - LC"),"Type 3",IF(C491="Flourish","Type 4","Type 1"))))</f>
        <v/>
      </c>
      <c r="E491" s="852" t="n"/>
      <c r="F491" s="852" t="n"/>
      <c r="G491" s="852" t="n"/>
      <c r="H491" s="888" t="n"/>
      <c r="I491" s="889" t="n"/>
      <c r="J491" s="888" t="n"/>
      <c r="K491">
        <f>SUM(H491:J491)</f>
        <v/>
      </c>
      <c r="L491" s="852" t="n"/>
      <c r="M491" s="852" t="n"/>
      <c r="N491" s="852" t="n"/>
      <c r="O491" s="852" t="n"/>
      <c r="P491" s="852" t="n"/>
      <c r="Q491" s="852" t="n"/>
      <c r="R491" s="852" t="n"/>
      <c r="S491" s="852" t="n"/>
      <c r="T491" s="852" t="n"/>
      <c r="U491" s="852" t="n"/>
      <c r="V491" s="852" t="n"/>
      <c r="W491" s="852" t="n"/>
      <c r="X491" s="852" t="n"/>
      <c r="Y491" s="852" t="n"/>
      <c r="Z491" s="852" t="n"/>
      <c r="AA491" s="852" t="n"/>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c r="CL491" s="59" t="n"/>
      <c r="CM491" s="59" t="n"/>
      <c r="CN491" s="59" t="n"/>
    </row>
    <row r="492" ht="15" customFormat="1" customHeight="1" s="3">
      <c r="A492">
        <f>IF(C492="","",ROW()-2)</f>
        <v/>
      </c>
      <c r="B492" s="852" t="n"/>
      <c r="C492" s="852" t="n"/>
      <c r="D492">
        <f>IF(C492="TOH","Type 1",IF(C492="POH","Type 2",IF(OR(C492="LTO",C492="TOH-LC",C492="TOH - LC"),"Type 3",IF(C492="Flourish","Type 4","Type 1"))))</f>
        <v/>
      </c>
      <c r="E492" s="852" t="n"/>
      <c r="F492" s="852" t="n"/>
      <c r="G492" s="852" t="n"/>
      <c r="H492" s="888" t="n"/>
      <c r="I492" s="889" t="n"/>
      <c r="J492" s="888" t="n"/>
      <c r="K492">
        <f>SUM(H492:J492)</f>
        <v/>
      </c>
      <c r="L492" s="852" t="n"/>
      <c r="M492" s="852" t="n"/>
      <c r="N492" s="852" t="n"/>
      <c r="O492" s="852" t="n"/>
      <c r="P492" s="852" t="n"/>
      <c r="Q492" s="852" t="n"/>
      <c r="R492" s="852" t="n"/>
      <c r="S492" s="852" t="n"/>
      <c r="T492" s="852" t="n"/>
      <c r="U492" s="852" t="n"/>
      <c r="V492" s="852" t="n"/>
      <c r="W492" s="852" t="n"/>
      <c r="X492" s="852" t="n"/>
      <c r="Y492" s="852" t="n"/>
      <c r="Z492" s="852" t="n"/>
      <c r="AA492" s="852" t="n"/>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c r="CL492" s="59" t="n"/>
      <c r="CM492" s="59" t="n"/>
      <c r="CN492" s="59" t="n"/>
    </row>
    <row r="493" ht="15" customFormat="1" customHeight="1" s="3">
      <c r="A493">
        <f>IF(C493="","",ROW()-2)</f>
        <v/>
      </c>
      <c r="B493" s="852" t="n"/>
      <c r="C493" s="852" t="n"/>
      <c r="D493">
        <f>IF(C493="TOH","Type 1",IF(C493="POH","Type 2",IF(OR(C493="LTO",C493="TOH-LC",C493="TOH - LC"),"Type 3",IF(C493="Flourish","Type 4","Type 1"))))</f>
        <v/>
      </c>
      <c r="E493" s="852" t="n"/>
      <c r="F493" s="852" t="n"/>
      <c r="G493" s="852" t="n"/>
      <c r="H493" s="888" t="n"/>
      <c r="I493" s="889" t="n"/>
      <c r="J493" s="888" t="n"/>
      <c r="K493">
        <f>SUM(H493:J493)</f>
        <v/>
      </c>
      <c r="L493" s="852" t="n"/>
      <c r="M493" s="852" t="n"/>
      <c r="N493" s="852" t="n"/>
      <c r="O493" s="852" t="n"/>
      <c r="P493" s="852" t="n"/>
      <c r="Q493" s="852" t="n"/>
      <c r="R493" s="852" t="n"/>
      <c r="S493" s="852" t="n"/>
      <c r="T493" s="852" t="n"/>
      <c r="U493" s="852" t="n"/>
      <c r="V493" s="852" t="n"/>
      <c r="W493" s="852" t="n"/>
      <c r="X493" s="852" t="n"/>
      <c r="Y493" s="852" t="n"/>
      <c r="Z493" s="852" t="n"/>
      <c r="AA493" s="852" t="n"/>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c r="CL493" s="59" t="n"/>
      <c r="CM493" s="59" t="n"/>
      <c r="CN493" s="59" t="n"/>
    </row>
    <row r="494" ht="15" customFormat="1" customHeight="1" s="3">
      <c r="A494">
        <f>IF(C494="","",ROW()-2)</f>
        <v/>
      </c>
      <c r="B494" s="852" t="n"/>
      <c r="C494" s="852" t="n"/>
      <c r="D494">
        <f>IF(C494="TOH","Type 1",IF(C494="POH","Type 2",IF(OR(C494="LTO",C494="TOH-LC",C494="TOH - LC"),"Type 3",IF(C494="Flourish","Type 4","Type 1"))))</f>
        <v/>
      </c>
      <c r="E494" s="852" t="n"/>
      <c r="F494" s="852" t="n"/>
      <c r="G494" s="852" t="n"/>
      <c r="H494" s="888" t="n"/>
      <c r="I494" s="889" t="n"/>
      <c r="J494" s="888" t="n"/>
      <c r="K494">
        <f>SUM(H494:J494)</f>
        <v/>
      </c>
      <c r="L494" s="852" t="n"/>
      <c r="M494" s="852" t="n"/>
      <c r="N494" s="852" t="n"/>
      <c r="O494" s="852" t="n"/>
      <c r="P494" s="852" t="n"/>
      <c r="Q494" s="852" t="n"/>
      <c r="R494" s="852" t="n"/>
      <c r="S494" s="852" t="n"/>
      <c r="T494" s="852" t="n"/>
      <c r="U494" s="852" t="n"/>
      <c r="V494" s="852" t="n"/>
      <c r="W494" s="852" t="n"/>
      <c r="X494" s="852" t="n"/>
      <c r="Y494" s="852" t="n"/>
      <c r="Z494" s="852" t="n"/>
      <c r="AA494" s="852" t="n"/>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c r="CL494" s="59" t="n"/>
      <c r="CM494" s="59" t="n"/>
      <c r="CN494" s="59" t="n"/>
    </row>
    <row r="495" ht="15" customFormat="1" customHeight="1" s="3">
      <c r="A495">
        <f>IF(C495="","",ROW()-2)</f>
        <v/>
      </c>
      <c r="B495" s="852" t="n"/>
      <c r="C495" s="852" t="n"/>
      <c r="D495">
        <f>IF(C495="TOH","Type 1",IF(C495="POH","Type 2",IF(OR(C495="LTO",C495="TOH-LC",C495="TOH - LC"),"Type 3",IF(C495="Flourish","Type 4","Type 1"))))</f>
        <v/>
      </c>
      <c r="E495" s="852" t="n"/>
      <c r="F495" s="852" t="n"/>
      <c r="G495" s="852" t="n"/>
      <c r="H495" s="888" t="n"/>
      <c r="I495" s="889" t="n"/>
      <c r="J495" s="888" t="n"/>
      <c r="K495">
        <f>SUM(H495:J495)</f>
        <v/>
      </c>
      <c r="L495" s="852" t="n"/>
      <c r="M495" s="852" t="n"/>
      <c r="N495" s="852" t="n"/>
      <c r="O495" s="852" t="n"/>
      <c r="P495" s="852" t="n"/>
      <c r="Q495" s="852" t="n"/>
      <c r="R495" s="852" t="n"/>
      <c r="S495" s="852" t="n"/>
      <c r="T495" s="852" t="n"/>
      <c r="U495" s="852" t="n"/>
      <c r="V495" s="852" t="n"/>
      <c r="W495" s="852" t="n"/>
      <c r="X495" s="852" t="n"/>
      <c r="Y495" s="852" t="n"/>
      <c r="Z495" s="852" t="n"/>
      <c r="AA495" s="852" t="n"/>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c r="CL495" s="59" t="n"/>
      <c r="CM495" s="59" t="n"/>
      <c r="CN495" s="59" t="n"/>
    </row>
    <row r="496" ht="15" customFormat="1" customHeight="1" s="3">
      <c r="A496">
        <f>IF(C496="","",ROW()-2)</f>
        <v/>
      </c>
      <c r="B496" s="852" t="n"/>
      <c r="C496" s="852" t="n"/>
      <c r="D496">
        <f>IF(C496="TOH","Type 1",IF(C496="POH","Type 2",IF(OR(C496="LTO",C496="TOH-LC",C496="TOH - LC"),"Type 3",IF(C496="Flourish","Type 4","Type 1"))))</f>
        <v/>
      </c>
      <c r="E496" s="852" t="n"/>
      <c r="F496" s="852" t="n"/>
      <c r="G496" s="852" t="n"/>
      <c r="H496" s="888" t="n"/>
      <c r="I496" s="889" t="n"/>
      <c r="J496" s="888" t="n"/>
      <c r="K496">
        <f>SUM(H496:J496)</f>
        <v/>
      </c>
      <c r="L496" s="852" t="n"/>
      <c r="M496" s="852" t="n"/>
      <c r="N496" s="852" t="n"/>
      <c r="O496" s="852" t="n"/>
      <c r="P496" s="852" t="n"/>
      <c r="Q496" s="852" t="n"/>
      <c r="R496" s="852" t="n"/>
      <c r="S496" s="852" t="n"/>
      <c r="T496" s="852" t="n"/>
      <c r="U496" s="852" t="n"/>
      <c r="V496" s="852" t="n"/>
      <c r="W496" s="852" t="n"/>
      <c r="X496" s="852" t="n"/>
      <c r="Y496" s="852" t="n"/>
      <c r="Z496" s="852" t="n"/>
      <c r="AA496" s="852" t="n"/>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c r="CL496" s="59" t="n"/>
      <c r="CM496" s="59" t="n"/>
      <c r="CN496" s="59" t="n"/>
    </row>
    <row r="497" ht="15" customFormat="1" customHeight="1" s="3">
      <c r="A497">
        <f>IF(C497="","",ROW()-2)</f>
        <v/>
      </c>
      <c r="B497" s="852" t="n"/>
      <c r="C497" s="852" t="n"/>
      <c r="D497">
        <f>IF(C497="TOH","Type 1",IF(C497="POH","Type 2",IF(OR(C497="LTO",C497="TOH-LC",C497="TOH - LC"),"Type 3",IF(C497="Flourish","Type 4","Type 1"))))</f>
        <v/>
      </c>
      <c r="E497" s="852" t="n"/>
      <c r="F497" s="852" t="n"/>
      <c r="G497" s="852" t="n"/>
      <c r="H497" s="888" t="n"/>
      <c r="I497" s="889" t="n"/>
      <c r="J497" s="888" t="n"/>
      <c r="K497">
        <f>SUM(H497:J497)</f>
        <v/>
      </c>
      <c r="L497" s="852" t="n"/>
      <c r="M497" s="852" t="n"/>
      <c r="N497" s="852" t="n"/>
      <c r="O497" s="852" t="n"/>
      <c r="P497" s="852" t="n"/>
      <c r="Q497" s="852" t="n"/>
      <c r="R497" s="852" t="n"/>
      <c r="S497" s="852" t="n"/>
      <c r="T497" s="852" t="n"/>
      <c r="U497" s="852" t="n"/>
      <c r="V497" s="852" t="n"/>
      <c r="W497" s="852" t="n"/>
      <c r="X497" s="852" t="n"/>
      <c r="Y497" s="852" t="n"/>
      <c r="Z497" s="852" t="n"/>
      <c r="AA497" s="852" t="n"/>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c r="CL497" s="59" t="n"/>
      <c r="CM497" s="59" t="n"/>
      <c r="CN497" s="59" t="n"/>
    </row>
    <row r="498" ht="15" customFormat="1" customHeight="1" s="3">
      <c r="A498">
        <f>IF(C498="","",ROW()-2)</f>
        <v/>
      </c>
      <c r="B498" s="852" t="n"/>
      <c r="C498" s="852" t="n"/>
      <c r="D498">
        <f>IF(C498="TOH","Type 1",IF(C498="POH","Type 2",IF(OR(C498="LTO",C498="TOH-LC",C498="TOH - LC"),"Type 3",IF(C498="Flourish","Type 4","Type 1"))))</f>
        <v/>
      </c>
      <c r="E498" s="852" t="n"/>
      <c r="F498" s="852" t="n"/>
      <c r="G498" s="852" t="n"/>
      <c r="H498" s="888" t="n"/>
      <c r="I498" s="889" t="n"/>
      <c r="J498" s="888" t="n"/>
      <c r="K498">
        <f>SUM(H498:J498)</f>
        <v/>
      </c>
      <c r="L498" s="852" t="n"/>
      <c r="M498" s="852" t="n"/>
      <c r="N498" s="852" t="n"/>
      <c r="O498" s="852" t="n"/>
      <c r="P498" s="852" t="n"/>
      <c r="Q498" s="852" t="n"/>
      <c r="R498" s="852" t="n"/>
      <c r="S498" s="852" t="n"/>
      <c r="T498" s="852" t="n"/>
      <c r="U498" s="852" t="n"/>
      <c r="V498" s="852" t="n"/>
      <c r="W498" s="852" t="n"/>
      <c r="X498" s="852" t="n"/>
      <c r="Y498" s="852" t="n"/>
      <c r="Z498" s="852" t="n"/>
      <c r="AA498" s="852" t="n"/>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c r="CL498" s="59" t="n"/>
      <c r="CM498" s="59" t="n"/>
      <c r="CN498" s="59" t="n"/>
    </row>
    <row r="499" ht="15" customFormat="1" customHeight="1" s="3">
      <c r="A499">
        <f>IF(C499="","",ROW()-2)</f>
        <v/>
      </c>
      <c r="B499" s="852" t="n"/>
      <c r="C499" s="852" t="n"/>
      <c r="D499">
        <f>IF(C499="TOH","Type 1",IF(C499="POH","Type 2",IF(OR(C499="LTO",C499="TOH-LC",C499="TOH - LC"),"Type 3",IF(C499="Flourish","Type 4","Type 1"))))</f>
        <v/>
      </c>
      <c r="E499" s="852" t="n"/>
      <c r="F499" s="852" t="n"/>
      <c r="G499" s="852" t="n"/>
      <c r="H499" s="888" t="n"/>
      <c r="I499" s="889" t="n"/>
      <c r="J499" s="888" t="n"/>
      <c r="K499">
        <f>SUM(H499:J499)</f>
        <v/>
      </c>
      <c r="L499" s="852" t="n"/>
      <c r="M499" s="852" t="n"/>
      <c r="N499" s="852" t="n"/>
      <c r="O499" s="852" t="n"/>
      <c r="P499" s="852" t="n"/>
      <c r="Q499" s="852" t="n"/>
      <c r="R499" s="852" t="n"/>
      <c r="S499" s="852" t="n"/>
      <c r="T499" s="852" t="n"/>
      <c r="U499" s="852" t="n"/>
      <c r="V499" s="852" t="n"/>
      <c r="W499" s="852" t="n"/>
      <c r="X499" s="852" t="n"/>
      <c r="Y499" s="852" t="n"/>
      <c r="Z499" s="852" t="n"/>
      <c r="AA499" s="852" t="n"/>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c r="CL499" s="59" t="n"/>
      <c r="CM499" s="59" t="n"/>
      <c r="CN499" s="59" t="n"/>
    </row>
    <row r="500" ht="15" customFormat="1" customHeight="1" s="3">
      <c r="A500">
        <f>IF(C500="","",ROW()-2)</f>
        <v/>
      </c>
      <c r="B500" s="852" t="n"/>
      <c r="C500" s="852" t="n"/>
      <c r="D500">
        <f>IF(C500="TOH","Type 1",IF(C500="POH","Type 2",IF(OR(C500="LTO",C500="TOH-LC",C500="TOH - LC"),"Type 3",IF(C500="Flourish","Type 4","Type 1"))))</f>
        <v/>
      </c>
      <c r="E500" s="852" t="n"/>
      <c r="F500" s="852" t="n"/>
      <c r="G500" s="852" t="n"/>
      <c r="H500" s="888" t="n"/>
      <c r="I500" s="889" t="n"/>
      <c r="J500" s="888" t="n"/>
      <c r="K500">
        <f>SUM(H500:J500)</f>
        <v/>
      </c>
      <c r="L500" s="852" t="n"/>
      <c r="M500" s="852" t="n"/>
      <c r="N500" s="852" t="n"/>
      <c r="O500" s="852" t="n"/>
      <c r="P500" s="852" t="n"/>
      <c r="Q500" s="852" t="n"/>
      <c r="R500" s="852" t="n"/>
      <c r="S500" s="852" t="n"/>
      <c r="T500" s="852" t="n"/>
      <c r="U500" s="852" t="n"/>
      <c r="V500" s="852" t="n"/>
      <c r="W500" s="852" t="n"/>
      <c r="X500" s="852" t="n"/>
      <c r="Y500" s="852" t="n"/>
      <c r="Z500" s="852" t="n"/>
      <c r="AA500" s="852" t="n"/>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c r="CL500" s="59" t="n"/>
      <c r="CM500" s="59" t="n"/>
      <c r="CN500" s="59" t="n"/>
    </row>
    <row r="501" ht="15" customFormat="1" customHeight="1" s="3">
      <c r="A501">
        <f>IF(C501="","",ROW()-2)</f>
        <v/>
      </c>
      <c r="B501" s="852" t="n"/>
      <c r="C501" s="852" t="n"/>
      <c r="D501">
        <f>IF(C501="TOH","Type 1",IF(C501="POH","Type 2",IF(OR(C501="LTO",C501="TOH-LC",C501="TOH - LC"),"Type 3",IF(C501="Flourish","Type 4","Type 1"))))</f>
        <v/>
      </c>
      <c r="E501" s="852" t="n"/>
      <c r="F501" s="852" t="n"/>
      <c r="G501" s="852" t="n"/>
      <c r="H501" s="888" t="n"/>
      <c r="I501" s="889" t="n"/>
      <c r="J501" s="888" t="n"/>
      <c r="K501">
        <f>SUM(H501:J501)</f>
        <v/>
      </c>
      <c r="L501" s="852" t="n"/>
      <c r="M501" s="852" t="n"/>
      <c r="N501" s="852" t="n"/>
      <c r="O501" s="852" t="n"/>
      <c r="P501" s="852" t="n"/>
      <c r="Q501" s="852" t="n"/>
      <c r="R501" s="852" t="n"/>
      <c r="S501" s="852" t="n"/>
      <c r="T501" s="852" t="n"/>
      <c r="U501" s="852" t="n"/>
      <c r="V501" s="852" t="n"/>
      <c r="W501" s="852" t="n"/>
      <c r="X501" s="852" t="n"/>
      <c r="Y501" s="852" t="n"/>
      <c r="Z501" s="852" t="n"/>
      <c r="AA501" s="852" t="n"/>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c r="CL501" s="59" t="n"/>
      <c r="CM501" s="59" t="n"/>
      <c r="CN501" s="59" t="n"/>
    </row>
    <row r="502" ht="15" customFormat="1" customHeight="1" s="3">
      <c r="A502">
        <f>IF(C502="","",ROW()-2)</f>
        <v/>
      </c>
      <c r="B502" s="852" t="n"/>
      <c r="C502" s="852" t="n"/>
      <c r="D502">
        <f>IF(C502="TOH","Type 1",IF(C502="POH","Type 2",IF(OR(C502="LTO",C502="TOH-LC",C502="TOH - LC"),"Type 3",IF(C502="Flourish","Type 4","Type 1"))))</f>
        <v/>
      </c>
      <c r="E502" s="852" t="n"/>
      <c r="F502" s="852" t="n"/>
      <c r="G502" s="852" t="n"/>
      <c r="H502" s="888" t="n"/>
      <c r="I502" s="889" t="n"/>
      <c r="J502" s="888" t="n"/>
      <c r="K502">
        <f>SUM(H502:J502)</f>
        <v/>
      </c>
      <c r="L502" s="852" t="n"/>
      <c r="M502" s="852" t="n"/>
      <c r="N502" s="852" t="n"/>
      <c r="O502" s="852" t="n"/>
      <c r="P502" s="852" t="n"/>
      <c r="Q502" s="852" t="n"/>
      <c r="R502" s="852" t="n"/>
      <c r="S502" s="852" t="n"/>
      <c r="T502" s="852" t="n"/>
      <c r="U502" s="852" t="n"/>
      <c r="V502" s="852" t="n"/>
      <c r="W502" s="852" t="n"/>
      <c r="X502" s="852" t="n"/>
      <c r="Y502" s="852" t="n"/>
      <c r="Z502" s="852" t="n"/>
      <c r="AA502" s="852" t="n"/>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c r="CL502" s="59" t="n"/>
      <c r="CM502" s="59" t="n"/>
      <c r="CN502" s="59" t="n"/>
    </row>
    <row r="503" ht="15" customFormat="1" customHeight="1" s="3">
      <c r="A503">
        <f>IF(C503="","",ROW()-2)</f>
        <v/>
      </c>
      <c r="B503" s="852" t="n"/>
      <c r="C503" s="852" t="n"/>
      <c r="D503">
        <f>IF(C503="TOH","Type 1",IF(C503="POH","Type 2",IF(OR(C503="LTO",C503="TOH-LC",C503="TOH - LC"),"Type 3",IF(C503="Flourish","Type 4","Type 1"))))</f>
        <v/>
      </c>
      <c r="E503" s="852" t="n"/>
      <c r="F503" s="852" t="n"/>
      <c r="G503" s="852" t="n"/>
      <c r="H503" s="888" t="n"/>
      <c r="I503" s="889" t="n"/>
      <c r="J503" s="888" t="n"/>
      <c r="K503">
        <f>SUM(H503:J503)</f>
        <v/>
      </c>
      <c r="L503" s="852" t="n"/>
      <c r="M503" s="852" t="n"/>
      <c r="N503" s="852" t="n"/>
      <c r="O503" s="852" t="n"/>
      <c r="P503" s="852" t="n"/>
      <c r="Q503" s="852" t="n"/>
      <c r="R503" s="852" t="n"/>
      <c r="S503" s="852" t="n"/>
      <c r="T503" s="852" t="n"/>
      <c r="U503" s="852" t="n"/>
      <c r="V503" s="852" t="n"/>
      <c r="W503" s="852" t="n"/>
      <c r="X503" s="852" t="n"/>
      <c r="Y503" s="852" t="n"/>
      <c r="Z503" s="852" t="n"/>
      <c r="AA503" s="852" t="n"/>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c r="CL503" s="59" t="n"/>
      <c r="CM503" s="59" t="n"/>
      <c r="CN503" s="59" t="n"/>
    </row>
    <row r="504" ht="15" customFormat="1" customHeight="1" s="3">
      <c r="A504">
        <f>IF(C504="","",ROW()-2)</f>
        <v/>
      </c>
      <c r="B504" s="852" t="n"/>
      <c r="C504" s="852" t="n"/>
      <c r="D504">
        <f>IF(C504="TOH","Type 1",IF(C504="POH","Type 2",IF(OR(C504="LTO",C504="TOH-LC",C504="TOH - LC"),"Type 3",IF(C504="Flourish","Type 4","Type 1"))))</f>
        <v/>
      </c>
      <c r="E504" s="852" t="n"/>
      <c r="F504" s="852" t="n"/>
      <c r="G504" s="852" t="n"/>
      <c r="H504" s="888" t="n"/>
      <c r="I504" s="889" t="n"/>
      <c r="J504" s="888" t="n"/>
      <c r="K504">
        <f>SUM(H504:J504)</f>
        <v/>
      </c>
      <c r="L504" s="852" t="n"/>
      <c r="M504" s="852" t="n"/>
      <c r="N504" s="852" t="n"/>
      <c r="O504" s="852" t="n"/>
      <c r="P504" s="852" t="n"/>
      <c r="Q504" s="852" t="n"/>
      <c r="R504" s="852" t="n"/>
      <c r="S504" s="852" t="n"/>
      <c r="T504" s="852" t="n"/>
      <c r="U504" s="852" t="n"/>
      <c r="V504" s="852" t="n"/>
      <c r="W504" s="852" t="n"/>
      <c r="X504" s="852" t="n"/>
      <c r="Y504" s="852" t="n"/>
      <c r="Z504" s="852" t="n"/>
      <c r="AA504" s="852" t="n"/>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c r="CL504" s="59" t="n"/>
      <c r="CM504" s="59" t="n"/>
      <c r="CN504" s="59" t="n"/>
    </row>
    <row r="505" ht="15" customFormat="1" customHeight="1" s="3">
      <c r="A505">
        <f>IF(C505="","",ROW()-2)</f>
        <v/>
      </c>
      <c r="B505" s="852" t="n"/>
      <c r="C505" s="852" t="n"/>
      <c r="D505">
        <f>IF(C505="TOH","Type 1",IF(C505="POH","Type 2",IF(OR(C505="LTO",C505="TOH-LC",C505="TOH - LC"),"Type 3",IF(C505="Flourish","Type 4","Type 1"))))</f>
        <v/>
      </c>
      <c r="E505" s="852" t="n"/>
      <c r="F505" s="852" t="n"/>
      <c r="G505" s="852" t="n"/>
      <c r="H505" s="888" t="n"/>
      <c r="I505" s="889" t="n"/>
      <c r="J505" s="888" t="n"/>
      <c r="K505">
        <f>SUM(H505:J505)</f>
        <v/>
      </c>
      <c r="L505" s="852" t="n"/>
      <c r="M505" s="852" t="n"/>
      <c r="N505" s="852" t="n"/>
      <c r="O505" s="852" t="n"/>
      <c r="P505" s="852" t="n"/>
      <c r="Q505" s="852" t="n"/>
      <c r="R505" s="852" t="n"/>
      <c r="S505" s="852" t="n"/>
      <c r="T505" s="852" t="n"/>
      <c r="U505" s="852" t="n"/>
      <c r="V505" s="852" t="n"/>
      <c r="W505" s="852" t="n"/>
      <c r="X505" s="852" t="n"/>
      <c r="Y505" s="852" t="n"/>
      <c r="Z505" s="852" t="n"/>
      <c r="AA505" s="852" t="n"/>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c r="CL505" s="59" t="n"/>
      <c r="CM505" s="59" t="n"/>
      <c r="CN505" s="59" t="n"/>
    </row>
    <row r="506" ht="15" customFormat="1" customHeight="1" s="3">
      <c r="A506">
        <f>IF(C506="","",ROW()-2)</f>
        <v/>
      </c>
      <c r="B506" s="852" t="n"/>
      <c r="C506" s="852" t="n"/>
      <c r="D506">
        <f>IF(C506="TOH","Type 1",IF(C506="POH","Type 2",IF(OR(C506="LTO",C506="TOH-LC",C506="TOH - LC"),"Type 3",IF(C506="Flourish","Type 4","Type 1"))))</f>
        <v/>
      </c>
      <c r="E506" s="852" t="n"/>
      <c r="F506" s="852" t="n"/>
      <c r="G506" s="852" t="n"/>
      <c r="H506" s="888" t="n"/>
      <c r="I506" s="889" t="n"/>
      <c r="J506" s="888" t="n"/>
      <c r="K506">
        <f>SUM(H506:J506)</f>
        <v/>
      </c>
      <c r="L506" s="852" t="n"/>
      <c r="M506" s="852" t="n"/>
      <c r="N506" s="852" t="n"/>
      <c r="O506" s="852" t="n"/>
      <c r="P506" s="852" t="n"/>
      <c r="Q506" s="852" t="n"/>
      <c r="R506" s="852" t="n"/>
      <c r="S506" s="852" t="n"/>
      <c r="T506" s="852" t="n"/>
      <c r="U506" s="852" t="n"/>
      <c r="V506" s="852" t="n"/>
      <c r="W506" s="852" t="n"/>
      <c r="X506" s="852" t="n"/>
      <c r="Y506" s="852" t="n"/>
      <c r="Z506" s="852" t="n"/>
      <c r="AA506" s="852" t="n"/>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c r="CL506" s="59" t="n"/>
      <c r="CM506" s="59" t="n"/>
      <c r="CN506" s="59" t="n"/>
    </row>
    <row r="507" ht="15" customFormat="1" customHeight="1" s="3">
      <c r="A507">
        <f>IF(C507="","",ROW()-2)</f>
        <v/>
      </c>
      <c r="B507" s="852" t="n"/>
      <c r="C507" s="852" t="n"/>
      <c r="D507">
        <f>IF(C507="TOH","Type 1",IF(C507="POH","Type 2",IF(OR(C507="LTO",C507="TOH-LC",C507="TOH - LC"),"Type 3",IF(C507="Flourish","Type 4","Type 1"))))</f>
        <v/>
      </c>
      <c r="E507" s="852" t="n"/>
      <c r="F507" s="852" t="n"/>
      <c r="G507" s="852" t="n"/>
      <c r="H507" s="888" t="n"/>
      <c r="I507" s="889" t="n"/>
      <c r="J507" s="888" t="n"/>
      <c r="K507">
        <f>SUM(H507:J507)</f>
        <v/>
      </c>
      <c r="L507" s="852" t="n"/>
      <c r="M507" s="852" t="n"/>
      <c r="N507" s="852" t="n"/>
      <c r="O507" s="852" t="n"/>
      <c r="P507" s="852" t="n"/>
      <c r="Q507" s="852" t="n"/>
      <c r="R507" s="852" t="n"/>
      <c r="S507" s="852" t="n"/>
      <c r="T507" s="852" t="n"/>
      <c r="U507" s="852" t="n"/>
      <c r="V507" s="852" t="n"/>
      <c r="W507" s="852" t="n"/>
      <c r="X507" s="852" t="n"/>
      <c r="Y507" s="852" t="n"/>
      <c r="Z507" s="852" t="n"/>
      <c r="AA507" s="852" t="n"/>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c r="CL507" s="59" t="n"/>
      <c r="CM507" s="59" t="n"/>
      <c r="CN507" s="59" t="n"/>
    </row>
    <row r="508" ht="15" customFormat="1" customHeight="1" s="3">
      <c r="A508">
        <f>IF(C508="","",ROW()-2)</f>
        <v/>
      </c>
      <c r="B508" s="852" t="n"/>
      <c r="C508" s="852" t="n"/>
      <c r="D508">
        <f>IF(C508="TOH","Type 1",IF(C508="POH","Type 2",IF(OR(C508="LTO",C508="TOH-LC",C508="TOH - LC"),"Type 3",IF(C508="Flourish","Type 4","Type 1"))))</f>
        <v/>
      </c>
      <c r="E508" s="852" t="n"/>
      <c r="F508" s="852" t="n"/>
      <c r="G508" s="852" t="n"/>
      <c r="H508" s="888" t="n"/>
      <c r="I508" s="889" t="n"/>
      <c r="J508" s="888" t="n"/>
      <c r="K508">
        <f>SUM(H508:J508)</f>
        <v/>
      </c>
      <c r="L508" s="852" t="n"/>
      <c r="M508" s="852" t="n"/>
      <c r="N508" s="852" t="n"/>
      <c r="O508" s="852" t="n"/>
      <c r="P508" s="852" t="n"/>
      <c r="Q508" s="852" t="n"/>
      <c r="R508" s="852" t="n"/>
      <c r="S508" s="852" t="n"/>
      <c r="T508" s="852" t="n"/>
      <c r="U508" s="852" t="n"/>
      <c r="V508" s="852" t="n"/>
      <c r="W508" s="852" t="n"/>
      <c r="X508" s="852" t="n"/>
      <c r="Y508" s="852" t="n"/>
      <c r="Z508" s="852" t="n"/>
      <c r="AA508" s="852" t="n"/>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c r="CL508" s="59" t="n"/>
      <c r="CM508" s="59" t="n"/>
      <c r="CN508" s="59" t="n"/>
    </row>
    <row r="509" ht="15" customFormat="1" customHeight="1" s="3">
      <c r="A509">
        <f>IF(C509="","",ROW()-2)</f>
        <v/>
      </c>
      <c r="B509" s="852" t="n"/>
      <c r="C509" s="852" t="n"/>
      <c r="D509">
        <f>IF(C509="TOH","Type 1",IF(C509="POH","Type 2",IF(OR(C509="LTO",C509="TOH-LC",C509="TOH - LC"),"Type 3",IF(C509="Flourish","Type 4","Type 1"))))</f>
        <v/>
      </c>
      <c r="E509" s="852" t="n"/>
      <c r="F509" s="852" t="n"/>
      <c r="G509" s="852" t="n"/>
      <c r="H509" s="888" t="n"/>
      <c r="I509" s="889" t="n"/>
      <c r="J509" s="888" t="n"/>
      <c r="K509">
        <f>SUM(H509:J509)</f>
        <v/>
      </c>
      <c r="L509" s="852" t="n"/>
      <c r="M509" s="852" t="n"/>
      <c r="N509" s="852" t="n"/>
      <c r="O509" s="852" t="n"/>
      <c r="P509" s="852" t="n"/>
      <c r="Q509" s="852" t="n"/>
      <c r="R509" s="852" t="n"/>
      <c r="S509" s="852" t="n"/>
      <c r="T509" s="852" t="n"/>
      <c r="U509" s="852" t="n"/>
      <c r="V509" s="852" t="n"/>
      <c r="W509" s="852" t="n"/>
      <c r="X509" s="852" t="n"/>
      <c r="Y509" s="852" t="n"/>
      <c r="Z509" s="852" t="n"/>
      <c r="AA509" s="852" t="n"/>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c r="CL509" s="59" t="n"/>
      <c r="CM509" s="59" t="n"/>
      <c r="CN509" s="59" t="n"/>
    </row>
    <row r="510" ht="15" customFormat="1" customHeight="1" s="3">
      <c r="A510">
        <f>IF(C510="","",ROW()-2)</f>
        <v/>
      </c>
      <c r="B510" s="852" t="n"/>
      <c r="C510" s="852" t="n"/>
      <c r="D510">
        <f>IF(C510="TOH","Type 1",IF(C510="POH","Type 2",IF(OR(C510="LTO",C510="TOH-LC",C510="TOH - LC"),"Type 3",IF(C510="Flourish","Type 4","Type 1"))))</f>
        <v/>
      </c>
      <c r="E510" s="852" t="n"/>
      <c r="F510" s="852" t="n"/>
      <c r="G510" s="852" t="n"/>
      <c r="H510" s="888" t="n"/>
      <c r="I510" s="889" t="n"/>
      <c r="J510" s="888" t="n"/>
      <c r="K510">
        <f>SUM(H510:J510)</f>
        <v/>
      </c>
      <c r="L510" s="852" t="n"/>
      <c r="M510" s="852" t="n"/>
      <c r="N510" s="852" t="n"/>
      <c r="O510" s="852" t="n"/>
      <c r="P510" s="852" t="n"/>
      <c r="Q510" s="852" t="n"/>
      <c r="R510" s="852" t="n"/>
      <c r="S510" s="852" t="n"/>
      <c r="T510" s="852" t="n"/>
      <c r="U510" s="852" t="n"/>
      <c r="V510" s="852" t="n"/>
      <c r="W510" s="852" t="n"/>
      <c r="X510" s="852" t="n"/>
      <c r="Y510" s="852" t="n"/>
      <c r="Z510" s="852" t="n"/>
      <c r="AA510" s="852" t="n"/>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c r="CL510" s="59" t="n"/>
      <c r="CM510" s="59" t="n"/>
      <c r="CN510" s="59" t="n"/>
    </row>
    <row r="511" ht="15" customFormat="1" customHeight="1" s="3">
      <c r="A511">
        <f>IF(C511="","",ROW()-2)</f>
        <v/>
      </c>
      <c r="B511" s="852" t="n"/>
      <c r="C511" s="852" t="n"/>
      <c r="D511">
        <f>IF(C511="TOH","Type 1",IF(C511="POH","Type 2",IF(OR(C511="LTO",C511="TOH-LC",C511="TOH - LC"),"Type 3",IF(C511="Flourish","Type 4","Type 1"))))</f>
        <v/>
      </c>
      <c r="E511" s="852" t="n"/>
      <c r="F511" s="852" t="n"/>
      <c r="G511" s="852" t="n"/>
      <c r="H511" s="888" t="n"/>
      <c r="I511" s="889" t="n"/>
      <c r="J511" s="888" t="n"/>
      <c r="K511">
        <f>SUM(H511:J511)</f>
        <v/>
      </c>
      <c r="L511" s="852" t="n"/>
      <c r="M511" s="852" t="n"/>
      <c r="N511" s="852" t="n"/>
      <c r="O511" s="852" t="n"/>
      <c r="P511" s="852" t="n"/>
      <c r="Q511" s="852" t="n"/>
      <c r="R511" s="852" t="n"/>
      <c r="S511" s="852" t="n"/>
      <c r="T511" s="852" t="n"/>
      <c r="U511" s="852" t="n"/>
      <c r="V511" s="852" t="n"/>
      <c r="W511" s="852" t="n"/>
      <c r="X511" s="852" t="n"/>
      <c r="Y511" s="852" t="n"/>
      <c r="Z511" s="852" t="n"/>
      <c r="AA511" s="852" t="n"/>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c r="CL511" s="59" t="n"/>
      <c r="CM511" s="59" t="n"/>
      <c r="CN511" s="59" t="n"/>
    </row>
    <row r="512" ht="15" customFormat="1" customHeight="1" s="3">
      <c r="A512">
        <f>IF(C512="","",ROW()-2)</f>
        <v/>
      </c>
      <c r="B512" s="852" t="n"/>
      <c r="C512" s="852" t="n"/>
      <c r="D512">
        <f>IF(C512="TOH","Type 1",IF(C512="POH","Type 2",IF(OR(C512="LTO",C512="TOH-LC",C512="TOH - LC"),"Type 3",IF(C512="Flourish","Type 4","Type 1"))))</f>
        <v/>
      </c>
      <c r="E512" s="852" t="n"/>
      <c r="F512" s="852" t="n"/>
      <c r="G512" s="852" t="n"/>
      <c r="H512" s="888" t="n"/>
      <c r="I512" s="889" t="n"/>
      <c r="J512" s="888" t="n"/>
      <c r="K512">
        <f>SUM(H512:J512)</f>
        <v/>
      </c>
      <c r="L512" s="852" t="n"/>
      <c r="M512" s="852" t="n"/>
      <c r="N512" s="852" t="n"/>
      <c r="O512" s="852" t="n"/>
      <c r="P512" s="852" t="n"/>
      <c r="Q512" s="852" t="n"/>
      <c r="R512" s="852" t="n"/>
      <c r="S512" s="852" t="n"/>
      <c r="T512" s="852" t="n"/>
      <c r="U512" s="852" t="n"/>
      <c r="V512" s="852" t="n"/>
      <c r="W512" s="852" t="n"/>
      <c r="X512" s="852" t="n"/>
      <c r="Y512" s="852" t="n"/>
      <c r="Z512" s="852" t="n"/>
      <c r="AA512" s="852" t="n"/>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c r="CL512" s="59" t="n"/>
      <c r="CM512" s="59" t="n"/>
      <c r="CN512" s="59" t="n"/>
    </row>
    <row r="513" ht="15" customFormat="1" customHeight="1" s="3">
      <c r="A513">
        <f>IF(C513="","",ROW()-2)</f>
        <v/>
      </c>
      <c r="B513" s="852" t="n"/>
      <c r="C513" s="852" t="n"/>
      <c r="D513">
        <f>IF(C513="TOH","Type 1",IF(C513="POH","Type 2",IF(OR(C513="LTO",C513="TOH-LC",C513="TOH - LC"),"Type 3",IF(C513="Flourish","Type 4","Type 1"))))</f>
        <v/>
      </c>
      <c r="E513" s="852" t="n"/>
      <c r="F513" s="852" t="n"/>
      <c r="G513" s="852" t="n"/>
      <c r="H513" s="888" t="n"/>
      <c r="I513" s="889" t="n"/>
      <c r="J513" s="888" t="n"/>
      <c r="K513">
        <f>SUM(H513:J513)</f>
        <v/>
      </c>
      <c r="L513" s="852" t="n"/>
      <c r="M513" s="852" t="n"/>
      <c r="N513" s="852" t="n"/>
      <c r="O513" s="852" t="n"/>
      <c r="P513" s="852" t="n"/>
      <c r="Q513" s="852" t="n"/>
      <c r="R513" s="852" t="n"/>
      <c r="S513" s="852" t="n"/>
      <c r="T513" s="852" t="n"/>
      <c r="U513" s="852" t="n"/>
      <c r="V513" s="852" t="n"/>
      <c r="W513" s="852" t="n"/>
      <c r="X513" s="852" t="n"/>
      <c r="Y513" s="852" t="n"/>
      <c r="Z513" s="852" t="n"/>
      <c r="AA513" s="852" t="n"/>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c r="CL513" s="59" t="n"/>
      <c r="CM513" s="59" t="n"/>
      <c r="CN513" s="59" t="n"/>
    </row>
    <row r="514" ht="15" customFormat="1" customHeight="1" s="3">
      <c r="A514">
        <f>IF(C514="","",ROW()-2)</f>
        <v/>
      </c>
      <c r="B514" s="852" t="n"/>
      <c r="C514" s="852" t="n"/>
      <c r="D514">
        <f>IF(C514="TOH","Type 1",IF(C514="POH","Type 2",IF(OR(C514="LTO",C514="TOH-LC",C514="TOH - LC"),"Type 3",IF(C514="Flourish","Type 4","Type 1"))))</f>
        <v/>
      </c>
      <c r="E514" s="852" t="n"/>
      <c r="F514" s="852" t="n"/>
      <c r="G514" s="852" t="n"/>
      <c r="H514" s="888" t="n"/>
      <c r="I514" s="889" t="n"/>
      <c r="J514" s="888" t="n"/>
      <c r="K514">
        <f>SUM(H514:J514)</f>
        <v/>
      </c>
      <c r="L514" s="852" t="n"/>
      <c r="M514" s="852" t="n"/>
      <c r="N514" s="852" t="n"/>
      <c r="O514" s="852" t="n"/>
      <c r="P514" s="852" t="n"/>
      <c r="Q514" s="852" t="n"/>
      <c r="R514" s="852" t="n"/>
      <c r="S514" s="852" t="n"/>
      <c r="T514" s="852" t="n"/>
      <c r="U514" s="852" t="n"/>
      <c r="V514" s="852" t="n"/>
      <c r="W514" s="852" t="n"/>
      <c r="X514" s="852" t="n"/>
      <c r="Y514" s="852" t="n"/>
      <c r="Z514" s="852" t="n"/>
      <c r="AA514" s="852" t="n"/>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c r="CL514" s="59" t="n"/>
      <c r="CM514" s="59" t="n"/>
      <c r="CN514" s="59" t="n"/>
    </row>
    <row r="515" ht="15" customFormat="1" customHeight="1" s="3">
      <c r="A515">
        <f>IF(C515="","",ROW()-2)</f>
        <v/>
      </c>
      <c r="B515" s="852" t="n"/>
      <c r="C515" s="852" t="n"/>
      <c r="D515">
        <f>IF(C515="TOH","Type 1",IF(C515="POH","Type 2",IF(OR(C515="LTO",C515="TOH-LC",C515="TOH - LC"),"Type 3",IF(C515="Flourish","Type 4","Type 1"))))</f>
        <v/>
      </c>
      <c r="E515" s="852" t="n"/>
      <c r="F515" s="852" t="n"/>
      <c r="G515" s="852" t="n"/>
      <c r="H515" s="888" t="n"/>
      <c r="I515" s="889" t="n"/>
      <c r="J515" s="888" t="n"/>
      <c r="K515">
        <f>SUM(H515:J515)</f>
        <v/>
      </c>
      <c r="L515" s="852" t="n"/>
      <c r="M515" s="852" t="n"/>
      <c r="N515" s="852" t="n"/>
      <c r="O515" s="852" t="n"/>
      <c r="P515" s="852" t="n"/>
      <c r="Q515" s="852" t="n"/>
      <c r="R515" s="852" t="n"/>
      <c r="S515" s="852" t="n"/>
      <c r="T515" s="852" t="n"/>
      <c r="U515" s="852" t="n"/>
      <c r="V515" s="852" t="n"/>
      <c r="W515" s="852" t="n"/>
      <c r="X515" s="852" t="n"/>
      <c r="Y515" s="852" t="n"/>
      <c r="Z515" s="852" t="n"/>
      <c r="AA515" s="852" t="n"/>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c r="CL515" s="59" t="n"/>
      <c r="CM515" s="59" t="n"/>
      <c r="CN515" s="59" t="n"/>
    </row>
    <row r="516" ht="15" customFormat="1" customHeight="1" s="3">
      <c r="A516">
        <f>IF(C516="","",ROW()-2)</f>
        <v/>
      </c>
      <c r="B516" s="852" t="n"/>
      <c r="C516" s="852" t="n"/>
      <c r="D516">
        <f>IF(C516="TOH","Type 1",IF(C516="POH","Type 2",IF(OR(C516="LTO",C516="TOH-LC",C516="TOH - LC"),"Type 3",IF(C516="Flourish","Type 4","Type 1"))))</f>
        <v/>
      </c>
      <c r="E516" s="852" t="n"/>
      <c r="F516" s="852" t="n"/>
      <c r="G516" s="852" t="n"/>
      <c r="H516" s="888" t="n"/>
      <c r="I516" s="889" t="n"/>
      <c r="J516" s="888" t="n"/>
      <c r="K516">
        <f>SUM(H516:J516)</f>
        <v/>
      </c>
      <c r="L516" s="852" t="n"/>
      <c r="M516" s="852" t="n"/>
      <c r="N516" s="852" t="n"/>
      <c r="O516" s="852" t="n"/>
      <c r="P516" s="852" t="n"/>
      <c r="Q516" s="852" t="n"/>
      <c r="R516" s="852" t="n"/>
      <c r="S516" s="852" t="n"/>
      <c r="T516" s="852" t="n"/>
      <c r="U516" s="852" t="n"/>
      <c r="V516" s="852" t="n"/>
      <c r="W516" s="852" t="n"/>
      <c r="X516" s="852" t="n"/>
      <c r="Y516" s="852" t="n"/>
      <c r="Z516" s="852" t="n"/>
      <c r="AA516" s="852" t="n"/>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c r="CL516" s="59" t="n"/>
      <c r="CM516" s="59" t="n"/>
      <c r="CN516" s="59" t="n"/>
    </row>
    <row r="517" ht="15" customFormat="1" customHeight="1" s="3">
      <c r="A517">
        <f>IF(C517="","",ROW()-2)</f>
        <v/>
      </c>
      <c r="B517" s="852" t="n"/>
      <c r="C517" s="852" t="n"/>
      <c r="D517">
        <f>IF(C517="TOH","Type 1",IF(C517="POH","Type 2",IF(OR(C517="LTO",C517="TOH-LC",C517="TOH - LC"),"Type 3",IF(C517="Flourish","Type 4","Type 1"))))</f>
        <v/>
      </c>
      <c r="E517" s="852" t="n"/>
      <c r="F517" s="852" t="n"/>
      <c r="G517" s="852" t="n"/>
      <c r="H517" s="888" t="n"/>
      <c r="I517" s="889" t="n"/>
      <c r="J517" s="888" t="n"/>
      <c r="K517">
        <f>SUM(H517:J517)</f>
        <v/>
      </c>
      <c r="L517" s="852" t="n"/>
      <c r="M517" s="852" t="n"/>
      <c r="N517" s="852" t="n"/>
      <c r="O517" s="852" t="n"/>
      <c r="P517" s="852" t="n"/>
      <c r="Q517" s="852" t="n"/>
      <c r="R517" s="852" t="n"/>
      <c r="S517" s="852" t="n"/>
      <c r="T517" s="852" t="n"/>
      <c r="U517" s="852" t="n"/>
      <c r="V517" s="852" t="n"/>
      <c r="W517" s="852" t="n"/>
      <c r="X517" s="852" t="n"/>
      <c r="Y517" s="852" t="n"/>
      <c r="Z517" s="852" t="n"/>
      <c r="AA517" s="852" t="n"/>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c r="CL517" s="59" t="n"/>
      <c r="CM517" s="59" t="n"/>
      <c r="CN517" s="59" t="n"/>
    </row>
    <row r="518" ht="15" customFormat="1" customHeight="1" s="3">
      <c r="A518">
        <f>IF(C518="","",ROW()-2)</f>
        <v/>
      </c>
      <c r="B518" s="852" t="n"/>
      <c r="C518" s="852" t="n"/>
      <c r="D518">
        <f>IF(C518="TOH","Type 1",IF(C518="POH","Type 2",IF(OR(C518="LTO",C518="TOH-LC",C518="TOH - LC"),"Type 3",IF(C518="Flourish","Type 4","Type 1"))))</f>
        <v/>
      </c>
      <c r="E518" s="852" t="n"/>
      <c r="F518" s="852" t="n"/>
      <c r="G518" s="852" t="n"/>
      <c r="H518" s="888" t="n"/>
      <c r="I518" s="889" t="n"/>
      <c r="J518" s="888" t="n"/>
      <c r="K518">
        <f>SUM(H518:J518)</f>
        <v/>
      </c>
      <c r="L518" s="852" t="n"/>
      <c r="M518" s="852" t="n"/>
      <c r="N518" s="852" t="n"/>
      <c r="O518" s="852" t="n"/>
      <c r="P518" s="852" t="n"/>
      <c r="Q518" s="852" t="n"/>
      <c r="R518" s="852" t="n"/>
      <c r="S518" s="852" t="n"/>
      <c r="T518" s="852" t="n"/>
      <c r="U518" s="852" t="n"/>
      <c r="V518" s="852" t="n"/>
      <c r="W518" s="852" t="n"/>
      <c r="X518" s="852" t="n"/>
      <c r="Y518" s="852" t="n"/>
      <c r="Z518" s="852" t="n"/>
      <c r="AA518" s="852" t="n"/>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c r="CL518" s="59" t="n"/>
      <c r="CM518" s="59" t="n"/>
      <c r="CN518" s="59" t="n"/>
    </row>
    <row r="519" ht="15" customFormat="1" customHeight="1" s="3">
      <c r="A519">
        <f>IF(C519="","",ROW()-2)</f>
        <v/>
      </c>
      <c r="B519" s="852" t="n"/>
      <c r="C519" s="852" t="n"/>
      <c r="D519">
        <f>IF(C519="TOH","Type 1",IF(C519="POH","Type 2",IF(OR(C519="LTO",C519="TOH-LC",C519="TOH - LC"),"Type 3",IF(C519="Flourish","Type 4","Type 1"))))</f>
        <v/>
      </c>
      <c r="E519" s="852" t="n"/>
      <c r="F519" s="852" t="n"/>
      <c r="G519" s="852" t="n"/>
      <c r="H519" s="888" t="n"/>
      <c r="I519" s="889" t="n"/>
      <c r="J519" s="888" t="n"/>
      <c r="K519">
        <f>SUM(H519:J519)</f>
        <v/>
      </c>
      <c r="L519" s="852" t="n"/>
      <c r="M519" s="852" t="n"/>
      <c r="N519" s="852" t="n"/>
      <c r="O519" s="852" t="n"/>
      <c r="P519" s="852" t="n"/>
      <c r="Q519" s="852" t="n"/>
      <c r="R519" s="852" t="n"/>
      <c r="S519" s="852" t="n"/>
      <c r="T519" s="852" t="n"/>
      <c r="U519" s="852" t="n"/>
      <c r="V519" s="852" t="n"/>
      <c r="W519" s="852" t="n"/>
      <c r="X519" s="852" t="n"/>
      <c r="Y519" s="852" t="n"/>
      <c r="Z519" s="852" t="n"/>
      <c r="AA519" s="852" t="n"/>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c r="CL519" s="59" t="n"/>
      <c r="CM519" s="59" t="n"/>
      <c r="CN519" s="59" t="n"/>
    </row>
    <row r="520" ht="15" customFormat="1" customHeight="1" s="3">
      <c r="A520">
        <f>IF(C520="","",ROW()-2)</f>
        <v/>
      </c>
      <c r="B520" s="852" t="n"/>
      <c r="C520" s="852" t="n"/>
      <c r="D520">
        <f>IF(C520="TOH","Type 1",IF(C520="POH","Type 2",IF(OR(C520="LTO",C520="TOH-LC",C520="TOH - LC"),"Type 3",IF(C520="Flourish","Type 4","Type 1"))))</f>
        <v/>
      </c>
      <c r="E520" s="852" t="n"/>
      <c r="F520" s="852" t="n"/>
      <c r="G520" s="852" t="n"/>
      <c r="H520" s="888" t="n"/>
      <c r="I520" s="889" t="n"/>
      <c r="J520" s="888" t="n"/>
      <c r="K520">
        <f>SUM(H520:J520)</f>
        <v/>
      </c>
      <c r="L520" s="852" t="n"/>
      <c r="M520" s="852" t="n"/>
      <c r="N520" s="852" t="n"/>
      <c r="O520" s="852" t="n"/>
      <c r="P520" s="852" t="n"/>
      <c r="Q520" s="852" t="n"/>
      <c r="R520" s="852" t="n"/>
      <c r="S520" s="852" t="n"/>
      <c r="T520" s="852" t="n"/>
      <c r="U520" s="852" t="n"/>
      <c r="V520" s="852" t="n"/>
      <c r="W520" s="852" t="n"/>
      <c r="X520" s="852" t="n"/>
      <c r="Y520" s="852" t="n"/>
      <c r="Z520" s="852" t="n"/>
      <c r="AA520" s="852" t="n"/>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c r="CL520" s="59" t="n"/>
      <c r="CM520" s="59" t="n"/>
      <c r="CN520" s="59" t="n"/>
    </row>
    <row r="521" ht="15" customFormat="1" customHeight="1" s="3">
      <c r="A521">
        <f>IF(C521="","",ROW()-2)</f>
        <v/>
      </c>
      <c r="B521" s="852" t="n"/>
      <c r="C521" s="852" t="n"/>
      <c r="D521">
        <f>IF(C521="TOH","Type 1",IF(C521="POH","Type 2",IF(OR(C521="LTO",C521="TOH-LC",C521="TOH - LC"),"Type 3",IF(C521="Flourish","Type 4","Type 1"))))</f>
        <v/>
      </c>
      <c r="E521" s="852" t="n"/>
      <c r="F521" s="852" t="n"/>
      <c r="G521" s="852" t="n"/>
      <c r="H521" s="888" t="n"/>
      <c r="I521" s="889" t="n"/>
      <c r="J521" s="888" t="n"/>
      <c r="K521">
        <f>SUM(H521:J521)</f>
        <v/>
      </c>
      <c r="L521" s="852" t="n"/>
      <c r="M521" s="852" t="n"/>
      <c r="N521" s="852" t="n"/>
      <c r="O521" s="852" t="n"/>
      <c r="P521" s="852" t="n"/>
      <c r="Q521" s="852" t="n"/>
      <c r="R521" s="852" t="n"/>
      <c r="S521" s="852" t="n"/>
      <c r="T521" s="852" t="n"/>
      <c r="U521" s="852" t="n"/>
      <c r="V521" s="852" t="n"/>
      <c r="W521" s="852" t="n"/>
      <c r="X521" s="852" t="n"/>
      <c r="Y521" s="852" t="n"/>
      <c r="Z521" s="852" t="n"/>
      <c r="AA521" s="852" t="n"/>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c r="CL521" s="59" t="n"/>
      <c r="CM521" s="59" t="n"/>
      <c r="CN521" s="59" t="n"/>
    </row>
    <row r="522" ht="15" customFormat="1" customHeight="1" s="3">
      <c r="A522">
        <f>IF(C522="","",ROW()-2)</f>
        <v/>
      </c>
      <c r="B522" s="852" t="n"/>
      <c r="C522" s="852" t="n"/>
      <c r="D522">
        <f>IF(C522="TOH","Type 1",IF(C522="POH","Type 2",IF(OR(C522="LTO",C522="TOH-LC",C522="TOH - LC"),"Type 3",IF(C522="Flourish","Type 4","Type 1"))))</f>
        <v/>
      </c>
      <c r="E522" s="852" t="n"/>
      <c r="F522" s="852" t="n"/>
      <c r="G522" s="852" t="n"/>
      <c r="H522" s="888" t="n"/>
      <c r="I522" s="889" t="n"/>
      <c r="J522" s="888" t="n"/>
      <c r="K522">
        <f>SUM(H522:J522)</f>
        <v/>
      </c>
      <c r="L522" s="852" t="n"/>
      <c r="M522" s="852" t="n"/>
      <c r="N522" s="852" t="n"/>
      <c r="O522" s="852" t="n"/>
      <c r="P522" s="852" t="n"/>
      <c r="Q522" s="852" t="n"/>
      <c r="R522" s="852" t="n"/>
      <c r="S522" s="852" t="n"/>
      <c r="T522" s="852" t="n"/>
      <c r="U522" s="852" t="n"/>
      <c r="V522" s="852" t="n"/>
      <c r="W522" s="852" t="n"/>
      <c r="X522" s="852" t="n"/>
      <c r="Y522" s="852" t="n"/>
      <c r="Z522" s="852" t="n"/>
      <c r="AA522" s="852" t="n"/>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c r="CL522" s="59" t="n"/>
      <c r="CM522" s="59" t="n"/>
      <c r="CN522" s="59" t="n"/>
    </row>
    <row r="523" ht="15" customFormat="1" customHeight="1" s="3">
      <c r="A523">
        <f>IF(C523="","",ROW()-2)</f>
        <v/>
      </c>
      <c r="B523" s="852" t="n"/>
      <c r="C523" s="852" t="n"/>
      <c r="D523">
        <f>IF(C523="TOH","Type 1",IF(C523="POH","Type 2",IF(OR(C523="LTO",C523="TOH-LC",C523="TOH - LC"),"Type 3",IF(C523="Flourish","Type 4","Type 1"))))</f>
        <v/>
      </c>
      <c r="E523" s="852" t="n"/>
      <c r="F523" s="852" t="n"/>
      <c r="G523" s="852" t="n"/>
      <c r="H523" s="888" t="n"/>
      <c r="I523" s="889" t="n"/>
      <c r="J523" s="888" t="n"/>
      <c r="K523">
        <f>SUM(H523:J523)</f>
        <v/>
      </c>
      <c r="L523" s="852" t="n"/>
      <c r="M523" s="852" t="n"/>
      <c r="N523" s="852" t="n"/>
      <c r="O523" s="852" t="n"/>
      <c r="P523" s="852" t="n"/>
      <c r="Q523" s="852" t="n"/>
      <c r="R523" s="852" t="n"/>
      <c r="S523" s="852" t="n"/>
      <c r="T523" s="852" t="n"/>
      <c r="U523" s="852" t="n"/>
      <c r="V523" s="852" t="n"/>
      <c r="W523" s="852" t="n"/>
      <c r="X523" s="852" t="n"/>
      <c r="Y523" s="852" t="n"/>
      <c r="Z523" s="852" t="n"/>
      <c r="AA523" s="852" t="n"/>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c r="CL523" s="59" t="n"/>
      <c r="CM523" s="59" t="n"/>
      <c r="CN523" s="59" t="n"/>
    </row>
    <row r="524" ht="15" customFormat="1" customHeight="1" s="3">
      <c r="A524">
        <f>IF(C524="","",ROW()-2)</f>
        <v/>
      </c>
      <c r="B524" s="852" t="n"/>
      <c r="C524" s="852" t="n"/>
      <c r="D524">
        <f>IF(C524="TOH","Type 1",IF(C524="POH","Type 2",IF(OR(C524="LTO",C524="TOH-LC",C524="TOH - LC"),"Type 3",IF(C524="Flourish","Type 4","Type 1"))))</f>
        <v/>
      </c>
      <c r="E524" s="852" t="n"/>
      <c r="F524" s="852" t="n"/>
      <c r="G524" s="852" t="n"/>
      <c r="H524" s="888" t="n"/>
      <c r="I524" s="889" t="n"/>
      <c r="J524" s="888" t="n"/>
      <c r="K524">
        <f>SUM(H524:J524)</f>
        <v/>
      </c>
      <c r="L524" s="852" t="n"/>
      <c r="M524" s="852" t="n"/>
      <c r="N524" s="852" t="n"/>
      <c r="O524" s="852" t="n"/>
      <c r="P524" s="852" t="n"/>
      <c r="Q524" s="852" t="n"/>
      <c r="R524" s="852" t="n"/>
      <c r="S524" s="852" t="n"/>
      <c r="T524" s="852" t="n"/>
      <c r="U524" s="852" t="n"/>
      <c r="V524" s="852" t="n"/>
      <c r="W524" s="852" t="n"/>
      <c r="X524" s="852" t="n"/>
      <c r="Y524" s="852" t="n"/>
      <c r="Z524" s="852" t="n"/>
      <c r="AA524" s="852" t="n"/>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c r="CL524" s="59" t="n"/>
      <c r="CM524" s="59" t="n"/>
      <c r="CN524" s="59" t="n"/>
    </row>
    <row r="525" ht="15" customFormat="1" customHeight="1" s="3">
      <c r="A525">
        <f>IF(C525="","",ROW()-2)</f>
        <v/>
      </c>
      <c r="B525" s="852" t="n"/>
      <c r="C525" s="852" t="n"/>
      <c r="D525">
        <f>IF(C525="TOH","Type 1",IF(C525="POH","Type 2",IF(OR(C525="LTO",C525="TOH-LC",C525="TOH - LC"),"Type 3",IF(C525="Flourish","Type 4","Type 1"))))</f>
        <v/>
      </c>
      <c r="E525" s="852" t="n"/>
      <c r="F525" s="852" t="n"/>
      <c r="G525" s="852" t="n"/>
      <c r="H525" s="888" t="n"/>
      <c r="I525" s="889" t="n"/>
      <c r="J525" s="888" t="n"/>
      <c r="K525">
        <f>SUM(H525:J525)</f>
        <v/>
      </c>
      <c r="L525" s="852" t="n"/>
      <c r="M525" s="852" t="n"/>
      <c r="N525" s="852" t="n"/>
      <c r="O525" s="852" t="n"/>
      <c r="P525" s="852" t="n"/>
      <c r="Q525" s="852" t="n"/>
      <c r="R525" s="852" t="n"/>
      <c r="S525" s="852" t="n"/>
      <c r="T525" s="852" t="n"/>
      <c r="U525" s="852" t="n"/>
      <c r="V525" s="852" t="n"/>
      <c r="W525" s="852" t="n"/>
      <c r="X525" s="852" t="n"/>
      <c r="Y525" s="852" t="n"/>
      <c r="Z525" s="852" t="n"/>
      <c r="AA525" s="852" t="n"/>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c r="CL525" s="59" t="n"/>
      <c r="CM525" s="59" t="n"/>
      <c r="CN525" s="59" t="n"/>
    </row>
    <row r="526" ht="15" customFormat="1" customHeight="1" s="3">
      <c r="A526">
        <f>IF(C526="","",ROW()-2)</f>
        <v/>
      </c>
      <c r="B526" s="852" t="n"/>
      <c r="C526" s="852" t="n"/>
      <c r="D526">
        <f>IF(C526="TOH","Type 1",IF(C526="POH","Type 2",IF(OR(C526="LTO",C526="TOH-LC",C526="TOH - LC"),"Type 3",IF(C526="Flourish","Type 4","Type 1"))))</f>
        <v/>
      </c>
      <c r="E526" s="852" t="n"/>
      <c r="F526" s="852" t="n"/>
      <c r="G526" s="852" t="n"/>
      <c r="H526" s="888" t="n"/>
      <c r="I526" s="889" t="n"/>
      <c r="J526" s="888" t="n"/>
      <c r="K526">
        <f>SUM(H526:J526)</f>
        <v/>
      </c>
      <c r="L526" s="852" t="n"/>
      <c r="M526" s="852" t="n"/>
      <c r="N526" s="852" t="n"/>
      <c r="O526" s="852" t="n"/>
      <c r="P526" s="852" t="n"/>
      <c r="Q526" s="852" t="n"/>
      <c r="R526" s="852" t="n"/>
      <c r="S526" s="852" t="n"/>
      <c r="T526" s="852" t="n"/>
      <c r="U526" s="852" t="n"/>
      <c r="V526" s="852" t="n"/>
      <c r="W526" s="852" t="n"/>
      <c r="X526" s="852" t="n"/>
      <c r="Y526" s="852" t="n"/>
      <c r="Z526" s="852" t="n"/>
      <c r="AA526" s="852" t="n"/>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c r="CL526" s="59" t="n"/>
      <c r="CM526" s="59" t="n"/>
      <c r="CN526" s="59" t="n"/>
    </row>
    <row r="527" ht="15" customFormat="1" customHeight="1" s="3">
      <c r="A527">
        <f>IF(C527="","",ROW()-2)</f>
        <v/>
      </c>
      <c r="B527" s="852" t="n"/>
      <c r="C527" s="852" t="n"/>
      <c r="D527">
        <f>IF(C527="TOH","Type 1",IF(C527="POH","Type 2",IF(OR(C527="LTO",C527="TOH-LC",C527="TOH - LC"),"Type 3",IF(C527="Flourish","Type 4","Type 1"))))</f>
        <v/>
      </c>
      <c r="E527" s="852" t="n"/>
      <c r="F527" s="852" t="n"/>
      <c r="G527" s="852" t="n"/>
      <c r="H527" s="888" t="n"/>
      <c r="I527" s="889" t="n"/>
      <c r="J527" s="888" t="n"/>
      <c r="K527">
        <f>SUM(H527:J527)</f>
        <v/>
      </c>
      <c r="L527" s="852" t="n"/>
      <c r="M527" s="852" t="n"/>
      <c r="N527" s="852" t="n"/>
      <c r="O527" s="852" t="n"/>
      <c r="P527" s="852" t="n"/>
      <c r="Q527" s="852" t="n"/>
      <c r="R527" s="852" t="n"/>
      <c r="S527" s="852" t="n"/>
      <c r="T527" s="852" t="n"/>
      <c r="U527" s="852" t="n"/>
      <c r="V527" s="852" t="n"/>
      <c r="W527" s="852" t="n"/>
      <c r="X527" s="852" t="n"/>
      <c r="Y527" s="852" t="n"/>
      <c r="Z527" s="852" t="n"/>
      <c r="AA527" s="852" t="n"/>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c r="CL527" s="59" t="n"/>
      <c r="CM527" s="59" t="n"/>
      <c r="CN527" s="59" t="n"/>
    </row>
    <row r="528" ht="15" customFormat="1" customHeight="1" s="3">
      <c r="A528">
        <f>IF(C528="","",ROW()-2)</f>
        <v/>
      </c>
      <c r="B528" s="852" t="n"/>
      <c r="C528" s="852" t="n"/>
      <c r="D528">
        <f>IF(C528="TOH","Type 1",IF(C528="POH","Type 2",IF(OR(C528="LTO",C528="TOH-LC",C528="TOH - LC"),"Type 3",IF(C528="Flourish","Type 4","Type 1"))))</f>
        <v/>
      </c>
      <c r="E528" s="852" t="n"/>
      <c r="F528" s="852" t="n"/>
      <c r="G528" s="852" t="n"/>
      <c r="H528" s="888" t="n"/>
      <c r="I528" s="889" t="n"/>
      <c r="J528" s="888" t="n"/>
      <c r="K528">
        <f>SUM(H528:J528)</f>
        <v/>
      </c>
      <c r="L528" s="852" t="n"/>
      <c r="M528" s="852" t="n"/>
      <c r="N528" s="852" t="n"/>
      <c r="O528" s="852" t="n"/>
      <c r="P528" s="852" t="n"/>
      <c r="Q528" s="852" t="n"/>
      <c r="R528" s="852" t="n"/>
      <c r="S528" s="852" t="n"/>
      <c r="T528" s="852" t="n"/>
      <c r="U528" s="852" t="n"/>
      <c r="V528" s="852" t="n"/>
      <c r="W528" s="852" t="n"/>
      <c r="X528" s="852" t="n"/>
      <c r="Y528" s="852" t="n"/>
      <c r="Z528" s="852" t="n"/>
      <c r="AA528" s="852" t="n"/>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c r="CL528" s="59" t="n"/>
      <c r="CM528" s="59" t="n"/>
      <c r="CN528" s="59" t="n"/>
    </row>
    <row r="529" ht="15" customFormat="1" customHeight="1" s="3">
      <c r="A529">
        <f>IF(C529="","",ROW()-2)</f>
        <v/>
      </c>
      <c r="B529" s="852" t="n"/>
      <c r="C529" s="852" t="n"/>
      <c r="D529">
        <f>IF(C529="TOH","Type 1",IF(C529="POH","Type 2",IF(OR(C529="LTO",C529="TOH-LC",C529="TOH - LC"),"Type 3",IF(C529="Flourish","Type 4","Type 1"))))</f>
        <v/>
      </c>
      <c r="E529" s="852" t="n"/>
      <c r="F529" s="852" t="n"/>
      <c r="G529" s="852" t="n"/>
      <c r="H529" s="888" t="n"/>
      <c r="I529" s="889" t="n"/>
      <c r="J529" s="888" t="n"/>
      <c r="K529">
        <f>SUM(H529:J529)</f>
        <v/>
      </c>
      <c r="L529" s="852" t="n"/>
      <c r="M529" s="852" t="n"/>
      <c r="N529" s="852" t="n"/>
      <c r="O529" s="852" t="n"/>
      <c r="P529" s="852" t="n"/>
      <c r="Q529" s="852" t="n"/>
      <c r="R529" s="852" t="n"/>
      <c r="S529" s="852" t="n"/>
      <c r="T529" s="852" t="n"/>
      <c r="U529" s="852" t="n"/>
      <c r="V529" s="852" t="n"/>
      <c r="W529" s="852" t="n"/>
      <c r="X529" s="852" t="n"/>
      <c r="Y529" s="852" t="n"/>
      <c r="Z529" s="852" t="n"/>
      <c r="AA529" s="852" t="n"/>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c r="CL529" s="59" t="n"/>
      <c r="CM529" s="59" t="n"/>
      <c r="CN529" s="59" t="n"/>
    </row>
    <row r="530" ht="15" customFormat="1" customHeight="1" s="3">
      <c r="A530">
        <f>IF(C530="","",ROW()-2)</f>
        <v/>
      </c>
      <c r="B530" s="852" t="n"/>
      <c r="C530" s="852" t="n"/>
      <c r="D530">
        <f>IF(C530="TOH","Type 1",IF(C530="POH","Type 2",IF(OR(C530="LTO",C530="TOH-LC",C530="TOH - LC"),"Type 3",IF(C530="Flourish","Type 4","Type 1"))))</f>
        <v/>
      </c>
      <c r="E530" s="852" t="n"/>
      <c r="F530" s="852" t="n"/>
      <c r="G530" s="852" t="n"/>
      <c r="H530" s="888" t="n"/>
      <c r="I530" s="889" t="n"/>
      <c r="J530" s="888" t="n"/>
      <c r="K530">
        <f>SUM(H530:J530)</f>
        <v/>
      </c>
      <c r="L530" s="852" t="n"/>
      <c r="M530" s="852" t="n"/>
      <c r="N530" s="852" t="n"/>
      <c r="O530" s="852" t="n"/>
      <c r="P530" s="852" t="n"/>
      <c r="Q530" s="852" t="n"/>
      <c r="R530" s="852" t="n"/>
      <c r="S530" s="852" t="n"/>
      <c r="T530" s="852" t="n"/>
      <c r="U530" s="852" t="n"/>
      <c r="V530" s="852" t="n"/>
      <c r="W530" s="852" t="n"/>
      <c r="X530" s="852" t="n"/>
      <c r="Y530" s="852" t="n"/>
      <c r="Z530" s="852" t="n"/>
      <c r="AA530" s="852" t="n"/>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c r="CL530" s="59" t="n"/>
      <c r="CM530" s="59" t="n"/>
      <c r="CN530" s="59" t="n"/>
    </row>
    <row r="531" ht="15" customFormat="1" customHeight="1" s="3">
      <c r="A531">
        <f>IF(C531="","",ROW()-2)</f>
        <v/>
      </c>
      <c r="B531" s="852" t="n"/>
      <c r="C531" s="852" t="n"/>
      <c r="D531">
        <f>IF(C531="TOH","Type 1",IF(C531="POH","Type 2",IF(OR(C531="LTO",C531="TOH-LC",C531="TOH - LC"),"Type 3",IF(C531="Flourish","Type 4","Type 1"))))</f>
        <v/>
      </c>
      <c r="E531" s="852" t="n"/>
      <c r="F531" s="852" t="n"/>
      <c r="G531" s="852" t="n"/>
      <c r="H531" s="888" t="n"/>
      <c r="I531" s="889" t="n"/>
      <c r="J531" s="888" t="n"/>
      <c r="K531">
        <f>SUM(H531:J531)</f>
        <v/>
      </c>
      <c r="L531" s="852" t="n"/>
      <c r="M531" s="852" t="n"/>
      <c r="N531" s="852" t="n"/>
      <c r="O531" s="852" t="n"/>
      <c r="P531" s="852" t="n"/>
      <c r="Q531" s="852" t="n"/>
      <c r="R531" s="852" t="n"/>
      <c r="S531" s="852" t="n"/>
      <c r="T531" s="852" t="n"/>
      <c r="U531" s="852" t="n"/>
      <c r="V531" s="852" t="n"/>
      <c r="W531" s="852" t="n"/>
      <c r="X531" s="852" t="n"/>
      <c r="Y531" s="852" t="n"/>
      <c r="Z531" s="852" t="n"/>
      <c r="AA531" s="852" t="n"/>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c r="CL531" s="59" t="n"/>
      <c r="CM531" s="59" t="n"/>
      <c r="CN531" s="59" t="n"/>
    </row>
    <row r="532" ht="15" customFormat="1" customHeight="1" s="3">
      <c r="A532">
        <f>IF(C532="","",ROW()-2)</f>
        <v/>
      </c>
      <c r="B532" s="852" t="n"/>
      <c r="C532" s="852" t="n"/>
      <c r="D532">
        <f>IF(C532="TOH","Type 1",IF(C532="POH","Type 2",IF(OR(C532="LTO",C532="TOH-LC",C532="TOH - LC"),"Type 3",IF(C532="Flourish","Type 4","Type 1"))))</f>
        <v/>
      </c>
      <c r="E532" s="852" t="n"/>
      <c r="F532" s="852" t="n"/>
      <c r="G532" s="852" t="n"/>
      <c r="H532" s="888" t="n"/>
      <c r="I532" s="889" t="n"/>
      <c r="J532" s="888" t="n"/>
      <c r="K532">
        <f>SUM(H532:J532)</f>
        <v/>
      </c>
      <c r="L532" s="852" t="n"/>
      <c r="M532" s="852" t="n"/>
      <c r="N532" s="852" t="n"/>
      <c r="O532" s="852" t="n"/>
      <c r="P532" s="852" t="n"/>
      <c r="Q532" s="852" t="n"/>
      <c r="R532" s="852" t="n"/>
      <c r="S532" s="852" t="n"/>
      <c r="T532" s="852" t="n"/>
      <c r="U532" s="852" t="n"/>
      <c r="V532" s="852" t="n"/>
      <c r="W532" s="852" t="n"/>
      <c r="X532" s="852" t="n"/>
      <c r="Y532" s="852" t="n"/>
      <c r="Z532" s="852" t="n"/>
      <c r="AA532" s="852" t="n"/>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c r="CL532" s="59" t="n"/>
      <c r="CM532" s="59" t="n"/>
      <c r="CN532" s="59" t="n"/>
    </row>
    <row r="533" ht="15" customFormat="1" customHeight="1" s="3">
      <c r="A533">
        <f>IF(C533="","",ROW()-2)</f>
        <v/>
      </c>
      <c r="B533" s="852" t="n"/>
      <c r="C533" s="852" t="n"/>
      <c r="D533">
        <f>IF(C533="TOH","Type 1",IF(C533="POH","Type 2",IF(OR(C533="LTO",C533="TOH-LC",C533="TOH - LC"),"Type 3",IF(C533="Flourish","Type 4","Type 1"))))</f>
        <v/>
      </c>
      <c r="E533" s="852" t="n"/>
      <c r="F533" s="852" t="n"/>
      <c r="G533" s="852" t="n"/>
      <c r="H533" s="888" t="n"/>
      <c r="I533" s="889" t="n"/>
      <c r="J533" s="888" t="n"/>
      <c r="K533">
        <f>SUM(H533:J533)</f>
        <v/>
      </c>
      <c r="L533" s="852" t="n"/>
      <c r="M533" s="852" t="n"/>
      <c r="N533" s="852" t="n"/>
      <c r="O533" s="852" t="n"/>
      <c r="P533" s="852" t="n"/>
      <c r="Q533" s="852" t="n"/>
      <c r="R533" s="852" t="n"/>
      <c r="S533" s="852" t="n"/>
      <c r="T533" s="852" t="n"/>
      <c r="U533" s="852" t="n"/>
      <c r="V533" s="852" t="n"/>
      <c r="W533" s="852" t="n"/>
      <c r="X533" s="852" t="n"/>
      <c r="Y533" s="852" t="n"/>
      <c r="Z533" s="852" t="n"/>
      <c r="AA533" s="852" t="n"/>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c r="CL533" s="59" t="n"/>
      <c r="CM533" s="59" t="n"/>
      <c r="CN533" s="59" t="n"/>
    </row>
    <row r="534" ht="15" customFormat="1" customHeight="1" s="3">
      <c r="A534">
        <f>IF(C534="","",ROW()-2)</f>
        <v/>
      </c>
      <c r="B534" s="852" t="n"/>
      <c r="C534" s="852" t="n"/>
      <c r="D534">
        <f>IF(C534="TOH","Type 1",IF(C534="POH","Type 2",IF(OR(C534="LTO",C534="TOH-LC",C534="TOH - LC"),"Type 3",IF(C534="Flourish","Type 4","Type 1"))))</f>
        <v/>
      </c>
      <c r="E534" s="852" t="n"/>
      <c r="F534" s="852" t="n"/>
      <c r="G534" s="852" t="n"/>
      <c r="H534" s="888" t="n"/>
      <c r="I534" s="889" t="n"/>
      <c r="J534" s="888" t="n"/>
      <c r="K534">
        <f>SUM(H534:J534)</f>
        <v/>
      </c>
      <c r="L534" s="852" t="n"/>
      <c r="M534" s="852" t="n"/>
      <c r="N534" s="852" t="n"/>
      <c r="O534" s="852" t="n"/>
      <c r="P534" s="852" t="n"/>
      <c r="Q534" s="852" t="n"/>
      <c r="R534" s="852" t="n"/>
      <c r="S534" s="852" t="n"/>
      <c r="T534" s="852" t="n"/>
      <c r="U534" s="852" t="n"/>
      <c r="V534" s="852" t="n"/>
      <c r="W534" s="852" t="n"/>
      <c r="X534" s="852" t="n"/>
      <c r="Y534" s="852" t="n"/>
      <c r="Z534" s="852" t="n"/>
      <c r="AA534" s="852" t="n"/>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c r="CL534" s="59" t="n"/>
      <c r="CM534" s="59" t="n"/>
      <c r="CN534" s="59" t="n"/>
    </row>
    <row r="535" ht="15" customFormat="1" customHeight="1" s="3">
      <c r="A535">
        <f>IF(C535="","",ROW()-2)</f>
        <v/>
      </c>
      <c r="B535" s="852" t="n"/>
      <c r="C535" s="852" t="n"/>
      <c r="D535">
        <f>IF(C535="TOH","Type 1",IF(C535="POH","Type 2",IF(OR(C535="LTO",C535="TOH-LC",C535="TOH - LC"),"Type 3",IF(C535="Flourish","Type 4","Type 1"))))</f>
        <v/>
      </c>
      <c r="E535" s="852" t="n"/>
      <c r="F535" s="852" t="n"/>
      <c r="G535" s="852" t="n"/>
      <c r="H535" s="888" t="n"/>
      <c r="I535" s="889" t="n"/>
      <c r="J535" s="888" t="n"/>
      <c r="K535">
        <f>SUM(H535:J535)</f>
        <v/>
      </c>
      <c r="L535" s="852" t="n"/>
      <c r="M535" s="852" t="n"/>
      <c r="N535" s="852" t="n"/>
      <c r="O535" s="852" t="n"/>
      <c r="P535" s="852" t="n"/>
      <c r="Q535" s="852" t="n"/>
      <c r="R535" s="852" t="n"/>
      <c r="S535" s="852" t="n"/>
      <c r="T535" s="852" t="n"/>
      <c r="U535" s="852" t="n"/>
      <c r="V535" s="852" t="n"/>
      <c r="W535" s="852" t="n"/>
      <c r="X535" s="852" t="n"/>
      <c r="Y535" s="852" t="n"/>
      <c r="Z535" s="852" t="n"/>
      <c r="AA535" s="852" t="n"/>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c r="CL535" s="59" t="n"/>
      <c r="CM535" s="59" t="n"/>
      <c r="CN535" s="59" t="n"/>
    </row>
    <row r="536" ht="15" customFormat="1" customHeight="1" s="3">
      <c r="A536">
        <f>IF(C536="","",ROW()-2)</f>
        <v/>
      </c>
      <c r="B536" s="852" t="n"/>
      <c r="C536" s="852" t="n"/>
      <c r="D536">
        <f>IF(C536="TOH","Type 1",IF(C536="POH","Type 2",IF(OR(C536="LTO",C536="TOH-LC",C536="TOH - LC"),"Type 3",IF(C536="Flourish","Type 4","Type 1"))))</f>
        <v/>
      </c>
      <c r="E536" s="852" t="n"/>
      <c r="F536" s="852" t="n"/>
      <c r="G536" s="852" t="n"/>
      <c r="H536" s="888" t="n"/>
      <c r="I536" s="889" t="n"/>
      <c r="J536" s="888" t="n"/>
      <c r="K536">
        <f>SUM(H536:J536)</f>
        <v/>
      </c>
      <c r="L536" s="852" t="n"/>
      <c r="M536" s="852" t="n"/>
      <c r="N536" s="852" t="n"/>
      <c r="O536" s="852" t="n"/>
      <c r="P536" s="852" t="n"/>
      <c r="Q536" s="852" t="n"/>
      <c r="R536" s="852" t="n"/>
      <c r="S536" s="852" t="n"/>
      <c r="T536" s="852" t="n"/>
      <c r="U536" s="852" t="n"/>
      <c r="V536" s="852" t="n"/>
      <c r="W536" s="852" t="n"/>
      <c r="X536" s="852" t="n"/>
      <c r="Y536" s="852" t="n"/>
      <c r="Z536" s="852" t="n"/>
      <c r="AA536" s="852" t="n"/>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c r="CL536" s="59" t="n"/>
      <c r="CM536" s="59" t="n"/>
      <c r="CN536" s="59" t="n"/>
    </row>
    <row r="537" ht="15" customFormat="1" customHeight="1" s="3">
      <c r="A537">
        <f>IF(C537="","",ROW()-2)</f>
        <v/>
      </c>
      <c r="B537" s="852" t="n"/>
      <c r="C537" s="852" t="n"/>
      <c r="D537">
        <f>IF(C537="TOH","Type 1",IF(C537="POH","Type 2",IF(OR(C537="LTO",C537="TOH-LC",C537="TOH - LC"),"Type 3",IF(C537="Flourish","Type 4","Type 1"))))</f>
        <v/>
      </c>
      <c r="E537" s="852" t="n"/>
      <c r="F537" s="852" t="n"/>
      <c r="G537" s="852" t="n"/>
      <c r="H537" s="888" t="n"/>
      <c r="I537" s="889" t="n"/>
      <c r="J537" s="888" t="n"/>
      <c r="K537">
        <f>SUM(H537:J537)</f>
        <v/>
      </c>
      <c r="L537" s="852" t="n"/>
      <c r="M537" s="852" t="n"/>
      <c r="N537" s="852" t="n"/>
      <c r="O537" s="852" t="n"/>
      <c r="P537" s="852" t="n"/>
      <c r="Q537" s="852" t="n"/>
      <c r="R537" s="852" t="n"/>
      <c r="S537" s="852" t="n"/>
      <c r="T537" s="852" t="n"/>
      <c r="U537" s="852" t="n"/>
      <c r="V537" s="852" t="n"/>
      <c r="W537" s="852" t="n"/>
      <c r="X537" s="852" t="n"/>
      <c r="Y537" s="852" t="n"/>
      <c r="Z537" s="852" t="n"/>
      <c r="AA537" s="852" t="n"/>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c r="CL537" s="59" t="n"/>
      <c r="CM537" s="59" t="n"/>
      <c r="CN537" s="59" t="n"/>
    </row>
    <row r="538" ht="15" customFormat="1" customHeight="1" s="3">
      <c r="A538">
        <f>IF(C538="","",ROW()-2)</f>
        <v/>
      </c>
      <c r="B538" s="852" t="n"/>
      <c r="C538" s="852" t="n"/>
      <c r="D538">
        <f>IF(C538="TOH","Type 1",IF(C538="POH","Type 2",IF(OR(C538="LTO",C538="TOH-LC",C538="TOH - LC"),"Type 3",IF(C538="Flourish","Type 4","Type 1"))))</f>
        <v/>
      </c>
      <c r="E538" s="852" t="n"/>
      <c r="F538" s="852" t="n"/>
      <c r="G538" s="852" t="n"/>
      <c r="H538" s="888" t="n"/>
      <c r="I538" s="889" t="n"/>
      <c r="J538" s="888" t="n"/>
      <c r="K538">
        <f>SUM(H538:J538)</f>
        <v/>
      </c>
      <c r="L538" s="852" t="n"/>
      <c r="M538" s="852" t="n"/>
      <c r="N538" s="852" t="n"/>
      <c r="O538" s="852" t="n"/>
      <c r="P538" s="852" t="n"/>
      <c r="Q538" s="852" t="n"/>
      <c r="R538" s="852" t="n"/>
      <c r="S538" s="852" t="n"/>
      <c r="T538" s="852" t="n"/>
      <c r="U538" s="852" t="n"/>
      <c r="V538" s="852" t="n"/>
      <c r="W538" s="852" t="n"/>
      <c r="X538" s="852" t="n"/>
      <c r="Y538" s="852" t="n"/>
      <c r="Z538" s="852" t="n"/>
      <c r="AA538" s="852" t="n"/>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c r="CL538" s="59" t="n"/>
      <c r="CM538" s="59" t="n"/>
      <c r="CN538" s="59" t="n"/>
    </row>
    <row r="539" ht="15" customFormat="1" customHeight="1" s="3">
      <c r="A539">
        <f>IF(C539="","",ROW()-2)</f>
        <v/>
      </c>
      <c r="B539" s="852" t="n"/>
      <c r="C539" s="852" t="n"/>
      <c r="D539">
        <f>IF(C539="TOH","Type 1",IF(C539="POH","Type 2",IF(OR(C539="LTO",C539="TOH-LC",C539="TOH - LC"),"Type 3",IF(C539="Flourish","Type 4","Type 1"))))</f>
        <v/>
      </c>
      <c r="E539" s="852" t="n"/>
      <c r="F539" s="852" t="n"/>
      <c r="G539" s="852" t="n"/>
      <c r="H539" s="888" t="n"/>
      <c r="I539" s="889" t="n"/>
      <c r="J539" s="888" t="n"/>
      <c r="K539">
        <f>SUM(H539:J539)</f>
        <v/>
      </c>
      <c r="L539" s="852" t="n"/>
      <c r="M539" s="852" t="n"/>
      <c r="N539" s="852" t="n"/>
      <c r="O539" s="852" t="n"/>
      <c r="P539" s="852" t="n"/>
      <c r="Q539" s="852" t="n"/>
      <c r="R539" s="852" t="n"/>
      <c r="S539" s="852" t="n"/>
      <c r="T539" s="852" t="n"/>
      <c r="U539" s="852" t="n"/>
      <c r="V539" s="852" t="n"/>
      <c r="W539" s="852" t="n"/>
      <c r="X539" s="852" t="n"/>
      <c r="Y539" s="852" t="n"/>
      <c r="Z539" s="852" t="n"/>
      <c r="AA539" s="852" t="n"/>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c r="CL539" s="59" t="n"/>
      <c r="CM539" s="59" t="n"/>
      <c r="CN539" s="59" t="n"/>
    </row>
    <row r="540" ht="15" customFormat="1" customHeight="1" s="3">
      <c r="A540">
        <f>IF(C540="","",ROW()-2)</f>
        <v/>
      </c>
      <c r="B540" s="852" t="n"/>
      <c r="C540" s="852" t="n"/>
      <c r="D540">
        <f>IF(C540="TOH","Type 1",IF(C540="POH","Type 2",IF(OR(C540="LTO",C540="TOH-LC",C540="TOH - LC"),"Type 3",IF(C540="Flourish","Type 4","Type 1"))))</f>
        <v/>
      </c>
      <c r="E540" s="852" t="n"/>
      <c r="F540" s="852" t="n"/>
      <c r="G540" s="852" t="n"/>
      <c r="H540" s="888" t="n"/>
      <c r="I540" s="889" t="n"/>
      <c r="J540" s="888" t="n"/>
      <c r="K540">
        <f>SUM(H540:J540)</f>
        <v/>
      </c>
      <c r="L540" s="852" t="n"/>
      <c r="M540" s="852" t="n"/>
      <c r="N540" s="852" t="n"/>
      <c r="O540" s="852" t="n"/>
      <c r="P540" s="852" t="n"/>
      <c r="Q540" s="852" t="n"/>
      <c r="R540" s="852" t="n"/>
      <c r="S540" s="852" t="n"/>
      <c r="T540" s="852" t="n"/>
      <c r="U540" s="852" t="n"/>
      <c r="V540" s="852" t="n"/>
      <c r="W540" s="852" t="n"/>
      <c r="X540" s="852" t="n"/>
      <c r="Y540" s="852" t="n"/>
      <c r="Z540" s="852" t="n"/>
      <c r="AA540" s="852" t="n"/>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c r="CL540" s="59" t="n"/>
      <c r="CM540" s="59" t="n"/>
      <c r="CN540" s="59" t="n"/>
    </row>
    <row r="541" ht="15" customFormat="1" customHeight="1" s="3">
      <c r="A541">
        <f>IF(C541="","",ROW()-2)</f>
        <v/>
      </c>
      <c r="B541" s="852" t="n"/>
      <c r="C541" s="852" t="n"/>
      <c r="D541">
        <f>IF(C541="TOH","Type 1",IF(C541="POH","Type 2",IF(OR(C541="LTO",C541="TOH-LC",C541="TOH - LC"),"Type 3",IF(C541="Flourish","Type 4","Type 1"))))</f>
        <v/>
      </c>
      <c r="E541" s="852" t="n"/>
      <c r="F541" s="852" t="n"/>
      <c r="G541" s="852" t="n"/>
      <c r="H541" s="888" t="n"/>
      <c r="I541" s="889" t="n"/>
      <c r="J541" s="888" t="n"/>
      <c r="K541">
        <f>SUM(H541:J541)</f>
        <v/>
      </c>
      <c r="L541" s="852" t="n"/>
      <c r="M541" s="852" t="n"/>
      <c r="N541" s="852" t="n"/>
      <c r="O541" s="852" t="n"/>
      <c r="P541" s="852" t="n"/>
      <c r="Q541" s="852" t="n"/>
      <c r="R541" s="852" t="n"/>
      <c r="S541" s="852" t="n"/>
      <c r="T541" s="852" t="n"/>
      <c r="U541" s="852" t="n"/>
      <c r="V541" s="852" t="n"/>
      <c r="W541" s="852" t="n"/>
      <c r="X541" s="852" t="n"/>
      <c r="Y541" s="852" t="n"/>
      <c r="Z541" s="852" t="n"/>
      <c r="AA541" s="852" t="n"/>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c r="CL541" s="59" t="n"/>
      <c r="CM541" s="59" t="n"/>
      <c r="CN541" s="59" t="n"/>
    </row>
    <row r="542" ht="15" customFormat="1" customHeight="1" s="3">
      <c r="A542">
        <f>IF(C542="","",ROW()-2)</f>
        <v/>
      </c>
      <c r="B542" s="852" t="n"/>
      <c r="C542" s="852" t="n"/>
      <c r="D542">
        <f>IF(C542="TOH","Type 1",IF(C542="POH","Type 2",IF(OR(C542="LTO",C542="TOH-LC",C542="TOH - LC"),"Type 3",IF(C542="Flourish","Type 4","Type 1"))))</f>
        <v/>
      </c>
      <c r="E542" s="852" t="n"/>
      <c r="F542" s="852" t="n"/>
      <c r="G542" s="852" t="n"/>
      <c r="H542" s="888" t="n"/>
      <c r="I542" s="889" t="n"/>
      <c r="J542" s="888" t="n"/>
      <c r="K542">
        <f>SUM(H542:J542)</f>
        <v/>
      </c>
      <c r="L542" s="852" t="n"/>
      <c r="M542" s="852" t="n"/>
      <c r="N542" s="852" t="n"/>
      <c r="O542" s="852" t="n"/>
      <c r="P542" s="852" t="n"/>
      <c r="Q542" s="852" t="n"/>
      <c r="R542" s="852" t="n"/>
      <c r="S542" s="852" t="n"/>
      <c r="T542" s="852" t="n"/>
      <c r="U542" s="852" t="n"/>
      <c r="V542" s="852" t="n"/>
      <c r="W542" s="852" t="n"/>
      <c r="X542" s="852" t="n"/>
      <c r="Y542" s="852" t="n"/>
      <c r="Z542" s="852" t="n"/>
      <c r="AA542" s="852" t="n"/>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c r="CL542" s="59" t="n"/>
      <c r="CM542" s="59" t="n"/>
      <c r="CN542" s="59" t="n"/>
    </row>
    <row r="543" ht="15" customFormat="1" customHeight="1" s="3">
      <c r="A543">
        <f>IF(C543="","",ROW()-2)</f>
        <v/>
      </c>
      <c r="B543" s="852" t="n"/>
      <c r="C543" s="852" t="n"/>
      <c r="D543">
        <f>IF(C543="TOH","Type 1",IF(C543="POH","Type 2",IF(OR(C543="LTO",C543="TOH-LC",C543="TOH - LC"),"Type 3",IF(C543="Flourish","Type 4","Type 1"))))</f>
        <v/>
      </c>
      <c r="E543" s="852" t="n"/>
      <c r="F543" s="852" t="n"/>
      <c r="G543" s="852" t="n"/>
      <c r="H543" s="888" t="n"/>
      <c r="I543" s="889" t="n"/>
      <c r="J543" s="888" t="n"/>
      <c r="K543">
        <f>SUM(H543:J543)</f>
        <v/>
      </c>
      <c r="L543" s="852" t="n"/>
      <c r="M543" s="852" t="n"/>
      <c r="N543" s="852" t="n"/>
      <c r="O543" s="852" t="n"/>
      <c r="P543" s="852" t="n"/>
      <c r="Q543" s="852" t="n"/>
      <c r="R543" s="852" t="n"/>
      <c r="S543" s="852" t="n"/>
      <c r="T543" s="852" t="n"/>
      <c r="U543" s="852" t="n"/>
      <c r="V543" s="852" t="n"/>
      <c r="W543" s="852" t="n"/>
      <c r="X543" s="852" t="n"/>
      <c r="Y543" s="852" t="n"/>
      <c r="Z543" s="852" t="n"/>
      <c r="AA543" s="852" t="n"/>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c r="CL543" s="59" t="n"/>
      <c r="CM543" s="59" t="n"/>
      <c r="CN543" s="59" t="n"/>
    </row>
    <row r="544" ht="15" customFormat="1" customHeight="1" s="3">
      <c r="A544">
        <f>IF(C544="","",ROW()-2)</f>
        <v/>
      </c>
      <c r="B544" s="852" t="n"/>
      <c r="C544" s="852" t="n"/>
      <c r="D544">
        <f>IF(C544="TOH","Type 1",IF(C544="POH","Type 2",IF(OR(C544="LTO",C544="TOH-LC",C544="TOH - LC"),"Type 3",IF(C544="Flourish","Type 4","Type 1"))))</f>
        <v/>
      </c>
      <c r="E544" s="852" t="n"/>
      <c r="F544" s="852" t="n"/>
      <c r="G544" s="852" t="n"/>
      <c r="H544" s="888" t="n"/>
      <c r="I544" s="889" t="n"/>
      <c r="J544" s="888" t="n"/>
      <c r="K544">
        <f>SUM(H544:J544)</f>
        <v/>
      </c>
      <c r="L544" s="852" t="n"/>
      <c r="M544" s="852" t="n"/>
      <c r="N544" s="852" t="n"/>
      <c r="O544" s="852" t="n"/>
      <c r="P544" s="852" t="n"/>
      <c r="Q544" s="852" t="n"/>
      <c r="R544" s="852" t="n"/>
      <c r="S544" s="852" t="n"/>
      <c r="T544" s="852" t="n"/>
      <c r="U544" s="852" t="n"/>
      <c r="V544" s="852" t="n"/>
      <c r="W544" s="852" t="n"/>
      <c r="X544" s="852" t="n"/>
      <c r="Y544" s="852" t="n"/>
      <c r="Z544" s="852" t="n"/>
      <c r="AA544" s="852" t="n"/>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c r="CL544" s="59" t="n"/>
      <c r="CM544" s="59" t="n"/>
      <c r="CN544" s="59" t="n"/>
    </row>
    <row r="545" ht="15" customFormat="1" customHeight="1" s="3">
      <c r="A545">
        <f>IF(C545="","",ROW()-2)</f>
        <v/>
      </c>
      <c r="B545" s="852" t="n"/>
      <c r="C545" s="852" t="n"/>
      <c r="D545">
        <f>IF(C545="TOH","Type 1",IF(C545="POH","Type 2",IF(OR(C545="LTO",C545="TOH-LC",C545="TOH - LC"),"Type 3",IF(C545="Flourish","Type 4","Type 1"))))</f>
        <v/>
      </c>
      <c r="E545" s="852" t="n"/>
      <c r="F545" s="852" t="n"/>
      <c r="G545" s="852" t="n"/>
      <c r="H545" s="888" t="n"/>
      <c r="I545" s="889" t="n"/>
      <c r="J545" s="888" t="n"/>
      <c r="K545">
        <f>SUM(H545:J545)</f>
        <v/>
      </c>
      <c r="L545" s="852" t="n"/>
      <c r="M545" s="852" t="n"/>
      <c r="N545" s="852" t="n"/>
      <c r="O545" s="852" t="n"/>
      <c r="P545" s="852" t="n"/>
      <c r="Q545" s="852" t="n"/>
      <c r="R545" s="852" t="n"/>
      <c r="S545" s="852" t="n"/>
      <c r="T545" s="852" t="n"/>
      <c r="U545" s="852" t="n"/>
      <c r="V545" s="852" t="n"/>
      <c r="W545" s="852" t="n"/>
      <c r="X545" s="852" t="n"/>
      <c r="Y545" s="852" t="n"/>
      <c r="Z545" s="852" t="n"/>
      <c r="AA545" s="852" t="n"/>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c r="CL545" s="59" t="n"/>
      <c r="CM545" s="59" t="n"/>
      <c r="CN545" s="59" t="n"/>
    </row>
    <row r="546" ht="15" customFormat="1" customHeight="1" s="3">
      <c r="A546">
        <f>IF(C546="","",ROW()-2)</f>
        <v/>
      </c>
      <c r="B546" s="852" t="n"/>
      <c r="C546" s="852" t="n"/>
      <c r="D546">
        <f>IF(C546="TOH","Type 1",IF(C546="POH","Type 2",IF(OR(C546="LTO",C546="TOH-LC",C546="TOH - LC"),"Type 3",IF(C546="Flourish","Type 4","Type 1"))))</f>
        <v/>
      </c>
      <c r="E546" s="852" t="n"/>
      <c r="F546" s="852" t="n"/>
      <c r="G546" s="852" t="n"/>
      <c r="H546" s="888" t="n"/>
      <c r="I546" s="889" t="n"/>
      <c r="J546" s="888" t="n"/>
      <c r="K546">
        <f>SUM(H546:J546)</f>
        <v/>
      </c>
      <c r="L546" s="852" t="n"/>
      <c r="M546" s="852" t="n"/>
      <c r="N546" s="852" t="n"/>
      <c r="O546" s="852" t="n"/>
      <c r="P546" s="852" t="n"/>
      <c r="Q546" s="852" t="n"/>
      <c r="R546" s="852" t="n"/>
      <c r="S546" s="852" t="n"/>
      <c r="T546" s="852" t="n"/>
      <c r="U546" s="852" t="n"/>
      <c r="V546" s="852" t="n"/>
      <c r="W546" s="852" t="n"/>
      <c r="X546" s="852" t="n"/>
      <c r="Y546" s="852" t="n"/>
      <c r="Z546" s="852" t="n"/>
      <c r="AA546" s="852" t="n"/>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c r="CL546" s="59" t="n"/>
      <c r="CM546" s="59" t="n"/>
      <c r="CN546" s="59" t="n"/>
    </row>
    <row r="547" ht="15" customFormat="1" customHeight="1" s="3">
      <c r="A547">
        <f>IF(C547="","",ROW()-2)</f>
        <v/>
      </c>
      <c r="B547" s="852" t="n"/>
      <c r="C547" s="852" t="n"/>
      <c r="D547">
        <f>IF(C547="TOH","Type 1",IF(C547="POH","Type 2",IF(OR(C547="LTO",C547="TOH-LC",C547="TOH - LC"),"Type 3",IF(C547="Flourish","Type 4","Type 1"))))</f>
        <v/>
      </c>
      <c r="E547" s="852" t="n"/>
      <c r="F547" s="852" t="n"/>
      <c r="G547" s="852" t="n"/>
      <c r="H547" s="888" t="n"/>
      <c r="I547" s="889" t="n"/>
      <c r="J547" s="888" t="n"/>
      <c r="K547">
        <f>SUM(H547:J547)</f>
        <v/>
      </c>
      <c r="L547" s="852" t="n"/>
      <c r="M547" s="852" t="n"/>
      <c r="N547" s="852" t="n"/>
      <c r="O547" s="852" t="n"/>
      <c r="P547" s="852" t="n"/>
      <c r="Q547" s="852" t="n"/>
      <c r="R547" s="852" t="n"/>
      <c r="S547" s="852" t="n"/>
      <c r="T547" s="852" t="n"/>
      <c r="U547" s="852" t="n"/>
      <c r="V547" s="852" t="n"/>
      <c r="W547" s="852" t="n"/>
      <c r="X547" s="852" t="n"/>
      <c r="Y547" s="852" t="n"/>
      <c r="Z547" s="852" t="n"/>
      <c r="AA547" s="852" t="n"/>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c r="CL547" s="59" t="n"/>
      <c r="CM547" s="59" t="n"/>
      <c r="CN547" s="59" t="n"/>
    </row>
    <row r="548" ht="15" customFormat="1" customHeight="1" s="3">
      <c r="A548">
        <f>IF(C548="","",ROW()-2)</f>
        <v/>
      </c>
      <c r="B548" s="852" t="n"/>
      <c r="C548" s="852" t="n"/>
      <c r="D548">
        <f>IF(C548="TOH","Type 1",IF(C548="POH","Type 2",IF(OR(C548="LTO",C548="TOH-LC",C548="TOH - LC"),"Type 3",IF(C548="Flourish","Type 4","Type 1"))))</f>
        <v/>
      </c>
      <c r="E548" s="852" t="n"/>
      <c r="F548" s="852" t="n"/>
      <c r="G548" s="852" t="n"/>
      <c r="H548" s="888" t="n"/>
      <c r="I548" s="889" t="n"/>
      <c r="J548" s="888" t="n"/>
      <c r="K548">
        <f>SUM(H548:J548)</f>
        <v/>
      </c>
      <c r="L548" s="852" t="n"/>
      <c r="M548" s="852" t="n"/>
      <c r="N548" s="852" t="n"/>
      <c r="O548" s="852" t="n"/>
      <c r="P548" s="852" t="n"/>
      <c r="Q548" s="852" t="n"/>
      <c r="R548" s="852" t="n"/>
      <c r="S548" s="852" t="n"/>
      <c r="T548" s="852" t="n"/>
      <c r="U548" s="852" t="n"/>
      <c r="V548" s="852" t="n"/>
      <c r="W548" s="852" t="n"/>
      <c r="X548" s="852" t="n"/>
      <c r="Y548" s="852" t="n"/>
      <c r="Z548" s="852" t="n"/>
      <c r="AA548" s="852" t="n"/>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c r="CL548" s="59" t="n"/>
      <c r="CM548" s="59" t="n"/>
      <c r="CN548" s="59" t="n"/>
    </row>
    <row r="549" ht="15" customFormat="1" customHeight="1" s="3">
      <c r="A549">
        <f>IF(C549="","",ROW()-2)</f>
        <v/>
      </c>
      <c r="B549" s="852" t="n"/>
      <c r="C549" s="852" t="n"/>
      <c r="D549">
        <f>IF(C549="TOH","Type 1",IF(C549="POH","Type 2",IF(OR(C549="LTO",C549="TOH-LC",C549="TOH - LC"),"Type 3",IF(C549="Flourish","Type 4","Type 1"))))</f>
        <v/>
      </c>
      <c r="E549" s="852" t="n"/>
      <c r="F549" s="852" t="n"/>
      <c r="G549" s="852" t="n"/>
      <c r="H549" s="888" t="n"/>
      <c r="I549" s="889" t="n"/>
      <c r="J549" s="888" t="n"/>
      <c r="K549">
        <f>SUM(H549:J549)</f>
        <v/>
      </c>
      <c r="L549" s="852" t="n"/>
      <c r="M549" s="852" t="n"/>
      <c r="N549" s="852" t="n"/>
      <c r="O549" s="852" t="n"/>
      <c r="P549" s="852" t="n"/>
      <c r="Q549" s="852" t="n"/>
      <c r="R549" s="852" t="n"/>
      <c r="S549" s="852" t="n"/>
      <c r="T549" s="852" t="n"/>
      <c r="U549" s="852" t="n"/>
      <c r="V549" s="852" t="n"/>
      <c r="W549" s="852" t="n"/>
      <c r="X549" s="852" t="n"/>
      <c r="Y549" s="852" t="n"/>
      <c r="Z549" s="852" t="n"/>
      <c r="AA549" s="852" t="n"/>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c r="CL549" s="59" t="n"/>
      <c r="CM549" s="59" t="n"/>
      <c r="CN549" s="59" t="n"/>
    </row>
    <row r="550" ht="15" customFormat="1" customHeight="1" s="3">
      <c r="A550">
        <f>IF(C550="","",ROW()-2)</f>
        <v/>
      </c>
      <c r="B550" s="852" t="n"/>
      <c r="C550" s="852" t="n"/>
      <c r="D550">
        <f>IF(C550="TOH","Type 1",IF(C550="POH","Type 2",IF(OR(C550="LTO",C550="TOH-LC",C550="TOH - LC"),"Type 3",IF(C550="Flourish","Type 4","Type 1"))))</f>
        <v/>
      </c>
      <c r="E550" s="852" t="n"/>
      <c r="F550" s="852" t="n"/>
      <c r="G550" s="852" t="n"/>
      <c r="H550" s="888" t="n"/>
      <c r="I550" s="889" t="n"/>
      <c r="J550" s="888" t="n"/>
      <c r="K550">
        <f>SUM(H550:J550)</f>
        <v/>
      </c>
      <c r="L550" s="852" t="n"/>
      <c r="M550" s="852" t="n"/>
      <c r="N550" s="852" t="n"/>
      <c r="O550" s="852" t="n"/>
      <c r="P550" s="852" t="n"/>
      <c r="Q550" s="852" t="n"/>
      <c r="R550" s="852" t="n"/>
      <c r="S550" s="852" t="n"/>
      <c r="T550" s="852" t="n"/>
      <c r="U550" s="852" t="n"/>
      <c r="V550" s="852" t="n"/>
      <c r="W550" s="852" t="n"/>
      <c r="X550" s="852" t="n"/>
      <c r="Y550" s="852" t="n"/>
      <c r="Z550" s="852" t="n"/>
      <c r="AA550" s="852" t="n"/>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c r="CL550" s="59" t="n"/>
      <c r="CM550" s="59" t="n"/>
      <c r="CN550" s="59" t="n"/>
    </row>
    <row r="551" ht="15" customFormat="1" customHeight="1" s="3">
      <c r="A551">
        <f>IF(C551="","",ROW()-2)</f>
        <v/>
      </c>
      <c r="B551" s="852" t="n"/>
      <c r="C551" s="852" t="n"/>
      <c r="D551">
        <f>IF(C551="TOH","Type 1",IF(C551="POH","Type 2",IF(OR(C551="LTO",C551="TOH-LC",C551="TOH - LC"),"Type 3",IF(C551="Flourish","Type 4","Type 1"))))</f>
        <v/>
      </c>
      <c r="E551" s="852" t="n"/>
      <c r="F551" s="852" t="n"/>
      <c r="G551" s="852" t="n"/>
      <c r="H551" s="888" t="n"/>
      <c r="I551" s="889" t="n"/>
      <c r="J551" s="888" t="n"/>
      <c r="K551">
        <f>SUM(H551:J551)</f>
        <v/>
      </c>
      <c r="L551" s="852" t="n"/>
      <c r="M551" s="852" t="n"/>
      <c r="N551" s="852" t="n"/>
      <c r="O551" s="852" t="n"/>
      <c r="P551" s="852" t="n"/>
      <c r="Q551" s="852" t="n"/>
      <c r="R551" s="852" t="n"/>
      <c r="S551" s="852" t="n"/>
      <c r="T551" s="852" t="n"/>
      <c r="U551" s="852" t="n"/>
      <c r="V551" s="852" t="n"/>
      <c r="W551" s="852" t="n"/>
      <c r="X551" s="852" t="n"/>
      <c r="Y551" s="852" t="n"/>
      <c r="Z551" s="852" t="n"/>
      <c r="AA551" s="852" t="n"/>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c r="CL551" s="59" t="n"/>
      <c r="CM551" s="59" t="n"/>
      <c r="CN551" s="59" t="n"/>
    </row>
    <row r="552" ht="15" customFormat="1" customHeight="1" s="3">
      <c r="A552">
        <f>IF(C552="","",ROW()-2)</f>
        <v/>
      </c>
      <c r="B552" s="852" t="n"/>
      <c r="C552" s="852" t="n"/>
      <c r="D552">
        <f>IF(C552="TOH","Type 1",IF(C552="POH","Type 2",IF(OR(C552="LTO",C552="TOH-LC",C552="TOH - LC"),"Type 3",IF(C552="Flourish","Type 4","Type 1"))))</f>
        <v/>
      </c>
      <c r="E552" s="852" t="n"/>
      <c r="F552" s="852" t="n"/>
      <c r="G552" s="852" t="n"/>
      <c r="H552" s="888" t="n"/>
      <c r="I552" s="889" t="n"/>
      <c r="J552" s="888" t="n"/>
      <c r="K552">
        <f>SUM(H552:J552)</f>
        <v/>
      </c>
      <c r="L552" s="852" t="n"/>
      <c r="M552" s="852" t="n"/>
      <c r="N552" s="852" t="n"/>
      <c r="O552" s="852" t="n"/>
      <c r="P552" s="852" t="n"/>
      <c r="Q552" s="852" t="n"/>
      <c r="R552" s="852" t="n"/>
      <c r="S552" s="852" t="n"/>
      <c r="T552" s="852" t="n"/>
      <c r="U552" s="852" t="n"/>
      <c r="V552" s="852" t="n"/>
      <c r="W552" s="852" t="n"/>
      <c r="X552" s="852" t="n"/>
      <c r="Y552" s="852" t="n"/>
      <c r="Z552" s="852" t="n"/>
      <c r="AA552" s="852" t="n"/>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c r="CL552" s="59" t="n"/>
      <c r="CM552" s="59" t="n"/>
      <c r="CN552" s="59" t="n"/>
    </row>
    <row r="553" ht="15" customFormat="1" customHeight="1" s="3">
      <c r="A553">
        <f>IF(C553="","",ROW()-2)</f>
        <v/>
      </c>
      <c r="B553" s="852" t="n"/>
      <c r="C553" s="852" t="n"/>
      <c r="D553">
        <f>IF(C553="TOH","Type 1",IF(C553="POH","Type 2",IF(OR(C553="LTO",C553="TOH-LC",C553="TOH - LC"),"Type 3",IF(C553="Flourish","Type 4","Type 1"))))</f>
        <v/>
      </c>
      <c r="E553" s="852" t="n"/>
      <c r="F553" s="852" t="n"/>
      <c r="G553" s="852" t="n"/>
      <c r="H553" s="888" t="n"/>
      <c r="I553" s="889" t="n"/>
      <c r="J553" s="888" t="n"/>
      <c r="K553">
        <f>SUM(H553:J553)</f>
        <v/>
      </c>
      <c r="L553" s="852" t="n"/>
      <c r="M553" s="852" t="n"/>
      <c r="N553" s="852" t="n"/>
      <c r="O553" s="852" t="n"/>
      <c r="P553" s="852" t="n"/>
      <c r="Q553" s="852" t="n"/>
      <c r="R553" s="852" t="n"/>
      <c r="S553" s="852" t="n"/>
      <c r="T553" s="852" t="n"/>
      <c r="U553" s="852" t="n"/>
      <c r="V553" s="852" t="n"/>
      <c r="W553" s="852" t="n"/>
      <c r="X553" s="852" t="n"/>
      <c r="Y553" s="852" t="n"/>
      <c r="Z553" s="852" t="n"/>
      <c r="AA553" s="852" t="n"/>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c r="CL553" s="59" t="n"/>
      <c r="CM553" s="59" t="n"/>
      <c r="CN553" s="59" t="n"/>
    </row>
    <row r="554" ht="15" customFormat="1" customHeight="1" s="3">
      <c r="A554">
        <f>IF(C554="","",ROW()-2)</f>
        <v/>
      </c>
      <c r="B554" s="852" t="n"/>
      <c r="C554" s="852" t="n"/>
      <c r="D554">
        <f>IF(C554="TOH","Type 1",IF(C554="POH","Type 2",IF(OR(C554="LTO",C554="TOH-LC",C554="TOH - LC"),"Type 3",IF(C554="Flourish","Type 4","Type 1"))))</f>
        <v/>
      </c>
      <c r="E554" s="852" t="n"/>
      <c r="F554" s="852" t="n"/>
      <c r="G554" s="852" t="n"/>
      <c r="H554" s="888" t="n"/>
      <c r="I554" s="889" t="n"/>
      <c r="J554" s="888" t="n"/>
      <c r="K554">
        <f>SUM(H554:J554)</f>
        <v/>
      </c>
      <c r="L554" s="852" t="n"/>
      <c r="M554" s="852" t="n"/>
      <c r="N554" s="852" t="n"/>
      <c r="O554" s="852" t="n"/>
      <c r="P554" s="852" t="n"/>
      <c r="Q554" s="852" t="n"/>
      <c r="R554" s="852" t="n"/>
      <c r="S554" s="852" t="n"/>
      <c r="T554" s="852" t="n"/>
      <c r="U554" s="852" t="n"/>
      <c r="V554" s="852" t="n"/>
      <c r="W554" s="852" t="n"/>
      <c r="X554" s="852" t="n"/>
      <c r="Y554" s="852" t="n"/>
      <c r="Z554" s="852" t="n"/>
      <c r="AA554" s="852" t="n"/>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c r="CL554" s="59" t="n"/>
      <c r="CM554" s="59" t="n"/>
      <c r="CN554" s="59" t="n"/>
    </row>
    <row r="555" ht="15" customFormat="1" customHeight="1" s="3">
      <c r="A555">
        <f>IF(C555="","",ROW()-2)</f>
        <v/>
      </c>
      <c r="B555" s="852" t="n"/>
      <c r="C555" s="852" t="n"/>
      <c r="D555">
        <f>IF(C555="TOH","Type 1",IF(C555="POH","Type 2",IF(OR(C555="LTO",C555="TOH-LC",C555="TOH - LC"),"Type 3",IF(C555="Flourish","Type 4","Type 1"))))</f>
        <v/>
      </c>
      <c r="E555" s="852" t="n"/>
      <c r="F555" s="852" t="n"/>
      <c r="G555" s="852" t="n"/>
      <c r="H555" s="888" t="n"/>
      <c r="I555" s="889" t="n"/>
      <c r="J555" s="888" t="n"/>
      <c r="K555">
        <f>SUM(H555:J555)</f>
        <v/>
      </c>
      <c r="L555" s="852" t="n"/>
      <c r="M555" s="852" t="n"/>
      <c r="N555" s="852" t="n"/>
      <c r="O555" s="852" t="n"/>
      <c r="P555" s="852" t="n"/>
      <c r="Q555" s="852" t="n"/>
      <c r="R555" s="852" t="n"/>
      <c r="S555" s="852" t="n"/>
      <c r="T555" s="852" t="n"/>
      <c r="U555" s="852" t="n"/>
      <c r="V555" s="852" t="n"/>
      <c r="W555" s="852" t="n"/>
      <c r="X555" s="852" t="n"/>
      <c r="Y555" s="852" t="n"/>
      <c r="Z555" s="852" t="n"/>
      <c r="AA555" s="852" t="n"/>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c r="CL555" s="59" t="n"/>
      <c r="CM555" s="59" t="n"/>
      <c r="CN555" s="59" t="n"/>
    </row>
    <row r="556" ht="15" customFormat="1" customHeight="1" s="3">
      <c r="A556">
        <f>IF(C556="","",ROW()-2)</f>
        <v/>
      </c>
      <c r="B556" s="852" t="n"/>
      <c r="C556" s="852" t="n"/>
      <c r="D556">
        <f>IF(C556="TOH","Type 1",IF(C556="POH","Type 2",IF(OR(C556="LTO",C556="TOH-LC",C556="TOH - LC"),"Type 3",IF(C556="Flourish","Type 4","Type 1"))))</f>
        <v/>
      </c>
      <c r="E556" s="852" t="n"/>
      <c r="F556" s="852" t="n"/>
      <c r="G556" s="852" t="n"/>
      <c r="H556" s="888" t="n"/>
      <c r="I556" s="889" t="n"/>
      <c r="J556" s="888" t="n"/>
      <c r="K556">
        <f>SUM(H556:J556)</f>
        <v/>
      </c>
      <c r="L556" s="852" t="n"/>
      <c r="M556" s="852" t="n"/>
      <c r="N556" s="852" t="n"/>
      <c r="O556" s="852" t="n"/>
      <c r="P556" s="852" t="n"/>
      <c r="Q556" s="852" t="n"/>
      <c r="R556" s="852" t="n"/>
      <c r="S556" s="852" t="n"/>
      <c r="T556" s="852" t="n"/>
      <c r="U556" s="852" t="n"/>
      <c r="V556" s="852" t="n"/>
      <c r="W556" s="852" t="n"/>
      <c r="X556" s="852" t="n"/>
      <c r="Y556" s="852" t="n"/>
      <c r="Z556" s="852" t="n"/>
      <c r="AA556" s="852" t="n"/>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c r="CL556" s="59" t="n"/>
      <c r="CM556" s="59" t="n"/>
      <c r="CN556" s="59" t="n"/>
    </row>
    <row r="557" ht="15" customFormat="1" customHeight="1" s="3">
      <c r="A557">
        <f>IF(C557="","",ROW()-2)</f>
        <v/>
      </c>
      <c r="B557" s="852" t="n"/>
      <c r="C557" s="852" t="n"/>
      <c r="D557">
        <f>IF(C557="TOH","Type 1",IF(C557="POH","Type 2",IF(OR(C557="LTO",C557="TOH-LC",C557="TOH - LC"),"Type 3",IF(C557="Flourish","Type 4","Type 1"))))</f>
        <v/>
      </c>
      <c r="E557" s="852" t="n"/>
      <c r="F557" s="852" t="n"/>
      <c r="G557" s="852" t="n"/>
      <c r="H557" s="888" t="n"/>
      <c r="I557" s="889" t="n"/>
      <c r="J557" s="888" t="n"/>
      <c r="K557">
        <f>SUM(H557:J557)</f>
        <v/>
      </c>
      <c r="L557" s="852" t="n"/>
      <c r="M557" s="852" t="n"/>
      <c r="N557" s="852" t="n"/>
      <c r="O557" s="852" t="n"/>
      <c r="P557" s="852" t="n"/>
      <c r="Q557" s="852" t="n"/>
      <c r="R557" s="852" t="n"/>
      <c r="S557" s="852" t="n"/>
      <c r="T557" s="852" t="n"/>
      <c r="U557" s="852" t="n"/>
      <c r="V557" s="852" t="n"/>
      <c r="W557" s="852" t="n"/>
      <c r="X557" s="852" t="n"/>
      <c r="Y557" s="852" t="n"/>
      <c r="Z557" s="852" t="n"/>
      <c r="AA557" s="852" t="n"/>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c r="CL557" s="59" t="n"/>
      <c r="CM557" s="59" t="n"/>
      <c r="CN557" s="59" t="n"/>
    </row>
    <row r="558" ht="15" customFormat="1" customHeight="1" s="3">
      <c r="A558">
        <f>IF(C558="","",ROW()-2)</f>
        <v/>
      </c>
      <c r="B558" s="852" t="n"/>
      <c r="C558" s="852" t="n"/>
      <c r="D558">
        <f>IF(C558="TOH","Type 1",IF(C558="POH","Type 2",IF(OR(C558="LTO",C558="TOH-LC",C558="TOH - LC"),"Type 3",IF(C558="Flourish","Type 4","Type 1"))))</f>
        <v/>
      </c>
      <c r="E558" s="852" t="n"/>
      <c r="F558" s="852" t="n"/>
      <c r="G558" s="852" t="n"/>
      <c r="H558" s="888" t="n"/>
      <c r="I558" s="889" t="n"/>
      <c r="J558" s="888" t="n"/>
      <c r="K558">
        <f>SUM(H558:J558)</f>
        <v/>
      </c>
      <c r="L558" s="852" t="n"/>
      <c r="M558" s="852" t="n"/>
      <c r="N558" s="852" t="n"/>
      <c r="O558" s="852" t="n"/>
      <c r="P558" s="852" t="n"/>
      <c r="Q558" s="852" t="n"/>
      <c r="R558" s="852" t="n"/>
      <c r="S558" s="852" t="n"/>
      <c r="T558" s="852" t="n"/>
      <c r="U558" s="852" t="n"/>
      <c r="V558" s="852" t="n"/>
      <c r="W558" s="852" t="n"/>
      <c r="X558" s="852" t="n"/>
      <c r="Y558" s="852" t="n"/>
      <c r="Z558" s="852" t="n"/>
      <c r="AA558" s="852" t="n"/>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c r="CL558" s="59" t="n"/>
      <c r="CM558" s="59" t="n"/>
      <c r="CN558" s="59" t="n"/>
    </row>
    <row r="559" ht="15" customFormat="1" customHeight="1" s="3">
      <c r="A559">
        <f>IF(C559="","",ROW()-2)</f>
        <v/>
      </c>
      <c r="B559" s="852" t="n"/>
      <c r="C559" s="852" t="n"/>
      <c r="D559">
        <f>IF(C559="TOH","Type 1",IF(C559="POH","Type 2",IF(OR(C559="LTO",C559="TOH-LC",C559="TOH - LC"),"Type 3",IF(C559="Flourish","Type 4","Type 1"))))</f>
        <v/>
      </c>
      <c r="E559" s="852" t="n"/>
      <c r="F559" s="852" t="n"/>
      <c r="G559" s="852" t="n"/>
      <c r="H559" s="888" t="n"/>
      <c r="I559" s="889" t="n"/>
      <c r="J559" s="888" t="n"/>
      <c r="K559">
        <f>SUM(H559:J559)</f>
        <v/>
      </c>
      <c r="L559" s="852" t="n"/>
      <c r="M559" s="852" t="n"/>
      <c r="N559" s="852" t="n"/>
      <c r="O559" s="852" t="n"/>
      <c r="P559" s="852" t="n"/>
      <c r="Q559" s="852" t="n"/>
      <c r="R559" s="852" t="n"/>
      <c r="S559" s="852" t="n"/>
      <c r="T559" s="852" t="n"/>
      <c r="U559" s="852" t="n"/>
      <c r="V559" s="852" t="n"/>
      <c r="W559" s="852" t="n"/>
      <c r="X559" s="852" t="n"/>
      <c r="Y559" s="852" t="n"/>
      <c r="Z559" s="852" t="n"/>
      <c r="AA559" s="852" t="n"/>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c r="CL559" s="59" t="n"/>
      <c r="CM559" s="59" t="n"/>
      <c r="CN559" s="59" t="n"/>
    </row>
    <row r="560" ht="15" customFormat="1" customHeight="1" s="3">
      <c r="A560">
        <f>IF(C560="","",ROW()-2)</f>
        <v/>
      </c>
      <c r="B560" s="852" t="n"/>
      <c r="C560" s="852" t="n"/>
      <c r="D560">
        <f>IF(C560="TOH","Type 1",IF(C560="POH","Type 2",IF(OR(C560="LTO",C560="TOH-LC",C560="TOH - LC"),"Type 3",IF(C560="Flourish","Type 4","Type 1"))))</f>
        <v/>
      </c>
      <c r="E560" s="852" t="n"/>
      <c r="F560" s="852" t="n"/>
      <c r="G560" s="852" t="n"/>
      <c r="H560" s="888" t="n"/>
      <c r="I560" s="889" t="n"/>
      <c r="J560" s="888" t="n"/>
      <c r="K560">
        <f>SUM(H560:J560)</f>
        <v/>
      </c>
      <c r="L560" s="852" t="n"/>
      <c r="M560" s="852" t="n"/>
      <c r="N560" s="852" t="n"/>
      <c r="O560" s="852" t="n"/>
      <c r="P560" s="852" t="n"/>
      <c r="Q560" s="852" t="n"/>
      <c r="R560" s="852" t="n"/>
      <c r="S560" s="852" t="n"/>
      <c r="T560" s="852" t="n"/>
      <c r="U560" s="852" t="n"/>
      <c r="V560" s="852" t="n"/>
      <c r="W560" s="852" t="n"/>
      <c r="X560" s="852" t="n"/>
      <c r="Y560" s="852" t="n"/>
      <c r="Z560" s="852" t="n"/>
      <c r="AA560" s="852" t="n"/>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c r="CL560" s="59" t="n"/>
      <c r="CM560" s="59" t="n"/>
      <c r="CN560" s="59" t="n"/>
    </row>
    <row r="561" ht="15" customFormat="1" customHeight="1" s="3">
      <c r="A561">
        <f>IF(C561="","",ROW()-2)</f>
        <v/>
      </c>
      <c r="B561" s="852" t="n"/>
      <c r="C561" s="852" t="n"/>
      <c r="D561">
        <f>IF(C561="TOH","Type 1",IF(C561="POH","Type 2",IF(OR(C561="LTO",C561="TOH-LC",C561="TOH - LC"),"Type 3",IF(C561="Flourish","Type 4","Type 1"))))</f>
        <v/>
      </c>
      <c r="E561" s="852" t="n"/>
      <c r="F561" s="852" t="n"/>
      <c r="G561" s="852" t="n"/>
      <c r="H561" s="888" t="n"/>
      <c r="I561" s="889" t="n"/>
      <c r="J561" s="888" t="n"/>
      <c r="K561">
        <f>SUM(H561:J561)</f>
        <v/>
      </c>
      <c r="L561" s="852" t="n"/>
      <c r="M561" s="852" t="n"/>
      <c r="N561" s="852" t="n"/>
      <c r="O561" s="852" t="n"/>
      <c r="P561" s="852" t="n"/>
      <c r="Q561" s="852" t="n"/>
      <c r="R561" s="852" t="n"/>
      <c r="S561" s="852" t="n"/>
      <c r="T561" s="852" t="n"/>
      <c r="U561" s="852" t="n"/>
      <c r="V561" s="852" t="n"/>
      <c r="W561" s="852" t="n"/>
      <c r="X561" s="852" t="n"/>
      <c r="Y561" s="852" t="n"/>
      <c r="Z561" s="852" t="n"/>
      <c r="AA561" s="852" t="n"/>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c r="CL561" s="59" t="n"/>
      <c r="CM561" s="59" t="n"/>
      <c r="CN561" s="59" t="n"/>
    </row>
    <row r="562" ht="15" customFormat="1" customHeight="1" s="3">
      <c r="A562">
        <f>IF(C562="","",ROW()-2)</f>
        <v/>
      </c>
      <c r="B562" s="852" t="n"/>
      <c r="C562" s="852" t="n"/>
      <c r="D562">
        <f>IF(C562="TOH","Type 1",IF(C562="POH","Type 2",IF(OR(C562="LTO",C562="TOH-LC",C562="TOH - LC"),"Type 3",IF(C562="Flourish","Type 4","Type 1"))))</f>
        <v/>
      </c>
      <c r="E562" s="852" t="n"/>
      <c r="F562" s="852" t="n"/>
      <c r="G562" s="852" t="n"/>
      <c r="H562" s="888" t="n"/>
      <c r="I562" s="889" t="n"/>
      <c r="J562" s="888" t="n"/>
      <c r="K562">
        <f>SUM(H562:J562)</f>
        <v/>
      </c>
      <c r="L562" s="852" t="n"/>
      <c r="M562" s="852" t="n"/>
      <c r="N562" s="852" t="n"/>
      <c r="O562" s="852" t="n"/>
      <c r="P562" s="852" t="n"/>
      <c r="Q562" s="852" t="n"/>
      <c r="R562" s="852" t="n"/>
      <c r="S562" s="852" t="n"/>
      <c r="T562" s="852" t="n"/>
      <c r="U562" s="852" t="n"/>
      <c r="V562" s="852" t="n"/>
      <c r="W562" s="852" t="n"/>
      <c r="X562" s="852" t="n"/>
      <c r="Y562" s="852" t="n"/>
      <c r="Z562" s="852" t="n"/>
      <c r="AA562" s="852" t="n"/>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c r="CL562" s="59" t="n"/>
      <c r="CM562" s="59" t="n"/>
      <c r="CN562" s="59" t="n"/>
    </row>
    <row r="563" ht="15" customFormat="1" customHeight="1" s="3">
      <c r="A563">
        <f>IF(C563="","",ROW()-2)</f>
        <v/>
      </c>
      <c r="B563" s="852" t="n"/>
      <c r="C563" s="852" t="n"/>
      <c r="D563">
        <f>IF(C563="TOH","Type 1",IF(C563="POH","Type 2",IF(OR(C563="LTO",C563="TOH-LC",C563="TOH - LC"),"Type 3",IF(C563="Flourish","Type 4","Type 1"))))</f>
        <v/>
      </c>
      <c r="E563" s="852" t="n"/>
      <c r="F563" s="852" t="n"/>
      <c r="G563" s="852" t="n"/>
      <c r="H563" s="888" t="n"/>
      <c r="I563" s="889" t="n"/>
      <c r="J563" s="888" t="n"/>
      <c r="K563">
        <f>SUM(H563:J563)</f>
        <v/>
      </c>
      <c r="L563" s="852" t="n"/>
      <c r="M563" s="852" t="n"/>
      <c r="N563" s="852" t="n"/>
      <c r="O563" s="852" t="n"/>
      <c r="P563" s="852" t="n"/>
      <c r="Q563" s="852" t="n"/>
      <c r="R563" s="852" t="n"/>
      <c r="S563" s="852" t="n"/>
      <c r="T563" s="852" t="n"/>
      <c r="U563" s="852" t="n"/>
      <c r="V563" s="852" t="n"/>
      <c r="W563" s="852" t="n"/>
      <c r="X563" s="852" t="n"/>
      <c r="Y563" s="852" t="n"/>
      <c r="Z563" s="852" t="n"/>
      <c r="AA563" s="852" t="n"/>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c r="CL563" s="59" t="n"/>
      <c r="CM563" s="59" t="n"/>
      <c r="CN563" s="59" t="n"/>
    </row>
    <row r="564" ht="15" customFormat="1" customHeight="1" s="3">
      <c r="A564">
        <f>IF(C564="","",ROW()-2)</f>
        <v/>
      </c>
      <c r="B564" s="852" t="n"/>
      <c r="C564" s="852" t="n"/>
      <c r="D564">
        <f>IF(C564="TOH","Type 1",IF(C564="POH","Type 2",IF(OR(C564="LTO",C564="TOH-LC",C564="TOH - LC"),"Type 3",IF(C564="Flourish","Type 4","Type 1"))))</f>
        <v/>
      </c>
      <c r="E564" s="852" t="n"/>
      <c r="F564" s="852" t="n"/>
      <c r="G564" s="852" t="n"/>
      <c r="H564" s="888" t="n"/>
      <c r="I564" s="889" t="n"/>
      <c r="J564" s="888" t="n"/>
      <c r="K564">
        <f>SUM(H564:J564)</f>
        <v/>
      </c>
      <c r="L564" s="852" t="n"/>
      <c r="M564" s="852" t="n"/>
      <c r="N564" s="852" t="n"/>
      <c r="O564" s="852" t="n"/>
      <c r="P564" s="852" t="n"/>
      <c r="Q564" s="852" t="n"/>
      <c r="R564" s="852" t="n"/>
      <c r="S564" s="852" t="n"/>
      <c r="T564" s="852" t="n"/>
      <c r="U564" s="852" t="n"/>
      <c r="V564" s="852" t="n"/>
      <c r="W564" s="852" t="n"/>
      <c r="X564" s="852" t="n"/>
      <c r="Y564" s="852" t="n"/>
      <c r="Z564" s="852" t="n"/>
      <c r="AA564" s="852" t="n"/>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c r="CL564" s="59" t="n"/>
      <c r="CM564" s="59" t="n"/>
      <c r="CN564" s="59" t="n"/>
    </row>
    <row r="565" ht="15" customFormat="1" customHeight="1" s="3">
      <c r="A565">
        <f>IF(C565="","",ROW()-2)</f>
        <v/>
      </c>
      <c r="B565" s="852" t="n"/>
      <c r="C565" s="852" t="n"/>
      <c r="D565">
        <f>IF(C565="TOH","Type 1",IF(C565="POH","Type 2",IF(OR(C565="LTO",C565="TOH-LC",C565="TOH - LC"),"Type 3",IF(C565="Flourish","Type 4","Type 1"))))</f>
        <v/>
      </c>
      <c r="E565" s="852" t="n"/>
      <c r="F565" s="852" t="n"/>
      <c r="G565" s="852" t="n"/>
      <c r="H565" s="888" t="n"/>
      <c r="I565" s="889" t="n"/>
      <c r="J565" s="888" t="n"/>
      <c r="K565">
        <f>SUM(H565:J565)</f>
        <v/>
      </c>
      <c r="L565" s="852" t="n"/>
      <c r="M565" s="852" t="n"/>
      <c r="N565" s="852" t="n"/>
      <c r="O565" s="852" t="n"/>
      <c r="P565" s="852" t="n"/>
      <c r="Q565" s="852" t="n"/>
      <c r="R565" s="852" t="n"/>
      <c r="S565" s="852" t="n"/>
      <c r="T565" s="852" t="n"/>
      <c r="U565" s="852" t="n"/>
      <c r="V565" s="852" t="n"/>
      <c r="W565" s="852" t="n"/>
      <c r="X565" s="852" t="n"/>
      <c r="Y565" s="852" t="n"/>
      <c r="Z565" s="852" t="n"/>
      <c r="AA565" s="852" t="n"/>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c r="CL565" s="59" t="n"/>
      <c r="CM565" s="59" t="n"/>
      <c r="CN565" s="59" t="n"/>
    </row>
    <row r="566" ht="15" customFormat="1" customHeight="1" s="3">
      <c r="A566">
        <f>IF(C566="","",ROW()-2)</f>
        <v/>
      </c>
      <c r="B566" s="852" t="n"/>
      <c r="C566" s="852" t="n"/>
      <c r="D566">
        <f>IF(C566="TOH","Type 1",IF(C566="POH","Type 2",IF(OR(C566="LTO",C566="TOH-LC",C566="TOH - LC"),"Type 3",IF(C566="Flourish","Type 4","Type 1"))))</f>
        <v/>
      </c>
      <c r="E566" s="852" t="n"/>
      <c r="F566" s="852" t="n"/>
      <c r="G566" s="852" t="n"/>
      <c r="H566" s="888" t="n"/>
      <c r="I566" s="889" t="n"/>
      <c r="J566" s="888" t="n"/>
      <c r="K566">
        <f>SUM(H566:J566)</f>
        <v/>
      </c>
      <c r="L566" s="852" t="n"/>
      <c r="M566" s="852" t="n"/>
      <c r="N566" s="852" t="n"/>
      <c r="O566" s="852" t="n"/>
      <c r="P566" s="852" t="n"/>
      <c r="Q566" s="852" t="n"/>
      <c r="R566" s="852" t="n"/>
      <c r="S566" s="852" t="n"/>
      <c r="T566" s="852" t="n"/>
      <c r="U566" s="852" t="n"/>
      <c r="V566" s="852" t="n"/>
      <c r="W566" s="852" t="n"/>
      <c r="X566" s="852" t="n"/>
      <c r="Y566" s="852" t="n"/>
      <c r="Z566" s="852" t="n"/>
      <c r="AA566" s="852" t="n"/>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c r="CL566" s="59" t="n"/>
      <c r="CM566" s="59" t="n"/>
      <c r="CN566" s="59" t="n"/>
    </row>
    <row r="567" ht="15" customFormat="1" customHeight="1" s="3">
      <c r="A567">
        <f>IF(C567="","",ROW()-2)</f>
        <v/>
      </c>
      <c r="B567" s="852" t="n"/>
      <c r="C567" s="852" t="n"/>
      <c r="D567">
        <f>IF(C567="TOH","Type 1",IF(C567="POH","Type 2",IF(OR(C567="LTO",C567="TOH-LC",C567="TOH - LC"),"Type 3",IF(C567="Flourish","Type 4","Type 1"))))</f>
        <v/>
      </c>
      <c r="E567" s="852" t="n"/>
      <c r="F567" s="852" t="n"/>
      <c r="G567" s="852" t="n"/>
      <c r="H567" s="888" t="n"/>
      <c r="I567" s="889" t="n"/>
      <c r="J567" s="888" t="n"/>
      <c r="K567">
        <f>SUM(H567:J567)</f>
        <v/>
      </c>
      <c r="L567" s="852" t="n"/>
      <c r="M567" s="852" t="n"/>
      <c r="N567" s="852" t="n"/>
      <c r="O567" s="852" t="n"/>
      <c r="P567" s="852" t="n"/>
      <c r="Q567" s="852" t="n"/>
      <c r="R567" s="852" t="n"/>
      <c r="S567" s="852" t="n"/>
      <c r="T567" s="852" t="n"/>
      <c r="U567" s="852" t="n"/>
      <c r="V567" s="852" t="n"/>
      <c r="W567" s="852" t="n"/>
      <c r="X567" s="852" t="n"/>
      <c r="Y567" s="852" t="n"/>
      <c r="Z567" s="852" t="n"/>
      <c r="AA567" s="852" t="n"/>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c r="CL567" s="59" t="n"/>
      <c r="CM567" s="59" t="n"/>
      <c r="CN567" s="59" t="n"/>
    </row>
    <row r="568" ht="15" customFormat="1" customHeight="1" s="3">
      <c r="A568">
        <f>IF(C568="","",ROW()-2)</f>
        <v/>
      </c>
      <c r="B568" s="852" t="n"/>
      <c r="C568" s="852" t="n"/>
      <c r="D568">
        <f>IF(C568="TOH","Type 1",IF(C568="POH","Type 2",IF(OR(C568="LTO",C568="TOH-LC",C568="TOH - LC"),"Type 3",IF(C568="Flourish","Type 4","Type 1"))))</f>
        <v/>
      </c>
      <c r="E568" s="852" t="n"/>
      <c r="F568" s="852" t="n"/>
      <c r="G568" s="852" t="n"/>
      <c r="H568" s="888" t="n"/>
      <c r="I568" s="889" t="n"/>
      <c r="J568" s="888" t="n"/>
      <c r="K568">
        <f>SUM(H568:J568)</f>
        <v/>
      </c>
      <c r="L568" s="852" t="n"/>
      <c r="M568" s="852" t="n"/>
      <c r="N568" s="852" t="n"/>
      <c r="O568" s="852" t="n"/>
      <c r="P568" s="852" t="n"/>
      <c r="Q568" s="852" t="n"/>
      <c r="R568" s="852" t="n"/>
      <c r="S568" s="852" t="n"/>
      <c r="T568" s="852" t="n"/>
      <c r="U568" s="852" t="n"/>
      <c r="V568" s="852" t="n"/>
      <c r="W568" s="852" t="n"/>
      <c r="X568" s="852" t="n"/>
      <c r="Y568" s="852" t="n"/>
      <c r="Z568" s="852" t="n"/>
      <c r="AA568" s="852" t="n"/>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c r="CL568" s="59" t="n"/>
      <c r="CM568" s="59" t="n"/>
      <c r="CN568" s="59" t="n"/>
    </row>
    <row r="569" ht="15" customFormat="1" customHeight="1" s="3">
      <c r="A569">
        <f>IF(C569="","",ROW()-2)</f>
        <v/>
      </c>
      <c r="B569" s="852" t="n"/>
      <c r="C569" s="852" t="n"/>
      <c r="D569">
        <f>IF(C569="TOH","Type 1",IF(C569="POH","Type 2",IF(OR(C569="LTO",C569="TOH-LC",C569="TOH - LC"),"Type 3",IF(C569="Flourish","Type 4","Type 1"))))</f>
        <v/>
      </c>
      <c r="E569" s="852" t="n"/>
      <c r="F569" s="852" t="n"/>
      <c r="G569" s="852" t="n"/>
      <c r="H569" s="888" t="n"/>
      <c r="I569" s="889" t="n"/>
      <c r="J569" s="888" t="n"/>
      <c r="K569">
        <f>SUM(H569:J569)</f>
        <v/>
      </c>
      <c r="L569" s="852" t="n"/>
      <c r="M569" s="852" t="n"/>
      <c r="N569" s="852" t="n"/>
      <c r="O569" s="852" t="n"/>
      <c r="P569" s="852" t="n"/>
      <c r="Q569" s="852" t="n"/>
      <c r="R569" s="852" t="n"/>
      <c r="S569" s="852" t="n"/>
      <c r="T569" s="852" t="n"/>
      <c r="U569" s="852" t="n"/>
      <c r="V569" s="852" t="n"/>
      <c r="W569" s="852" t="n"/>
      <c r="X569" s="852" t="n"/>
      <c r="Y569" s="852" t="n"/>
      <c r="Z569" s="852" t="n"/>
      <c r="AA569" s="852" t="n"/>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c r="CL569" s="59" t="n"/>
      <c r="CM569" s="59" t="n"/>
      <c r="CN569" s="59" t="n"/>
    </row>
    <row r="570" ht="15" customFormat="1" customHeight="1" s="3">
      <c r="A570">
        <f>IF(C570="","",ROW()-2)</f>
        <v/>
      </c>
      <c r="B570" s="852" t="n"/>
      <c r="C570" s="852" t="n"/>
      <c r="D570">
        <f>IF(C570="TOH","Type 1",IF(C570="POH","Type 2",IF(OR(C570="LTO",C570="TOH-LC",C570="TOH - LC"),"Type 3",IF(C570="Flourish","Type 4","Type 1"))))</f>
        <v/>
      </c>
      <c r="E570" s="852" t="n"/>
      <c r="F570" s="852" t="n"/>
      <c r="G570" s="852" t="n"/>
      <c r="H570" s="888" t="n"/>
      <c r="I570" s="889" t="n"/>
      <c r="J570" s="888" t="n"/>
      <c r="K570">
        <f>SUM(H570:J570)</f>
        <v/>
      </c>
      <c r="L570" s="852" t="n"/>
      <c r="M570" s="852" t="n"/>
      <c r="N570" s="852" t="n"/>
      <c r="O570" s="852" t="n"/>
      <c r="P570" s="852" t="n"/>
      <c r="Q570" s="852" t="n"/>
      <c r="R570" s="852" t="n"/>
      <c r="S570" s="852" t="n"/>
      <c r="T570" s="852" t="n"/>
      <c r="U570" s="852" t="n"/>
      <c r="V570" s="852" t="n"/>
      <c r="W570" s="852" t="n"/>
      <c r="X570" s="852" t="n"/>
      <c r="Y570" s="852" t="n"/>
      <c r="Z570" s="852" t="n"/>
      <c r="AA570" s="852" t="n"/>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c r="CL570" s="59" t="n"/>
      <c r="CM570" s="59" t="n"/>
      <c r="CN570" s="59" t="n"/>
    </row>
    <row r="571" ht="15" customFormat="1" customHeight="1" s="3">
      <c r="A571">
        <f>IF(C571="","",ROW()-2)</f>
        <v/>
      </c>
      <c r="B571" s="852" t="n"/>
      <c r="C571" s="852" t="n"/>
      <c r="D571">
        <f>IF(C571="TOH","Type 1",IF(C571="POH","Type 2",IF(OR(C571="LTO",C571="TOH-LC",C571="TOH - LC"),"Type 3",IF(C571="Flourish","Type 4","Type 1"))))</f>
        <v/>
      </c>
      <c r="E571" s="852" t="n"/>
      <c r="F571" s="852" t="n"/>
      <c r="G571" s="852" t="n"/>
      <c r="H571" s="888" t="n"/>
      <c r="I571" s="889" t="n"/>
      <c r="J571" s="888" t="n"/>
      <c r="K571">
        <f>SUM(H571:J571)</f>
        <v/>
      </c>
      <c r="L571" s="852" t="n"/>
      <c r="M571" s="852" t="n"/>
      <c r="N571" s="852" t="n"/>
      <c r="O571" s="852" t="n"/>
      <c r="P571" s="852" t="n"/>
      <c r="Q571" s="852" t="n"/>
      <c r="R571" s="852" t="n"/>
      <c r="S571" s="852" t="n"/>
      <c r="T571" s="852" t="n"/>
      <c r="U571" s="852" t="n"/>
      <c r="V571" s="852" t="n"/>
      <c r="W571" s="852" t="n"/>
      <c r="X571" s="852" t="n"/>
      <c r="Y571" s="852" t="n"/>
      <c r="Z571" s="852" t="n"/>
      <c r="AA571" s="852" t="n"/>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c r="CL571" s="59" t="n"/>
      <c r="CM571" s="59" t="n"/>
      <c r="CN571" s="59" t="n"/>
    </row>
    <row r="572" ht="15" customFormat="1" customHeight="1" s="3">
      <c r="A572">
        <f>IF(C572="","",ROW()-2)</f>
        <v/>
      </c>
      <c r="B572" s="852" t="n"/>
      <c r="C572" s="852" t="n"/>
      <c r="D572">
        <f>IF(C572="TOH","Type 1",IF(C572="POH","Type 2",IF(OR(C572="LTO",C572="TOH-LC",C572="TOH - LC"),"Type 3",IF(C572="Flourish","Type 4","Type 1"))))</f>
        <v/>
      </c>
      <c r="E572" s="852" t="n"/>
      <c r="F572" s="852" t="n"/>
      <c r="G572" s="852" t="n"/>
      <c r="H572" s="888" t="n"/>
      <c r="I572" s="889" t="n"/>
      <c r="J572" s="888" t="n"/>
      <c r="K572">
        <f>SUM(H572:J572)</f>
        <v/>
      </c>
      <c r="L572" s="852" t="n"/>
      <c r="M572" s="852" t="n"/>
      <c r="N572" s="852" t="n"/>
      <c r="O572" s="852" t="n"/>
      <c r="P572" s="852" t="n"/>
      <c r="Q572" s="852" t="n"/>
      <c r="R572" s="852" t="n"/>
      <c r="S572" s="852" t="n"/>
      <c r="T572" s="852" t="n"/>
      <c r="U572" s="852" t="n"/>
      <c r="V572" s="852" t="n"/>
      <c r="W572" s="852" t="n"/>
      <c r="X572" s="852" t="n"/>
      <c r="Y572" s="852" t="n"/>
      <c r="Z572" s="852" t="n"/>
      <c r="AA572" s="852" t="n"/>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c r="CL572" s="59" t="n"/>
      <c r="CM572" s="59" t="n"/>
      <c r="CN572" s="59" t="n"/>
    </row>
    <row r="573" ht="15" customFormat="1" customHeight="1" s="3">
      <c r="A573">
        <f>IF(C573="","",ROW()-2)</f>
        <v/>
      </c>
      <c r="B573" s="852" t="n"/>
      <c r="C573" s="852" t="n"/>
      <c r="D573">
        <f>IF(C573="TOH","Type 1",IF(C573="POH","Type 2",IF(OR(C573="LTO",C573="TOH-LC",C573="TOH - LC"),"Type 3",IF(C573="Flourish","Type 4","Type 1"))))</f>
        <v/>
      </c>
      <c r="E573" s="852" t="n"/>
      <c r="F573" s="852" t="n"/>
      <c r="G573" s="852" t="n"/>
      <c r="H573" s="888" t="n"/>
      <c r="I573" s="889" t="n"/>
      <c r="J573" s="888" t="n"/>
      <c r="K573">
        <f>SUM(H573:J573)</f>
        <v/>
      </c>
      <c r="L573" s="852" t="n"/>
      <c r="M573" s="852" t="n"/>
      <c r="N573" s="852" t="n"/>
      <c r="O573" s="852" t="n"/>
      <c r="P573" s="852" t="n"/>
      <c r="Q573" s="852" t="n"/>
      <c r="R573" s="852" t="n"/>
      <c r="S573" s="852" t="n"/>
      <c r="T573" s="852" t="n"/>
      <c r="U573" s="852" t="n"/>
      <c r="V573" s="852" t="n"/>
      <c r="W573" s="852" t="n"/>
      <c r="X573" s="852" t="n"/>
      <c r="Y573" s="852" t="n"/>
      <c r="Z573" s="852" t="n"/>
      <c r="AA573" s="852" t="n"/>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c r="CL573" s="59" t="n"/>
      <c r="CM573" s="59" t="n"/>
      <c r="CN573" s="59" t="n"/>
    </row>
    <row r="574" ht="15" customFormat="1" customHeight="1" s="3">
      <c r="A574">
        <f>IF(C574="","",ROW()-2)</f>
        <v/>
      </c>
      <c r="B574" s="852" t="n"/>
      <c r="C574" s="852" t="n"/>
      <c r="D574">
        <f>IF(C574="TOH","Type 1",IF(C574="POH","Type 2",IF(OR(C574="LTO",C574="TOH-LC",C574="TOH - LC"),"Type 3",IF(C574="Flourish","Type 4","Type 1"))))</f>
        <v/>
      </c>
      <c r="E574" s="852" t="n"/>
      <c r="F574" s="852" t="n"/>
      <c r="G574" s="852" t="n"/>
      <c r="H574" s="888" t="n"/>
      <c r="I574" s="889" t="n"/>
      <c r="J574" s="888" t="n"/>
      <c r="K574">
        <f>SUM(H574:J574)</f>
        <v/>
      </c>
      <c r="L574" s="852" t="n"/>
      <c r="M574" s="852" t="n"/>
      <c r="N574" s="852" t="n"/>
      <c r="O574" s="852" t="n"/>
      <c r="P574" s="852" t="n"/>
      <c r="Q574" s="852" t="n"/>
      <c r="R574" s="852" t="n"/>
      <c r="S574" s="852" t="n"/>
      <c r="T574" s="852" t="n"/>
      <c r="U574" s="852" t="n"/>
      <c r="V574" s="852" t="n"/>
      <c r="W574" s="852" t="n"/>
      <c r="X574" s="852" t="n"/>
      <c r="Y574" s="852" t="n"/>
      <c r="Z574" s="852" t="n"/>
      <c r="AA574" s="852" t="n"/>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c r="CL574" s="59" t="n"/>
      <c r="CM574" s="59" t="n"/>
      <c r="CN574" s="59" t="n"/>
    </row>
    <row r="575" ht="15" customFormat="1" customHeight="1" s="3">
      <c r="A575">
        <f>IF(C575="","",ROW()-2)</f>
        <v/>
      </c>
      <c r="B575" s="852" t="n"/>
      <c r="C575" s="852" t="n"/>
      <c r="D575">
        <f>IF(C575="TOH","Type 1",IF(C575="POH","Type 2",IF(OR(C575="LTO",C575="TOH-LC",C575="TOH - LC"),"Type 3",IF(C575="Flourish","Type 4","Type 1"))))</f>
        <v/>
      </c>
      <c r="E575" s="852" t="n"/>
      <c r="F575" s="852" t="n"/>
      <c r="G575" s="852" t="n"/>
      <c r="H575" s="888" t="n"/>
      <c r="I575" s="889" t="n"/>
      <c r="J575" s="888" t="n"/>
      <c r="K575">
        <f>SUM(H575:J575)</f>
        <v/>
      </c>
      <c r="L575" s="852" t="n"/>
      <c r="M575" s="852" t="n"/>
      <c r="N575" s="852" t="n"/>
      <c r="O575" s="852" t="n"/>
      <c r="P575" s="852" t="n"/>
      <c r="Q575" s="852" t="n"/>
      <c r="R575" s="852" t="n"/>
      <c r="S575" s="852" t="n"/>
      <c r="T575" s="852" t="n"/>
      <c r="U575" s="852" t="n"/>
      <c r="V575" s="852" t="n"/>
      <c r="W575" s="852" t="n"/>
      <c r="X575" s="852" t="n"/>
      <c r="Y575" s="852" t="n"/>
      <c r="Z575" s="852" t="n"/>
      <c r="AA575" s="852" t="n"/>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c r="CL575" s="59" t="n"/>
      <c r="CM575" s="59" t="n"/>
      <c r="CN575" s="59" t="n"/>
    </row>
    <row r="576" ht="15" customFormat="1" customHeight="1" s="3">
      <c r="A576">
        <f>IF(C576="","",ROW()-2)</f>
        <v/>
      </c>
      <c r="B576" s="852" t="n"/>
      <c r="C576" s="852" t="n"/>
      <c r="D576">
        <f>IF(C576="TOH","Type 1",IF(C576="POH","Type 2",IF(OR(C576="LTO",C576="TOH-LC",C576="TOH - LC"),"Type 3",IF(C576="Flourish","Type 4","Type 1"))))</f>
        <v/>
      </c>
      <c r="E576" s="852" t="n"/>
      <c r="F576" s="852" t="n"/>
      <c r="G576" s="852" t="n"/>
      <c r="H576" s="888" t="n"/>
      <c r="I576" s="889" t="n"/>
      <c r="J576" s="888" t="n"/>
      <c r="K576">
        <f>SUM(H576:J576)</f>
        <v/>
      </c>
      <c r="L576" s="852" t="n"/>
      <c r="M576" s="852" t="n"/>
      <c r="N576" s="852" t="n"/>
      <c r="O576" s="852" t="n"/>
      <c r="P576" s="852" t="n"/>
      <c r="Q576" s="852" t="n"/>
      <c r="R576" s="852" t="n"/>
      <c r="S576" s="852" t="n"/>
      <c r="T576" s="852" t="n"/>
      <c r="U576" s="852" t="n"/>
      <c r="V576" s="852" t="n"/>
      <c r="W576" s="852" t="n"/>
      <c r="X576" s="852" t="n"/>
      <c r="Y576" s="852" t="n"/>
      <c r="Z576" s="852" t="n"/>
      <c r="AA576" s="852" t="n"/>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c r="CL576" s="59" t="n"/>
      <c r="CM576" s="59" t="n"/>
      <c r="CN576" s="59" t="n"/>
    </row>
    <row r="577" ht="15" customFormat="1" customHeight="1" s="3">
      <c r="A577">
        <f>IF(C577="","",ROW()-2)</f>
        <v/>
      </c>
      <c r="B577" s="852" t="n"/>
      <c r="C577" s="852" t="n"/>
      <c r="D577">
        <f>IF(C577="TOH","Type 1",IF(C577="POH","Type 2",IF(OR(C577="LTO",C577="TOH-LC",C577="TOH - LC"),"Type 3",IF(C577="Flourish","Type 4","Type 1"))))</f>
        <v/>
      </c>
      <c r="E577" s="852" t="n"/>
      <c r="F577" s="852" t="n"/>
      <c r="G577" s="852" t="n"/>
      <c r="H577" s="888" t="n"/>
      <c r="I577" s="889" t="n"/>
      <c r="J577" s="888" t="n"/>
      <c r="K577">
        <f>SUM(H577:J577)</f>
        <v/>
      </c>
      <c r="L577" s="852" t="n"/>
      <c r="M577" s="852" t="n"/>
      <c r="N577" s="852" t="n"/>
      <c r="O577" s="852" t="n"/>
      <c r="P577" s="852" t="n"/>
      <c r="Q577" s="852" t="n"/>
      <c r="R577" s="852" t="n"/>
      <c r="S577" s="852" t="n"/>
      <c r="T577" s="852" t="n"/>
      <c r="U577" s="852" t="n"/>
      <c r="V577" s="852" t="n"/>
      <c r="W577" s="852" t="n"/>
      <c r="X577" s="852" t="n"/>
      <c r="Y577" s="852" t="n"/>
      <c r="Z577" s="852" t="n"/>
      <c r="AA577" s="852" t="n"/>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c r="CL577" s="59" t="n"/>
      <c r="CM577" s="59" t="n"/>
      <c r="CN577" s="59" t="n"/>
    </row>
    <row r="578" ht="15" customFormat="1" customHeight="1" s="3">
      <c r="A578">
        <f>IF(C578="","",ROW()-2)</f>
        <v/>
      </c>
      <c r="B578" s="852" t="n"/>
      <c r="C578" s="852" t="n"/>
      <c r="D578">
        <f>IF(C578="TOH","Type 1",IF(C578="POH","Type 2",IF(OR(C578="LTO",C578="TOH-LC",C578="TOH - LC"),"Type 3",IF(C578="Flourish","Type 4","Type 1"))))</f>
        <v/>
      </c>
      <c r="E578" s="852" t="n"/>
      <c r="F578" s="852" t="n"/>
      <c r="G578" s="852" t="n"/>
      <c r="H578" s="888" t="n"/>
      <c r="I578" s="889" t="n"/>
      <c r="J578" s="888" t="n"/>
      <c r="K578">
        <f>SUM(H578:J578)</f>
        <v/>
      </c>
      <c r="L578" s="852" t="n"/>
      <c r="M578" s="852" t="n"/>
      <c r="N578" s="852" t="n"/>
      <c r="O578" s="852" t="n"/>
      <c r="P578" s="852" t="n"/>
      <c r="Q578" s="852" t="n"/>
      <c r="R578" s="852" t="n"/>
      <c r="S578" s="852" t="n"/>
      <c r="T578" s="852" t="n"/>
      <c r="U578" s="852" t="n"/>
      <c r="V578" s="852" t="n"/>
      <c r="W578" s="852" t="n"/>
      <c r="X578" s="852" t="n"/>
      <c r="Y578" s="852" t="n"/>
      <c r="Z578" s="852" t="n"/>
      <c r="AA578" s="852" t="n"/>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c r="CL578" s="59" t="n"/>
      <c r="CM578" s="59" t="n"/>
      <c r="CN578" s="59" t="n"/>
    </row>
    <row r="579" ht="15" customFormat="1" customHeight="1" s="3">
      <c r="A579">
        <f>IF(C579="","",ROW()-2)</f>
        <v/>
      </c>
      <c r="B579" s="852" t="n"/>
      <c r="C579" s="852" t="n"/>
      <c r="D579">
        <f>IF(C579="TOH","Type 1",IF(C579="POH","Type 2",IF(OR(C579="LTO",C579="TOH-LC",C579="TOH - LC"),"Type 3",IF(C579="Flourish","Type 4","Type 1"))))</f>
        <v/>
      </c>
      <c r="E579" s="852" t="n"/>
      <c r="F579" s="852" t="n"/>
      <c r="G579" s="852" t="n"/>
      <c r="H579" s="888" t="n"/>
      <c r="I579" s="889" t="n"/>
      <c r="J579" s="888" t="n"/>
      <c r="K579">
        <f>SUM(H579:J579)</f>
        <v/>
      </c>
      <c r="L579" s="852" t="n"/>
      <c r="M579" s="852" t="n"/>
      <c r="N579" s="852" t="n"/>
      <c r="O579" s="852" t="n"/>
      <c r="P579" s="852" t="n"/>
      <c r="Q579" s="852" t="n"/>
      <c r="R579" s="852" t="n"/>
      <c r="S579" s="852" t="n"/>
      <c r="T579" s="852" t="n"/>
      <c r="U579" s="852" t="n"/>
      <c r="V579" s="852" t="n"/>
      <c r="W579" s="852" t="n"/>
      <c r="X579" s="852" t="n"/>
      <c r="Y579" s="852" t="n"/>
      <c r="Z579" s="852" t="n"/>
      <c r="AA579" s="852" t="n"/>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c r="CL579" s="59" t="n"/>
      <c r="CM579" s="59" t="n"/>
      <c r="CN579" s="59" t="n"/>
    </row>
    <row r="580" ht="15" customFormat="1" customHeight="1" s="3">
      <c r="A580">
        <f>IF(C580="","",ROW()-2)</f>
        <v/>
      </c>
      <c r="B580" s="852" t="n"/>
      <c r="C580" s="852" t="n"/>
      <c r="D580">
        <f>IF(C580="TOH","Type 1",IF(C580="POH","Type 2",IF(OR(C580="LTO",C580="TOH-LC",C580="TOH - LC"),"Type 3",IF(C580="Flourish","Type 4","Type 1"))))</f>
        <v/>
      </c>
      <c r="E580" s="852" t="n"/>
      <c r="F580" s="852" t="n"/>
      <c r="G580" s="852" t="n"/>
      <c r="H580" s="888" t="n"/>
      <c r="I580" s="889" t="n"/>
      <c r="J580" s="888" t="n"/>
      <c r="K580">
        <f>SUM(H580:J580)</f>
        <v/>
      </c>
      <c r="L580" s="852" t="n"/>
      <c r="M580" s="852" t="n"/>
      <c r="N580" s="852" t="n"/>
      <c r="O580" s="852" t="n"/>
      <c r="P580" s="852" t="n"/>
      <c r="Q580" s="852" t="n"/>
      <c r="R580" s="852" t="n"/>
      <c r="S580" s="852" t="n"/>
      <c r="T580" s="852" t="n"/>
      <c r="U580" s="852" t="n"/>
      <c r="V580" s="852" t="n"/>
      <c r="W580" s="852" t="n"/>
      <c r="X580" s="852" t="n"/>
      <c r="Y580" s="852" t="n"/>
      <c r="Z580" s="852" t="n"/>
      <c r="AA580" s="852" t="n"/>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c r="CL580" s="59" t="n"/>
      <c r="CM580" s="59" t="n"/>
      <c r="CN580" s="59" t="n"/>
    </row>
    <row r="581" ht="15" customFormat="1" customHeight="1" s="3">
      <c r="A581">
        <f>IF(C581="","",ROW()-2)</f>
        <v/>
      </c>
      <c r="B581" s="852" t="n"/>
      <c r="C581" s="852" t="n"/>
      <c r="D581">
        <f>IF(C581="TOH","Type 1",IF(C581="POH","Type 2",IF(OR(C581="LTO",C581="TOH-LC",C581="TOH - LC"),"Type 3",IF(C581="Flourish","Type 4","Type 1"))))</f>
        <v/>
      </c>
      <c r="E581" s="852" t="n"/>
      <c r="F581" s="852" t="n"/>
      <c r="G581" s="852" t="n"/>
      <c r="H581" s="888" t="n"/>
      <c r="I581" s="889" t="n"/>
      <c r="J581" s="888" t="n"/>
      <c r="K581">
        <f>SUM(H581:J581)</f>
        <v/>
      </c>
      <c r="L581" s="852" t="n"/>
      <c r="M581" s="852" t="n"/>
      <c r="N581" s="852" t="n"/>
      <c r="O581" s="852" t="n"/>
      <c r="P581" s="852" t="n"/>
      <c r="Q581" s="852" t="n"/>
      <c r="R581" s="852" t="n"/>
      <c r="S581" s="852" t="n"/>
      <c r="T581" s="852" t="n"/>
      <c r="U581" s="852" t="n"/>
      <c r="V581" s="852" t="n"/>
      <c r="W581" s="852" t="n"/>
      <c r="X581" s="852" t="n"/>
      <c r="Y581" s="852" t="n"/>
      <c r="Z581" s="852" t="n"/>
      <c r="AA581" s="852" t="n"/>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c r="CL581" s="59" t="n"/>
      <c r="CM581" s="59" t="n"/>
      <c r="CN581" s="59" t="n"/>
    </row>
    <row r="582" ht="15" customFormat="1" customHeight="1" s="3">
      <c r="A582">
        <f>IF(C582="","",ROW()-2)</f>
        <v/>
      </c>
      <c r="B582" s="852" t="n"/>
      <c r="C582" s="852" t="n"/>
      <c r="D582">
        <f>IF(C582="TOH","Type 1",IF(C582="POH","Type 2",IF(OR(C582="LTO",C582="TOH-LC",C582="TOH - LC"),"Type 3",IF(C582="Flourish","Type 4","Type 1"))))</f>
        <v/>
      </c>
      <c r="E582" s="852" t="n"/>
      <c r="F582" s="852" t="n"/>
      <c r="G582" s="852" t="n"/>
      <c r="H582" s="888" t="n"/>
      <c r="I582" s="889" t="n"/>
      <c r="J582" s="888" t="n"/>
      <c r="K582">
        <f>SUM(H582:J582)</f>
        <v/>
      </c>
      <c r="L582" s="852" t="n"/>
      <c r="M582" s="852" t="n"/>
      <c r="N582" s="852" t="n"/>
      <c r="O582" s="852" t="n"/>
      <c r="P582" s="852" t="n"/>
      <c r="Q582" s="852" t="n"/>
      <c r="R582" s="852" t="n"/>
      <c r="S582" s="852" t="n"/>
      <c r="T582" s="852" t="n"/>
      <c r="U582" s="852" t="n"/>
      <c r="V582" s="852" t="n"/>
      <c r="W582" s="852" t="n"/>
      <c r="X582" s="852" t="n"/>
      <c r="Y582" s="852" t="n"/>
      <c r="Z582" s="852" t="n"/>
      <c r="AA582" s="852" t="n"/>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c r="CL582" s="59" t="n"/>
      <c r="CM582" s="59" t="n"/>
      <c r="CN582" s="59" t="n"/>
    </row>
    <row r="583" ht="15" customFormat="1" customHeight="1" s="3">
      <c r="A583">
        <f>IF(C583="","",ROW()-2)</f>
        <v/>
      </c>
      <c r="B583" s="852" t="n"/>
      <c r="C583" s="852" t="n"/>
      <c r="D583">
        <f>IF(C583="TOH","Type 1",IF(C583="POH","Type 2",IF(OR(C583="LTO",C583="TOH-LC",C583="TOH - LC"),"Type 3",IF(C583="Flourish","Type 4","Type 1"))))</f>
        <v/>
      </c>
      <c r="E583" s="852" t="n"/>
      <c r="F583" s="852" t="n"/>
      <c r="G583" s="852" t="n"/>
      <c r="H583" s="888" t="n"/>
      <c r="I583" s="889" t="n"/>
      <c r="J583" s="888" t="n"/>
      <c r="K583">
        <f>SUM(H583:J583)</f>
        <v/>
      </c>
      <c r="L583" s="852" t="n"/>
      <c r="M583" s="852" t="n"/>
      <c r="N583" s="852" t="n"/>
      <c r="O583" s="852" t="n"/>
      <c r="P583" s="852" t="n"/>
      <c r="Q583" s="852" t="n"/>
      <c r="R583" s="852" t="n"/>
      <c r="S583" s="852" t="n"/>
      <c r="T583" s="852" t="n"/>
      <c r="U583" s="852" t="n"/>
      <c r="V583" s="852" t="n"/>
      <c r="W583" s="852" t="n"/>
      <c r="X583" s="852" t="n"/>
      <c r="Y583" s="852" t="n"/>
      <c r="Z583" s="852" t="n"/>
      <c r="AA583" s="852" t="n"/>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c r="CL583" s="59" t="n"/>
      <c r="CM583" s="59" t="n"/>
      <c r="CN583" s="59" t="n"/>
    </row>
    <row r="584" ht="15" customFormat="1" customHeight="1" s="3">
      <c r="A584">
        <f>IF(C584="","",ROW()-2)</f>
        <v/>
      </c>
      <c r="B584" s="852" t="n"/>
      <c r="C584" s="852" t="n"/>
      <c r="D584">
        <f>IF(C584="TOH","Type 1",IF(C584="POH","Type 2",IF(OR(C584="LTO",C584="TOH-LC",C584="TOH - LC"),"Type 3",IF(C584="Flourish","Type 4","Type 1"))))</f>
        <v/>
      </c>
      <c r="E584" s="852" t="n"/>
      <c r="F584" s="852" t="n"/>
      <c r="G584" s="852" t="n"/>
      <c r="H584" s="888" t="n"/>
      <c r="I584" s="889" t="n"/>
      <c r="J584" s="888" t="n"/>
      <c r="K584">
        <f>SUM(H584:J584)</f>
        <v/>
      </c>
      <c r="L584" s="852" t="n"/>
      <c r="M584" s="852" t="n"/>
      <c r="N584" s="852" t="n"/>
      <c r="O584" s="852" t="n"/>
      <c r="P584" s="852" t="n"/>
      <c r="Q584" s="852" t="n"/>
      <c r="R584" s="852" t="n"/>
      <c r="S584" s="852" t="n"/>
      <c r="T584" s="852" t="n"/>
      <c r="U584" s="852" t="n"/>
      <c r="V584" s="852" t="n"/>
      <c r="W584" s="852" t="n"/>
      <c r="X584" s="852" t="n"/>
      <c r="Y584" s="852" t="n"/>
      <c r="Z584" s="852" t="n"/>
      <c r="AA584" s="852" t="n"/>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c r="CL584" s="59" t="n"/>
      <c r="CM584" s="59" t="n"/>
      <c r="CN584" s="59" t="n"/>
    </row>
    <row r="585" ht="15" customFormat="1" customHeight="1" s="3">
      <c r="A585">
        <f>IF(C585="","",ROW()-2)</f>
        <v/>
      </c>
      <c r="B585" s="852" t="n"/>
      <c r="C585" s="852" t="n"/>
      <c r="D585">
        <f>IF(C585="TOH","Type 1",IF(C585="POH","Type 2",IF(OR(C585="LTO",C585="TOH-LC",C585="TOH - LC"),"Type 3",IF(C585="Flourish","Type 4","Type 1"))))</f>
        <v/>
      </c>
      <c r="E585" s="852" t="n"/>
      <c r="F585" s="852" t="n"/>
      <c r="G585" s="852" t="n"/>
      <c r="H585" s="888" t="n"/>
      <c r="I585" s="889" t="n"/>
      <c r="J585" s="888" t="n"/>
      <c r="K585">
        <f>SUM(H585:J585)</f>
        <v/>
      </c>
      <c r="L585" s="852" t="n"/>
      <c r="M585" s="852" t="n"/>
      <c r="N585" s="852" t="n"/>
      <c r="O585" s="852" t="n"/>
      <c r="P585" s="852" t="n"/>
      <c r="Q585" s="852" t="n"/>
      <c r="R585" s="852" t="n"/>
      <c r="S585" s="852" t="n"/>
      <c r="T585" s="852" t="n"/>
      <c r="U585" s="852" t="n"/>
      <c r="V585" s="852" t="n"/>
      <c r="W585" s="852" t="n"/>
      <c r="X585" s="852" t="n"/>
      <c r="Y585" s="852" t="n"/>
      <c r="Z585" s="852" t="n"/>
      <c r="AA585" s="852" t="n"/>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c r="CL585" s="59" t="n"/>
      <c r="CM585" s="59" t="n"/>
      <c r="CN585" s="59" t="n"/>
    </row>
    <row r="586" ht="15" customFormat="1" customHeight="1" s="3">
      <c r="A586">
        <f>IF(C586="","",ROW()-2)</f>
        <v/>
      </c>
      <c r="B586" s="852" t="n"/>
      <c r="C586" s="852" t="n"/>
      <c r="D586">
        <f>IF(C586="TOH","Type 1",IF(C586="POH","Type 2",IF(OR(C586="LTO",C586="TOH-LC",C586="TOH - LC"),"Type 3",IF(C586="Flourish","Type 4","Type 1"))))</f>
        <v/>
      </c>
      <c r="E586" s="852" t="n"/>
      <c r="F586" s="852" t="n"/>
      <c r="G586" s="852" t="n"/>
      <c r="H586" s="888" t="n"/>
      <c r="I586" s="889" t="n"/>
      <c r="J586" s="888" t="n"/>
      <c r="K586">
        <f>SUM(H586:J586)</f>
        <v/>
      </c>
      <c r="L586" s="852" t="n"/>
      <c r="M586" s="852" t="n"/>
      <c r="N586" s="852" t="n"/>
      <c r="O586" s="852" t="n"/>
      <c r="P586" s="852" t="n"/>
      <c r="Q586" s="852" t="n"/>
      <c r="R586" s="852" t="n"/>
      <c r="S586" s="852" t="n"/>
      <c r="T586" s="852" t="n"/>
      <c r="U586" s="852" t="n"/>
      <c r="V586" s="852" t="n"/>
      <c r="W586" s="852" t="n"/>
      <c r="X586" s="852" t="n"/>
      <c r="Y586" s="852" t="n"/>
      <c r="Z586" s="852" t="n"/>
      <c r="AA586" s="852" t="n"/>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c r="CL586" s="59" t="n"/>
      <c r="CM586" s="59" t="n"/>
      <c r="CN586" s="59" t="n"/>
    </row>
    <row r="587" ht="15" customFormat="1" customHeight="1" s="3">
      <c r="A587">
        <f>IF(C587="","",ROW()-2)</f>
        <v/>
      </c>
      <c r="B587" s="852" t="n"/>
      <c r="C587" s="852" t="n"/>
      <c r="D587">
        <f>IF(C587="TOH","Type 1",IF(C587="POH","Type 2",IF(OR(C587="LTO",C587="TOH-LC",C587="TOH - LC"),"Type 3",IF(C587="Flourish","Type 4","Type 1"))))</f>
        <v/>
      </c>
      <c r="E587" s="852" t="n"/>
      <c r="F587" s="852" t="n"/>
      <c r="G587" s="852" t="n"/>
      <c r="H587" s="888" t="n"/>
      <c r="I587" s="889" t="n"/>
      <c r="J587" s="888" t="n"/>
      <c r="K587">
        <f>SUM(H587:J587)</f>
        <v/>
      </c>
      <c r="L587" s="852" t="n"/>
      <c r="M587" s="852" t="n"/>
      <c r="N587" s="852" t="n"/>
      <c r="O587" s="852" t="n"/>
      <c r="P587" s="852" t="n"/>
      <c r="Q587" s="852" t="n"/>
      <c r="R587" s="852" t="n"/>
      <c r="S587" s="852" t="n"/>
      <c r="T587" s="852" t="n"/>
      <c r="U587" s="852" t="n"/>
      <c r="V587" s="852" t="n"/>
      <c r="W587" s="852" t="n"/>
      <c r="X587" s="852" t="n"/>
      <c r="Y587" s="852" t="n"/>
      <c r="Z587" s="852" t="n"/>
      <c r="AA587" s="852" t="n"/>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c r="CL587" s="59" t="n"/>
      <c r="CM587" s="59" t="n"/>
      <c r="CN587" s="59" t="n"/>
    </row>
    <row r="588" ht="15" customFormat="1" customHeight="1" s="3">
      <c r="A588">
        <f>IF(C588="","",ROW()-2)</f>
        <v/>
      </c>
      <c r="B588" s="852" t="n"/>
      <c r="C588" s="852" t="n"/>
      <c r="D588">
        <f>IF(C588="TOH","Type 1",IF(C588="POH","Type 2",IF(OR(C588="LTO",C588="TOH-LC",C588="TOH - LC"),"Type 3",IF(C588="Flourish","Type 4","Type 1"))))</f>
        <v/>
      </c>
      <c r="E588" s="852" t="n"/>
      <c r="F588" s="852" t="n"/>
      <c r="G588" s="852" t="n"/>
      <c r="H588" s="888" t="n"/>
      <c r="I588" s="889" t="n"/>
      <c r="J588" s="888" t="n"/>
      <c r="K588">
        <f>SUM(H588:J588)</f>
        <v/>
      </c>
      <c r="L588" s="852" t="n"/>
      <c r="M588" s="852" t="n"/>
      <c r="N588" s="852" t="n"/>
      <c r="O588" s="852" t="n"/>
      <c r="P588" s="852" t="n"/>
      <c r="Q588" s="852" t="n"/>
      <c r="R588" s="852" t="n"/>
      <c r="S588" s="852" t="n"/>
      <c r="T588" s="852" t="n"/>
      <c r="U588" s="852" t="n"/>
      <c r="V588" s="852" t="n"/>
      <c r="W588" s="852" t="n"/>
      <c r="X588" s="852" t="n"/>
      <c r="Y588" s="852" t="n"/>
      <c r="Z588" s="852" t="n"/>
      <c r="AA588" s="852" t="n"/>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c r="CL588" s="59" t="n"/>
      <c r="CM588" s="59" t="n"/>
      <c r="CN588" s="59" t="n"/>
    </row>
    <row r="589" ht="15" customFormat="1" customHeight="1" s="3">
      <c r="A589">
        <f>IF(C589="","",ROW()-2)</f>
        <v/>
      </c>
      <c r="B589" s="852" t="n"/>
      <c r="C589" s="852" t="n"/>
      <c r="D589">
        <f>IF(C589="TOH","Type 1",IF(C589="POH","Type 2",IF(OR(C589="LTO",C589="TOH-LC",C589="TOH - LC"),"Type 3",IF(C589="Flourish","Type 4","Type 1"))))</f>
        <v/>
      </c>
      <c r="E589" s="852" t="n"/>
      <c r="F589" s="852" t="n"/>
      <c r="G589" s="852" t="n"/>
      <c r="H589" s="888" t="n"/>
      <c r="I589" s="889" t="n"/>
      <c r="J589" s="888" t="n"/>
      <c r="K589">
        <f>SUM(H589:J589)</f>
        <v/>
      </c>
      <c r="L589" s="852" t="n"/>
      <c r="M589" s="852" t="n"/>
      <c r="N589" s="852" t="n"/>
      <c r="O589" s="852" t="n"/>
      <c r="P589" s="852" t="n"/>
      <c r="Q589" s="852" t="n"/>
      <c r="R589" s="852" t="n"/>
      <c r="S589" s="852" t="n"/>
      <c r="T589" s="852" t="n"/>
      <c r="U589" s="852" t="n"/>
      <c r="V589" s="852" t="n"/>
      <c r="W589" s="852" t="n"/>
      <c r="X589" s="852" t="n"/>
      <c r="Y589" s="852" t="n"/>
      <c r="Z589" s="852" t="n"/>
      <c r="AA589" s="852" t="n"/>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c r="CL589" s="59" t="n"/>
      <c r="CM589" s="59" t="n"/>
      <c r="CN589" s="59" t="n"/>
    </row>
    <row r="590" ht="15" customFormat="1" customHeight="1" s="3">
      <c r="A590">
        <f>IF(C590="","",ROW()-2)</f>
        <v/>
      </c>
      <c r="B590" s="852" t="n"/>
      <c r="C590" s="852" t="n"/>
      <c r="D590">
        <f>IF(C590="TOH","Type 1",IF(C590="POH","Type 2",IF(OR(C590="LTO",C590="TOH-LC",C590="TOH - LC"),"Type 3",IF(C590="Flourish","Type 4","Type 1"))))</f>
        <v/>
      </c>
      <c r="E590" s="852" t="n"/>
      <c r="F590" s="852" t="n"/>
      <c r="G590" s="852" t="n"/>
      <c r="H590" s="888" t="n"/>
      <c r="I590" s="889" t="n"/>
      <c r="J590" s="888" t="n"/>
      <c r="K590">
        <f>SUM(H590:J590)</f>
        <v/>
      </c>
      <c r="L590" s="852" t="n"/>
      <c r="M590" s="852" t="n"/>
      <c r="N590" s="852" t="n"/>
      <c r="O590" s="852" t="n"/>
      <c r="P590" s="852" t="n"/>
      <c r="Q590" s="852" t="n"/>
      <c r="R590" s="852" t="n"/>
      <c r="S590" s="852" t="n"/>
      <c r="T590" s="852" t="n"/>
      <c r="U590" s="852" t="n"/>
      <c r="V590" s="852" t="n"/>
      <c r="W590" s="852" t="n"/>
      <c r="X590" s="852" t="n"/>
      <c r="Y590" s="852" t="n"/>
      <c r="Z590" s="852" t="n"/>
      <c r="AA590" s="852" t="n"/>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c r="CL590" s="59" t="n"/>
      <c r="CM590" s="59" t="n"/>
      <c r="CN590" s="59" t="n"/>
    </row>
    <row r="591" ht="15" customFormat="1" customHeight="1" s="3">
      <c r="A591">
        <f>IF(C591="","",ROW()-2)</f>
        <v/>
      </c>
      <c r="B591" s="852" t="n"/>
      <c r="C591" s="852" t="n"/>
      <c r="D591">
        <f>IF(C591="TOH","Type 1",IF(C591="POH","Type 2",IF(OR(C591="LTO",C591="TOH-LC",C591="TOH - LC"),"Type 3",IF(C591="Flourish","Type 4","Type 1"))))</f>
        <v/>
      </c>
      <c r="E591" s="852" t="n"/>
      <c r="F591" s="852" t="n"/>
      <c r="G591" s="852" t="n"/>
      <c r="H591" s="888" t="n"/>
      <c r="I591" s="889" t="n"/>
      <c r="J591" s="888" t="n"/>
      <c r="K591">
        <f>SUM(H591:J591)</f>
        <v/>
      </c>
      <c r="L591" s="852" t="n"/>
      <c r="M591" s="852" t="n"/>
      <c r="N591" s="852" t="n"/>
      <c r="O591" s="852" t="n"/>
      <c r="P591" s="852" t="n"/>
      <c r="Q591" s="852" t="n"/>
      <c r="R591" s="852" t="n"/>
      <c r="S591" s="852" t="n"/>
      <c r="T591" s="852" t="n"/>
      <c r="U591" s="852" t="n"/>
      <c r="V591" s="852" t="n"/>
      <c r="W591" s="852" t="n"/>
      <c r="X591" s="852" t="n"/>
      <c r="Y591" s="852" t="n"/>
      <c r="Z591" s="852" t="n"/>
      <c r="AA591" s="852" t="n"/>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c r="CL591" s="59" t="n"/>
      <c r="CM591" s="59" t="n"/>
      <c r="CN591" s="59" t="n"/>
    </row>
    <row r="592" ht="15" customFormat="1" customHeight="1" s="3">
      <c r="A592">
        <f>IF(C592="","",ROW()-2)</f>
        <v/>
      </c>
      <c r="B592" s="852" t="n"/>
      <c r="C592" s="852" t="n"/>
      <c r="D592">
        <f>IF(C592="TOH","Type 1",IF(C592="POH","Type 2",IF(OR(C592="LTO",C592="TOH-LC",C592="TOH - LC"),"Type 3",IF(C592="Flourish","Type 4","Type 1"))))</f>
        <v/>
      </c>
      <c r="E592" s="852" t="n"/>
      <c r="F592" s="852" t="n"/>
      <c r="G592" s="852" t="n"/>
      <c r="H592" s="888" t="n"/>
      <c r="I592" s="889" t="n"/>
      <c r="J592" s="888" t="n"/>
      <c r="K592">
        <f>SUM(H592:J592)</f>
        <v/>
      </c>
      <c r="L592" s="852" t="n"/>
      <c r="M592" s="852" t="n"/>
      <c r="N592" s="852" t="n"/>
      <c r="O592" s="852" t="n"/>
      <c r="P592" s="852" t="n"/>
      <c r="Q592" s="852" t="n"/>
      <c r="R592" s="852" t="n"/>
      <c r="S592" s="852" t="n"/>
      <c r="T592" s="852" t="n"/>
      <c r="U592" s="852" t="n"/>
      <c r="V592" s="852" t="n"/>
      <c r="W592" s="852" t="n"/>
      <c r="X592" s="852" t="n"/>
      <c r="Y592" s="852" t="n"/>
      <c r="Z592" s="852" t="n"/>
      <c r="AA592" s="852" t="n"/>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c r="CL592" s="59" t="n"/>
      <c r="CM592" s="59" t="n"/>
      <c r="CN592" s="59" t="n"/>
    </row>
    <row r="593" ht="15" customFormat="1" customHeight="1" s="3">
      <c r="A593">
        <f>IF(C593="","",ROW()-2)</f>
        <v/>
      </c>
      <c r="B593" s="852" t="n"/>
      <c r="C593" s="852" t="n"/>
      <c r="D593">
        <f>IF(C593="TOH","Type 1",IF(C593="POH","Type 2",IF(OR(C593="LTO",C593="TOH-LC",C593="TOH - LC"),"Type 3",IF(C593="Flourish","Type 4","Type 1"))))</f>
        <v/>
      </c>
      <c r="E593" s="852" t="n"/>
      <c r="F593" s="852" t="n"/>
      <c r="G593" s="852" t="n"/>
      <c r="H593" s="888" t="n"/>
      <c r="I593" s="889" t="n"/>
      <c r="J593" s="888" t="n"/>
      <c r="K593">
        <f>SUM(H593:J593)</f>
        <v/>
      </c>
      <c r="L593" s="852" t="n"/>
      <c r="M593" s="852" t="n"/>
      <c r="N593" s="852" t="n"/>
      <c r="O593" s="852" t="n"/>
      <c r="P593" s="852" t="n"/>
      <c r="Q593" s="852" t="n"/>
      <c r="R593" s="852" t="n"/>
      <c r="S593" s="852" t="n"/>
      <c r="T593" s="852" t="n"/>
      <c r="U593" s="852" t="n"/>
      <c r="V593" s="852" t="n"/>
      <c r="W593" s="852" t="n"/>
      <c r="X593" s="852" t="n"/>
      <c r="Y593" s="852" t="n"/>
      <c r="Z593" s="852" t="n"/>
      <c r="AA593" s="852" t="n"/>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c r="CL593" s="59" t="n"/>
      <c r="CM593" s="59" t="n"/>
      <c r="CN593" s="59" t="n"/>
    </row>
    <row r="594" ht="15" customFormat="1" customHeight="1" s="3">
      <c r="A594">
        <f>IF(C594="","",ROW()-2)</f>
        <v/>
      </c>
      <c r="B594" s="852" t="n"/>
      <c r="C594" s="852" t="n"/>
      <c r="D594">
        <f>IF(C594="TOH","Type 1",IF(C594="POH","Type 2",IF(OR(C594="LTO",C594="TOH-LC",C594="TOH - LC"),"Type 3",IF(C594="Flourish","Type 4","Type 1"))))</f>
        <v/>
      </c>
      <c r="E594" s="852" t="n"/>
      <c r="F594" s="852" t="n"/>
      <c r="G594" s="852" t="n"/>
      <c r="H594" s="888" t="n"/>
      <c r="I594" s="889" t="n"/>
      <c r="J594" s="888" t="n"/>
      <c r="K594">
        <f>SUM(H594:J594)</f>
        <v/>
      </c>
      <c r="L594" s="852" t="n"/>
      <c r="M594" s="852" t="n"/>
      <c r="N594" s="852" t="n"/>
      <c r="O594" s="852" t="n"/>
      <c r="P594" s="852" t="n"/>
      <c r="Q594" s="852" t="n"/>
      <c r="R594" s="852" t="n"/>
      <c r="S594" s="852" t="n"/>
      <c r="T594" s="852" t="n"/>
      <c r="U594" s="852" t="n"/>
      <c r="V594" s="852" t="n"/>
      <c r="W594" s="852" t="n"/>
      <c r="X594" s="852" t="n"/>
      <c r="Y594" s="852" t="n"/>
      <c r="Z594" s="852" t="n"/>
      <c r="AA594" s="852" t="n"/>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c r="CL594" s="59" t="n"/>
      <c r="CM594" s="59" t="n"/>
      <c r="CN594" s="59" t="n"/>
    </row>
    <row r="595" ht="15" customFormat="1" customHeight="1" s="3">
      <c r="A595">
        <f>IF(C595="","",ROW()-2)</f>
        <v/>
      </c>
      <c r="B595" s="852" t="n"/>
      <c r="C595" s="852" t="n"/>
      <c r="D595">
        <f>IF(C595="TOH","Type 1",IF(C595="POH","Type 2",IF(OR(C595="LTO",C595="TOH-LC",C595="TOH - LC"),"Type 3",IF(C595="Flourish","Type 4","Type 1"))))</f>
        <v/>
      </c>
      <c r="E595" s="852" t="n"/>
      <c r="F595" s="852" t="n"/>
      <c r="G595" s="852" t="n"/>
      <c r="H595" s="888" t="n"/>
      <c r="I595" s="889" t="n"/>
      <c r="J595" s="888" t="n"/>
      <c r="K595">
        <f>SUM(H595:J595)</f>
        <v/>
      </c>
      <c r="L595" s="852" t="n"/>
      <c r="M595" s="852" t="n"/>
      <c r="N595" s="852" t="n"/>
      <c r="O595" s="852" t="n"/>
      <c r="P595" s="852" t="n"/>
      <c r="Q595" s="852" t="n"/>
      <c r="R595" s="852" t="n"/>
      <c r="S595" s="852" t="n"/>
      <c r="T595" s="852" t="n"/>
      <c r="U595" s="852" t="n"/>
      <c r="V595" s="852" t="n"/>
      <c r="W595" s="852" t="n"/>
      <c r="X595" s="852" t="n"/>
      <c r="Y595" s="852" t="n"/>
      <c r="Z595" s="852" t="n"/>
      <c r="AA595" s="852" t="n"/>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c r="CL595" s="59" t="n"/>
      <c r="CM595" s="59" t="n"/>
      <c r="CN595" s="59" t="n"/>
    </row>
    <row r="596" ht="15" customFormat="1" customHeight="1" s="3">
      <c r="A596">
        <f>IF(C596="","",ROW()-2)</f>
        <v/>
      </c>
      <c r="B596" s="852" t="n"/>
      <c r="C596" s="852" t="n"/>
      <c r="D596">
        <f>IF(C596="TOH","Type 1",IF(C596="POH","Type 2",IF(OR(C596="LTO",C596="TOH-LC",C596="TOH - LC"),"Type 3",IF(C596="Flourish","Type 4","Type 1"))))</f>
        <v/>
      </c>
      <c r="E596" s="852" t="n"/>
      <c r="F596" s="852" t="n"/>
      <c r="G596" s="852" t="n"/>
      <c r="H596" s="888" t="n"/>
      <c r="I596" s="889" t="n"/>
      <c r="J596" s="888" t="n"/>
      <c r="K596">
        <f>SUM(H596:J596)</f>
        <v/>
      </c>
      <c r="L596" s="852" t="n"/>
      <c r="M596" s="852" t="n"/>
      <c r="N596" s="852" t="n"/>
      <c r="O596" s="852" t="n"/>
      <c r="P596" s="852" t="n"/>
      <c r="Q596" s="852" t="n"/>
      <c r="R596" s="852" t="n"/>
      <c r="S596" s="852" t="n"/>
      <c r="T596" s="852" t="n"/>
      <c r="U596" s="852" t="n"/>
      <c r="V596" s="852" t="n"/>
      <c r="W596" s="852" t="n"/>
      <c r="X596" s="852" t="n"/>
      <c r="Y596" s="852" t="n"/>
      <c r="Z596" s="852" t="n"/>
      <c r="AA596" s="852" t="n"/>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c r="CL596" s="59" t="n"/>
      <c r="CM596" s="59" t="n"/>
      <c r="CN596" s="59" t="n"/>
    </row>
    <row r="597" ht="15" customFormat="1" customHeight="1" s="3">
      <c r="A597">
        <f>IF(C597="","",ROW()-2)</f>
        <v/>
      </c>
      <c r="B597" s="852" t="n"/>
      <c r="C597" s="852" t="n"/>
      <c r="D597">
        <f>IF(C597="TOH","Type 1",IF(C597="POH","Type 2",IF(OR(C597="LTO",C597="TOH-LC",C597="TOH - LC"),"Type 3",IF(C597="Flourish","Type 4","Type 1"))))</f>
        <v/>
      </c>
      <c r="E597" s="852" t="n"/>
      <c r="F597" s="852" t="n"/>
      <c r="G597" s="852" t="n"/>
      <c r="H597" s="888" t="n"/>
      <c r="I597" s="889" t="n"/>
      <c r="J597" s="888" t="n"/>
      <c r="K597">
        <f>SUM(H597:J597)</f>
        <v/>
      </c>
      <c r="L597" s="852" t="n"/>
      <c r="M597" s="852" t="n"/>
      <c r="N597" s="852" t="n"/>
      <c r="O597" s="852" t="n"/>
      <c r="P597" s="852" t="n"/>
      <c r="Q597" s="852" t="n"/>
      <c r="R597" s="852" t="n"/>
      <c r="S597" s="852" t="n"/>
      <c r="T597" s="852" t="n"/>
      <c r="U597" s="852" t="n"/>
      <c r="V597" s="852" t="n"/>
      <c r="W597" s="852" t="n"/>
      <c r="X597" s="852" t="n"/>
      <c r="Y597" s="852" t="n"/>
      <c r="Z597" s="852" t="n"/>
      <c r="AA597" s="852" t="n"/>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c r="CL597" s="59" t="n"/>
      <c r="CM597" s="59" t="n"/>
      <c r="CN597" s="59" t="n"/>
    </row>
    <row r="598" ht="15" customFormat="1" customHeight="1" s="3">
      <c r="A598">
        <f>IF(C598="","",ROW()-2)</f>
        <v/>
      </c>
      <c r="B598" s="852" t="n"/>
      <c r="C598" s="852" t="n"/>
      <c r="D598">
        <f>IF(C598="TOH","Type 1",IF(C598="POH","Type 2",IF(OR(C598="LTO",C598="TOH-LC",C598="TOH - LC"),"Type 3",IF(C598="Flourish","Type 4","Type 1"))))</f>
        <v/>
      </c>
      <c r="E598" s="852" t="n"/>
      <c r="F598" s="852" t="n"/>
      <c r="G598" s="852" t="n"/>
      <c r="H598" s="888" t="n"/>
      <c r="I598" s="889" t="n"/>
      <c r="J598" s="888" t="n"/>
      <c r="K598">
        <f>SUM(H598:J598)</f>
        <v/>
      </c>
      <c r="L598" s="852" t="n"/>
      <c r="M598" s="852" t="n"/>
      <c r="N598" s="852" t="n"/>
      <c r="O598" s="852" t="n"/>
      <c r="P598" s="852" t="n"/>
      <c r="Q598" s="852" t="n"/>
      <c r="R598" s="852" t="n"/>
      <c r="S598" s="852" t="n"/>
      <c r="T598" s="852" t="n"/>
      <c r="U598" s="852" t="n"/>
      <c r="V598" s="852" t="n"/>
      <c r="W598" s="852" t="n"/>
      <c r="X598" s="852" t="n"/>
      <c r="Y598" s="852" t="n"/>
      <c r="Z598" s="852" t="n"/>
      <c r="AA598" s="852" t="n"/>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c r="CL598" s="59" t="n"/>
      <c r="CM598" s="59" t="n"/>
      <c r="CN598" s="59" t="n"/>
    </row>
    <row r="599" ht="15" customFormat="1" customHeight="1" s="3">
      <c r="A599">
        <f>IF(C599="","",ROW()-2)</f>
        <v/>
      </c>
      <c r="B599" s="852" t="n"/>
      <c r="C599" s="852" t="n"/>
      <c r="D599">
        <f>IF(C599="TOH","Type 1",IF(C599="POH","Type 2",IF(OR(C599="LTO",C599="TOH-LC",C599="TOH - LC"),"Type 3",IF(C599="Flourish","Type 4","Type 1"))))</f>
        <v/>
      </c>
      <c r="E599" s="852" t="n"/>
      <c r="F599" s="852" t="n"/>
      <c r="G599" s="852" t="n"/>
      <c r="H599" s="888" t="n"/>
      <c r="I599" s="889" t="n"/>
      <c r="J599" s="888" t="n"/>
      <c r="K599">
        <f>SUM(H599:J599)</f>
        <v/>
      </c>
      <c r="L599" s="852" t="n"/>
      <c r="M599" s="852" t="n"/>
      <c r="N599" s="852" t="n"/>
      <c r="O599" s="852" t="n"/>
      <c r="P599" s="852" t="n"/>
      <c r="Q599" s="852" t="n"/>
      <c r="R599" s="852" t="n"/>
      <c r="S599" s="852" t="n"/>
      <c r="T599" s="852" t="n"/>
      <c r="U599" s="852" t="n"/>
      <c r="V599" s="852" t="n"/>
      <c r="W599" s="852" t="n"/>
      <c r="X599" s="852" t="n"/>
      <c r="Y599" s="852" t="n"/>
      <c r="Z599" s="852" t="n"/>
      <c r="AA599" s="852" t="n"/>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c r="CL599" s="59" t="n"/>
      <c r="CM599" s="59" t="n"/>
      <c r="CN599" s="59" t="n"/>
    </row>
    <row r="600" ht="15" customFormat="1" customHeight="1" s="3">
      <c r="A600">
        <f>IF(C600="","",ROW()-2)</f>
        <v/>
      </c>
      <c r="B600" s="852" t="n"/>
      <c r="C600" s="852" t="n"/>
      <c r="D600">
        <f>IF(C600="TOH","Type 1",IF(C600="POH","Type 2",IF(OR(C600="LTO",C600="TOH-LC",C600="TOH - LC"),"Type 3",IF(C600="Flourish","Type 4","Type 1"))))</f>
        <v/>
      </c>
      <c r="E600" s="852" t="n"/>
      <c r="F600" s="852" t="n"/>
      <c r="G600" s="852" t="n"/>
      <c r="H600" s="888" t="n"/>
      <c r="I600" s="889" t="n"/>
      <c r="J600" s="888" t="n"/>
      <c r="K600">
        <f>SUM(H600:J600)</f>
        <v/>
      </c>
      <c r="L600" s="852" t="n"/>
      <c r="M600" s="852" t="n"/>
      <c r="N600" s="852" t="n"/>
      <c r="O600" s="852" t="n"/>
      <c r="P600" s="852" t="n"/>
      <c r="Q600" s="852" t="n"/>
      <c r="R600" s="852" t="n"/>
      <c r="S600" s="852" t="n"/>
      <c r="T600" s="852" t="n"/>
      <c r="U600" s="852" t="n"/>
      <c r="V600" s="852" t="n"/>
      <c r="W600" s="852" t="n"/>
      <c r="X600" s="852" t="n"/>
      <c r="Y600" s="852" t="n"/>
      <c r="Z600" s="852" t="n"/>
      <c r="AA600" s="852" t="n"/>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c r="CL600" s="59" t="n"/>
      <c r="CM600" s="59" t="n"/>
      <c r="CN600" s="59" t="n"/>
    </row>
    <row r="601" ht="15" customFormat="1" customHeight="1" s="3">
      <c r="A601">
        <f>IF(C601="","",ROW()-2)</f>
        <v/>
      </c>
      <c r="B601" s="852" t="n"/>
      <c r="C601" s="852" t="n"/>
      <c r="D601">
        <f>IF(C601="TOH","Type 1",IF(C601="POH","Type 2",IF(OR(C601="LTO",C601="TOH-LC",C601="TOH - LC"),"Type 3",IF(C601="Flourish","Type 4","Type 1"))))</f>
        <v/>
      </c>
      <c r="E601" s="852" t="n"/>
      <c r="F601" s="852" t="n"/>
      <c r="G601" s="852" t="n"/>
      <c r="H601" s="888" t="n"/>
      <c r="I601" s="889" t="n"/>
      <c r="J601" s="888" t="n"/>
      <c r="K601">
        <f>SUM(H601:J601)</f>
        <v/>
      </c>
      <c r="L601" s="852" t="n"/>
      <c r="M601" s="852" t="n"/>
      <c r="N601" s="852" t="n"/>
      <c r="O601" s="852" t="n"/>
      <c r="P601" s="852" t="n"/>
      <c r="Q601" s="852" t="n"/>
      <c r="R601" s="852" t="n"/>
      <c r="S601" s="852" t="n"/>
      <c r="T601" s="852" t="n"/>
      <c r="U601" s="852" t="n"/>
      <c r="V601" s="852" t="n"/>
      <c r="W601" s="852" t="n"/>
      <c r="X601" s="852" t="n"/>
      <c r="Y601" s="852" t="n"/>
      <c r="Z601" s="852" t="n"/>
      <c r="AA601" s="852" t="n"/>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c r="CL601" s="59" t="n"/>
      <c r="CM601" s="59" t="n"/>
      <c r="CN601" s="59" t="n"/>
    </row>
    <row r="602" ht="15" customFormat="1" customHeight="1" s="3">
      <c r="A602">
        <f>IF(C602="","",ROW()-2)</f>
        <v/>
      </c>
      <c r="B602" s="852" t="n"/>
      <c r="C602" s="852" t="n"/>
      <c r="D602">
        <f>IF(C602="TOH","Type 1",IF(C602="POH","Type 2",IF(OR(C602="LTO",C602="TOH-LC",C602="TOH - LC"),"Type 3",IF(C602="Flourish","Type 4","Type 1"))))</f>
        <v/>
      </c>
      <c r="E602" s="852" t="n"/>
      <c r="F602" s="852" t="n"/>
      <c r="G602" s="852" t="n"/>
      <c r="H602" s="888" t="n"/>
      <c r="I602" s="889" t="n"/>
      <c r="J602" s="888" t="n"/>
      <c r="K602">
        <f>SUM(H602:J602)</f>
        <v/>
      </c>
      <c r="L602" s="852" t="n"/>
      <c r="M602" s="852" t="n"/>
      <c r="N602" s="852" t="n"/>
      <c r="O602" s="852" t="n"/>
      <c r="P602" s="852" t="n"/>
      <c r="Q602" s="852" t="n"/>
      <c r="R602" s="852" t="n"/>
      <c r="S602" s="852" t="n"/>
      <c r="T602" s="852" t="n"/>
      <c r="U602" s="852" t="n"/>
      <c r="V602" s="852" t="n"/>
      <c r="W602" s="852" t="n"/>
      <c r="X602" s="852" t="n"/>
      <c r="Y602" s="852" t="n"/>
      <c r="Z602" s="852" t="n"/>
      <c r="AA602" s="852" t="n"/>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c r="CL602" s="59" t="n"/>
      <c r="CM602" s="59" t="n"/>
      <c r="CN602" s="59" t="n"/>
    </row>
    <row r="603" ht="15" customFormat="1" customHeight="1" s="3">
      <c r="A603">
        <f>IF(C603="","",ROW()-2)</f>
        <v/>
      </c>
      <c r="B603" s="852" t="n"/>
      <c r="C603" s="852" t="n"/>
      <c r="D603">
        <f>IF(C603="TOH","Type 1",IF(C603="POH","Type 2",IF(OR(C603="LTO",C603="TOH-LC",C603="TOH - LC"),"Type 3",IF(C603="Flourish","Type 4","Type 1"))))</f>
        <v/>
      </c>
      <c r="E603" s="852" t="n"/>
      <c r="F603" s="852" t="n"/>
      <c r="G603" s="852" t="n"/>
      <c r="H603" s="888" t="n"/>
      <c r="I603" s="889" t="n"/>
      <c r="J603" s="888" t="n"/>
      <c r="K603">
        <f>SUM(H603:J603)</f>
        <v/>
      </c>
      <c r="L603" s="852" t="n"/>
      <c r="M603" s="852" t="n"/>
      <c r="N603" s="852" t="n"/>
      <c r="O603" s="852" t="n"/>
      <c r="P603" s="852" t="n"/>
      <c r="Q603" s="852" t="n"/>
      <c r="R603" s="852" t="n"/>
      <c r="S603" s="852" t="n"/>
      <c r="T603" s="852" t="n"/>
      <c r="U603" s="852" t="n"/>
      <c r="V603" s="852" t="n"/>
      <c r="W603" s="852" t="n"/>
      <c r="X603" s="852" t="n"/>
      <c r="Y603" s="852" t="n"/>
      <c r="Z603" s="852" t="n"/>
      <c r="AA603" s="852" t="n"/>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c r="CL603" s="59" t="n"/>
      <c r="CM603" s="59" t="n"/>
      <c r="CN603" s="59" t="n"/>
    </row>
    <row r="604" ht="15" customFormat="1" customHeight="1" s="3">
      <c r="A604">
        <f>IF(C604="","",ROW()-2)</f>
        <v/>
      </c>
      <c r="B604" s="852" t="n"/>
      <c r="C604" s="852" t="n"/>
      <c r="D604">
        <f>IF(C604="TOH","Type 1",IF(C604="POH","Type 2",IF(OR(C604="LTO",C604="TOH-LC",C604="TOH - LC"),"Type 3",IF(C604="Flourish","Type 4","Type 1"))))</f>
        <v/>
      </c>
      <c r="E604" s="852" t="n"/>
      <c r="F604" s="852" t="n"/>
      <c r="G604" s="852" t="n"/>
      <c r="H604" s="888" t="n"/>
      <c r="I604" s="889" t="n"/>
      <c r="J604" s="888" t="n"/>
      <c r="K604">
        <f>SUM(H604:J604)</f>
        <v/>
      </c>
      <c r="L604" s="852" t="n"/>
      <c r="M604" s="852" t="n"/>
      <c r="N604" s="852" t="n"/>
      <c r="O604" s="852" t="n"/>
      <c r="P604" s="852" t="n"/>
      <c r="Q604" s="852" t="n"/>
      <c r="R604" s="852" t="n"/>
      <c r="S604" s="852" t="n"/>
      <c r="T604" s="852" t="n"/>
      <c r="U604" s="852" t="n"/>
      <c r="V604" s="852" t="n"/>
      <c r="W604" s="852" t="n"/>
      <c r="X604" s="852" t="n"/>
      <c r="Y604" s="852" t="n"/>
      <c r="Z604" s="852" t="n"/>
      <c r="AA604" s="852" t="n"/>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c r="CL604" s="59" t="n"/>
      <c r="CM604" s="59" t="n"/>
      <c r="CN604" s="59" t="n"/>
    </row>
    <row r="605" ht="15" customFormat="1" customHeight="1" s="3">
      <c r="A605">
        <f>IF(C605="","",ROW()-2)</f>
        <v/>
      </c>
      <c r="B605" s="852" t="n"/>
      <c r="C605" s="852" t="n"/>
      <c r="D605">
        <f>IF(C605="TOH","Type 1",IF(C605="POH","Type 2",IF(OR(C605="LTO",C605="TOH-LC",C605="TOH - LC"),"Type 3",IF(C605="Flourish","Type 4","Type 1"))))</f>
        <v/>
      </c>
      <c r="E605" s="852" t="n"/>
      <c r="F605" s="852" t="n"/>
      <c r="G605" s="852" t="n"/>
      <c r="H605" s="888" t="n"/>
      <c r="I605" s="889" t="n"/>
      <c r="J605" s="888" t="n"/>
      <c r="K605">
        <f>SUM(H605:J605)</f>
        <v/>
      </c>
      <c r="L605" s="852" t="n"/>
      <c r="M605" s="852" t="n"/>
      <c r="N605" s="852" t="n"/>
      <c r="O605" s="852" t="n"/>
      <c r="P605" s="852" t="n"/>
      <c r="Q605" s="852" t="n"/>
      <c r="R605" s="852" t="n"/>
      <c r="S605" s="852" t="n"/>
      <c r="T605" s="852" t="n"/>
      <c r="U605" s="852" t="n"/>
      <c r="V605" s="852" t="n"/>
      <c r="W605" s="852" t="n"/>
      <c r="X605" s="852" t="n"/>
      <c r="Y605" s="852" t="n"/>
      <c r="Z605" s="852" t="n"/>
      <c r="AA605" s="852" t="n"/>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c r="CL605" s="59" t="n"/>
      <c r="CM605" s="59" t="n"/>
      <c r="CN605" s="59" t="n"/>
    </row>
    <row r="606" ht="15" customFormat="1" customHeight="1" s="3">
      <c r="A606">
        <f>IF(C606="","",ROW()-2)</f>
        <v/>
      </c>
      <c r="B606" s="852" t="n"/>
      <c r="C606" s="852" t="n"/>
      <c r="D606">
        <f>IF(C606="TOH","Type 1",IF(C606="POH","Type 2",IF(OR(C606="LTO",C606="TOH-LC",C606="TOH - LC"),"Type 3",IF(C606="Flourish","Type 4","Type 1"))))</f>
        <v/>
      </c>
      <c r="E606" s="852" t="n"/>
      <c r="F606" s="852" t="n"/>
      <c r="G606" s="852" t="n"/>
      <c r="H606" s="888" t="n"/>
      <c r="I606" s="889" t="n"/>
      <c r="J606" s="888" t="n"/>
      <c r="K606">
        <f>SUM(H606:J606)</f>
        <v/>
      </c>
      <c r="L606" s="852" t="n"/>
      <c r="M606" s="852" t="n"/>
      <c r="N606" s="852" t="n"/>
      <c r="O606" s="852" t="n"/>
      <c r="P606" s="852" t="n"/>
      <c r="Q606" s="852" t="n"/>
      <c r="R606" s="852" t="n"/>
      <c r="S606" s="852" t="n"/>
      <c r="T606" s="852" t="n"/>
      <c r="U606" s="852" t="n"/>
      <c r="V606" s="852" t="n"/>
      <c r="W606" s="852" t="n"/>
      <c r="X606" s="852" t="n"/>
      <c r="Y606" s="852" t="n"/>
      <c r="Z606" s="852" t="n"/>
      <c r="AA606" s="852" t="n"/>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c r="CL606" s="59" t="n"/>
      <c r="CM606" s="59" t="n"/>
      <c r="CN606" s="59" t="n"/>
    </row>
    <row r="607" ht="15" customFormat="1" customHeight="1" s="3">
      <c r="A607">
        <f>IF(C607="","",ROW()-2)</f>
        <v/>
      </c>
      <c r="B607" s="852" t="n"/>
      <c r="C607" s="852" t="n"/>
      <c r="D607">
        <f>IF(C607="TOH","Type 1",IF(C607="POH","Type 2",IF(OR(C607="LTO",C607="TOH-LC",C607="TOH - LC"),"Type 3",IF(C607="Flourish","Type 4","Type 1"))))</f>
        <v/>
      </c>
      <c r="E607" s="852" t="n"/>
      <c r="F607" s="852" t="n"/>
      <c r="G607" s="852" t="n"/>
      <c r="H607" s="888" t="n"/>
      <c r="I607" s="889" t="n"/>
      <c r="J607" s="888" t="n"/>
      <c r="K607">
        <f>SUM(H607:J607)</f>
        <v/>
      </c>
      <c r="L607" s="852" t="n"/>
      <c r="M607" s="852" t="n"/>
      <c r="N607" s="852" t="n"/>
      <c r="O607" s="852" t="n"/>
      <c r="P607" s="852" t="n"/>
      <c r="Q607" s="852" t="n"/>
      <c r="R607" s="852" t="n"/>
      <c r="S607" s="852" t="n"/>
      <c r="T607" s="852" t="n"/>
      <c r="U607" s="852" t="n"/>
      <c r="V607" s="852" t="n"/>
      <c r="W607" s="852" t="n"/>
      <c r="X607" s="852" t="n"/>
      <c r="Y607" s="852" t="n"/>
      <c r="Z607" s="852" t="n"/>
      <c r="AA607" s="852" t="n"/>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c r="CL607" s="59" t="n"/>
      <c r="CM607" s="59" t="n"/>
      <c r="CN607" s="59" t="n"/>
    </row>
    <row r="608" ht="15" customFormat="1" customHeight="1" s="3">
      <c r="A608">
        <f>IF(C608="","",ROW()-2)</f>
        <v/>
      </c>
      <c r="B608" s="852" t="n"/>
      <c r="C608" s="852" t="n"/>
      <c r="D608">
        <f>IF(C608="TOH","Type 1",IF(C608="POH","Type 2",IF(OR(C608="LTO",C608="TOH-LC",C608="TOH - LC"),"Type 3",IF(C608="Flourish","Type 4","Type 1"))))</f>
        <v/>
      </c>
      <c r="E608" s="852" t="n"/>
      <c r="F608" s="852" t="n"/>
      <c r="G608" s="852" t="n"/>
      <c r="H608" s="888" t="n"/>
      <c r="I608" s="889" t="n"/>
      <c r="J608" s="888" t="n"/>
      <c r="K608">
        <f>SUM(H608:J608)</f>
        <v/>
      </c>
      <c r="L608" s="852" t="n"/>
      <c r="M608" s="852" t="n"/>
      <c r="N608" s="852" t="n"/>
      <c r="O608" s="852" t="n"/>
      <c r="P608" s="852" t="n"/>
      <c r="Q608" s="852" t="n"/>
      <c r="R608" s="852" t="n"/>
      <c r="S608" s="852" t="n"/>
      <c r="T608" s="852" t="n"/>
      <c r="U608" s="852" t="n"/>
      <c r="V608" s="852" t="n"/>
      <c r="W608" s="852" t="n"/>
      <c r="X608" s="852" t="n"/>
      <c r="Y608" s="852" t="n"/>
      <c r="Z608" s="852" t="n"/>
      <c r="AA608" s="852" t="n"/>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c r="CL608" s="59" t="n"/>
      <c r="CM608" s="59" t="n"/>
      <c r="CN608" s="59" t="n"/>
    </row>
    <row r="609" ht="15" customFormat="1" customHeight="1" s="3">
      <c r="A609">
        <f>IF(C609="","",ROW()-2)</f>
        <v/>
      </c>
      <c r="B609" s="852" t="n"/>
      <c r="C609" s="852" t="n"/>
      <c r="D609">
        <f>IF(C609="TOH","Type 1",IF(C609="POH","Type 2",IF(OR(C609="LTO",C609="TOH-LC",C609="TOH - LC"),"Type 3",IF(C609="Flourish","Type 4","Type 1"))))</f>
        <v/>
      </c>
      <c r="E609" s="852" t="n"/>
      <c r="F609" s="852" t="n"/>
      <c r="G609" s="852" t="n"/>
      <c r="H609" s="888" t="n"/>
      <c r="I609" s="889" t="n"/>
      <c r="J609" s="888" t="n"/>
      <c r="K609">
        <f>SUM(H609:J609)</f>
        <v/>
      </c>
      <c r="L609" s="852" t="n"/>
      <c r="M609" s="852" t="n"/>
      <c r="N609" s="852" t="n"/>
      <c r="O609" s="852" t="n"/>
      <c r="P609" s="852" t="n"/>
      <c r="Q609" s="852" t="n"/>
      <c r="R609" s="852" t="n"/>
      <c r="S609" s="852" t="n"/>
      <c r="T609" s="852" t="n"/>
      <c r="U609" s="852" t="n"/>
      <c r="V609" s="852" t="n"/>
      <c r="W609" s="852" t="n"/>
      <c r="X609" s="852" t="n"/>
      <c r="Y609" s="852" t="n"/>
      <c r="Z609" s="852" t="n"/>
      <c r="AA609" s="852" t="n"/>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c r="CL609" s="59" t="n"/>
      <c r="CM609" s="59" t="n"/>
      <c r="CN609" s="59" t="n"/>
    </row>
    <row r="610" ht="15" customFormat="1" customHeight="1" s="3">
      <c r="A610">
        <f>IF(C610="","",ROW()-2)</f>
        <v/>
      </c>
      <c r="B610" s="852" t="n"/>
      <c r="C610" s="852" t="n"/>
      <c r="D610">
        <f>IF(C610="TOH","Type 1",IF(C610="POH","Type 2",IF(OR(C610="LTO",C610="TOH-LC",C610="TOH - LC"),"Type 3",IF(C610="Flourish","Type 4","Type 1"))))</f>
        <v/>
      </c>
      <c r="E610" s="852" t="n"/>
      <c r="F610" s="852" t="n"/>
      <c r="G610" s="852" t="n"/>
      <c r="H610" s="888" t="n"/>
      <c r="I610" s="889" t="n"/>
      <c r="J610" s="888" t="n"/>
      <c r="K610">
        <f>SUM(H610:J610)</f>
        <v/>
      </c>
      <c r="L610" s="852" t="n"/>
      <c r="M610" s="852" t="n"/>
      <c r="N610" s="852" t="n"/>
      <c r="O610" s="852" t="n"/>
      <c r="P610" s="852" t="n"/>
      <c r="Q610" s="852" t="n"/>
      <c r="R610" s="852" t="n"/>
      <c r="S610" s="852" t="n"/>
      <c r="T610" s="852" t="n"/>
      <c r="U610" s="852" t="n"/>
      <c r="V610" s="852" t="n"/>
      <c r="W610" s="852" t="n"/>
      <c r="X610" s="852" t="n"/>
      <c r="Y610" s="852" t="n"/>
      <c r="Z610" s="852" t="n"/>
      <c r="AA610" s="852" t="n"/>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c r="CL610" s="59" t="n"/>
      <c r="CM610" s="59" t="n"/>
      <c r="CN610" s="59" t="n"/>
    </row>
    <row r="611" ht="15" customFormat="1" customHeight="1" s="3">
      <c r="A611">
        <f>IF(C611="","",ROW()-2)</f>
        <v/>
      </c>
      <c r="B611" s="852" t="n"/>
      <c r="C611" s="852" t="n"/>
      <c r="D611">
        <f>IF(C611="TOH","Type 1",IF(C611="POH","Type 2",IF(OR(C611="LTO",C611="TOH-LC",C611="TOH - LC"),"Type 3",IF(C611="Flourish","Type 4","Type 1"))))</f>
        <v/>
      </c>
      <c r="E611" s="852" t="n"/>
      <c r="F611" s="852" t="n"/>
      <c r="G611" s="852" t="n"/>
      <c r="H611" s="888" t="n"/>
      <c r="I611" s="889" t="n"/>
      <c r="J611" s="888" t="n"/>
      <c r="K611">
        <f>SUM(H611:J611)</f>
        <v/>
      </c>
      <c r="L611" s="852" t="n"/>
      <c r="M611" s="852" t="n"/>
      <c r="N611" s="852" t="n"/>
      <c r="O611" s="852" t="n"/>
      <c r="P611" s="852" t="n"/>
      <c r="Q611" s="852" t="n"/>
      <c r="R611" s="852" t="n"/>
      <c r="S611" s="852" t="n"/>
      <c r="T611" s="852" t="n"/>
      <c r="U611" s="852" t="n"/>
      <c r="V611" s="852" t="n"/>
      <c r="W611" s="852" t="n"/>
      <c r="X611" s="852" t="n"/>
      <c r="Y611" s="852" t="n"/>
      <c r="Z611" s="852" t="n"/>
      <c r="AA611" s="852" t="n"/>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c r="CL611" s="59" t="n"/>
      <c r="CM611" s="59" t="n"/>
      <c r="CN611" s="59" t="n"/>
    </row>
    <row r="612" ht="15" customFormat="1" customHeight="1" s="3">
      <c r="A612">
        <f>IF(C612="","",ROW()-2)</f>
        <v/>
      </c>
      <c r="B612" s="852" t="n"/>
      <c r="C612" s="852" t="n"/>
      <c r="D612">
        <f>IF(C612="TOH","Type 1",IF(C612="POH","Type 2",IF(OR(C612="LTO",C612="TOH-LC",C612="TOH - LC"),"Type 3",IF(C612="Flourish","Type 4","Type 1"))))</f>
        <v/>
      </c>
      <c r="E612" s="852" t="n"/>
      <c r="F612" s="852" t="n"/>
      <c r="G612" s="852" t="n"/>
      <c r="H612" s="888" t="n"/>
      <c r="I612" s="889" t="n"/>
      <c r="J612" s="888" t="n"/>
      <c r="K612">
        <f>SUM(H612:J612)</f>
        <v/>
      </c>
      <c r="L612" s="852" t="n"/>
      <c r="M612" s="852" t="n"/>
      <c r="N612" s="852" t="n"/>
      <c r="O612" s="852" t="n"/>
      <c r="P612" s="852" t="n"/>
      <c r="Q612" s="852" t="n"/>
      <c r="R612" s="852" t="n"/>
      <c r="S612" s="852" t="n"/>
      <c r="T612" s="852" t="n"/>
      <c r="U612" s="852" t="n"/>
      <c r="V612" s="852" t="n"/>
      <c r="W612" s="852" t="n"/>
      <c r="X612" s="852" t="n"/>
      <c r="Y612" s="852" t="n"/>
      <c r="Z612" s="852" t="n"/>
      <c r="AA612" s="852" t="n"/>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c r="CL612" s="59" t="n"/>
      <c r="CM612" s="59" t="n"/>
      <c r="CN612" s="59" t="n"/>
    </row>
    <row r="613" ht="15" customFormat="1" customHeight="1" s="3">
      <c r="A613">
        <f>IF(C613="","",ROW()-2)</f>
        <v/>
      </c>
      <c r="B613" s="852" t="n"/>
      <c r="C613" s="852" t="n"/>
      <c r="D613">
        <f>IF(C613="TOH","Type 1",IF(C613="POH","Type 2",IF(OR(C613="LTO",C613="TOH-LC",C613="TOH - LC"),"Type 3",IF(C613="Flourish","Type 4","Type 1"))))</f>
        <v/>
      </c>
      <c r="E613" s="852" t="n"/>
      <c r="F613" s="852" t="n"/>
      <c r="G613" s="852" t="n"/>
      <c r="H613" s="888" t="n"/>
      <c r="I613" s="889" t="n"/>
      <c r="J613" s="888" t="n"/>
      <c r="K613">
        <f>SUM(H613:J613)</f>
        <v/>
      </c>
      <c r="L613" s="852" t="n"/>
      <c r="M613" s="852" t="n"/>
      <c r="N613" s="852" t="n"/>
      <c r="O613" s="852" t="n"/>
      <c r="P613" s="852" t="n"/>
      <c r="Q613" s="852" t="n"/>
      <c r="R613" s="852" t="n"/>
      <c r="S613" s="852" t="n"/>
      <c r="T613" s="852" t="n"/>
      <c r="U613" s="852" t="n"/>
      <c r="V613" s="852" t="n"/>
      <c r="W613" s="852" t="n"/>
      <c r="X613" s="852" t="n"/>
      <c r="Y613" s="852" t="n"/>
      <c r="Z613" s="852" t="n"/>
      <c r="AA613" s="852" t="n"/>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c r="CL613" s="59" t="n"/>
      <c r="CM613" s="59" t="n"/>
      <c r="CN613" s="59" t="n"/>
    </row>
    <row r="614" ht="15" customFormat="1" customHeight="1" s="3">
      <c r="A614">
        <f>IF(C614="","",ROW()-2)</f>
        <v/>
      </c>
      <c r="B614" s="852" t="n"/>
      <c r="C614" s="852" t="n"/>
      <c r="D614">
        <f>IF(C614="TOH","Type 1",IF(C614="POH","Type 2",IF(OR(C614="LTO",C614="TOH-LC",C614="TOH - LC"),"Type 3",IF(C614="Flourish","Type 4","Type 1"))))</f>
        <v/>
      </c>
      <c r="E614" s="852" t="n"/>
      <c r="F614" s="852" t="n"/>
      <c r="G614" s="852" t="n"/>
      <c r="H614" s="888" t="n"/>
      <c r="I614" s="889" t="n"/>
      <c r="J614" s="888" t="n"/>
      <c r="K614">
        <f>SUM(H614:J614)</f>
        <v/>
      </c>
      <c r="L614" s="852" t="n"/>
      <c r="M614" s="852" t="n"/>
      <c r="N614" s="852" t="n"/>
      <c r="O614" s="852" t="n"/>
      <c r="P614" s="852" t="n"/>
      <c r="Q614" s="852" t="n"/>
      <c r="R614" s="852" t="n"/>
      <c r="S614" s="852" t="n"/>
      <c r="T614" s="852" t="n"/>
      <c r="U614" s="852" t="n"/>
      <c r="V614" s="852" t="n"/>
      <c r="W614" s="852" t="n"/>
      <c r="X614" s="852" t="n"/>
      <c r="Y614" s="852" t="n"/>
      <c r="Z614" s="852" t="n"/>
      <c r="AA614" s="852" t="n"/>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c r="CL614" s="59" t="n"/>
      <c r="CM614" s="59" t="n"/>
      <c r="CN614" s="59" t="n"/>
    </row>
    <row r="615" ht="15" customFormat="1" customHeight="1" s="3">
      <c r="A615">
        <f>IF(C615="","",ROW()-2)</f>
        <v/>
      </c>
      <c r="B615" s="852" t="n"/>
      <c r="C615" s="852" t="n"/>
      <c r="D615">
        <f>IF(C615="TOH","Type 1",IF(C615="POH","Type 2",IF(OR(C615="LTO",C615="TOH-LC",C615="TOH - LC"),"Type 3",IF(C615="Flourish","Type 4","Type 1"))))</f>
        <v/>
      </c>
      <c r="E615" s="852" t="n"/>
      <c r="F615" s="852" t="n"/>
      <c r="G615" s="852" t="n"/>
      <c r="H615" s="888" t="n"/>
      <c r="I615" s="889" t="n"/>
      <c r="J615" s="888" t="n"/>
      <c r="K615">
        <f>SUM(H615:J615)</f>
        <v/>
      </c>
      <c r="L615" s="852" t="n"/>
      <c r="M615" s="852" t="n"/>
      <c r="N615" s="852" t="n"/>
      <c r="O615" s="852" t="n"/>
      <c r="P615" s="852" t="n"/>
      <c r="Q615" s="852" t="n"/>
      <c r="R615" s="852" t="n"/>
      <c r="S615" s="852" t="n"/>
      <c r="T615" s="852" t="n"/>
      <c r="U615" s="852" t="n"/>
      <c r="V615" s="852" t="n"/>
      <c r="W615" s="852" t="n"/>
      <c r="X615" s="852" t="n"/>
      <c r="Y615" s="852" t="n"/>
      <c r="Z615" s="852" t="n"/>
      <c r="AA615" s="852" t="n"/>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c r="CL615" s="59" t="n"/>
      <c r="CM615" s="59" t="n"/>
      <c r="CN615" s="59" t="n"/>
    </row>
    <row r="616" ht="15" customFormat="1" customHeight="1" s="3">
      <c r="A616">
        <f>IF(C616="","",ROW()-2)</f>
        <v/>
      </c>
      <c r="B616" s="852" t="n"/>
      <c r="C616" s="852" t="n"/>
      <c r="D616">
        <f>IF(C616="TOH","Type 1",IF(C616="POH","Type 2",IF(OR(C616="LTO",C616="TOH-LC",C616="TOH - LC"),"Type 3",IF(C616="Flourish","Type 4","Type 1"))))</f>
        <v/>
      </c>
      <c r="E616" s="852" t="n"/>
      <c r="F616" s="852" t="n"/>
      <c r="G616" s="852" t="n"/>
      <c r="H616" s="888" t="n"/>
      <c r="I616" s="889" t="n"/>
      <c r="J616" s="888" t="n"/>
      <c r="K616">
        <f>SUM(H616:J616)</f>
        <v/>
      </c>
      <c r="L616" s="852" t="n"/>
      <c r="M616" s="852" t="n"/>
      <c r="N616" s="852" t="n"/>
      <c r="O616" s="852" t="n"/>
      <c r="P616" s="852" t="n"/>
      <c r="Q616" s="852" t="n"/>
      <c r="R616" s="852" t="n"/>
      <c r="S616" s="852" t="n"/>
      <c r="T616" s="852" t="n"/>
      <c r="U616" s="852" t="n"/>
      <c r="V616" s="852" t="n"/>
      <c r="W616" s="852" t="n"/>
      <c r="X616" s="852" t="n"/>
      <c r="Y616" s="852" t="n"/>
      <c r="Z616" s="852" t="n"/>
      <c r="AA616" s="852" t="n"/>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c r="CL616" s="59" t="n"/>
      <c r="CM616" s="59" t="n"/>
      <c r="CN616" s="59" t="n"/>
    </row>
    <row r="617" ht="15" customFormat="1" customHeight="1" s="3">
      <c r="A617">
        <f>IF(C617="","",ROW()-2)</f>
        <v/>
      </c>
      <c r="B617" s="852" t="n"/>
      <c r="C617" s="852" t="n"/>
      <c r="D617">
        <f>IF(C617="TOH","Type 1",IF(C617="POH","Type 2",IF(OR(C617="LTO",C617="TOH-LC",C617="TOH - LC"),"Type 3",IF(C617="Flourish","Type 4","Type 1"))))</f>
        <v/>
      </c>
      <c r="E617" s="852" t="n"/>
      <c r="F617" s="852" t="n"/>
      <c r="G617" s="852" t="n"/>
      <c r="H617" s="888" t="n"/>
      <c r="I617" s="889" t="n"/>
      <c r="J617" s="888" t="n"/>
      <c r="K617">
        <f>SUM(H617:J617)</f>
        <v/>
      </c>
      <c r="L617" s="852" t="n"/>
      <c r="M617" s="852" t="n"/>
      <c r="N617" s="852" t="n"/>
      <c r="O617" s="852" t="n"/>
      <c r="P617" s="852" t="n"/>
      <c r="Q617" s="852" t="n"/>
      <c r="R617" s="852" t="n"/>
      <c r="S617" s="852" t="n"/>
      <c r="T617" s="852" t="n"/>
      <c r="U617" s="852" t="n"/>
      <c r="V617" s="852" t="n"/>
      <c r="W617" s="852" t="n"/>
      <c r="X617" s="852" t="n"/>
      <c r="Y617" s="852" t="n"/>
      <c r="Z617" s="852" t="n"/>
      <c r="AA617" s="852" t="n"/>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c r="CL617" s="59" t="n"/>
      <c r="CM617" s="59" t="n"/>
      <c r="CN617" s="59" t="n"/>
    </row>
    <row r="618" ht="15" customFormat="1" customHeight="1" s="3">
      <c r="A618">
        <f>IF(C618="","",ROW()-2)</f>
        <v/>
      </c>
      <c r="B618" s="852" t="n"/>
      <c r="C618" s="852" t="n"/>
      <c r="D618">
        <f>IF(C618="TOH","Type 1",IF(C618="POH","Type 2",IF(OR(C618="LTO",C618="TOH-LC",C618="TOH - LC"),"Type 3",IF(C618="Flourish","Type 4","Type 1"))))</f>
        <v/>
      </c>
      <c r="E618" s="852" t="n"/>
      <c r="F618" s="852" t="n"/>
      <c r="G618" s="852" t="n"/>
      <c r="H618" s="888" t="n"/>
      <c r="I618" s="889" t="n"/>
      <c r="J618" s="888" t="n"/>
      <c r="K618">
        <f>SUM(H618:J618)</f>
        <v/>
      </c>
      <c r="L618" s="852" t="n"/>
      <c r="M618" s="852" t="n"/>
      <c r="N618" s="852" t="n"/>
      <c r="O618" s="852" t="n"/>
      <c r="P618" s="852" t="n"/>
      <c r="Q618" s="852" t="n"/>
      <c r="R618" s="852" t="n"/>
      <c r="S618" s="852" t="n"/>
      <c r="T618" s="852" t="n"/>
      <c r="U618" s="852" t="n"/>
      <c r="V618" s="852" t="n"/>
      <c r="W618" s="852" t="n"/>
      <c r="X618" s="852" t="n"/>
      <c r="Y618" s="852" t="n"/>
      <c r="Z618" s="852" t="n"/>
      <c r="AA618" s="852" t="n"/>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c r="CL618" s="59" t="n"/>
      <c r="CM618" s="59" t="n"/>
      <c r="CN618" s="59" t="n"/>
    </row>
    <row r="619" ht="15" customFormat="1" customHeight="1" s="3">
      <c r="A619">
        <f>IF(C619="","",ROW()-2)</f>
        <v/>
      </c>
      <c r="B619" s="852" t="n"/>
      <c r="C619" s="852" t="n"/>
      <c r="D619">
        <f>IF(C619="TOH","Type 1",IF(C619="POH","Type 2",IF(OR(C619="LTO",C619="TOH-LC",C619="TOH - LC"),"Type 3",IF(C619="Flourish","Type 4","Type 1"))))</f>
        <v/>
      </c>
      <c r="E619" s="852" t="n"/>
      <c r="F619" s="852" t="n"/>
      <c r="G619" s="852" t="n"/>
      <c r="H619" s="888" t="n"/>
      <c r="I619" s="889" t="n"/>
      <c r="J619" s="888" t="n"/>
      <c r="K619">
        <f>SUM(H619:J619)</f>
        <v/>
      </c>
      <c r="L619" s="852" t="n"/>
      <c r="M619" s="852" t="n"/>
      <c r="N619" s="852" t="n"/>
      <c r="O619" s="852" t="n"/>
      <c r="P619" s="852" t="n"/>
      <c r="Q619" s="852" t="n"/>
      <c r="R619" s="852" t="n"/>
      <c r="S619" s="852" t="n"/>
      <c r="T619" s="852" t="n"/>
      <c r="U619" s="852" t="n"/>
      <c r="V619" s="852" t="n"/>
      <c r="W619" s="852" t="n"/>
      <c r="X619" s="852" t="n"/>
      <c r="Y619" s="852" t="n"/>
      <c r="Z619" s="852" t="n"/>
      <c r="AA619" s="852" t="n"/>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c r="CL619" s="59" t="n"/>
      <c r="CM619" s="59" t="n"/>
      <c r="CN619" s="59" t="n"/>
    </row>
    <row r="620" ht="15" customFormat="1" customHeight="1" s="3">
      <c r="A620">
        <f>IF(C620="","",ROW()-2)</f>
        <v/>
      </c>
      <c r="B620" s="852" t="n"/>
      <c r="C620" s="852" t="n"/>
      <c r="D620">
        <f>IF(C620="TOH","Type 1",IF(C620="POH","Type 2",IF(OR(C620="LTO",C620="TOH-LC",C620="TOH - LC"),"Type 3",IF(C620="Flourish","Type 4","Type 1"))))</f>
        <v/>
      </c>
      <c r="E620" s="852" t="n"/>
      <c r="F620" s="852" t="n"/>
      <c r="G620" s="852" t="n"/>
      <c r="H620" s="888" t="n"/>
      <c r="I620" s="889" t="n"/>
      <c r="J620" s="888" t="n"/>
      <c r="K620">
        <f>SUM(H620:J620)</f>
        <v/>
      </c>
      <c r="L620" s="852" t="n"/>
      <c r="M620" s="852" t="n"/>
      <c r="N620" s="852" t="n"/>
      <c r="O620" s="852" t="n"/>
      <c r="P620" s="852" t="n"/>
      <c r="Q620" s="852" t="n"/>
      <c r="R620" s="852" t="n"/>
      <c r="S620" s="852" t="n"/>
      <c r="T620" s="852" t="n"/>
      <c r="U620" s="852" t="n"/>
      <c r="V620" s="852" t="n"/>
      <c r="W620" s="852" t="n"/>
      <c r="X620" s="852" t="n"/>
      <c r="Y620" s="852" t="n"/>
      <c r="Z620" s="852" t="n"/>
      <c r="AA620" s="852" t="n"/>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c r="CL620" s="59" t="n"/>
      <c r="CM620" s="59" t="n"/>
      <c r="CN620" s="59" t="n"/>
    </row>
    <row r="621" ht="15" customFormat="1" customHeight="1" s="3">
      <c r="A621">
        <f>IF(C621="","",ROW()-2)</f>
        <v/>
      </c>
      <c r="B621" s="852" t="n"/>
      <c r="C621" s="852" t="n"/>
      <c r="D621">
        <f>IF(C621="TOH","Type 1",IF(C621="POH","Type 2",IF(OR(C621="LTO",C621="TOH-LC",C621="TOH - LC"),"Type 3",IF(C621="Flourish","Type 4","Type 1"))))</f>
        <v/>
      </c>
      <c r="E621" s="852" t="n"/>
      <c r="F621" s="852" t="n"/>
      <c r="G621" s="852" t="n"/>
      <c r="H621" s="888" t="n"/>
      <c r="I621" s="889" t="n"/>
      <c r="J621" s="888" t="n"/>
      <c r="K621">
        <f>SUM(H621:J621)</f>
        <v/>
      </c>
      <c r="L621" s="852" t="n"/>
      <c r="M621" s="852" t="n"/>
      <c r="N621" s="852" t="n"/>
      <c r="O621" s="852" t="n"/>
      <c r="P621" s="852" t="n"/>
      <c r="Q621" s="852" t="n"/>
      <c r="R621" s="852" t="n"/>
      <c r="S621" s="852" t="n"/>
      <c r="T621" s="852" t="n"/>
      <c r="U621" s="852" t="n"/>
      <c r="V621" s="852" t="n"/>
      <c r="W621" s="852" t="n"/>
      <c r="X621" s="852" t="n"/>
      <c r="Y621" s="852" t="n"/>
      <c r="Z621" s="852" t="n"/>
      <c r="AA621" s="852" t="n"/>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c r="CL621" s="59" t="n"/>
      <c r="CM621" s="59" t="n"/>
      <c r="CN621" s="59" t="n"/>
    </row>
    <row r="622" ht="15" customFormat="1" customHeight="1" s="3">
      <c r="A622">
        <f>IF(C622="","",ROW()-2)</f>
        <v/>
      </c>
      <c r="B622" s="852" t="n"/>
      <c r="C622" s="852" t="n"/>
      <c r="D622">
        <f>IF(C622="TOH","Type 1",IF(C622="POH","Type 2",IF(OR(C622="LTO",C622="TOH-LC",C622="TOH - LC"),"Type 3",IF(C622="Flourish","Type 4","Type 1"))))</f>
        <v/>
      </c>
      <c r="E622" s="852" t="n"/>
      <c r="F622" s="852" t="n"/>
      <c r="G622" s="852" t="n"/>
      <c r="H622" s="888" t="n"/>
      <c r="I622" s="889" t="n"/>
      <c r="J622" s="888" t="n"/>
      <c r="K622">
        <f>SUM(H622:J622)</f>
        <v/>
      </c>
      <c r="L622" s="852" t="n"/>
      <c r="M622" s="852" t="n"/>
      <c r="N622" s="852" t="n"/>
      <c r="O622" s="852" t="n"/>
      <c r="P622" s="852" t="n"/>
      <c r="Q622" s="852" t="n"/>
      <c r="R622" s="852" t="n"/>
      <c r="S622" s="852" t="n"/>
      <c r="T622" s="852" t="n"/>
      <c r="U622" s="852" t="n"/>
      <c r="V622" s="852" t="n"/>
      <c r="W622" s="852" t="n"/>
      <c r="X622" s="852" t="n"/>
      <c r="Y622" s="852" t="n"/>
      <c r="Z622" s="852" t="n"/>
      <c r="AA622" s="852" t="n"/>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c r="CL622" s="59" t="n"/>
      <c r="CM622" s="59" t="n"/>
      <c r="CN622" s="59" t="n"/>
    </row>
    <row r="623" ht="15" customFormat="1" customHeight="1" s="3">
      <c r="A623">
        <f>IF(C623="","",ROW()-2)</f>
        <v/>
      </c>
      <c r="B623" s="852" t="n"/>
      <c r="C623" s="852" t="n"/>
      <c r="D623">
        <f>IF(C623="TOH","Type 1",IF(C623="POH","Type 2",IF(OR(C623="LTO",C623="TOH-LC",C623="TOH - LC"),"Type 3",IF(C623="Flourish","Type 4","Type 1"))))</f>
        <v/>
      </c>
      <c r="E623" s="852" t="n"/>
      <c r="F623" s="852" t="n"/>
      <c r="G623" s="852" t="n"/>
      <c r="H623" s="888" t="n"/>
      <c r="I623" s="889" t="n"/>
      <c r="J623" s="888" t="n"/>
      <c r="K623">
        <f>SUM(H623:J623)</f>
        <v/>
      </c>
      <c r="L623" s="852" t="n"/>
      <c r="M623" s="852" t="n"/>
      <c r="N623" s="852" t="n"/>
      <c r="O623" s="852" t="n"/>
      <c r="P623" s="852" t="n"/>
      <c r="Q623" s="852" t="n"/>
      <c r="R623" s="852" t="n"/>
      <c r="S623" s="852" t="n"/>
      <c r="T623" s="852" t="n"/>
      <c r="U623" s="852" t="n"/>
      <c r="V623" s="852" t="n"/>
      <c r="W623" s="852" t="n"/>
      <c r="X623" s="852" t="n"/>
      <c r="Y623" s="852" t="n"/>
      <c r="Z623" s="852" t="n"/>
      <c r="AA623" s="852" t="n"/>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c r="CL623" s="59" t="n"/>
      <c r="CM623" s="59" t="n"/>
      <c r="CN623" s="59" t="n"/>
    </row>
    <row r="624" ht="15" customFormat="1" customHeight="1" s="3">
      <c r="A624">
        <f>IF(C624="","",ROW()-2)</f>
        <v/>
      </c>
      <c r="B624" s="852" t="n"/>
      <c r="C624" s="852" t="n"/>
      <c r="D624">
        <f>IF(C624="TOH","Type 1",IF(C624="POH","Type 2",IF(OR(C624="LTO",C624="TOH-LC",C624="TOH - LC"),"Type 3",IF(C624="Flourish","Type 4","Type 1"))))</f>
        <v/>
      </c>
      <c r="E624" s="852" t="n"/>
      <c r="F624" s="852" t="n"/>
      <c r="G624" s="852" t="n"/>
      <c r="H624" s="888" t="n"/>
      <c r="I624" s="889" t="n"/>
      <c r="J624" s="888" t="n"/>
      <c r="K624">
        <f>SUM(H624:J624)</f>
        <v/>
      </c>
      <c r="L624" s="852" t="n"/>
      <c r="M624" s="852" t="n"/>
      <c r="N624" s="852" t="n"/>
      <c r="O624" s="852" t="n"/>
      <c r="P624" s="852" t="n"/>
      <c r="Q624" s="852" t="n"/>
      <c r="R624" s="852" t="n"/>
      <c r="S624" s="852" t="n"/>
      <c r="T624" s="852" t="n"/>
      <c r="U624" s="852" t="n"/>
      <c r="V624" s="852" t="n"/>
      <c r="W624" s="852" t="n"/>
      <c r="X624" s="852" t="n"/>
      <c r="Y624" s="852" t="n"/>
      <c r="Z624" s="852" t="n"/>
      <c r="AA624" s="852" t="n"/>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c r="CL624" s="59" t="n"/>
      <c r="CM624" s="59" t="n"/>
      <c r="CN624" s="59" t="n"/>
    </row>
    <row r="625" ht="15" customFormat="1" customHeight="1" s="3">
      <c r="A625">
        <f>IF(C625="","",ROW()-2)</f>
        <v/>
      </c>
      <c r="B625" s="852" t="n"/>
      <c r="C625" s="852" t="n"/>
      <c r="D625">
        <f>IF(C625="TOH","Type 1",IF(C625="POH","Type 2",IF(OR(C625="LTO",C625="TOH-LC",C625="TOH - LC"),"Type 3",IF(C625="Flourish","Type 4","Type 1"))))</f>
        <v/>
      </c>
      <c r="E625" s="852" t="n"/>
      <c r="F625" s="852" t="n"/>
      <c r="G625" s="852" t="n"/>
      <c r="H625" s="888" t="n"/>
      <c r="I625" s="889" t="n"/>
      <c r="J625" s="888" t="n"/>
      <c r="K625">
        <f>SUM(H625:J625)</f>
        <v/>
      </c>
      <c r="L625" s="852" t="n"/>
      <c r="M625" s="852" t="n"/>
      <c r="N625" s="852" t="n"/>
      <c r="O625" s="852" t="n"/>
      <c r="P625" s="852" t="n"/>
      <c r="Q625" s="852" t="n"/>
      <c r="R625" s="852" t="n"/>
      <c r="S625" s="852" t="n"/>
      <c r="T625" s="852" t="n"/>
      <c r="U625" s="852" t="n"/>
      <c r="V625" s="852" t="n"/>
      <c r="W625" s="852" t="n"/>
      <c r="X625" s="852" t="n"/>
      <c r="Y625" s="852" t="n"/>
      <c r="Z625" s="852" t="n"/>
      <c r="AA625" s="852" t="n"/>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c r="CL625" s="59" t="n"/>
      <c r="CM625" s="59" t="n"/>
      <c r="CN625" s="59" t="n"/>
    </row>
    <row r="626" ht="15" customFormat="1" customHeight="1" s="3">
      <c r="A626">
        <f>IF(C626="","",ROW()-2)</f>
        <v/>
      </c>
      <c r="B626" s="852" t="n"/>
      <c r="C626" s="852" t="n"/>
      <c r="D626">
        <f>IF(C626="TOH","Type 1",IF(C626="POH","Type 2",IF(OR(C626="LTO",C626="TOH-LC",C626="TOH - LC"),"Type 3",IF(C626="Flourish","Type 4","Type 1"))))</f>
        <v/>
      </c>
      <c r="E626" s="852" t="n"/>
      <c r="F626" s="852" t="n"/>
      <c r="G626" s="852" t="n"/>
      <c r="H626" s="888" t="n"/>
      <c r="I626" s="889" t="n"/>
      <c r="J626" s="888" t="n"/>
      <c r="K626">
        <f>SUM(H626:J626)</f>
        <v/>
      </c>
      <c r="L626" s="852" t="n"/>
      <c r="M626" s="852" t="n"/>
      <c r="N626" s="852" t="n"/>
      <c r="O626" s="852" t="n"/>
      <c r="P626" s="852" t="n"/>
      <c r="Q626" s="852" t="n"/>
      <c r="R626" s="852" t="n"/>
      <c r="S626" s="852" t="n"/>
      <c r="T626" s="852" t="n"/>
      <c r="U626" s="852" t="n"/>
      <c r="V626" s="852" t="n"/>
      <c r="W626" s="852" t="n"/>
      <c r="X626" s="852" t="n"/>
      <c r="Y626" s="852" t="n"/>
      <c r="Z626" s="852" t="n"/>
      <c r="AA626" s="852" t="n"/>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c r="CL626" s="59" t="n"/>
      <c r="CM626" s="59" t="n"/>
      <c r="CN626" s="59" t="n"/>
    </row>
    <row r="627" ht="15" customFormat="1" customHeight="1" s="3">
      <c r="A627">
        <f>IF(C627="","",ROW()-2)</f>
        <v/>
      </c>
      <c r="B627" s="852" t="n"/>
      <c r="C627" s="852" t="n"/>
      <c r="D627">
        <f>IF(C627="TOH","Type 1",IF(C627="POH","Type 2",IF(OR(C627="LTO",C627="TOH-LC",C627="TOH - LC"),"Type 3",IF(C627="Flourish","Type 4","Type 1"))))</f>
        <v/>
      </c>
      <c r="E627" s="852" t="n"/>
      <c r="F627" s="852" t="n"/>
      <c r="G627" s="852" t="n"/>
      <c r="H627" s="888" t="n"/>
      <c r="I627" s="889" t="n"/>
      <c r="J627" s="888" t="n"/>
      <c r="K627">
        <f>SUM(H627:J627)</f>
        <v/>
      </c>
      <c r="L627" s="852" t="n"/>
      <c r="M627" s="852" t="n"/>
      <c r="N627" s="852" t="n"/>
      <c r="O627" s="852" t="n"/>
      <c r="P627" s="852" t="n"/>
      <c r="Q627" s="852" t="n"/>
      <c r="R627" s="852" t="n"/>
      <c r="S627" s="852" t="n"/>
      <c r="T627" s="852" t="n"/>
      <c r="U627" s="852" t="n"/>
      <c r="V627" s="852" t="n"/>
      <c r="W627" s="852" t="n"/>
      <c r="X627" s="852" t="n"/>
      <c r="Y627" s="852" t="n"/>
      <c r="Z627" s="852" t="n"/>
      <c r="AA627" s="852" t="n"/>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c r="CL627" s="59" t="n"/>
      <c r="CM627" s="59" t="n"/>
      <c r="CN627" s="59" t="n"/>
    </row>
    <row r="628" ht="15" customFormat="1" customHeight="1" s="3">
      <c r="A628">
        <f>IF(C628="","",ROW()-2)</f>
        <v/>
      </c>
      <c r="B628" s="852" t="n"/>
      <c r="C628" s="852" t="n"/>
      <c r="D628">
        <f>IF(C628="TOH","Type 1",IF(C628="POH","Type 2",IF(OR(C628="LTO",C628="TOH-LC",C628="TOH - LC"),"Type 3",IF(C628="Flourish","Type 4","Type 1"))))</f>
        <v/>
      </c>
      <c r="E628" s="852" t="n"/>
      <c r="F628" s="852" t="n"/>
      <c r="G628" s="852" t="n"/>
      <c r="H628" s="888" t="n"/>
      <c r="I628" s="889" t="n"/>
      <c r="J628" s="888" t="n"/>
      <c r="K628">
        <f>SUM(H628:J628)</f>
        <v/>
      </c>
      <c r="L628" s="852" t="n"/>
      <c r="M628" s="852" t="n"/>
      <c r="N628" s="852" t="n"/>
      <c r="O628" s="852" t="n"/>
      <c r="P628" s="852" t="n"/>
      <c r="Q628" s="852" t="n"/>
      <c r="R628" s="852" t="n"/>
      <c r="S628" s="852" t="n"/>
      <c r="T628" s="852" t="n"/>
      <c r="U628" s="852" t="n"/>
      <c r="V628" s="852" t="n"/>
      <c r="W628" s="852" t="n"/>
      <c r="X628" s="852" t="n"/>
      <c r="Y628" s="852" t="n"/>
      <c r="Z628" s="852" t="n"/>
      <c r="AA628" s="852" t="n"/>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c r="CL628" s="59" t="n"/>
      <c r="CM628" s="59" t="n"/>
      <c r="CN628" s="59" t="n"/>
    </row>
    <row r="629" ht="15" customFormat="1" customHeight="1" s="3">
      <c r="A629">
        <f>IF(C629="","",ROW()-2)</f>
        <v/>
      </c>
      <c r="B629" s="852" t="n"/>
      <c r="C629" s="852" t="n"/>
      <c r="D629">
        <f>IF(C629="TOH","Type 1",IF(C629="POH","Type 2",IF(OR(C629="LTO",C629="TOH-LC",C629="TOH - LC"),"Type 3",IF(C629="Flourish","Type 4","Type 1"))))</f>
        <v/>
      </c>
      <c r="E629" s="852" t="n"/>
      <c r="F629" s="852" t="n"/>
      <c r="G629" s="852" t="n"/>
      <c r="H629" s="888" t="n"/>
      <c r="I629" s="889" t="n"/>
      <c r="J629" s="888" t="n"/>
      <c r="K629">
        <f>SUM(H629:J629)</f>
        <v/>
      </c>
      <c r="L629" s="852" t="n"/>
      <c r="M629" s="852" t="n"/>
      <c r="N629" s="852" t="n"/>
      <c r="O629" s="852" t="n"/>
      <c r="P629" s="852" t="n"/>
      <c r="Q629" s="852" t="n"/>
      <c r="R629" s="852" t="n"/>
      <c r="S629" s="852" t="n"/>
      <c r="T629" s="852" t="n"/>
      <c r="U629" s="852" t="n"/>
      <c r="V629" s="852" t="n"/>
      <c r="W629" s="852" t="n"/>
      <c r="X629" s="852" t="n"/>
      <c r="Y629" s="852" t="n"/>
      <c r="Z629" s="852" t="n"/>
      <c r="AA629" s="852" t="n"/>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c r="CL629" s="59" t="n"/>
      <c r="CM629" s="59" t="n"/>
      <c r="CN629" s="59" t="n"/>
    </row>
    <row r="630" ht="15" customFormat="1" customHeight="1" s="3">
      <c r="A630">
        <f>IF(C630="","",ROW()-2)</f>
        <v/>
      </c>
      <c r="B630" s="852" t="n"/>
      <c r="C630" s="852" t="n"/>
      <c r="D630">
        <f>IF(C630="TOH","Type 1",IF(C630="POH","Type 2",IF(OR(C630="LTO",C630="TOH-LC",C630="TOH - LC"),"Type 3",IF(C630="Flourish","Type 4","Type 1"))))</f>
        <v/>
      </c>
      <c r="E630" s="852" t="n"/>
      <c r="F630" s="852" t="n"/>
      <c r="G630" s="852" t="n"/>
      <c r="H630" s="888" t="n"/>
      <c r="I630" s="889" t="n"/>
      <c r="J630" s="888" t="n"/>
      <c r="K630">
        <f>SUM(H630:J630)</f>
        <v/>
      </c>
      <c r="L630" s="852" t="n"/>
      <c r="M630" s="852" t="n"/>
      <c r="N630" s="852" t="n"/>
      <c r="O630" s="852" t="n"/>
      <c r="P630" s="852" t="n"/>
      <c r="Q630" s="852" t="n"/>
      <c r="R630" s="852" t="n"/>
      <c r="S630" s="852" t="n"/>
      <c r="T630" s="852" t="n"/>
      <c r="U630" s="852" t="n"/>
      <c r="V630" s="852" t="n"/>
      <c r="W630" s="852" t="n"/>
      <c r="X630" s="852" t="n"/>
      <c r="Y630" s="852" t="n"/>
      <c r="Z630" s="852" t="n"/>
      <c r="AA630" s="852" t="n"/>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c r="CL630" s="59" t="n"/>
      <c r="CM630" s="59" t="n"/>
      <c r="CN630" s="59" t="n"/>
    </row>
    <row r="631" ht="15" customFormat="1" customHeight="1" s="3">
      <c r="A631">
        <f>IF(C631="","",ROW()-2)</f>
        <v/>
      </c>
      <c r="B631" s="852" t="n"/>
      <c r="C631" s="852" t="n"/>
      <c r="D631">
        <f>IF(C631="TOH","Type 1",IF(C631="POH","Type 2",IF(OR(C631="LTO",C631="TOH-LC",C631="TOH - LC"),"Type 3",IF(C631="Flourish","Type 4","Type 1"))))</f>
        <v/>
      </c>
      <c r="E631" s="852" t="n"/>
      <c r="F631" s="852" t="n"/>
      <c r="G631" s="852" t="n"/>
      <c r="H631" s="888" t="n"/>
      <c r="I631" s="889" t="n"/>
      <c r="J631" s="888" t="n"/>
      <c r="K631">
        <f>SUM(H631:J631)</f>
        <v/>
      </c>
      <c r="L631" s="852" t="n"/>
      <c r="M631" s="852" t="n"/>
      <c r="N631" s="852" t="n"/>
      <c r="O631" s="852" t="n"/>
      <c r="P631" s="852" t="n"/>
      <c r="Q631" s="852" t="n"/>
      <c r="R631" s="852" t="n"/>
      <c r="S631" s="852" t="n"/>
      <c r="T631" s="852" t="n"/>
      <c r="U631" s="852" t="n"/>
      <c r="V631" s="852" t="n"/>
      <c r="W631" s="852" t="n"/>
      <c r="X631" s="852" t="n"/>
      <c r="Y631" s="852" t="n"/>
      <c r="Z631" s="852" t="n"/>
      <c r="AA631" s="852" t="n"/>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c r="CL631" s="59" t="n"/>
      <c r="CM631" s="59" t="n"/>
      <c r="CN631" s="59" t="n"/>
    </row>
    <row r="632" ht="15" customFormat="1" customHeight="1" s="3">
      <c r="A632">
        <f>IF(C632="","",ROW()-2)</f>
        <v/>
      </c>
      <c r="B632" s="852" t="n"/>
      <c r="C632" s="852" t="n"/>
      <c r="D632">
        <f>IF(C632="TOH","Type 1",IF(C632="POH","Type 2",IF(OR(C632="LTO",C632="TOH-LC",C632="TOH - LC"),"Type 3",IF(C632="Flourish","Type 4","Type 1"))))</f>
        <v/>
      </c>
      <c r="E632" s="852" t="n"/>
      <c r="F632" s="852" t="n"/>
      <c r="G632" s="852" t="n"/>
      <c r="H632" s="888" t="n"/>
      <c r="I632" s="889" t="n"/>
      <c r="J632" s="888" t="n"/>
      <c r="K632">
        <f>SUM(H632:J632)</f>
        <v/>
      </c>
      <c r="L632" s="852" t="n"/>
      <c r="M632" s="852" t="n"/>
      <c r="N632" s="852" t="n"/>
      <c r="O632" s="852" t="n"/>
      <c r="P632" s="852" t="n"/>
      <c r="Q632" s="852" t="n"/>
      <c r="R632" s="852" t="n"/>
      <c r="S632" s="852" t="n"/>
      <c r="T632" s="852" t="n"/>
      <c r="U632" s="852" t="n"/>
      <c r="V632" s="852" t="n"/>
      <c r="W632" s="852" t="n"/>
      <c r="X632" s="852" t="n"/>
      <c r="Y632" s="852" t="n"/>
      <c r="Z632" s="852" t="n"/>
      <c r="AA632" s="852" t="n"/>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c r="CL632" s="59" t="n"/>
      <c r="CM632" s="59" t="n"/>
      <c r="CN632" s="59" t="n"/>
    </row>
    <row r="633" ht="15" customFormat="1" customHeight="1" s="3">
      <c r="A633">
        <f>IF(C633="","",ROW()-2)</f>
        <v/>
      </c>
      <c r="B633" s="852" t="n"/>
      <c r="C633" s="852" t="n"/>
      <c r="D633">
        <f>IF(C633="TOH","Type 1",IF(C633="POH","Type 2",IF(OR(C633="LTO",C633="TOH-LC",C633="TOH - LC"),"Type 3",IF(C633="Flourish","Type 4","Type 1"))))</f>
        <v/>
      </c>
      <c r="E633" s="852" t="n"/>
      <c r="F633" s="852" t="n"/>
      <c r="G633" s="852" t="n"/>
      <c r="H633" s="888" t="n"/>
      <c r="I633" s="889" t="n"/>
      <c r="J633" s="888" t="n"/>
      <c r="K633">
        <f>SUM(H633:J633)</f>
        <v/>
      </c>
      <c r="L633" s="852" t="n"/>
      <c r="M633" s="852" t="n"/>
      <c r="N633" s="852" t="n"/>
      <c r="O633" s="852" t="n"/>
      <c r="P633" s="852" t="n"/>
      <c r="Q633" s="852" t="n"/>
      <c r="R633" s="852" t="n"/>
      <c r="S633" s="852" t="n"/>
      <c r="T633" s="852" t="n"/>
      <c r="U633" s="852" t="n"/>
      <c r="V633" s="852" t="n"/>
      <c r="W633" s="852" t="n"/>
      <c r="X633" s="852" t="n"/>
      <c r="Y633" s="852" t="n"/>
      <c r="Z633" s="852" t="n"/>
      <c r="AA633" s="852" t="n"/>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c r="CL633" s="59" t="n"/>
      <c r="CM633" s="59" t="n"/>
      <c r="CN633" s="59" t="n"/>
    </row>
    <row r="634" ht="15" customFormat="1" customHeight="1" s="3">
      <c r="A634">
        <f>IF(C634="","",ROW()-2)</f>
        <v/>
      </c>
      <c r="B634" s="852" t="n"/>
      <c r="C634" s="852" t="n"/>
      <c r="D634">
        <f>IF(C634="TOH","Type 1",IF(C634="POH","Type 2",IF(OR(C634="LTO",C634="TOH-LC",C634="TOH - LC"),"Type 3",IF(C634="Flourish","Type 4","Type 1"))))</f>
        <v/>
      </c>
      <c r="E634" s="852" t="n"/>
      <c r="F634" s="852" t="n"/>
      <c r="G634" s="852" t="n"/>
      <c r="H634" s="888" t="n"/>
      <c r="I634" s="889" t="n"/>
      <c r="J634" s="888" t="n"/>
      <c r="K634">
        <f>SUM(H634:J634)</f>
        <v/>
      </c>
      <c r="L634" s="852" t="n"/>
      <c r="M634" s="852" t="n"/>
      <c r="N634" s="852" t="n"/>
      <c r="O634" s="852" t="n"/>
      <c r="P634" s="852" t="n"/>
      <c r="Q634" s="852" t="n"/>
      <c r="R634" s="852" t="n"/>
      <c r="S634" s="852" t="n"/>
      <c r="T634" s="852" t="n"/>
      <c r="U634" s="852" t="n"/>
      <c r="V634" s="852" t="n"/>
      <c r="W634" s="852" t="n"/>
      <c r="X634" s="852" t="n"/>
      <c r="Y634" s="852" t="n"/>
      <c r="Z634" s="852" t="n"/>
      <c r="AA634" s="852" t="n"/>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c r="CL634" s="59" t="n"/>
      <c r="CM634" s="59" t="n"/>
      <c r="CN634" s="59" t="n"/>
    </row>
    <row r="635" ht="15" customFormat="1" customHeight="1" s="3">
      <c r="A635">
        <f>IF(C635="","",ROW()-2)</f>
        <v/>
      </c>
      <c r="B635" s="852" t="n"/>
      <c r="C635" s="852" t="n"/>
      <c r="D635">
        <f>IF(C635="TOH","Type 1",IF(C635="POH","Type 2",IF(OR(C635="LTO",C635="TOH-LC",C635="TOH - LC"),"Type 3",IF(C635="Flourish","Type 4","Type 1"))))</f>
        <v/>
      </c>
      <c r="E635" s="852" t="n"/>
      <c r="F635" s="852" t="n"/>
      <c r="G635" s="852" t="n"/>
      <c r="H635" s="888" t="n"/>
      <c r="I635" s="889" t="n"/>
      <c r="J635" s="888" t="n"/>
      <c r="K635">
        <f>SUM(H635:J635)</f>
        <v/>
      </c>
      <c r="L635" s="852" t="n"/>
      <c r="M635" s="852" t="n"/>
      <c r="N635" s="852" t="n"/>
      <c r="O635" s="852" t="n"/>
      <c r="P635" s="852" t="n"/>
      <c r="Q635" s="852" t="n"/>
      <c r="R635" s="852" t="n"/>
      <c r="S635" s="852" t="n"/>
      <c r="T635" s="852" t="n"/>
      <c r="U635" s="852" t="n"/>
      <c r="V635" s="852" t="n"/>
      <c r="W635" s="852" t="n"/>
      <c r="X635" s="852" t="n"/>
      <c r="Y635" s="852" t="n"/>
      <c r="Z635" s="852" t="n"/>
      <c r="AA635" s="852" t="n"/>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c r="CL635" s="59" t="n"/>
      <c r="CM635" s="59" t="n"/>
      <c r="CN635" s="59" t="n"/>
    </row>
    <row r="636" ht="15" customFormat="1" customHeight="1" s="3">
      <c r="A636">
        <f>IF(C636="","",ROW()-2)</f>
        <v/>
      </c>
      <c r="B636" s="852" t="n"/>
      <c r="C636" s="852" t="n"/>
      <c r="D636">
        <f>IF(C636="TOH","Type 1",IF(C636="POH","Type 2",IF(OR(C636="LTO",C636="TOH-LC",C636="TOH - LC"),"Type 3",IF(C636="Flourish","Type 4","Type 1"))))</f>
        <v/>
      </c>
      <c r="E636" s="852" t="n"/>
      <c r="F636" s="852" t="n"/>
      <c r="G636" s="852" t="n"/>
      <c r="H636" s="888" t="n"/>
      <c r="I636" s="889" t="n"/>
      <c r="J636" s="888" t="n"/>
      <c r="K636">
        <f>SUM(H636:J636)</f>
        <v/>
      </c>
      <c r="L636" s="852" t="n"/>
      <c r="M636" s="852" t="n"/>
      <c r="N636" s="852" t="n"/>
      <c r="O636" s="852" t="n"/>
      <c r="P636" s="852" t="n"/>
      <c r="Q636" s="852" t="n"/>
      <c r="R636" s="852" t="n"/>
      <c r="S636" s="852" t="n"/>
      <c r="T636" s="852" t="n"/>
      <c r="U636" s="852" t="n"/>
      <c r="V636" s="852" t="n"/>
      <c r="W636" s="852" t="n"/>
      <c r="X636" s="852" t="n"/>
      <c r="Y636" s="852" t="n"/>
      <c r="Z636" s="852" t="n"/>
      <c r="AA636" s="852" t="n"/>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c r="CL636" s="59" t="n"/>
      <c r="CM636" s="59" t="n"/>
      <c r="CN636" s="59" t="n"/>
    </row>
    <row r="637" ht="15" customFormat="1" customHeight="1" s="3">
      <c r="A637">
        <f>IF(C637="","",ROW()-2)</f>
        <v/>
      </c>
      <c r="B637" s="852" t="n"/>
      <c r="C637" s="852" t="n"/>
      <c r="D637">
        <f>IF(C637="TOH","Type 1",IF(C637="POH","Type 2",IF(OR(C637="LTO",C637="TOH-LC",C637="TOH - LC"),"Type 3",IF(C637="Flourish","Type 4","Type 1"))))</f>
        <v/>
      </c>
      <c r="E637" s="852" t="n"/>
      <c r="F637" s="852" t="n"/>
      <c r="G637" s="852" t="n"/>
      <c r="H637" s="888" t="n"/>
      <c r="I637" s="889" t="n"/>
      <c r="J637" s="888" t="n"/>
      <c r="K637">
        <f>SUM(H637:J637)</f>
        <v/>
      </c>
      <c r="L637" s="852" t="n"/>
      <c r="M637" s="852" t="n"/>
      <c r="N637" s="852" t="n"/>
      <c r="O637" s="852" t="n"/>
      <c r="P637" s="852" t="n"/>
      <c r="Q637" s="852" t="n"/>
      <c r="R637" s="852" t="n"/>
      <c r="S637" s="852" t="n"/>
      <c r="T637" s="852" t="n"/>
      <c r="U637" s="852" t="n"/>
      <c r="V637" s="852" t="n"/>
      <c r="W637" s="852" t="n"/>
      <c r="X637" s="852" t="n"/>
      <c r="Y637" s="852" t="n"/>
      <c r="Z637" s="852" t="n"/>
      <c r="AA637" s="852" t="n"/>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c r="CL637" s="59" t="n"/>
      <c r="CM637" s="59" t="n"/>
      <c r="CN637" s="59" t="n"/>
    </row>
    <row r="638" ht="15" customFormat="1" customHeight="1" s="3">
      <c r="A638">
        <f>IF(C638="","",ROW()-2)</f>
        <v/>
      </c>
      <c r="B638" s="852" t="n"/>
      <c r="C638" s="852" t="n"/>
      <c r="D638">
        <f>IF(C638="TOH","Type 1",IF(C638="POH","Type 2",IF(OR(C638="LTO",C638="TOH-LC",C638="TOH - LC"),"Type 3",IF(C638="Flourish","Type 4","Type 1"))))</f>
        <v/>
      </c>
      <c r="E638" s="852" t="n"/>
      <c r="F638" s="852" t="n"/>
      <c r="G638" s="852" t="n"/>
      <c r="H638" s="888" t="n"/>
      <c r="I638" s="889" t="n"/>
      <c r="J638" s="888" t="n"/>
      <c r="K638">
        <f>SUM(H638:J638)</f>
        <v/>
      </c>
      <c r="L638" s="852" t="n"/>
      <c r="M638" s="852" t="n"/>
      <c r="N638" s="852" t="n"/>
      <c r="O638" s="852" t="n"/>
      <c r="P638" s="852" t="n"/>
      <c r="Q638" s="852" t="n"/>
      <c r="R638" s="852" t="n"/>
      <c r="S638" s="852" t="n"/>
      <c r="T638" s="852" t="n"/>
      <c r="U638" s="852" t="n"/>
      <c r="V638" s="852" t="n"/>
      <c r="W638" s="852" t="n"/>
      <c r="X638" s="852" t="n"/>
      <c r="Y638" s="852" t="n"/>
      <c r="Z638" s="852" t="n"/>
      <c r="AA638" s="852" t="n"/>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c r="CL638" s="59" t="n"/>
      <c r="CM638" s="59" t="n"/>
      <c r="CN638" s="59" t="n"/>
    </row>
    <row r="639" ht="15" customFormat="1" customHeight="1" s="3">
      <c r="A639">
        <f>IF(C639="","",ROW()-2)</f>
        <v/>
      </c>
      <c r="B639" s="852" t="n"/>
      <c r="C639" s="852" t="n"/>
      <c r="D639">
        <f>IF(C639="TOH","Type 1",IF(C639="POH","Type 2",IF(OR(C639="LTO",C639="TOH-LC",C639="TOH - LC"),"Type 3",IF(C639="Flourish","Type 4","Type 1"))))</f>
        <v/>
      </c>
      <c r="E639" s="852" t="n"/>
      <c r="F639" s="852" t="n"/>
      <c r="G639" s="852" t="n"/>
      <c r="H639" s="888" t="n"/>
      <c r="I639" s="889" t="n"/>
      <c r="J639" s="888" t="n"/>
      <c r="K639">
        <f>SUM(H639:J639)</f>
        <v/>
      </c>
      <c r="L639" s="852" t="n"/>
      <c r="M639" s="852" t="n"/>
      <c r="N639" s="852" t="n"/>
      <c r="O639" s="852" t="n"/>
      <c r="P639" s="852" t="n"/>
      <c r="Q639" s="852" t="n"/>
      <c r="R639" s="852" t="n"/>
      <c r="S639" s="852" t="n"/>
      <c r="T639" s="852" t="n"/>
      <c r="U639" s="852" t="n"/>
      <c r="V639" s="852" t="n"/>
      <c r="W639" s="852" t="n"/>
      <c r="X639" s="852" t="n"/>
      <c r="Y639" s="852" t="n"/>
      <c r="Z639" s="852" t="n"/>
      <c r="AA639" s="852" t="n"/>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c r="CL639" s="59" t="n"/>
      <c r="CM639" s="59" t="n"/>
      <c r="CN639" s="59" t="n"/>
    </row>
    <row r="640" ht="15" customFormat="1" customHeight="1" s="3">
      <c r="A640">
        <f>IF(C640="","",ROW()-2)</f>
        <v/>
      </c>
      <c r="B640" s="852" t="n"/>
      <c r="C640" s="852" t="n"/>
      <c r="D640">
        <f>IF(C640="TOH","Type 1",IF(C640="POH","Type 2",IF(OR(C640="LTO",C640="TOH-LC",C640="TOH - LC"),"Type 3",IF(C640="Flourish","Type 4","Type 1"))))</f>
        <v/>
      </c>
      <c r="E640" s="852" t="n"/>
      <c r="F640" s="852" t="n"/>
      <c r="G640" s="852" t="n"/>
      <c r="H640" s="888" t="n"/>
      <c r="I640" s="889" t="n"/>
      <c r="J640" s="888" t="n"/>
      <c r="K640">
        <f>SUM(H640:J640)</f>
        <v/>
      </c>
      <c r="L640" s="852" t="n"/>
      <c r="M640" s="852" t="n"/>
      <c r="N640" s="852" t="n"/>
      <c r="O640" s="852" t="n"/>
      <c r="P640" s="852" t="n"/>
      <c r="Q640" s="852" t="n"/>
      <c r="R640" s="852" t="n"/>
      <c r="S640" s="852" t="n"/>
      <c r="T640" s="852" t="n"/>
      <c r="U640" s="852" t="n"/>
      <c r="V640" s="852" t="n"/>
      <c r="W640" s="852" t="n"/>
      <c r="X640" s="852" t="n"/>
      <c r="Y640" s="852" t="n"/>
      <c r="Z640" s="852" t="n"/>
      <c r="AA640" s="852" t="n"/>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c r="CL640" s="59" t="n"/>
      <c r="CM640" s="59" t="n"/>
      <c r="CN640" s="59" t="n"/>
    </row>
    <row r="641" ht="15" customFormat="1" customHeight="1" s="3">
      <c r="A641">
        <f>IF(C641="","",ROW()-2)</f>
        <v/>
      </c>
      <c r="B641" s="852" t="n"/>
      <c r="C641" s="852" t="n"/>
      <c r="D641">
        <f>IF(C641="TOH","Type 1",IF(C641="POH","Type 2",IF(OR(C641="LTO",C641="TOH-LC",C641="TOH - LC"),"Type 3",IF(C641="Flourish","Type 4","Type 1"))))</f>
        <v/>
      </c>
      <c r="E641" s="852" t="n"/>
      <c r="F641" s="852" t="n"/>
      <c r="G641" s="852" t="n"/>
      <c r="H641" s="888" t="n"/>
      <c r="I641" s="889" t="n"/>
      <c r="J641" s="888" t="n"/>
      <c r="K641">
        <f>SUM(H641:J641)</f>
        <v/>
      </c>
      <c r="L641" s="852" t="n"/>
      <c r="M641" s="852" t="n"/>
      <c r="N641" s="852" t="n"/>
      <c r="O641" s="852" t="n"/>
      <c r="P641" s="852" t="n"/>
      <c r="Q641" s="852" t="n"/>
      <c r="R641" s="852" t="n"/>
      <c r="S641" s="852" t="n"/>
      <c r="T641" s="852" t="n"/>
      <c r="U641" s="852" t="n"/>
      <c r="V641" s="852" t="n"/>
      <c r="W641" s="852" t="n"/>
      <c r="X641" s="852" t="n"/>
      <c r="Y641" s="852" t="n"/>
      <c r="Z641" s="852" t="n"/>
      <c r="AA641" s="852" t="n"/>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c r="CL641" s="59" t="n"/>
      <c r="CM641" s="59" t="n"/>
      <c r="CN641" s="59" t="n"/>
    </row>
    <row r="642" ht="15" customFormat="1" customHeight="1" s="3">
      <c r="A642">
        <f>IF(C642="","",ROW()-2)</f>
        <v/>
      </c>
      <c r="B642" s="852" t="n"/>
      <c r="C642" s="852" t="n"/>
      <c r="D642">
        <f>IF(C642="TOH","Type 1",IF(C642="POH","Type 2",IF(OR(C642="LTO",C642="TOH-LC",C642="TOH - LC"),"Type 3",IF(C642="Flourish","Type 4","Type 1"))))</f>
        <v/>
      </c>
      <c r="E642" s="852" t="n"/>
      <c r="F642" s="852" t="n"/>
      <c r="G642" s="852" t="n"/>
      <c r="H642" s="888" t="n"/>
      <c r="I642" s="889" t="n"/>
      <c r="J642" s="888" t="n"/>
      <c r="K642">
        <f>SUM(H642:J642)</f>
        <v/>
      </c>
      <c r="L642" s="852" t="n"/>
      <c r="M642" s="852" t="n"/>
      <c r="N642" s="852" t="n"/>
      <c r="O642" s="852" t="n"/>
      <c r="P642" s="852" t="n"/>
      <c r="Q642" s="852" t="n"/>
      <c r="R642" s="852" t="n"/>
      <c r="S642" s="852" t="n"/>
      <c r="T642" s="852" t="n"/>
      <c r="U642" s="852" t="n"/>
      <c r="V642" s="852" t="n"/>
      <c r="W642" s="852" t="n"/>
      <c r="X642" s="852" t="n"/>
      <c r="Y642" s="852" t="n"/>
      <c r="Z642" s="852" t="n"/>
      <c r="AA642" s="852" t="n"/>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c r="CL642" s="59" t="n"/>
      <c r="CM642" s="59" t="n"/>
      <c r="CN642" s="59" t="n"/>
    </row>
    <row r="643" ht="15" customFormat="1" customHeight="1" s="3">
      <c r="A643">
        <f>IF(C643="","",ROW()-2)</f>
        <v/>
      </c>
      <c r="B643" s="852" t="n"/>
      <c r="C643" s="852" t="n"/>
      <c r="D643">
        <f>IF(C643="TOH","Type 1",IF(C643="POH","Type 2",IF(OR(C643="LTO",C643="TOH-LC",C643="TOH - LC"),"Type 3",IF(C643="Flourish","Type 4","Type 1"))))</f>
        <v/>
      </c>
      <c r="E643" s="852" t="n"/>
      <c r="F643" s="852" t="n"/>
      <c r="G643" s="852" t="n"/>
      <c r="H643" s="888" t="n"/>
      <c r="I643" s="889" t="n"/>
      <c r="J643" s="888" t="n"/>
      <c r="K643">
        <f>SUM(H643:J643)</f>
        <v/>
      </c>
      <c r="L643" s="852" t="n"/>
      <c r="M643" s="852" t="n"/>
      <c r="N643" s="852" t="n"/>
      <c r="O643" s="852" t="n"/>
      <c r="P643" s="852" t="n"/>
      <c r="Q643" s="852" t="n"/>
      <c r="R643" s="852" t="n"/>
      <c r="S643" s="852" t="n"/>
      <c r="T643" s="852" t="n"/>
      <c r="U643" s="852" t="n"/>
      <c r="V643" s="852" t="n"/>
      <c r="W643" s="852" t="n"/>
      <c r="X643" s="852" t="n"/>
      <c r="Y643" s="852" t="n"/>
      <c r="Z643" s="852" t="n"/>
      <c r="AA643" s="852" t="n"/>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c r="CL643" s="59" t="n"/>
      <c r="CM643" s="59" t="n"/>
      <c r="CN643" s="59" t="n"/>
    </row>
    <row r="644" ht="15" customFormat="1" customHeight="1" s="3">
      <c r="A644">
        <f>IF(C644="","",ROW()-2)</f>
        <v/>
      </c>
      <c r="B644" s="852" t="n"/>
      <c r="C644" s="852" t="n"/>
      <c r="D644">
        <f>IF(C644="TOH","Type 1",IF(C644="POH","Type 2",IF(OR(C644="LTO",C644="TOH-LC",C644="TOH - LC"),"Type 3",IF(C644="Flourish","Type 4","Type 1"))))</f>
        <v/>
      </c>
      <c r="E644" s="852" t="n"/>
      <c r="F644" s="852" t="n"/>
      <c r="G644" s="852" t="n"/>
      <c r="H644" s="888" t="n"/>
      <c r="I644" s="889" t="n"/>
      <c r="J644" s="888" t="n"/>
      <c r="K644">
        <f>SUM(H644:J644)</f>
        <v/>
      </c>
      <c r="L644" s="852" t="n"/>
      <c r="M644" s="852" t="n"/>
      <c r="N644" s="852" t="n"/>
      <c r="O644" s="852" t="n"/>
      <c r="P644" s="852" t="n"/>
      <c r="Q644" s="852" t="n"/>
      <c r="R644" s="852" t="n"/>
      <c r="S644" s="852" t="n"/>
      <c r="T644" s="852" t="n"/>
      <c r="U644" s="852" t="n"/>
      <c r="V644" s="852" t="n"/>
      <c r="W644" s="852" t="n"/>
      <c r="X644" s="852" t="n"/>
      <c r="Y644" s="852" t="n"/>
      <c r="Z644" s="852" t="n"/>
      <c r="AA644" s="852" t="n"/>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c r="CL644" s="59" t="n"/>
      <c r="CM644" s="59" t="n"/>
      <c r="CN644" s="59" t="n"/>
    </row>
    <row r="645" ht="15" customFormat="1" customHeight="1" s="3">
      <c r="A645">
        <f>IF(C645="","",ROW()-2)</f>
        <v/>
      </c>
      <c r="B645" s="852" t="n"/>
      <c r="C645" s="852" t="n"/>
      <c r="D645">
        <f>IF(C645="TOH","Type 1",IF(C645="POH","Type 2",IF(OR(C645="LTO",C645="TOH-LC",C645="TOH - LC"),"Type 3",IF(C645="Flourish","Type 4","Type 1"))))</f>
        <v/>
      </c>
      <c r="E645" s="852" t="n"/>
      <c r="F645" s="852" t="n"/>
      <c r="G645" s="852" t="n"/>
      <c r="H645" s="888" t="n"/>
      <c r="I645" s="889" t="n"/>
      <c r="J645" s="888" t="n"/>
      <c r="K645">
        <f>SUM(H645:J645)</f>
        <v/>
      </c>
      <c r="L645" s="852" t="n"/>
      <c r="M645" s="852" t="n"/>
      <c r="N645" s="852" t="n"/>
      <c r="O645" s="852" t="n"/>
      <c r="P645" s="852" t="n"/>
      <c r="Q645" s="852" t="n"/>
      <c r="R645" s="852" t="n"/>
      <c r="S645" s="852" t="n"/>
      <c r="T645" s="852" t="n"/>
      <c r="U645" s="852" t="n"/>
      <c r="V645" s="852" t="n"/>
      <c r="W645" s="852" t="n"/>
      <c r="X645" s="852" t="n"/>
      <c r="Y645" s="852" t="n"/>
      <c r="Z645" s="852" t="n"/>
      <c r="AA645" s="852" t="n"/>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c r="CL645" s="59" t="n"/>
      <c r="CM645" s="59" t="n"/>
      <c r="CN645" s="59" t="n"/>
    </row>
    <row r="646" ht="15" customFormat="1" customHeight="1" s="3">
      <c r="A646">
        <f>IF(C646="","",ROW()-2)</f>
        <v/>
      </c>
      <c r="B646" s="852" t="n"/>
      <c r="C646" s="852" t="n"/>
      <c r="D646">
        <f>IF(C646="TOH","Type 1",IF(C646="POH","Type 2",IF(OR(C646="LTO",C646="TOH-LC",C646="TOH - LC"),"Type 3",IF(C646="Flourish","Type 4","Type 1"))))</f>
        <v/>
      </c>
      <c r="E646" s="852" t="n"/>
      <c r="F646" s="852" t="n"/>
      <c r="G646" s="852" t="n"/>
      <c r="H646" s="888" t="n"/>
      <c r="I646" s="889" t="n"/>
      <c r="J646" s="888" t="n"/>
      <c r="K646">
        <f>SUM(H646:J646)</f>
        <v/>
      </c>
      <c r="L646" s="852" t="n"/>
      <c r="M646" s="852" t="n"/>
      <c r="N646" s="852" t="n"/>
      <c r="O646" s="852" t="n"/>
      <c r="P646" s="852" t="n"/>
      <c r="Q646" s="852" t="n"/>
      <c r="R646" s="852" t="n"/>
      <c r="S646" s="852" t="n"/>
      <c r="T646" s="852" t="n"/>
      <c r="U646" s="852" t="n"/>
      <c r="V646" s="852" t="n"/>
      <c r="W646" s="852" t="n"/>
      <c r="X646" s="852" t="n"/>
      <c r="Y646" s="852" t="n"/>
      <c r="Z646" s="852" t="n"/>
      <c r="AA646" s="852" t="n"/>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c r="CL646" s="59" t="n"/>
      <c r="CM646" s="59" t="n"/>
      <c r="CN646" s="59" t="n"/>
    </row>
    <row r="647" ht="15" customFormat="1" customHeight="1" s="3">
      <c r="A647">
        <f>IF(C647="","",ROW()-2)</f>
        <v/>
      </c>
      <c r="B647" s="852" t="n"/>
      <c r="C647" s="852" t="n"/>
      <c r="D647">
        <f>IF(C647="TOH","Type 1",IF(C647="POH","Type 2",IF(OR(C647="LTO",C647="TOH-LC",C647="TOH - LC"),"Type 3",IF(C647="Flourish","Type 4","Type 1"))))</f>
        <v/>
      </c>
      <c r="E647" s="852" t="n"/>
      <c r="F647" s="852" t="n"/>
      <c r="G647" s="852" t="n"/>
      <c r="H647" s="888" t="n"/>
      <c r="I647" s="889" t="n"/>
      <c r="J647" s="888" t="n"/>
      <c r="K647">
        <f>SUM(H647:J647)</f>
        <v/>
      </c>
      <c r="L647" s="852" t="n"/>
      <c r="M647" s="852" t="n"/>
      <c r="N647" s="852" t="n"/>
      <c r="O647" s="852" t="n"/>
      <c r="P647" s="852" t="n"/>
      <c r="Q647" s="852" t="n"/>
      <c r="R647" s="852" t="n"/>
      <c r="S647" s="852" t="n"/>
      <c r="T647" s="852" t="n"/>
      <c r="U647" s="852" t="n"/>
      <c r="V647" s="852" t="n"/>
      <c r="W647" s="852" t="n"/>
      <c r="X647" s="852" t="n"/>
      <c r="Y647" s="852" t="n"/>
      <c r="Z647" s="852" t="n"/>
      <c r="AA647" s="852" t="n"/>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c r="CL647" s="59" t="n"/>
      <c r="CM647" s="59" t="n"/>
      <c r="CN647" s="59" t="n"/>
    </row>
    <row r="648" ht="15" customFormat="1" customHeight="1" s="3">
      <c r="A648">
        <f>IF(C648="","",ROW()-2)</f>
        <v/>
      </c>
      <c r="B648" s="852" t="n"/>
      <c r="C648" s="852" t="n"/>
      <c r="D648">
        <f>IF(C648="TOH","Type 1",IF(C648="POH","Type 2",IF(OR(C648="LTO",C648="TOH-LC",C648="TOH - LC"),"Type 3",IF(C648="Flourish","Type 4","Type 1"))))</f>
        <v/>
      </c>
      <c r="E648" s="852" t="n"/>
      <c r="F648" s="852" t="n"/>
      <c r="G648" s="852" t="n"/>
      <c r="H648" s="888" t="n"/>
      <c r="I648" s="889" t="n"/>
      <c r="J648" s="888" t="n"/>
      <c r="K648">
        <f>SUM(H648:J648)</f>
        <v/>
      </c>
      <c r="L648" s="852" t="n"/>
      <c r="M648" s="852" t="n"/>
      <c r="N648" s="852" t="n"/>
      <c r="O648" s="852" t="n"/>
      <c r="P648" s="852" t="n"/>
      <c r="Q648" s="852" t="n"/>
      <c r="R648" s="852" t="n"/>
      <c r="S648" s="852" t="n"/>
      <c r="T648" s="852" t="n"/>
      <c r="U648" s="852" t="n"/>
      <c r="V648" s="852" t="n"/>
      <c r="W648" s="852" t="n"/>
      <c r="X648" s="852" t="n"/>
      <c r="Y648" s="852" t="n"/>
      <c r="Z648" s="852" t="n"/>
      <c r="AA648" s="852" t="n"/>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c r="CL648" s="59" t="n"/>
      <c r="CM648" s="59" t="n"/>
      <c r="CN648" s="59" t="n"/>
    </row>
    <row r="649" ht="15" customFormat="1" customHeight="1" s="3">
      <c r="A649">
        <f>IF(C649="","",ROW()-2)</f>
        <v/>
      </c>
      <c r="B649" s="852" t="n"/>
      <c r="C649" s="852" t="n"/>
      <c r="D649">
        <f>IF(C649="TOH","Type 1",IF(C649="POH","Type 2",IF(OR(C649="LTO",C649="TOH-LC",C649="TOH - LC"),"Type 3",IF(C649="Flourish","Type 4","Type 1"))))</f>
        <v/>
      </c>
      <c r="E649" s="852" t="n"/>
      <c r="F649" s="852" t="n"/>
      <c r="G649" s="852" t="n"/>
      <c r="H649" s="888" t="n"/>
      <c r="I649" s="889" t="n"/>
      <c r="J649" s="888" t="n"/>
      <c r="K649">
        <f>SUM(H649:J649)</f>
        <v/>
      </c>
      <c r="L649" s="852" t="n"/>
      <c r="M649" s="852" t="n"/>
      <c r="N649" s="852" t="n"/>
      <c r="O649" s="852" t="n"/>
      <c r="P649" s="852" t="n"/>
      <c r="Q649" s="852" t="n"/>
      <c r="R649" s="852" t="n"/>
      <c r="S649" s="852" t="n"/>
      <c r="T649" s="852" t="n"/>
      <c r="U649" s="852" t="n"/>
      <c r="V649" s="852" t="n"/>
      <c r="W649" s="852" t="n"/>
      <c r="X649" s="852" t="n"/>
      <c r="Y649" s="852" t="n"/>
      <c r="Z649" s="852" t="n"/>
      <c r="AA649" s="852" t="n"/>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c r="CL649" s="59" t="n"/>
      <c r="CM649" s="59" t="n"/>
      <c r="CN649" s="59" t="n"/>
    </row>
    <row r="650" ht="15" customFormat="1" customHeight="1" s="3">
      <c r="A650">
        <f>IF(C650="","",ROW()-2)</f>
        <v/>
      </c>
      <c r="B650" s="852" t="n"/>
      <c r="C650" s="852" t="n"/>
      <c r="D650">
        <f>IF(C650="TOH","Type 1",IF(C650="POH","Type 2",IF(OR(C650="LTO",C650="TOH-LC",C650="TOH - LC"),"Type 3",IF(C650="Flourish","Type 4","Type 1"))))</f>
        <v/>
      </c>
      <c r="E650" s="852" t="n"/>
      <c r="F650" s="852" t="n"/>
      <c r="G650" s="852" t="n"/>
      <c r="H650" s="888" t="n"/>
      <c r="I650" s="889" t="n"/>
      <c r="J650" s="888" t="n"/>
      <c r="K650">
        <f>SUM(H650:J650)</f>
        <v/>
      </c>
      <c r="L650" s="852" t="n"/>
      <c r="M650" s="852" t="n"/>
      <c r="N650" s="852" t="n"/>
      <c r="O650" s="852" t="n"/>
      <c r="P650" s="852" t="n"/>
      <c r="Q650" s="852" t="n"/>
      <c r="R650" s="852" t="n"/>
      <c r="S650" s="852" t="n"/>
      <c r="T650" s="852" t="n"/>
      <c r="U650" s="852" t="n"/>
      <c r="V650" s="852" t="n"/>
      <c r="W650" s="852" t="n"/>
      <c r="X650" s="852" t="n"/>
      <c r="Y650" s="852" t="n"/>
      <c r="Z650" s="852" t="n"/>
      <c r="AA650" s="852" t="n"/>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c r="CL650" s="59" t="n"/>
      <c r="CM650" s="59" t="n"/>
      <c r="CN650" s="59" t="n"/>
    </row>
    <row r="651" ht="15" customFormat="1" customHeight="1" s="3">
      <c r="A651">
        <f>IF(C651="","",ROW()-2)</f>
        <v/>
      </c>
      <c r="B651" s="852" t="n"/>
      <c r="C651" s="852" t="n"/>
      <c r="D651">
        <f>IF(C651="TOH","Type 1",IF(C651="POH","Type 2",IF(OR(C651="LTO",C651="TOH-LC",C651="TOH - LC"),"Type 3",IF(C651="Flourish","Type 4","Type 1"))))</f>
        <v/>
      </c>
      <c r="E651" s="852" t="n"/>
      <c r="F651" s="852" t="n"/>
      <c r="G651" s="852" t="n"/>
      <c r="H651" s="888" t="n"/>
      <c r="I651" s="889" t="n"/>
      <c r="J651" s="888" t="n"/>
      <c r="K651">
        <f>SUM(H651:J651)</f>
        <v/>
      </c>
      <c r="L651" s="852" t="n"/>
      <c r="M651" s="852" t="n"/>
      <c r="N651" s="852" t="n"/>
      <c r="O651" s="852" t="n"/>
      <c r="P651" s="852" t="n"/>
      <c r="Q651" s="852" t="n"/>
      <c r="R651" s="852" t="n"/>
      <c r="S651" s="852" t="n"/>
      <c r="T651" s="852" t="n"/>
      <c r="U651" s="852" t="n"/>
      <c r="V651" s="852" t="n"/>
      <c r="W651" s="852" t="n"/>
      <c r="X651" s="852" t="n"/>
      <c r="Y651" s="852" t="n"/>
      <c r="Z651" s="852" t="n"/>
      <c r="AA651" s="852" t="n"/>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c r="CL651" s="59" t="n"/>
      <c r="CM651" s="59" t="n"/>
      <c r="CN651" s="59" t="n"/>
    </row>
    <row r="652" ht="15" customFormat="1" customHeight="1" s="3">
      <c r="A652">
        <f>IF(C652="","",ROW()-2)</f>
        <v/>
      </c>
      <c r="B652" s="852" t="n"/>
      <c r="C652" s="852" t="n"/>
      <c r="D652">
        <f>IF(C652="TOH","Type 1",IF(C652="POH","Type 2",IF(OR(C652="LTO",C652="TOH-LC",C652="TOH - LC"),"Type 3",IF(C652="Flourish","Type 4","Type 1"))))</f>
        <v/>
      </c>
      <c r="E652" s="852" t="n"/>
      <c r="F652" s="852" t="n"/>
      <c r="G652" s="852" t="n"/>
      <c r="H652" s="888" t="n"/>
      <c r="I652" s="889" t="n"/>
      <c r="J652" s="888" t="n"/>
      <c r="K652">
        <f>SUM(H652:J652)</f>
        <v/>
      </c>
      <c r="L652" s="852" t="n"/>
      <c r="M652" s="852" t="n"/>
      <c r="N652" s="852" t="n"/>
      <c r="O652" s="852" t="n"/>
      <c r="P652" s="852" t="n"/>
      <c r="Q652" s="852" t="n"/>
      <c r="R652" s="852" t="n"/>
      <c r="S652" s="852" t="n"/>
      <c r="T652" s="852" t="n"/>
      <c r="U652" s="852" t="n"/>
      <c r="V652" s="852" t="n"/>
      <c r="W652" s="852" t="n"/>
      <c r="X652" s="852" t="n"/>
      <c r="Y652" s="852" t="n"/>
      <c r="Z652" s="852" t="n"/>
      <c r="AA652" s="852" t="n"/>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c r="CL652" s="59" t="n"/>
      <c r="CM652" s="59" t="n"/>
      <c r="CN652" s="59" t="n"/>
    </row>
    <row r="653" ht="15" customFormat="1" customHeight="1" s="3">
      <c r="A653">
        <f>IF(C653="","",ROW()-2)</f>
        <v/>
      </c>
      <c r="B653" s="852" t="n"/>
      <c r="C653" s="852" t="n"/>
      <c r="D653">
        <f>IF(C653="TOH","Type 1",IF(C653="POH","Type 2",IF(OR(C653="LTO",C653="TOH-LC",C653="TOH - LC"),"Type 3",IF(C653="Flourish","Type 4","Type 1"))))</f>
        <v/>
      </c>
      <c r="E653" s="852" t="n"/>
      <c r="F653" s="852" t="n"/>
      <c r="G653" s="852" t="n"/>
      <c r="H653" s="888" t="n"/>
      <c r="I653" s="889" t="n"/>
      <c r="J653" s="888" t="n"/>
      <c r="K653">
        <f>SUM(H653:J653)</f>
        <v/>
      </c>
      <c r="L653" s="852" t="n"/>
      <c r="M653" s="852" t="n"/>
      <c r="N653" s="852" t="n"/>
      <c r="O653" s="852" t="n"/>
      <c r="P653" s="852" t="n"/>
      <c r="Q653" s="852" t="n"/>
      <c r="R653" s="852" t="n"/>
      <c r="S653" s="852" t="n"/>
      <c r="T653" s="852" t="n"/>
      <c r="U653" s="852" t="n"/>
      <c r="V653" s="852" t="n"/>
      <c r="W653" s="852" t="n"/>
      <c r="X653" s="852" t="n"/>
      <c r="Y653" s="852" t="n"/>
      <c r="Z653" s="852" t="n"/>
      <c r="AA653" s="852" t="n"/>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c r="CL653" s="59" t="n"/>
      <c r="CM653" s="59" t="n"/>
      <c r="CN653" s="59" t="n"/>
    </row>
    <row r="654" ht="15" customFormat="1" customHeight="1" s="3">
      <c r="A654">
        <f>IF(C654="","",ROW()-2)</f>
        <v/>
      </c>
      <c r="B654" s="852" t="n"/>
      <c r="C654" s="852" t="n"/>
      <c r="D654">
        <f>IF(C654="TOH","Type 1",IF(C654="POH","Type 2",IF(OR(C654="LTO",C654="TOH-LC",C654="TOH - LC"),"Type 3",IF(C654="Flourish","Type 4","Type 1"))))</f>
        <v/>
      </c>
      <c r="E654" s="852" t="n"/>
      <c r="F654" s="852" t="n"/>
      <c r="G654" s="852" t="n"/>
      <c r="H654" s="888" t="n"/>
      <c r="I654" s="889" t="n"/>
      <c r="J654" s="888" t="n"/>
      <c r="K654">
        <f>SUM(H654:J654)</f>
        <v/>
      </c>
      <c r="L654" s="852" t="n"/>
      <c r="M654" s="852" t="n"/>
      <c r="N654" s="852" t="n"/>
      <c r="O654" s="852" t="n"/>
      <c r="P654" s="852" t="n"/>
      <c r="Q654" s="852" t="n"/>
      <c r="R654" s="852" t="n"/>
      <c r="S654" s="852" t="n"/>
      <c r="T654" s="852" t="n"/>
      <c r="U654" s="852" t="n"/>
      <c r="V654" s="852" t="n"/>
      <c r="W654" s="852" t="n"/>
      <c r="X654" s="852" t="n"/>
      <c r="Y654" s="852" t="n"/>
      <c r="Z654" s="852" t="n"/>
      <c r="AA654" s="852" t="n"/>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c r="CL654" s="59" t="n"/>
      <c r="CM654" s="59" t="n"/>
      <c r="CN654" s="59" t="n"/>
    </row>
    <row r="655" ht="15" customFormat="1" customHeight="1" s="3">
      <c r="A655">
        <f>IF(C655="","",ROW()-2)</f>
        <v/>
      </c>
      <c r="B655" s="852" t="n"/>
      <c r="C655" s="852" t="n"/>
      <c r="D655">
        <f>IF(C655="TOH","Type 1",IF(C655="POH","Type 2",IF(OR(C655="LTO",C655="TOH-LC",C655="TOH - LC"),"Type 3",IF(C655="Flourish","Type 4","Type 1"))))</f>
        <v/>
      </c>
      <c r="E655" s="852" t="n"/>
      <c r="F655" s="852" t="n"/>
      <c r="G655" s="852" t="n"/>
      <c r="H655" s="888" t="n"/>
      <c r="I655" s="889" t="n"/>
      <c r="J655" s="888" t="n"/>
      <c r="K655">
        <f>SUM(H655:J655)</f>
        <v/>
      </c>
      <c r="L655" s="852" t="n"/>
      <c r="M655" s="852" t="n"/>
      <c r="N655" s="852" t="n"/>
      <c r="O655" s="852" t="n"/>
      <c r="P655" s="852" t="n"/>
      <c r="Q655" s="852" t="n"/>
      <c r="R655" s="852" t="n"/>
      <c r="S655" s="852" t="n"/>
      <c r="T655" s="852" t="n"/>
      <c r="U655" s="852" t="n"/>
      <c r="V655" s="852" t="n"/>
      <c r="W655" s="852" t="n"/>
      <c r="X655" s="852" t="n"/>
      <c r="Y655" s="852" t="n"/>
      <c r="Z655" s="852" t="n"/>
      <c r="AA655" s="852" t="n"/>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c r="CL655" s="59" t="n"/>
      <c r="CM655" s="59" t="n"/>
      <c r="CN655" s="59" t="n"/>
    </row>
    <row r="656" ht="15" customFormat="1" customHeight="1" s="3">
      <c r="A656">
        <f>IF(C656="","",ROW()-2)</f>
        <v/>
      </c>
      <c r="B656" s="852" t="n"/>
      <c r="C656" s="852" t="n"/>
      <c r="D656">
        <f>IF(C656="TOH","Type 1",IF(C656="POH","Type 2",IF(OR(C656="LTO",C656="TOH-LC",C656="TOH - LC"),"Type 3",IF(C656="Flourish","Type 4","Type 1"))))</f>
        <v/>
      </c>
      <c r="E656" s="852" t="n"/>
      <c r="F656" s="852" t="n"/>
      <c r="G656" s="852" t="n"/>
      <c r="H656" s="888" t="n"/>
      <c r="I656" s="889" t="n"/>
      <c r="J656" s="888" t="n"/>
      <c r="K656">
        <f>SUM(H656:J656)</f>
        <v/>
      </c>
      <c r="L656" s="852" t="n"/>
      <c r="M656" s="852" t="n"/>
      <c r="N656" s="852" t="n"/>
      <c r="O656" s="852" t="n"/>
      <c r="P656" s="852" t="n"/>
      <c r="Q656" s="852" t="n"/>
      <c r="R656" s="852" t="n"/>
      <c r="S656" s="852" t="n"/>
      <c r="T656" s="852" t="n"/>
      <c r="U656" s="852" t="n"/>
      <c r="V656" s="852" t="n"/>
      <c r="W656" s="852" t="n"/>
      <c r="X656" s="852" t="n"/>
      <c r="Y656" s="852" t="n"/>
      <c r="Z656" s="852" t="n"/>
      <c r="AA656" s="852" t="n"/>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c r="CL656" s="59" t="n"/>
      <c r="CM656" s="59" t="n"/>
      <c r="CN656" s="59" t="n"/>
    </row>
    <row r="657" ht="15" customFormat="1" customHeight="1" s="3">
      <c r="A657">
        <f>IF(C657="","",ROW()-2)</f>
        <v/>
      </c>
      <c r="B657" s="852" t="n"/>
      <c r="C657" s="852" t="n"/>
      <c r="D657">
        <f>IF(C657="TOH","Type 1",IF(C657="POH","Type 2",IF(OR(C657="LTO",C657="TOH-LC",C657="TOH - LC"),"Type 3",IF(C657="Flourish","Type 4","Type 1"))))</f>
        <v/>
      </c>
      <c r="E657" s="852" t="n"/>
      <c r="F657" s="852" t="n"/>
      <c r="G657" s="852" t="n"/>
      <c r="H657" s="888" t="n"/>
      <c r="I657" s="889" t="n"/>
      <c r="J657" s="888" t="n"/>
      <c r="K657">
        <f>SUM(H657:J657)</f>
        <v/>
      </c>
      <c r="L657" s="852" t="n"/>
      <c r="M657" s="852" t="n"/>
      <c r="N657" s="852" t="n"/>
      <c r="O657" s="852" t="n"/>
      <c r="P657" s="852" t="n"/>
      <c r="Q657" s="852" t="n"/>
      <c r="R657" s="852" t="n"/>
      <c r="S657" s="852" t="n"/>
      <c r="T657" s="852" t="n"/>
      <c r="U657" s="852" t="n"/>
      <c r="V657" s="852" t="n"/>
      <c r="W657" s="852" t="n"/>
      <c r="X657" s="852" t="n"/>
      <c r="Y657" s="852" t="n"/>
      <c r="Z657" s="852" t="n"/>
      <c r="AA657" s="852" t="n"/>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c r="CL657" s="59" t="n"/>
      <c r="CM657" s="59" t="n"/>
      <c r="CN657" s="59" t="n"/>
    </row>
    <row r="658" ht="15" customFormat="1" customHeight="1" s="3">
      <c r="A658">
        <f>IF(C658="","",ROW()-2)</f>
        <v/>
      </c>
      <c r="B658" s="852" t="n"/>
      <c r="C658" s="852" t="n"/>
      <c r="D658">
        <f>IF(C658="TOH","Type 1",IF(C658="POH","Type 2",IF(OR(C658="LTO",C658="TOH-LC",C658="TOH - LC"),"Type 3",IF(C658="Flourish","Type 4","Type 1"))))</f>
        <v/>
      </c>
      <c r="E658" s="852" t="n"/>
      <c r="F658" s="852" t="n"/>
      <c r="G658" s="852" t="n"/>
      <c r="H658" s="888" t="n"/>
      <c r="I658" s="889" t="n"/>
      <c r="J658" s="888" t="n"/>
      <c r="K658">
        <f>SUM(H658:J658)</f>
        <v/>
      </c>
      <c r="L658" s="852" t="n"/>
      <c r="M658" s="852" t="n"/>
      <c r="N658" s="852" t="n"/>
      <c r="O658" s="852" t="n"/>
      <c r="P658" s="852" t="n"/>
      <c r="Q658" s="852" t="n"/>
      <c r="R658" s="852" t="n"/>
      <c r="S658" s="852" t="n"/>
      <c r="T658" s="852" t="n"/>
      <c r="U658" s="852" t="n"/>
      <c r="V658" s="852" t="n"/>
      <c r="W658" s="852" t="n"/>
      <c r="X658" s="852" t="n"/>
      <c r="Y658" s="852" t="n"/>
      <c r="Z658" s="852" t="n"/>
      <c r="AA658" s="852" t="n"/>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c r="CL658" s="59" t="n"/>
      <c r="CM658" s="59" t="n"/>
      <c r="CN658" s="59" t="n"/>
    </row>
    <row r="659" ht="15" customFormat="1" customHeight="1" s="3">
      <c r="A659">
        <f>IF(C659="","",ROW()-2)</f>
        <v/>
      </c>
      <c r="B659" s="852" t="n"/>
      <c r="C659" s="852" t="n"/>
      <c r="D659">
        <f>IF(C659="TOH","Type 1",IF(C659="POH","Type 2",IF(OR(C659="LTO",C659="TOH-LC",C659="TOH - LC"),"Type 3",IF(C659="Flourish","Type 4","Type 1"))))</f>
        <v/>
      </c>
      <c r="E659" s="852" t="n"/>
      <c r="F659" s="852" t="n"/>
      <c r="G659" s="852" t="n"/>
      <c r="H659" s="888" t="n"/>
      <c r="I659" s="889" t="n"/>
      <c r="J659" s="888" t="n"/>
      <c r="K659">
        <f>SUM(H659:J659)</f>
        <v/>
      </c>
      <c r="L659" s="852" t="n"/>
      <c r="M659" s="852" t="n"/>
      <c r="N659" s="852" t="n"/>
      <c r="O659" s="852" t="n"/>
      <c r="P659" s="852" t="n"/>
      <c r="Q659" s="852" t="n"/>
      <c r="R659" s="852" t="n"/>
      <c r="S659" s="852" t="n"/>
      <c r="T659" s="852" t="n"/>
      <c r="U659" s="852" t="n"/>
      <c r="V659" s="852" t="n"/>
      <c r="W659" s="852" t="n"/>
      <c r="X659" s="852" t="n"/>
      <c r="Y659" s="852" t="n"/>
      <c r="Z659" s="852" t="n"/>
      <c r="AA659" s="852" t="n"/>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c r="CL659" s="59" t="n"/>
      <c r="CM659" s="59" t="n"/>
      <c r="CN659" s="59" t="n"/>
    </row>
    <row r="660" ht="15" customFormat="1" customHeight="1" s="3">
      <c r="A660">
        <f>IF(C660="","",ROW()-2)</f>
        <v/>
      </c>
      <c r="B660" s="852" t="n"/>
      <c r="C660" s="852" t="n"/>
      <c r="D660">
        <f>IF(C660="TOH","Type 1",IF(C660="POH","Type 2",IF(OR(C660="LTO",C660="TOH-LC",C660="TOH - LC"),"Type 3",IF(C660="Flourish","Type 4","Type 1"))))</f>
        <v/>
      </c>
      <c r="E660" s="852" t="n"/>
      <c r="F660" s="852" t="n"/>
      <c r="G660" s="852" t="n"/>
      <c r="H660" s="888" t="n"/>
      <c r="I660" s="889" t="n"/>
      <c r="J660" s="888" t="n"/>
      <c r="K660">
        <f>SUM(H660:J660)</f>
        <v/>
      </c>
      <c r="L660" s="852" t="n"/>
      <c r="M660" s="852" t="n"/>
      <c r="N660" s="852" t="n"/>
      <c r="O660" s="852" t="n"/>
      <c r="P660" s="852" t="n"/>
      <c r="Q660" s="852" t="n"/>
      <c r="R660" s="852" t="n"/>
      <c r="S660" s="852" t="n"/>
      <c r="T660" s="852" t="n"/>
      <c r="U660" s="852" t="n"/>
      <c r="V660" s="852" t="n"/>
      <c r="W660" s="852" t="n"/>
      <c r="X660" s="852" t="n"/>
      <c r="Y660" s="852" t="n"/>
      <c r="Z660" s="852" t="n"/>
      <c r="AA660" s="852" t="n"/>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c r="CL660" s="59" t="n"/>
      <c r="CM660" s="59" t="n"/>
      <c r="CN660" s="59" t="n"/>
    </row>
    <row r="661" ht="15" customFormat="1" customHeight="1" s="3">
      <c r="A661">
        <f>IF(C661="","",ROW()-2)</f>
        <v/>
      </c>
      <c r="B661" s="852" t="n"/>
      <c r="C661" s="852" t="n"/>
      <c r="D661">
        <f>IF(C661="TOH","Type 1",IF(C661="POH","Type 2",IF(OR(C661="LTO",C661="TOH-LC",C661="TOH - LC"),"Type 3",IF(C661="Flourish","Type 4","Type 1"))))</f>
        <v/>
      </c>
      <c r="E661" s="852" t="n"/>
      <c r="F661" s="852" t="n"/>
      <c r="G661" s="852" t="n"/>
      <c r="H661" s="888" t="n"/>
      <c r="I661" s="889" t="n"/>
      <c r="J661" s="888" t="n"/>
      <c r="K661">
        <f>SUM(H661:J661)</f>
        <v/>
      </c>
      <c r="L661" s="852" t="n"/>
      <c r="M661" s="852" t="n"/>
      <c r="N661" s="852" t="n"/>
      <c r="O661" s="852" t="n"/>
      <c r="P661" s="852" t="n"/>
      <c r="Q661" s="852" t="n"/>
      <c r="R661" s="852" t="n"/>
      <c r="S661" s="852" t="n"/>
      <c r="T661" s="852" t="n"/>
      <c r="U661" s="852" t="n"/>
      <c r="V661" s="852" t="n"/>
      <c r="W661" s="852" t="n"/>
      <c r="X661" s="852" t="n"/>
      <c r="Y661" s="852" t="n"/>
      <c r="Z661" s="852" t="n"/>
      <c r="AA661" s="852" t="n"/>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c r="CL661" s="59" t="n"/>
      <c r="CM661" s="59" t="n"/>
      <c r="CN661" s="59" t="n"/>
    </row>
    <row r="662" ht="15" customFormat="1" customHeight="1" s="3">
      <c r="A662">
        <f>IF(C662="","",ROW()-2)</f>
        <v/>
      </c>
      <c r="B662" s="852" t="n"/>
      <c r="C662" s="852" t="n"/>
      <c r="D662">
        <f>IF(C662="TOH","Type 1",IF(C662="POH","Type 2",IF(OR(C662="LTO",C662="TOH-LC",C662="TOH - LC"),"Type 3",IF(C662="Flourish","Type 4","Type 1"))))</f>
        <v/>
      </c>
      <c r="E662" s="852" t="n"/>
      <c r="F662" s="852" t="n"/>
      <c r="G662" s="852" t="n"/>
      <c r="H662" s="888" t="n"/>
      <c r="I662" s="889" t="n"/>
      <c r="J662" s="888" t="n"/>
      <c r="K662">
        <f>SUM(H662:J662)</f>
        <v/>
      </c>
      <c r="L662" s="852" t="n"/>
      <c r="M662" s="852" t="n"/>
      <c r="N662" s="852" t="n"/>
      <c r="O662" s="852" t="n"/>
      <c r="P662" s="852" t="n"/>
      <c r="Q662" s="852" t="n"/>
      <c r="R662" s="852" t="n"/>
      <c r="S662" s="852" t="n"/>
      <c r="T662" s="852" t="n"/>
      <c r="U662" s="852" t="n"/>
      <c r="V662" s="852" t="n"/>
      <c r="W662" s="852" t="n"/>
      <c r="X662" s="852" t="n"/>
      <c r="Y662" s="852" t="n"/>
      <c r="Z662" s="852" t="n"/>
      <c r="AA662" s="852" t="n"/>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c r="CL662" s="59" t="n"/>
      <c r="CM662" s="59" t="n"/>
      <c r="CN662" s="59" t="n"/>
    </row>
    <row r="663" ht="15" customFormat="1" customHeight="1" s="3">
      <c r="A663">
        <f>IF(C663="","",ROW()-2)</f>
        <v/>
      </c>
      <c r="B663" s="852" t="n"/>
      <c r="C663" s="852" t="n"/>
      <c r="D663">
        <f>IF(C663="TOH","Type 1",IF(C663="POH","Type 2",IF(OR(C663="LTO",C663="TOH-LC",C663="TOH - LC"),"Type 3",IF(C663="Flourish","Type 4","Type 1"))))</f>
        <v/>
      </c>
      <c r="E663" s="852" t="n"/>
      <c r="F663" s="852" t="n"/>
      <c r="G663" s="852" t="n"/>
      <c r="H663" s="888" t="n"/>
      <c r="I663" s="889" t="n"/>
      <c r="J663" s="888" t="n"/>
      <c r="K663">
        <f>SUM(H663:J663)</f>
        <v/>
      </c>
      <c r="L663" s="852" t="n"/>
      <c r="M663" s="852" t="n"/>
      <c r="N663" s="852" t="n"/>
      <c r="O663" s="852" t="n"/>
      <c r="P663" s="852" t="n"/>
      <c r="Q663" s="852" t="n"/>
      <c r="R663" s="852" t="n"/>
      <c r="S663" s="852" t="n"/>
      <c r="T663" s="852" t="n"/>
      <c r="U663" s="852" t="n"/>
      <c r="V663" s="852" t="n"/>
      <c r="W663" s="852" t="n"/>
      <c r="X663" s="852" t="n"/>
      <c r="Y663" s="852" t="n"/>
      <c r="Z663" s="852" t="n"/>
      <c r="AA663" s="852" t="n"/>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c r="CL663" s="59" t="n"/>
      <c r="CM663" s="59" t="n"/>
      <c r="CN663" s="59" t="n"/>
    </row>
    <row r="664" ht="15" customFormat="1" customHeight="1" s="3">
      <c r="A664">
        <f>IF(C664="","",ROW()-2)</f>
        <v/>
      </c>
      <c r="B664" s="852" t="n"/>
      <c r="C664" s="852" t="n"/>
      <c r="D664">
        <f>IF(C664="TOH","Type 1",IF(C664="POH","Type 2",IF(OR(C664="LTO",C664="TOH-LC",C664="TOH - LC"),"Type 3",IF(C664="Flourish","Type 4","Type 1"))))</f>
        <v/>
      </c>
      <c r="E664" s="852" t="n"/>
      <c r="F664" s="852" t="n"/>
      <c r="G664" s="852" t="n"/>
      <c r="H664" s="888" t="n"/>
      <c r="I664" s="889" t="n"/>
      <c r="J664" s="888" t="n"/>
      <c r="K664">
        <f>SUM(H664:J664)</f>
        <v/>
      </c>
      <c r="L664" s="852" t="n"/>
      <c r="M664" s="852" t="n"/>
      <c r="N664" s="852" t="n"/>
      <c r="O664" s="852" t="n"/>
      <c r="P664" s="852" t="n"/>
      <c r="Q664" s="852" t="n"/>
      <c r="R664" s="852" t="n"/>
      <c r="S664" s="852" t="n"/>
      <c r="T664" s="852" t="n"/>
      <c r="U664" s="852" t="n"/>
      <c r="V664" s="852" t="n"/>
      <c r="W664" s="852" t="n"/>
      <c r="X664" s="852" t="n"/>
      <c r="Y664" s="852" t="n"/>
      <c r="Z664" s="852" t="n"/>
      <c r="AA664" s="852" t="n"/>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c r="CL664" s="59" t="n"/>
      <c r="CM664" s="59" t="n"/>
      <c r="CN664" s="59" t="n"/>
    </row>
    <row r="665" ht="15" customFormat="1" customHeight="1" s="3">
      <c r="A665">
        <f>IF(C665="","",ROW()-2)</f>
        <v/>
      </c>
      <c r="B665" s="852" t="n"/>
      <c r="C665" s="852" t="n"/>
      <c r="D665">
        <f>IF(C665="TOH","Type 1",IF(C665="POH","Type 2",IF(OR(C665="LTO",C665="TOH-LC",C665="TOH - LC"),"Type 3",IF(C665="Flourish","Type 4","Type 1"))))</f>
        <v/>
      </c>
      <c r="E665" s="852" t="n"/>
      <c r="F665" s="852" t="n"/>
      <c r="G665" s="852" t="n"/>
      <c r="H665" s="888" t="n"/>
      <c r="I665" s="889" t="n"/>
      <c r="J665" s="888" t="n"/>
      <c r="K665">
        <f>SUM(H665:J665)</f>
        <v/>
      </c>
      <c r="L665" s="852" t="n"/>
      <c r="M665" s="852" t="n"/>
      <c r="N665" s="852" t="n"/>
      <c r="O665" s="852" t="n"/>
      <c r="P665" s="852" t="n"/>
      <c r="Q665" s="852" t="n"/>
      <c r="R665" s="852" t="n"/>
      <c r="S665" s="852" t="n"/>
      <c r="T665" s="852" t="n"/>
      <c r="U665" s="852" t="n"/>
      <c r="V665" s="852" t="n"/>
      <c r="W665" s="852" t="n"/>
      <c r="X665" s="852" t="n"/>
      <c r="Y665" s="852" t="n"/>
      <c r="Z665" s="852" t="n"/>
      <c r="AA665" s="852" t="n"/>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c r="CL665" s="59" t="n"/>
      <c r="CM665" s="59" t="n"/>
      <c r="CN665" s="59" t="n"/>
    </row>
    <row r="666" ht="15" customFormat="1" customHeight="1" s="3">
      <c r="A666">
        <f>IF(C666="","",ROW()-2)</f>
        <v/>
      </c>
      <c r="B666" s="852" t="n"/>
      <c r="C666" s="852" t="n"/>
      <c r="D666">
        <f>IF(C666="TOH","Type 1",IF(C666="POH","Type 2",IF(OR(C666="LTO",C666="TOH-LC",C666="TOH - LC"),"Type 3",IF(C666="Flourish","Type 4","Type 1"))))</f>
        <v/>
      </c>
      <c r="E666" s="852" t="n"/>
      <c r="F666" s="852" t="n"/>
      <c r="G666" s="852" t="n"/>
      <c r="H666" s="888" t="n"/>
      <c r="I666" s="889" t="n"/>
      <c r="J666" s="888" t="n"/>
      <c r="K666">
        <f>SUM(H666:J666)</f>
        <v/>
      </c>
      <c r="L666" s="852" t="n"/>
      <c r="M666" s="852" t="n"/>
      <c r="N666" s="852" t="n"/>
      <c r="O666" s="852" t="n"/>
      <c r="P666" s="852" t="n"/>
      <c r="Q666" s="852" t="n"/>
      <c r="R666" s="852" t="n"/>
      <c r="S666" s="852" t="n"/>
      <c r="T666" s="852" t="n"/>
      <c r="U666" s="852" t="n"/>
      <c r="V666" s="852" t="n"/>
      <c r="W666" s="852" t="n"/>
      <c r="X666" s="852" t="n"/>
      <c r="Y666" s="852" t="n"/>
      <c r="Z666" s="852" t="n"/>
      <c r="AA666" s="852" t="n"/>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c r="CL666" s="59" t="n"/>
      <c r="CM666" s="59" t="n"/>
      <c r="CN666" s="59" t="n"/>
    </row>
    <row r="667" ht="15" customFormat="1" customHeight="1" s="3">
      <c r="A667">
        <f>IF(C667="","",ROW()-2)</f>
        <v/>
      </c>
      <c r="B667" s="852" t="n"/>
      <c r="C667" s="852" t="n"/>
      <c r="D667">
        <f>IF(C667="TOH","Type 1",IF(C667="POH","Type 2",IF(OR(C667="LTO",C667="TOH-LC",C667="TOH - LC"),"Type 3",IF(C667="Flourish","Type 4","Type 1"))))</f>
        <v/>
      </c>
      <c r="E667" s="852" t="n"/>
      <c r="F667" s="852" t="n"/>
      <c r="G667" s="852" t="n"/>
      <c r="H667" s="888" t="n"/>
      <c r="I667" s="889" t="n"/>
      <c r="J667" s="888" t="n"/>
      <c r="K667">
        <f>SUM(H667:J667)</f>
        <v/>
      </c>
      <c r="L667" s="852" t="n"/>
      <c r="M667" s="852" t="n"/>
      <c r="N667" s="852" t="n"/>
      <c r="O667" s="852" t="n"/>
      <c r="P667" s="852" t="n"/>
      <c r="Q667" s="852" t="n"/>
      <c r="R667" s="852" t="n"/>
      <c r="S667" s="852" t="n"/>
      <c r="T667" s="852" t="n"/>
      <c r="U667" s="852" t="n"/>
      <c r="V667" s="852" t="n"/>
      <c r="W667" s="852" t="n"/>
      <c r="X667" s="852" t="n"/>
      <c r="Y667" s="852" t="n"/>
      <c r="Z667" s="852" t="n"/>
      <c r="AA667" s="852" t="n"/>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c r="CL667" s="59" t="n"/>
      <c r="CM667" s="59" t="n"/>
      <c r="CN667" s="59" t="n"/>
    </row>
    <row r="668" ht="15" customFormat="1" customHeight="1" s="3">
      <c r="A668">
        <f>IF(C668="","",ROW()-2)</f>
        <v/>
      </c>
      <c r="B668" s="852" t="n"/>
      <c r="C668" s="852" t="n"/>
      <c r="D668">
        <f>IF(C668="TOH","Type 1",IF(C668="POH","Type 2",IF(OR(C668="LTO",C668="TOH-LC",C668="TOH - LC"),"Type 3",IF(C668="Flourish","Type 4","Type 1"))))</f>
        <v/>
      </c>
      <c r="E668" s="852" t="n"/>
      <c r="F668" s="852" t="n"/>
      <c r="G668" s="852" t="n"/>
      <c r="H668" s="888" t="n"/>
      <c r="I668" s="889" t="n"/>
      <c r="J668" s="888" t="n"/>
      <c r="K668">
        <f>SUM(H668:J668)</f>
        <v/>
      </c>
      <c r="L668" s="852" t="n"/>
      <c r="M668" s="852" t="n"/>
      <c r="N668" s="852" t="n"/>
      <c r="O668" s="852" t="n"/>
      <c r="P668" s="852" t="n"/>
      <c r="Q668" s="852" t="n"/>
      <c r="R668" s="852" t="n"/>
      <c r="S668" s="852" t="n"/>
      <c r="T668" s="852" t="n"/>
      <c r="U668" s="852" t="n"/>
      <c r="V668" s="852" t="n"/>
      <c r="W668" s="852" t="n"/>
      <c r="X668" s="852" t="n"/>
      <c r="Y668" s="852" t="n"/>
      <c r="Z668" s="852" t="n"/>
      <c r="AA668" s="852" t="n"/>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c r="CL668" s="59" t="n"/>
      <c r="CM668" s="59" t="n"/>
      <c r="CN668" s="59" t="n"/>
    </row>
    <row r="669" ht="15" customFormat="1" customHeight="1" s="3">
      <c r="A669">
        <f>IF(C669="","",ROW()-2)</f>
        <v/>
      </c>
      <c r="B669" s="852" t="n"/>
      <c r="C669" s="852" t="n"/>
      <c r="D669">
        <f>IF(C669="TOH","Type 1",IF(C669="POH","Type 2",IF(OR(C669="LTO",C669="TOH-LC",C669="TOH - LC"),"Type 3",IF(C669="Flourish","Type 4","Type 1"))))</f>
        <v/>
      </c>
      <c r="E669" s="852" t="n"/>
      <c r="F669" s="852" t="n"/>
      <c r="G669" s="852" t="n"/>
      <c r="H669" s="888" t="n"/>
      <c r="I669" s="889" t="n"/>
      <c r="J669" s="888" t="n"/>
      <c r="K669">
        <f>SUM(H669:J669)</f>
        <v/>
      </c>
      <c r="L669" s="852" t="n"/>
      <c r="M669" s="852" t="n"/>
      <c r="N669" s="852" t="n"/>
      <c r="O669" s="852" t="n"/>
      <c r="P669" s="852" t="n"/>
      <c r="Q669" s="852" t="n"/>
      <c r="R669" s="852" t="n"/>
      <c r="S669" s="852" t="n"/>
      <c r="T669" s="852" t="n"/>
      <c r="U669" s="852" t="n"/>
      <c r="V669" s="852" t="n"/>
      <c r="W669" s="852" t="n"/>
      <c r="X669" s="852" t="n"/>
      <c r="Y669" s="852" t="n"/>
      <c r="Z669" s="852" t="n"/>
      <c r="AA669" s="852" t="n"/>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c r="CL669" s="59" t="n"/>
      <c r="CM669" s="59" t="n"/>
      <c r="CN669" s="59" t="n"/>
    </row>
    <row r="670" ht="15" customFormat="1" customHeight="1" s="3">
      <c r="A670">
        <f>IF(C670="","",ROW()-2)</f>
        <v/>
      </c>
      <c r="B670" s="852" t="n"/>
      <c r="C670" s="852" t="n"/>
      <c r="D670">
        <f>IF(C670="TOH","Type 1",IF(C670="POH","Type 2",IF(OR(C670="LTO",C670="TOH-LC",C670="TOH - LC"),"Type 3",IF(C670="Flourish","Type 4","Type 1"))))</f>
        <v/>
      </c>
      <c r="E670" s="852" t="n"/>
      <c r="F670" s="852" t="n"/>
      <c r="G670" s="852" t="n"/>
      <c r="H670" s="888" t="n"/>
      <c r="I670" s="889" t="n"/>
      <c r="J670" s="888" t="n"/>
      <c r="K670">
        <f>SUM(H670:J670)</f>
        <v/>
      </c>
      <c r="L670" s="852" t="n"/>
      <c r="M670" s="852" t="n"/>
      <c r="N670" s="852" t="n"/>
      <c r="O670" s="852" t="n"/>
      <c r="P670" s="852" t="n"/>
      <c r="Q670" s="852" t="n"/>
      <c r="R670" s="852" t="n"/>
      <c r="S670" s="852" t="n"/>
      <c r="T670" s="852" t="n"/>
      <c r="U670" s="852" t="n"/>
      <c r="V670" s="852" t="n"/>
      <c r="W670" s="852" t="n"/>
      <c r="X670" s="852" t="n"/>
      <c r="Y670" s="852" t="n"/>
      <c r="Z670" s="852" t="n"/>
      <c r="AA670" s="852" t="n"/>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c r="CL670" s="59" t="n"/>
      <c r="CM670" s="59" t="n"/>
      <c r="CN670" s="59" t="n"/>
    </row>
    <row r="671" ht="15" customFormat="1" customHeight="1" s="3">
      <c r="A671">
        <f>IF(C671="","",ROW()-2)</f>
        <v/>
      </c>
      <c r="B671" s="852" t="n"/>
      <c r="C671" s="852" t="n"/>
      <c r="D671">
        <f>IF(C671="TOH","Type 1",IF(C671="POH","Type 2",IF(OR(C671="LTO",C671="TOH-LC",C671="TOH - LC"),"Type 3",IF(C671="Flourish","Type 4","Type 1"))))</f>
        <v/>
      </c>
      <c r="E671" s="852" t="n"/>
      <c r="F671" s="852" t="n"/>
      <c r="G671" s="852" t="n"/>
      <c r="H671" s="888" t="n"/>
      <c r="I671" s="889" t="n"/>
      <c r="J671" s="888" t="n"/>
      <c r="K671">
        <f>SUM(H671:J671)</f>
        <v/>
      </c>
      <c r="L671" s="852" t="n"/>
      <c r="M671" s="852" t="n"/>
      <c r="N671" s="852" t="n"/>
      <c r="O671" s="852" t="n"/>
      <c r="P671" s="852" t="n"/>
      <c r="Q671" s="852" t="n"/>
      <c r="R671" s="852" t="n"/>
      <c r="S671" s="852" t="n"/>
      <c r="T671" s="852" t="n"/>
      <c r="U671" s="852" t="n"/>
      <c r="V671" s="852" t="n"/>
      <c r="W671" s="852" t="n"/>
      <c r="X671" s="852" t="n"/>
      <c r="Y671" s="852" t="n"/>
      <c r="Z671" s="852" t="n"/>
      <c r="AA671" s="852" t="n"/>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c r="CL671" s="59" t="n"/>
      <c r="CM671" s="59" t="n"/>
      <c r="CN671" s="59" t="n"/>
    </row>
    <row r="672" ht="15" customFormat="1" customHeight="1" s="3">
      <c r="A672">
        <f>IF(C672="","",ROW()-2)</f>
        <v/>
      </c>
      <c r="B672" s="852" t="n"/>
      <c r="C672" s="852" t="n"/>
      <c r="D672">
        <f>IF(C672="TOH","Type 1",IF(C672="POH","Type 2",IF(OR(C672="LTO",C672="TOH-LC",C672="TOH - LC"),"Type 3",IF(C672="Flourish","Type 4","Type 1"))))</f>
        <v/>
      </c>
      <c r="E672" s="852" t="n"/>
      <c r="F672" s="852" t="n"/>
      <c r="G672" s="852" t="n"/>
      <c r="H672" s="888" t="n"/>
      <c r="I672" s="889" t="n"/>
      <c r="J672" s="888" t="n"/>
      <c r="K672">
        <f>SUM(H672:J672)</f>
        <v/>
      </c>
      <c r="L672" s="852" t="n"/>
      <c r="M672" s="852" t="n"/>
      <c r="N672" s="852" t="n"/>
      <c r="O672" s="852" t="n"/>
      <c r="P672" s="852" t="n"/>
      <c r="Q672" s="852" t="n"/>
      <c r="R672" s="852" t="n"/>
      <c r="S672" s="852" t="n"/>
      <c r="T672" s="852" t="n"/>
      <c r="U672" s="852" t="n"/>
      <c r="V672" s="852" t="n"/>
      <c r="W672" s="852" t="n"/>
      <c r="X672" s="852" t="n"/>
      <c r="Y672" s="852" t="n"/>
      <c r="Z672" s="852" t="n"/>
      <c r="AA672" s="852" t="n"/>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c r="CL672" s="59" t="n"/>
      <c r="CM672" s="59" t="n"/>
      <c r="CN672" s="59" t="n"/>
    </row>
    <row r="673" ht="15" customFormat="1" customHeight="1" s="3">
      <c r="A673">
        <f>IF(C673="","",ROW()-2)</f>
        <v/>
      </c>
      <c r="B673" s="852" t="n"/>
      <c r="C673" s="852" t="n"/>
      <c r="D673">
        <f>IF(C673="TOH","Type 1",IF(C673="POH","Type 2",IF(OR(C673="LTO",C673="TOH-LC",C673="TOH - LC"),"Type 3",IF(C673="Flourish","Type 4","Type 1"))))</f>
        <v/>
      </c>
      <c r="E673" s="852" t="n"/>
      <c r="F673" s="852" t="n"/>
      <c r="G673" s="852" t="n"/>
      <c r="H673" s="888" t="n"/>
      <c r="I673" s="889" t="n"/>
      <c r="J673" s="888" t="n"/>
      <c r="K673">
        <f>SUM(H673:J673)</f>
        <v/>
      </c>
      <c r="L673" s="852" t="n"/>
      <c r="M673" s="852" t="n"/>
      <c r="N673" s="852" t="n"/>
      <c r="O673" s="852" t="n"/>
      <c r="P673" s="852" t="n"/>
      <c r="Q673" s="852" t="n"/>
      <c r="R673" s="852" t="n"/>
      <c r="S673" s="852" t="n"/>
      <c r="T673" s="852" t="n"/>
      <c r="U673" s="852" t="n"/>
      <c r="V673" s="852" t="n"/>
      <c r="W673" s="852" t="n"/>
      <c r="X673" s="852" t="n"/>
      <c r="Y673" s="852" t="n"/>
      <c r="Z673" s="852" t="n"/>
      <c r="AA673" s="852" t="n"/>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c r="CL673" s="59" t="n"/>
      <c r="CM673" s="59" t="n"/>
      <c r="CN673" s="59" t="n"/>
    </row>
    <row r="674" ht="15" customFormat="1" customHeight="1" s="3">
      <c r="A674">
        <f>IF(C674="","",ROW()-2)</f>
        <v/>
      </c>
      <c r="B674" s="852" t="n"/>
      <c r="C674" s="852" t="n"/>
      <c r="D674">
        <f>IF(C674="TOH","Type 1",IF(C674="POH","Type 2",IF(OR(C674="LTO",C674="TOH-LC",C674="TOH - LC"),"Type 3",IF(C674="Flourish","Type 4","Type 1"))))</f>
        <v/>
      </c>
      <c r="E674" s="852" t="n"/>
      <c r="F674" s="852" t="n"/>
      <c r="G674" s="852" t="n"/>
      <c r="H674" s="888" t="n"/>
      <c r="I674" s="889" t="n"/>
      <c r="J674" s="888" t="n"/>
      <c r="K674">
        <f>SUM(H674:J674)</f>
        <v/>
      </c>
      <c r="L674" s="852" t="n"/>
      <c r="M674" s="852" t="n"/>
      <c r="N674" s="852" t="n"/>
      <c r="O674" s="852" t="n"/>
      <c r="P674" s="852" t="n"/>
      <c r="Q674" s="852" t="n"/>
      <c r="R674" s="852" t="n"/>
      <c r="S674" s="852" t="n"/>
      <c r="T674" s="852" t="n"/>
      <c r="U674" s="852" t="n"/>
      <c r="V674" s="852" t="n"/>
      <c r="W674" s="852" t="n"/>
      <c r="X674" s="852" t="n"/>
      <c r="Y674" s="852" t="n"/>
      <c r="Z674" s="852" t="n"/>
      <c r="AA674" s="852" t="n"/>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c r="CL674" s="59" t="n"/>
      <c r="CM674" s="59" t="n"/>
      <c r="CN674" s="59" t="n"/>
    </row>
    <row r="675" ht="15" customFormat="1" customHeight="1" s="3">
      <c r="A675">
        <f>IF(C675="","",ROW()-2)</f>
        <v/>
      </c>
      <c r="B675" s="852" t="n"/>
      <c r="C675" s="852" t="n"/>
      <c r="D675">
        <f>IF(C675="TOH","Type 1",IF(C675="POH","Type 2",IF(OR(C675="LTO",C675="TOH-LC",C675="TOH - LC"),"Type 3",IF(C675="Flourish","Type 4","Type 1"))))</f>
        <v/>
      </c>
      <c r="E675" s="852" t="n"/>
      <c r="F675" s="852" t="n"/>
      <c r="G675" s="852" t="n"/>
      <c r="H675" s="888" t="n"/>
      <c r="I675" s="889" t="n"/>
      <c r="J675" s="888" t="n"/>
      <c r="K675">
        <f>SUM(H675:J675)</f>
        <v/>
      </c>
      <c r="L675" s="852" t="n"/>
      <c r="M675" s="852" t="n"/>
      <c r="N675" s="852" t="n"/>
      <c r="O675" s="852" t="n"/>
      <c r="P675" s="852" t="n"/>
      <c r="Q675" s="852" t="n"/>
      <c r="R675" s="852" t="n"/>
      <c r="S675" s="852" t="n"/>
      <c r="T675" s="852" t="n"/>
      <c r="U675" s="852" t="n"/>
      <c r="V675" s="852" t="n"/>
      <c r="W675" s="852" t="n"/>
      <c r="X675" s="852" t="n"/>
      <c r="Y675" s="852" t="n"/>
      <c r="Z675" s="852" t="n"/>
      <c r="AA675" s="852" t="n"/>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c r="CL675" s="59" t="n"/>
      <c r="CM675" s="59" t="n"/>
      <c r="CN675" s="59" t="n"/>
    </row>
    <row r="676" ht="15" customFormat="1" customHeight="1" s="3">
      <c r="A676">
        <f>IF(C676="","",ROW()-2)</f>
        <v/>
      </c>
      <c r="B676" s="852" t="n"/>
      <c r="C676" s="852" t="n"/>
      <c r="D676">
        <f>IF(C676="TOH","Type 1",IF(C676="POH","Type 2",IF(OR(C676="LTO",C676="TOH-LC",C676="TOH - LC"),"Type 3",IF(C676="Flourish","Type 4","Type 1"))))</f>
        <v/>
      </c>
      <c r="E676" s="852" t="n"/>
      <c r="F676" s="852" t="n"/>
      <c r="G676" s="852" t="n"/>
      <c r="H676" s="888" t="n"/>
      <c r="I676" s="889" t="n"/>
      <c r="J676" s="888" t="n"/>
      <c r="K676">
        <f>SUM(H676:J676)</f>
        <v/>
      </c>
      <c r="L676" s="852" t="n"/>
      <c r="M676" s="852" t="n"/>
      <c r="N676" s="852" t="n"/>
      <c r="O676" s="852" t="n"/>
      <c r="P676" s="852" t="n"/>
      <c r="Q676" s="852" t="n"/>
      <c r="R676" s="852" t="n"/>
      <c r="S676" s="852" t="n"/>
      <c r="T676" s="852" t="n"/>
      <c r="U676" s="852" t="n"/>
      <c r="V676" s="852" t="n"/>
      <c r="W676" s="852" t="n"/>
      <c r="X676" s="852" t="n"/>
      <c r="Y676" s="852" t="n"/>
      <c r="Z676" s="852" t="n"/>
      <c r="AA676" s="852" t="n"/>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c r="CL676" s="59" t="n"/>
      <c r="CM676" s="59" t="n"/>
      <c r="CN676" s="59" t="n"/>
    </row>
    <row r="677" ht="15" customFormat="1" customHeight="1" s="3">
      <c r="A677">
        <f>IF(C677="","",ROW()-2)</f>
        <v/>
      </c>
      <c r="B677" s="852" t="n"/>
      <c r="C677" s="852" t="n"/>
      <c r="D677">
        <f>IF(C677="TOH","Type 1",IF(C677="POH","Type 2",IF(OR(C677="LTO",C677="TOH-LC",C677="TOH - LC"),"Type 3",IF(C677="Flourish","Type 4","Type 1"))))</f>
        <v/>
      </c>
      <c r="E677" s="852" t="n"/>
      <c r="F677" s="852" t="n"/>
      <c r="G677" s="852" t="n"/>
      <c r="H677" s="888" t="n"/>
      <c r="I677" s="889" t="n"/>
      <c r="J677" s="888" t="n"/>
      <c r="K677">
        <f>SUM(H677:J677)</f>
        <v/>
      </c>
      <c r="L677" s="852" t="n"/>
      <c r="M677" s="852" t="n"/>
      <c r="N677" s="852" t="n"/>
      <c r="O677" s="852" t="n"/>
      <c r="P677" s="852" t="n"/>
      <c r="Q677" s="852" t="n"/>
      <c r="R677" s="852" t="n"/>
      <c r="S677" s="852" t="n"/>
      <c r="T677" s="852" t="n"/>
      <c r="U677" s="852" t="n"/>
      <c r="V677" s="852" t="n"/>
      <c r="W677" s="852" t="n"/>
      <c r="X677" s="852" t="n"/>
      <c r="Y677" s="852" t="n"/>
      <c r="Z677" s="852" t="n"/>
      <c r="AA677" s="852" t="n"/>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c r="CL677" s="59" t="n"/>
      <c r="CM677" s="59" t="n"/>
      <c r="CN677" s="59" t="n"/>
    </row>
    <row r="678" ht="15" customFormat="1" customHeight="1" s="3">
      <c r="A678">
        <f>IF(C678="","",ROW()-2)</f>
        <v/>
      </c>
      <c r="B678" s="852" t="n"/>
      <c r="C678" s="852" t="n"/>
      <c r="D678">
        <f>IF(C678="TOH","Type 1",IF(C678="POH","Type 2",IF(OR(C678="LTO",C678="TOH-LC",C678="TOH - LC"),"Type 3",IF(C678="Flourish","Type 4","Type 1"))))</f>
        <v/>
      </c>
      <c r="E678" s="852" t="n"/>
      <c r="F678" s="852" t="n"/>
      <c r="G678" s="852" t="n"/>
      <c r="H678" s="888" t="n"/>
      <c r="I678" s="889" t="n"/>
      <c r="J678" s="888" t="n"/>
      <c r="K678">
        <f>SUM(H678:J678)</f>
        <v/>
      </c>
      <c r="L678" s="852" t="n"/>
      <c r="M678" s="852" t="n"/>
      <c r="N678" s="852" t="n"/>
      <c r="O678" s="852" t="n"/>
      <c r="P678" s="852" t="n"/>
      <c r="Q678" s="852" t="n"/>
      <c r="R678" s="852" t="n"/>
      <c r="S678" s="852" t="n"/>
      <c r="T678" s="852" t="n"/>
      <c r="U678" s="852" t="n"/>
      <c r="V678" s="852" t="n"/>
      <c r="W678" s="852" t="n"/>
      <c r="X678" s="852" t="n"/>
      <c r="Y678" s="852" t="n"/>
      <c r="Z678" s="852" t="n"/>
      <c r="AA678" s="852" t="n"/>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c r="CL678" s="59" t="n"/>
      <c r="CM678" s="59" t="n"/>
      <c r="CN678" s="59" t="n"/>
    </row>
    <row r="679" ht="15" customFormat="1" customHeight="1" s="3">
      <c r="A679">
        <f>IF(C679="","",ROW()-2)</f>
        <v/>
      </c>
      <c r="B679" s="852" t="n"/>
      <c r="C679" s="852" t="n"/>
      <c r="D679">
        <f>IF(C679="TOH","Type 1",IF(C679="POH","Type 2",IF(OR(C679="LTO",C679="TOH-LC",C679="TOH - LC"),"Type 3",IF(C679="Flourish","Type 4","Type 1"))))</f>
        <v/>
      </c>
      <c r="E679" s="852" t="n"/>
      <c r="F679" s="852" t="n"/>
      <c r="G679" s="852" t="n"/>
      <c r="H679" s="888" t="n"/>
      <c r="I679" s="889" t="n"/>
      <c r="J679" s="888" t="n"/>
      <c r="K679">
        <f>SUM(H679:J679)</f>
        <v/>
      </c>
      <c r="L679" s="852" t="n"/>
      <c r="M679" s="852" t="n"/>
      <c r="N679" s="852" t="n"/>
      <c r="O679" s="852" t="n"/>
      <c r="P679" s="852" t="n"/>
      <c r="Q679" s="852" t="n"/>
      <c r="R679" s="852" t="n"/>
      <c r="S679" s="852" t="n"/>
      <c r="T679" s="852" t="n"/>
      <c r="U679" s="852" t="n"/>
      <c r="V679" s="852" t="n"/>
      <c r="W679" s="852" t="n"/>
      <c r="X679" s="852" t="n"/>
      <c r="Y679" s="852" t="n"/>
      <c r="Z679" s="852" t="n"/>
      <c r="AA679" s="852" t="n"/>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c r="CL679" s="59" t="n"/>
      <c r="CM679" s="59" t="n"/>
      <c r="CN679" s="59" t="n"/>
    </row>
    <row r="680" ht="15" customFormat="1" customHeight="1" s="3">
      <c r="A680">
        <f>IF(C680="","",ROW()-2)</f>
        <v/>
      </c>
      <c r="B680" s="852" t="n"/>
      <c r="C680" s="852" t="n"/>
      <c r="D680">
        <f>IF(C680="TOH","Type 1",IF(C680="POH","Type 2",IF(OR(C680="LTO",C680="TOH-LC",C680="TOH - LC"),"Type 3",IF(C680="Flourish","Type 4","Type 1"))))</f>
        <v/>
      </c>
      <c r="E680" s="852" t="n"/>
      <c r="F680" s="852" t="n"/>
      <c r="G680" s="852" t="n"/>
      <c r="H680" s="888" t="n"/>
      <c r="I680" s="889" t="n"/>
      <c r="J680" s="888" t="n"/>
      <c r="K680">
        <f>SUM(H680:J680)</f>
        <v/>
      </c>
      <c r="L680" s="852" t="n"/>
      <c r="M680" s="852" t="n"/>
      <c r="N680" s="852" t="n"/>
      <c r="O680" s="852" t="n"/>
      <c r="P680" s="852" t="n"/>
      <c r="Q680" s="852" t="n"/>
      <c r="R680" s="852" t="n"/>
      <c r="S680" s="852" t="n"/>
      <c r="T680" s="852" t="n"/>
      <c r="U680" s="852" t="n"/>
      <c r="V680" s="852" t="n"/>
      <c r="W680" s="852" t="n"/>
      <c r="X680" s="852" t="n"/>
      <c r="Y680" s="852" t="n"/>
      <c r="Z680" s="852" t="n"/>
      <c r="AA680" s="852" t="n"/>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c r="CL680" s="59" t="n"/>
      <c r="CM680" s="59" t="n"/>
      <c r="CN680" s="59" t="n"/>
    </row>
    <row r="681" ht="15" customFormat="1" customHeight="1" s="3">
      <c r="A681">
        <f>IF(C681="","",ROW()-2)</f>
        <v/>
      </c>
      <c r="B681" s="852" t="n"/>
      <c r="C681" s="852" t="n"/>
      <c r="D681">
        <f>IF(C681="TOH","Type 1",IF(C681="POH","Type 2",IF(OR(C681="LTO",C681="TOH-LC",C681="TOH - LC"),"Type 3",IF(C681="Flourish","Type 4","Type 1"))))</f>
        <v/>
      </c>
      <c r="E681" s="852" t="n"/>
      <c r="F681" s="852" t="n"/>
      <c r="G681" s="852" t="n"/>
      <c r="H681" s="888" t="n"/>
      <c r="I681" s="889" t="n"/>
      <c r="J681" s="888" t="n"/>
      <c r="K681">
        <f>SUM(H681:J681)</f>
        <v/>
      </c>
      <c r="L681" s="852" t="n"/>
      <c r="M681" s="852" t="n"/>
      <c r="N681" s="852" t="n"/>
      <c r="O681" s="852" t="n"/>
      <c r="P681" s="852" t="n"/>
      <c r="Q681" s="852" t="n"/>
      <c r="R681" s="852" t="n"/>
      <c r="S681" s="852" t="n"/>
      <c r="T681" s="852" t="n"/>
      <c r="U681" s="852" t="n"/>
      <c r="V681" s="852" t="n"/>
      <c r="W681" s="852" t="n"/>
      <c r="X681" s="852" t="n"/>
      <c r="Y681" s="852" t="n"/>
      <c r="Z681" s="852" t="n"/>
      <c r="AA681" s="852" t="n"/>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c r="CL681" s="59" t="n"/>
      <c r="CM681" s="59" t="n"/>
      <c r="CN681" s="59" t="n"/>
    </row>
    <row r="682" ht="15" customFormat="1" customHeight="1" s="3">
      <c r="A682">
        <f>IF(C682="","",ROW()-2)</f>
        <v/>
      </c>
      <c r="B682" s="852" t="n"/>
      <c r="C682" s="852" t="n"/>
      <c r="D682">
        <f>IF(C682="TOH","Type 1",IF(C682="POH","Type 2",IF(OR(C682="LTO",C682="TOH-LC",C682="TOH - LC"),"Type 3",IF(C682="Flourish","Type 4","Type 1"))))</f>
        <v/>
      </c>
      <c r="E682" s="852" t="n"/>
      <c r="F682" s="852" t="n"/>
      <c r="G682" s="852" t="n"/>
      <c r="H682" s="888" t="n"/>
      <c r="I682" s="889" t="n"/>
      <c r="J682" s="888" t="n"/>
      <c r="K682">
        <f>SUM(H682:J682)</f>
        <v/>
      </c>
      <c r="L682" s="852" t="n"/>
      <c r="M682" s="852" t="n"/>
      <c r="N682" s="852" t="n"/>
      <c r="O682" s="852" t="n"/>
      <c r="P682" s="852" t="n"/>
      <c r="Q682" s="852" t="n"/>
      <c r="R682" s="852" t="n"/>
      <c r="S682" s="852" t="n"/>
      <c r="T682" s="852" t="n"/>
      <c r="U682" s="852" t="n"/>
      <c r="V682" s="852" t="n"/>
      <c r="W682" s="852" t="n"/>
      <c r="X682" s="852" t="n"/>
      <c r="Y682" s="852" t="n"/>
      <c r="Z682" s="852" t="n"/>
      <c r="AA682" s="852" t="n"/>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c r="CL682" s="59" t="n"/>
      <c r="CM682" s="59" t="n"/>
      <c r="CN682" s="59" t="n"/>
    </row>
    <row r="683" ht="15" customFormat="1" customHeight="1" s="3">
      <c r="A683">
        <f>IF(C683="","",ROW()-2)</f>
        <v/>
      </c>
      <c r="B683" s="852" t="n"/>
      <c r="C683" s="852" t="n"/>
      <c r="D683">
        <f>IF(C683="TOH","Type 1",IF(C683="POH","Type 2",IF(OR(C683="LTO",C683="TOH-LC",C683="TOH - LC"),"Type 3",IF(C683="Flourish","Type 4","Type 1"))))</f>
        <v/>
      </c>
      <c r="E683" s="852" t="n"/>
      <c r="F683" s="852" t="n"/>
      <c r="G683" s="852" t="n"/>
      <c r="H683" s="888" t="n"/>
      <c r="I683" s="889" t="n"/>
      <c r="J683" s="888" t="n"/>
      <c r="K683">
        <f>SUM(H683:J683)</f>
        <v/>
      </c>
      <c r="L683" s="852" t="n"/>
      <c r="M683" s="852" t="n"/>
      <c r="N683" s="852" t="n"/>
      <c r="O683" s="852" t="n"/>
      <c r="P683" s="852" t="n"/>
      <c r="Q683" s="852" t="n"/>
      <c r="R683" s="852" t="n"/>
      <c r="S683" s="852" t="n"/>
      <c r="T683" s="852" t="n"/>
      <c r="U683" s="852" t="n"/>
      <c r="V683" s="852" t="n"/>
      <c r="W683" s="852" t="n"/>
      <c r="X683" s="852" t="n"/>
      <c r="Y683" s="852" t="n"/>
      <c r="Z683" s="852" t="n"/>
      <c r="AA683" s="852" t="n"/>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c r="CL683" s="59" t="n"/>
      <c r="CM683" s="59" t="n"/>
      <c r="CN683" s="59" t="n"/>
    </row>
    <row r="684" ht="15" customFormat="1" customHeight="1" s="3">
      <c r="A684">
        <f>IF(C684="","",ROW()-2)</f>
        <v/>
      </c>
      <c r="B684" s="852" t="n"/>
      <c r="C684" s="852" t="n"/>
      <c r="D684">
        <f>IF(C684="TOH","Type 1",IF(C684="POH","Type 2",IF(OR(C684="LTO",C684="TOH-LC",C684="TOH - LC"),"Type 3",IF(C684="Flourish","Type 4","Type 1"))))</f>
        <v/>
      </c>
      <c r="E684" s="852" t="n"/>
      <c r="F684" s="852" t="n"/>
      <c r="G684" s="852" t="n"/>
      <c r="H684" s="888" t="n"/>
      <c r="I684" s="889" t="n"/>
      <c r="J684" s="888" t="n"/>
      <c r="K684">
        <f>SUM(H684:J684)</f>
        <v/>
      </c>
      <c r="L684" s="852" t="n"/>
      <c r="M684" s="852" t="n"/>
      <c r="N684" s="852" t="n"/>
      <c r="O684" s="852" t="n"/>
      <c r="P684" s="852" t="n"/>
      <c r="Q684" s="852" t="n"/>
      <c r="R684" s="852" t="n"/>
      <c r="S684" s="852" t="n"/>
      <c r="T684" s="852" t="n"/>
      <c r="U684" s="852" t="n"/>
      <c r="V684" s="852" t="n"/>
      <c r="W684" s="852" t="n"/>
      <c r="X684" s="852" t="n"/>
      <c r="Y684" s="852" t="n"/>
      <c r="Z684" s="852" t="n"/>
      <c r="AA684" s="852" t="n"/>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c r="CL684" s="59" t="n"/>
      <c r="CM684" s="59" t="n"/>
      <c r="CN684" s="59" t="n"/>
    </row>
    <row r="685" ht="15" customFormat="1" customHeight="1" s="3">
      <c r="A685">
        <f>IF(C685="","",ROW()-2)</f>
        <v/>
      </c>
      <c r="B685" s="852" t="n"/>
      <c r="C685" s="852" t="n"/>
      <c r="D685">
        <f>IF(C685="TOH","Type 1",IF(C685="POH","Type 2",IF(OR(C685="LTO",C685="TOH-LC",C685="TOH - LC"),"Type 3",IF(C685="Flourish","Type 4","Type 1"))))</f>
        <v/>
      </c>
      <c r="E685" s="852" t="n"/>
      <c r="F685" s="852" t="n"/>
      <c r="G685" s="852" t="n"/>
      <c r="H685" s="888" t="n"/>
      <c r="I685" s="889" t="n"/>
      <c r="J685" s="888" t="n"/>
      <c r="K685">
        <f>SUM(H685:J685)</f>
        <v/>
      </c>
      <c r="L685" s="852" t="n"/>
      <c r="M685" s="852" t="n"/>
      <c r="N685" s="852" t="n"/>
      <c r="O685" s="852" t="n"/>
      <c r="P685" s="852" t="n"/>
      <c r="Q685" s="852" t="n"/>
      <c r="R685" s="852" t="n"/>
      <c r="S685" s="852" t="n"/>
      <c r="T685" s="852" t="n"/>
      <c r="U685" s="852" t="n"/>
      <c r="V685" s="852" t="n"/>
      <c r="W685" s="852" t="n"/>
      <c r="X685" s="852" t="n"/>
      <c r="Y685" s="852" t="n"/>
      <c r="Z685" s="852" t="n"/>
      <c r="AA685" s="852" t="n"/>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c r="CL685" s="59" t="n"/>
      <c r="CM685" s="59" t="n"/>
      <c r="CN685" s="59" t="n"/>
    </row>
    <row r="686" ht="15" customFormat="1" customHeight="1" s="3">
      <c r="A686">
        <f>IF(C686="","",ROW()-2)</f>
        <v/>
      </c>
      <c r="B686" s="852" t="n"/>
      <c r="C686" s="852" t="n"/>
      <c r="D686">
        <f>IF(C686="TOH","Type 1",IF(C686="POH","Type 2",IF(OR(C686="LTO",C686="TOH-LC",C686="TOH - LC"),"Type 3",IF(C686="Flourish","Type 4","Type 1"))))</f>
        <v/>
      </c>
      <c r="E686" s="852" t="n"/>
      <c r="F686" s="852" t="n"/>
      <c r="G686" s="852" t="n"/>
      <c r="H686" s="888" t="n"/>
      <c r="I686" s="889" t="n"/>
      <c r="J686" s="888" t="n"/>
      <c r="K686">
        <f>SUM(H686:J686)</f>
        <v/>
      </c>
      <c r="L686" s="852" t="n"/>
      <c r="M686" s="852" t="n"/>
      <c r="N686" s="852" t="n"/>
      <c r="O686" s="852" t="n"/>
      <c r="P686" s="852" t="n"/>
      <c r="Q686" s="852" t="n"/>
      <c r="R686" s="852" t="n"/>
      <c r="S686" s="852" t="n"/>
      <c r="T686" s="852" t="n"/>
      <c r="U686" s="852" t="n"/>
      <c r="V686" s="852" t="n"/>
      <c r="W686" s="852" t="n"/>
      <c r="X686" s="852" t="n"/>
      <c r="Y686" s="852" t="n"/>
      <c r="Z686" s="852" t="n"/>
      <c r="AA686" s="852" t="n"/>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c r="CL686" s="59" t="n"/>
      <c r="CM686" s="59" t="n"/>
      <c r="CN686" s="59" t="n"/>
    </row>
    <row r="687" ht="15" customFormat="1" customHeight="1" s="3">
      <c r="A687">
        <f>IF(C687="","",ROW()-2)</f>
        <v/>
      </c>
      <c r="B687" s="852" t="n"/>
      <c r="C687" s="852" t="n"/>
      <c r="D687">
        <f>IF(C687="TOH","Type 1",IF(C687="POH","Type 2",IF(OR(C687="LTO",C687="TOH-LC",C687="TOH - LC"),"Type 3",IF(C687="Flourish","Type 4","Type 1"))))</f>
        <v/>
      </c>
      <c r="E687" s="852" t="n"/>
      <c r="F687" s="852" t="n"/>
      <c r="G687" s="852" t="n"/>
      <c r="H687" s="888" t="n"/>
      <c r="I687" s="889" t="n"/>
      <c r="J687" s="888" t="n"/>
      <c r="K687">
        <f>SUM(H687:J687)</f>
        <v/>
      </c>
      <c r="L687" s="852" t="n"/>
      <c r="M687" s="852" t="n"/>
      <c r="N687" s="852" t="n"/>
      <c r="O687" s="852" t="n"/>
      <c r="P687" s="852" t="n"/>
      <c r="Q687" s="852" t="n"/>
      <c r="R687" s="852" t="n"/>
      <c r="S687" s="852" t="n"/>
      <c r="T687" s="852" t="n"/>
      <c r="U687" s="852" t="n"/>
      <c r="V687" s="852" t="n"/>
      <c r="W687" s="852" t="n"/>
      <c r="X687" s="852" t="n"/>
      <c r="Y687" s="852" t="n"/>
      <c r="Z687" s="852" t="n"/>
      <c r="AA687" s="852" t="n"/>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c r="CL687" s="59" t="n"/>
      <c r="CM687" s="59" t="n"/>
      <c r="CN687" s="59" t="n"/>
    </row>
    <row r="688" ht="15" customFormat="1" customHeight="1" s="3">
      <c r="A688">
        <f>IF(C688="","",ROW()-2)</f>
        <v/>
      </c>
      <c r="B688" s="852" t="n"/>
      <c r="C688" s="852" t="n"/>
      <c r="D688">
        <f>IF(C688="TOH","Type 1",IF(C688="POH","Type 2",IF(OR(C688="LTO",C688="TOH-LC",C688="TOH - LC"),"Type 3",IF(C688="Flourish","Type 4","Type 1"))))</f>
        <v/>
      </c>
      <c r="E688" s="852" t="n"/>
      <c r="F688" s="852" t="n"/>
      <c r="G688" s="852" t="n"/>
      <c r="H688" s="888" t="n"/>
      <c r="I688" s="889" t="n"/>
      <c r="J688" s="888" t="n"/>
      <c r="K688">
        <f>SUM(H688:J688)</f>
        <v/>
      </c>
      <c r="L688" s="852" t="n"/>
      <c r="M688" s="852" t="n"/>
      <c r="N688" s="852" t="n"/>
      <c r="O688" s="852" t="n"/>
      <c r="P688" s="852" t="n"/>
      <c r="Q688" s="852" t="n"/>
      <c r="R688" s="852" t="n"/>
      <c r="S688" s="852" t="n"/>
      <c r="T688" s="852" t="n"/>
      <c r="U688" s="852" t="n"/>
      <c r="V688" s="852" t="n"/>
      <c r="W688" s="852" t="n"/>
      <c r="X688" s="852" t="n"/>
      <c r="Y688" s="852" t="n"/>
      <c r="Z688" s="852" t="n"/>
      <c r="AA688" s="852" t="n"/>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c r="CL688" s="59" t="n"/>
      <c r="CM688" s="59" t="n"/>
      <c r="CN688" s="59" t="n"/>
    </row>
    <row r="689" ht="15" customFormat="1" customHeight="1" s="3">
      <c r="A689">
        <f>IF(C689="","",ROW()-2)</f>
        <v/>
      </c>
      <c r="B689" s="852" t="n"/>
      <c r="C689" s="852" t="n"/>
      <c r="D689">
        <f>IF(C689="TOH","Type 1",IF(C689="POH","Type 2",IF(OR(C689="LTO",C689="TOH-LC",C689="TOH - LC"),"Type 3",IF(C689="Flourish","Type 4","Type 1"))))</f>
        <v/>
      </c>
      <c r="E689" s="852" t="n"/>
      <c r="F689" s="852" t="n"/>
      <c r="G689" s="852" t="n"/>
      <c r="H689" s="888" t="n"/>
      <c r="I689" s="889" t="n"/>
      <c r="J689" s="888" t="n"/>
      <c r="K689">
        <f>SUM(H689:J689)</f>
        <v/>
      </c>
      <c r="L689" s="852" t="n"/>
      <c r="M689" s="852" t="n"/>
      <c r="N689" s="852" t="n"/>
      <c r="O689" s="852" t="n"/>
      <c r="P689" s="852" t="n"/>
      <c r="Q689" s="852" t="n"/>
      <c r="R689" s="852" t="n"/>
      <c r="S689" s="852" t="n"/>
      <c r="T689" s="852" t="n"/>
      <c r="U689" s="852" t="n"/>
      <c r="V689" s="852" t="n"/>
      <c r="W689" s="852" t="n"/>
      <c r="X689" s="852" t="n"/>
      <c r="Y689" s="852" t="n"/>
      <c r="Z689" s="852" t="n"/>
      <c r="AA689" s="852" t="n"/>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c r="CL689" s="59" t="n"/>
      <c r="CM689" s="59" t="n"/>
      <c r="CN689" s="59" t="n"/>
    </row>
    <row r="690" ht="15" customFormat="1" customHeight="1" s="3">
      <c r="A690">
        <f>IF(C690="","",ROW()-2)</f>
        <v/>
      </c>
      <c r="B690" s="852" t="n"/>
      <c r="C690" s="852" t="n"/>
      <c r="D690">
        <f>IF(C690="TOH","Type 1",IF(C690="POH","Type 2",IF(OR(C690="LTO",C690="TOH-LC",C690="TOH - LC"),"Type 3",IF(C690="Flourish","Type 4","Type 1"))))</f>
        <v/>
      </c>
      <c r="E690" s="852" t="n"/>
      <c r="F690" s="852" t="n"/>
      <c r="G690" s="852" t="n"/>
      <c r="H690" s="888" t="n"/>
      <c r="I690" s="889" t="n"/>
      <c r="J690" s="888" t="n"/>
      <c r="K690">
        <f>SUM(H690:J690)</f>
        <v/>
      </c>
      <c r="L690" s="852" t="n"/>
      <c r="M690" s="852" t="n"/>
      <c r="N690" s="852" t="n"/>
      <c r="O690" s="852" t="n"/>
      <c r="P690" s="852" t="n"/>
      <c r="Q690" s="852" t="n"/>
      <c r="R690" s="852" t="n"/>
      <c r="S690" s="852" t="n"/>
      <c r="T690" s="852" t="n"/>
      <c r="U690" s="852" t="n"/>
      <c r="V690" s="852" t="n"/>
      <c r="W690" s="852" t="n"/>
      <c r="X690" s="852" t="n"/>
      <c r="Y690" s="852" t="n"/>
      <c r="Z690" s="852" t="n"/>
      <c r="AA690" s="852" t="n"/>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c r="CL690" s="59" t="n"/>
      <c r="CM690" s="59" t="n"/>
      <c r="CN690" s="59" t="n"/>
    </row>
    <row r="691" ht="15" customFormat="1" customHeight="1" s="3">
      <c r="A691">
        <f>IF(C691="","",ROW()-2)</f>
        <v/>
      </c>
      <c r="B691" s="852" t="n"/>
      <c r="C691" s="852" t="n"/>
      <c r="D691">
        <f>IF(C691="TOH","Type 1",IF(C691="POH","Type 2",IF(OR(C691="LTO",C691="TOH-LC",C691="TOH - LC"),"Type 3",IF(C691="Flourish","Type 4","Type 1"))))</f>
        <v/>
      </c>
      <c r="E691" s="852" t="n"/>
      <c r="F691" s="852" t="n"/>
      <c r="G691" s="852" t="n"/>
      <c r="H691" s="888" t="n"/>
      <c r="I691" s="889" t="n"/>
      <c r="J691" s="888" t="n"/>
      <c r="K691">
        <f>SUM(H691:J691)</f>
        <v/>
      </c>
      <c r="L691" s="852" t="n"/>
      <c r="M691" s="852" t="n"/>
      <c r="N691" s="852" t="n"/>
      <c r="O691" s="852" t="n"/>
      <c r="P691" s="852" t="n"/>
      <c r="Q691" s="852" t="n"/>
      <c r="R691" s="852" t="n"/>
      <c r="S691" s="852" t="n"/>
      <c r="T691" s="852" t="n"/>
      <c r="U691" s="852" t="n"/>
      <c r="V691" s="852" t="n"/>
      <c r="W691" s="852" t="n"/>
      <c r="X691" s="852" t="n"/>
      <c r="Y691" s="852" t="n"/>
      <c r="Z691" s="852" t="n"/>
      <c r="AA691" s="852" t="n"/>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c r="CL691" s="59" t="n"/>
      <c r="CM691" s="59" t="n"/>
      <c r="CN691" s="59" t="n"/>
    </row>
    <row r="692" ht="15" customFormat="1" customHeight="1" s="3">
      <c r="A692">
        <f>IF(C692="","",ROW()-2)</f>
        <v/>
      </c>
      <c r="B692" s="852" t="n"/>
      <c r="C692" s="852" t="n"/>
      <c r="D692">
        <f>IF(C692="TOH","Type 1",IF(C692="POH","Type 2",IF(OR(C692="LTO",C692="TOH-LC",C692="TOH - LC"),"Type 3",IF(C692="Flourish","Type 4","Type 1"))))</f>
        <v/>
      </c>
      <c r="E692" s="852" t="n"/>
      <c r="F692" s="852" t="n"/>
      <c r="G692" s="852" t="n"/>
      <c r="H692" s="888" t="n"/>
      <c r="I692" s="889" t="n"/>
      <c r="J692" s="888" t="n"/>
      <c r="K692">
        <f>SUM(H692:J692)</f>
        <v/>
      </c>
      <c r="L692" s="852" t="n"/>
      <c r="M692" s="852" t="n"/>
      <c r="N692" s="852" t="n"/>
      <c r="O692" s="852" t="n"/>
      <c r="P692" s="852" t="n"/>
      <c r="Q692" s="852" t="n"/>
      <c r="R692" s="852" t="n"/>
      <c r="S692" s="852" t="n"/>
      <c r="T692" s="852" t="n"/>
      <c r="U692" s="852" t="n"/>
      <c r="V692" s="852" t="n"/>
      <c r="W692" s="852" t="n"/>
      <c r="X692" s="852" t="n"/>
      <c r="Y692" s="852" t="n"/>
      <c r="Z692" s="852" t="n"/>
      <c r="AA692" s="852" t="n"/>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c r="CL692" s="59" t="n"/>
      <c r="CM692" s="59" t="n"/>
      <c r="CN692" s="59" t="n"/>
    </row>
    <row r="693" ht="15" customFormat="1" customHeight="1" s="3">
      <c r="A693">
        <f>IF(C693="","",ROW()-2)</f>
        <v/>
      </c>
      <c r="B693" s="852" t="n"/>
      <c r="C693" s="852" t="n"/>
      <c r="D693">
        <f>IF(C693="TOH","Type 1",IF(C693="POH","Type 2",IF(OR(C693="LTO",C693="TOH-LC",C693="TOH - LC"),"Type 3",IF(C693="Flourish","Type 4","Type 1"))))</f>
        <v/>
      </c>
      <c r="E693" s="852" t="n"/>
      <c r="F693" s="852" t="n"/>
      <c r="G693" s="852" t="n"/>
      <c r="H693" s="888" t="n"/>
      <c r="I693" s="889" t="n"/>
      <c r="J693" s="888" t="n"/>
      <c r="K693">
        <f>SUM(H693:J693)</f>
        <v/>
      </c>
      <c r="L693" s="852" t="n"/>
      <c r="M693" s="852" t="n"/>
      <c r="N693" s="852" t="n"/>
      <c r="O693" s="852" t="n"/>
      <c r="P693" s="852" t="n"/>
      <c r="Q693" s="852" t="n"/>
      <c r="R693" s="852" t="n"/>
      <c r="S693" s="852" t="n"/>
      <c r="T693" s="852" t="n"/>
      <c r="U693" s="852" t="n"/>
      <c r="V693" s="852" t="n"/>
      <c r="W693" s="852" t="n"/>
      <c r="X693" s="852" t="n"/>
      <c r="Y693" s="852" t="n"/>
      <c r="Z693" s="852" t="n"/>
      <c r="AA693" s="852" t="n"/>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c r="CL693" s="59" t="n"/>
      <c r="CM693" s="59" t="n"/>
      <c r="CN693" s="59" t="n"/>
    </row>
    <row r="694" ht="15" customFormat="1" customHeight="1" s="3">
      <c r="A694">
        <f>IF(C694="","",ROW()-2)</f>
        <v/>
      </c>
      <c r="B694" s="852" t="n"/>
      <c r="C694" s="852" t="n"/>
      <c r="D694">
        <f>IF(C694="TOH","Type 1",IF(C694="POH","Type 2",IF(OR(C694="LTO",C694="TOH-LC",C694="TOH - LC"),"Type 3",IF(C694="Flourish","Type 4","Type 1"))))</f>
        <v/>
      </c>
      <c r="E694" s="852" t="n"/>
      <c r="F694" s="852" t="n"/>
      <c r="G694" s="852" t="n"/>
      <c r="H694" s="888" t="n"/>
      <c r="I694" s="889" t="n"/>
      <c r="J694" s="888" t="n"/>
      <c r="K694">
        <f>SUM(H694:J694)</f>
        <v/>
      </c>
      <c r="L694" s="852" t="n"/>
      <c r="M694" s="852" t="n"/>
      <c r="N694" s="852" t="n"/>
      <c r="O694" s="852" t="n"/>
      <c r="P694" s="852" t="n"/>
      <c r="Q694" s="852" t="n"/>
      <c r="R694" s="852" t="n"/>
      <c r="S694" s="852" t="n"/>
      <c r="T694" s="852" t="n"/>
      <c r="U694" s="852" t="n"/>
      <c r="V694" s="852" t="n"/>
      <c r="W694" s="852" t="n"/>
      <c r="X694" s="852" t="n"/>
      <c r="Y694" s="852" t="n"/>
      <c r="Z694" s="852" t="n"/>
      <c r="AA694" s="852" t="n"/>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c r="CL694" s="59" t="n"/>
      <c r="CM694" s="59" t="n"/>
      <c r="CN694" s="59" t="n"/>
    </row>
    <row r="695" ht="15" customFormat="1" customHeight="1" s="3">
      <c r="A695">
        <f>IF(C695="","",ROW()-2)</f>
        <v/>
      </c>
      <c r="B695" s="852" t="n"/>
      <c r="C695" s="852" t="n"/>
      <c r="D695">
        <f>IF(C695="TOH","Type 1",IF(C695="POH","Type 2",IF(OR(C695="LTO",C695="TOH-LC",C695="TOH - LC"),"Type 3",IF(C695="Flourish","Type 4","Type 1"))))</f>
        <v/>
      </c>
      <c r="E695" s="852" t="n"/>
      <c r="F695" s="852" t="n"/>
      <c r="G695" s="852" t="n"/>
      <c r="H695" s="888" t="n"/>
      <c r="I695" s="889" t="n"/>
      <c r="J695" s="888" t="n"/>
      <c r="K695">
        <f>SUM(H695:J695)</f>
        <v/>
      </c>
      <c r="L695" s="852" t="n"/>
      <c r="M695" s="852" t="n"/>
      <c r="N695" s="852" t="n"/>
      <c r="O695" s="852" t="n"/>
      <c r="P695" s="852" t="n"/>
      <c r="Q695" s="852" t="n"/>
      <c r="R695" s="852" t="n"/>
      <c r="S695" s="852" t="n"/>
      <c r="T695" s="852" t="n"/>
      <c r="U695" s="852" t="n"/>
      <c r="V695" s="852" t="n"/>
      <c r="W695" s="852" t="n"/>
      <c r="X695" s="852" t="n"/>
      <c r="Y695" s="852" t="n"/>
      <c r="Z695" s="852" t="n"/>
      <c r="AA695" s="852" t="n"/>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c r="CL695" s="59" t="n"/>
      <c r="CM695" s="59" t="n"/>
      <c r="CN695" s="59" t="n"/>
    </row>
    <row r="696" ht="15" customFormat="1" customHeight="1" s="3">
      <c r="A696">
        <f>IF(C696="","",ROW()-2)</f>
        <v/>
      </c>
      <c r="B696" s="852" t="n"/>
      <c r="C696" s="852" t="n"/>
      <c r="D696">
        <f>IF(C696="TOH","Type 1",IF(C696="POH","Type 2",IF(OR(C696="LTO",C696="TOH-LC",C696="TOH - LC"),"Type 3",IF(C696="Flourish","Type 4","Type 1"))))</f>
        <v/>
      </c>
      <c r="E696" s="852" t="n"/>
      <c r="F696" s="852" t="n"/>
      <c r="G696" s="852" t="n"/>
      <c r="H696" s="888" t="n"/>
      <c r="I696" s="889" t="n"/>
      <c r="J696" s="888" t="n"/>
      <c r="K696">
        <f>SUM(H696:J696)</f>
        <v/>
      </c>
      <c r="L696" s="852" t="n"/>
      <c r="M696" s="852" t="n"/>
      <c r="N696" s="852" t="n"/>
      <c r="O696" s="852" t="n"/>
      <c r="P696" s="852" t="n"/>
      <c r="Q696" s="852" t="n"/>
      <c r="R696" s="852" t="n"/>
      <c r="S696" s="852" t="n"/>
      <c r="T696" s="852" t="n"/>
      <c r="U696" s="852" t="n"/>
      <c r="V696" s="852" t="n"/>
      <c r="W696" s="852" t="n"/>
      <c r="X696" s="852" t="n"/>
      <c r="Y696" s="852" t="n"/>
      <c r="Z696" s="852" t="n"/>
      <c r="AA696" s="852" t="n"/>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c r="CL696" s="59" t="n"/>
      <c r="CM696" s="59" t="n"/>
      <c r="CN696" s="59" t="n"/>
    </row>
    <row r="697" ht="15" customFormat="1" customHeight="1" s="3">
      <c r="A697">
        <f>IF(C697="","",ROW()-2)</f>
        <v/>
      </c>
      <c r="B697" s="852" t="n"/>
      <c r="C697" s="852" t="n"/>
      <c r="D697">
        <f>IF(C697="TOH","Type 1",IF(C697="POH","Type 2",IF(OR(C697="LTO",C697="TOH-LC",C697="TOH - LC"),"Type 3",IF(C697="Flourish","Type 4","Type 1"))))</f>
        <v/>
      </c>
      <c r="E697" s="852" t="n"/>
      <c r="F697" s="852" t="n"/>
      <c r="G697" s="852" t="n"/>
      <c r="H697" s="888" t="n"/>
      <c r="I697" s="889" t="n"/>
      <c r="J697" s="888" t="n"/>
      <c r="K697">
        <f>SUM(H697:J697)</f>
        <v/>
      </c>
      <c r="L697" s="852" t="n"/>
      <c r="M697" s="852" t="n"/>
      <c r="N697" s="852" t="n"/>
      <c r="O697" s="852" t="n"/>
      <c r="P697" s="852" t="n"/>
      <c r="Q697" s="852" t="n"/>
      <c r="R697" s="852" t="n"/>
      <c r="S697" s="852" t="n"/>
      <c r="T697" s="852" t="n"/>
      <c r="U697" s="852" t="n"/>
      <c r="V697" s="852" t="n"/>
      <c r="W697" s="852" t="n"/>
      <c r="X697" s="852" t="n"/>
      <c r="Y697" s="852" t="n"/>
      <c r="Z697" s="852" t="n"/>
      <c r="AA697" s="852" t="n"/>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c r="CL697" s="59" t="n"/>
      <c r="CM697" s="59" t="n"/>
      <c r="CN697" s="59" t="n"/>
    </row>
    <row r="698" ht="15" customFormat="1" customHeight="1" s="3">
      <c r="A698">
        <f>IF(C698="","",ROW()-2)</f>
        <v/>
      </c>
      <c r="B698" s="852" t="n"/>
      <c r="C698" s="852" t="n"/>
      <c r="D698">
        <f>IF(C698="TOH","Type 1",IF(C698="POH","Type 2",IF(OR(C698="LTO",C698="TOH-LC",C698="TOH - LC"),"Type 3",IF(C698="Flourish","Type 4","Type 1"))))</f>
        <v/>
      </c>
      <c r="E698" s="852" t="n"/>
      <c r="F698" s="852" t="n"/>
      <c r="G698" s="852" t="n"/>
      <c r="H698" s="888" t="n"/>
      <c r="I698" s="889" t="n"/>
      <c r="J698" s="888" t="n"/>
      <c r="K698">
        <f>SUM(H698:J698)</f>
        <v/>
      </c>
      <c r="L698" s="852" t="n"/>
      <c r="M698" s="852" t="n"/>
      <c r="N698" s="852" t="n"/>
      <c r="O698" s="852" t="n"/>
      <c r="P698" s="852" t="n"/>
      <c r="Q698" s="852" t="n"/>
      <c r="R698" s="852" t="n"/>
      <c r="S698" s="852" t="n"/>
      <c r="T698" s="852" t="n"/>
      <c r="U698" s="852" t="n"/>
      <c r="V698" s="852" t="n"/>
      <c r="W698" s="852" t="n"/>
      <c r="X698" s="852" t="n"/>
      <c r="Y698" s="852" t="n"/>
      <c r="Z698" s="852" t="n"/>
      <c r="AA698" s="852" t="n"/>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c r="CL698" s="59" t="n"/>
      <c r="CM698" s="59" t="n"/>
      <c r="CN698" s="59" t="n"/>
    </row>
    <row r="699" ht="15" customFormat="1" customHeight="1" s="3">
      <c r="A699">
        <f>IF(C699="","",ROW()-2)</f>
        <v/>
      </c>
      <c r="B699" s="852" t="n"/>
      <c r="C699" s="852" t="n"/>
      <c r="D699">
        <f>IF(C699="TOH","Type 1",IF(C699="POH","Type 2",IF(OR(C699="LTO",C699="TOH-LC",C699="TOH - LC"),"Type 3",IF(C699="Flourish","Type 4","Type 1"))))</f>
        <v/>
      </c>
      <c r="E699" s="852" t="n"/>
      <c r="F699" s="852" t="n"/>
      <c r="G699" s="852" t="n"/>
      <c r="H699" s="888" t="n"/>
      <c r="I699" s="889" t="n"/>
      <c r="J699" s="888" t="n"/>
      <c r="K699">
        <f>SUM(H699:J699)</f>
        <v/>
      </c>
      <c r="L699" s="852" t="n"/>
      <c r="M699" s="852" t="n"/>
      <c r="N699" s="852" t="n"/>
      <c r="O699" s="852" t="n"/>
      <c r="P699" s="852" t="n"/>
      <c r="Q699" s="852" t="n"/>
      <c r="R699" s="852" t="n"/>
      <c r="S699" s="852" t="n"/>
      <c r="T699" s="852" t="n"/>
      <c r="U699" s="852" t="n"/>
      <c r="V699" s="852" t="n"/>
      <c r="W699" s="852" t="n"/>
      <c r="X699" s="852" t="n"/>
      <c r="Y699" s="852" t="n"/>
      <c r="Z699" s="852" t="n"/>
      <c r="AA699" s="852" t="n"/>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c r="CL699" s="59" t="n"/>
      <c r="CM699" s="59" t="n"/>
      <c r="CN699" s="59" t="n"/>
    </row>
    <row r="700" ht="15" customFormat="1" customHeight="1" s="3">
      <c r="A700">
        <f>IF(C700="","",ROW()-2)</f>
        <v/>
      </c>
      <c r="B700" s="852" t="n"/>
      <c r="C700" s="852" t="n"/>
      <c r="D700">
        <f>IF(C700="TOH","Type 1",IF(C700="POH","Type 2",IF(OR(C700="LTO",C700="TOH-LC",C700="TOH - LC"),"Type 3",IF(C700="Flourish","Type 4","Type 1"))))</f>
        <v/>
      </c>
      <c r="E700" s="852" t="n"/>
      <c r="F700" s="852" t="n"/>
      <c r="G700" s="852" t="n"/>
      <c r="H700" s="888" t="n"/>
      <c r="I700" s="889" t="n"/>
      <c r="J700" s="888" t="n"/>
      <c r="K700">
        <f>SUM(H700:J700)</f>
        <v/>
      </c>
      <c r="L700" s="852" t="n"/>
      <c r="M700" s="852" t="n"/>
      <c r="N700" s="852" t="n"/>
      <c r="O700" s="852" t="n"/>
      <c r="P700" s="852" t="n"/>
      <c r="Q700" s="852" t="n"/>
      <c r="R700" s="852" t="n"/>
      <c r="S700" s="852" t="n"/>
      <c r="T700" s="852" t="n"/>
      <c r="U700" s="852" t="n"/>
      <c r="V700" s="852" t="n"/>
      <c r="W700" s="852" t="n"/>
      <c r="X700" s="852" t="n"/>
      <c r="Y700" s="852" t="n"/>
      <c r="Z700" s="852" t="n"/>
      <c r="AA700" s="852" t="n"/>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c r="CL700" s="59" t="n"/>
      <c r="CM700" s="59" t="n"/>
      <c r="CN700" s="59" t="n"/>
    </row>
    <row r="701" ht="15" customFormat="1" customHeight="1" s="3">
      <c r="A701">
        <f>IF(C701="","",ROW()-2)</f>
        <v/>
      </c>
      <c r="B701" s="852" t="n"/>
      <c r="C701" s="852" t="n"/>
      <c r="D701">
        <f>IF(C701="TOH","Type 1",IF(C701="POH","Type 2",IF(OR(C701="LTO",C701="TOH-LC",C701="TOH - LC"),"Type 3",IF(C701="Flourish","Type 4","Type 1"))))</f>
        <v/>
      </c>
      <c r="E701" s="852" t="n"/>
      <c r="F701" s="852" t="n"/>
      <c r="G701" s="852" t="n"/>
      <c r="H701" s="888" t="n"/>
      <c r="I701" s="889" t="n"/>
      <c r="J701" s="888" t="n"/>
      <c r="K701">
        <f>SUM(H701:J701)</f>
        <v/>
      </c>
      <c r="L701" s="852" t="n"/>
      <c r="M701" s="852" t="n"/>
      <c r="N701" s="852" t="n"/>
      <c r="O701" s="852" t="n"/>
      <c r="P701" s="852" t="n"/>
      <c r="Q701" s="852" t="n"/>
      <c r="R701" s="852" t="n"/>
      <c r="S701" s="852" t="n"/>
      <c r="T701" s="852" t="n"/>
      <c r="U701" s="852" t="n"/>
      <c r="V701" s="852" t="n"/>
      <c r="W701" s="852" t="n"/>
      <c r="X701" s="852" t="n"/>
      <c r="Y701" s="852" t="n"/>
      <c r="Z701" s="852" t="n"/>
      <c r="AA701" s="852" t="n"/>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c r="CL701" s="59" t="n"/>
      <c r="CM701" s="59" t="n"/>
      <c r="CN701" s="59" t="n"/>
    </row>
    <row r="702" ht="15" customFormat="1" customHeight="1" s="3">
      <c r="A702">
        <f>IF(C702="","",ROW()-2)</f>
        <v/>
      </c>
      <c r="B702" s="852" t="n"/>
      <c r="C702" s="852" t="n"/>
      <c r="D702">
        <f>IF(C702="TOH","Type 1",IF(C702="POH","Type 2",IF(OR(C702="LTO",C702="TOH-LC",C702="TOH - LC"),"Type 3",IF(C702="Flourish","Type 4","Type 1"))))</f>
        <v/>
      </c>
      <c r="E702" s="852" t="n"/>
      <c r="F702" s="852" t="n"/>
      <c r="G702" s="852" t="n"/>
      <c r="H702" s="888" t="n"/>
      <c r="I702" s="889" t="n"/>
      <c r="J702" s="888" t="n"/>
      <c r="K702">
        <f>SUM(H702:J702)</f>
        <v/>
      </c>
      <c r="L702" s="852" t="n"/>
      <c r="M702" s="852" t="n"/>
      <c r="N702" s="852" t="n"/>
      <c r="O702" s="852" t="n"/>
      <c r="P702" s="852" t="n"/>
      <c r="Q702" s="852" t="n"/>
      <c r="R702" s="852" t="n"/>
      <c r="S702" s="852" t="n"/>
      <c r="T702" s="852" t="n"/>
      <c r="U702" s="852" t="n"/>
      <c r="V702" s="852" t="n"/>
      <c r="W702" s="852" t="n"/>
      <c r="X702" s="852" t="n"/>
      <c r="Y702" s="852" t="n"/>
      <c r="Z702" s="852" t="n"/>
      <c r="AA702" s="852" t="n"/>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c r="CL702" s="59" t="n"/>
      <c r="CM702" s="59" t="n"/>
      <c r="CN702" s="59" t="n"/>
    </row>
    <row r="703" ht="15" customFormat="1" customHeight="1" s="3">
      <c r="A703">
        <f>IF(C703="","",ROW()-2)</f>
        <v/>
      </c>
      <c r="B703" s="852" t="n"/>
      <c r="C703" s="852" t="n"/>
      <c r="D703">
        <f>IF(C703="TOH","Type 1",IF(C703="POH","Type 2",IF(OR(C703="LTO",C703="TOH-LC",C703="TOH - LC"),"Type 3",IF(C703="Flourish","Type 4","Type 1"))))</f>
        <v/>
      </c>
      <c r="E703" s="852" t="n"/>
      <c r="F703" s="852" t="n"/>
      <c r="G703" s="852" t="n"/>
      <c r="H703" s="888" t="n"/>
      <c r="I703" s="889" t="n"/>
      <c r="J703" s="888" t="n"/>
      <c r="K703">
        <f>SUM(H703:J703)</f>
        <v/>
      </c>
      <c r="L703" s="852" t="n"/>
      <c r="M703" s="852" t="n"/>
      <c r="N703" s="852" t="n"/>
      <c r="O703" s="852" t="n"/>
      <c r="P703" s="852" t="n"/>
      <c r="Q703" s="852" t="n"/>
      <c r="R703" s="852" t="n"/>
      <c r="S703" s="852" t="n"/>
      <c r="T703" s="852" t="n"/>
      <c r="U703" s="852" t="n"/>
      <c r="V703" s="852" t="n"/>
      <c r="W703" s="852" t="n"/>
      <c r="X703" s="852" t="n"/>
      <c r="Y703" s="852" t="n"/>
      <c r="Z703" s="852" t="n"/>
      <c r="AA703" s="852" t="n"/>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c r="CL703" s="59" t="n"/>
      <c r="CM703" s="59" t="n"/>
      <c r="CN703" s="59" t="n"/>
    </row>
    <row r="704" ht="15" customFormat="1" customHeight="1" s="3">
      <c r="A704">
        <f>IF(C704="","",ROW()-2)</f>
        <v/>
      </c>
      <c r="B704" s="852" t="n"/>
      <c r="C704" s="852" t="n"/>
      <c r="D704">
        <f>IF(C704="TOH","Type 1",IF(C704="POH","Type 2",IF(OR(C704="LTO",C704="TOH-LC",C704="TOH - LC"),"Type 3",IF(C704="Flourish","Type 4","Type 1"))))</f>
        <v/>
      </c>
      <c r="E704" s="852" t="n"/>
      <c r="F704" s="852" t="n"/>
      <c r="G704" s="852" t="n"/>
      <c r="H704" s="888" t="n"/>
      <c r="I704" s="889" t="n"/>
      <c r="J704" s="888" t="n"/>
      <c r="K704">
        <f>SUM(H704:J704)</f>
        <v/>
      </c>
      <c r="L704" s="852" t="n"/>
      <c r="M704" s="852" t="n"/>
      <c r="N704" s="852" t="n"/>
      <c r="O704" s="852" t="n"/>
      <c r="P704" s="852" t="n"/>
      <c r="Q704" s="852" t="n"/>
      <c r="R704" s="852" t="n"/>
      <c r="S704" s="852" t="n"/>
      <c r="T704" s="852" t="n"/>
      <c r="U704" s="852" t="n"/>
      <c r="V704" s="852" t="n"/>
      <c r="W704" s="852" t="n"/>
      <c r="X704" s="852" t="n"/>
      <c r="Y704" s="852" t="n"/>
      <c r="Z704" s="852" t="n"/>
      <c r="AA704" s="852" t="n"/>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c r="CL704" s="59" t="n"/>
      <c r="CM704" s="59" t="n"/>
      <c r="CN704" s="59" t="n"/>
    </row>
    <row r="705" ht="15" customFormat="1" customHeight="1" s="3">
      <c r="A705">
        <f>IF(C705="","",ROW()-2)</f>
        <v/>
      </c>
      <c r="B705" s="852" t="n"/>
      <c r="C705" s="852" t="n"/>
      <c r="D705">
        <f>IF(C705="TOH","Type 1",IF(C705="POH","Type 2",IF(OR(C705="LTO",C705="TOH-LC",C705="TOH - LC"),"Type 3",IF(C705="Flourish","Type 4","Type 1"))))</f>
        <v/>
      </c>
      <c r="E705" s="852" t="n"/>
      <c r="F705" s="852" t="n"/>
      <c r="G705" s="852" t="n"/>
      <c r="H705" s="888" t="n"/>
      <c r="I705" s="889" t="n"/>
      <c r="J705" s="888" t="n"/>
      <c r="K705">
        <f>SUM(H705:J705)</f>
        <v/>
      </c>
      <c r="L705" s="852" t="n"/>
      <c r="M705" s="852" t="n"/>
      <c r="N705" s="852" t="n"/>
      <c r="O705" s="852" t="n"/>
      <c r="P705" s="852" t="n"/>
      <c r="Q705" s="852" t="n"/>
      <c r="R705" s="852" t="n"/>
      <c r="S705" s="852" t="n"/>
      <c r="T705" s="852" t="n"/>
      <c r="U705" s="852" t="n"/>
      <c r="V705" s="852" t="n"/>
      <c r="W705" s="852" t="n"/>
      <c r="X705" s="852" t="n"/>
      <c r="Y705" s="852" t="n"/>
      <c r="Z705" s="852" t="n"/>
      <c r="AA705" s="852" t="n"/>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c r="CL705" s="59" t="n"/>
      <c r="CM705" s="59" t="n"/>
      <c r="CN705" s="59" t="n"/>
    </row>
    <row r="706" ht="15" customFormat="1" customHeight="1" s="3">
      <c r="A706">
        <f>IF(C706="","",ROW()-2)</f>
        <v/>
      </c>
      <c r="B706" s="852" t="n"/>
      <c r="C706" s="852" t="n"/>
      <c r="D706">
        <f>IF(C706="TOH","Type 1",IF(C706="POH","Type 2",IF(OR(C706="LTO",C706="TOH-LC",C706="TOH - LC"),"Type 3",IF(C706="Flourish","Type 4","Type 1"))))</f>
        <v/>
      </c>
      <c r="E706" s="852" t="n"/>
      <c r="F706" s="852" t="n"/>
      <c r="G706" s="852" t="n"/>
      <c r="H706" s="888" t="n"/>
      <c r="I706" s="889" t="n"/>
      <c r="J706" s="888" t="n"/>
      <c r="K706">
        <f>SUM(H706:J706)</f>
        <v/>
      </c>
      <c r="L706" s="852" t="n"/>
      <c r="M706" s="852" t="n"/>
      <c r="N706" s="852" t="n"/>
      <c r="O706" s="852" t="n"/>
      <c r="P706" s="852" t="n"/>
      <c r="Q706" s="852" t="n"/>
      <c r="R706" s="852" t="n"/>
      <c r="S706" s="852" t="n"/>
      <c r="T706" s="852" t="n"/>
      <c r="U706" s="852" t="n"/>
      <c r="V706" s="852" t="n"/>
      <c r="W706" s="852" t="n"/>
      <c r="X706" s="852" t="n"/>
      <c r="Y706" s="852" t="n"/>
      <c r="Z706" s="852" t="n"/>
      <c r="AA706" s="852" t="n"/>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c r="CL706" s="59" t="n"/>
      <c r="CM706" s="59" t="n"/>
      <c r="CN706" s="59" t="n"/>
    </row>
    <row r="707" ht="15" customFormat="1" customHeight="1" s="3">
      <c r="A707">
        <f>IF(C707="","",ROW()-2)</f>
        <v/>
      </c>
      <c r="B707" s="852" t="n"/>
      <c r="C707" s="852" t="n"/>
      <c r="D707">
        <f>IF(C707="TOH","Type 1",IF(C707="POH","Type 2",IF(OR(C707="LTO",C707="TOH-LC",C707="TOH - LC"),"Type 3",IF(C707="Flourish","Type 4","Type 1"))))</f>
        <v/>
      </c>
      <c r="E707" s="852" t="n"/>
      <c r="F707" s="852" t="n"/>
      <c r="G707" s="852" t="n"/>
      <c r="H707" s="888" t="n"/>
      <c r="I707" s="889" t="n"/>
      <c r="J707" s="888" t="n"/>
      <c r="K707">
        <f>SUM(H707:J707)</f>
        <v/>
      </c>
      <c r="L707" s="852" t="n"/>
      <c r="M707" s="852" t="n"/>
      <c r="N707" s="852" t="n"/>
      <c r="O707" s="852" t="n"/>
      <c r="P707" s="852" t="n"/>
      <c r="Q707" s="852" t="n"/>
      <c r="R707" s="852" t="n"/>
      <c r="S707" s="852" t="n"/>
      <c r="T707" s="852" t="n"/>
      <c r="U707" s="852" t="n"/>
      <c r="V707" s="852" t="n"/>
      <c r="W707" s="852" t="n"/>
      <c r="X707" s="852" t="n"/>
      <c r="Y707" s="852" t="n"/>
      <c r="Z707" s="852" t="n"/>
      <c r="AA707" s="852" t="n"/>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c r="CL707" s="59" t="n"/>
      <c r="CM707" s="59" t="n"/>
      <c r="CN707" s="59" t="n"/>
    </row>
    <row r="708" ht="15" customFormat="1" customHeight="1" s="3">
      <c r="A708">
        <f>IF(C708="","",ROW()-2)</f>
        <v/>
      </c>
      <c r="B708" s="852" t="n"/>
      <c r="C708" s="852" t="n"/>
      <c r="D708">
        <f>IF(C708="TOH","Type 1",IF(C708="POH","Type 2",IF(OR(C708="LTO",C708="TOH-LC",C708="TOH - LC"),"Type 3",IF(C708="Flourish","Type 4","Type 1"))))</f>
        <v/>
      </c>
      <c r="E708" s="852" t="n"/>
      <c r="F708" s="852" t="n"/>
      <c r="G708" s="852" t="n"/>
      <c r="H708" s="888" t="n"/>
      <c r="I708" s="889" t="n"/>
      <c r="J708" s="888" t="n"/>
      <c r="K708">
        <f>SUM(H708:J708)</f>
        <v/>
      </c>
      <c r="L708" s="852" t="n"/>
      <c r="M708" s="852" t="n"/>
      <c r="N708" s="852" t="n"/>
      <c r="O708" s="852" t="n"/>
      <c r="P708" s="852" t="n"/>
      <c r="Q708" s="852" t="n"/>
      <c r="R708" s="852" t="n"/>
      <c r="S708" s="852" t="n"/>
      <c r="T708" s="852" t="n"/>
      <c r="U708" s="852" t="n"/>
      <c r="V708" s="852" t="n"/>
      <c r="W708" s="852" t="n"/>
      <c r="X708" s="852" t="n"/>
      <c r="Y708" s="852" t="n"/>
      <c r="Z708" s="852" t="n"/>
      <c r="AA708" s="852" t="n"/>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c r="CL708" s="59" t="n"/>
      <c r="CM708" s="59" t="n"/>
      <c r="CN708" s="59" t="n"/>
    </row>
    <row r="709" ht="15" customFormat="1" customHeight="1" s="3">
      <c r="A709">
        <f>IF(C709="","",ROW()-2)</f>
        <v/>
      </c>
      <c r="B709" s="852" t="n"/>
      <c r="C709" s="852" t="n"/>
      <c r="D709">
        <f>IF(C709="TOH","Type 1",IF(C709="POH","Type 2",IF(OR(C709="LTO",C709="TOH-LC",C709="TOH - LC"),"Type 3",IF(C709="Flourish","Type 4","Type 1"))))</f>
        <v/>
      </c>
      <c r="E709" s="852" t="n"/>
      <c r="F709" s="852" t="n"/>
      <c r="G709" s="852" t="n"/>
      <c r="H709" s="888" t="n"/>
      <c r="I709" s="889" t="n"/>
      <c r="J709" s="888" t="n"/>
      <c r="K709">
        <f>SUM(H709:J709)</f>
        <v/>
      </c>
      <c r="L709" s="852" t="n"/>
      <c r="M709" s="852" t="n"/>
      <c r="N709" s="852" t="n"/>
      <c r="O709" s="852" t="n"/>
      <c r="P709" s="852" t="n"/>
      <c r="Q709" s="852" t="n"/>
      <c r="R709" s="852" t="n"/>
      <c r="S709" s="852" t="n"/>
      <c r="T709" s="852" t="n"/>
      <c r="U709" s="852" t="n"/>
      <c r="V709" s="852" t="n"/>
      <c r="W709" s="852" t="n"/>
      <c r="X709" s="852" t="n"/>
      <c r="Y709" s="852" t="n"/>
      <c r="Z709" s="852" t="n"/>
      <c r="AA709" s="852" t="n"/>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c r="CL709" s="59" t="n"/>
      <c r="CM709" s="59" t="n"/>
      <c r="CN709" s="59" t="n"/>
    </row>
    <row r="710" ht="15" customFormat="1" customHeight="1" s="3">
      <c r="A710">
        <f>IF(C710="","",ROW()-2)</f>
        <v/>
      </c>
      <c r="B710" s="852" t="n"/>
      <c r="C710" s="852" t="n"/>
      <c r="D710">
        <f>IF(C710="TOH","Type 1",IF(C710="POH","Type 2",IF(OR(C710="LTO",C710="TOH-LC",C710="TOH - LC"),"Type 3",IF(C710="Flourish","Type 4","Type 1"))))</f>
        <v/>
      </c>
      <c r="E710" s="852" t="n"/>
      <c r="F710" s="852" t="n"/>
      <c r="G710" s="852" t="n"/>
      <c r="H710" s="888" t="n"/>
      <c r="I710" s="889" t="n"/>
      <c r="J710" s="888" t="n"/>
      <c r="K710">
        <f>SUM(H710:J710)</f>
        <v/>
      </c>
      <c r="L710" s="852" t="n"/>
      <c r="M710" s="852" t="n"/>
      <c r="N710" s="852" t="n"/>
      <c r="O710" s="852" t="n"/>
      <c r="P710" s="852" t="n"/>
      <c r="Q710" s="852" t="n"/>
      <c r="R710" s="852" t="n"/>
      <c r="S710" s="852" t="n"/>
      <c r="T710" s="852" t="n"/>
      <c r="U710" s="852" t="n"/>
      <c r="V710" s="852" t="n"/>
      <c r="W710" s="852" t="n"/>
      <c r="X710" s="852" t="n"/>
      <c r="Y710" s="852" t="n"/>
      <c r="Z710" s="852" t="n"/>
      <c r="AA710" s="852" t="n"/>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c r="CL710" s="59" t="n"/>
      <c r="CM710" s="59" t="n"/>
      <c r="CN710" s="59" t="n"/>
    </row>
    <row r="711" ht="15" customFormat="1" customHeight="1" s="3">
      <c r="A711">
        <f>IF(C711="","",ROW()-2)</f>
        <v/>
      </c>
      <c r="B711" s="852" t="n"/>
      <c r="C711" s="852" t="n"/>
      <c r="D711">
        <f>IF(C711="TOH","Type 1",IF(C711="POH","Type 2",IF(OR(C711="LTO",C711="TOH-LC",C711="TOH - LC"),"Type 3",IF(C711="Flourish","Type 4","Type 1"))))</f>
        <v/>
      </c>
      <c r="E711" s="852" t="n"/>
      <c r="F711" s="852" t="n"/>
      <c r="G711" s="852" t="n"/>
      <c r="H711" s="888" t="n"/>
      <c r="I711" s="889" t="n"/>
      <c r="J711" s="888" t="n"/>
      <c r="K711">
        <f>SUM(H711:J711)</f>
        <v/>
      </c>
      <c r="L711" s="852" t="n"/>
      <c r="M711" s="852" t="n"/>
      <c r="N711" s="852" t="n"/>
      <c r="O711" s="852" t="n"/>
      <c r="P711" s="852" t="n"/>
      <c r="Q711" s="852" t="n"/>
      <c r="R711" s="852" t="n"/>
      <c r="S711" s="852" t="n"/>
      <c r="T711" s="852" t="n"/>
      <c r="U711" s="852" t="n"/>
      <c r="V711" s="852" t="n"/>
      <c r="W711" s="852" t="n"/>
      <c r="X711" s="852" t="n"/>
      <c r="Y711" s="852" t="n"/>
      <c r="Z711" s="852" t="n"/>
      <c r="AA711" s="852" t="n"/>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c r="CL711" s="59" t="n"/>
      <c r="CM711" s="59" t="n"/>
      <c r="CN711" s="59" t="n"/>
    </row>
    <row r="712" ht="15" customFormat="1" customHeight="1" s="3">
      <c r="A712">
        <f>IF(C712="","",ROW()-2)</f>
        <v/>
      </c>
      <c r="B712" s="852" t="n"/>
      <c r="C712" s="852" t="n"/>
      <c r="D712">
        <f>IF(C712="TOH","Type 1",IF(C712="POH","Type 2",IF(OR(C712="LTO",C712="TOH-LC",C712="TOH - LC"),"Type 3",IF(C712="Flourish","Type 4","Type 1"))))</f>
        <v/>
      </c>
      <c r="E712" s="852" t="n"/>
      <c r="F712" s="852" t="n"/>
      <c r="G712" s="852" t="n"/>
      <c r="H712" s="888" t="n"/>
      <c r="I712" s="889" t="n"/>
      <c r="J712" s="888" t="n"/>
      <c r="K712">
        <f>SUM(H712:J712)</f>
        <v/>
      </c>
      <c r="L712" s="852" t="n"/>
      <c r="M712" s="852" t="n"/>
      <c r="N712" s="852" t="n"/>
      <c r="O712" s="852" t="n"/>
      <c r="P712" s="852" t="n"/>
      <c r="Q712" s="852" t="n"/>
      <c r="R712" s="852" t="n"/>
      <c r="S712" s="852" t="n"/>
      <c r="T712" s="852" t="n"/>
      <c r="U712" s="852" t="n"/>
      <c r="V712" s="852" t="n"/>
      <c r="W712" s="852" t="n"/>
      <c r="X712" s="852" t="n"/>
      <c r="Y712" s="852" t="n"/>
      <c r="Z712" s="852" t="n"/>
      <c r="AA712" s="852" t="n"/>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c r="CL712" s="59" t="n"/>
      <c r="CM712" s="59" t="n"/>
      <c r="CN712" s="59" t="n"/>
    </row>
    <row r="713" ht="15" customFormat="1" customHeight="1" s="3">
      <c r="A713">
        <f>IF(C713="","",ROW()-2)</f>
        <v/>
      </c>
      <c r="B713" s="852" t="n"/>
      <c r="C713" s="852" t="n"/>
      <c r="D713">
        <f>IF(C713="TOH","Type 1",IF(C713="POH","Type 2",IF(OR(C713="LTO",C713="TOH-LC",C713="TOH - LC"),"Type 3",IF(C713="Flourish","Type 4","Type 1"))))</f>
        <v/>
      </c>
      <c r="E713" s="852" t="n"/>
      <c r="F713" s="852" t="n"/>
      <c r="G713" s="852" t="n"/>
      <c r="H713" s="888" t="n"/>
      <c r="I713" s="889" t="n"/>
      <c r="J713" s="888" t="n"/>
      <c r="K713">
        <f>SUM(H713:J713)</f>
        <v/>
      </c>
      <c r="L713" s="852" t="n"/>
      <c r="M713" s="852" t="n"/>
      <c r="N713" s="852" t="n"/>
      <c r="O713" s="852" t="n"/>
      <c r="P713" s="852" t="n"/>
      <c r="Q713" s="852" t="n"/>
      <c r="R713" s="852" t="n"/>
      <c r="S713" s="852" t="n"/>
      <c r="T713" s="852" t="n"/>
      <c r="U713" s="852" t="n"/>
      <c r="V713" s="852" t="n"/>
      <c r="W713" s="852" t="n"/>
      <c r="X713" s="852" t="n"/>
      <c r="Y713" s="852" t="n"/>
      <c r="Z713" s="852" t="n"/>
      <c r="AA713" s="852" t="n"/>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c r="CL713" s="59" t="n"/>
      <c r="CM713" s="59" t="n"/>
      <c r="CN713" s="59" t="n"/>
    </row>
    <row r="714" ht="15" customFormat="1" customHeight="1" s="3">
      <c r="A714">
        <f>IF(C714="","",ROW()-2)</f>
        <v/>
      </c>
      <c r="B714" s="852" t="n"/>
      <c r="C714" s="852" t="n"/>
      <c r="D714">
        <f>IF(C714="TOH","Type 1",IF(C714="POH","Type 2",IF(OR(C714="LTO",C714="TOH-LC",C714="TOH - LC"),"Type 3",IF(C714="Flourish","Type 4","Type 1"))))</f>
        <v/>
      </c>
      <c r="E714" s="852" t="n"/>
      <c r="F714" s="852" t="n"/>
      <c r="G714" s="852" t="n"/>
      <c r="H714" s="888" t="n"/>
      <c r="I714" s="889" t="n"/>
      <c r="J714" s="888" t="n"/>
      <c r="K714">
        <f>SUM(H714:J714)</f>
        <v/>
      </c>
      <c r="L714" s="852" t="n"/>
      <c r="M714" s="852" t="n"/>
      <c r="N714" s="852" t="n"/>
      <c r="O714" s="852" t="n"/>
      <c r="P714" s="852" t="n"/>
      <c r="Q714" s="852" t="n"/>
      <c r="R714" s="852" t="n"/>
      <c r="S714" s="852" t="n"/>
      <c r="T714" s="852" t="n"/>
      <c r="U714" s="852" t="n"/>
      <c r="V714" s="852" t="n"/>
      <c r="W714" s="852" t="n"/>
      <c r="X714" s="852" t="n"/>
      <c r="Y714" s="852" t="n"/>
      <c r="Z714" s="852" t="n"/>
      <c r="AA714" s="852" t="n"/>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c r="CL714" s="59" t="n"/>
      <c r="CM714" s="59" t="n"/>
      <c r="CN714" s="59" t="n"/>
    </row>
    <row r="715" ht="15" customFormat="1" customHeight="1" s="3">
      <c r="A715">
        <f>IF(C715="","",ROW()-2)</f>
        <v/>
      </c>
      <c r="B715" s="852" t="n"/>
      <c r="C715" s="852" t="n"/>
      <c r="D715">
        <f>IF(C715="TOH","Type 1",IF(C715="POH","Type 2",IF(OR(C715="LTO",C715="TOH-LC",C715="TOH - LC"),"Type 3",IF(C715="Flourish","Type 4","Type 1"))))</f>
        <v/>
      </c>
      <c r="E715" s="852" t="n"/>
      <c r="F715" s="852" t="n"/>
      <c r="G715" s="852" t="n"/>
      <c r="H715" s="888" t="n"/>
      <c r="I715" s="889" t="n"/>
      <c r="J715" s="888" t="n"/>
      <c r="K715">
        <f>SUM(H715:J715)</f>
        <v/>
      </c>
      <c r="L715" s="852" t="n"/>
      <c r="M715" s="852" t="n"/>
      <c r="N715" s="852" t="n"/>
      <c r="O715" s="852" t="n"/>
      <c r="P715" s="852" t="n"/>
      <c r="Q715" s="852" t="n"/>
      <c r="R715" s="852" t="n"/>
      <c r="S715" s="852" t="n"/>
      <c r="T715" s="852" t="n"/>
      <c r="U715" s="852" t="n"/>
      <c r="V715" s="852" t="n"/>
      <c r="W715" s="852" t="n"/>
      <c r="X715" s="852" t="n"/>
      <c r="Y715" s="852" t="n"/>
      <c r="Z715" s="852" t="n"/>
      <c r="AA715" s="852" t="n"/>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c r="CL715" s="59" t="n"/>
      <c r="CM715" s="59" t="n"/>
      <c r="CN715" s="59" t="n"/>
    </row>
    <row r="716" ht="15" customFormat="1" customHeight="1" s="3">
      <c r="A716">
        <f>IF(C716="","",ROW()-2)</f>
        <v/>
      </c>
      <c r="B716" s="852" t="n"/>
      <c r="C716" s="852" t="n"/>
      <c r="D716">
        <f>IF(C716="TOH","Type 1",IF(C716="POH","Type 2",IF(OR(C716="LTO",C716="TOH-LC",C716="TOH - LC"),"Type 3",IF(C716="Flourish","Type 4","Type 1"))))</f>
        <v/>
      </c>
      <c r="E716" s="852" t="n"/>
      <c r="F716" s="852" t="n"/>
      <c r="G716" s="852" t="n"/>
      <c r="H716" s="888" t="n"/>
      <c r="I716" s="889" t="n"/>
      <c r="J716" s="888" t="n"/>
      <c r="K716">
        <f>SUM(H716:J716)</f>
        <v/>
      </c>
      <c r="L716" s="852" t="n"/>
      <c r="M716" s="852" t="n"/>
      <c r="N716" s="852" t="n"/>
      <c r="O716" s="852" t="n"/>
      <c r="P716" s="852" t="n"/>
      <c r="Q716" s="852" t="n"/>
      <c r="R716" s="852" t="n"/>
      <c r="S716" s="852" t="n"/>
      <c r="T716" s="852" t="n"/>
      <c r="U716" s="852" t="n"/>
      <c r="V716" s="852" t="n"/>
      <c r="W716" s="852" t="n"/>
      <c r="X716" s="852" t="n"/>
      <c r="Y716" s="852" t="n"/>
      <c r="Z716" s="852" t="n"/>
      <c r="AA716" s="852" t="n"/>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c r="CL716" s="59" t="n"/>
      <c r="CM716" s="59" t="n"/>
      <c r="CN716" s="59" t="n"/>
    </row>
    <row r="717" ht="15" customFormat="1" customHeight="1" s="3">
      <c r="A717">
        <f>IF(C717="","",ROW()-2)</f>
        <v/>
      </c>
      <c r="B717" s="852" t="n"/>
      <c r="C717" s="852" t="n"/>
      <c r="D717">
        <f>IF(C717="TOH","Type 1",IF(C717="POH","Type 2",IF(OR(C717="LTO",C717="TOH-LC",C717="TOH - LC"),"Type 3",IF(C717="Flourish","Type 4","Type 1"))))</f>
        <v/>
      </c>
      <c r="E717" s="852" t="n"/>
      <c r="F717" s="852" t="n"/>
      <c r="G717" s="852" t="n"/>
      <c r="H717" s="888" t="n"/>
      <c r="I717" s="889" t="n"/>
      <c r="J717" s="888" t="n"/>
      <c r="K717">
        <f>SUM(H717:J717)</f>
        <v/>
      </c>
      <c r="L717" s="852" t="n"/>
      <c r="M717" s="852" t="n"/>
      <c r="N717" s="852" t="n"/>
      <c r="O717" s="852" t="n"/>
      <c r="P717" s="852" t="n"/>
      <c r="Q717" s="852" t="n"/>
      <c r="R717" s="852" t="n"/>
      <c r="S717" s="852" t="n"/>
      <c r="T717" s="852" t="n"/>
      <c r="U717" s="852" t="n"/>
      <c r="V717" s="852" t="n"/>
      <c r="W717" s="852" t="n"/>
      <c r="X717" s="852" t="n"/>
      <c r="Y717" s="852" t="n"/>
      <c r="Z717" s="852" t="n"/>
      <c r="AA717" s="852" t="n"/>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c r="CL717" s="59" t="n"/>
      <c r="CM717" s="59" t="n"/>
      <c r="CN717" s="59" t="n"/>
    </row>
    <row r="718" ht="15" customFormat="1" customHeight="1" s="3">
      <c r="A718">
        <f>IF(C718="","",ROW()-2)</f>
        <v/>
      </c>
      <c r="B718" s="852" t="n"/>
      <c r="C718" s="852" t="n"/>
      <c r="D718">
        <f>IF(C718="TOH","Type 1",IF(C718="POH","Type 2",IF(OR(C718="LTO",C718="TOH-LC",C718="TOH - LC"),"Type 3",IF(C718="Flourish","Type 4","Type 1"))))</f>
        <v/>
      </c>
      <c r="E718" s="852" t="n"/>
      <c r="F718" s="852" t="n"/>
      <c r="G718" s="852" t="n"/>
      <c r="H718" s="888" t="n"/>
      <c r="I718" s="889" t="n"/>
      <c r="J718" s="888" t="n"/>
      <c r="K718">
        <f>SUM(H718:J718)</f>
        <v/>
      </c>
      <c r="L718" s="852" t="n"/>
      <c r="M718" s="852" t="n"/>
      <c r="N718" s="852" t="n"/>
      <c r="O718" s="852" t="n"/>
      <c r="P718" s="852" t="n"/>
      <c r="Q718" s="852" t="n"/>
      <c r="R718" s="852" t="n"/>
      <c r="S718" s="852" t="n"/>
      <c r="T718" s="852" t="n"/>
      <c r="U718" s="852" t="n"/>
      <c r="V718" s="852" t="n"/>
      <c r="W718" s="852" t="n"/>
      <c r="X718" s="852" t="n"/>
      <c r="Y718" s="852" t="n"/>
      <c r="Z718" s="852" t="n"/>
      <c r="AA718" s="852" t="n"/>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c r="CL718" s="59" t="n"/>
      <c r="CM718" s="59" t="n"/>
      <c r="CN718" s="59" t="n"/>
    </row>
    <row r="719" ht="15" customFormat="1" customHeight="1" s="3">
      <c r="A719">
        <f>IF(C719="","",ROW()-2)</f>
        <v/>
      </c>
      <c r="B719" s="852" t="n"/>
      <c r="C719" s="852" t="n"/>
      <c r="D719">
        <f>IF(C719="TOH","Type 1",IF(C719="POH","Type 2",IF(OR(C719="LTO",C719="TOH-LC",C719="TOH - LC"),"Type 3",IF(C719="Flourish","Type 4","Type 1"))))</f>
        <v/>
      </c>
      <c r="E719" s="852" t="n"/>
      <c r="F719" s="852" t="n"/>
      <c r="G719" s="852" t="n"/>
      <c r="H719" s="888" t="n"/>
      <c r="I719" s="889" t="n"/>
      <c r="J719" s="888" t="n"/>
      <c r="K719">
        <f>SUM(H719:J719)</f>
        <v/>
      </c>
      <c r="L719" s="852" t="n"/>
      <c r="M719" s="852" t="n"/>
      <c r="N719" s="852" t="n"/>
      <c r="O719" s="852" t="n"/>
      <c r="P719" s="852" t="n"/>
      <c r="Q719" s="852" t="n"/>
      <c r="R719" s="852" t="n"/>
      <c r="S719" s="852" t="n"/>
      <c r="T719" s="852" t="n"/>
      <c r="U719" s="852" t="n"/>
      <c r="V719" s="852" t="n"/>
      <c r="W719" s="852" t="n"/>
      <c r="X719" s="852" t="n"/>
      <c r="Y719" s="852" t="n"/>
      <c r="Z719" s="852" t="n"/>
      <c r="AA719" s="852" t="n"/>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c r="CL719" s="59" t="n"/>
      <c r="CM719" s="59" t="n"/>
      <c r="CN719" s="59" t="n"/>
    </row>
    <row r="720" ht="15" customFormat="1" customHeight="1" s="3">
      <c r="A720">
        <f>IF(C720="","",ROW()-2)</f>
        <v/>
      </c>
      <c r="B720" s="852" t="n"/>
      <c r="C720" s="852" t="n"/>
      <c r="D720">
        <f>IF(C720="TOH","Type 1",IF(C720="POH","Type 2",IF(OR(C720="LTO",C720="TOH-LC",C720="TOH - LC"),"Type 3",IF(C720="Flourish","Type 4","Type 1"))))</f>
        <v/>
      </c>
      <c r="E720" s="852" t="n"/>
      <c r="F720" s="852" t="n"/>
      <c r="G720" s="852" t="n"/>
      <c r="H720" s="888" t="n"/>
      <c r="I720" s="889" t="n"/>
      <c r="J720" s="888" t="n"/>
      <c r="K720">
        <f>SUM(H720:J720)</f>
        <v/>
      </c>
      <c r="L720" s="852" t="n"/>
      <c r="M720" s="852" t="n"/>
      <c r="N720" s="852" t="n"/>
      <c r="O720" s="852" t="n"/>
      <c r="P720" s="852" t="n"/>
      <c r="Q720" s="852" t="n"/>
      <c r="R720" s="852" t="n"/>
      <c r="S720" s="852" t="n"/>
      <c r="T720" s="852" t="n"/>
      <c r="U720" s="852" t="n"/>
      <c r="V720" s="852" t="n"/>
      <c r="W720" s="852" t="n"/>
      <c r="X720" s="852" t="n"/>
      <c r="Y720" s="852" t="n"/>
      <c r="Z720" s="852" t="n"/>
      <c r="AA720" s="852" t="n"/>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c r="CL720" s="59" t="n"/>
      <c r="CM720" s="59" t="n"/>
      <c r="CN720" s="59" t="n"/>
    </row>
    <row r="721" ht="15" customFormat="1" customHeight="1" s="3">
      <c r="A721">
        <f>IF(C721="","",ROW()-2)</f>
        <v/>
      </c>
      <c r="B721" s="852" t="n"/>
      <c r="C721" s="852" t="n"/>
      <c r="D721">
        <f>IF(C721="TOH","Type 1",IF(C721="POH","Type 2",IF(OR(C721="LTO",C721="TOH-LC",C721="TOH - LC"),"Type 3",IF(C721="Flourish","Type 4","Type 1"))))</f>
        <v/>
      </c>
      <c r="E721" s="852" t="n"/>
      <c r="F721" s="852" t="n"/>
      <c r="G721" s="852" t="n"/>
      <c r="H721" s="888" t="n"/>
      <c r="I721" s="889" t="n"/>
      <c r="J721" s="888" t="n"/>
      <c r="K721">
        <f>SUM(H721:J721)</f>
        <v/>
      </c>
      <c r="L721" s="852" t="n"/>
      <c r="M721" s="852" t="n"/>
      <c r="N721" s="852" t="n"/>
      <c r="O721" s="852" t="n"/>
      <c r="P721" s="852" t="n"/>
      <c r="Q721" s="852" t="n"/>
      <c r="R721" s="852" t="n"/>
      <c r="S721" s="852" t="n"/>
      <c r="T721" s="852" t="n"/>
      <c r="U721" s="852" t="n"/>
      <c r="V721" s="852" t="n"/>
      <c r="W721" s="852" t="n"/>
      <c r="X721" s="852" t="n"/>
      <c r="Y721" s="852" t="n"/>
      <c r="Z721" s="852" t="n"/>
      <c r="AA721" s="852" t="n"/>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c r="CL721" s="59" t="n"/>
      <c r="CM721" s="59" t="n"/>
      <c r="CN721" s="59" t="n"/>
    </row>
    <row r="722" ht="15" customFormat="1" customHeight="1" s="3">
      <c r="A722">
        <f>IF(C722="","",ROW()-2)</f>
        <v/>
      </c>
      <c r="B722" s="852" t="n"/>
      <c r="C722" s="852" t="n"/>
      <c r="D722">
        <f>IF(C722="TOH","Type 1",IF(C722="POH","Type 2",IF(OR(C722="LTO",C722="TOH-LC",C722="TOH - LC"),"Type 3",IF(C722="Flourish","Type 4","Type 1"))))</f>
        <v/>
      </c>
      <c r="E722" s="852" t="n"/>
      <c r="F722" s="852" t="n"/>
      <c r="G722" s="852" t="n"/>
      <c r="H722" s="888" t="n"/>
      <c r="I722" s="889" t="n"/>
      <c r="J722" s="888" t="n"/>
      <c r="K722">
        <f>SUM(H722:J722)</f>
        <v/>
      </c>
      <c r="L722" s="852" t="n"/>
      <c r="M722" s="852" t="n"/>
      <c r="N722" s="852" t="n"/>
      <c r="O722" s="852" t="n"/>
      <c r="P722" s="852" t="n"/>
      <c r="Q722" s="852" t="n"/>
      <c r="R722" s="852" t="n"/>
      <c r="S722" s="852" t="n"/>
      <c r="T722" s="852" t="n"/>
      <c r="U722" s="852" t="n"/>
      <c r="V722" s="852" t="n"/>
      <c r="W722" s="852" t="n"/>
      <c r="X722" s="852" t="n"/>
      <c r="Y722" s="852" t="n"/>
      <c r="Z722" s="852" t="n"/>
      <c r="AA722" s="852" t="n"/>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c r="CL722" s="59" t="n"/>
      <c r="CM722" s="59" t="n"/>
      <c r="CN722" s="59" t="n"/>
    </row>
    <row r="723" ht="15" customFormat="1" customHeight="1" s="3">
      <c r="A723">
        <f>IF(C723="","",ROW()-2)</f>
        <v/>
      </c>
      <c r="B723" s="852" t="n"/>
      <c r="C723" s="852" t="n"/>
      <c r="D723">
        <f>IF(C723="TOH","Type 1",IF(C723="POH","Type 2",IF(OR(C723="LTO",C723="TOH-LC",C723="TOH - LC"),"Type 3",IF(C723="Flourish","Type 4","Type 1"))))</f>
        <v/>
      </c>
      <c r="E723" s="852" t="n"/>
      <c r="F723" s="852" t="n"/>
      <c r="G723" s="852" t="n"/>
      <c r="H723" s="888" t="n"/>
      <c r="I723" s="889" t="n"/>
      <c r="J723" s="888" t="n"/>
      <c r="K723">
        <f>SUM(H723:J723)</f>
        <v/>
      </c>
      <c r="L723" s="852" t="n"/>
      <c r="M723" s="852" t="n"/>
      <c r="N723" s="852" t="n"/>
      <c r="O723" s="852" t="n"/>
      <c r="P723" s="852" t="n"/>
      <c r="Q723" s="852" t="n"/>
      <c r="R723" s="852" t="n"/>
      <c r="S723" s="852" t="n"/>
      <c r="T723" s="852" t="n"/>
      <c r="U723" s="852" t="n"/>
      <c r="V723" s="852" t="n"/>
      <c r="W723" s="852" t="n"/>
      <c r="X723" s="852" t="n"/>
      <c r="Y723" s="852" t="n"/>
      <c r="Z723" s="852" t="n"/>
      <c r="AA723" s="852" t="n"/>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c r="CL723" s="59" t="n"/>
      <c r="CM723" s="59" t="n"/>
      <c r="CN723" s="59" t="n"/>
    </row>
    <row r="724" ht="15" customFormat="1" customHeight="1" s="3">
      <c r="A724">
        <f>IF(C724="","",ROW()-2)</f>
        <v/>
      </c>
      <c r="B724" s="852" t="n"/>
      <c r="C724" s="852" t="n"/>
      <c r="D724">
        <f>IF(C724="TOH","Type 1",IF(C724="POH","Type 2",IF(OR(C724="LTO",C724="TOH-LC",C724="TOH - LC"),"Type 3",IF(C724="Flourish","Type 4","Type 1"))))</f>
        <v/>
      </c>
      <c r="E724" s="852" t="n"/>
      <c r="F724" s="852" t="n"/>
      <c r="G724" s="852" t="n"/>
      <c r="H724" s="888" t="n"/>
      <c r="I724" s="889" t="n"/>
      <c r="J724" s="888" t="n"/>
      <c r="K724">
        <f>SUM(H724:J724)</f>
        <v/>
      </c>
      <c r="L724" s="852" t="n"/>
      <c r="M724" s="852" t="n"/>
      <c r="N724" s="852" t="n"/>
      <c r="O724" s="852" t="n"/>
      <c r="P724" s="852" t="n"/>
      <c r="Q724" s="852" t="n"/>
      <c r="R724" s="852" t="n"/>
      <c r="S724" s="852" t="n"/>
      <c r="T724" s="852" t="n"/>
      <c r="U724" s="852" t="n"/>
      <c r="V724" s="852" t="n"/>
      <c r="W724" s="852" t="n"/>
      <c r="X724" s="852" t="n"/>
      <c r="Y724" s="852" t="n"/>
      <c r="Z724" s="852" t="n"/>
      <c r="AA724" s="852" t="n"/>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c r="CL724" s="59" t="n"/>
      <c r="CM724" s="59" t="n"/>
      <c r="CN724" s="59" t="n"/>
    </row>
    <row r="725" ht="15" customFormat="1" customHeight="1" s="3">
      <c r="A725">
        <f>IF(C725="","",ROW()-2)</f>
        <v/>
      </c>
      <c r="B725" s="852" t="n"/>
      <c r="C725" s="852" t="n"/>
      <c r="D725">
        <f>IF(C725="TOH","Type 1",IF(C725="POH","Type 2",IF(OR(C725="LTO",C725="TOH-LC",C725="TOH - LC"),"Type 3",IF(C725="Flourish","Type 4","Type 1"))))</f>
        <v/>
      </c>
      <c r="E725" s="852" t="n"/>
      <c r="F725" s="852" t="n"/>
      <c r="G725" s="852" t="n"/>
      <c r="H725" s="888" t="n"/>
      <c r="I725" s="889" t="n"/>
      <c r="J725" s="888" t="n"/>
      <c r="K725">
        <f>SUM(H725:J725)</f>
        <v/>
      </c>
      <c r="L725" s="852" t="n"/>
      <c r="M725" s="852" t="n"/>
      <c r="N725" s="852" t="n"/>
      <c r="O725" s="852" t="n"/>
      <c r="P725" s="852" t="n"/>
      <c r="Q725" s="852" t="n"/>
      <c r="R725" s="852" t="n"/>
      <c r="S725" s="852" t="n"/>
      <c r="T725" s="852" t="n"/>
      <c r="U725" s="852" t="n"/>
      <c r="V725" s="852" t="n"/>
      <c r="W725" s="852" t="n"/>
      <c r="X725" s="852" t="n"/>
      <c r="Y725" s="852" t="n"/>
      <c r="Z725" s="852" t="n"/>
      <c r="AA725" s="852" t="n"/>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c r="CL725" s="59" t="n"/>
      <c r="CM725" s="59" t="n"/>
      <c r="CN725" s="59" t="n"/>
    </row>
    <row r="726" ht="15" customFormat="1" customHeight="1" s="3">
      <c r="A726">
        <f>IF(C726="","",ROW()-2)</f>
        <v/>
      </c>
      <c r="B726" s="852" t="n"/>
      <c r="C726" s="852" t="n"/>
      <c r="D726">
        <f>IF(C726="TOH","Type 1",IF(C726="POH","Type 2",IF(OR(C726="LTO",C726="TOH-LC",C726="TOH - LC"),"Type 3",IF(C726="Flourish","Type 4","Type 1"))))</f>
        <v/>
      </c>
      <c r="E726" s="852" t="n"/>
      <c r="F726" s="852" t="n"/>
      <c r="G726" s="852" t="n"/>
      <c r="H726" s="888" t="n"/>
      <c r="I726" s="889" t="n"/>
      <c r="J726" s="888" t="n"/>
      <c r="K726">
        <f>SUM(H726:J726)</f>
        <v/>
      </c>
      <c r="L726" s="852" t="n"/>
      <c r="M726" s="852" t="n"/>
      <c r="N726" s="852" t="n"/>
      <c r="O726" s="852" t="n"/>
      <c r="P726" s="852" t="n"/>
      <c r="Q726" s="852" t="n"/>
      <c r="R726" s="852" t="n"/>
      <c r="S726" s="852" t="n"/>
      <c r="T726" s="852" t="n"/>
      <c r="U726" s="852" t="n"/>
      <c r="V726" s="852" t="n"/>
      <c r="W726" s="852" t="n"/>
      <c r="X726" s="852" t="n"/>
      <c r="Y726" s="852" t="n"/>
      <c r="Z726" s="852" t="n"/>
      <c r="AA726" s="852" t="n"/>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c r="CL726" s="59" t="n"/>
      <c r="CM726" s="59" t="n"/>
      <c r="CN726" s="59" t="n"/>
    </row>
    <row r="727" ht="15" customFormat="1" customHeight="1" s="3">
      <c r="A727">
        <f>IF(C727="","",ROW()-2)</f>
        <v/>
      </c>
      <c r="B727" s="852" t="n"/>
      <c r="C727" s="852" t="n"/>
      <c r="D727">
        <f>IF(C727="TOH","Type 1",IF(C727="POH","Type 2",IF(OR(C727="LTO",C727="TOH-LC",C727="TOH - LC"),"Type 3",IF(C727="Flourish","Type 4","Type 1"))))</f>
        <v/>
      </c>
      <c r="E727" s="852" t="n"/>
      <c r="F727" s="852" t="n"/>
      <c r="G727" s="852" t="n"/>
      <c r="H727" s="888" t="n"/>
      <c r="I727" s="889" t="n"/>
      <c r="J727" s="888" t="n"/>
      <c r="K727">
        <f>SUM(H727:J727)</f>
        <v/>
      </c>
      <c r="L727" s="852" t="n"/>
      <c r="M727" s="852" t="n"/>
      <c r="N727" s="852" t="n"/>
      <c r="O727" s="852" t="n"/>
      <c r="P727" s="852" t="n"/>
      <c r="Q727" s="852" t="n"/>
      <c r="R727" s="852" t="n"/>
      <c r="S727" s="852" t="n"/>
      <c r="T727" s="852" t="n"/>
      <c r="U727" s="852" t="n"/>
      <c r="V727" s="852" t="n"/>
      <c r="W727" s="852" t="n"/>
      <c r="X727" s="852" t="n"/>
      <c r="Y727" s="852" t="n"/>
      <c r="Z727" s="852" t="n"/>
      <c r="AA727" s="852" t="n"/>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c r="CL727" s="59" t="n"/>
      <c r="CM727" s="59" t="n"/>
      <c r="CN727" s="59" t="n"/>
    </row>
    <row r="728" ht="15" customFormat="1" customHeight="1" s="3">
      <c r="A728">
        <f>IF(C728="","",ROW()-2)</f>
        <v/>
      </c>
      <c r="B728" s="852" t="n"/>
      <c r="C728" s="852" t="n"/>
      <c r="D728">
        <f>IF(C728="TOH","Type 1",IF(C728="POH","Type 2",IF(OR(C728="LTO",C728="TOH-LC",C728="TOH - LC"),"Type 3",IF(C728="Flourish","Type 4","Type 1"))))</f>
        <v/>
      </c>
      <c r="E728" s="852" t="n"/>
      <c r="F728" s="852" t="n"/>
      <c r="G728" s="852" t="n"/>
      <c r="H728" s="888" t="n"/>
      <c r="I728" s="889" t="n"/>
      <c r="J728" s="888" t="n"/>
      <c r="K728">
        <f>SUM(H728:J728)</f>
        <v/>
      </c>
      <c r="L728" s="852" t="n"/>
      <c r="M728" s="852" t="n"/>
      <c r="N728" s="852" t="n"/>
      <c r="O728" s="852" t="n"/>
      <c r="P728" s="852" t="n"/>
      <c r="Q728" s="852" t="n"/>
      <c r="R728" s="852" t="n"/>
      <c r="S728" s="852" t="n"/>
      <c r="T728" s="852" t="n"/>
      <c r="U728" s="852" t="n"/>
      <c r="V728" s="852" t="n"/>
      <c r="W728" s="852" t="n"/>
      <c r="X728" s="852" t="n"/>
      <c r="Y728" s="852" t="n"/>
      <c r="Z728" s="852" t="n"/>
      <c r="AA728" s="852" t="n"/>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c r="CL728" s="59" t="n"/>
      <c r="CM728" s="59" t="n"/>
      <c r="CN728" s="59" t="n"/>
    </row>
    <row r="729" ht="15" customFormat="1" customHeight="1" s="3">
      <c r="A729">
        <f>IF(C729="","",ROW()-2)</f>
        <v/>
      </c>
      <c r="B729" s="852" t="n"/>
      <c r="C729" s="852" t="n"/>
      <c r="D729">
        <f>IF(C729="TOH","Type 1",IF(C729="POH","Type 2",IF(OR(C729="LTO",C729="TOH-LC",C729="TOH - LC"),"Type 3",IF(C729="Flourish","Type 4","Type 1"))))</f>
        <v/>
      </c>
      <c r="E729" s="852" t="n"/>
      <c r="F729" s="852" t="n"/>
      <c r="G729" s="852" t="n"/>
      <c r="H729" s="888" t="n"/>
      <c r="I729" s="889" t="n"/>
      <c r="J729" s="888" t="n"/>
      <c r="K729">
        <f>SUM(H729:J729)</f>
        <v/>
      </c>
      <c r="L729" s="852" t="n"/>
      <c r="M729" s="852" t="n"/>
      <c r="N729" s="852" t="n"/>
      <c r="O729" s="852" t="n"/>
      <c r="P729" s="852" t="n"/>
      <c r="Q729" s="852" t="n"/>
      <c r="R729" s="852" t="n"/>
      <c r="S729" s="852" t="n"/>
      <c r="T729" s="852" t="n"/>
      <c r="U729" s="852" t="n"/>
      <c r="V729" s="852" t="n"/>
      <c r="W729" s="852" t="n"/>
      <c r="X729" s="852" t="n"/>
      <c r="Y729" s="852" t="n"/>
      <c r="Z729" s="852" t="n"/>
      <c r="AA729" s="852" t="n"/>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c r="CL729" s="59" t="n"/>
      <c r="CM729" s="59" t="n"/>
      <c r="CN729" s="59" t="n"/>
    </row>
    <row r="730" ht="15" customFormat="1" customHeight="1" s="3">
      <c r="A730">
        <f>IF(C730="","",ROW()-2)</f>
        <v/>
      </c>
      <c r="B730" s="852" t="n"/>
      <c r="C730" s="852" t="n"/>
      <c r="D730">
        <f>IF(C730="TOH","Type 1",IF(C730="POH","Type 2",IF(OR(C730="LTO",C730="TOH-LC",C730="TOH - LC"),"Type 3",IF(C730="Flourish","Type 4","Type 1"))))</f>
        <v/>
      </c>
      <c r="E730" s="852" t="n"/>
      <c r="F730" s="852" t="n"/>
      <c r="G730" s="852" t="n"/>
      <c r="H730" s="888" t="n"/>
      <c r="I730" s="889" t="n"/>
      <c r="J730" s="888" t="n"/>
      <c r="K730">
        <f>SUM(H730:J730)</f>
        <v/>
      </c>
      <c r="L730" s="852" t="n"/>
      <c r="M730" s="852" t="n"/>
      <c r="N730" s="852" t="n"/>
      <c r="O730" s="852" t="n"/>
      <c r="P730" s="852" t="n"/>
      <c r="Q730" s="852" t="n"/>
      <c r="R730" s="852" t="n"/>
      <c r="S730" s="852" t="n"/>
      <c r="T730" s="852" t="n"/>
      <c r="U730" s="852" t="n"/>
      <c r="V730" s="852" t="n"/>
      <c r="W730" s="852" t="n"/>
      <c r="X730" s="852" t="n"/>
      <c r="Y730" s="852" t="n"/>
      <c r="Z730" s="852" t="n"/>
      <c r="AA730" s="852" t="n"/>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c r="CL730" s="59" t="n"/>
      <c r="CM730" s="59" t="n"/>
      <c r="CN730" s="59" t="n"/>
    </row>
    <row r="731" ht="15" customFormat="1" customHeight="1" s="3">
      <c r="A731">
        <f>IF(C731="","",ROW()-2)</f>
        <v/>
      </c>
      <c r="B731" s="852" t="n"/>
      <c r="C731" s="852" t="n"/>
      <c r="D731">
        <f>IF(C731="TOH","Type 1",IF(C731="POH","Type 2",IF(OR(C731="LTO",C731="TOH-LC",C731="TOH - LC"),"Type 3",IF(C731="Flourish","Type 4","Type 1"))))</f>
        <v/>
      </c>
      <c r="E731" s="852" t="n"/>
      <c r="F731" s="852" t="n"/>
      <c r="G731" s="852" t="n"/>
      <c r="H731" s="888" t="n"/>
      <c r="I731" s="889" t="n"/>
      <c r="J731" s="888" t="n"/>
      <c r="K731">
        <f>SUM(H731:J731)</f>
        <v/>
      </c>
      <c r="L731" s="852" t="n"/>
      <c r="M731" s="852" t="n"/>
      <c r="N731" s="852" t="n"/>
      <c r="O731" s="852" t="n"/>
      <c r="P731" s="852" t="n"/>
      <c r="Q731" s="852" t="n"/>
      <c r="R731" s="852" t="n"/>
      <c r="S731" s="852" t="n"/>
      <c r="T731" s="852" t="n"/>
      <c r="U731" s="852" t="n"/>
      <c r="V731" s="852" t="n"/>
      <c r="W731" s="852" t="n"/>
      <c r="X731" s="852" t="n"/>
      <c r="Y731" s="852" t="n"/>
      <c r="Z731" s="852" t="n"/>
      <c r="AA731" s="852" t="n"/>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c r="CL731" s="59" t="n"/>
      <c r="CM731" s="59" t="n"/>
      <c r="CN731" s="59" t="n"/>
    </row>
    <row r="732" ht="15" customFormat="1" customHeight="1" s="3">
      <c r="A732">
        <f>IF(C732="","",ROW()-2)</f>
        <v/>
      </c>
      <c r="B732" s="852" t="n"/>
      <c r="C732" s="852" t="n"/>
      <c r="D732">
        <f>IF(C732="TOH","Type 1",IF(C732="POH","Type 2",IF(OR(C732="LTO",C732="TOH-LC",C732="TOH - LC"),"Type 3",IF(C732="Flourish","Type 4","Type 1"))))</f>
        <v/>
      </c>
      <c r="E732" s="852" t="n"/>
      <c r="F732" s="852" t="n"/>
      <c r="G732" s="852" t="n"/>
      <c r="H732" s="888" t="n"/>
      <c r="I732" s="889" t="n"/>
      <c r="J732" s="888" t="n"/>
      <c r="K732">
        <f>SUM(H732:J732)</f>
        <v/>
      </c>
      <c r="L732" s="852" t="n"/>
      <c r="M732" s="852" t="n"/>
      <c r="N732" s="852" t="n"/>
      <c r="O732" s="852" t="n"/>
      <c r="P732" s="852" t="n"/>
      <c r="Q732" s="852" t="n"/>
      <c r="R732" s="852" t="n"/>
      <c r="S732" s="852" t="n"/>
      <c r="T732" s="852" t="n"/>
      <c r="U732" s="852" t="n"/>
      <c r="V732" s="852" t="n"/>
      <c r="W732" s="852" t="n"/>
      <c r="X732" s="852" t="n"/>
      <c r="Y732" s="852" t="n"/>
      <c r="Z732" s="852" t="n"/>
      <c r="AA732" s="852" t="n"/>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c r="CL732" s="59" t="n"/>
      <c r="CM732" s="59" t="n"/>
      <c r="CN732" s="59" t="n"/>
    </row>
    <row r="733" ht="15" customFormat="1" customHeight="1" s="3">
      <c r="A733">
        <f>IF(C733="","",ROW()-2)</f>
        <v/>
      </c>
      <c r="B733" s="852" t="n"/>
      <c r="C733" s="852" t="n"/>
      <c r="D733">
        <f>IF(C733="TOH","Type 1",IF(C733="POH","Type 2",IF(OR(C733="LTO",C733="TOH-LC",C733="TOH - LC"),"Type 3",IF(C733="Flourish","Type 4","Type 1"))))</f>
        <v/>
      </c>
      <c r="E733" s="852" t="n"/>
      <c r="F733" s="852" t="n"/>
      <c r="G733" s="852" t="n"/>
      <c r="H733" s="888" t="n"/>
      <c r="I733" s="889" t="n"/>
      <c r="J733" s="888" t="n"/>
      <c r="K733">
        <f>SUM(H733:J733)</f>
        <v/>
      </c>
      <c r="L733" s="852" t="n"/>
      <c r="M733" s="852" t="n"/>
      <c r="N733" s="852" t="n"/>
      <c r="O733" s="852" t="n"/>
      <c r="P733" s="852" t="n"/>
      <c r="Q733" s="852" t="n"/>
      <c r="R733" s="852" t="n"/>
      <c r="S733" s="852" t="n"/>
      <c r="T733" s="852" t="n"/>
      <c r="U733" s="852" t="n"/>
      <c r="V733" s="852" t="n"/>
      <c r="W733" s="852" t="n"/>
      <c r="X733" s="852" t="n"/>
      <c r="Y733" s="852" t="n"/>
      <c r="Z733" s="852" t="n"/>
      <c r="AA733" s="852" t="n"/>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c r="CL733" s="59" t="n"/>
      <c r="CM733" s="59" t="n"/>
      <c r="CN733" s="59" t="n"/>
    </row>
    <row r="734" ht="15" customFormat="1" customHeight="1" s="3">
      <c r="A734">
        <f>IF(C734="","",ROW()-2)</f>
        <v/>
      </c>
      <c r="B734" s="852" t="n"/>
      <c r="C734" s="852" t="n"/>
      <c r="D734">
        <f>IF(C734="TOH","Type 1",IF(C734="POH","Type 2",IF(OR(C734="LTO",C734="TOH-LC",C734="TOH - LC"),"Type 3",IF(C734="Flourish","Type 4","Type 1"))))</f>
        <v/>
      </c>
      <c r="E734" s="852" t="n"/>
      <c r="F734" s="852" t="n"/>
      <c r="G734" s="852" t="n"/>
      <c r="H734" s="888" t="n"/>
      <c r="I734" s="889" t="n"/>
      <c r="J734" s="888" t="n"/>
      <c r="K734">
        <f>SUM(H734:J734)</f>
        <v/>
      </c>
      <c r="L734" s="852" t="n"/>
      <c r="M734" s="852" t="n"/>
      <c r="N734" s="852" t="n"/>
      <c r="O734" s="852" t="n"/>
      <c r="P734" s="852" t="n"/>
      <c r="Q734" s="852" t="n"/>
      <c r="R734" s="852" t="n"/>
      <c r="S734" s="852" t="n"/>
      <c r="T734" s="852" t="n"/>
      <c r="U734" s="852" t="n"/>
      <c r="V734" s="852" t="n"/>
      <c r="W734" s="852" t="n"/>
      <c r="X734" s="852" t="n"/>
      <c r="Y734" s="852" t="n"/>
      <c r="Z734" s="852" t="n"/>
      <c r="AA734" s="852" t="n"/>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c r="CL734" s="59" t="n"/>
      <c r="CM734" s="59" t="n"/>
      <c r="CN734" s="59" t="n"/>
    </row>
    <row r="735" ht="15" customFormat="1" customHeight="1" s="3">
      <c r="A735">
        <f>IF(C735="","",ROW()-2)</f>
        <v/>
      </c>
      <c r="B735" s="852" t="n"/>
      <c r="C735" s="852" t="n"/>
      <c r="D735">
        <f>IF(C735="TOH","Type 1",IF(C735="POH","Type 2",IF(OR(C735="LTO",C735="TOH-LC",C735="TOH - LC"),"Type 3",IF(C735="Flourish","Type 4","Type 1"))))</f>
        <v/>
      </c>
      <c r="E735" s="852" t="n"/>
      <c r="F735" s="852" t="n"/>
      <c r="G735" s="852" t="n"/>
      <c r="H735" s="888" t="n"/>
      <c r="I735" s="889" t="n"/>
      <c r="J735" s="888" t="n"/>
      <c r="K735">
        <f>SUM(H735:J735)</f>
        <v/>
      </c>
      <c r="L735" s="852" t="n"/>
      <c r="M735" s="852" t="n"/>
      <c r="N735" s="852" t="n"/>
      <c r="O735" s="852" t="n"/>
      <c r="P735" s="852" t="n"/>
      <c r="Q735" s="852" t="n"/>
      <c r="R735" s="852" t="n"/>
      <c r="S735" s="852" t="n"/>
      <c r="T735" s="852" t="n"/>
      <c r="U735" s="852" t="n"/>
      <c r="V735" s="852" t="n"/>
      <c r="W735" s="852" t="n"/>
      <c r="X735" s="852" t="n"/>
      <c r="Y735" s="852" t="n"/>
      <c r="Z735" s="852" t="n"/>
      <c r="AA735" s="852" t="n"/>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c r="CL735" s="59" t="n"/>
      <c r="CM735" s="59" t="n"/>
      <c r="CN735" s="59" t="n"/>
    </row>
    <row r="736" ht="15" customFormat="1" customHeight="1" s="3">
      <c r="A736">
        <f>IF(C736="","",ROW()-2)</f>
        <v/>
      </c>
      <c r="B736" s="852" t="n"/>
      <c r="C736" s="852" t="n"/>
      <c r="D736">
        <f>IF(C736="TOH","Type 1",IF(C736="POH","Type 2",IF(OR(C736="LTO",C736="TOH-LC",C736="TOH - LC"),"Type 3",IF(C736="Flourish","Type 4","Type 1"))))</f>
        <v/>
      </c>
      <c r="E736" s="852" t="n"/>
      <c r="F736" s="852" t="n"/>
      <c r="G736" s="852" t="n"/>
      <c r="H736" s="888" t="n"/>
      <c r="I736" s="889" t="n"/>
      <c r="J736" s="888" t="n"/>
      <c r="K736">
        <f>SUM(H736:J736)</f>
        <v/>
      </c>
      <c r="L736" s="852" t="n"/>
      <c r="M736" s="852" t="n"/>
      <c r="N736" s="852" t="n"/>
      <c r="O736" s="852" t="n"/>
      <c r="P736" s="852" t="n"/>
      <c r="Q736" s="852" t="n"/>
      <c r="R736" s="852" t="n"/>
      <c r="S736" s="852" t="n"/>
      <c r="T736" s="852" t="n"/>
      <c r="U736" s="852" t="n"/>
      <c r="V736" s="852" t="n"/>
      <c r="W736" s="852" t="n"/>
      <c r="X736" s="852" t="n"/>
      <c r="Y736" s="852" t="n"/>
      <c r="Z736" s="852" t="n"/>
      <c r="AA736" s="852" t="n"/>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c r="CL736" s="59" t="n"/>
      <c r="CM736" s="59" t="n"/>
      <c r="CN736" s="59" t="n"/>
    </row>
    <row r="737" ht="15" customFormat="1" customHeight="1" s="3">
      <c r="A737">
        <f>IF(C737="","",ROW()-2)</f>
        <v/>
      </c>
      <c r="B737" s="852" t="n"/>
      <c r="C737" s="852" t="n"/>
      <c r="D737">
        <f>IF(C737="TOH","Type 1",IF(C737="POH","Type 2",IF(OR(C737="LTO",C737="TOH-LC",C737="TOH - LC"),"Type 3",IF(C737="Flourish","Type 4","Type 1"))))</f>
        <v/>
      </c>
      <c r="E737" s="852" t="n"/>
      <c r="F737" s="852" t="n"/>
      <c r="G737" s="852" t="n"/>
      <c r="H737" s="888" t="n"/>
      <c r="I737" s="889" t="n"/>
      <c r="J737" s="888" t="n"/>
      <c r="K737">
        <f>SUM(H737:J737)</f>
        <v/>
      </c>
      <c r="L737" s="852" t="n"/>
      <c r="M737" s="852" t="n"/>
      <c r="N737" s="852" t="n"/>
      <c r="O737" s="852" t="n"/>
      <c r="P737" s="852" t="n"/>
      <c r="Q737" s="852" t="n"/>
      <c r="R737" s="852" t="n"/>
      <c r="S737" s="852" t="n"/>
      <c r="T737" s="852" t="n"/>
      <c r="U737" s="852" t="n"/>
      <c r="V737" s="852" t="n"/>
      <c r="W737" s="852" t="n"/>
      <c r="X737" s="852" t="n"/>
      <c r="Y737" s="852" t="n"/>
      <c r="Z737" s="852" t="n"/>
      <c r="AA737" s="852" t="n"/>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c r="CL737" s="59" t="n"/>
      <c r="CM737" s="59" t="n"/>
      <c r="CN737" s="59" t="n"/>
    </row>
    <row r="738" ht="15" customFormat="1" customHeight="1" s="3">
      <c r="A738">
        <f>IF(C738="","",ROW()-2)</f>
        <v/>
      </c>
      <c r="B738" s="852" t="n"/>
      <c r="C738" s="852" t="n"/>
      <c r="D738">
        <f>IF(C738="TOH","Type 1",IF(C738="POH","Type 2",IF(OR(C738="LTO",C738="TOH-LC",C738="TOH - LC"),"Type 3",IF(C738="Flourish","Type 4","Type 1"))))</f>
        <v/>
      </c>
      <c r="E738" s="852" t="n"/>
      <c r="F738" s="852" t="n"/>
      <c r="G738" s="852" t="n"/>
      <c r="H738" s="888" t="n"/>
      <c r="I738" s="889" t="n"/>
      <c r="J738" s="888" t="n"/>
      <c r="K738">
        <f>SUM(H738:J738)</f>
        <v/>
      </c>
      <c r="L738" s="852" t="n"/>
      <c r="M738" s="852" t="n"/>
      <c r="N738" s="852" t="n"/>
      <c r="O738" s="852" t="n"/>
      <c r="P738" s="852" t="n"/>
      <c r="Q738" s="852" t="n"/>
      <c r="R738" s="852" t="n"/>
      <c r="S738" s="852" t="n"/>
      <c r="T738" s="852" t="n"/>
      <c r="U738" s="852" t="n"/>
      <c r="V738" s="852" t="n"/>
      <c r="W738" s="852" t="n"/>
      <c r="X738" s="852" t="n"/>
      <c r="Y738" s="852" t="n"/>
      <c r="Z738" s="852" t="n"/>
      <c r="AA738" s="852" t="n"/>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c r="CL738" s="59" t="n"/>
      <c r="CM738" s="59" t="n"/>
      <c r="CN738" s="59" t="n"/>
    </row>
    <row r="739" ht="15" customFormat="1" customHeight="1" s="3">
      <c r="A739">
        <f>IF(C739="","",ROW()-2)</f>
        <v/>
      </c>
      <c r="B739" s="852" t="n"/>
      <c r="C739" s="852" t="n"/>
      <c r="D739">
        <f>IF(C739="TOH","Type 1",IF(C739="POH","Type 2",IF(OR(C739="LTO",C739="TOH-LC",C739="TOH - LC"),"Type 3",IF(C739="Flourish","Type 4","Type 1"))))</f>
        <v/>
      </c>
      <c r="E739" s="852" t="n"/>
      <c r="F739" s="852" t="n"/>
      <c r="G739" s="852" t="n"/>
      <c r="H739" s="888" t="n"/>
      <c r="I739" s="889" t="n"/>
      <c r="J739" s="888" t="n"/>
      <c r="K739">
        <f>SUM(H739:J739)</f>
        <v/>
      </c>
      <c r="L739" s="852" t="n"/>
      <c r="M739" s="852" t="n"/>
      <c r="N739" s="852" t="n"/>
      <c r="O739" s="852" t="n"/>
      <c r="P739" s="852" t="n"/>
      <c r="Q739" s="852" t="n"/>
      <c r="R739" s="852" t="n"/>
      <c r="S739" s="852" t="n"/>
      <c r="T739" s="852" t="n"/>
      <c r="U739" s="852" t="n"/>
      <c r="V739" s="852" t="n"/>
      <c r="W739" s="852" t="n"/>
      <c r="X739" s="852" t="n"/>
      <c r="Y739" s="852" t="n"/>
      <c r="Z739" s="852" t="n"/>
      <c r="AA739" s="852" t="n"/>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c r="CL739" s="59" t="n"/>
      <c r="CM739" s="59" t="n"/>
      <c r="CN739" s="59" t="n"/>
    </row>
    <row r="740" ht="15" customFormat="1" customHeight="1" s="3">
      <c r="A740">
        <f>IF(C740="","",ROW()-2)</f>
        <v/>
      </c>
      <c r="B740" s="852" t="n"/>
      <c r="C740" s="852" t="n"/>
      <c r="D740">
        <f>IF(C740="TOH","Type 1",IF(C740="POH","Type 2",IF(OR(C740="LTO",C740="TOH-LC",C740="TOH - LC"),"Type 3",IF(C740="Flourish","Type 4","Type 1"))))</f>
        <v/>
      </c>
      <c r="E740" s="852" t="n"/>
      <c r="F740" s="852" t="n"/>
      <c r="G740" s="852" t="n"/>
      <c r="H740" s="888" t="n"/>
      <c r="I740" s="889" t="n"/>
      <c r="J740" s="888" t="n"/>
      <c r="K740">
        <f>SUM(H740:J740)</f>
        <v/>
      </c>
      <c r="L740" s="852" t="n"/>
      <c r="M740" s="852" t="n"/>
      <c r="N740" s="852" t="n"/>
      <c r="O740" s="852" t="n"/>
      <c r="P740" s="852" t="n"/>
      <c r="Q740" s="852" t="n"/>
      <c r="R740" s="852" t="n"/>
      <c r="S740" s="852" t="n"/>
      <c r="T740" s="852" t="n"/>
      <c r="U740" s="852" t="n"/>
      <c r="V740" s="852" t="n"/>
      <c r="W740" s="852" t="n"/>
      <c r="X740" s="852" t="n"/>
      <c r="Y740" s="852" t="n"/>
      <c r="Z740" s="852" t="n"/>
      <c r="AA740" s="852" t="n"/>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c r="CL740" s="59" t="n"/>
      <c r="CM740" s="59" t="n"/>
      <c r="CN740" s="59" t="n"/>
    </row>
    <row r="741" ht="15" customFormat="1" customHeight="1" s="3">
      <c r="A741">
        <f>IF(C741="","",ROW()-2)</f>
        <v/>
      </c>
      <c r="B741" s="852" t="n"/>
      <c r="C741" s="852" t="n"/>
      <c r="D741">
        <f>IF(C741="TOH","Type 1",IF(C741="POH","Type 2",IF(OR(C741="LTO",C741="TOH-LC",C741="TOH - LC"),"Type 3",IF(C741="Flourish","Type 4","Type 1"))))</f>
        <v/>
      </c>
      <c r="E741" s="852" t="n"/>
      <c r="F741" s="852" t="n"/>
      <c r="G741" s="852" t="n"/>
      <c r="H741" s="888" t="n"/>
      <c r="I741" s="889" t="n"/>
      <c r="J741" s="888" t="n"/>
      <c r="K741">
        <f>SUM(H741:J741)</f>
        <v/>
      </c>
      <c r="L741" s="852" t="n"/>
      <c r="M741" s="852" t="n"/>
      <c r="N741" s="852" t="n"/>
      <c r="O741" s="852" t="n"/>
      <c r="P741" s="852" t="n"/>
      <c r="Q741" s="852" t="n"/>
      <c r="R741" s="852" t="n"/>
      <c r="S741" s="852" t="n"/>
      <c r="T741" s="852" t="n"/>
      <c r="U741" s="852" t="n"/>
      <c r="V741" s="852" t="n"/>
      <c r="W741" s="852" t="n"/>
      <c r="X741" s="852" t="n"/>
      <c r="Y741" s="852" t="n"/>
      <c r="Z741" s="852" t="n"/>
      <c r="AA741" s="852" t="n"/>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c r="CL741" s="59" t="n"/>
      <c r="CM741" s="59" t="n"/>
      <c r="CN741" s="59" t="n"/>
    </row>
    <row r="742" ht="15" customFormat="1" customHeight="1" s="3">
      <c r="A742">
        <f>IF(C742="","",ROW()-2)</f>
        <v/>
      </c>
      <c r="B742" s="852" t="n"/>
      <c r="C742" s="852" t="n"/>
      <c r="D742">
        <f>IF(C742="TOH","Type 1",IF(C742="POH","Type 2",IF(OR(C742="LTO",C742="TOH-LC",C742="TOH - LC"),"Type 3",IF(C742="Flourish","Type 4","Type 1"))))</f>
        <v/>
      </c>
      <c r="E742" s="852" t="n"/>
      <c r="F742" s="852" t="n"/>
      <c r="G742" s="852" t="n"/>
      <c r="H742" s="888" t="n"/>
      <c r="I742" s="889" t="n"/>
      <c r="J742" s="888" t="n"/>
      <c r="K742">
        <f>SUM(H742:J742)</f>
        <v/>
      </c>
      <c r="L742" s="852" t="n"/>
      <c r="M742" s="852" t="n"/>
      <c r="N742" s="852" t="n"/>
      <c r="O742" s="852" t="n"/>
      <c r="P742" s="852" t="n"/>
      <c r="Q742" s="852" t="n"/>
      <c r="R742" s="852" t="n"/>
      <c r="S742" s="852" t="n"/>
      <c r="T742" s="852" t="n"/>
      <c r="U742" s="852" t="n"/>
      <c r="V742" s="852" t="n"/>
      <c r="W742" s="852" t="n"/>
      <c r="X742" s="852" t="n"/>
      <c r="Y742" s="852" t="n"/>
      <c r="Z742" s="852" t="n"/>
      <c r="AA742" s="852" t="n"/>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c r="CL742" s="59" t="n"/>
      <c r="CM742" s="59" t="n"/>
      <c r="CN742" s="59" t="n"/>
    </row>
    <row r="743" ht="15" customFormat="1" customHeight="1" s="3">
      <c r="A743">
        <f>IF(C743="","",ROW()-2)</f>
        <v/>
      </c>
      <c r="B743" s="852" t="n"/>
      <c r="C743" s="852" t="n"/>
      <c r="D743">
        <f>IF(C743="TOH","Type 1",IF(C743="POH","Type 2",IF(OR(C743="LTO",C743="TOH-LC",C743="TOH - LC"),"Type 3",IF(C743="Flourish","Type 4","Type 1"))))</f>
        <v/>
      </c>
      <c r="E743" s="852" t="n"/>
      <c r="F743" s="852" t="n"/>
      <c r="G743" s="852" t="n"/>
      <c r="H743" s="888" t="n"/>
      <c r="I743" s="889" t="n"/>
      <c r="J743" s="888" t="n"/>
      <c r="K743">
        <f>SUM(H743:J743)</f>
        <v/>
      </c>
      <c r="L743" s="852" t="n"/>
      <c r="M743" s="852" t="n"/>
      <c r="N743" s="852" t="n"/>
      <c r="O743" s="852" t="n"/>
      <c r="P743" s="852" t="n"/>
      <c r="Q743" s="852" t="n"/>
      <c r="R743" s="852" t="n"/>
      <c r="S743" s="852" t="n"/>
      <c r="T743" s="852" t="n"/>
      <c r="U743" s="852" t="n"/>
      <c r="V743" s="852" t="n"/>
      <c r="W743" s="852" t="n"/>
      <c r="X743" s="852" t="n"/>
      <c r="Y743" s="852" t="n"/>
      <c r="Z743" s="852" t="n"/>
      <c r="AA743" s="852" t="n"/>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c r="CL743" s="59" t="n"/>
      <c r="CM743" s="59" t="n"/>
      <c r="CN743" s="59" t="n"/>
    </row>
    <row r="744" ht="15" customFormat="1" customHeight="1" s="3">
      <c r="A744">
        <f>IF(C744="","",ROW()-2)</f>
        <v/>
      </c>
      <c r="B744" s="852" t="n"/>
      <c r="C744" s="852" t="n"/>
      <c r="D744">
        <f>IF(C744="TOH","Type 1",IF(C744="POH","Type 2",IF(OR(C744="LTO",C744="TOH-LC",C744="TOH - LC"),"Type 3",IF(C744="Flourish","Type 4","Type 1"))))</f>
        <v/>
      </c>
      <c r="E744" s="852" t="n"/>
      <c r="F744" s="852" t="n"/>
      <c r="G744" s="852" t="n"/>
      <c r="H744" s="888" t="n"/>
      <c r="I744" s="889" t="n"/>
      <c r="J744" s="888" t="n"/>
      <c r="K744">
        <f>SUM(H744:J744)</f>
        <v/>
      </c>
      <c r="L744" s="852" t="n"/>
      <c r="M744" s="852" t="n"/>
      <c r="N744" s="852" t="n"/>
      <c r="O744" s="852" t="n"/>
      <c r="P744" s="852" t="n"/>
      <c r="Q744" s="852" t="n"/>
      <c r="R744" s="852" t="n"/>
      <c r="S744" s="852" t="n"/>
      <c r="T744" s="852" t="n"/>
      <c r="U744" s="852" t="n"/>
      <c r="V744" s="852" t="n"/>
      <c r="W744" s="852" t="n"/>
      <c r="X744" s="852" t="n"/>
      <c r="Y744" s="852" t="n"/>
      <c r="Z744" s="852" t="n"/>
      <c r="AA744" s="852" t="n"/>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c r="CL744" s="59" t="n"/>
      <c r="CM744" s="59" t="n"/>
      <c r="CN744" s="59" t="n"/>
    </row>
    <row r="745" ht="15" customFormat="1" customHeight="1" s="3">
      <c r="A745">
        <f>IF(C745="","",ROW()-2)</f>
        <v/>
      </c>
      <c r="B745" s="852" t="n"/>
      <c r="C745" s="852" t="n"/>
      <c r="D745">
        <f>IF(C745="TOH","Type 1",IF(C745="POH","Type 2",IF(OR(C745="LTO",C745="TOH-LC",C745="TOH - LC"),"Type 3",IF(C745="Flourish","Type 4","Type 1"))))</f>
        <v/>
      </c>
      <c r="E745" s="852" t="n"/>
      <c r="F745" s="852" t="n"/>
      <c r="G745" s="852" t="n"/>
      <c r="H745" s="888" t="n"/>
      <c r="I745" s="889" t="n"/>
      <c r="J745" s="888" t="n"/>
      <c r="K745">
        <f>SUM(H745:J745)</f>
        <v/>
      </c>
      <c r="L745" s="852" t="n"/>
      <c r="M745" s="852" t="n"/>
      <c r="N745" s="852" t="n"/>
      <c r="O745" s="852" t="n"/>
      <c r="P745" s="852" t="n"/>
      <c r="Q745" s="852" t="n"/>
      <c r="R745" s="852" t="n"/>
      <c r="S745" s="852" t="n"/>
      <c r="T745" s="852" t="n"/>
      <c r="U745" s="852" t="n"/>
      <c r="V745" s="852" t="n"/>
      <c r="W745" s="852" t="n"/>
      <c r="X745" s="852" t="n"/>
      <c r="Y745" s="852" t="n"/>
      <c r="Z745" s="852" t="n"/>
      <c r="AA745" s="852" t="n"/>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c r="CL745" s="59" t="n"/>
      <c r="CM745" s="59" t="n"/>
      <c r="CN745" s="59" t="n"/>
    </row>
    <row r="746" ht="15" customFormat="1" customHeight="1" s="3">
      <c r="A746">
        <f>IF(C746="","",ROW()-2)</f>
        <v/>
      </c>
      <c r="B746" s="852" t="n"/>
      <c r="C746" s="852" t="n"/>
      <c r="D746">
        <f>IF(C746="TOH","Type 1",IF(C746="POH","Type 2",IF(OR(C746="LTO",C746="TOH-LC",C746="TOH - LC"),"Type 3",IF(C746="Flourish","Type 4","Type 1"))))</f>
        <v/>
      </c>
      <c r="E746" s="852" t="n"/>
      <c r="F746" s="852" t="n"/>
      <c r="G746" s="852" t="n"/>
      <c r="H746" s="888" t="n"/>
      <c r="I746" s="889" t="n"/>
      <c r="J746" s="888" t="n"/>
      <c r="K746">
        <f>SUM(H746:J746)</f>
        <v/>
      </c>
      <c r="L746" s="852" t="n"/>
      <c r="M746" s="852" t="n"/>
      <c r="N746" s="852" t="n"/>
      <c r="O746" s="852" t="n"/>
      <c r="P746" s="852" t="n"/>
      <c r="Q746" s="852" t="n"/>
      <c r="R746" s="852" t="n"/>
      <c r="S746" s="852" t="n"/>
      <c r="T746" s="852" t="n"/>
      <c r="U746" s="852" t="n"/>
      <c r="V746" s="852" t="n"/>
      <c r="W746" s="852" t="n"/>
      <c r="X746" s="852" t="n"/>
      <c r="Y746" s="852" t="n"/>
      <c r="Z746" s="852" t="n"/>
      <c r="AA746" s="852" t="n"/>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c r="CL746" s="59" t="n"/>
      <c r="CM746" s="59" t="n"/>
      <c r="CN746" s="59" t="n"/>
    </row>
    <row r="747" ht="15" customFormat="1" customHeight="1" s="3">
      <c r="A747">
        <f>IF(C747="","",ROW()-2)</f>
        <v/>
      </c>
      <c r="B747" s="852" t="n"/>
      <c r="C747" s="852" t="n"/>
      <c r="D747">
        <f>IF(C747="TOH","Type 1",IF(C747="POH","Type 2",IF(OR(C747="LTO",C747="TOH-LC",C747="TOH - LC"),"Type 3",IF(C747="Flourish","Type 4","Type 1"))))</f>
        <v/>
      </c>
      <c r="E747" s="852" t="n"/>
      <c r="F747" s="852" t="n"/>
      <c r="G747" s="852" t="n"/>
      <c r="H747" s="888" t="n"/>
      <c r="I747" s="889" t="n"/>
      <c r="J747" s="888" t="n"/>
      <c r="K747">
        <f>SUM(H747:J747)</f>
        <v/>
      </c>
      <c r="L747" s="852" t="n"/>
      <c r="M747" s="852" t="n"/>
      <c r="N747" s="852" t="n"/>
      <c r="O747" s="852" t="n"/>
      <c r="P747" s="852" t="n"/>
      <c r="Q747" s="852" t="n"/>
      <c r="R747" s="852" t="n"/>
      <c r="S747" s="852" t="n"/>
      <c r="T747" s="852" t="n"/>
      <c r="U747" s="852" t="n"/>
      <c r="V747" s="852" t="n"/>
      <c r="W747" s="852" t="n"/>
      <c r="X747" s="852" t="n"/>
      <c r="Y747" s="852" t="n"/>
      <c r="Z747" s="852" t="n"/>
      <c r="AA747" s="852" t="n"/>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c r="CL747" s="59" t="n"/>
      <c r="CM747" s="59" t="n"/>
      <c r="CN747" s="59" t="n"/>
    </row>
    <row r="748" ht="15" customFormat="1" customHeight="1" s="3">
      <c r="A748">
        <f>IF(C748="","",ROW()-2)</f>
        <v/>
      </c>
      <c r="B748" s="852" t="n"/>
      <c r="C748" s="852" t="n"/>
      <c r="D748">
        <f>IF(C748="TOH","Type 1",IF(C748="POH","Type 2",IF(OR(C748="LTO",C748="TOH-LC",C748="TOH - LC"),"Type 3",IF(C748="Flourish","Type 4","Type 1"))))</f>
        <v/>
      </c>
      <c r="E748" s="852" t="n"/>
      <c r="F748" s="852" t="n"/>
      <c r="G748" s="852" t="n"/>
      <c r="H748" s="888" t="n"/>
      <c r="I748" s="889" t="n"/>
      <c r="J748" s="888" t="n"/>
      <c r="K748">
        <f>SUM(H748:J748)</f>
        <v/>
      </c>
      <c r="L748" s="852" t="n"/>
      <c r="M748" s="852" t="n"/>
      <c r="N748" s="852" t="n"/>
      <c r="O748" s="852" t="n"/>
      <c r="P748" s="852" t="n"/>
      <c r="Q748" s="852" t="n"/>
      <c r="R748" s="852" t="n"/>
      <c r="S748" s="852" t="n"/>
      <c r="T748" s="852" t="n"/>
      <c r="U748" s="852" t="n"/>
      <c r="V748" s="852" t="n"/>
      <c r="W748" s="852" t="n"/>
      <c r="X748" s="852" t="n"/>
      <c r="Y748" s="852" t="n"/>
      <c r="Z748" s="852" t="n"/>
      <c r="AA748" s="852" t="n"/>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c r="CL748" s="59" t="n"/>
      <c r="CM748" s="59" t="n"/>
      <c r="CN748" s="59" t="n"/>
    </row>
    <row r="749" ht="15" customFormat="1" customHeight="1" s="3">
      <c r="A749">
        <f>IF(C749="","",ROW()-2)</f>
        <v/>
      </c>
      <c r="B749" s="852" t="n"/>
      <c r="C749" s="852" t="n"/>
      <c r="D749">
        <f>IF(C749="TOH","Type 1",IF(C749="POH","Type 2",IF(OR(C749="LTO",C749="TOH-LC",C749="TOH - LC"),"Type 3",IF(C749="Flourish","Type 4","Type 1"))))</f>
        <v/>
      </c>
      <c r="E749" s="852" t="n"/>
      <c r="F749" s="852" t="n"/>
      <c r="G749" s="852" t="n"/>
      <c r="H749" s="888" t="n"/>
      <c r="I749" s="889" t="n"/>
      <c r="J749" s="888" t="n"/>
      <c r="K749">
        <f>SUM(H749:J749)</f>
        <v/>
      </c>
      <c r="L749" s="852" t="n"/>
      <c r="M749" s="852" t="n"/>
      <c r="N749" s="852" t="n"/>
      <c r="O749" s="852" t="n"/>
      <c r="P749" s="852" t="n"/>
      <c r="Q749" s="852" t="n"/>
      <c r="R749" s="852" t="n"/>
      <c r="S749" s="852" t="n"/>
      <c r="T749" s="852" t="n"/>
      <c r="U749" s="852" t="n"/>
      <c r="V749" s="852" t="n"/>
      <c r="W749" s="852" t="n"/>
      <c r="X749" s="852" t="n"/>
      <c r="Y749" s="852" t="n"/>
      <c r="Z749" s="852" t="n"/>
      <c r="AA749" s="852" t="n"/>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c r="CL749" s="59" t="n"/>
      <c r="CM749" s="59" t="n"/>
      <c r="CN749" s="59" t="n"/>
    </row>
    <row r="750" ht="15" customFormat="1" customHeight="1" s="3">
      <c r="A750">
        <f>IF(C750="","",ROW()-2)</f>
        <v/>
      </c>
      <c r="B750" s="852" t="n"/>
      <c r="C750" s="852" t="n"/>
      <c r="D750">
        <f>IF(C750="TOH","Type 1",IF(C750="POH","Type 2",IF(OR(C750="LTO",C750="TOH-LC",C750="TOH - LC"),"Type 3",IF(C750="Flourish","Type 4","Type 1"))))</f>
        <v/>
      </c>
      <c r="E750" s="852" t="n"/>
      <c r="F750" s="852" t="n"/>
      <c r="G750" s="852" t="n"/>
      <c r="H750" s="888" t="n"/>
      <c r="I750" s="889" t="n"/>
      <c r="J750" s="888" t="n"/>
      <c r="K750">
        <f>SUM(H750:J750)</f>
        <v/>
      </c>
      <c r="L750" s="852" t="n"/>
      <c r="M750" s="852" t="n"/>
      <c r="N750" s="852" t="n"/>
      <c r="O750" s="852" t="n"/>
      <c r="P750" s="852" t="n"/>
      <c r="Q750" s="852" t="n"/>
      <c r="R750" s="852" t="n"/>
      <c r="S750" s="852" t="n"/>
      <c r="T750" s="852" t="n"/>
      <c r="U750" s="852" t="n"/>
      <c r="V750" s="852" t="n"/>
      <c r="W750" s="852" t="n"/>
      <c r="X750" s="852" t="n"/>
      <c r="Y750" s="852" t="n"/>
      <c r="Z750" s="852" t="n"/>
      <c r="AA750" s="852" t="n"/>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c r="CL750" s="59" t="n"/>
      <c r="CM750" s="59" t="n"/>
      <c r="CN750" s="59" t="n"/>
    </row>
    <row r="751" ht="15" customFormat="1" customHeight="1" s="3">
      <c r="A751">
        <f>IF(C751="","",ROW()-2)</f>
        <v/>
      </c>
      <c r="B751" s="852" t="n"/>
      <c r="C751" s="852" t="n"/>
      <c r="D751">
        <f>IF(C751="TOH","Type 1",IF(C751="POH","Type 2",IF(OR(C751="LTO",C751="TOH-LC",C751="TOH - LC"),"Type 3",IF(C751="Flourish","Type 4","Type 1"))))</f>
        <v/>
      </c>
      <c r="E751" s="852" t="n"/>
      <c r="F751" s="852" t="n"/>
      <c r="G751" s="852" t="n"/>
      <c r="H751" s="888" t="n"/>
      <c r="I751" s="889" t="n"/>
      <c r="J751" s="888" t="n"/>
      <c r="K751">
        <f>SUM(H751:J751)</f>
        <v/>
      </c>
      <c r="L751" s="852" t="n"/>
      <c r="M751" s="852" t="n"/>
      <c r="N751" s="852" t="n"/>
      <c r="O751" s="852" t="n"/>
      <c r="P751" s="852" t="n"/>
      <c r="Q751" s="852" t="n"/>
      <c r="R751" s="852" t="n"/>
      <c r="S751" s="852" t="n"/>
      <c r="T751" s="852" t="n"/>
      <c r="U751" s="852" t="n"/>
      <c r="V751" s="852" t="n"/>
      <c r="W751" s="852" t="n"/>
      <c r="X751" s="852" t="n"/>
      <c r="Y751" s="852" t="n"/>
      <c r="Z751" s="852" t="n"/>
      <c r="AA751" s="852" t="n"/>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c r="CL751" s="59" t="n"/>
      <c r="CM751" s="59" t="n"/>
      <c r="CN751" s="59" t="n"/>
    </row>
    <row r="752" ht="15" customFormat="1" customHeight="1" s="3">
      <c r="A752">
        <f>IF(C752="","",ROW()-2)</f>
        <v/>
      </c>
      <c r="B752" s="852" t="n"/>
      <c r="C752" s="852" t="n"/>
      <c r="D752">
        <f>IF(C752="TOH","Type 1",IF(C752="POH","Type 2",IF(OR(C752="LTO",C752="TOH-LC",C752="TOH - LC"),"Type 3",IF(C752="Flourish","Type 4","Type 1"))))</f>
        <v/>
      </c>
      <c r="E752" s="852" t="n"/>
      <c r="F752" s="852" t="n"/>
      <c r="G752" s="852" t="n"/>
      <c r="H752" s="888" t="n"/>
      <c r="I752" s="889" t="n"/>
      <c r="J752" s="888" t="n"/>
      <c r="K752">
        <f>SUM(H752:J752)</f>
        <v/>
      </c>
      <c r="L752" s="852" t="n"/>
      <c r="M752" s="852" t="n"/>
      <c r="N752" s="852" t="n"/>
      <c r="O752" s="852" t="n"/>
      <c r="P752" s="852" t="n"/>
      <c r="Q752" s="852" t="n"/>
      <c r="R752" s="852" t="n"/>
      <c r="S752" s="852" t="n"/>
      <c r="T752" s="852" t="n"/>
      <c r="U752" s="852" t="n"/>
      <c r="V752" s="852" t="n"/>
      <c r="W752" s="852" t="n"/>
      <c r="X752" s="852" t="n"/>
      <c r="Y752" s="852" t="n"/>
      <c r="Z752" s="852" t="n"/>
      <c r="AA752" s="852" t="n"/>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c r="CL752" s="59" t="n"/>
      <c r="CM752" s="59" t="n"/>
      <c r="CN752" s="59" t="n"/>
    </row>
    <row r="753" ht="15" customFormat="1" customHeight="1" s="3">
      <c r="A753">
        <f>IF(C753="","",ROW()-2)</f>
        <v/>
      </c>
      <c r="B753" s="852" t="n"/>
      <c r="C753" s="852" t="n"/>
      <c r="D753">
        <f>IF(C753="TOH","Type 1",IF(C753="POH","Type 2",IF(OR(C753="LTO",C753="TOH-LC",C753="TOH - LC"),"Type 3",IF(C753="Flourish","Type 4","Type 1"))))</f>
        <v/>
      </c>
      <c r="E753" s="852" t="n"/>
      <c r="F753" s="852" t="n"/>
      <c r="G753" s="852" t="n"/>
      <c r="H753" s="888" t="n"/>
      <c r="I753" s="889" t="n"/>
      <c r="J753" s="888" t="n"/>
      <c r="K753">
        <f>SUM(H753:J753)</f>
        <v/>
      </c>
      <c r="L753" s="852" t="n"/>
      <c r="M753" s="852" t="n"/>
      <c r="N753" s="852" t="n"/>
      <c r="O753" s="852" t="n"/>
      <c r="P753" s="852" t="n"/>
      <c r="Q753" s="852" t="n"/>
      <c r="R753" s="852" t="n"/>
      <c r="S753" s="852" t="n"/>
      <c r="T753" s="852" t="n"/>
      <c r="U753" s="852" t="n"/>
      <c r="V753" s="852" t="n"/>
      <c r="W753" s="852" t="n"/>
      <c r="X753" s="852" t="n"/>
      <c r="Y753" s="852" t="n"/>
      <c r="Z753" s="852" t="n"/>
      <c r="AA753" s="852" t="n"/>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c r="CL753" s="59" t="n"/>
      <c r="CM753" s="59" t="n"/>
      <c r="CN753" s="59" t="n"/>
    </row>
    <row r="754" ht="15" customFormat="1" customHeight="1" s="3">
      <c r="A754">
        <f>IF(C754="","",ROW()-2)</f>
        <v/>
      </c>
      <c r="B754" s="852" t="n"/>
      <c r="C754" s="852" t="n"/>
      <c r="D754">
        <f>IF(C754="TOH","Type 1",IF(C754="POH","Type 2",IF(OR(C754="LTO",C754="TOH-LC",C754="TOH - LC"),"Type 3",IF(C754="Flourish","Type 4","Type 1"))))</f>
        <v/>
      </c>
      <c r="E754" s="852" t="n"/>
      <c r="F754" s="852" t="n"/>
      <c r="G754" s="852" t="n"/>
      <c r="H754" s="888" t="n"/>
      <c r="I754" s="889" t="n"/>
      <c r="J754" s="888" t="n"/>
      <c r="K754">
        <f>SUM(H754:J754)</f>
        <v/>
      </c>
      <c r="L754" s="852" t="n"/>
      <c r="M754" s="852" t="n"/>
      <c r="N754" s="852" t="n"/>
      <c r="O754" s="852" t="n"/>
      <c r="P754" s="852" t="n"/>
      <c r="Q754" s="852" t="n"/>
      <c r="R754" s="852" t="n"/>
      <c r="S754" s="852" t="n"/>
      <c r="T754" s="852" t="n"/>
      <c r="U754" s="852" t="n"/>
      <c r="V754" s="852" t="n"/>
      <c r="W754" s="852" t="n"/>
      <c r="X754" s="852" t="n"/>
      <c r="Y754" s="852" t="n"/>
      <c r="Z754" s="852" t="n"/>
      <c r="AA754" s="852" t="n"/>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c r="CL754" s="59" t="n"/>
      <c r="CM754" s="59" t="n"/>
      <c r="CN754" s="59" t="n"/>
    </row>
    <row r="755" ht="15" customFormat="1" customHeight="1" s="3">
      <c r="A755">
        <f>IF(C755="","",ROW()-2)</f>
        <v/>
      </c>
      <c r="B755" s="852" t="n"/>
      <c r="C755" s="852" t="n"/>
      <c r="D755">
        <f>IF(C755="TOH","Type 1",IF(C755="POH","Type 2",IF(OR(C755="LTO",C755="TOH-LC",C755="TOH - LC"),"Type 3",IF(C755="Flourish","Type 4","Type 1"))))</f>
        <v/>
      </c>
      <c r="E755" s="852" t="n"/>
      <c r="F755" s="852" t="n"/>
      <c r="G755" s="852" t="n"/>
      <c r="H755" s="888" t="n"/>
      <c r="I755" s="889" t="n"/>
      <c r="J755" s="888" t="n"/>
      <c r="K755">
        <f>SUM(H755:J755)</f>
        <v/>
      </c>
      <c r="L755" s="852" t="n"/>
      <c r="M755" s="852" t="n"/>
      <c r="N755" s="852" t="n"/>
      <c r="O755" s="852" t="n"/>
      <c r="P755" s="852" t="n"/>
      <c r="Q755" s="852" t="n"/>
      <c r="R755" s="852" t="n"/>
      <c r="S755" s="852" t="n"/>
      <c r="T755" s="852" t="n"/>
      <c r="U755" s="852" t="n"/>
      <c r="V755" s="852" t="n"/>
      <c r="W755" s="852" t="n"/>
      <c r="X755" s="852" t="n"/>
      <c r="Y755" s="852" t="n"/>
      <c r="Z755" s="852" t="n"/>
      <c r="AA755" s="852" t="n"/>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c r="CL755" s="59" t="n"/>
      <c r="CM755" s="59" t="n"/>
      <c r="CN755" s="59" t="n"/>
    </row>
    <row r="756" ht="15" customFormat="1" customHeight="1" s="3">
      <c r="A756">
        <f>IF(C756="","",ROW()-2)</f>
        <v/>
      </c>
      <c r="B756" s="852" t="n"/>
      <c r="C756" s="852" t="n"/>
      <c r="D756">
        <f>IF(C756="TOH","Type 1",IF(C756="POH","Type 2",IF(OR(C756="LTO",C756="TOH-LC",C756="TOH - LC"),"Type 3",IF(C756="Flourish","Type 4","Type 1"))))</f>
        <v/>
      </c>
      <c r="E756" s="852" t="n"/>
      <c r="F756" s="852" t="n"/>
      <c r="G756" s="852" t="n"/>
      <c r="H756" s="888" t="n"/>
      <c r="I756" s="889" t="n"/>
      <c r="J756" s="888" t="n"/>
      <c r="K756">
        <f>SUM(H756:J756)</f>
        <v/>
      </c>
      <c r="L756" s="852" t="n"/>
      <c r="M756" s="852" t="n"/>
      <c r="N756" s="852" t="n"/>
      <c r="O756" s="852" t="n"/>
      <c r="P756" s="852" t="n"/>
      <c r="Q756" s="852" t="n"/>
      <c r="R756" s="852" t="n"/>
      <c r="S756" s="852" t="n"/>
      <c r="T756" s="852" t="n"/>
      <c r="U756" s="852" t="n"/>
      <c r="V756" s="852" t="n"/>
      <c r="W756" s="852" t="n"/>
      <c r="X756" s="852" t="n"/>
      <c r="Y756" s="852" t="n"/>
      <c r="Z756" s="852" t="n"/>
      <c r="AA756" s="852" t="n"/>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c r="CL756" s="59" t="n"/>
      <c r="CM756" s="59" t="n"/>
      <c r="CN756" s="59" t="n"/>
    </row>
    <row r="757" ht="15" customFormat="1" customHeight="1" s="3">
      <c r="A757">
        <f>IF(C757="","",ROW()-2)</f>
        <v/>
      </c>
      <c r="B757" s="852" t="n"/>
      <c r="C757" s="852" t="n"/>
      <c r="D757">
        <f>IF(C757="TOH","Type 1",IF(C757="POH","Type 2",IF(OR(C757="LTO",C757="TOH-LC",C757="TOH - LC"),"Type 3",IF(C757="Flourish","Type 4","Type 1"))))</f>
        <v/>
      </c>
      <c r="E757" s="852" t="n"/>
      <c r="F757" s="852" t="n"/>
      <c r="G757" s="852" t="n"/>
      <c r="H757" s="888" t="n"/>
      <c r="I757" s="889" t="n"/>
      <c r="J757" s="888" t="n"/>
      <c r="K757">
        <f>SUM(H757:J757)</f>
        <v/>
      </c>
      <c r="L757" s="852" t="n"/>
      <c r="M757" s="852" t="n"/>
      <c r="N757" s="852" t="n"/>
      <c r="O757" s="852" t="n"/>
      <c r="P757" s="852" t="n"/>
      <c r="Q757" s="852" t="n"/>
      <c r="R757" s="852" t="n"/>
      <c r="S757" s="852" t="n"/>
      <c r="T757" s="852" t="n"/>
      <c r="U757" s="852" t="n"/>
      <c r="V757" s="852" t="n"/>
      <c r="W757" s="852" t="n"/>
      <c r="X757" s="852" t="n"/>
      <c r="Y757" s="852" t="n"/>
      <c r="Z757" s="852" t="n"/>
      <c r="AA757" s="852" t="n"/>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c r="CL757" s="59" t="n"/>
      <c r="CM757" s="59" t="n"/>
      <c r="CN757" s="59" t="n"/>
    </row>
    <row r="758" ht="15" customFormat="1" customHeight="1" s="3">
      <c r="A758">
        <f>IF(C758="","",ROW()-2)</f>
        <v/>
      </c>
      <c r="B758" s="852" t="n"/>
      <c r="C758" s="852" t="n"/>
      <c r="D758">
        <f>IF(C758="TOH","Type 1",IF(C758="POH","Type 2",IF(OR(C758="LTO",C758="TOH-LC",C758="TOH - LC"),"Type 3",IF(C758="Flourish","Type 4","Type 1"))))</f>
        <v/>
      </c>
      <c r="E758" s="852" t="n"/>
      <c r="F758" s="852" t="n"/>
      <c r="G758" s="852" t="n"/>
      <c r="H758" s="888" t="n"/>
      <c r="I758" s="889" t="n"/>
      <c r="J758" s="888" t="n"/>
      <c r="K758">
        <f>SUM(H758:J758)</f>
        <v/>
      </c>
      <c r="L758" s="852" t="n"/>
      <c r="M758" s="852" t="n"/>
      <c r="N758" s="852" t="n"/>
      <c r="O758" s="852" t="n"/>
      <c r="P758" s="852" t="n"/>
      <c r="Q758" s="852" t="n"/>
      <c r="R758" s="852" t="n"/>
      <c r="S758" s="852" t="n"/>
      <c r="T758" s="852" t="n"/>
      <c r="U758" s="852" t="n"/>
      <c r="V758" s="852" t="n"/>
      <c r="W758" s="852" t="n"/>
      <c r="X758" s="852" t="n"/>
      <c r="Y758" s="852" t="n"/>
      <c r="Z758" s="852" t="n"/>
      <c r="AA758" s="852" t="n"/>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c r="CL758" s="59" t="n"/>
      <c r="CM758" s="59" t="n"/>
      <c r="CN758" s="59" t="n"/>
    </row>
    <row r="759" ht="15" customFormat="1" customHeight="1" s="3">
      <c r="A759">
        <f>IF(C759="","",ROW()-2)</f>
        <v/>
      </c>
      <c r="B759" s="852" t="n"/>
      <c r="C759" s="852" t="n"/>
      <c r="D759">
        <f>IF(C759="TOH","Type 1",IF(C759="POH","Type 2",IF(OR(C759="LTO",C759="TOH-LC",C759="TOH - LC"),"Type 3",IF(C759="Flourish","Type 4","Type 1"))))</f>
        <v/>
      </c>
      <c r="E759" s="852" t="n"/>
      <c r="F759" s="852" t="n"/>
      <c r="G759" s="852" t="n"/>
      <c r="H759" s="888" t="n"/>
      <c r="I759" s="889" t="n"/>
      <c r="J759" s="888" t="n"/>
      <c r="K759">
        <f>SUM(H759:J759)</f>
        <v/>
      </c>
      <c r="L759" s="852" t="n"/>
      <c r="M759" s="852" t="n"/>
      <c r="N759" s="852" t="n"/>
      <c r="O759" s="852" t="n"/>
      <c r="P759" s="852" t="n"/>
      <c r="Q759" s="852" t="n"/>
      <c r="R759" s="852" t="n"/>
      <c r="S759" s="852" t="n"/>
      <c r="T759" s="852" t="n"/>
      <c r="U759" s="852" t="n"/>
      <c r="V759" s="852" t="n"/>
      <c r="W759" s="852" t="n"/>
      <c r="X759" s="852" t="n"/>
      <c r="Y759" s="852" t="n"/>
      <c r="Z759" s="852" t="n"/>
      <c r="AA759" s="852" t="n"/>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c r="CL759" s="59" t="n"/>
      <c r="CM759" s="59" t="n"/>
      <c r="CN759" s="59" t="n"/>
    </row>
    <row r="760" ht="15" customFormat="1" customHeight="1" s="3">
      <c r="A760">
        <f>IF(C760="","",ROW()-2)</f>
        <v/>
      </c>
      <c r="B760" s="852" t="n"/>
      <c r="C760" s="852" t="n"/>
      <c r="D760">
        <f>IF(C760="TOH","Type 1",IF(C760="POH","Type 2",IF(OR(C760="LTO",C760="TOH-LC",C760="TOH - LC"),"Type 3",IF(C760="Flourish","Type 4","Type 1"))))</f>
        <v/>
      </c>
      <c r="E760" s="852" t="n"/>
      <c r="F760" s="852" t="n"/>
      <c r="G760" s="852" t="n"/>
      <c r="H760" s="888" t="n"/>
      <c r="I760" s="889" t="n"/>
      <c r="J760" s="888" t="n"/>
      <c r="K760">
        <f>SUM(H760:J760)</f>
        <v/>
      </c>
      <c r="L760" s="852" t="n"/>
      <c r="M760" s="852" t="n"/>
      <c r="N760" s="852" t="n"/>
      <c r="O760" s="852" t="n"/>
      <c r="P760" s="852" t="n"/>
      <c r="Q760" s="852" t="n"/>
      <c r="R760" s="852" t="n"/>
      <c r="S760" s="852" t="n"/>
      <c r="T760" s="852" t="n"/>
      <c r="U760" s="852" t="n"/>
      <c r="V760" s="852" t="n"/>
      <c r="W760" s="852" t="n"/>
      <c r="X760" s="852" t="n"/>
      <c r="Y760" s="852" t="n"/>
      <c r="Z760" s="852" t="n"/>
      <c r="AA760" s="852" t="n"/>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c r="CL760" s="59" t="n"/>
      <c r="CM760" s="59" t="n"/>
      <c r="CN760" s="59" t="n"/>
    </row>
    <row r="761" ht="15" customFormat="1" customHeight="1" s="3">
      <c r="A761">
        <f>IF(C761="","",ROW()-2)</f>
        <v/>
      </c>
      <c r="B761" s="852" t="n"/>
      <c r="C761" s="852" t="n"/>
      <c r="D761">
        <f>IF(C761="TOH","Type 1",IF(C761="POH","Type 2",IF(OR(C761="LTO",C761="TOH-LC",C761="TOH - LC"),"Type 3",IF(C761="Flourish","Type 4","Type 1"))))</f>
        <v/>
      </c>
      <c r="E761" s="852" t="n"/>
      <c r="F761" s="852" t="n"/>
      <c r="G761" s="852" t="n"/>
      <c r="H761" s="888" t="n"/>
      <c r="I761" s="889" t="n"/>
      <c r="J761" s="888" t="n"/>
      <c r="K761">
        <f>SUM(H761:J761)</f>
        <v/>
      </c>
      <c r="L761" s="852" t="n"/>
      <c r="M761" s="852" t="n"/>
      <c r="N761" s="852" t="n"/>
      <c r="O761" s="852" t="n"/>
      <c r="P761" s="852" t="n"/>
      <c r="Q761" s="852" t="n"/>
      <c r="R761" s="852" t="n"/>
      <c r="S761" s="852" t="n"/>
      <c r="T761" s="852" t="n"/>
      <c r="U761" s="852" t="n"/>
      <c r="V761" s="852" t="n"/>
      <c r="W761" s="852" t="n"/>
      <c r="X761" s="852" t="n"/>
      <c r="Y761" s="852" t="n"/>
      <c r="Z761" s="852" t="n"/>
      <c r="AA761" s="852" t="n"/>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c r="CL761" s="59" t="n"/>
      <c r="CM761" s="59" t="n"/>
      <c r="CN761" s="59" t="n"/>
    </row>
    <row r="762" ht="15" customFormat="1" customHeight="1" s="3">
      <c r="A762">
        <f>IF(C762="","",ROW()-2)</f>
        <v/>
      </c>
      <c r="B762" s="852" t="n"/>
      <c r="C762" s="852" t="n"/>
      <c r="D762">
        <f>IF(C762="TOH","Type 1",IF(C762="POH","Type 2",IF(OR(C762="LTO",C762="TOH-LC",C762="TOH - LC"),"Type 3",IF(C762="Flourish","Type 4","Type 1"))))</f>
        <v/>
      </c>
      <c r="E762" s="852" t="n"/>
      <c r="F762" s="852" t="n"/>
      <c r="G762" s="852" t="n"/>
      <c r="H762" s="888" t="n"/>
      <c r="I762" s="889" t="n"/>
      <c r="J762" s="888" t="n"/>
      <c r="K762">
        <f>SUM(H762:J762)</f>
        <v/>
      </c>
      <c r="L762" s="852" t="n"/>
      <c r="M762" s="852" t="n"/>
      <c r="N762" s="852" t="n"/>
      <c r="O762" s="852" t="n"/>
      <c r="P762" s="852" t="n"/>
      <c r="Q762" s="852" t="n"/>
      <c r="R762" s="852" t="n"/>
      <c r="S762" s="852" t="n"/>
      <c r="T762" s="852" t="n"/>
      <c r="U762" s="852" t="n"/>
      <c r="V762" s="852" t="n"/>
      <c r="W762" s="852" t="n"/>
      <c r="X762" s="852" t="n"/>
      <c r="Y762" s="852" t="n"/>
      <c r="Z762" s="852" t="n"/>
      <c r="AA762" s="852" t="n"/>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c r="CL762" s="59" t="n"/>
      <c r="CM762" s="59" t="n"/>
      <c r="CN762" s="59" t="n"/>
    </row>
    <row r="763" ht="15" customFormat="1" customHeight="1" s="3">
      <c r="A763">
        <f>IF(C763="","",ROW()-2)</f>
        <v/>
      </c>
      <c r="B763" s="852" t="n"/>
      <c r="C763" s="852" t="n"/>
      <c r="D763">
        <f>IF(C763="TOH","Type 1",IF(C763="POH","Type 2",IF(OR(C763="LTO",C763="TOH-LC",C763="TOH - LC"),"Type 3",IF(C763="Flourish","Type 4","Type 1"))))</f>
        <v/>
      </c>
      <c r="E763" s="852" t="n"/>
      <c r="F763" s="852" t="n"/>
      <c r="G763" s="852" t="n"/>
      <c r="H763" s="888" t="n"/>
      <c r="I763" s="889" t="n"/>
      <c r="J763" s="888" t="n"/>
      <c r="K763">
        <f>SUM(H763:J763)</f>
        <v/>
      </c>
      <c r="L763" s="852" t="n"/>
      <c r="M763" s="852" t="n"/>
      <c r="N763" s="852" t="n"/>
      <c r="O763" s="852" t="n"/>
      <c r="P763" s="852" t="n"/>
      <c r="Q763" s="852" t="n"/>
      <c r="R763" s="852" t="n"/>
      <c r="S763" s="852" t="n"/>
      <c r="T763" s="852" t="n"/>
      <c r="U763" s="852" t="n"/>
      <c r="V763" s="852" t="n"/>
      <c r="W763" s="852" t="n"/>
      <c r="X763" s="852" t="n"/>
      <c r="Y763" s="852" t="n"/>
      <c r="Z763" s="852" t="n"/>
      <c r="AA763" s="852" t="n"/>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c r="CL763" s="59" t="n"/>
      <c r="CM763" s="59" t="n"/>
      <c r="CN763" s="59" t="n"/>
    </row>
    <row r="764" ht="15" customFormat="1" customHeight="1" s="3">
      <c r="A764">
        <f>IF(C764="","",ROW()-2)</f>
        <v/>
      </c>
      <c r="B764" s="852" t="n"/>
      <c r="C764" s="852" t="n"/>
      <c r="D764">
        <f>IF(C764="TOH","Type 1",IF(C764="POH","Type 2",IF(OR(C764="LTO",C764="TOH-LC",C764="TOH - LC"),"Type 3",IF(C764="Flourish","Type 4","Type 1"))))</f>
        <v/>
      </c>
      <c r="E764" s="852" t="n"/>
      <c r="F764" s="852" t="n"/>
      <c r="G764" s="852" t="n"/>
      <c r="H764" s="888" t="n"/>
      <c r="I764" s="889" t="n"/>
      <c r="J764" s="888" t="n"/>
      <c r="K764">
        <f>SUM(H764:J764)</f>
        <v/>
      </c>
      <c r="L764" s="852" t="n"/>
      <c r="M764" s="852" t="n"/>
      <c r="N764" s="852" t="n"/>
      <c r="O764" s="852" t="n"/>
      <c r="P764" s="852" t="n"/>
      <c r="Q764" s="852" t="n"/>
      <c r="R764" s="852" t="n"/>
      <c r="S764" s="852" t="n"/>
      <c r="T764" s="852" t="n"/>
      <c r="U764" s="852" t="n"/>
      <c r="V764" s="852" t="n"/>
      <c r="W764" s="852" t="n"/>
      <c r="X764" s="852" t="n"/>
      <c r="Y764" s="852" t="n"/>
      <c r="Z764" s="852" t="n"/>
      <c r="AA764" s="852" t="n"/>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c r="CL764" s="59" t="n"/>
      <c r="CM764" s="59" t="n"/>
      <c r="CN764" s="59" t="n"/>
    </row>
    <row r="765" ht="15" customFormat="1" customHeight="1" s="3">
      <c r="A765">
        <f>IF(C765="","",ROW()-2)</f>
        <v/>
      </c>
      <c r="B765" s="852" t="n"/>
      <c r="C765" s="852" t="n"/>
      <c r="D765">
        <f>IF(C765="TOH","Type 1",IF(C765="POH","Type 2",IF(OR(C765="LTO",C765="TOH-LC",C765="TOH - LC"),"Type 3",IF(C765="Flourish","Type 4","Type 1"))))</f>
        <v/>
      </c>
      <c r="E765" s="852" t="n"/>
      <c r="F765" s="852" t="n"/>
      <c r="G765" s="852" t="n"/>
      <c r="H765" s="888" t="n"/>
      <c r="I765" s="889" t="n"/>
      <c r="J765" s="888" t="n"/>
      <c r="K765">
        <f>SUM(H765:J765)</f>
        <v/>
      </c>
      <c r="L765" s="852" t="n"/>
      <c r="M765" s="852" t="n"/>
      <c r="N765" s="852" t="n"/>
      <c r="O765" s="852" t="n"/>
      <c r="P765" s="852" t="n"/>
      <c r="Q765" s="852" t="n"/>
      <c r="R765" s="852" t="n"/>
      <c r="S765" s="852" t="n"/>
      <c r="T765" s="852" t="n"/>
      <c r="U765" s="852" t="n"/>
      <c r="V765" s="852" t="n"/>
      <c r="W765" s="852" t="n"/>
      <c r="X765" s="852" t="n"/>
      <c r="Y765" s="852" t="n"/>
      <c r="Z765" s="852" t="n"/>
      <c r="AA765" s="852" t="n"/>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c r="CL765" s="59" t="n"/>
      <c r="CM765" s="59" t="n"/>
      <c r="CN765" s="59" t="n"/>
    </row>
    <row r="766" ht="15" customFormat="1" customHeight="1" s="3">
      <c r="A766">
        <f>IF(C766="","",ROW()-2)</f>
        <v/>
      </c>
      <c r="B766" s="852" t="n"/>
      <c r="C766" s="852" t="n"/>
      <c r="D766">
        <f>IF(C766="TOH","Type 1",IF(C766="POH","Type 2",IF(OR(C766="LTO",C766="TOH-LC",C766="TOH - LC"),"Type 3",IF(C766="Flourish","Type 4","Type 1"))))</f>
        <v/>
      </c>
      <c r="E766" s="852" t="n"/>
      <c r="F766" s="852" t="n"/>
      <c r="G766" s="852" t="n"/>
      <c r="H766" s="888" t="n"/>
      <c r="I766" s="889" t="n"/>
      <c r="J766" s="888" t="n"/>
      <c r="K766">
        <f>SUM(H766:J766)</f>
        <v/>
      </c>
      <c r="L766" s="852" t="n"/>
      <c r="M766" s="852" t="n"/>
      <c r="N766" s="852" t="n"/>
      <c r="O766" s="852" t="n"/>
      <c r="P766" s="852" t="n"/>
      <c r="Q766" s="852" t="n"/>
      <c r="R766" s="852" t="n"/>
      <c r="S766" s="852" t="n"/>
      <c r="T766" s="852" t="n"/>
      <c r="U766" s="852" t="n"/>
      <c r="V766" s="852" t="n"/>
      <c r="W766" s="852" t="n"/>
      <c r="X766" s="852" t="n"/>
      <c r="Y766" s="852" t="n"/>
      <c r="Z766" s="852" t="n"/>
      <c r="AA766" s="852" t="n"/>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c r="CL766" s="59" t="n"/>
      <c r="CM766" s="59" t="n"/>
      <c r="CN766" s="59" t="n"/>
    </row>
    <row r="767" ht="15" customFormat="1" customHeight="1" s="3">
      <c r="A767">
        <f>IF(C767="","",ROW()-2)</f>
        <v/>
      </c>
      <c r="B767" s="852" t="n"/>
      <c r="C767" s="852" t="n"/>
      <c r="D767">
        <f>IF(C767="TOH","Type 1",IF(C767="POH","Type 2",IF(OR(C767="LTO",C767="TOH-LC",C767="TOH - LC"),"Type 3",IF(C767="Flourish","Type 4","Type 1"))))</f>
        <v/>
      </c>
      <c r="E767" s="852" t="n"/>
      <c r="F767" s="852" t="n"/>
      <c r="G767" s="852" t="n"/>
      <c r="H767" s="888" t="n"/>
      <c r="I767" s="889" t="n"/>
      <c r="J767" s="888" t="n"/>
      <c r="K767">
        <f>SUM(H767:J767)</f>
        <v/>
      </c>
      <c r="L767" s="852" t="n"/>
      <c r="M767" s="852" t="n"/>
      <c r="N767" s="852" t="n"/>
      <c r="O767" s="852" t="n"/>
      <c r="P767" s="852" t="n"/>
      <c r="Q767" s="852" t="n"/>
      <c r="R767" s="852" t="n"/>
      <c r="S767" s="852" t="n"/>
      <c r="T767" s="852" t="n"/>
      <c r="U767" s="852" t="n"/>
      <c r="V767" s="852" t="n"/>
      <c r="W767" s="852" t="n"/>
      <c r="X767" s="852" t="n"/>
      <c r="Y767" s="852" t="n"/>
      <c r="Z767" s="852" t="n"/>
      <c r="AA767" s="852" t="n"/>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c r="CL767" s="59" t="n"/>
      <c r="CM767" s="59" t="n"/>
      <c r="CN767" s="59" t="n"/>
    </row>
    <row r="768" ht="15" customFormat="1" customHeight="1" s="3">
      <c r="A768">
        <f>IF(C768="","",ROW()-2)</f>
        <v/>
      </c>
      <c r="B768" s="852" t="n"/>
      <c r="C768" s="852" t="n"/>
      <c r="D768">
        <f>IF(C768="TOH","Type 1",IF(C768="POH","Type 2",IF(OR(C768="LTO",C768="TOH-LC",C768="TOH - LC"),"Type 3",IF(C768="Flourish","Type 4","Type 1"))))</f>
        <v/>
      </c>
      <c r="E768" s="852" t="n"/>
      <c r="F768" s="852" t="n"/>
      <c r="G768" s="852" t="n"/>
      <c r="H768" s="888" t="n"/>
      <c r="I768" s="889" t="n"/>
      <c r="J768" s="888" t="n"/>
      <c r="K768">
        <f>SUM(H768:J768)</f>
        <v/>
      </c>
      <c r="L768" s="852" t="n"/>
      <c r="M768" s="852" t="n"/>
      <c r="N768" s="852" t="n"/>
      <c r="O768" s="852" t="n"/>
      <c r="P768" s="852" t="n"/>
      <c r="Q768" s="852" t="n"/>
      <c r="R768" s="852" t="n"/>
      <c r="S768" s="852" t="n"/>
      <c r="T768" s="852" t="n"/>
      <c r="U768" s="852" t="n"/>
      <c r="V768" s="852" t="n"/>
      <c r="W768" s="852" t="n"/>
      <c r="X768" s="852" t="n"/>
      <c r="Y768" s="852" t="n"/>
      <c r="Z768" s="852" t="n"/>
      <c r="AA768" s="852" t="n"/>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c r="CL768" s="59" t="n"/>
      <c r="CM768" s="59" t="n"/>
      <c r="CN768" s="59" t="n"/>
    </row>
    <row r="769" ht="15" customFormat="1" customHeight="1" s="3">
      <c r="A769">
        <f>IF(C769="","",ROW()-2)</f>
        <v/>
      </c>
      <c r="B769" s="852" t="n"/>
      <c r="C769" s="852" t="n"/>
      <c r="D769">
        <f>IF(C769="TOH","Type 1",IF(C769="POH","Type 2",IF(OR(C769="LTO",C769="TOH-LC",C769="TOH - LC"),"Type 3",IF(C769="Flourish","Type 4","Type 1"))))</f>
        <v/>
      </c>
      <c r="E769" s="852" t="n"/>
      <c r="F769" s="852" t="n"/>
      <c r="G769" s="852" t="n"/>
      <c r="H769" s="888" t="n"/>
      <c r="I769" s="889" t="n"/>
      <c r="J769" s="888" t="n"/>
      <c r="K769">
        <f>SUM(H769:J769)</f>
        <v/>
      </c>
      <c r="L769" s="852" t="n"/>
      <c r="M769" s="852" t="n"/>
      <c r="N769" s="852" t="n"/>
      <c r="O769" s="852" t="n"/>
      <c r="P769" s="852" t="n"/>
      <c r="Q769" s="852" t="n"/>
      <c r="R769" s="852" t="n"/>
      <c r="S769" s="852" t="n"/>
      <c r="T769" s="852" t="n"/>
      <c r="U769" s="852" t="n"/>
      <c r="V769" s="852" t="n"/>
      <c r="W769" s="852" t="n"/>
      <c r="X769" s="852" t="n"/>
      <c r="Y769" s="852" t="n"/>
      <c r="Z769" s="852" t="n"/>
      <c r="AA769" s="852" t="n"/>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c r="CL769" s="59" t="n"/>
      <c r="CM769" s="59" t="n"/>
      <c r="CN769" s="59" t="n"/>
    </row>
    <row r="770" ht="15" customFormat="1" customHeight="1" s="3">
      <c r="A770">
        <f>IF(C770="","",ROW()-2)</f>
        <v/>
      </c>
      <c r="B770" s="852" t="n"/>
      <c r="C770" s="852" t="n"/>
      <c r="D770">
        <f>IF(C770="TOH","Type 1",IF(C770="POH","Type 2",IF(OR(C770="LTO",C770="TOH-LC",C770="TOH - LC"),"Type 3",IF(C770="Flourish","Type 4","Type 1"))))</f>
        <v/>
      </c>
      <c r="E770" s="852" t="n"/>
      <c r="F770" s="852" t="n"/>
      <c r="G770" s="852" t="n"/>
      <c r="H770" s="888" t="n"/>
      <c r="I770" s="889" t="n"/>
      <c r="J770" s="888" t="n"/>
      <c r="K770">
        <f>SUM(H770:J770)</f>
        <v/>
      </c>
      <c r="L770" s="852" t="n"/>
      <c r="M770" s="852" t="n"/>
      <c r="N770" s="852" t="n"/>
      <c r="O770" s="852" t="n"/>
      <c r="P770" s="852" t="n"/>
      <c r="Q770" s="852" t="n"/>
      <c r="R770" s="852" t="n"/>
      <c r="S770" s="852" t="n"/>
      <c r="T770" s="852" t="n"/>
      <c r="U770" s="852" t="n"/>
      <c r="V770" s="852" t="n"/>
      <c r="W770" s="852" t="n"/>
      <c r="X770" s="852" t="n"/>
      <c r="Y770" s="852" t="n"/>
      <c r="Z770" s="852" t="n"/>
      <c r="AA770" s="852" t="n"/>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c r="CL770" s="59" t="n"/>
      <c r="CM770" s="59" t="n"/>
      <c r="CN770" s="59" t="n"/>
    </row>
    <row r="771" ht="15" customFormat="1" customHeight="1" s="3">
      <c r="A771">
        <f>IF(C771="","",ROW()-2)</f>
        <v/>
      </c>
      <c r="B771" s="852" t="n"/>
      <c r="C771" s="852" t="n"/>
      <c r="D771">
        <f>IF(C771="TOH","Type 1",IF(C771="POH","Type 2",IF(OR(C771="LTO",C771="TOH-LC",C771="TOH - LC"),"Type 3",IF(C771="Flourish","Type 4","Type 1"))))</f>
        <v/>
      </c>
      <c r="E771" s="852" t="n"/>
      <c r="F771" s="852" t="n"/>
      <c r="G771" s="852" t="n"/>
      <c r="H771" s="888" t="n"/>
      <c r="I771" s="889" t="n"/>
      <c r="J771" s="888" t="n"/>
      <c r="K771">
        <f>SUM(H771:J771)</f>
        <v/>
      </c>
      <c r="L771" s="852" t="n"/>
      <c r="M771" s="852" t="n"/>
      <c r="N771" s="852" t="n"/>
      <c r="O771" s="852" t="n"/>
      <c r="P771" s="852" t="n"/>
      <c r="Q771" s="852" t="n"/>
      <c r="R771" s="852" t="n"/>
      <c r="S771" s="852" t="n"/>
      <c r="T771" s="852" t="n"/>
      <c r="U771" s="852" t="n"/>
      <c r="V771" s="852" t="n"/>
      <c r="W771" s="852" t="n"/>
      <c r="X771" s="852" t="n"/>
      <c r="Y771" s="852" t="n"/>
      <c r="Z771" s="852" t="n"/>
      <c r="AA771" s="852" t="n"/>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c r="CL771" s="59" t="n"/>
      <c r="CM771" s="59" t="n"/>
      <c r="CN771" s="59" t="n"/>
    </row>
    <row r="772" ht="15" customFormat="1" customHeight="1" s="3">
      <c r="A772">
        <f>IF(C772="","",ROW()-2)</f>
        <v/>
      </c>
      <c r="B772" s="852" t="n"/>
      <c r="C772" s="852" t="n"/>
      <c r="D772">
        <f>IF(C772="TOH","Type 1",IF(C772="POH","Type 2",IF(OR(C772="LTO",C772="TOH-LC",C772="TOH - LC"),"Type 3",IF(C772="Flourish","Type 4","Type 1"))))</f>
        <v/>
      </c>
      <c r="E772" s="852" t="n"/>
      <c r="F772" s="852" t="n"/>
      <c r="G772" s="852" t="n"/>
      <c r="H772" s="888" t="n"/>
      <c r="I772" s="889" t="n"/>
      <c r="J772" s="888" t="n"/>
      <c r="K772">
        <f>SUM(H772:J772)</f>
        <v/>
      </c>
      <c r="L772" s="852" t="n"/>
      <c r="M772" s="852" t="n"/>
      <c r="N772" s="852" t="n"/>
      <c r="O772" s="852" t="n"/>
      <c r="P772" s="852" t="n"/>
      <c r="Q772" s="852" t="n"/>
      <c r="R772" s="852" t="n"/>
      <c r="S772" s="852" t="n"/>
      <c r="T772" s="852" t="n"/>
      <c r="U772" s="852" t="n"/>
      <c r="V772" s="852" t="n"/>
      <c r="W772" s="852" t="n"/>
      <c r="X772" s="852" t="n"/>
      <c r="Y772" s="852" t="n"/>
      <c r="Z772" s="852" t="n"/>
      <c r="AA772" s="852" t="n"/>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c r="CL772" s="59" t="n"/>
      <c r="CM772" s="59" t="n"/>
      <c r="CN772" s="59" t="n"/>
    </row>
    <row r="773" ht="15" customFormat="1" customHeight="1" s="3">
      <c r="A773">
        <f>IF(C773="","",ROW()-2)</f>
        <v/>
      </c>
      <c r="B773" s="852" t="n"/>
      <c r="C773" s="852" t="n"/>
      <c r="D773">
        <f>IF(C773="TOH","Type 1",IF(C773="POH","Type 2",IF(OR(C773="LTO",C773="TOH-LC",C773="TOH - LC"),"Type 3",IF(C773="Flourish","Type 4","Type 1"))))</f>
        <v/>
      </c>
      <c r="E773" s="852" t="n"/>
      <c r="F773" s="852" t="n"/>
      <c r="G773" s="852" t="n"/>
      <c r="H773" s="888" t="n"/>
      <c r="I773" s="889" t="n"/>
      <c r="J773" s="888" t="n"/>
      <c r="K773">
        <f>SUM(H773:J773)</f>
        <v/>
      </c>
      <c r="L773" s="852" t="n"/>
      <c r="M773" s="852" t="n"/>
      <c r="N773" s="852" t="n"/>
      <c r="O773" s="852" t="n"/>
      <c r="P773" s="852" t="n"/>
      <c r="Q773" s="852" t="n"/>
      <c r="R773" s="852" t="n"/>
      <c r="S773" s="852" t="n"/>
      <c r="T773" s="852" t="n"/>
      <c r="U773" s="852" t="n"/>
      <c r="V773" s="852" t="n"/>
      <c r="W773" s="852" t="n"/>
      <c r="X773" s="852" t="n"/>
      <c r="Y773" s="852" t="n"/>
      <c r="Z773" s="852" t="n"/>
      <c r="AA773" s="852" t="n"/>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c r="CL773" s="59" t="n"/>
      <c r="CM773" s="59" t="n"/>
      <c r="CN773" s="59" t="n"/>
    </row>
    <row r="774" ht="15" customFormat="1" customHeight="1" s="3">
      <c r="A774">
        <f>IF(C774="","",ROW()-2)</f>
        <v/>
      </c>
      <c r="B774" s="852" t="n"/>
      <c r="C774" s="852" t="n"/>
      <c r="D774">
        <f>IF(C774="TOH","Type 1",IF(C774="POH","Type 2",IF(OR(C774="LTO",C774="TOH-LC",C774="TOH - LC"),"Type 3",IF(C774="Flourish","Type 4","Type 1"))))</f>
        <v/>
      </c>
      <c r="E774" s="852" t="n"/>
      <c r="F774" s="852" t="n"/>
      <c r="G774" s="852" t="n"/>
      <c r="H774" s="888" t="n"/>
      <c r="I774" s="889" t="n"/>
      <c r="J774" s="888" t="n"/>
      <c r="K774">
        <f>SUM(H774:J774)</f>
        <v/>
      </c>
      <c r="L774" s="852" t="n"/>
      <c r="M774" s="852" t="n"/>
      <c r="N774" s="852" t="n"/>
      <c r="O774" s="852" t="n"/>
      <c r="P774" s="852" t="n"/>
      <c r="Q774" s="852" t="n"/>
      <c r="R774" s="852" t="n"/>
      <c r="S774" s="852" t="n"/>
      <c r="T774" s="852" t="n"/>
      <c r="U774" s="852" t="n"/>
      <c r="V774" s="852" t="n"/>
      <c r="W774" s="852" t="n"/>
      <c r="X774" s="852" t="n"/>
      <c r="Y774" s="852" t="n"/>
      <c r="Z774" s="852" t="n"/>
      <c r="AA774" s="852" t="n"/>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c r="CL774" s="59" t="n"/>
      <c r="CM774" s="59" t="n"/>
      <c r="CN774" s="59" t="n"/>
    </row>
    <row r="775" ht="15" customFormat="1" customHeight="1" s="3">
      <c r="A775">
        <f>IF(C775="","",ROW()-2)</f>
        <v/>
      </c>
      <c r="B775" s="852" t="n"/>
      <c r="C775" s="852" t="n"/>
      <c r="D775">
        <f>IF(C775="TOH","Type 1",IF(C775="POH","Type 2",IF(OR(C775="LTO",C775="TOH-LC",C775="TOH - LC"),"Type 3",IF(C775="Flourish","Type 4","Type 1"))))</f>
        <v/>
      </c>
      <c r="E775" s="852" t="n"/>
      <c r="F775" s="852" t="n"/>
      <c r="G775" s="852" t="n"/>
      <c r="H775" s="888" t="n"/>
      <c r="I775" s="889" t="n"/>
      <c r="J775" s="888" t="n"/>
      <c r="K775">
        <f>SUM(H775:J775)</f>
        <v/>
      </c>
      <c r="L775" s="852" t="n"/>
      <c r="M775" s="852" t="n"/>
      <c r="N775" s="852" t="n"/>
      <c r="O775" s="852" t="n"/>
      <c r="P775" s="852" t="n"/>
      <c r="Q775" s="852" t="n"/>
      <c r="R775" s="852" t="n"/>
      <c r="S775" s="852" t="n"/>
      <c r="T775" s="852" t="n"/>
      <c r="U775" s="852" t="n"/>
      <c r="V775" s="852" t="n"/>
      <c r="W775" s="852" t="n"/>
      <c r="X775" s="852" t="n"/>
      <c r="Y775" s="852" t="n"/>
      <c r="Z775" s="852" t="n"/>
      <c r="AA775" s="852" t="n"/>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c r="CL775" s="59" t="n"/>
      <c r="CM775" s="59" t="n"/>
      <c r="CN775" s="59" t="n"/>
    </row>
    <row r="776" ht="15" customFormat="1" customHeight="1" s="3">
      <c r="A776">
        <f>IF(C776="","",ROW()-2)</f>
        <v/>
      </c>
      <c r="B776" s="852" t="n"/>
      <c r="C776" s="852" t="n"/>
      <c r="D776">
        <f>IF(C776="TOH","Type 1",IF(C776="POH","Type 2",IF(OR(C776="LTO",C776="TOH-LC",C776="TOH - LC"),"Type 3",IF(C776="Flourish","Type 4","Type 1"))))</f>
        <v/>
      </c>
      <c r="E776" s="852" t="n"/>
      <c r="F776" s="852" t="n"/>
      <c r="G776" s="852" t="n"/>
      <c r="H776" s="888" t="n"/>
      <c r="I776" s="889" t="n"/>
      <c r="J776" s="888" t="n"/>
      <c r="K776">
        <f>SUM(H776:J776)</f>
        <v/>
      </c>
      <c r="L776" s="852" t="n"/>
      <c r="M776" s="852" t="n"/>
      <c r="N776" s="852" t="n"/>
      <c r="O776" s="852" t="n"/>
      <c r="P776" s="852" t="n"/>
      <c r="Q776" s="852" t="n"/>
      <c r="R776" s="852" t="n"/>
      <c r="S776" s="852" t="n"/>
      <c r="T776" s="852" t="n"/>
      <c r="U776" s="852" t="n"/>
      <c r="V776" s="852" t="n"/>
      <c r="W776" s="852" t="n"/>
      <c r="X776" s="852" t="n"/>
      <c r="Y776" s="852" t="n"/>
      <c r="Z776" s="852" t="n"/>
      <c r="AA776" s="852" t="n"/>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c r="CL776" s="59" t="n"/>
      <c r="CM776" s="59" t="n"/>
      <c r="CN776" s="59" t="n"/>
    </row>
    <row r="777" ht="15" customFormat="1" customHeight="1" s="3">
      <c r="A777">
        <f>IF(C777="","",ROW()-2)</f>
        <v/>
      </c>
      <c r="B777" s="852" t="n"/>
      <c r="C777" s="852" t="n"/>
      <c r="D777">
        <f>IF(C777="TOH","Type 1",IF(C777="POH","Type 2",IF(OR(C777="LTO",C777="TOH-LC",C777="TOH - LC"),"Type 3",IF(C777="Flourish","Type 4","Type 1"))))</f>
        <v/>
      </c>
      <c r="E777" s="852" t="n"/>
      <c r="F777" s="852" t="n"/>
      <c r="G777" s="852" t="n"/>
      <c r="H777" s="888" t="n"/>
      <c r="I777" s="889" t="n"/>
      <c r="J777" s="888" t="n"/>
      <c r="K777">
        <f>SUM(H777:J777)</f>
        <v/>
      </c>
      <c r="L777" s="852" t="n"/>
      <c r="M777" s="852" t="n"/>
      <c r="N777" s="852" t="n"/>
      <c r="O777" s="852" t="n"/>
      <c r="P777" s="852" t="n"/>
      <c r="Q777" s="852" t="n"/>
      <c r="R777" s="852" t="n"/>
      <c r="S777" s="852" t="n"/>
      <c r="T777" s="852" t="n"/>
      <c r="U777" s="852" t="n"/>
      <c r="V777" s="852" t="n"/>
      <c r="W777" s="852" t="n"/>
      <c r="X777" s="852" t="n"/>
      <c r="Y777" s="852" t="n"/>
      <c r="Z777" s="852" t="n"/>
      <c r="AA777" s="852" t="n"/>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c r="CL777" s="59" t="n"/>
      <c r="CM777" s="59" t="n"/>
      <c r="CN777" s="59" t="n"/>
    </row>
    <row r="778" ht="15" customFormat="1" customHeight="1" s="3">
      <c r="A778">
        <f>IF(C778="","",ROW()-2)</f>
        <v/>
      </c>
      <c r="B778" s="852" t="n"/>
      <c r="C778" s="852" t="n"/>
      <c r="D778">
        <f>IF(C778="TOH","Type 1",IF(C778="POH","Type 2",IF(OR(C778="LTO",C778="TOH-LC",C778="TOH - LC"),"Type 3",IF(C778="Flourish","Type 4","Type 1"))))</f>
        <v/>
      </c>
      <c r="E778" s="852" t="n"/>
      <c r="F778" s="852" t="n"/>
      <c r="G778" s="852" t="n"/>
      <c r="H778" s="888" t="n"/>
      <c r="I778" s="889" t="n"/>
      <c r="J778" s="888" t="n"/>
      <c r="K778">
        <f>SUM(H778:J778)</f>
        <v/>
      </c>
      <c r="L778" s="852" t="n"/>
      <c r="M778" s="852" t="n"/>
      <c r="N778" s="852" t="n"/>
      <c r="O778" s="852" t="n"/>
      <c r="P778" s="852" t="n"/>
      <c r="Q778" s="852" t="n"/>
      <c r="R778" s="852" t="n"/>
      <c r="S778" s="852" t="n"/>
      <c r="T778" s="852" t="n"/>
      <c r="U778" s="852" t="n"/>
      <c r="V778" s="852" t="n"/>
      <c r="W778" s="852" t="n"/>
      <c r="X778" s="852" t="n"/>
      <c r="Y778" s="852" t="n"/>
      <c r="Z778" s="852" t="n"/>
      <c r="AA778" s="852" t="n"/>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c r="CL778" s="59" t="n"/>
      <c r="CM778" s="59" t="n"/>
      <c r="CN778" s="59" t="n"/>
    </row>
    <row r="779" ht="15" customFormat="1" customHeight="1" s="3">
      <c r="A779">
        <f>IF(C779="","",ROW()-2)</f>
        <v/>
      </c>
      <c r="B779" s="852" t="n"/>
      <c r="C779" s="852" t="n"/>
      <c r="D779">
        <f>IF(C779="TOH","Type 1",IF(C779="POH","Type 2",IF(OR(C779="LTO",C779="TOH-LC",C779="TOH - LC"),"Type 3",IF(C779="Flourish","Type 4","Type 1"))))</f>
        <v/>
      </c>
      <c r="E779" s="852" t="n"/>
      <c r="F779" s="852" t="n"/>
      <c r="G779" s="852" t="n"/>
      <c r="H779" s="888" t="n"/>
      <c r="I779" s="889" t="n"/>
      <c r="J779" s="888" t="n"/>
      <c r="K779">
        <f>SUM(H779:J779)</f>
        <v/>
      </c>
      <c r="L779" s="852" t="n"/>
      <c r="M779" s="852" t="n"/>
      <c r="N779" s="852" t="n"/>
      <c r="O779" s="852" t="n"/>
      <c r="P779" s="852" t="n"/>
      <c r="Q779" s="852" t="n"/>
      <c r="R779" s="852" t="n"/>
      <c r="S779" s="852" t="n"/>
      <c r="T779" s="852" t="n"/>
      <c r="U779" s="852" t="n"/>
      <c r="V779" s="852" t="n"/>
      <c r="W779" s="852" t="n"/>
      <c r="X779" s="852" t="n"/>
      <c r="Y779" s="852" t="n"/>
      <c r="Z779" s="852" t="n"/>
      <c r="AA779" s="852" t="n"/>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c r="CL779" s="59" t="n"/>
      <c r="CM779" s="59" t="n"/>
      <c r="CN779" s="59" t="n"/>
    </row>
    <row r="780" ht="15" customFormat="1" customHeight="1" s="3">
      <c r="A780">
        <f>IF(C780="","",ROW()-2)</f>
        <v/>
      </c>
      <c r="B780" s="852" t="n"/>
      <c r="C780" s="852" t="n"/>
      <c r="D780">
        <f>IF(C780="TOH","Type 1",IF(C780="POH","Type 2",IF(OR(C780="LTO",C780="TOH-LC",C780="TOH - LC"),"Type 3",IF(C780="Flourish","Type 4","Type 1"))))</f>
        <v/>
      </c>
      <c r="E780" s="852" t="n"/>
      <c r="F780" s="852" t="n"/>
      <c r="G780" s="852" t="n"/>
      <c r="H780" s="888" t="n"/>
      <c r="I780" s="889" t="n"/>
      <c r="J780" s="888" t="n"/>
      <c r="K780">
        <f>SUM(H780:J780)</f>
        <v/>
      </c>
      <c r="L780" s="852" t="n"/>
      <c r="M780" s="852" t="n"/>
      <c r="N780" s="852" t="n"/>
      <c r="O780" s="852" t="n"/>
      <c r="P780" s="852" t="n"/>
      <c r="Q780" s="852" t="n"/>
      <c r="R780" s="852" t="n"/>
      <c r="S780" s="852" t="n"/>
      <c r="T780" s="852" t="n"/>
      <c r="U780" s="852" t="n"/>
      <c r="V780" s="852" t="n"/>
      <c r="W780" s="852" t="n"/>
      <c r="X780" s="852" t="n"/>
      <c r="Y780" s="852" t="n"/>
      <c r="Z780" s="852" t="n"/>
      <c r="AA780" s="852" t="n"/>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c r="CL780" s="59" t="n"/>
      <c r="CM780" s="59" t="n"/>
      <c r="CN780" s="59" t="n"/>
    </row>
    <row r="781" ht="15" customFormat="1" customHeight="1" s="3">
      <c r="A781">
        <f>IF(C781="","",ROW()-2)</f>
        <v/>
      </c>
      <c r="B781" s="852" t="n"/>
      <c r="C781" s="852" t="n"/>
      <c r="D781">
        <f>IF(C781="TOH","Type 1",IF(C781="POH","Type 2",IF(OR(C781="LTO",C781="TOH-LC",C781="TOH - LC"),"Type 3",IF(C781="Flourish","Type 4","Type 1"))))</f>
        <v/>
      </c>
      <c r="E781" s="852" t="n"/>
      <c r="F781" s="852" t="n"/>
      <c r="G781" s="852" t="n"/>
      <c r="H781" s="888" t="n"/>
      <c r="I781" s="889" t="n"/>
      <c r="J781" s="888" t="n"/>
      <c r="K781">
        <f>SUM(H781:J781)</f>
        <v/>
      </c>
      <c r="L781" s="852" t="n"/>
      <c r="M781" s="852" t="n"/>
      <c r="N781" s="852" t="n"/>
      <c r="O781" s="852" t="n"/>
      <c r="P781" s="852" t="n"/>
      <c r="Q781" s="852" t="n"/>
      <c r="R781" s="852" t="n"/>
      <c r="S781" s="852" t="n"/>
      <c r="T781" s="852" t="n"/>
      <c r="U781" s="852" t="n"/>
      <c r="V781" s="852" t="n"/>
      <c r="W781" s="852" t="n"/>
      <c r="X781" s="852" t="n"/>
      <c r="Y781" s="852" t="n"/>
      <c r="Z781" s="852" t="n"/>
      <c r="AA781" s="852" t="n"/>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c r="CL781" s="59" t="n"/>
      <c r="CM781" s="59" t="n"/>
      <c r="CN781" s="59" t="n"/>
    </row>
    <row r="782" ht="15" customFormat="1" customHeight="1" s="3">
      <c r="A782">
        <f>IF(C782="","",ROW()-2)</f>
        <v/>
      </c>
      <c r="B782" s="852" t="n"/>
      <c r="C782" s="852" t="n"/>
      <c r="D782">
        <f>IF(C782="TOH","Type 1",IF(C782="POH","Type 2",IF(OR(C782="LTO",C782="TOH-LC",C782="TOH - LC"),"Type 3",IF(C782="Flourish","Type 4","Type 1"))))</f>
        <v/>
      </c>
      <c r="E782" s="852" t="n"/>
      <c r="F782" s="852" t="n"/>
      <c r="G782" s="852" t="n"/>
      <c r="H782" s="888" t="n"/>
      <c r="I782" s="889" t="n"/>
      <c r="J782" s="888" t="n"/>
      <c r="K782">
        <f>SUM(H782:J782)</f>
        <v/>
      </c>
      <c r="L782" s="852" t="n"/>
      <c r="M782" s="852" t="n"/>
      <c r="N782" s="852" t="n"/>
      <c r="O782" s="852" t="n"/>
      <c r="P782" s="852" t="n"/>
      <c r="Q782" s="852" t="n"/>
      <c r="R782" s="852" t="n"/>
      <c r="S782" s="852" t="n"/>
      <c r="T782" s="852" t="n"/>
      <c r="U782" s="852" t="n"/>
      <c r="V782" s="852" t="n"/>
      <c r="W782" s="852" t="n"/>
      <c r="X782" s="852" t="n"/>
      <c r="Y782" s="852" t="n"/>
      <c r="Z782" s="852" t="n"/>
      <c r="AA782" s="852" t="n"/>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c r="CL782" s="59" t="n"/>
      <c r="CM782" s="59" t="n"/>
      <c r="CN782" s="59" t="n"/>
    </row>
    <row r="783" ht="15" customFormat="1" customHeight="1" s="3">
      <c r="A783">
        <f>IF(C783="","",ROW()-2)</f>
        <v/>
      </c>
      <c r="B783" s="852" t="n"/>
      <c r="C783" s="852" t="n"/>
      <c r="D783">
        <f>IF(C783="TOH","Type 1",IF(C783="POH","Type 2",IF(OR(C783="LTO",C783="TOH-LC",C783="TOH - LC"),"Type 3",IF(C783="Flourish","Type 4","Type 1"))))</f>
        <v/>
      </c>
      <c r="E783" s="852" t="n"/>
      <c r="F783" s="852" t="n"/>
      <c r="G783" s="852" t="n"/>
      <c r="H783" s="888" t="n"/>
      <c r="I783" s="889" t="n"/>
      <c r="J783" s="888" t="n"/>
      <c r="K783">
        <f>SUM(H783:J783)</f>
        <v/>
      </c>
      <c r="L783" s="852" t="n"/>
      <c r="M783" s="852" t="n"/>
      <c r="N783" s="852" t="n"/>
      <c r="O783" s="852" t="n"/>
      <c r="P783" s="852" t="n"/>
      <c r="Q783" s="852" t="n"/>
      <c r="R783" s="852" t="n"/>
      <c r="S783" s="852" t="n"/>
      <c r="T783" s="852" t="n"/>
      <c r="U783" s="852" t="n"/>
      <c r="V783" s="852" t="n"/>
      <c r="W783" s="852" t="n"/>
      <c r="X783" s="852" t="n"/>
      <c r="Y783" s="852" t="n"/>
      <c r="Z783" s="852" t="n"/>
      <c r="AA783" s="852" t="n"/>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c r="CL783" s="59" t="n"/>
      <c r="CM783" s="59" t="n"/>
      <c r="CN783" s="59" t="n"/>
    </row>
    <row r="784" ht="15" customFormat="1" customHeight="1" s="3">
      <c r="A784">
        <f>IF(C784="","",ROW()-2)</f>
        <v/>
      </c>
      <c r="B784" s="852" t="n"/>
      <c r="C784" s="852" t="n"/>
      <c r="D784">
        <f>IF(C784="TOH","Type 1",IF(C784="POH","Type 2",IF(OR(C784="LTO",C784="TOH-LC",C784="TOH - LC"),"Type 3",IF(C784="Flourish","Type 4","Type 1"))))</f>
        <v/>
      </c>
      <c r="E784" s="852" t="n"/>
      <c r="F784" s="852" t="n"/>
      <c r="G784" s="852" t="n"/>
      <c r="H784" s="888" t="n"/>
      <c r="I784" s="889" t="n"/>
      <c r="J784" s="888" t="n"/>
      <c r="K784">
        <f>SUM(H784:J784)</f>
        <v/>
      </c>
      <c r="L784" s="852" t="n"/>
      <c r="M784" s="852" t="n"/>
      <c r="N784" s="852" t="n"/>
      <c r="O784" s="852" t="n"/>
      <c r="P784" s="852" t="n"/>
      <c r="Q784" s="852" t="n"/>
      <c r="R784" s="852" t="n"/>
      <c r="S784" s="852" t="n"/>
      <c r="T784" s="852" t="n"/>
      <c r="U784" s="852" t="n"/>
      <c r="V784" s="852" t="n"/>
      <c r="W784" s="852" t="n"/>
      <c r="X784" s="852" t="n"/>
      <c r="Y784" s="852" t="n"/>
      <c r="Z784" s="852" t="n"/>
      <c r="AA784" s="852" t="n"/>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c r="CL784" s="59" t="n"/>
      <c r="CM784" s="59" t="n"/>
      <c r="CN784" s="59" t="n"/>
    </row>
    <row r="785" ht="15" customFormat="1" customHeight="1" s="3">
      <c r="A785">
        <f>IF(C785="","",ROW()-2)</f>
        <v/>
      </c>
      <c r="B785" s="852" t="n"/>
      <c r="C785" s="852" t="n"/>
      <c r="D785">
        <f>IF(C785="TOH","Type 1",IF(C785="POH","Type 2",IF(OR(C785="LTO",C785="TOH-LC",C785="TOH - LC"),"Type 3",IF(C785="Flourish","Type 4","Type 1"))))</f>
        <v/>
      </c>
      <c r="E785" s="852" t="n"/>
      <c r="F785" s="852" t="n"/>
      <c r="G785" s="852" t="n"/>
      <c r="H785" s="888" t="n"/>
      <c r="I785" s="889" t="n"/>
      <c r="J785" s="888" t="n"/>
      <c r="K785">
        <f>SUM(H785:J785)</f>
        <v/>
      </c>
      <c r="L785" s="852" t="n"/>
      <c r="M785" s="852" t="n"/>
      <c r="N785" s="852" t="n"/>
      <c r="O785" s="852" t="n"/>
      <c r="P785" s="852" t="n"/>
      <c r="Q785" s="852" t="n"/>
      <c r="R785" s="852" t="n"/>
      <c r="S785" s="852" t="n"/>
      <c r="T785" s="852" t="n"/>
      <c r="U785" s="852" t="n"/>
      <c r="V785" s="852" t="n"/>
      <c r="W785" s="852" t="n"/>
      <c r="X785" s="852" t="n"/>
      <c r="Y785" s="852" t="n"/>
      <c r="Z785" s="852" t="n"/>
      <c r="AA785" s="852" t="n"/>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c r="CL785" s="59" t="n"/>
      <c r="CM785" s="59" t="n"/>
      <c r="CN785" s="59" t="n"/>
    </row>
    <row r="786" ht="15" customFormat="1" customHeight="1" s="3">
      <c r="A786">
        <f>IF(C786="","",ROW()-2)</f>
        <v/>
      </c>
      <c r="B786" s="852" t="n"/>
      <c r="C786" s="852" t="n"/>
      <c r="D786">
        <f>IF(C786="TOH","Type 1",IF(C786="POH","Type 2",IF(OR(C786="LTO",C786="TOH-LC",C786="TOH - LC"),"Type 3",IF(C786="Flourish","Type 4","Type 1"))))</f>
        <v/>
      </c>
      <c r="E786" s="852" t="n"/>
      <c r="F786" s="852" t="n"/>
      <c r="G786" s="852" t="n"/>
      <c r="H786" s="888" t="n"/>
      <c r="I786" s="889" t="n"/>
      <c r="J786" s="888" t="n"/>
      <c r="K786">
        <f>SUM(H786:J786)</f>
        <v/>
      </c>
      <c r="L786" s="852" t="n"/>
      <c r="M786" s="852" t="n"/>
      <c r="N786" s="852" t="n"/>
      <c r="O786" s="852" t="n"/>
      <c r="P786" s="852" t="n"/>
      <c r="Q786" s="852" t="n"/>
      <c r="R786" s="852" t="n"/>
      <c r="S786" s="852" t="n"/>
      <c r="T786" s="852" t="n"/>
      <c r="U786" s="852" t="n"/>
      <c r="V786" s="852" t="n"/>
      <c r="W786" s="852" t="n"/>
      <c r="X786" s="852" t="n"/>
      <c r="Y786" s="852" t="n"/>
      <c r="Z786" s="852" t="n"/>
      <c r="AA786" s="852" t="n"/>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c r="CL786" s="59" t="n"/>
      <c r="CM786" s="59" t="n"/>
      <c r="CN786" s="59" t="n"/>
    </row>
    <row r="787" ht="15" customFormat="1" customHeight="1" s="3">
      <c r="A787">
        <f>IF(C787="","",ROW()-2)</f>
        <v/>
      </c>
      <c r="B787" s="852" t="n"/>
      <c r="C787" s="852" t="n"/>
      <c r="D787">
        <f>IF(C787="TOH","Type 1",IF(C787="POH","Type 2",IF(OR(C787="LTO",C787="TOH-LC",C787="TOH - LC"),"Type 3",IF(C787="Flourish","Type 4","Type 1"))))</f>
        <v/>
      </c>
      <c r="E787" s="852" t="n"/>
      <c r="F787" s="852" t="n"/>
      <c r="G787" s="852" t="n"/>
      <c r="H787" s="888" t="n"/>
      <c r="I787" s="889" t="n"/>
      <c r="J787" s="888" t="n"/>
      <c r="K787">
        <f>SUM(H787:J787)</f>
        <v/>
      </c>
      <c r="L787" s="852" t="n"/>
      <c r="M787" s="852" t="n"/>
      <c r="N787" s="852" t="n"/>
      <c r="O787" s="852" t="n"/>
      <c r="P787" s="852" t="n"/>
      <c r="Q787" s="852" t="n"/>
      <c r="R787" s="852" t="n"/>
      <c r="S787" s="852" t="n"/>
      <c r="T787" s="852" t="n"/>
      <c r="U787" s="852" t="n"/>
      <c r="V787" s="852" t="n"/>
      <c r="W787" s="852" t="n"/>
      <c r="X787" s="852" t="n"/>
      <c r="Y787" s="852" t="n"/>
      <c r="Z787" s="852" t="n"/>
      <c r="AA787" s="852" t="n"/>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c r="CL787" s="59" t="n"/>
      <c r="CM787" s="59" t="n"/>
      <c r="CN787" s="59" t="n"/>
    </row>
    <row r="788" ht="15" customFormat="1" customHeight="1" s="3">
      <c r="A788">
        <f>IF(C788="","",ROW()-2)</f>
        <v/>
      </c>
      <c r="B788" s="852" t="n"/>
      <c r="C788" s="852" t="n"/>
      <c r="D788">
        <f>IF(C788="TOH","Type 1",IF(C788="POH","Type 2",IF(OR(C788="LTO",C788="TOH-LC",C788="TOH - LC"),"Type 3",IF(C788="Flourish","Type 4","Type 1"))))</f>
        <v/>
      </c>
      <c r="E788" s="852" t="n"/>
      <c r="F788" s="852" t="n"/>
      <c r="G788" s="852" t="n"/>
      <c r="H788" s="888" t="n"/>
      <c r="I788" s="889" t="n"/>
      <c r="J788" s="888" t="n"/>
      <c r="K788">
        <f>SUM(H788:J788)</f>
        <v/>
      </c>
      <c r="L788" s="852" t="n"/>
      <c r="M788" s="852" t="n"/>
      <c r="N788" s="852" t="n"/>
      <c r="O788" s="852" t="n"/>
      <c r="P788" s="852" t="n"/>
      <c r="Q788" s="852" t="n"/>
      <c r="R788" s="852" t="n"/>
      <c r="S788" s="852" t="n"/>
      <c r="T788" s="852" t="n"/>
      <c r="U788" s="852" t="n"/>
      <c r="V788" s="852" t="n"/>
      <c r="W788" s="852" t="n"/>
      <c r="X788" s="852" t="n"/>
      <c r="Y788" s="852" t="n"/>
      <c r="Z788" s="852" t="n"/>
      <c r="AA788" s="852" t="n"/>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c r="CL788" s="59" t="n"/>
      <c r="CM788" s="59" t="n"/>
      <c r="CN788" s="59" t="n"/>
    </row>
    <row r="789" ht="15" customFormat="1" customHeight="1" s="3">
      <c r="A789">
        <f>IF(C789="","",ROW()-2)</f>
        <v/>
      </c>
      <c r="B789" s="852" t="n"/>
      <c r="C789" s="852" t="n"/>
      <c r="D789">
        <f>IF(C789="TOH","Type 1",IF(C789="POH","Type 2",IF(OR(C789="LTO",C789="TOH-LC",C789="TOH - LC"),"Type 3",IF(C789="Flourish","Type 4","Type 1"))))</f>
        <v/>
      </c>
      <c r="E789" s="852" t="n"/>
      <c r="F789" s="852" t="n"/>
      <c r="G789" s="852" t="n"/>
      <c r="H789" s="888" t="n"/>
      <c r="I789" s="889" t="n"/>
      <c r="J789" s="888" t="n"/>
      <c r="K789">
        <f>SUM(H789:J789)</f>
        <v/>
      </c>
      <c r="L789" s="852" t="n"/>
      <c r="M789" s="852" t="n"/>
      <c r="N789" s="852" t="n"/>
      <c r="O789" s="852" t="n"/>
      <c r="P789" s="852" t="n"/>
      <c r="Q789" s="852" t="n"/>
      <c r="R789" s="852" t="n"/>
      <c r="S789" s="852" t="n"/>
      <c r="T789" s="852" t="n"/>
      <c r="U789" s="852" t="n"/>
      <c r="V789" s="852" t="n"/>
      <c r="W789" s="852" t="n"/>
      <c r="X789" s="852" t="n"/>
      <c r="Y789" s="852" t="n"/>
      <c r="Z789" s="852" t="n"/>
      <c r="AA789" s="852" t="n"/>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c r="CL789" s="59" t="n"/>
      <c r="CM789" s="59" t="n"/>
      <c r="CN789" s="59" t="n"/>
    </row>
    <row r="790" ht="15" customFormat="1" customHeight="1" s="3">
      <c r="A790">
        <f>IF(C790="","",ROW()-2)</f>
        <v/>
      </c>
      <c r="B790" s="852" t="n"/>
      <c r="C790" s="852" t="n"/>
      <c r="D790">
        <f>IF(C790="TOH","Type 1",IF(C790="POH","Type 2",IF(OR(C790="LTO",C790="TOH-LC",C790="TOH - LC"),"Type 3",IF(C790="Flourish","Type 4","Type 1"))))</f>
        <v/>
      </c>
      <c r="E790" s="852" t="n"/>
      <c r="F790" s="852" t="n"/>
      <c r="G790" s="852" t="n"/>
      <c r="H790" s="888" t="n"/>
      <c r="I790" s="889" t="n"/>
      <c r="J790" s="888" t="n"/>
      <c r="K790">
        <f>SUM(H790:J790)</f>
        <v/>
      </c>
      <c r="L790" s="852" t="n"/>
      <c r="M790" s="852" t="n"/>
      <c r="N790" s="852" t="n"/>
      <c r="O790" s="852" t="n"/>
      <c r="P790" s="852" t="n"/>
      <c r="Q790" s="852" t="n"/>
      <c r="R790" s="852" t="n"/>
      <c r="S790" s="852" t="n"/>
      <c r="T790" s="852" t="n"/>
      <c r="U790" s="852" t="n"/>
      <c r="V790" s="852" t="n"/>
      <c r="W790" s="852" t="n"/>
      <c r="X790" s="852" t="n"/>
      <c r="Y790" s="852" t="n"/>
      <c r="Z790" s="852" t="n"/>
      <c r="AA790" s="852" t="n"/>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c r="CL790" s="59" t="n"/>
      <c r="CM790" s="59" t="n"/>
      <c r="CN790" s="59" t="n"/>
    </row>
    <row r="791" ht="15" customFormat="1" customHeight="1" s="3">
      <c r="A791">
        <f>IF(C791="","",ROW()-2)</f>
        <v/>
      </c>
      <c r="B791" s="852" t="n"/>
      <c r="C791" s="852" t="n"/>
      <c r="D791">
        <f>IF(C791="TOH","Type 1",IF(C791="POH","Type 2",IF(OR(C791="LTO",C791="TOH-LC",C791="TOH - LC"),"Type 3",IF(C791="Flourish","Type 4","Type 1"))))</f>
        <v/>
      </c>
      <c r="E791" s="852" t="n"/>
      <c r="F791" s="852" t="n"/>
      <c r="G791" s="852" t="n"/>
      <c r="H791" s="888" t="n"/>
      <c r="I791" s="889" t="n"/>
      <c r="J791" s="888" t="n"/>
      <c r="K791">
        <f>SUM(H791:J791)</f>
        <v/>
      </c>
      <c r="L791" s="852" t="n"/>
      <c r="M791" s="852" t="n"/>
      <c r="N791" s="852" t="n"/>
      <c r="O791" s="852" t="n"/>
      <c r="P791" s="852" t="n"/>
      <c r="Q791" s="852" t="n"/>
      <c r="R791" s="852" t="n"/>
      <c r="S791" s="852" t="n"/>
      <c r="T791" s="852" t="n"/>
      <c r="U791" s="852" t="n"/>
      <c r="V791" s="852" t="n"/>
      <c r="W791" s="852" t="n"/>
      <c r="X791" s="852" t="n"/>
      <c r="Y791" s="852" t="n"/>
      <c r="Z791" s="852" t="n"/>
      <c r="AA791" s="852" t="n"/>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c r="CL791" s="59" t="n"/>
      <c r="CM791" s="59" t="n"/>
      <c r="CN791" s="59" t="n"/>
    </row>
    <row r="792" ht="15" customFormat="1" customHeight="1" s="3">
      <c r="A792">
        <f>IF(C792="","",ROW()-2)</f>
        <v/>
      </c>
      <c r="B792" s="852" t="n"/>
      <c r="C792" s="852" t="n"/>
      <c r="D792">
        <f>IF(C792="TOH","Type 1",IF(C792="POH","Type 2",IF(OR(C792="LTO",C792="TOH-LC",C792="TOH - LC"),"Type 3",IF(C792="Flourish","Type 4","Type 1"))))</f>
        <v/>
      </c>
      <c r="E792" s="852" t="n"/>
      <c r="F792" s="852" t="n"/>
      <c r="G792" s="852" t="n"/>
      <c r="H792" s="888" t="n"/>
      <c r="I792" s="889" t="n"/>
      <c r="J792" s="888" t="n"/>
      <c r="K792">
        <f>SUM(H792:J792)</f>
        <v/>
      </c>
      <c r="L792" s="852" t="n"/>
      <c r="M792" s="852" t="n"/>
      <c r="N792" s="852" t="n"/>
      <c r="O792" s="852" t="n"/>
      <c r="P792" s="852" t="n"/>
      <c r="Q792" s="852" t="n"/>
      <c r="R792" s="852" t="n"/>
      <c r="S792" s="852" t="n"/>
      <c r="T792" s="852" t="n"/>
      <c r="U792" s="852" t="n"/>
      <c r="V792" s="852" t="n"/>
      <c r="W792" s="852" t="n"/>
      <c r="X792" s="852" t="n"/>
      <c r="Y792" s="852" t="n"/>
      <c r="Z792" s="852" t="n"/>
      <c r="AA792" s="852" t="n"/>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c r="CL792" s="59" t="n"/>
      <c r="CM792" s="59" t="n"/>
      <c r="CN792" s="59" t="n"/>
    </row>
    <row r="793" ht="15" customFormat="1" customHeight="1" s="3">
      <c r="A793">
        <f>IF(C793="","",ROW()-2)</f>
        <v/>
      </c>
      <c r="B793" s="852" t="n"/>
      <c r="C793" s="852" t="n"/>
      <c r="D793">
        <f>IF(C793="TOH","Type 1",IF(C793="POH","Type 2",IF(OR(C793="LTO",C793="TOH-LC",C793="TOH - LC"),"Type 3",IF(C793="Flourish","Type 4","Type 1"))))</f>
        <v/>
      </c>
      <c r="E793" s="852" t="n"/>
      <c r="F793" s="852" t="n"/>
      <c r="G793" s="852" t="n"/>
      <c r="H793" s="888" t="n"/>
      <c r="I793" s="889" t="n"/>
      <c r="J793" s="888" t="n"/>
      <c r="K793">
        <f>SUM(H793:J793)</f>
        <v/>
      </c>
      <c r="L793" s="852" t="n"/>
      <c r="M793" s="852" t="n"/>
      <c r="N793" s="852" t="n"/>
      <c r="O793" s="852" t="n"/>
      <c r="P793" s="852" t="n"/>
      <c r="Q793" s="852" t="n"/>
      <c r="R793" s="852" t="n"/>
      <c r="S793" s="852" t="n"/>
      <c r="T793" s="852" t="n"/>
      <c r="U793" s="852" t="n"/>
      <c r="V793" s="852" t="n"/>
      <c r="W793" s="852" t="n"/>
      <c r="X793" s="852" t="n"/>
      <c r="Y793" s="852" t="n"/>
      <c r="Z793" s="852" t="n"/>
      <c r="AA793" s="852" t="n"/>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c r="CL793" s="59" t="n"/>
      <c r="CM793" s="59" t="n"/>
      <c r="CN793" s="59" t="n"/>
    </row>
    <row r="794" ht="15" customFormat="1" customHeight="1" s="3">
      <c r="A794">
        <f>IF(C794="","",ROW()-2)</f>
        <v/>
      </c>
      <c r="B794" s="852" t="n"/>
      <c r="C794" s="852" t="n"/>
      <c r="D794">
        <f>IF(C794="TOH","Type 1",IF(C794="POH","Type 2",IF(OR(C794="LTO",C794="TOH-LC",C794="TOH - LC"),"Type 3",IF(C794="Flourish","Type 4","Type 1"))))</f>
        <v/>
      </c>
      <c r="E794" s="852" t="n"/>
      <c r="F794" s="852" t="n"/>
      <c r="G794" s="852" t="n"/>
      <c r="H794" s="888" t="n"/>
      <c r="I794" s="889" t="n"/>
      <c r="J794" s="888" t="n"/>
      <c r="K794">
        <f>SUM(H794:J794)</f>
        <v/>
      </c>
      <c r="L794" s="852" t="n"/>
      <c r="M794" s="852" t="n"/>
      <c r="N794" s="852" t="n"/>
      <c r="O794" s="852" t="n"/>
      <c r="P794" s="852" t="n"/>
      <c r="Q794" s="852" t="n"/>
      <c r="R794" s="852" t="n"/>
      <c r="S794" s="852" t="n"/>
      <c r="T794" s="852" t="n"/>
      <c r="U794" s="852" t="n"/>
      <c r="V794" s="852" t="n"/>
      <c r="W794" s="852" t="n"/>
      <c r="X794" s="852" t="n"/>
      <c r="Y794" s="852" t="n"/>
      <c r="Z794" s="852" t="n"/>
      <c r="AA794" s="852" t="n"/>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c r="CL794" s="59" t="n"/>
      <c r="CM794" s="59" t="n"/>
      <c r="CN794" s="59" t="n"/>
    </row>
    <row r="795" ht="15" customFormat="1" customHeight="1" s="3">
      <c r="A795">
        <f>IF(C795="","",ROW()-2)</f>
        <v/>
      </c>
      <c r="B795" s="852" t="n"/>
      <c r="C795" s="852" t="n"/>
      <c r="D795">
        <f>IF(C795="TOH","Type 1",IF(C795="POH","Type 2",IF(OR(C795="LTO",C795="TOH-LC",C795="TOH - LC"),"Type 3",IF(C795="Flourish","Type 4","Type 1"))))</f>
        <v/>
      </c>
      <c r="E795" s="852" t="n"/>
      <c r="F795" s="852" t="n"/>
      <c r="G795" s="852" t="n"/>
      <c r="H795" s="888" t="n"/>
      <c r="I795" s="889" t="n"/>
      <c r="J795" s="888" t="n"/>
      <c r="K795">
        <f>SUM(H795:J795)</f>
        <v/>
      </c>
      <c r="L795" s="852" t="n"/>
      <c r="M795" s="852" t="n"/>
      <c r="N795" s="852" t="n"/>
      <c r="O795" s="852" t="n"/>
      <c r="P795" s="852" t="n"/>
      <c r="Q795" s="852" t="n"/>
      <c r="R795" s="852" t="n"/>
      <c r="S795" s="852" t="n"/>
      <c r="T795" s="852" t="n"/>
      <c r="U795" s="852" t="n"/>
      <c r="V795" s="852" t="n"/>
      <c r="W795" s="852" t="n"/>
      <c r="X795" s="852" t="n"/>
      <c r="Y795" s="852" t="n"/>
      <c r="Z795" s="852" t="n"/>
      <c r="AA795" s="852" t="n"/>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c r="CL795" s="59" t="n"/>
      <c r="CM795" s="59" t="n"/>
      <c r="CN795" s="59" t="n"/>
    </row>
    <row r="796" ht="15" customFormat="1" customHeight="1" s="3">
      <c r="A796">
        <f>IF(C796="","",ROW()-2)</f>
        <v/>
      </c>
      <c r="B796" s="852" t="n"/>
      <c r="C796" s="852" t="n"/>
      <c r="D796">
        <f>IF(C796="TOH","Type 1",IF(C796="POH","Type 2",IF(OR(C796="LTO",C796="TOH-LC",C796="TOH - LC"),"Type 3",IF(C796="Flourish","Type 4","Type 1"))))</f>
        <v/>
      </c>
      <c r="E796" s="852" t="n"/>
      <c r="F796" s="852" t="n"/>
      <c r="G796" s="852" t="n"/>
      <c r="H796" s="888" t="n"/>
      <c r="I796" s="889" t="n"/>
      <c r="J796" s="888" t="n"/>
      <c r="K796">
        <f>SUM(H796:J796)</f>
        <v/>
      </c>
      <c r="L796" s="852" t="n"/>
      <c r="M796" s="852" t="n"/>
      <c r="N796" s="852" t="n"/>
      <c r="O796" s="852" t="n"/>
      <c r="P796" s="852" t="n"/>
      <c r="Q796" s="852" t="n"/>
      <c r="R796" s="852" t="n"/>
      <c r="S796" s="852" t="n"/>
      <c r="T796" s="852" t="n"/>
      <c r="U796" s="852" t="n"/>
      <c r="V796" s="852" t="n"/>
      <c r="W796" s="852" t="n"/>
      <c r="X796" s="852" t="n"/>
      <c r="Y796" s="852" t="n"/>
      <c r="Z796" s="852" t="n"/>
      <c r="AA796" s="852" t="n"/>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c r="CL796" s="59" t="n"/>
      <c r="CM796" s="59" t="n"/>
      <c r="CN796" s="59" t="n"/>
    </row>
    <row r="797" ht="15" customFormat="1" customHeight="1" s="3">
      <c r="A797">
        <f>IF(C797="","",ROW()-2)</f>
        <v/>
      </c>
      <c r="B797" s="852" t="n"/>
      <c r="C797" s="852" t="n"/>
      <c r="D797">
        <f>IF(C797="TOH","Type 1",IF(C797="POH","Type 2",IF(OR(C797="LTO",C797="TOH-LC",C797="TOH - LC"),"Type 3",IF(C797="Flourish","Type 4","Type 1"))))</f>
        <v/>
      </c>
      <c r="E797" s="852" t="n"/>
      <c r="F797" s="852" t="n"/>
      <c r="G797" s="852" t="n"/>
      <c r="H797" s="888" t="n"/>
      <c r="I797" s="889" t="n"/>
      <c r="J797" s="888" t="n"/>
      <c r="K797">
        <f>SUM(H797:J797)</f>
        <v/>
      </c>
      <c r="L797" s="852" t="n"/>
      <c r="M797" s="852" t="n"/>
      <c r="N797" s="852" t="n"/>
      <c r="O797" s="852" t="n"/>
      <c r="P797" s="852" t="n"/>
      <c r="Q797" s="852" t="n"/>
      <c r="R797" s="852" t="n"/>
      <c r="S797" s="852" t="n"/>
      <c r="T797" s="852" t="n"/>
      <c r="U797" s="852" t="n"/>
      <c r="V797" s="852" t="n"/>
      <c r="W797" s="852" t="n"/>
      <c r="X797" s="852" t="n"/>
      <c r="Y797" s="852" t="n"/>
      <c r="Z797" s="852" t="n"/>
      <c r="AA797" s="852" t="n"/>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c r="CL797" s="59" t="n"/>
      <c r="CM797" s="59" t="n"/>
      <c r="CN797" s="59" t="n"/>
    </row>
    <row r="798" ht="15" customFormat="1" customHeight="1" s="3">
      <c r="A798">
        <f>IF(C798="","",ROW()-2)</f>
        <v/>
      </c>
      <c r="B798" s="852" t="n"/>
      <c r="C798" s="852" t="n"/>
      <c r="D798">
        <f>IF(C798="TOH","Type 1",IF(C798="POH","Type 2",IF(OR(C798="LTO",C798="TOH-LC",C798="TOH - LC"),"Type 3",IF(C798="Flourish","Type 4","Type 1"))))</f>
        <v/>
      </c>
      <c r="E798" s="852" t="n"/>
      <c r="F798" s="852" t="n"/>
      <c r="G798" s="852" t="n"/>
      <c r="H798" s="888" t="n"/>
      <c r="I798" s="889" t="n"/>
      <c r="J798" s="888" t="n"/>
      <c r="K798">
        <f>SUM(H798:J798)</f>
        <v/>
      </c>
      <c r="L798" s="852" t="n"/>
      <c r="M798" s="852" t="n"/>
      <c r="N798" s="852" t="n"/>
      <c r="O798" s="852" t="n"/>
      <c r="P798" s="852" t="n"/>
      <c r="Q798" s="852" t="n"/>
      <c r="R798" s="852" t="n"/>
      <c r="S798" s="852" t="n"/>
      <c r="T798" s="852" t="n"/>
      <c r="U798" s="852" t="n"/>
      <c r="V798" s="852" t="n"/>
      <c r="W798" s="852" t="n"/>
      <c r="X798" s="852" t="n"/>
      <c r="Y798" s="852" t="n"/>
      <c r="Z798" s="852" t="n"/>
      <c r="AA798" s="852" t="n"/>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c r="CL798" s="59" t="n"/>
      <c r="CM798" s="59" t="n"/>
      <c r="CN798" s="59" t="n"/>
    </row>
    <row r="799" ht="15" customFormat="1" customHeight="1" s="3">
      <c r="A799">
        <f>IF(C799="","",ROW()-2)</f>
        <v/>
      </c>
      <c r="B799" s="852" t="n"/>
      <c r="C799" s="852" t="n"/>
      <c r="D799">
        <f>IF(C799="TOH","Type 1",IF(C799="POH","Type 2",IF(OR(C799="LTO",C799="TOH-LC",C799="TOH - LC"),"Type 3",IF(C799="Flourish","Type 4","Type 1"))))</f>
        <v/>
      </c>
      <c r="E799" s="852" t="n"/>
      <c r="F799" s="852" t="n"/>
      <c r="G799" s="852" t="n"/>
      <c r="H799" s="888" t="n"/>
      <c r="I799" s="889" t="n"/>
      <c r="J799" s="888" t="n"/>
      <c r="K799">
        <f>SUM(H799:J799)</f>
        <v/>
      </c>
      <c r="L799" s="852" t="n"/>
      <c r="M799" s="852" t="n"/>
      <c r="N799" s="852" t="n"/>
      <c r="O799" s="852" t="n"/>
      <c r="P799" s="852" t="n"/>
      <c r="Q799" s="852" t="n"/>
      <c r="R799" s="852" t="n"/>
      <c r="S799" s="852" t="n"/>
      <c r="T799" s="852" t="n"/>
      <c r="U799" s="852" t="n"/>
      <c r="V799" s="852" t="n"/>
      <c r="W799" s="852" t="n"/>
      <c r="X799" s="852" t="n"/>
      <c r="Y799" s="852" t="n"/>
      <c r="Z799" s="852" t="n"/>
      <c r="AA799" s="852" t="n"/>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c r="CL799" s="59" t="n"/>
      <c r="CM799" s="59" t="n"/>
      <c r="CN799" s="59" t="n"/>
    </row>
    <row r="800" ht="15" customFormat="1" customHeight="1" s="3">
      <c r="A800">
        <f>IF(C800="","",ROW()-2)</f>
        <v/>
      </c>
      <c r="B800" s="852" t="n"/>
      <c r="C800" s="852" t="n"/>
      <c r="D800">
        <f>IF(C800="TOH","Type 1",IF(C800="POH","Type 2",IF(OR(C800="LTO",C800="TOH-LC",C800="TOH - LC"),"Type 3",IF(C800="Flourish","Type 4","Type 1"))))</f>
        <v/>
      </c>
      <c r="E800" s="852" t="n"/>
      <c r="F800" s="852" t="n"/>
      <c r="G800" s="852" t="n"/>
      <c r="H800" s="888" t="n"/>
      <c r="I800" s="889" t="n"/>
      <c r="J800" s="888" t="n"/>
      <c r="K800">
        <f>SUM(H800:J800)</f>
        <v/>
      </c>
      <c r="L800" s="852" t="n"/>
      <c r="M800" s="852" t="n"/>
      <c r="N800" s="852" t="n"/>
      <c r="O800" s="852" t="n"/>
      <c r="P800" s="852" t="n"/>
      <c r="Q800" s="852" t="n"/>
      <c r="R800" s="852" t="n"/>
      <c r="S800" s="852" t="n"/>
      <c r="T800" s="852" t="n"/>
      <c r="U800" s="852" t="n"/>
      <c r="V800" s="852" t="n"/>
      <c r="W800" s="852" t="n"/>
      <c r="X800" s="852" t="n"/>
      <c r="Y800" s="852" t="n"/>
      <c r="Z800" s="852" t="n"/>
      <c r="AA800" s="852" t="n"/>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c r="CL800" s="59" t="n"/>
      <c r="CM800" s="59" t="n"/>
      <c r="CN800" s="59" t="n"/>
    </row>
    <row r="801" ht="15" customFormat="1" customHeight="1" s="3">
      <c r="A801">
        <f>IF(C801="","",ROW()-2)</f>
        <v/>
      </c>
      <c r="B801" s="852" t="n"/>
      <c r="C801" s="852" t="n"/>
      <c r="D801">
        <f>IF(C801="TOH","Type 1",IF(C801="POH","Type 2",IF(OR(C801="LTO",C801="TOH-LC",C801="TOH - LC"),"Type 3",IF(C801="Flourish","Type 4","Type 1"))))</f>
        <v/>
      </c>
      <c r="E801" s="852" t="n"/>
      <c r="F801" s="852" t="n"/>
      <c r="G801" s="852" t="n"/>
      <c r="H801" s="888" t="n"/>
      <c r="I801" s="889" t="n"/>
      <c r="J801" s="888" t="n"/>
      <c r="K801">
        <f>SUM(H801:J801)</f>
        <v/>
      </c>
      <c r="L801" s="852" t="n"/>
      <c r="M801" s="852" t="n"/>
      <c r="N801" s="852" t="n"/>
      <c r="O801" s="852" t="n"/>
      <c r="P801" s="852" t="n"/>
      <c r="Q801" s="852" t="n"/>
      <c r="R801" s="852" t="n"/>
      <c r="S801" s="852" t="n"/>
      <c r="T801" s="852" t="n"/>
      <c r="U801" s="852" t="n"/>
      <c r="V801" s="852" t="n"/>
      <c r="W801" s="852" t="n"/>
      <c r="X801" s="852" t="n"/>
      <c r="Y801" s="852" t="n"/>
      <c r="Z801" s="852" t="n"/>
      <c r="AA801" s="852" t="n"/>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c r="CL801" s="59" t="n"/>
      <c r="CM801" s="59" t="n"/>
      <c r="CN801" s="59" t="n"/>
    </row>
    <row r="802" ht="15" customFormat="1" customHeight="1" s="3">
      <c r="A802">
        <f>IF(C802="","",ROW()-2)</f>
        <v/>
      </c>
      <c r="B802" s="852" t="n"/>
      <c r="C802" s="852" t="n"/>
      <c r="D802">
        <f>IF(C802="TOH","Type 1",IF(C802="POH","Type 2",IF(OR(C802="LTO",C802="TOH-LC",C802="TOH - LC"),"Type 3",IF(C802="Flourish","Type 4","Type 1"))))</f>
        <v/>
      </c>
      <c r="E802" s="852" t="n"/>
      <c r="F802" s="852" t="n"/>
      <c r="G802" s="852" t="n"/>
      <c r="H802" s="888" t="n"/>
      <c r="I802" s="889" t="n"/>
      <c r="J802" s="888" t="n"/>
      <c r="K802">
        <f>SUM(H802:J802)</f>
        <v/>
      </c>
      <c r="L802" s="852" t="n"/>
      <c r="M802" s="852" t="n"/>
      <c r="N802" s="852" t="n"/>
      <c r="O802" s="852" t="n"/>
      <c r="P802" s="852" t="n"/>
      <c r="Q802" s="852" t="n"/>
      <c r="R802" s="852" t="n"/>
      <c r="S802" s="852" t="n"/>
      <c r="T802" s="852" t="n"/>
      <c r="U802" s="852" t="n"/>
      <c r="V802" s="852" t="n"/>
      <c r="W802" s="852" t="n"/>
      <c r="X802" s="852" t="n"/>
      <c r="Y802" s="852" t="n"/>
      <c r="Z802" s="852" t="n"/>
      <c r="AA802" s="852" t="n"/>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c r="CL802" s="59" t="n"/>
      <c r="CM802" s="59" t="n"/>
      <c r="CN802" s="59" t="n"/>
    </row>
    <row r="803" ht="15" customFormat="1" customHeight="1" s="3">
      <c r="A803">
        <f>IF(C803="","",ROW()-2)</f>
        <v/>
      </c>
      <c r="B803" s="852" t="n"/>
      <c r="C803" s="852" t="n"/>
      <c r="D803">
        <f>IF(C803="TOH","Type 1",IF(C803="POH","Type 2",IF(OR(C803="LTO",C803="TOH-LC",C803="TOH - LC"),"Type 3",IF(C803="Flourish","Type 4","Type 1"))))</f>
        <v/>
      </c>
      <c r="E803" s="852" t="n"/>
      <c r="F803" s="852" t="n"/>
      <c r="G803" s="852" t="n"/>
      <c r="H803" s="888" t="n"/>
      <c r="I803" s="889" t="n"/>
      <c r="J803" s="888" t="n"/>
      <c r="K803">
        <f>SUM(H803:J803)</f>
        <v/>
      </c>
      <c r="L803" s="852" t="n"/>
      <c r="M803" s="852" t="n"/>
      <c r="N803" s="852" t="n"/>
      <c r="O803" s="852" t="n"/>
      <c r="P803" s="852" t="n"/>
      <c r="Q803" s="852" t="n"/>
      <c r="R803" s="852" t="n"/>
      <c r="S803" s="852" t="n"/>
      <c r="T803" s="852" t="n"/>
      <c r="U803" s="852" t="n"/>
      <c r="V803" s="852" t="n"/>
      <c r="W803" s="852" t="n"/>
      <c r="X803" s="852" t="n"/>
      <c r="Y803" s="852" t="n"/>
      <c r="Z803" s="852" t="n"/>
      <c r="AA803" s="852" t="n"/>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c r="CL803" s="59" t="n"/>
      <c r="CM803" s="59" t="n"/>
      <c r="CN803" s="59" t="n"/>
    </row>
    <row r="804" ht="15" customFormat="1" customHeight="1" s="3">
      <c r="A804">
        <f>IF(C804="","",ROW()-2)</f>
        <v/>
      </c>
      <c r="B804" s="852" t="n"/>
      <c r="C804" s="852" t="n"/>
      <c r="D804">
        <f>IF(C804="TOH","Type 1",IF(C804="POH","Type 2",IF(OR(C804="LTO",C804="TOH-LC",C804="TOH - LC"),"Type 3",IF(C804="Flourish","Type 4","Type 1"))))</f>
        <v/>
      </c>
      <c r="E804" s="852" t="n"/>
      <c r="F804" s="852" t="n"/>
      <c r="G804" s="852" t="n"/>
      <c r="H804" s="888" t="n"/>
      <c r="I804" s="889" t="n"/>
      <c r="J804" s="888" t="n"/>
      <c r="K804">
        <f>SUM(H804:J804)</f>
        <v/>
      </c>
      <c r="L804" s="852" t="n"/>
      <c r="M804" s="852" t="n"/>
      <c r="N804" s="852" t="n"/>
      <c r="O804" s="852" t="n"/>
      <c r="P804" s="852" t="n"/>
      <c r="Q804" s="852" t="n"/>
      <c r="R804" s="852" t="n"/>
      <c r="S804" s="852" t="n"/>
      <c r="T804" s="852" t="n"/>
      <c r="U804" s="852" t="n"/>
      <c r="V804" s="852" t="n"/>
      <c r="W804" s="852" t="n"/>
      <c r="X804" s="852" t="n"/>
      <c r="Y804" s="852" t="n"/>
      <c r="Z804" s="852" t="n"/>
      <c r="AA804" s="852" t="n"/>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c r="CL804" s="59" t="n"/>
      <c r="CM804" s="59" t="n"/>
      <c r="CN804" s="59" t="n"/>
    </row>
    <row r="805" ht="15" customFormat="1" customHeight="1" s="3">
      <c r="A805">
        <f>IF(C805="","",ROW()-2)</f>
        <v/>
      </c>
      <c r="B805" s="852" t="n"/>
      <c r="C805" s="852" t="n"/>
      <c r="D805">
        <f>IF(C805="TOH","Type 1",IF(C805="POH","Type 2",IF(OR(C805="LTO",C805="TOH-LC",C805="TOH - LC"),"Type 3",IF(C805="Flourish","Type 4","Type 1"))))</f>
        <v/>
      </c>
      <c r="E805" s="852" t="n"/>
      <c r="F805" s="852" t="n"/>
      <c r="G805" s="852" t="n"/>
      <c r="H805" s="888" t="n"/>
      <c r="I805" s="889" t="n"/>
      <c r="J805" s="888" t="n"/>
      <c r="K805">
        <f>SUM(H805:J805)</f>
        <v/>
      </c>
      <c r="L805" s="852" t="n"/>
      <c r="M805" s="852" t="n"/>
      <c r="N805" s="852" t="n"/>
      <c r="O805" s="852" t="n"/>
      <c r="P805" s="852" t="n"/>
      <c r="Q805" s="852" t="n"/>
      <c r="R805" s="852" t="n"/>
      <c r="S805" s="852" t="n"/>
      <c r="T805" s="852" t="n"/>
      <c r="U805" s="852" t="n"/>
      <c r="V805" s="852" t="n"/>
      <c r="W805" s="852" t="n"/>
      <c r="X805" s="852" t="n"/>
      <c r="Y805" s="852" t="n"/>
      <c r="Z805" s="852" t="n"/>
      <c r="AA805" s="852" t="n"/>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c r="CL805" s="59" t="n"/>
      <c r="CM805" s="59" t="n"/>
      <c r="CN805" s="59" t="n"/>
    </row>
    <row r="806" ht="15" customFormat="1" customHeight="1" s="3">
      <c r="A806">
        <f>IF(C806="","",ROW()-2)</f>
        <v/>
      </c>
      <c r="B806" s="852" t="n"/>
      <c r="C806" s="852" t="n"/>
      <c r="D806">
        <f>IF(C806="TOH","Type 1",IF(C806="POH","Type 2",IF(OR(C806="LTO",C806="TOH-LC",C806="TOH - LC"),"Type 3",IF(C806="Flourish","Type 4","Type 1"))))</f>
        <v/>
      </c>
      <c r="E806" s="852" t="n"/>
      <c r="F806" s="852" t="n"/>
      <c r="G806" s="852" t="n"/>
      <c r="H806" s="888" t="n"/>
      <c r="I806" s="889" t="n"/>
      <c r="J806" s="888" t="n"/>
      <c r="K806">
        <f>SUM(H806:J806)</f>
        <v/>
      </c>
      <c r="L806" s="852" t="n"/>
      <c r="M806" s="852" t="n"/>
      <c r="N806" s="852" t="n"/>
      <c r="O806" s="852" t="n"/>
      <c r="P806" s="852" t="n"/>
      <c r="Q806" s="852" t="n"/>
      <c r="R806" s="852" t="n"/>
      <c r="S806" s="852" t="n"/>
      <c r="T806" s="852" t="n"/>
      <c r="U806" s="852" t="n"/>
      <c r="V806" s="852" t="n"/>
      <c r="W806" s="852" t="n"/>
      <c r="X806" s="852" t="n"/>
      <c r="Y806" s="852" t="n"/>
      <c r="Z806" s="852" t="n"/>
      <c r="AA806" s="852" t="n"/>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c r="CL806" s="59" t="n"/>
      <c r="CM806" s="59" t="n"/>
      <c r="CN806" s="59" t="n"/>
    </row>
    <row r="807" ht="15" customFormat="1" customHeight="1" s="3">
      <c r="A807">
        <f>IF(C807="","",ROW()-2)</f>
        <v/>
      </c>
      <c r="B807" s="852" t="n"/>
      <c r="C807" s="852" t="n"/>
      <c r="D807">
        <f>IF(C807="TOH","Type 1",IF(C807="POH","Type 2",IF(OR(C807="LTO",C807="TOH-LC",C807="TOH - LC"),"Type 3",IF(C807="Flourish","Type 4","Type 1"))))</f>
        <v/>
      </c>
      <c r="E807" s="852" t="n"/>
      <c r="F807" s="852" t="n"/>
      <c r="G807" s="852" t="n"/>
      <c r="H807" s="888" t="n"/>
      <c r="I807" s="889" t="n"/>
      <c r="J807" s="888" t="n"/>
      <c r="K807">
        <f>SUM(H807:J807)</f>
        <v/>
      </c>
      <c r="L807" s="852" t="n"/>
      <c r="M807" s="852" t="n"/>
      <c r="N807" s="852" t="n"/>
      <c r="O807" s="852" t="n"/>
      <c r="P807" s="852" t="n"/>
      <c r="Q807" s="852" t="n"/>
      <c r="R807" s="852" t="n"/>
      <c r="S807" s="852" t="n"/>
      <c r="T807" s="852" t="n"/>
      <c r="U807" s="852" t="n"/>
      <c r="V807" s="852" t="n"/>
      <c r="W807" s="852" t="n"/>
      <c r="X807" s="852" t="n"/>
      <c r="Y807" s="852" t="n"/>
      <c r="Z807" s="852" t="n"/>
      <c r="AA807" s="852" t="n"/>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c r="CL807" s="59" t="n"/>
      <c r="CM807" s="59" t="n"/>
      <c r="CN807" s="59" t="n"/>
    </row>
    <row r="808" ht="15" customFormat="1" customHeight="1" s="3">
      <c r="A808">
        <f>IF(C808="","",ROW()-2)</f>
        <v/>
      </c>
      <c r="B808" s="852" t="n"/>
      <c r="C808" s="852" t="n"/>
      <c r="D808">
        <f>IF(C808="TOH","Type 1",IF(C808="POH","Type 2",IF(OR(C808="LTO",C808="TOH-LC",C808="TOH - LC"),"Type 3",IF(C808="Flourish","Type 4","Type 1"))))</f>
        <v/>
      </c>
      <c r="E808" s="852" t="n"/>
      <c r="F808" s="852" t="n"/>
      <c r="G808" s="852" t="n"/>
      <c r="H808" s="888" t="n"/>
      <c r="I808" s="889" t="n"/>
      <c r="J808" s="888" t="n"/>
      <c r="K808">
        <f>SUM(H808:J808)</f>
        <v/>
      </c>
      <c r="L808" s="852" t="n"/>
      <c r="M808" s="852" t="n"/>
      <c r="N808" s="852" t="n"/>
      <c r="O808" s="852" t="n"/>
      <c r="P808" s="852" t="n"/>
      <c r="Q808" s="852" t="n"/>
      <c r="R808" s="852" t="n"/>
      <c r="S808" s="852" t="n"/>
      <c r="T808" s="852" t="n"/>
      <c r="U808" s="852" t="n"/>
      <c r="V808" s="852" t="n"/>
      <c r="W808" s="852" t="n"/>
      <c r="X808" s="852" t="n"/>
      <c r="Y808" s="852" t="n"/>
      <c r="Z808" s="852" t="n"/>
      <c r="AA808" s="852" t="n"/>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c r="CL808" s="59" t="n"/>
      <c r="CM808" s="59" t="n"/>
      <c r="CN808" s="59" t="n"/>
    </row>
    <row r="809" ht="15" customFormat="1" customHeight="1" s="3">
      <c r="A809">
        <f>IF(C809="","",ROW()-2)</f>
        <v/>
      </c>
      <c r="B809" s="852" t="n"/>
      <c r="C809" s="852" t="n"/>
      <c r="D809">
        <f>IF(C809="TOH","Type 1",IF(C809="POH","Type 2",IF(OR(C809="LTO",C809="TOH-LC",C809="TOH - LC"),"Type 3",IF(C809="Flourish","Type 4","Type 1"))))</f>
        <v/>
      </c>
      <c r="E809" s="852" t="n"/>
      <c r="F809" s="852" t="n"/>
      <c r="G809" s="852" t="n"/>
      <c r="H809" s="888" t="n"/>
      <c r="I809" s="889" t="n"/>
      <c r="J809" s="888" t="n"/>
      <c r="K809">
        <f>SUM(H809:J809)</f>
        <v/>
      </c>
      <c r="L809" s="852" t="n"/>
      <c r="M809" s="852" t="n"/>
      <c r="N809" s="852" t="n"/>
      <c r="O809" s="852" t="n"/>
      <c r="P809" s="852" t="n"/>
      <c r="Q809" s="852" t="n"/>
      <c r="R809" s="852" t="n"/>
      <c r="S809" s="852" t="n"/>
      <c r="T809" s="852" t="n"/>
      <c r="U809" s="852" t="n"/>
      <c r="V809" s="852" t="n"/>
      <c r="W809" s="852" t="n"/>
      <c r="X809" s="852" t="n"/>
      <c r="Y809" s="852" t="n"/>
      <c r="Z809" s="852" t="n"/>
      <c r="AA809" s="852" t="n"/>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c r="CL809" s="59" t="n"/>
      <c r="CM809" s="59" t="n"/>
      <c r="CN809" s="59" t="n"/>
    </row>
    <row r="810" ht="15" customFormat="1" customHeight="1" s="3">
      <c r="A810">
        <f>IF(C810="","",ROW()-2)</f>
        <v/>
      </c>
      <c r="B810" s="852" t="n"/>
      <c r="C810" s="852" t="n"/>
      <c r="D810">
        <f>IF(C810="TOH","Type 1",IF(C810="POH","Type 2",IF(OR(C810="LTO",C810="TOH-LC",C810="TOH - LC"),"Type 3",IF(C810="Flourish","Type 4","Type 1"))))</f>
        <v/>
      </c>
      <c r="E810" s="852" t="n"/>
      <c r="F810" s="852" t="n"/>
      <c r="G810" s="852" t="n"/>
      <c r="H810" s="888" t="n"/>
      <c r="I810" s="889" t="n"/>
      <c r="J810" s="888" t="n"/>
      <c r="K810">
        <f>SUM(H810:J810)</f>
        <v/>
      </c>
      <c r="L810" s="852" t="n"/>
      <c r="M810" s="852" t="n"/>
      <c r="N810" s="852" t="n"/>
      <c r="O810" s="852" t="n"/>
      <c r="P810" s="852" t="n"/>
      <c r="Q810" s="852" t="n"/>
      <c r="R810" s="852" t="n"/>
      <c r="S810" s="852" t="n"/>
      <c r="T810" s="852" t="n"/>
      <c r="U810" s="852" t="n"/>
      <c r="V810" s="852" t="n"/>
      <c r="W810" s="852" t="n"/>
      <c r="X810" s="852" t="n"/>
      <c r="Y810" s="852" t="n"/>
      <c r="Z810" s="852" t="n"/>
      <c r="AA810" s="852" t="n"/>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c r="CL810" s="59" t="n"/>
      <c r="CM810" s="59" t="n"/>
      <c r="CN810" s="59" t="n"/>
    </row>
    <row r="811" ht="15" customFormat="1" customHeight="1" s="3">
      <c r="A811">
        <f>IF(C811="","",ROW()-2)</f>
        <v/>
      </c>
      <c r="B811" s="852" t="n"/>
      <c r="C811" s="852" t="n"/>
      <c r="D811">
        <f>IF(C811="TOH","Type 1",IF(C811="POH","Type 2",IF(OR(C811="LTO",C811="TOH-LC",C811="TOH - LC"),"Type 3",IF(C811="Flourish","Type 4","Type 1"))))</f>
        <v/>
      </c>
      <c r="E811" s="852" t="n"/>
      <c r="F811" s="852" t="n"/>
      <c r="G811" s="852" t="n"/>
      <c r="H811" s="888" t="n"/>
      <c r="I811" s="889" t="n"/>
      <c r="J811" s="888" t="n"/>
      <c r="K811">
        <f>SUM(H811:J811)</f>
        <v/>
      </c>
      <c r="L811" s="852" t="n"/>
      <c r="M811" s="852" t="n"/>
      <c r="N811" s="852" t="n"/>
      <c r="O811" s="852" t="n"/>
      <c r="P811" s="852" t="n"/>
      <c r="Q811" s="852" t="n"/>
      <c r="R811" s="852" t="n"/>
      <c r="S811" s="852" t="n"/>
      <c r="T811" s="852" t="n"/>
      <c r="U811" s="852" t="n"/>
      <c r="V811" s="852" t="n"/>
      <c r="W811" s="852" t="n"/>
      <c r="X811" s="852" t="n"/>
      <c r="Y811" s="852" t="n"/>
      <c r="Z811" s="852" t="n"/>
      <c r="AA811" s="852" t="n"/>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c r="CL811" s="59" t="n"/>
      <c r="CM811" s="59" t="n"/>
      <c r="CN811" s="59" t="n"/>
    </row>
    <row r="812" ht="15" customFormat="1" customHeight="1" s="3">
      <c r="A812">
        <f>IF(C812="","",ROW()-2)</f>
        <v/>
      </c>
      <c r="B812" s="852" t="n"/>
      <c r="C812" s="852" t="n"/>
      <c r="D812">
        <f>IF(C812="TOH","Type 1",IF(C812="POH","Type 2",IF(OR(C812="LTO",C812="TOH-LC",C812="TOH - LC"),"Type 3",IF(C812="Flourish","Type 4","Type 1"))))</f>
        <v/>
      </c>
      <c r="E812" s="852" t="n"/>
      <c r="F812" s="852" t="n"/>
      <c r="G812" s="852" t="n"/>
      <c r="H812" s="888" t="n"/>
      <c r="I812" s="889" t="n"/>
      <c r="J812" s="888" t="n"/>
      <c r="K812">
        <f>SUM(H812:J812)</f>
        <v/>
      </c>
      <c r="L812" s="852" t="n"/>
      <c r="M812" s="852" t="n"/>
      <c r="N812" s="852" t="n"/>
      <c r="O812" s="852" t="n"/>
      <c r="P812" s="852" t="n"/>
      <c r="Q812" s="852" t="n"/>
      <c r="R812" s="852" t="n"/>
      <c r="S812" s="852" t="n"/>
      <c r="T812" s="852" t="n"/>
      <c r="U812" s="852" t="n"/>
      <c r="V812" s="852" t="n"/>
      <c r="W812" s="852" t="n"/>
      <c r="X812" s="852" t="n"/>
      <c r="Y812" s="852" t="n"/>
      <c r="Z812" s="852" t="n"/>
      <c r="AA812" s="852" t="n"/>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c r="CL812" s="59" t="n"/>
      <c r="CM812" s="59" t="n"/>
      <c r="CN812" s="59" t="n"/>
    </row>
    <row r="813" ht="15" customFormat="1" customHeight="1" s="3">
      <c r="A813">
        <f>IF(C813="","",ROW()-2)</f>
        <v/>
      </c>
      <c r="B813" s="852" t="n"/>
      <c r="C813" s="852" t="n"/>
      <c r="D813">
        <f>IF(C813="TOH","Type 1",IF(C813="POH","Type 2",IF(OR(C813="LTO",C813="TOH-LC",C813="TOH - LC"),"Type 3",IF(C813="Flourish","Type 4","Type 1"))))</f>
        <v/>
      </c>
      <c r="E813" s="852" t="n"/>
      <c r="F813" s="852" t="n"/>
      <c r="G813" s="852" t="n"/>
      <c r="H813" s="888" t="n"/>
      <c r="I813" s="889" t="n"/>
      <c r="J813" s="888" t="n"/>
      <c r="K813">
        <f>SUM(H813:J813)</f>
        <v/>
      </c>
      <c r="L813" s="852" t="n"/>
      <c r="M813" s="852" t="n"/>
      <c r="N813" s="852" t="n"/>
      <c r="O813" s="852" t="n"/>
      <c r="P813" s="852" t="n"/>
      <c r="Q813" s="852" t="n"/>
      <c r="R813" s="852" t="n"/>
      <c r="S813" s="852" t="n"/>
      <c r="T813" s="852" t="n"/>
      <c r="U813" s="852" t="n"/>
      <c r="V813" s="852" t="n"/>
      <c r="W813" s="852" t="n"/>
      <c r="X813" s="852" t="n"/>
      <c r="Y813" s="852" t="n"/>
      <c r="Z813" s="852" t="n"/>
      <c r="AA813" s="852" t="n"/>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c r="CL813" s="59" t="n"/>
      <c r="CM813" s="59" t="n"/>
      <c r="CN813" s="59" t="n"/>
    </row>
    <row r="814" ht="15" customFormat="1" customHeight="1" s="3">
      <c r="A814">
        <f>IF(C814="","",ROW()-2)</f>
        <v/>
      </c>
      <c r="B814" s="852" t="n"/>
      <c r="C814" s="852" t="n"/>
      <c r="D814">
        <f>IF(C814="TOH","Type 1",IF(C814="POH","Type 2",IF(OR(C814="LTO",C814="TOH-LC",C814="TOH - LC"),"Type 3",IF(C814="Flourish","Type 4","Type 1"))))</f>
        <v/>
      </c>
      <c r="E814" s="852" t="n"/>
      <c r="F814" s="852" t="n"/>
      <c r="G814" s="852" t="n"/>
      <c r="H814" s="888" t="n"/>
      <c r="I814" s="889" t="n"/>
      <c r="J814" s="888" t="n"/>
      <c r="K814">
        <f>SUM(H814:J814)</f>
        <v/>
      </c>
      <c r="L814" s="852" t="n"/>
      <c r="M814" s="852" t="n"/>
      <c r="N814" s="852" t="n"/>
      <c r="O814" s="852" t="n"/>
      <c r="P814" s="852" t="n"/>
      <c r="Q814" s="852" t="n"/>
      <c r="R814" s="852" t="n"/>
      <c r="S814" s="852" t="n"/>
      <c r="T814" s="852" t="n"/>
      <c r="U814" s="852" t="n"/>
      <c r="V814" s="852" t="n"/>
      <c r="W814" s="852" t="n"/>
      <c r="X814" s="852" t="n"/>
      <c r="Y814" s="852" t="n"/>
      <c r="Z814" s="852" t="n"/>
      <c r="AA814" s="852" t="n"/>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c r="CL814" s="59" t="n"/>
      <c r="CM814" s="59" t="n"/>
      <c r="CN814" s="59" t="n"/>
    </row>
    <row r="815" ht="15" customFormat="1" customHeight="1" s="3">
      <c r="A815">
        <f>IF(C815="","",ROW()-2)</f>
        <v/>
      </c>
      <c r="B815" s="852" t="n"/>
      <c r="C815" s="852" t="n"/>
      <c r="D815">
        <f>IF(C815="TOH","Type 1",IF(C815="POH","Type 2",IF(OR(C815="LTO",C815="TOH-LC",C815="TOH - LC"),"Type 3",IF(C815="Flourish","Type 4","Type 1"))))</f>
        <v/>
      </c>
      <c r="E815" s="852" t="n"/>
      <c r="F815" s="852" t="n"/>
      <c r="G815" s="852" t="n"/>
      <c r="H815" s="888" t="n"/>
      <c r="I815" s="889" t="n"/>
      <c r="J815" s="888" t="n"/>
      <c r="K815">
        <f>SUM(H815:J815)</f>
        <v/>
      </c>
      <c r="L815" s="852" t="n"/>
      <c r="M815" s="852" t="n"/>
      <c r="N815" s="852" t="n"/>
      <c r="O815" s="852" t="n"/>
      <c r="P815" s="852" t="n"/>
      <c r="Q815" s="852" t="n"/>
      <c r="R815" s="852" t="n"/>
      <c r="S815" s="852" t="n"/>
      <c r="T815" s="852" t="n"/>
      <c r="U815" s="852" t="n"/>
      <c r="V815" s="852" t="n"/>
      <c r="W815" s="852" t="n"/>
      <c r="X815" s="852" t="n"/>
      <c r="Y815" s="852" t="n"/>
      <c r="Z815" s="852" t="n"/>
      <c r="AA815" s="852" t="n"/>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c r="CL815" s="59" t="n"/>
      <c r="CM815" s="59" t="n"/>
      <c r="CN815" s="59" t="n"/>
    </row>
    <row r="816" ht="15" customFormat="1" customHeight="1" s="3">
      <c r="A816">
        <f>IF(C816="","",ROW()-2)</f>
        <v/>
      </c>
      <c r="B816" s="852" t="n"/>
      <c r="C816" s="852" t="n"/>
      <c r="D816">
        <f>IF(C816="TOH","Type 1",IF(C816="POH","Type 2",IF(OR(C816="LTO",C816="TOH-LC",C816="TOH - LC"),"Type 3",IF(C816="Flourish","Type 4","Type 1"))))</f>
        <v/>
      </c>
      <c r="E816" s="852" t="n"/>
      <c r="F816" s="852" t="n"/>
      <c r="G816" s="852" t="n"/>
      <c r="H816" s="888" t="n"/>
      <c r="I816" s="889" t="n"/>
      <c r="J816" s="888" t="n"/>
      <c r="K816">
        <f>SUM(H816:J816)</f>
        <v/>
      </c>
      <c r="L816" s="852" t="n"/>
      <c r="M816" s="852" t="n"/>
      <c r="N816" s="852" t="n"/>
      <c r="O816" s="852" t="n"/>
      <c r="P816" s="852" t="n"/>
      <c r="Q816" s="852" t="n"/>
      <c r="R816" s="852" t="n"/>
      <c r="S816" s="852" t="n"/>
      <c r="T816" s="852" t="n"/>
      <c r="U816" s="852" t="n"/>
      <c r="V816" s="852" t="n"/>
      <c r="W816" s="852" t="n"/>
      <c r="X816" s="852" t="n"/>
      <c r="Y816" s="852" t="n"/>
      <c r="Z816" s="852" t="n"/>
      <c r="AA816" s="852" t="n"/>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c r="CL816" s="59" t="n"/>
      <c r="CM816" s="59" t="n"/>
      <c r="CN816" s="59" t="n"/>
    </row>
    <row r="817" ht="15" customFormat="1" customHeight="1" s="3">
      <c r="A817">
        <f>IF(C817="","",ROW()-2)</f>
        <v/>
      </c>
      <c r="B817" s="852" t="n"/>
      <c r="C817" s="852" t="n"/>
      <c r="D817">
        <f>IF(C817="TOH","Type 1",IF(C817="POH","Type 2",IF(OR(C817="LTO",C817="TOH-LC",C817="TOH - LC"),"Type 3",IF(C817="Flourish","Type 4","Type 1"))))</f>
        <v/>
      </c>
      <c r="E817" s="852" t="n"/>
      <c r="F817" s="852" t="n"/>
      <c r="G817" s="852" t="n"/>
      <c r="H817" s="888" t="n"/>
      <c r="I817" s="889" t="n"/>
      <c r="J817" s="888" t="n"/>
      <c r="K817">
        <f>SUM(H817:J817)</f>
        <v/>
      </c>
      <c r="L817" s="852" t="n"/>
      <c r="M817" s="852" t="n"/>
      <c r="N817" s="852" t="n"/>
      <c r="O817" s="852" t="n"/>
      <c r="P817" s="852" t="n"/>
      <c r="Q817" s="852" t="n"/>
      <c r="R817" s="852" t="n"/>
      <c r="S817" s="852" t="n"/>
      <c r="T817" s="852" t="n"/>
      <c r="U817" s="852" t="n"/>
      <c r="V817" s="852" t="n"/>
      <c r="W817" s="852" t="n"/>
      <c r="X817" s="852" t="n"/>
      <c r="Y817" s="852" t="n"/>
      <c r="Z817" s="852" t="n"/>
      <c r="AA817" s="852" t="n"/>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c r="CL817" s="59" t="n"/>
      <c r="CM817" s="59" t="n"/>
      <c r="CN817" s="59" t="n"/>
    </row>
    <row r="818" ht="15" customFormat="1" customHeight="1" s="3">
      <c r="A818">
        <f>IF(C818="","",ROW()-2)</f>
        <v/>
      </c>
      <c r="B818" s="852" t="n"/>
      <c r="C818" s="852" t="n"/>
      <c r="D818">
        <f>IF(C818="TOH","Type 1",IF(C818="POH","Type 2",IF(OR(C818="LTO",C818="TOH-LC",C818="TOH - LC"),"Type 3",IF(C818="Flourish","Type 4","Type 1"))))</f>
        <v/>
      </c>
      <c r="E818" s="852" t="n"/>
      <c r="F818" s="852" t="n"/>
      <c r="G818" s="852" t="n"/>
      <c r="H818" s="888" t="n"/>
      <c r="I818" s="889" t="n"/>
      <c r="J818" s="888" t="n"/>
      <c r="K818">
        <f>SUM(H818:J818)</f>
        <v/>
      </c>
      <c r="L818" s="852" t="n"/>
      <c r="M818" s="852" t="n"/>
      <c r="N818" s="852" t="n"/>
      <c r="O818" s="852" t="n"/>
      <c r="P818" s="852" t="n"/>
      <c r="Q818" s="852" t="n"/>
      <c r="R818" s="852" t="n"/>
      <c r="S818" s="852" t="n"/>
      <c r="T818" s="852" t="n"/>
      <c r="U818" s="852" t="n"/>
      <c r="V818" s="852" t="n"/>
      <c r="W818" s="852" t="n"/>
      <c r="X818" s="852" t="n"/>
      <c r="Y818" s="852" t="n"/>
      <c r="Z818" s="852" t="n"/>
      <c r="AA818" s="852" t="n"/>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c r="CL818" s="59" t="n"/>
      <c r="CM818" s="59" t="n"/>
      <c r="CN818" s="59" t="n"/>
    </row>
    <row r="819" ht="15" customFormat="1" customHeight="1" s="3">
      <c r="A819">
        <f>IF(C819="","",ROW()-2)</f>
        <v/>
      </c>
      <c r="B819" s="852" t="n"/>
      <c r="C819" s="852" t="n"/>
      <c r="D819">
        <f>IF(C819="TOH","Type 1",IF(C819="POH","Type 2",IF(OR(C819="LTO",C819="TOH-LC",C819="TOH - LC"),"Type 3",IF(C819="Flourish","Type 4","Type 1"))))</f>
        <v/>
      </c>
      <c r="E819" s="852" t="n"/>
      <c r="F819" s="852" t="n"/>
      <c r="G819" s="852" t="n"/>
      <c r="H819" s="888" t="n"/>
      <c r="I819" s="889" t="n"/>
      <c r="J819" s="888" t="n"/>
      <c r="K819">
        <f>SUM(H819:J819)</f>
        <v/>
      </c>
      <c r="L819" s="852" t="n"/>
      <c r="M819" s="852" t="n"/>
      <c r="N819" s="852" t="n"/>
      <c r="O819" s="852" t="n"/>
      <c r="P819" s="852" t="n"/>
      <c r="Q819" s="852" t="n"/>
      <c r="R819" s="852" t="n"/>
      <c r="S819" s="852" t="n"/>
      <c r="T819" s="852" t="n"/>
      <c r="U819" s="852" t="n"/>
      <c r="V819" s="852" t="n"/>
      <c r="W819" s="852" t="n"/>
      <c r="X819" s="852" t="n"/>
      <c r="Y819" s="852" t="n"/>
      <c r="Z819" s="852" t="n"/>
      <c r="AA819" s="852" t="n"/>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c r="CL819" s="59" t="n"/>
      <c r="CM819" s="59" t="n"/>
      <c r="CN819" s="59" t="n"/>
    </row>
    <row r="820" ht="15" customFormat="1" customHeight="1" s="3">
      <c r="A820">
        <f>IF(C820="","",ROW()-2)</f>
        <v/>
      </c>
      <c r="B820" s="852" t="n"/>
      <c r="C820" s="852" t="n"/>
      <c r="D820">
        <f>IF(C820="TOH","Type 1",IF(C820="POH","Type 2",IF(OR(C820="LTO",C820="TOH-LC",C820="TOH - LC"),"Type 3",IF(C820="Flourish","Type 4","Type 1"))))</f>
        <v/>
      </c>
      <c r="E820" s="852" t="n"/>
      <c r="F820" s="852" t="n"/>
      <c r="G820" s="852" t="n"/>
      <c r="H820" s="888" t="n"/>
      <c r="I820" s="889" t="n"/>
      <c r="J820" s="888" t="n"/>
      <c r="K820">
        <f>SUM(H820:J820)</f>
        <v/>
      </c>
      <c r="L820" s="852" t="n"/>
      <c r="M820" s="852" t="n"/>
      <c r="N820" s="852" t="n"/>
      <c r="O820" s="852" t="n"/>
      <c r="P820" s="852" t="n"/>
      <c r="Q820" s="852" t="n"/>
      <c r="R820" s="852" t="n"/>
      <c r="S820" s="852" t="n"/>
      <c r="T820" s="852" t="n"/>
      <c r="U820" s="852" t="n"/>
      <c r="V820" s="852" t="n"/>
      <c r="W820" s="852" t="n"/>
      <c r="X820" s="852" t="n"/>
      <c r="Y820" s="852" t="n"/>
      <c r="Z820" s="852" t="n"/>
      <c r="AA820" s="852" t="n"/>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c r="CL820" s="59" t="n"/>
      <c r="CM820" s="59" t="n"/>
      <c r="CN820" s="59" t="n"/>
    </row>
    <row r="821" ht="15" customFormat="1" customHeight="1" s="3">
      <c r="A821">
        <f>IF(C821="","",ROW()-2)</f>
        <v/>
      </c>
      <c r="B821" s="852" t="n"/>
      <c r="C821" s="852" t="n"/>
      <c r="D821">
        <f>IF(C821="TOH","Type 1",IF(C821="POH","Type 2",IF(OR(C821="LTO",C821="TOH-LC",C821="TOH - LC"),"Type 3",IF(C821="Flourish","Type 4","Type 1"))))</f>
        <v/>
      </c>
      <c r="E821" s="852" t="n"/>
      <c r="F821" s="852" t="n"/>
      <c r="G821" s="852" t="n"/>
      <c r="H821" s="888" t="n"/>
      <c r="I821" s="889" t="n"/>
      <c r="J821" s="888" t="n"/>
      <c r="K821">
        <f>SUM(H821:J821)</f>
        <v/>
      </c>
      <c r="L821" s="852" t="n"/>
      <c r="M821" s="852" t="n"/>
      <c r="N821" s="852" t="n"/>
      <c r="O821" s="852" t="n"/>
      <c r="P821" s="852" t="n"/>
      <c r="Q821" s="852" t="n"/>
      <c r="R821" s="852" t="n"/>
      <c r="S821" s="852" t="n"/>
      <c r="T821" s="852" t="n"/>
      <c r="U821" s="852" t="n"/>
      <c r="V821" s="852" t="n"/>
      <c r="W821" s="852" t="n"/>
      <c r="X821" s="852" t="n"/>
      <c r="Y821" s="852" t="n"/>
      <c r="Z821" s="852" t="n"/>
      <c r="AA821" s="852" t="n"/>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c r="CL821" s="59" t="n"/>
      <c r="CM821" s="59" t="n"/>
      <c r="CN821" s="59" t="n"/>
    </row>
    <row r="822" ht="15" customFormat="1" customHeight="1" s="3">
      <c r="A822">
        <f>IF(C822="","",ROW()-2)</f>
        <v/>
      </c>
      <c r="B822" s="852" t="n"/>
      <c r="C822" s="852" t="n"/>
      <c r="D822">
        <f>IF(C822="TOH","Type 1",IF(C822="POH","Type 2",IF(OR(C822="LTO",C822="TOH-LC",C822="TOH - LC"),"Type 3",IF(C822="Flourish","Type 4","Type 1"))))</f>
        <v/>
      </c>
      <c r="E822" s="852" t="n"/>
      <c r="F822" s="852" t="n"/>
      <c r="G822" s="852" t="n"/>
      <c r="H822" s="888" t="n"/>
      <c r="I822" s="889" t="n"/>
      <c r="J822" s="888" t="n"/>
      <c r="K822">
        <f>SUM(H822:J822)</f>
        <v/>
      </c>
      <c r="L822" s="852" t="n"/>
      <c r="M822" s="852" t="n"/>
      <c r="N822" s="852" t="n"/>
      <c r="O822" s="852" t="n"/>
      <c r="P822" s="852" t="n"/>
      <c r="Q822" s="852" t="n"/>
      <c r="R822" s="852" t="n"/>
      <c r="S822" s="852" t="n"/>
      <c r="T822" s="852" t="n"/>
      <c r="U822" s="852" t="n"/>
      <c r="V822" s="852" t="n"/>
      <c r="W822" s="852" t="n"/>
      <c r="X822" s="852" t="n"/>
      <c r="Y822" s="852" t="n"/>
      <c r="Z822" s="852" t="n"/>
      <c r="AA822" s="852" t="n"/>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c r="CL822" s="59" t="n"/>
      <c r="CM822" s="59" t="n"/>
      <c r="CN822" s="59" t="n"/>
    </row>
    <row r="823" ht="15" customFormat="1" customHeight="1" s="3">
      <c r="A823">
        <f>IF(C823="","",ROW()-2)</f>
        <v/>
      </c>
      <c r="B823" s="852" t="n"/>
      <c r="C823" s="852" t="n"/>
      <c r="D823">
        <f>IF(C823="TOH","Type 1",IF(C823="POH","Type 2",IF(OR(C823="LTO",C823="TOH-LC",C823="TOH - LC"),"Type 3",IF(C823="Flourish","Type 4","Type 1"))))</f>
        <v/>
      </c>
      <c r="E823" s="852" t="n"/>
      <c r="F823" s="852" t="n"/>
      <c r="G823" s="852" t="n"/>
      <c r="H823" s="888" t="n"/>
      <c r="I823" s="889" t="n"/>
      <c r="J823" s="888" t="n"/>
      <c r="K823">
        <f>SUM(H823:J823)</f>
        <v/>
      </c>
      <c r="L823" s="852" t="n"/>
      <c r="M823" s="852" t="n"/>
      <c r="N823" s="852" t="n"/>
      <c r="O823" s="852" t="n"/>
      <c r="P823" s="852" t="n"/>
      <c r="Q823" s="852" t="n"/>
      <c r="R823" s="852" t="n"/>
      <c r="S823" s="852" t="n"/>
      <c r="T823" s="852" t="n"/>
      <c r="U823" s="852" t="n"/>
      <c r="V823" s="852" t="n"/>
      <c r="W823" s="852" t="n"/>
      <c r="X823" s="852" t="n"/>
      <c r="Y823" s="852" t="n"/>
      <c r="Z823" s="852" t="n"/>
      <c r="AA823" s="852" t="n"/>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c r="CL823" s="59" t="n"/>
      <c r="CM823" s="59" t="n"/>
      <c r="CN823" s="59" t="n"/>
    </row>
    <row r="824" ht="15" customFormat="1" customHeight="1" s="3">
      <c r="A824">
        <f>IF(C824="","",ROW()-2)</f>
        <v/>
      </c>
      <c r="B824" s="852" t="n"/>
      <c r="C824" s="852" t="n"/>
      <c r="D824">
        <f>IF(C824="TOH","Type 1",IF(C824="POH","Type 2",IF(OR(C824="LTO",C824="TOH-LC",C824="TOH - LC"),"Type 3",IF(C824="Flourish","Type 4","Type 1"))))</f>
        <v/>
      </c>
      <c r="E824" s="852" t="n"/>
      <c r="F824" s="852" t="n"/>
      <c r="G824" s="852" t="n"/>
      <c r="H824" s="888" t="n"/>
      <c r="I824" s="889" t="n"/>
      <c r="J824" s="888" t="n"/>
      <c r="K824">
        <f>SUM(H824:J824)</f>
        <v/>
      </c>
      <c r="L824" s="852" t="n"/>
      <c r="M824" s="852" t="n"/>
      <c r="N824" s="852" t="n"/>
      <c r="O824" s="852" t="n"/>
      <c r="P824" s="852" t="n"/>
      <c r="Q824" s="852" t="n"/>
      <c r="R824" s="852" t="n"/>
      <c r="S824" s="852" t="n"/>
      <c r="T824" s="852" t="n"/>
      <c r="U824" s="852" t="n"/>
      <c r="V824" s="852" t="n"/>
      <c r="W824" s="852" t="n"/>
      <c r="X824" s="852" t="n"/>
      <c r="Y824" s="852" t="n"/>
      <c r="Z824" s="852" t="n"/>
      <c r="AA824" s="852" t="n"/>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c r="CL824" s="59" t="n"/>
      <c r="CM824" s="59" t="n"/>
      <c r="CN824" s="59" t="n"/>
    </row>
    <row r="825" ht="15" customFormat="1" customHeight="1" s="3">
      <c r="A825">
        <f>IF(C825="","",ROW()-2)</f>
        <v/>
      </c>
      <c r="B825" s="852" t="n"/>
      <c r="C825" s="852" t="n"/>
      <c r="D825">
        <f>IF(C825="TOH","Type 1",IF(C825="POH","Type 2",IF(OR(C825="LTO",C825="TOH-LC",C825="TOH - LC"),"Type 3",IF(C825="Flourish","Type 4","Type 1"))))</f>
        <v/>
      </c>
      <c r="E825" s="852" t="n"/>
      <c r="F825" s="852" t="n"/>
      <c r="G825" s="852" t="n"/>
      <c r="H825" s="888" t="n"/>
      <c r="I825" s="889" t="n"/>
      <c r="J825" s="888" t="n"/>
      <c r="K825">
        <f>SUM(H825:J825)</f>
        <v/>
      </c>
      <c r="L825" s="852" t="n"/>
      <c r="M825" s="852" t="n"/>
      <c r="N825" s="852" t="n"/>
      <c r="O825" s="852" t="n"/>
      <c r="P825" s="852" t="n"/>
      <c r="Q825" s="852" t="n"/>
      <c r="R825" s="852" t="n"/>
      <c r="S825" s="852" t="n"/>
      <c r="T825" s="852" t="n"/>
      <c r="U825" s="852" t="n"/>
      <c r="V825" s="852" t="n"/>
      <c r="W825" s="852" t="n"/>
      <c r="X825" s="852" t="n"/>
      <c r="Y825" s="852" t="n"/>
      <c r="Z825" s="852" t="n"/>
      <c r="AA825" s="852" t="n"/>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c r="CL825" s="59" t="n"/>
      <c r="CM825" s="59" t="n"/>
      <c r="CN825" s="59" t="n"/>
    </row>
    <row r="826" ht="15" customFormat="1" customHeight="1" s="3">
      <c r="A826">
        <f>IF(C826="","",ROW()-2)</f>
        <v/>
      </c>
      <c r="B826" s="852" t="n"/>
      <c r="C826" s="852" t="n"/>
      <c r="D826">
        <f>IF(C826="TOH","Type 1",IF(C826="POH","Type 2",IF(OR(C826="LTO",C826="TOH-LC",C826="TOH - LC"),"Type 3",IF(C826="Flourish","Type 4","Type 1"))))</f>
        <v/>
      </c>
      <c r="E826" s="852" t="n"/>
      <c r="F826" s="852" t="n"/>
      <c r="G826" s="852" t="n"/>
      <c r="H826" s="888" t="n"/>
      <c r="I826" s="889" t="n"/>
      <c r="J826" s="888" t="n"/>
      <c r="K826">
        <f>SUM(H826:J826)</f>
        <v/>
      </c>
      <c r="L826" s="852" t="n"/>
      <c r="M826" s="852" t="n"/>
      <c r="N826" s="852" t="n"/>
      <c r="O826" s="852" t="n"/>
      <c r="P826" s="852" t="n"/>
      <c r="Q826" s="852" t="n"/>
      <c r="R826" s="852" t="n"/>
      <c r="S826" s="852" t="n"/>
      <c r="T826" s="852" t="n"/>
      <c r="U826" s="852" t="n"/>
      <c r="V826" s="852" t="n"/>
      <c r="W826" s="852" t="n"/>
      <c r="X826" s="852" t="n"/>
      <c r="Y826" s="852" t="n"/>
      <c r="Z826" s="852" t="n"/>
      <c r="AA826" s="852" t="n"/>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c r="CL826" s="59" t="n"/>
      <c r="CM826" s="59" t="n"/>
      <c r="CN826" s="59" t="n"/>
    </row>
    <row r="827" ht="15" customFormat="1" customHeight="1" s="3">
      <c r="A827">
        <f>IF(C827="","",ROW()-2)</f>
        <v/>
      </c>
      <c r="B827" s="852" t="n"/>
      <c r="C827" s="852" t="n"/>
      <c r="D827">
        <f>IF(C827="TOH","Type 1",IF(C827="POH","Type 2",IF(OR(C827="LTO",C827="TOH-LC",C827="TOH - LC"),"Type 3",IF(C827="Flourish","Type 4","Type 1"))))</f>
        <v/>
      </c>
      <c r="E827" s="852" t="n"/>
      <c r="F827" s="852" t="n"/>
      <c r="G827" s="852" t="n"/>
      <c r="H827" s="888" t="n"/>
      <c r="I827" s="889" t="n"/>
      <c r="J827" s="888" t="n"/>
      <c r="K827">
        <f>SUM(H827:J827)</f>
        <v/>
      </c>
      <c r="L827" s="852" t="n"/>
      <c r="M827" s="852" t="n"/>
      <c r="N827" s="852" t="n"/>
      <c r="O827" s="852" t="n"/>
      <c r="P827" s="852" t="n"/>
      <c r="Q827" s="852" t="n"/>
      <c r="R827" s="852" t="n"/>
      <c r="S827" s="852" t="n"/>
      <c r="T827" s="852" t="n"/>
      <c r="U827" s="852" t="n"/>
      <c r="V827" s="852" t="n"/>
      <c r="W827" s="852" t="n"/>
      <c r="X827" s="852" t="n"/>
      <c r="Y827" s="852" t="n"/>
      <c r="Z827" s="852" t="n"/>
      <c r="AA827" s="852" t="n"/>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c r="CL827" s="59" t="n"/>
      <c r="CM827" s="59" t="n"/>
      <c r="CN827" s="59" t="n"/>
    </row>
    <row r="828" ht="15" customFormat="1" customHeight="1" s="3">
      <c r="A828">
        <f>IF(C828="","",ROW()-2)</f>
        <v/>
      </c>
      <c r="B828" s="852" t="n"/>
      <c r="C828" s="852" t="n"/>
      <c r="D828">
        <f>IF(C828="TOH","Type 1",IF(C828="POH","Type 2",IF(OR(C828="LTO",C828="TOH-LC",C828="TOH - LC"),"Type 3",IF(C828="Flourish","Type 4","Type 1"))))</f>
        <v/>
      </c>
      <c r="E828" s="852" t="n"/>
      <c r="F828" s="852" t="n"/>
      <c r="G828" s="852" t="n"/>
      <c r="H828" s="888" t="n"/>
      <c r="I828" s="889" t="n"/>
      <c r="J828" s="888" t="n"/>
      <c r="K828">
        <f>SUM(H828:J828)</f>
        <v/>
      </c>
      <c r="L828" s="852" t="n"/>
      <c r="M828" s="852" t="n"/>
      <c r="N828" s="852" t="n"/>
      <c r="O828" s="852" t="n"/>
      <c r="P828" s="852" t="n"/>
      <c r="Q828" s="852" t="n"/>
      <c r="R828" s="852" t="n"/>
      <c r="S828" s="852" t="n"/>
      <c r="T828" s="852" t="n"/>
      <c r="U828" s="852" t="n"/>
      <c r="V828" s="852" t="n"/>
      <c r="W828" s="852" t="n"/>
      <c r="X828" s="852" t="n"/>
      <c r="Y828" s="852" t="n"/>
      <c r="Z828" s="852" t="n"/>
      <c r="AA828" s="852" t="n"/>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c r="CL828" s="59" t="n"/>
      <c r="CM828" s="59" t="n"/>
      <c r="CN828" s="59" t="n"/>
    </row>
    <row r="829" ht="15" customFormat="1" customHeight="1" s="3">
      <c r="A829">
        <f>IF(C829="","",ROW()-2)</f>
        <v/>
      </c>
      <c r="B829" s="852" t="n"/>
      <c r="C829" s="852" t="n"/>
      <c r="D829">
        <f>IF(C829="TOH","Type 1",IF(C829="POH","Type 2",IF(OR(C829="LTO",C829="TOH-LC",C829="TOH - LC"),"Type 3",IF(C829="Flourish","Type 4","Type 1"))))</f>
        <v/>
      </c>
      <c r="E829" s="852" t="n"/>
      <c r="F829" s="852" t="n"/>
      <c r="G829" s="852" t="n"/>
      <c r="H829" s="888" t="n"/>
      <c r="I829" s="889" t="n"/>
      <c r="J829" s="888" t="n"/>
      <c r="K829">
        <f>SUM(H829:J829)</f>
        <v/>
      </c>
      <c r="L829" s="852" t="n"/>
      <c r="M829" s="852" t="n"/>
      <c r="N829" s="852" t="n"/>
      <c r="O829" s="852" t="n"/>
      <c r="P829" s="852" t="n"/>
      <c r="Q829" s="852" t="n"/>
      <c r="R829" s="852" t="n"/>
      <c r="S829" s="852" t="n"/>
      <c r="T829" s="852" t="n"/>
      <c r="U829" s="852" t="n"/>
      <c r="V829" s="852" t="n"/>
      <c r="W829" s="852" t="n"/>
      <c r="X829" s="852" t="n"/>
      <c r="Y829" s="852" t="n"/>
      <c r="Z829" s="852" t="n"/>
      <c r="AA829" s="852" t="n"/>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c r="CL829" s="59" t="n"/>
      <c r="CM829" s="59" t="n"/>
      <c r="CN829" s="59" t="n"/>
    </row>
    <row r="830" ht="15" customFormat="1" customHeight="1" s="3">
      <c r="A830">
        <f>IF(C830="","",ROW()-2)</f>
        <v/>
      </c>
      <c r="B830" s="852" t="n"/>
      <c r="C830" s="852" t="n"/>
      <c r="D830">
        <f>IF(C830="TOH","Type 1",IF(C830="POH","Type 2",IF(OR(C830="LTO",C830="TOH-LC",C830="TOH - LC"),"Type 3",IF(C830="Flourish","Type 4","Type 1"))))</f>
        <v/>
      </c>
      <c r="E830" s="852" t="n"/>
      <c r="F830" s="852" t="n"/>
      <c r="G830" s="852" t="n"/>
      <c r="H830" s="888" t="n"/>
      <c r="I830" s="889" t="n"/>
      <c r="J830" s="888" t="n"/>
      <c r="K830">
        <f>SUM(H830:J830)</f>
        <v/>
      </c>
      <c r="L830" s="852" t="n"/>
      <c r="M830" s="852" t="n"/>
      <c r="N830" s="852" t="n"/>
      <c r="O830" s="852" t="n"/>
      <c r="P830" s="852" t="n"/>
      <c r="Q830" s="852" t="n"/>
      <c r="R830" s="852" t="n"/>
      <c r="S830" s="852" t="n"/>
      <c r="T830" s="852" t="n"/>
      <c r="U830" s="852" t="n"/>
      <c r="V830" s="852" t="n"/>
      <c r="W830" s="852" t="n"/>
      <c r="X830" s="852" t="n"/>
      <c r="Y830" s="852" t="n"/>
      <c r="Z830" s="852" t="n"/>
      <c r="AA830" s="852" t="n"/>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c r="CL830" s="59" t="n"/>
      <c r="CM830" s="59" t="n"/>
      <c r="CN830" s="59" t="n"/>
    </row>
    <row r="831" ht="15" customFormat="1" customHeight="1" s="3">
      <c r="A831">
        <f>IF(C831="","",ROW()-2)</f>
        <v/>
      </c>
      <c r="B831" s="852" t="n"/>
      <c r="C831" s="852" t="n"/>
      <c r="D831">
        <f>IF(C831="TOH","Type 1",IF(C831="POH","Type 2",IF(OR(C831="LTO",C831="TOH-LC",C831="TOH - LC"),"Type 3",IF(C831="Flourish","Type 4","Type 1"))))</f>
        <v/>
      </c>
      <c r="E831" s="852" t="n"/>
      <c r="F831" s="852" t="n"/>
      <c r="G831" s="852" t="n"/>
      <c r="H831" s="888" t="n"/>
      <c r="I831" s="889" t="n"/>
      <c r="J831" s="888" t="n"/>
      <c r="K831">
        <f>SUM(H831:J831)</f>
        <v/>
      </c>
      <c r="L831" s="852" t="n"/>
      <c r="M831" s="852" t="n"/>
      <c r="N831" s="852" t="n"/>
      <c r="O831" s="852" t="n"/>
      <c r="P831" s="852" t="n"/>
      <c r="Q831" s="852" t="n"/>
      <c r="R831" s="852" t="n"/>
      <c r="S831" s="852" t="n"/>
      <c r="T831" s="852" t="n"/>
      <c r="U831" s="852" t="n"/>
      <c r="V831" s="852" t="n"/>
      <c r="W831" s="852" t="n"/>
      <c r="X831" s="852" t="n"/>
      <c r="Y831" s="852" t="n"/>
      <c r="Z831" s="852" t="n"/>
      <c r="AA831" s="852" t="n"/>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c r="CL831" s="59" t="n"/>
      <c r="CM831" s="59" t="n"/>
      <c r="CN831" s="59" t="n"/>
    </row>
    <row r="832" ht="15" customFormat="1" customHeight="1" s="3">
      <c r="A832">
        <f>IF(C832="","",ROW()-2)</f>
        <v/>
      </c>
      <c r="B832" s="852" t="n"/>
      <c r="C832" s="852" t="n"/>
      <c r="D832">
        <f>IF(C832="TOH","Type 1",IF(C832="POH","Type 2",IF(OR(C832="LTO",C832="TOH-LC",C832="TOH - LC"),"Type 3",IF(C832="Flourish","Type 4","Type 1"))))</f>
        <v/>
      </c>
      <c r="E832" s="852" t="n"/>
      <c r="F832" s="852" t="n"/>
      <c r="G832" s="852" t="n"/>
      <c r="H832" s="888" t="n"/>
      <c r="I832" s="889" t="n"/>
      <c r="J832" s="888" t="n"/>
      <c r="K832">
        <f>SUM(H832:J832)</f>
        <v/>
      </c>
      <c r="L832" s="852" t="n"/>
      <c r="M832" s="852" t="n"/>
      <c r="N832" s="852" t="n"/>
      <c r="O832" s="852" t="n"/>
      <c r="P832" s="852" t="n"/>
      <c r="Q832" s="852" t="n"/>
      <c r="R832" s="852" t="n"/>
      <c r="S832" s="852" t="n"/>
      <c r="T832" s="852" t="n"/>
      <c r="U832" s="852" t="n"/>
      <c r="V832" s="852" t="n"/>
      <c r="W832" s="852" t="n"/>
      <c r="X832" s="852" t="n"/>
      <c r="Y832" s="852" t="n"/>
      <c r="Z832" s="852" t="n"/>
      <c r="AA832" s="852" t="n"/>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c r="CL832" s="59" t="n"/>
      <c r="CM832" s="59" t="n"/>
      <c r="CN832" s="59" t="n"/>
    </row>
    <row r="833" ht="15" customFormat="1" customHeight="1" s="3">
      <c r="A833">
        <f>IF(C833="","",ROW()-2)</f>
        <v/>
      </c>
      <c r="B833" s="852" t="n"/>
      <c r="C833" s="852" t="n"/>
      <c r="D833">
        <f>IF(C833="TOH","Type 1",IF(C833="POH","Type 2",IF(OR(C833="LTO",C833="TOH-LC",C833="TOH - LC"),"Type 3",IF(C833="Flourish","Type 4","Type 1"))))</f>
        <v/>
      </c>
      <c r="E833" s="852" t="n"/>
      <c r="F833" s="852" t="n"/>
      <c r="G833" s="852" t="n"/>
      <c r="H833" s="888" t="n"/>
      <c r="I833" s="889" t="n"/>
      <c r="J833" s="888" t="n"/>
      <c r="K833">
        <f>SUM(H833:J833)</f>
        <v/>
      </c>
      <c r="L833" s="852" t="n"/>
      <c r="M833" s="852" t="n"/>
      <c r="N833" s="852" t="n"/>
      <c r="O833" s="852" t="n"/>
      <c r="P833" s="852" t="n"/>
      <c r="Q833" s="852" t="n"/>
      <c r="R833" s="852" t="n"/>
      <c r="S833" s="852" t="n"/>
      <c r="T833" s="852" t="n"/>
      <c r="U833" s="852" t="n"/>
      <c r="V833" s="852" t="n"/>
      <c r="W833" s="852" t="n"/>
      <c r="X833" s="852" t="n"/>
      <c r="Y833" s="852" t="n"/>
      <c r="Z833" s="852" t="n"/>
      <c r="AA833" s="852" t="n"/>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c r="CL833" s="59" t="n"/>
      <c r="CM833" s="59" t="n"/>
      <c r="CN833" s="59" t="n"/>
    </row>
    <row r="834" ht="15" customFormat="1" customHeight="1" s="3">
      <c r="A834">
        <f>IF(C834="","",ROW()-2)</f>
        <v/>
      </c>
      <c r="B834" s="852" t="n"/>
      <c r="C834" s="852" t="n"/>
      <c r="D834">
        <f>IF(C834="TOH","Type 1",IF(C834="POH","Type 2",IF(OR(C834="LTO",C834="TOH-LC",C834="TOH - LC"),"Type 3",IF(C834="Flourish","Type 4","Type 1"))))</f>
        <v/>
      </c>
      <c r="E834" s="852" t="n"/>
      <c r="F834" s="852" t="n"/>
      <c r="G834" s="852" t="n"/>
      <c r="H834" s="888" t="n"/>
      <c r="I834" s="889" t="n"/>
      <c r="J834" s="888" t="n"/>
      <c r="K834">
        <f>SUM(H834:J834)</f>
        <v/>
      </c>
      <c r="L834" s="852" t="n"/>
      <c r="M834" s="852" t="n"/>
      <c r="N834" s="852" t="n"/>
      <c r="O834" s="852" t="n"/>
      <c r="P834" s="852" t="n"/>
      <c r="Q834" s="852" t="n"/>
      <c r="R834" s="852" t="n"/>
      <c r="S834" s="852" t="n"/>
      <c r="T834" s="852" t="n"/>
      <c r="U834" s="852" t="n"/>
      <c r="V834" s="852" t="n"/>
      <c r="W834" s="852" t="n"/>
      <c r="X834" s="852" t="n"/>
      <c r="Y834" s="852" t="n"/>
      <c r="Z834" s="852" t="n"/>
      <c r="AA834" s="852" t="n"/>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c r="CL834" s="59" t="n"/>
      <c r="CM834" s="59" t="n"/>
      <c r="CN834" s="59" t="n"/>
    </row>
    <row r="835" ht="15" customFormat="1" customHeight="1" s="3">
      <c r="A835">
        <f>IF(C835="","",ROW()-2)</f>
        <v/>
      </c>
      <c r="B835" s="852" t="n"/>
      <c r="C835" s="852" t="n"/>
      <c r="D835">
        <f>IF(C835="TOH","Type 1",IF(C835="POH","Type 2",IF(OR(C835="LTO",C835="TOH-LC",C835="TOH - LC"),"Type 3",IF(C835="Flourish","Type 4","Type 1"))))</f>
        <v/>
      </c>
      <c r="E835" s="852" t="n"/>
      <c r="F835" s="852" t="n"/>
      <c r="G835" s="852" t="n"/>
      <c r="H835" s="888" t="n"/>
      <c r="I835" s="889" t="n"/>
      <c r="J835" s="888" t="n"/>
      <c r="K835">
        <f>SUM(H835:J835)</f>
        <v/>
      </c>
      <c r="L835" s="852" t="n"/>
      <c r="M835" s="852" t="n"/>
      <c r="N835" s="852" t="n"/>
      <c r="O835" s="852" t="n"/>
      <c r="P835" s="852" t="n"/>
      <c r="Q835" s="852" t="n"/>
      <c r="R835" s="852" t="n"/>
      <c r="S835" s="852" t="n"/>
      <c r="T835" s="852" t="n"/>
      <c r="U835" s="852" t="n"/>
      <c r="V835" s="852" t="n"/>
      <c r="W835" s="852" t="n"/>
      <c r="X835" s="852" t="n"/>
      <c r="Y835" s="852" t="n"/>
      <c r="Z835" s="852" t="n"/>
      <c r="AA835" s="852" t="n"/>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c r="CL835" s="59" t="n"/>
      <c r="CM835" s="59" t="n"/>
      <c r="CN835" s="59" t="n"/>
    </row>
    <row r="836" ht="15" customFormat="1" customHeight="1" s="3">
      <c r="A836">
        <f>IF(C836="","",ROW()-2)</f>
        <v/>
      </c>
      <c r="B836" s="852" t="n"/>
      <c r="C836" s="852" t="n"/>
      <c r="D836">
        <f>IF(C836="TOH","Type 1",IF(C836="POH","Type 2",IF(OR(C836="LTO",C836="TOH-LC",C836="TOH - LC"),"Type 3",IF(C836="Flourish","Type 4","Type 1"))))</f>
        <v/>
      </c>
      <c r="E836" s="852" t="n"/>
      <c r="F836" s="852" t="n"/>
      <c r="G836" s="852" t="n"/>
      <c r="H836" s="888" t="n"/>
      <c r="I836" s="889" t="n"/>
      <c r="J836" s="888" t="n"/>
      <c r="K836">
        <f>SUM(H836:J836)</f>
        <v/>
      </c>
      <c r="L836" s="852" t="n"/>
      <c r="M836" s="852" t="n"/>
      <c r="N836" s="852" t="n"/>
      <c r="O836" s="852" t="n"/>
      <c r="P836" s="852" t="n"/>
      <c r="Q836" s="852" t="n"/>
      <c r="R836" s="852" t="n"/>
      <c r="S836" s="852" t="n"/>
      <c r="T836" s="852" t="n"/>
      <c r="U836" s="852" t="n"/>
      <c r="V836" s="852" t="n"/>
      <c r="W836" s="852" t="n"/>
      <c r="X836" s="852" t="n"/>
      <c r="Y836" s="852" t="n"/>
      <c r="Z836" s="852" t="n"/>
      <c r="AA836" s="852" t="n"/>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c r="CL836" s="59" t="n"/>
      <c r="CM836" s="59" t="n"/>
      <c r="CN836" s="59" t="n"/>
    </row>
    <row r="837" ht="15" customFormat="1" customHeight="1" s="3">
      <c r="A837">
        <f>IF(C837="","",ROW()-2)</f>
        <v/>
      </c>
      <c r="B837" s="852" t="n"/>
      <c r="C837" s="852" t="n"/>
      <c r="D837">
        <f>IF(C837="TOH","Type 1",IF(C837="POH","Type 2",IF(OR(C837="LTO",C837="TOH-LC",C837="TOH - LC"),"Type 3",IF(C837="Flourish","Type 4","Type 1"))))</f>
        <v/>
      </c>
      <c r="E837" s="852" t="n"/>
      <c r="F837" s="852" t="n"/>
      <c r="G837" s="852" t="n"/>
      <c r="H837" s="888" t="n"/>
      <c r="I837" s="889" t="n"/>
      <c r="J837" s="888" t="n"/>
      <c r="K837">
        <f>SUM(H837:J837)</f>
        <v/>
      </c>
      <c r="L837" s="852" t="n"/>
      <c r="M837" s="852" t="n"/>
      <c r="N837" s="852" t="n"/>
      <c r="O837" s="852" t="n"/>
      <c r="P837" s="852" t="n"/>
      <c r="Q837" s="852" t="n"/>
      <c r="R837" s="852" t="n"/>
      <c r="S837" s="852" t="n"/>
      <c r="T837" s="852" t="n"/>
      <c r="U837" s="852" t="n"/>
      <c r="V837" s="852" t="n"/>
      <c r="W837" s="852" t="n"/>
      <c r="X837" s="852" t="n"/>
      <c r="Y837" s="852" t="n"/>
      <c r="Z837" s="852" t="n"/>
      <c r="AA837" s="852" t="n"/>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c r="CL837" s="59" t="n"/>
      <c r="CM837" s="59" t="n"/>
      <c r="CN837" s="59" t="n"/>
    </row>
    <row r="838" ht="15" customFormat="1" customHeight="1" s="3">
      <c r="A838">
        <f>IF(C838="","",ROW()-2)</f>
        <v/>
      </c>
      <c r="B838" s="852" t="n"/>
      <c r="C838" s="852" t="n"/>
      <c r="D838">
        <f>IF(C838="TOH","Type 1",IF(C838="POH","Type 2",IF(OR(C838="LTO",C838="TOH-LC",C838="TOH - LC"),"Type 3",IF(C838="Flourish","Type 4","Type 1"))))</f>
        <v/>
      </c>
      <c r="E838" s="852" t="n"/>
      <c r="F838" s="852" t="n"/>
      <c r="G838" s="852" t="n"/>
      <c r="H838" s="888" t="n"/>
      <c r="I838" s="889" t="n"/>
      <c r="J838" s="888" t="n"/>
      <c r="K838">
        <f>SUM(H838:J838)</f>
        <v/>
      </c>
      <c r="L838" s="852" t="n"/>
      <c r="M838" s="852" t="n"/>
      <c r="N838" s="852" t="n"/>
      <c r="O838" s="852" t="n"/>
      <c r="P838" s="852" t="n"/>
      <c r="Q838" s="852" t="n"/>
      <c r="R838" s="852" t="n"/>
      <c r="S838" s="852" t="n"/>
      <c r="T838" s="852" t="n"/>
      <c r="U838" s="852" t="n"/>
      <c r="V838" s="852" t="n"/>
      <c r="W838" s="852" t="n"/>
      <c r="X838" s="852" t="n"/>
      <c r="Y838" s="852" t="n"/>
      <c r="Z838" s="852" t="n"/>
      <c r="AA838" s="852" t="n"/>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c r="CL838" s="59" t="n"/>
      <c r="CM838" s="59" t="n"/>
      <c r="CN838" s="59" t="n"/>
    </row>
    <row r="839" ht="15" customFormat="1" customHeight="1" s="3">
      <c r="A839">
        <f>IF(C839="","",ROW()-2)</f>
        <v/>
      </c>
      <c r="B839" s="852" t="n"/>
      <c r="C839" s="852" t="n"/>
      <c r="D839">
        <f>IF(C839="TOH","Type 1",IF(C839="POH","Type 2",IF(OR(C839="LTO",C839="TOH-LC",C839="TOH - LC"),"Type 3",IF(C839="Flourish","Type 4","Type 1"))))</f>
        <v/>
      </c>
      <c r="E839" s="852" t="n"/>
      <c r="F839" s="852" t="n"/>
      <c r="G839" s="852" t="n"/>
      <c r="H839" s="888" t="n"/>
      <c r="I839" s="889" t="n"/>
      <c r="J839" s="888" t="n"/>
      <c r="K839">
        <f>SUM(H839:J839)</f>
        <v/>
      </c>
      <c r="L839" s="852" t="n"/>
      <c r="M839" s="852" t="n"/>
      <c r="N839" s="852" t="n"/>
      <c r="O839" s="852" t="n"/>
      <c r="P839" s="852" t="n"/>
      <c r="Q839" s="852" t="n"/>
      <c r="R839" s="852" t="n"/>
      <c r="S839" s="852" t="n"/>
      <c r="T839" s="852" t="n"/>
      <c r="U839" s="852" t="n"/>
      <c r="V839" s="852" t="n"/>
      <c r="W839" s="852" t="n"/>
      <c r="X839" s="852" t="n"/>
      <c r="Y839" s="852" t="n"/>
      <c r="Z839" s="852" t="n"/>
      <c r="AA839" s="852" t="n"/>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c r="CL839" s="59" t="n"/>
      <c r="CM839" s="59" t="n"/>
      <c r="CN839" s="59" t="n"/>
    </row>
    <row r="840" ht="15" customFormat="1" customHeight="1" s="3">
      <c r="A840">
        <f>IF(C840="","",ROW()-2)</f>
        <v/>
      </c>
      <c r="B840" s="852" t="n"/>
      <c r="C840" s="852" t="n"/>
      <c r="D840">
        <f>IF(C840="TOH","Type 1",IF(C840="POH","Type 2",IF(OR(C840="LTO",C840="TOH-LC",C840="TOH - LC"),"Type 3",IF(C840="Flourish","Type 4","Type 1"))))</f>
        <v/>
      </c>
      <c r="E840" s="852" t="n"/>
      <c r="F840" s="852" t="n"/>
      <c r="G840" s="852" t="n"/>
      <c r="H840" s="888" t="n"/>
      <c r="I840" s="889" t="n"/>
      <c r="J840" s="888" t="n"/>
      <c r="K840">
        <f>SUM(H840:J840)</f>
        <v/>
      </c>
      <c r="L840" s="852" t="n"/>
      <c r="M840" s="852" t="n"/>
      <c r="N840" s="852" t="n"/>
      <c r="O840" s="852" t="n"/>
      <c r="P840" s="852" t="n"/>
      <c r="Q840" s="852" t="n"/>
      <c r="R840" s="852" t="n"/>
      <c r="S840" s="852" t="n"/>
      <c r="T840" s="852" t="n"/>
      <c r="U840" s="852" t="n"/>
      <c r="V840" s="852" t="n"/>
      <c r="W840" s="852" t="n"/>
      <c r="X840" s="852" t="n"/>
      <c r="Y840" s="852" t="n"/>
      <c r="Z840" s="852" t="n"/>
      <c r="AA840" s="852" t="n"/>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c r="CL840" s="59" t="n"/>
      <c r="CM840" s="59" t="n"/>
      <c r="CN840" s="59" t="n"/>
    </row>
    <row r="841" ht="15" customFormat="1" customHeight="1" s="3">
      <c r="A841">
        <f>IF(C841="","",ROW()-2)</f>
        <v/>
      </c>
      <c r="B841" s="852" t="n"/>
      <c r="C841" s="852" t="n"/>
      <c r="D841">
        <f>IF(C841="TOH","Type 1",IF(C841="POH","Type 2",IF(OR(C841="LTO",C841="TOH-LC",C841="TOH - LC"),"Type 3",IF(C841="Flourish","Type 4","Type 1"))))</f>
        <v/>
      </c>
      <c r="E841" s="852" t="n"/>
      <c r="F841" s="852" t="n"/>
      <c r="G841" s="852" t="n"/>
      <c r="H841" s="888" t="n"/>
      <c r="I841" s="889" t="n"/>
      <c r="J841" s="888" t="n"/>
      <c r="K841">
        <f>SUM(H841:J841)</f>
        <v/>
      </c>
      <c r="L841" s="852" t="n"/>
      <c r="M841" s="852" t="n"/>
      <c r="N841" s="852" t="n"/>
      <c r="O841" s="852" t="n"/>
      <c r="P841" s="852" t="n"/>
      <c r="Q841" s="852" t="n"/>
      <c r="R841" s="852" t="n"/>
      <c r="S841" s="852" t="n"/>
      <c r="T841" s="852" t="n"/>
      <c r="U841" s="852" t="n"/>
      <c r="V841" s="852" t="n"/>
      <c r="W841" s="852" t="n"/>
      <c r="X841" s="852" t="n"/>
      <c r="Y841" s="852" t="n"/>
      <c r="Z841" s="852" t="n"/>
      <c r="AA841" s="852" t="n"/>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c r="CL841" s="59" t="n"/>
      <c r="CM841" s="59" t="n"/>
      <c r="CN841" s="59" t="n"/>
    </row>
    <row r="842" ht="15" customFormat="1" customHeight="1" s="3">
      <c r="A842">
        <f>IF(C842="","",ROW()-2)</f>
        <v/>
      </c>
      <c r="B842" s="852" t="n"/>
      <c r="C842" s="852" t="n"/>
      <c r="D842">
        <f>IF(C842="TOH","Type 1",IF(C842="POH","Type 2",IF(OR(C842="LTO",C842="TOH-LC",C842="TOH - LC"),"Type 3",IF(C842="Flourish","Type 4","Type 1"))))</f>
        <v/>
      </c>
      <c r="E842" s="852" t="n"/>
      <c r="F842" s="852" t="n"/>
      <c r="G842" s="852" t="n"/>
      <c r="H842" s="888" t="n"/>
      <c r="I842" s="889" t="n"/>
      <c r="J842" s="888" t="n"/>
      <c r="K842">
        <f>SUM(H842:J842)</f>
        <v/>
      </c>
      <c r="L842" s="852" t="n"/>
      <c r="M842" s="852" t="n"/>
      <c r="N842" s="852" t="n"/>
      <c r="O842" s="852" t="n"/>
      <c r="P842" s="852" t="n"/>
      <c r="Q842" s="852" t="n"/>
      <c r="R842" s="852" t="n"/>
      <c r="S842" s="852" t="n"/>
      <c r="T842" s="852" t="n"/>
      <c r="U842" s="852" t="n"/>
      <c r="V842" s="852" t="n"/>
      <c r="W842" s="852" t="n"/>
      <c r="X842" s="852" t="n"/>
      <c r="Y842" s="852" t="n"/>
      <c r="Z842" s="852" t="n"/>
      <c r="AA842" s="852" t="n"/>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c r="CL842" s="59" t="n"/>
      <c r="CM842" s="59" t="n"/>
      <c r="CN842" s="59" t="n"/>
    </row>
    <row r="843" ht="15" customFormat="1" customHeight="1" s="3">
      <c r="A843">
        <f>IF(C843="","",ROW()-2)</f>
        <v/>
      </c>
      <c r="B843" s="852" t="n"/>
      <c r="C843" s="852" t="n"/>
      <c r="D843">
        <f>IF(C843="TOH","Type 1",IF(C843="POH","Type 2",IF(OR(C843="LTO",C843="TOH-LC",C843="TOH - LC"),"Type 3",IF(C843="Flourish","Type 4","Type 1"))))</f>
        <v/>
      </c>
      <c r="E843" s="852" t="n"/>
      <c r="F843" s="852" t="n"/>
      <c r="G843" s="852" t="n"/>
      <c r="H843" s="888" t="n"/>
      <c r="I843" s="889" t="n"/>
      <c r="J843" s="888" t="n"/>
      <c r="K843">
        <f>SUM(H843:J843)</f>
        <v/>
      </c>
      <c r="L843" s="852" t="n"/>
      <c r="M843" s="852" t="n"/>
      <c r="N843" s="852" t="n"/>
      <c r="O843" s="852" t="n"/>
      <c r="P843" s="852" t="n"/>
      <c r="Q843" s="852" t="n"/>
      <c r="R843" s="852" t="n"/>
      <c r="S843" s="852" t="n"/>
      <c r="T843" s="852" t="n"/>
      <c r="U843" s="852" t="n"/>
      <c r="V843" s="852" t="n"/>
      <c r="W843" s="852" t="n"/>
      <c r="X843" s="852" t="n"/>
      <c r="Y843" s="852" t="n"/>
      <c r="Z843" s="852" t="n"/>
      <c r="AA843" s="852" t="n"/>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c r="CL843" s="59" t="n"/>
      <c r="CM843" s="59" t="n"/>
      <c r="CN843" s="59" t="n"/>
    </row>
    <row r="844" ht="15" customFormat="1" customHeight="1" s="3">
      <c r="A844">
        <f>IF(C844="","",ROW()-2)</f>
        <v/>
      </c>
      <c r="B844" s="852" t="n"/>
      <c r="C844" s="852" t="n"/>
      <c r="D844">
        <f>IF(C844="TOH","Type 1",IF(C844="POH","Type 2",IF(OR(C844="LTO",C844="TOH-LC",C844="TOH - LC"),"Type 3",IF(C844="Flourish","Type 4","Type 1"))))</f>
        <v/>
      </c>
      <c r="E844" s="852" t="n"/>
      <c r="F844" s="852" t="n"/>
      <c r="G844" s="852" t="n"/>
      <c r="H844" s="888" t="n"/>
      <c r="I844" s="889" t="n"/>
      <c r="J844" s="888" t="n"/>
      <c r="K844">
        <f>SUM(H844:J844)</f>
        <v/>
      </c>
      <c r="L844" s="852" t="n"/>
      <c r="M844" s="852" t="n"/>
      <c r="N844" s="852" t="n"/>
      <c r="O844" s="852" t="n"/>
      <c r="P844" s="852" t="n"/>
      <c r="Q844" s="852" t="n"/>
      <c r="R844" s="852" t="n"/>
      <c r="S844" s="852" t="n"/>
      <c r="T844" s="852" t="n"/>
      <c r="U844" s="852" t="n"/>
      <c r="V844" s="852" t="n"/>
      <c r="W844" s="852" t="n"/>
      <c r="X844" s="852" t="n"/>
      <c r="Y844" s="852" t="n"/>
      <c r="Z844" s="852" t="n"/>
      <c r="AA844" s="852" t="n"/>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c r="CL844" s="59" t="n"/>
      <c r="CM844" s="59" t="n"/>
      <c r="CN844" s="59" t="n"/>
    </row>
    <row r="845" ht="15" customFormat="1" customHeight="1" s="3">
      <c r="A845">
        <f>IF(C845="","",ROW()-2)</f>
        <v/>
      </c>
      <c r="B845" s="852" t="n"/>
      <c r="C845" s="852" t="n"/>
      <c r="D845">
        <f>IF(C845="TOH","Type 1",IF(C845="POH","Type 2",IF(OR(C845="LTO",C845="TOH-LC",C845="TOH - LC"),"Type 3",IF(C845="Flourish","Type 4","Type 1"))))</f>
        <v/>
      </c>
      <c r="E845" s="852" t="n"/>
      <c r="F845" s="852" t="n"/>
      <c r="G845" s="852" t="n"/>
      <c r="H845" s="888" t="n"/>
      <c r="I845" s="889" t="n"/>
      <c r="J845" s="888" t="n"/>
      <c r="K845">
        <f>SUM(H845:J845)</f>
        <v/>
      </c>
      <c r="L845" s="852" t="n"/>
      <c r="M845" s="852" t="n"/>
      <c r="N845" s="852" t="n"/>
      <c r="O845" s="852" t="n"/>
      <c r="P845" s="852" t="n"/>
      <c r="Q845" s="852" t="n"/>
      <c r="R845" s="852" t="n"/>
      <c r="S845" s="852" t="n"/>
      <c r="T845" s="852" t="n"/>
      <c r="U845" s="852" t="n"/>
      <c r="V845" s="852" t="n"/>
      <c r="W845" s="852" t="n"/>
      <c r="X845" s="852" t="n"/>
      <c r="Y845" s="852" t="n"/>
      <c r="Z845" s="852" t="n"/>
      <c r="AA845" s="852" t="n"/>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c r="CL845" s="59" t="n"/>
      <c r="CM845" s="59" t="n"/>
      <c r="CN845" s="59" t="n"/>
    </row>
    <row r="846" ht="15" customFormat="1" customHeight="1" s="3">
      <c r="A846">
        <f>IF(C846="","",ROW()-2)</f>
        <v/>
      </c>
      <c r="B846" s="852" t="n"/>
      <c r="C846" s="852" t="n"/>
      <c r="D846">
        <f>IF(C846="TOH","Type 1",IF(C846="POH","Type 2",IF(OR(C846="LTO",C846="TOH-LC",C846="TOH - LC"),"Type 3",IF(C846="Flourish","Type 4","Type 1"))))</f>
        <v/>
      </c>
      <c r="E846" s="852" t="n"/>
      <c r="F846" s="852" t="n"/>
      <c r="G846" s="852" t="n"/>
      <c r="H846" s="888" t="n"/>
      <c r="I846" s="889" t="n"/>
      <c r="J846" s="888" t="n"/>
      <c r="K846">
        <f>SUM(H846:J846)</f>
        <v/>
      </c>
      <c r="L846" s="852" t="n"/>
      <c r="M846" s="852" t="n"/>
      <c r="N846" s="852" t="n"/>
      <c r="O846" s="852" t="n"/>
      <c r="P846" s="852" t="n"/>
      <c r="Q846" s="852" t="n"/>
      <c r="R846" s="852" t="n"/>
      <c r="S846" s="852" t="n"/>
      <c r="T846" s="852" t="n"/>
      <c r="U846" s="852" t="n"/>
      <c r="V846" s="852" t="n"/>
      <c r="W846" s="852" t="n"/>
      <c r="X846" s="852" t="n"/>
      <c r="Y846" s="852" t="n"/>
      <c r="Z846" s="852" t="n"/>
      <c r="AA846" s="852" t="n"/>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c r="CL846" s="59" t="n"/>
      <c r="CM846" s="59" t="n"/>
      <c r="CN846" s="59" t="n"/>
    </row>
    <row r="847" ht="15" customFormat="1" customHeight="1" s="3">
      <c r="A847">
        <f>IF(C847="","",ROW()-2)</f>
        <v/>
      </c>
      <c r="B847" s="852" t="n"/>
      <c r="C847" s="852" t="n"/>
      <c r="D847">
        <f>IF(C847="TOH","Type 1",IF(C847="POH","Type 2",IF(OR(C847="LTO",C847="TOH-LC",C847="TOH - LC"),"Type 3",IF(C847="Flourish","Type 4","Type 1"))))</f>
        <v/>
      </c>
      <c r="E847" s="852" t="n"/>
      <c r="F847" s="852" t="n"/>
      <c r="G847" s="852" t="n"/>
      <c r="H847" s="888" t="n"/>
      <c r="I847" s="889" t="n"/>
      <c r="J847" s="888" t="n"/>
      <c r="K847">
        <f>SUM(H847:J847)</f>
        <v/>
      </c>
      <c r="L847" s="852" t="n"/>
      <c r="M847" s="852" t="n"/>
      <c r="N847" s="852" t="n"/>
      <c r="O847" s="852" t="n"/>
      <c r="P847" s="852" t="n"/>
      <c r="Q847" s="852" t="n"/>
      <c r="R847" s="852" t="n"/>
      <c r="S847" s="852" t="n"/>
      <c r="T847" s="852" t="n"/>
      <c r="U847" s="852" t="n"/>
      <c r="V847" s="852" t="n"/>
      <c r="W847" s="852" t="n"/>
      <c r="X847" s="852" t="n"/>
      <c r="Y847" s="852" t="n"/>
      <c r="Z847" s="852" t="n"/>
      <c r="AA847" s="852" t="n"/>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c r="CL847" s="59" t="n"/>
      <c r="CM847" s="59" t="n"/>
      <c r="CN847" s="59" t="n"/>
    </row>
    <row r="848" ht="15" customFormat="1" customHeight="1" s="3">
      <c r="A848">
        <f>IF(C848="","",ROW()-2)</f>
        <v/>
      </c>
      <c r="B848" s="852" t="n"/>
      <c r="C848" s="852" t="n"/>
      <c r="D848">
        <f>IF(C848="TOH","Type 1",IF(C848="POH","Type 2",IF(OR(C848="LTO",C848="TOH-LC",C848="TOH - LC"),"Type 3",IF(C848="Flourish","Type 4","Type 1"))))</f>
        <v/>
      </c>
      <c r="E848" s="852" t="n"/>
      <c r="F848" s="852" t="n"/>
      <c r="G848" s="852" t="n"/>
      <c r="H848" s="888" t="n"/>
      <c r="I848" s="889" t="n"/>
      <c r="J848" s="888" t="n"/>
      <c r="K848">
        <f>SUM(H848:J848)</f>
        <v/>
      </c>
      <c r="L848" s="852" t="n"/>
      <c r="M848" s="852" t="n"/>
      <c r="N848" s="852" t="n"/>
      <c r="O848" s="852" t="n"/>
      <c r="P848" s="852" t="n"/>
      <c r="Q848" s="852" t="n"/>
      <c r="R848" s="852" t="n"/>
      <c r="S848" s="852" t="n"/>
      <c r="T848" s="852" t="n"/>
      <c r="U848" s="852" t="n"/>
      <c r="V848" s="852" t="n"/>
      <c r="W848" s="852" t="n"/>
      <c r="X848" s="852" t="n"/>
      <c r="Y848" s="852" t="n"/>
      <c r="Z848" s="852" t="n"/>
      <c r="AA848" s="852" t="n"/>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c r="CL848" s="59" t="n"/>
      <c r="CM848" s="59" t="n"/>
      <c r="CN848" s="59" t="n"/>
    </row>
    <row r="849" ht="15" customFormat="1" customHeight="1" s="3">
      <c r="A849">
        <f>IF(C849="","",ROW()-2)</f>
        <v/>
      </c>
      <c r="B849" s="852" t="n"/>
      <c r="C849" s="852" t="n"/>
      <c r="D849">
        <f>IF(C849="TOH","Type 1",IF(C849="POH","Type 2",IF(OR(C849="LTO",C849="TOH-LC",C849="TOH - LC"),"Type 3",IF(C849="Flourish","Type 4","Type 1"))))</f>
        <v/>
      </c>
      <c r="E849" s="852" t="n"/>
      <c r="F849" s="852" t="n"/>
      <c r="G849" s="852" t="n"/>
      <c r="H849" s="888" t="n"/>
      <c r="I849" s="889" t="n"/>
      <c r="J849" s="888" t="n"/>
      <c r="K849">
        <f>SUM(H849:J849)</f>
        <v/>
      </c>
      <c r="L849" s="852" t="n"/>
      <c r="M849" s="852" t="n"/>
      <c r="N849" s="852" t="n"/>
      <c r="O849" s="852" t="n"/>
      <c r="P849" s="852" t="n"/>
      <c r="Q849" s="852" t="n"/>
      <c r="R849" s="852" t="n"/>
      <c r="S849" s="852" t="n"/>
      <c r="T849" s="852" t="n"/>
      <c r="U849" s="852" t="n"/>
      <c r="V849" s="852" t="n"/>
      <c r="W849" s="852" t="n"/>
      <c r="X849" s="852" t="n"/>
      <c r="Y849" s="852" t="n"/>
      <c r="Z849" s="852" t="n"/>
      <c r="AA849" s="852" t="n"/>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c r="CL849" s="59" t="n"/>
      <c r="CM849" s="59" t="n"/>
      <c r="CN849" s="59" t="n"/>
    </row>
    <row r="850" ht="15" customFormat="1" customHeight="1" s="3">
      <c r="A850">
        <f>IF(C850="","",ROW()-2)</f>
        <v/>
      </c>
      <c r="B850" s="852" t="n"/>
      <c r="C850" s="852" t="n"/>
      <c r="D850">
        <f>IF(C850="TOH","Type 1",IF(C850="POH","Type 2",IF(OR(C850="LTO",C850="TOH-LC",C850="TOH - LC"),"Type 3",IF(C850="Flourish","Type 4","Type 1"))))</f>
        <v/>
      </c>
      <c r="E850" s="852" t="n"/>
      <c r="F850" s="852" t="n"/>
      <c r="G850" s="852" t="n"/>
      <c r="H850" s="888" t="n"/>
      <c r="I850" s="889" t="n"/>
      <c r="J850" s="888" t="n"/>
      <c r="K850">
        <f>SUM(H850:J850)</f>
        <v/>
      </c>
      <c r="L850" s="852" t="n"/>
      <c r="M850" s="852" t="n"/>
      <c r="N850" s="852" t="n"/>
      <c r="O850" s="852" t="n"/>
      <c r="P850" s="852" t="n"/>
      <c r="Q850" s="852" t="n"/>
      <c r="R850" s="852" t="n"/>
      <c r="S850" s="852" t="n"/>
      <c r="T850" s="852" t="n"/>
      <c r="U850" s="852" t="n"/>
      <c r="V850" s="852" t="n"/>
      <c r="W850" s="852" t="n"/>
      <c r="X850" s="852" t="n"/>
      <c r="Y850" s="852" t="n"/>
      <c r="Z850" s="852" t="n"/>
      <c r="AA850" s="852" t="n"/>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c r="CL850" s="59" t="n"/>
      <c r="CM850" s="59" t="n"/>
      <c r="CN850" s="59" t="n"/>
    </row>
    <row r="851" ht="15" customFormat="1" customHeight="1" s="3">
      <c r="A851">
        <f>IF(C851="","",ROW()-2)</f>
        <v/>
      </c>
      <c r="B851" s="852" t="n"/>
      <c r="C851" s="852" t="n"/>
      <c r="D851">
        <f>IF(C851="TOH","Type 1",IF(C851="POH","Type 2",IF(OR(C851="LTO",C851="TOH-LC",C851="TOH - LC"),"Type 3",IF(C851="Flourish","Type 4","Type 1"))))</f>
        <v/>
      </c>
      <c r="E851" s="852" t="n"/>
      <c r="F851" s="852" t="n"/>
      <c r="G851" s="852" t="n"/>
      <c r="H851" s="888" t="n"/>
      <c r="I851" s="889" t="n"/>
      <c r="J851" s="888" t="n"/>
      <c r="K851">
        <f>SUM(H851:J851)</f>
        <v/>
      </c>
      <c r="L851" s="852" t="n"/>
      <c r="M851" s="852" t="n"/>
      <c r="N851" s="852" t="n"/>
      <c r="O851" s="852" t="n"/>
      <c r="P851" s="852" t="n"/>
      <c r="Q851" s="852" t="n"/>
      <c r="R851" s="852" t="n"/>
      <c r="S851" s="852" t="n"/>
      <c r="T851" s="852" t="n"/>
      <c r="U851" s="852" t="n"/>
      <c r="V851" s="852" t="n"/>
      <c r="W851" s="852" t="n"/>
      <c r="X851" s="852" t="n"/>
      <c r="Y851" s="852" t="n"/>
      <c r="Z851" s="852" t="n"/>
      <c r="AA851" s="852" t="n"/>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c r="CL851" s="59" t="n"/>
      <c r="CM851" s="59" t="n"/>
      <c r="CN851" s="59" t="n"/>
    </row>
    <row r="852" ht="15" customFormat="1" customHeight="1" s="3">
      <c r="A852">
        <f>IF(C852="","",ROW()-2)</f>
        <v/>
      </c>
      <c r="B852" s="852" t="n"/>
      <c r="C852" s="852" t="n"/>
      <c r="D852">
        <f>IF(C852="TOH","Type 1",IF(C852="POH","Type 2",IF(OR(C852="LTO",C852="TOH-LC",C852="TOH - LC"),"Type 3",IF(C852="Flourish","Type 4","Type 1"))))</f>
        <v/>
      </c>
      <c r="E852" s="852" t="n"/>
      <c r="F852" s="852" t="n"/>
      <c r="G852" s="852" t="n"/>
      <c r="H852" s="888" t="n"/>
      <c r="I852" s="889" t="n"/>
      <c r="J852" s="888" t="n"/>
      <c r="K852">
        <f>SUM(H852:J852)</f>
        <v/>
      </c>
      <c r="L852" s="852" t="n"/>
      <c r="M852" s="852" t="n"/>
      <c r="N852" s="852" t="n"/>
      <c r="O852" s="852" t="n"/>
      <c r="P852" s="852" t="n"/>
      <c r="Q852" s="852" t="n"/>
      <c r="R852" s="852" t="n"/>
      <c r="S852" s="852" t="n"/>
      <c r="T852" s="852" t="n"/>
      <c r="U852" s="852" t="n"/>
      <c r="V852" s="852" t="n"/>
      <c r="W852" s="852" t="n"/>
      <c r="X852" s="852" t="n"/>
      <c r="Y852" s="852" t="n"/>
      <c r="Z852" s="852" t="n"/>
      <c r="AA852" s="852" t="n"/>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c r="CL852" s="59" t="n"/>
      <c r="CM852" s="59" t="n"/>
      <c r="CN852" s="59" t="n"/>
    </row>
    <row r="853" ht="15" customFormat="1" customHeight="1" s="3">
      <c r="A853">
        <f>IF(C853="","",ROW()-2)</f>
        <v/>
      </c>
      <c r="B853" s="852" t="n"/>
      <c r="C853" s="852" t="n"/>
      <c r="D853">
        <f>IF(C853="TOH","Type 1",IF(C853="POH","Type 2",IF(OR(C853="LTO",C853="TOH-LC",C853="TOH - LC"),"Type 3",IF(C853="Flourish","Type 4","Type 1"))))</f>
        <v/>
      </c>
      <c r="E853" s="852" t="n"/>
      <c r="F853" s="852" t="n"/>
      <c r="G853" s="852" t="n"/>
      <c r="H853" s="888" t="n"/>
      <c r="I853" s="889" t="n"/>
      <c r="J853" s="888" t="n"/>
      <c r="K853">
        <f>SUM(H853:J853)</f>
        <v/>
      </c>
      <c r="L853" s="852" t="n"/>
      <c r="M853" s="852" t="n"/>
      <c r="N853" s="852" t="n"/>
      <c r="O853" s="852" t="n"/>
      <c r="P853" s="852" t="n"/>
      <c r="Q853" s="852" t="n"/>
      <c r="R853" s="852" t="n"/>
      <c r="S853" s="852" t="n"/>
      <c r="T853" s="852" t="n"/>
      <c r="U853" s="852" t="n"/>
      <c r="V853" s="852" t="n"/>
      <c r="W853" s="852" t="n"/>
      <c r="X853" s="852" t="n"/>
      <c r="Y853" s="852" t="n"/>
      <c r="Z853" s="852" t="n"/>
      <c r="AA853" s="852" t="n"/>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c r="CL853" s="59" t="n"/>
      <c r="CM853" s="59" t="n"/>
      <c r="CN853" s="59" t="n"/>
    </row>
    <row r="854" ht="15" customFormat="1" customHeight="1" s="3">
      <c r="A854">
        <f>IF(C854="","",ROW()-2)</f>
        <v/>
      </c>
      <c r="B854" s="852" t="n"/>
      <c r="C854" s="852" t="n"/>
      <c r="D854">
        <f>IF(C854="TOH","Type 1",IF(C854="POH","Type 2",IF(OR(C854="LTO",C854="TOH-LC",C854="TOH - LC"),"Type 3",IF(C854="Flourish","Type 4","Type 1"))))</f>
        <v/>
      </c>
      <c r="E854" s="852" t="n"/>
      <c r="F854" s="852" t="n"/>
      <c r="G854" s="852" t="n"/>
      <c r="H854" s="888" t="n"/>
      <c r="I854" s="889" t="n"/>
      <c r="J854" s="888" t="n"/>
      <c r="K854">
        <f>SUM(H854:J854)</f>
        <v/>
      </c>
      <c r="L854" s="852" t="n"/>
      <c r="M854" s="852" t="n"/>
      <c r="N854" s="852" t="n"/>
      <c r="O854" s="852" t="n"/>
      <c r="P854" s="852" t="n"/>
      <c r="Q854" s="852" t="n"/>
      <c r="R854" s="852" t="n"/>
      <c r="S854" s="852" t="n"/>
      <c r="T854" s="852" t="n"/>
      <c r="U854" s="852" t="n"/>
      <c r="V854" s="852" t="n"/>
      <c r="W854" s="852" t="n"/>
      <c r="X854" s="852" t="n"/>
      <c r="Y854" s="852" t="n"/>
      <c r="Z854" s="852" t="n"/>
      <c r="AA854" s="852" t="n"/>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c r="CL854" s="59" t="n"/>
      <c r="CM854" s="59" t="n"/>
      <c r="CN854" s="59" t="n"/>
    </row>
    <row r="855" ht="15" customFormat="1" customHeight="1" s="3">
      <c r="A855">
        <f>IF(C855="","",ROW()-2)</f>
        <v/>
      </c>
      <c r="B855" s="852" t="n"/>
      <c r="C855" s="852" t="n"/>
      <c r="D855">
        <f>IF(C855="TOH","Type 1",IF(C855="POH","Type 2",IF(OR(C855="LTO",C855="TOH-LC",C855="TOH - LC"),"Type 3",IF(C855="Flourish","Type 4","Type 1"))))</f>
        <v/>
      </c>
      <c r="E855" s="852" t="n"/>
      <c r="F855" s="852" t="n"/>
      <c r="G855" s="852" t="n"/>
      <c r="H855" s="888" t="n"/>
      <c r="I855" s="889" t="n"/>
      <c r="J855" s="888" t="n"/>
      <c r="K855">
        <f>SUM(H855:J855)</f>
        <v/>
      </c>
      <c r="L855" s="852" t="n"/>
      <c r="M855" s="852" t="n"/>
      <c r="N855" s="852" t="n"/>
      <c r="O855" s="852" t="n"/>
      <c r="P855" s="852" t="n"/>
      <c r="Q855" s="852" t="n"/>
      <c r="R855" s="852" t="n"/>
      <c r="S855" s="852" t="n"/>
      <c r="T855" s="852" t="n"/>
      <c r="U855" s="852" t="n"/>
      <c r="V855" s="852" t="n"/>
      <c r="W855" s="852" t="n"/>
      <c r="X855" s="852" t="n"/>
      <c r="Y855" s="852" t="n"/>
      <c r="Z855" s="852" t="n"/>
      <c r="AA855" s="852" t="n"/>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c r="CL855" s="59" t="n"/>
      <c r="CM855" s="59" t="n"/>
      <c r="CN855" s="59" t="n"/>
    </row>
    <row r="856" ht="15" customFormat="1" customHeight="1" s="3">
      <c r="A856">
        <f>IF(C856="","",ROW()-2)</f>
        <v/>
      </c>
      <c r="B856" s="852" t="n"/>
      <c r="C856" s="852" t="n"/>
      <c r="D856">
        <f>IF(C856="TOH","Type 1",IF(C856="POH","Type 2",IF(OR(C856="LTO",C856="TOH-LC",C856="TOH - LC"),"Type 3",IF(C856="Flourish","Type 4","Type 1"))))</f>
        <v/>
      </c>
      <c r="E856" s="852" t="n"/>
      <c r="F856" s="852" t="n"/>
      <c r="G856" s="852" t="n"/>
      <c r="H856" s="888" t="n"/>
      <c r="I856" s="889" t="n"/>
      <c r="J856" s="888" t="n"/>
      <c r="K856">
        <f>SUM(H856:J856)</f>
        <v/>
      </c>
      <c r="L856" s="852" t="n"/>
      <c r="M856" s="852" t="n"/>
      <c r="N856" s="852" t="n"/>
      <c r="O856" s="852" t="n"/>
      <c r="P856" s="852" t="n"/>
      <c r="Q856" s="852" t="n"/>
      <c r="R856" s="852" t="n"/>
      <c r="S856" s="852" t="n"/>
      <c r="T856" s="852" t="n"/>
      <c r="U856" s="852" t="n"/>
      <c r="V856" s="852" t="n"/>
      <c r="W856" s="852" t="n"/>
      <c r="X856" s="852" t="n"/>
      <c r="Y856" s="852" t="n"/>
      <c r="Z856" s="852" t="n"/>
      <c r="AA856" s="852" t="n"/>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c r="CL856" s="59" t="n"/>
      <c r="CM856" s="59" t="n"/>
      <c r="CN856" s="59" t="n"/>
    </row>
    <row r="857" ht="15" customFormat="1" customHeight="1" s="3">
      <c r="A857">
        <f>IF(C857="","",ROW()-2)</f>
        <v/>
      </c>
      <c r="B857" s="852" t="n"/>
      <c r="C857" s="852" t="n"/>
      <c r="D857">
        <f>IF(C857="TOH","Type 1",IF(C857="POH","Type 2",IF(OR(C857="LTO",C857="TOH-LC",C857="TOH - LC"),"Type 3",IF(C857="Flourish","Type 4","Type 1"))))</f>
        <v/>
      </c>
      <c r="E857" s="852" t="n"/>
      <c r="F857" s="852" t="n"/>
      <c r="G857" s="852" t="n"/>
      <c r="H857" s="888" t="n"/>
      <c r="I857" s="889" t="n"/>
      <c r="J857" s="888" t="n"/>
      <c r="K857">
        <f>SUM(H857:J857)</f>
        <v/>
      </c>
      <c r="L857" s="852" t="n"/>
      <c r="M857" s="852" t="n"/>
      <c r="N857" s="852" t="n"/>
      <c r="O857" s="852" t="n"/>
      <c r="P857" s="852" t="n"/>
      <c r="Q857" s="852" t="n"/>
      <c r="R857" s="852" t="n"/>
      <c r="S857" s="852" t="n"/>
      <c r="T857" s="852" t="n"/>
      <c r="U857" s="852" t="n"/>
      <c r="V857" s="852" t="n"/>
      <c r="W857" s="852" t="n"/>
      <c r="X857" s="852" t="n"/>
      <c r="Y857" s="852" t="n"/>
      <c r="Z857" s="852" t="n"/>
      <c r="AA857" s="852" t="n"/>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c r="CL857" s="59" t="n"/>
      <c r="CM857" s="59" t="n"/>
      <c r="CN857" s="59" t="n"/>
    </row>
    <row r="858" ht="15" customFormat="1" customHeight="1" s="3">
      <c r="A858">
        <f>IF(C858="","",ROW()-2)</f>
        <v/>
      </c>
      <c r="B858" s="852" t="n"/>
      <c r="C858" s="852" t="n"/>
      <c r="D858">
        <f>IF(C858="TOH","Type 1",IF(C858="POH","Type 2",IF(OR(C858="LTO",C858="TOH-LC",C858="TOH - LC"),"Type 3",IF(C858="Flourish","Type 4","Type 1"))))</f>
        <v/>
      </c>
      <c r="E858" s="852" t="n"/>
      <c r="F858" s="852" t="n"/>
      <c r="G858" s="852" t="n"/>
      <c r="H858" s="888" t="n"/>
      <c r="I858" s="889" t="n"/>
      <c r="J858" s="888" t="n"/>
      <c r="K858">
        <f>SUM(H858:J858)</f>
        <v/>
      </c>
      <c r="L858" s="852" t="n"/>
      <c r="M858" s="852" t="n"/>
      <c r="N858" s="852" t="n"/>
      <c r="O858" s="852" t="n"/>
      <c r="P858" s="852" t="n"/>
      <c r="Q858" s="852" t="n"/>
      <c r="R858" s="852" t="n"/>
      <c r="S858" s="852" t="n"/>
      <c r="T858" s="852" t="n"/>
      <c r="U858" s="852" t="n"/>
      <c r="V858" s="852" t="n"/>
      <c r="W858" s="852" t="n"/>
      <c r="X858" s="852" t="n"/>
      <c r="Y858" s="852" t="n"/>
      <c r="Z858" s="852" t="n"/>
      <c r="AA858" s="852" t="n"/>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c r="CL858" s="59" t="n"/>
      <c r="CM858" s="59" t="n"/>
      <c r="CN858" s="59" t="n"/>
    </row>
    <row r="859" ht="15" customFormat="1" customHeight="1" s="3">
      <c r="A859">
        <f>IF(C859="","",ROW()-2)</f>
        <v/>
      </c>
      <c r="B859" s="852" t="n"/>
      <c r="C859" s="852" t="n"/>
      <c r="D859">
        <f>IF(C859="TOH","Type 1",IF(C859="POH","Type 2",IF(OR(C859="LTO",C859="TOH-LC",C859="TOH - LC"),"Type 3",IF(C859="Flourish","Type 4","Type 1"))))</f>
        <v/>
      </c>
      <c r="E859" s="852" t="n"/>
      <c r="F859" s="852" t="n"/>
      <c r="G859" s="852" t="n"/>
      <c r="H859" s="888" t="n"/>
      <c r="I859" s="889" t="n"/>
      <c r="J859" s="888" t="n"/>
      <c r="K859">
        <f>SUM(H859:J859)</f>
        <v/>
      </c>
      <c r="L859" s="852" t="n"/>
      <c r="M859" s="852" t="n"/>
      <c r="N859" s="852" t="n"/>
      <c r="O859" s="852" t="n"/>
      <c r="P859" s="852" t="n"/>
      <c r="Q859" s="852" t="n"/>
      <c r="R859" s="852" t="n"/>
      <c r="S859" s="852" t="n"/>
      <c r="T859" s="852" t="n"/>
      <c r="U859" s="852" t="n"/>
      <c r="V859" s="852" t="n"/>
      <c r="W859" s="852" t="n"/>
      <c r="X859" s="852" t="n"/>
      <c r="Y859" s="852" t="n"/>
      <c r="Z859" s="852" t="n"/>
      <c r="AA859" s="852" t="n"/>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c r="CL859" s="59" t="n"/>
      <c r="CM859" s="59" t="n"/>
      <c r="CN859" s="59" t="n"/>
    </row>
    <row r="860" ht="15" customFormat="1" customHeight="1" s="3">
      <c r="A860">
        <f>IF(C860="","",ROW()-2)</f>
        <v/>
      </c>
      <c r="B860" s="852" t="n"/>
      <c r="C860" s="852" t="n"/>
      <c r="D860">
        <f>IF(C860="TOH","Type 1",IF(C860="POH","Type 2",IF(OR(C860="LTO",C860="TOH-LC",C860="TOH - LC"),"Type 3",IF(C860="Flourish","Type 4","Type 1"))))</f>
        <v/>
      </c>
      <c r="E860" s="852" t="n"/>
      <c r="F860" s="852" t="n"/>
      <c r="G860" s="852" t="n"/>
      <c r="H860" s="888" t="n"/>
      <c r="I860" s="889" t="n"/>
      <c r="J860" s="888" t="n"/>
      <c r="K860">
        <f>SUM(H860:J860)</f>
        <v/>
      </c>
      <c r="L860" s="852" t="n"/>
      <c r="M860" s="852" t="n"/>
      <c r="N860" s="852" t="n"/>
      <c r="O860" s="852" t="n"/>
      <c r="P860" s="852" t="n"/>
      <c r="Q860" s="852" t="n"/>
      <c r="R860" s="852" t="n"/>
      <c r="S860" s="852" t="n"/>
      <c r="T860" s="852" t="n"/>
      <c r="U860" s="852" t="n"/>
      <c r="V860" s="852" t="n"/>
      <c r="W860" s="852" t="n"/>
      <c r="X860" s="852" t="n"/>
      <c r="Y860" s="852" t="n"/>
      <c r="Z860" s="852" t="n"/>
      <c r="AA860" s="852" t="n"/>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c r="CL860" s="59" t="n"/>
      <c r="CM860" s="59" t="n"/>
      <c r="CN860" s="59" t="n"/>
    </row>
    <row r="861" ht="15" customFormat="1" customHeight="1" s="3">
      <c r="A861">
        <f>IF(C861="","",ROW()-2)</f>
        <v/>
      </c>
      <c r="B861" s="852" t="n"/>
      <c r="C861" s="852" t="n"/>
      <c r="D861">
        <f>IF(C861="TOH","Type 1",IF(C861="POH","Type 2",IF(OR(C861="LTO",C861="TOH-LC",C861="TOH - LC"),"Type 3",IF(C861="Flourish","Type 4","Type 1"))))</f>
        <v/>
      </c>
      <c r="E861" s="852" t="n"/>
      <c r="F861" s="852" t="n"/>
      <c r="G861" s="852" t="n"/>
      <c r="H861" s="888" t="n"/>
      <c r="I861" s="889" t="n"/>
      <c r="J861" s="888" t="n"/>
      <c r="K861">
        <f>SUM(H861:J861)</f>
        <v/>
      </c>
      <c r="L861" s="852" t="n"/>
      <c r="M861" s="852" t="n"/>
      <c r="N861" s="852" t="n"/>
      <c r="O861" s="852" t="n"/>
      <c r="P861" s="852" t="n"/>
      <c r="Q861" s="852" t="n"/>
      <c r="R861" s="852" t="n"/>
      <c r="S861" s="852" t="n"/>
      <c r="T861" s="852" t="n"/>
      <c r="U861" s="852" t="n"/>
      <c r="V861" s="852" t="n"/>
      <c r="W861" s="852" t="n"/>
      <c r="X861" s="852" t="n"/>
      <c r="Y861" s="852" t="n"/>
      <c r="Z861" s="852" t="n"/>
      <c r="AA861" s="852" t="n"/>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c r="CL861" s="59" t="n"/>
      <c r="CM861" s="59" t="n"/>
      <c r="CN861" s="59" t="n"/>
    </row>
    <row r="862" ht="15" customFormat="1" customHeight="1" s="3">
      <c r="A862">
        <f>IF(C862="","",ROW()-2)</f>
        <v/>
      </c>
      <c r="B862" s="852" t="n"/>
      <c r="C862" s="852" t="n"/>
      <c r="D862">
        <f>IF(C862="TOH","Type 1",IF(C862="POH","Type 2",IF(OR(C862="LTO",C862="TOH-LC",C862="TOH - LC"),"Type 3",IF(C862="Flourish","Type 4","Type 1"))))</f>
        <v/>
      </c>
      <c r="E862" s="852" t="n"/>
      <c r="F862" s="852" t="n"/>
      <c r="G862" s="852" t="n"/>
      <c r="H862" s="888" t="n"/>
      <c r="I862" s="889" t="n"/>
      <c r="J862" s="888" t="n"/>
      <c r="K862">
        <f>SUM(H862:J862)</f>
        <v/>
      </c>
      <c r="L862" s="852" t="n"/>
      <c r="M862" s="852" t="n"/>
      <c r="N862" s="852" t="n"/>
      <c r="O862" s="852" t="n"/>
      <c r="P862" s="852" t="n"/>
      <c r="Q862" s="852" t="n"/>
      <c r="R862" s="852" t="n"/>
      <c r="S862" s="852" t="n"/>
      <c r="T862" s="852" t="n"/>
      <c r="U862" s="852" t="n"/>
      <c r="V862" s="852" t="n"/>
      <c r="W862" s="852" t="n"/>
      <c r="X862" s="852" t="n"/>
      <c r="Y862" s="852" t="n"/>
      <c r="Z862" s="852" t="n"/>
      <c r="AA862" s="852" t="n"/>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c r="CL862" s="59" t="n"/>
      <c r="CM862" s="59" t="n"/>
      <c r="CN862" s="59" t="n"/>
    </row>
    <row r="863" ht="15" customFormat="1" customHeight="1" s="3">
      <c r="A863">
        <f>IF(C863="","",ROW()-2)</f>
        <v/>
      </c>
      <c r="B863" s="852" t="n"/>
      <c r="C863" s="852" t="n"/>
      <c r="D863">
        <f>IF(C863="TOH","Type 1",IF(C863="POH","Type 2",IF(OR(C863="LTO",C863="TOH-LC",C863="TOH - LC"),"Type 3",IF(C863="Flourish","Type 4","Type 1"))))</f>
        <v/>
      </c>
      <c r="E863" s="852" t="n"/>
      <c r="F863" s="852" t="n"/>
      <c r="G863" s="852" t="n"/>
      <c r="H863" s="888" t="n"/>
      <c r="I863" s="889" t="n"/>
      <c r="J863" s="888" t="n"/>
      <c r="K863">
        <f>SUM(H863:J863)</f>
        <v/>
      </c>
      <c r="L863" s="852" t="n"/>
      <c r="M863" s="852" t="n"/>
      <c r="N863" s="852" t="n"/>
      <c r="O863" s="852" t="n"/>
      <c r="P863" s="852" t="n"/>
      <c r="Q863" s="852" t="n"/>
      <c r="R863" s="852" t="n"/>
      <c r="S863" s="852" t="n"/>
      <c r="T863" s="852" t="n"/>
      <c r="U863" s="852" t="n"/>
      <c r="V863" s="852" t="n"/>
      <c r="W863" s="852" t="n"/>
      <c r="X863" s="852" t="n"/>
      <c r="Y863" s="852" t="n"/>
      <c r="Z863" s="852" t="n"/>
      <c r="AA863" s="852" t="n"/>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c r="CL863" s="59" t="n"/>
      <c r="CM863" s="59" t="n"/>
      <c r="CN863" s="59" t="n"/>
    </row>
    <row r="864" ht="15" customFormat="1" customHeight="1" s="3">
      <c r="A864">
        <f>IF(C864="","",ROW()-2)</f>
        <v/>
      </c>
      <c r="B864" s="852" t="n"/>
      <c r="C864" s="852" t="n"/>
      <c r="D864">
        <f>IF(C864="TOH","Type 1",IF(C864="POH","Type 2",IF(OR(C864="LTO",C864="TOH-LC",C864="TOH - LC"),"Type 3",IF(C864="Flourish","Type 4","Type 1"))))</f>
        <v/>
      </c>
      <c r="E864" s="852" t="n"/>
      <c r="F864" s="852" t="n"/>
      <c r="G864" s="852" t="n"/>
      <c r="H864" s="888" t="n"/>
      <c r="I864" s="889" t="n"/>
      <c r="J864" s="888" t="n"/>
      <c r="K864">
        <f>SUM(H864:J864)</f>
        <v/>
      </c>
      <c r="L864" s="852" t="n"/>
      <c r="M864" s="852" t="n"/>
      <c r="N864" s="852" t="n"/>
      <c r="O864" s="852" t="n"/>
      <c r="P864" s="852" t="n"/>
      <c r="Q864" s="852" t="n"/>
      <c r="R864" s="852" t="n"/>
      <c r="S864" s="852" t="n"/>
      <c r="T864" s="852" t="n"/>
      <c r="U864" s="852" t="n"/>
      <c r="V864" s="852" t="n"/>
      <c r="W864" s="852" t="n"/>
      <c r="X864" s="852" t="n"/>
      <c r="Y864" s="852" t="n"/>
      <c r="Z864" s="852" t="n"/>
      <c r="AA864" s="852" t="n"/>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c r="CL864" s="59" t="n"/>
      <c r="CM864" s="59" t="n"/>
      <c r="CN864" s="59" t="n"/>
    </row>
    <row r="865" ht="15" customFormat="1" customHeight="1" s="3">
      <c r="A865">
        <f>IF(C865="","",ROW()-2)</f>
        <v/>
      </c>
      <c r="B865" s="852" t="n"/>
      <c r="C865" s="852" t="n"/>
      <c r="D865">
        <f>IF(C865="TOH","Type 1",IF(C865="POH","Type 2",IF(OR(C865="LTO",C865="TOH-LC",C865="TOH - LC"),"Type 3",IF(C865="Flourish","Type 4","Type 1"))))</f>
        <v/>
      </c>
      <c r="E865" s="852" t="n"/>
      <c r="F865" s="852" t="n"/>
      <c r="G865" s="852" t="n"/>
      <c r="H865" s="888" t="n"/>
      <c r="I865" s="889" t="n"/>
      <c r="J865" s="888" t="n"/>
      <c r="K865">
        <f>SUM(H865:J865)</f>
        <v/>
      </c>
      <c r="L865" s="852" t="n"/>
      <c r="M865" s="852" t="n"/>
      <c r="N865" s="852" t="n"/>
      <c r="O865" s="852" t="n"/>
      <c r="P865" s="852" t="n"/>
      <c r="Q865" s="852" t="n"/>
      <c r="R865" s="852" t="n"/>
      <c r="S865" s="852" t="n"/>
      <c r="T865" s="852" t="n"/>
      <c r="U865" s="852" t="n"/>
      <c r="V865" s="852" t="n"/>
      <c r="W865" s="852" t="n"/>
      <c r="X865" s="852" t="n"/>
      <c r="Y865" s="852" t="n"/>
      <c r="Z865" s="852" t="n"/>
      <c r="AA865" s="852" t="n"/>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c r="CL865" s="59" t="n"/>
      <c r="CM865" s="59" t="n"/>
      <c r="CN865" s="59" t="n"/>
    </row>
    <row r="866" ht="15" customFormat="1" customHeight="1" s="3">
      <c r="A866">
        <f>IF(C866="","",ROW()-2)</f>
        <v/>
      </c>
      <c r="B866" s="852" t="n"/>
      <c r="C866" s="852" t="n"/>
      <c r="D866">
        <f>IF(C866="TOH","Type 1",IF(C866="POH","Type 2",IF(OR(C866="LTO",C866="TOH-LC",C866="TOH - LC"),"Type 3",IF(C866="Flourish","Type 4","Type 1"))))</f>
        <v/>
      </c>
      <c r="E866" s="852" t="n"/>
      <c r="F866" s="852" t="n"/>
      <c r="G866" s="852" t="n"/>
      <c r="H866" s="888" t="n"/>
      <c r="I866" s="889" t="n"/>
      <c r="J866" s="888" t="n"/>
      <c r="K866">
        <f>SUM(H866:J866)</f>
        <v/>
      </c>
      <c r="L866" s="852" t="n"/>
      <c r="M866" s="852" t="n"/>
      <c r="N866" s="852" t="n"/>
      <c r="O866" s="852" t="n"/>
      <c r="P866" s="852" t="n"/>
      <c r="Q866" s="852" t="n"/>
      <c r="R866" s="852" t="n"/>
      <c r="S866" s="852" t="n"/>
      <c r="T866" s="852" t="n"/>
      <c r="U866" s="852" t="n"/>
      <c r="V866" s="852" t="n"/>
      <c r="W866" s="852" t="n"/>
      <c r="X866" s="852" t="n"/>
      <c r="Y866" s="852" t="n"/>
      <c r="Z866" s="852" t="n"/>
      <c r="AA866" s="852" t="n"/>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c r="CL866" s="59" t="n"/>
      <c r="CM866" s="59" t="n"/>
      <c r="CN866" s="59" t="n"/>
    </row>
    <row r="867" ht="15" customFormat="1" customHeight="1" s="3">
      <c r="A867">
        <f>IF(C867="","",ROW()-2)</f>
        <v/>
      </c>
      <c r="B867" s="852" t="n"/>
      <c r="C867" s="852" t="n"/>
      <c r="D867">
        <f>IF(C867="TOH","Type 1",IF(C867="POH","Type 2",IF(OR(C867="LTO",C867="TOH-LC",C867="TOH - LC"),"Type 3",IF(C867="Flourish","Type 4","Type 1"))))</f>
        <v/>
      </c>
      <c r="E867" s="852" t="n"/>
      <c r="F867" s="852" t="n"/>
      <c r="G867" s="852" t="n"/>
      <c r="H867" s="888" t="n"/>
      <c r="I867" s="889" t="n"/>
      <c r="J867" s="888" t="n"/>
      <c r="K867">
        <f>SUM(H867:J867)</f>
        <v/>
      </c>
      <c r="L867" s="852" t="n"/>
      <c r="M867" s="852" t="n"/>
      <c r="N867" s="852" t="n"/>
      <c r="O867" s="852" t="n"/>
      <c r="P867" s="852" t="n"/>
      <c r="Q867" s="852" t="n"/>
      <c r="R867" s="852" t="n"/>
      <c r="S867" s="852" t="n"/>
      <c r="T867" s="852" t="n"/>
      <c r="U867" s="852" t="n"/>
      <c r="V867" s="852" t="n"/>
      <c r="W867" s="852" t="n"/>
      <c r="X867" s="852" t="n"/>
      <c r="Y867" s="852" t="n"/>
      <c r="Z867" s="852" t="n"/>
      <c r="AA867" s="852" t="n"/>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c r="CL867" s="59" t="n"/>
      <c r="CM867" s="59" t="n"/>
      <c r="CN867" s="59" t="n"/>
    </row>
    <row r="868" ht="15" customFormat="1" customHeight="1" s="3">
      <c r="A868">
        <f>IF(C868="","",ROW()-2)</f>
        <v/>
      </c>
      <c r="B868" s="852" t="n"/>
      <c r="C868" s="852" t="n"/>
      <c r="D868">
        <f>IF(C868="TOH","Type 1",IF(C868="POH","Type 2",IF(OR(C868="LTO",C868="TOH-LC",C868="TOH - LC"),"Type 3",IF(C868="Flourish","Type 4","Type 1"))))</f>
        <v/>
      </c>
      <c r="E868" s="852" t="n"/>
      <c r="F868" s="852" t="n"/>
      <c r="G868" s="852" t="n"/>
      <c r="H868" s="888" t="n"/>
      <c r="I868" s="889" t="n"/>
      <c r="J868" s="888" t="n"/>
      <c r="K868">
        <f>SUM(H868:J868)</f>
        <v/>
      </c>
      <c r="L868" s="852" t="n"/>
      <c r="M868" s="852" t="n"/>
      <c r="N868" s="852" t="n"/>
      <c r="O868" s="852" t="n"/>
      <c r="P868" s="852" t="n"/>
      <c r="Q868" s="852" t="n"/>
      <c r="R868" s="852" t="n"/>
      <c r="S868" s="852" t="n"/>
      <c r="T868" s="852" t="n"/>
      <c r="U868" s="852" t="n"/>
      <c r="V868" s="852" t="n"/>
      <c r="W868" s="852" t="n"/>
      <c r="X868" s="852" t="n"/>
      <c r="Y868" s="852" t="n"/>
      <c r="Z868" s="852" t="n"/>
      <c r="AA868" s="852" t="n"/>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c r="CL868" s="59" t="n"/>
      <c r="CM868" s="59" t="n"/>
      <c r="CN868" s="59" t="n"/>
    </row>
    <row r="869" ht="15" customFormat="1" customHeight="1" s="3">
      <c r="A869">
        <f>IF(C869="","",ROW()-2)</f>
        <v/>
      </c>
      <c r="B869" s="852" t="n"/>
      <c r="C869" s="852" t="n"/>
      <c r="D869">
        <f>IF(C869="TOH","Type 1",IF(C869="POH","Type 2",IF(OR(C869="LTO",C869="TOH-LC",C869="TOH - LC"),"Type 3",IF(C869="Flourish","Type 4","Type 1"))))</f>
        <v/>
      </c>
      <c r="E869" s="852" t="n"/>
      <c r="F869" s="852" t="n"/>
      <c r="G869" s="852" t="n"/>
      <c r="H869" s="888" t="n"/>
      <c r="I869" s="889" t="n"/>
      <c r="J869" s="888" t="n"/>
      <c r="K869">
        <f>SUM(H869:J869)</f>
        <v/>
      </c>
      <c r="L869" s="852" t="n"/>
      <c r="M869" s="852" t="n"/>
      <c r="N869" s="852" t="n"/>
      <c r="O869" s="852" t="n"/>
      <c r="P869" s="852" t="n"/>
      <c r="Q869" s="852" t="n"/>
      <c r="R869" s="852" t="n"/>
      <c r="S869" s="852" t="n"/>
      <c r="T869" s="852" t="n"/>
      <c r="U869" s="852" t="n"/>
      <c r="V869" s="852" t="n"/>
      <c r="W869" s="852" t="n"/>
      <c r="X869" s="852" t="n"/>
      <c r="Y869" s="852" t="n"/>
      <c r="Z869" s="852" t="n"/>
      <c r="AA869" s="852" t="n"/>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c r="CL869" s="59" t="n"/>
      <c r="CM869" s="59" t="n"/>
      <c r="CN869" s="59" t="n"/>
    </row>
    <row r="870" ht="15" customFormat="1" customHeight="1" s="3">
      <c r="A870">
        <f>IF(C870="","",ROW()-2)</f>
        <v/>
      </c>
      <c r="B870" s="852" t="n"/>
      <c r="C870" s="852" t="n"/>
      <c r="D870">
        <f>IF(C870="TOH","Type 1",IF(C870="POH","Type 2",IF(OR(C870="LTO",C870="TOH-LC",C870="TOH - LC"),"Type 3",IF(C870="Flourish","Type 4","Type 1"))))</f>
        <v/>
      </c>
      <c r="E870" s="852" t="n"/>
      <c r="F870" s="852" t="n"/>
      <c r="G870" s="852" t="n"/>
      <c r="H870" s="888" t="n"/>
      <c r="I870" s="889" t="n"/>
      <c r="J870" s="888" t="n"/>
      <c r="K870">
        <f>SUM(H870:J870)</f>
        <v/>
      </c>
      <c r="L870" s="852" t="n"/>
      <c r="M870" s="852" t="n"/>
      <c r="N870" s="852" t="n"/>
      <c r="O870" s="852" t="n"/>
      <c r="P870" s="852" t="n"/>
      <c r="Q870" s="852" t="n"/>
      <c r="R870" s="852" t="n"/>
      <c r="S870" s="852" t="n"/>
      <c r="T870" s="852" t="n"/>
      <c r="U870" s="852" t="n"/>
      <c r="V870" s="852" t="n"/>
      <c r="W870" s="852" t="n"/>
      <c r="X870" s="852" t="n"/>
      <c r="Y870" s="852" t="n"/>
      <c r="Z870" s="852" t="n"/>
      <c r="AA870" s="852" t="n"/>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c r="CL870" s="59" t="n"/>
      <c r="CM870" s="59" t="n"/>
      <c r="CN870" s="59" t="n"/>
    </row>
    <row r="871" ht="15" customFormat="1" customHeight="1" s="3">
      <c r="A871">
        <f>IF(C871="","",ROW()-2)</f>
        <v/>
      </c>
      <c r="B871" s="852" t="n"/>
      <c r="C871" s="852" t="n"/>
      <c r="D871">
        <f>IF(C871="TOH","Type 1",IF(C871="POH","Type 2",IF(OR(C871="LTO",C871="TOH-LC",C871="TOH - LC"),"Type 3",IF(C871="Flourish","Type 4","Type 1"))))</f>
        <v/>
      </c>
      <c r="E871" s="852" t="n"/>
      <c r="F871" s="852" t="n"/>
      <c r="G871" s="852" t="n"/>
      <c r="H871" s="888" t="n"/>
      <c r="I871" s="889" t="n"/>
      <c r="J871" s="888" t="n"/>
      <c r="K871">
        <f>SUM(H871:J871)</f>
        <v/>
      </c>
      <c r="L871" s="852" t="n"/>
      <c r="M871" s="852" t="n"/>
      <c r="N871" s="852" t="n"/>
      <c r="O871" s="852" t="n"/>
      <c r="P871" s="852" t="n"/>
      <c r="Q871" s="852" t="n"/>
      <c r="R871" s="852" t="n"/>
      <c r="S871" s="852" t="n"/>
      <c r="T871" s="852" t="n"/>
      <c r="U871" s="852" t="n"/>
      <c r="V871" s="852" t="n"/>
      <c r="W871" s="852" t="n"/>
      <c r="X871" s="852" t="n"/>
      <c r="Y871" s="852" t="n"/>
      <c r="Z871" s="852" t="n"/>
      <c r="AA871" s="852" t="n"/>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c r="CL871" s="59" t="n"/>
      <c r="CM871" s="59" t="n"/>
      <c r="CN871" s="59" t="n"/>
    </row>
    <row r="872" ht="15" customFormat="1" customHeight="1" s="3">
      <c r="A872">
        <f>IF(C872="","",ROW()-2)</f>
        <v/>
      </c>
      <c r="B872" s="852" t="n"/>
      <c r="C872" s="852" t="n"/>
      <c r="D872">
        <f>IF(C872="TOH","Type 1",IF(C872="POH","Type 2",IF(OR(C872="LTO",C872="TOH-LC",C872="TOH - LC"),"Type 3",IF(C872="Flourish","Type 4","Type 1"))))</f>
        <v/>
      </c>
      <c r="E872" s="852" t="n"/>
      <c r="F872" s="852" t="n"/>
      <c r="G872" s="852" t="n"/>
      <c r="H872" s="888" t="n"/>
      <c r="I872" s="889" t="n"/>
      <c r="J872" s="888" t="n"/>
      <c r="K872">
        <f>SUM(H872:J872)</f>
        <v/>
      </c>
      <c r="L872" s="852" t="n"/>
      <c r="M872" s="852" t="n"/>
      <c r="N872" s="852" t="n"/>
      <c r="O872" s="852" t="n"/>
      <c r="P872" s="852" t="n"/>
      <c r="Q872" s="852" t="n"/>
      <c r="R872" s="852" t="n"/>
      <c r="S872" s="852" t="n"/>
      <c r="T872" s="852" t="n"/>
      <c r="U872" s="852" t="n"/>
      <c r="V872" s="852" t="n"/>
      <c r="W872" s="852" t="n"/>
      <c r="X872" s="852" t="n"/>
      <c r="Y872" s="852" t="n"/>
      <c r="Z872" s="852" t="n"/>
      <c r="AA872" s="852" t="n"/>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c r="CL872" s="59" t="n"/>
      <c r="CM872" s="59" t="n"/>
      <c r="CN872" s="59" t="n"/>
    </row>
    <row r="873" ht="15" customFormat="1" customHeight="1" s="3">
      <c r="A873">
        <f>IF(C873="","",ROW()-2)</f>
        <v/>
      </c>
      <c r="B873" s="852" t="n"/>
      <c r="C873" s="852" t="n"/>
      <c r="D873">
        <f>IF(C873="TOH","Type 1",IF(C873="POH","Type 2",IF(OR(C873="LTO",C873="TOH-LC",C873="TOH - LC"),"Type 3",IF(C873="Flourish","Type 4","Type 1"))))</f>
        <v/>
      </c>
      <c r="E873" s="852" t="n"/>
      <c r="F873" s="852" t="n"/>
      <c r="G873" s="852" t="n"/>
      <c r="H873" s="888" t="n"/>
      <c r="I873" s="889" t="n"/>
      <c r="J873" s="888" t="n"/>
      <c r="K873">
        <f>SUM(H873:J873)</f>
        <v/>
      </c>
      <c r="L873" s="852" t="n"/>
      <c r="M873" s="852" t="n"/>
      <c r="N873" s="852" t="n"/>
      <c r="O873" s="852" t="n"/>
      <c r="P873" s="852" t="n"/>
      <c r="Q873" s="852" t="n"/>
      <c r="R873" s="852" t="n"/>
      <c r="S873" s="852" t="n"/>
      <c r="T873" s="852" t="n"/>
      <c r="U873" s="852" t="n"/>
      <c r="V873" s="852" t="n"/>
      <c r="W873" s="852" t="n"/>
      <c r="X873" s="852" t="n"/>
      <c r="Y873" s="852" t="n"/>
      <c r="Z873" s="852" t="n"/>
      <c r="AA873" s="852" t="n"/>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c r="CL873" s="59" t="n"/>
      <c r="CM873" s="59" t="n"/>
      <c r="CN873" s="59" t="n"/>
    </row>
    <row r="874" ht="15" customFormat="1" customHeight="1" s="3">
      <c r="A874">
        <f>IF(C874="","",ROW()-2)</f>
        <v/>
      </c>
      <c r="B874" s="852" t="n"/>
      <c r="C874" s="852" t="n"/>
      <c r="D874">
        <f>IF(C874="TOH","Type 1",IF(C874="POH","Type 2",IF(OR(C874="LTO",C874="TOH-LC",C874="TOH - LC"),"Type 3",IF(C874="Flourish","Type 4","Type 1"))))</f>
        <v/>
      </c>
      <c r="E874" s="852" t="n"/>
      <c r="F874" s="852" t="n"/>
      <c r="G874" s="852" t="n"/>
      <c r="H874" s="888" t="n"/>
      <c r="I874" s="889" t="n"/>
      <c r="J874" s="888" t="n"/>
      <c r="K874">
        <f>SUM(H874:J874)</f>
        <v/>
      </c>
      <c r="L874" s="852" t="n"/>
      <c r="M874" s="852" t="n"/>
      <c r="N874" s="852" t="n"/>
      <c r="O874" s="852" t="n"/>
      <c r="P874" s="852" t="n"/>
      <c r="Q874" s="852" t="n"/>
      <c r="R874" s="852" t="n"/>
      <c r="S874" s="852" t="n"/>
      <c r="T874" s="852" t="n"/>
      <c r="U874" s="852" t="n"/>
      <c r="V874" s="852" t="n"/>
      <c r="W874" s="852" t="n"/>
      <c r="X874" s="852" t="n"/>
      <c r="Y874" s="852" t="n"/>
      <c r="Z874" s="852" t="n"/>
      <c r="AA874" s="852" t="n"/>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c r="CL874" s="59" t="n"/>
      <c r="CM874" s="59" t="n"/>
      <c r="CN874" s="59" t="n"/>
    </row>
    <row r="875" ht="15" customFormat="1" customHeight="1" s="3">
      <c r="A875">
        <f>IF(C875="","",ROW()-2)</f>
        <v/>
      </c>
      <c r="B875" s="852" t="n"/>
      <c r="C875" s="852" t="n"/>
      <c r="D875">
        <f>IF(C875="TOH","Type 1",IF(C875="POH","Type 2",IF(OR(C875="LTO",C875="TOH-LC",C875="TOH - LC"),"Type 3",IF(C875="Flourish","Type 4","Type 1"))))</f>
        <v/>
      </c>
      <c r="E875" s="852" t="n"/>
      <c r="F875" s="852" t="n"/>
      <c r="G875" s="852" t="n"/>
      <c r="H875" s="888" t="n"/>
      <c r="I875" s="889" t="n"/>
      <c r="J875" s="888" t="n"/>
      <c r="K875">
        <f>SUM(H875:J875)</f>
        <v/>
      </c>
      <c r="L875" s="852" t="n"/>
      <c r="M875" s="852" t="n"/>
      <c r="N875" s="852" t="n"/>
      <c r="O875" s="852" t="n"/>
      <c r="P875" s="852" t="n"/>
      <c r="Q875" s="852" t="n"/>
      <c r="R875" s="852" t="n"/>
      <c r="S875" s="852" t="n"/>
      <c r="T875" s="852" t="n"/>
      <c r="U875" s="852" t="n"/>
      <c r="V875" s="852" t="n"/>
      <c r="W875" s="852" t="n"/>
      <c r="X875" s="852" t="n"/>
      <c r="Y875" s="852" t="n"/>
      <c r="Z875" s="852" t="n"/>
      <c r="AA875" s="852" t="n"/>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c r="CL875" s="59" t="n"/>
      <c r="CM875" s="59" t="n"/>
      <c r="CN875" s="59" t="n"/>
    </row>
    <row r="876" ht="15" customFormat="1" customHeight="1" s="3">
      <c r="A876">
        <f>IF(C876="","",ROW()-2)</f>
        <v/>
      </c>
      <c r="B876" s="852" t="n"/>
      <c r="C876" s="852" t="n"/>
      <c r="D876">
        <f>IF(C876="TOH","Type 1",IF(C876="POH","Type 2",IF(OR(C876="LTO",C876="TOH-LC",C876="TOH - LC"),"Type 3",IF(C876="Flourish","Type 4","Type 1"))))</f>
        <v/>
      </c>
      <c r="E876" s="852" t="n"/>
      <c r="F876" s="852" t="n"/>
      <c r="G876" s="852" t="n"/>
      <c r="H876" s="888" t="n"/>
      <c r="I876" s="889" t="n"/>
      <c r="J876" s="888" t="n"/>
      <c r="K876">
        <f>SUM(H876:J876)</f>
        <v/>
      </c>
      <c r="L876" s="852" t="n"/>
      <c r="M876" s="852" t="n"/>
      <c r="N876" s="852" t="n"/>
      <c r="O876" s="852" t="n"/>
      <c r="P876" s="852" t="n"/>
      <c r="Q876" s="852" t="n"/>
      <c r="R876" s="852" t="n"/>
      <c r="S876" s="852" t="n"/>
      <c r="T876" s="852" t="n"/>
      <c r="U876" s="852" t="n"/>
      <c r="V876" s="852" t="n"/>
      <c r="W876" s="852" t="n"/>
      <c r="X876" s="852" t="n"/>
      <c r="Y876" s="852" t="n"/>
      <c r="Z876" s="852" t="n"/>
      <c r="AA876" s="852" t="n"/>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c r="CL876" s="59" t="n"/>
      <c r="CM876" s="59" t="n"/>
      <c r="CN876" s="59" t="n"/>
    </row>
    <row r="877" ht="15" customFormat="1" customHeight="1" s="3">
      <c r="A877">
        <f>IF(C877="","",ROW()-2)</f>
        <v/>
      </c>
      <c r="B877" s="852" t="n"/>
      <c r="C877" s="852" t="n"/>
      <c r="D877">
        <f>IF(C877="TOH","Type 1",IF(C877="POH","Type 2",IF(OR(C877="LTO",C877="TOH-LC",C877="TOH - LC"),"Type 3",IF(C877="Flourish","Type 4","Type 1"))))</f>
        <v/>
      </c>
      <c r="E877" s="852" t="n"/>
      <c r="F877" s="852" t="n"/>
      <c r="G877" s="852" t="n"/>
      <c r="H877" s="888" t="n"/>
      <c r="I877" s="889" t="n"/>
      <c r="J877" s="888" t="n"/>
      <c r="K877">
        <f>SUM(H877:J877)</f>
        <v/>
      </c>
      <c r="L877" s="852" t="n"/>
      <c r="M877" s="852" t="n"/>
      <c r="N877" s="852" t="n"/>
      <c r="O877" s="852" t="n"/>
      <c r="P877" s="852" t="n"/>
      <c r="Q877" s="852" t="n"/>
      <c r="R877" s="852" t="n"/>
      <c r="S877" s="852" t="n"/>
      <c r="T877" s="852" t="n"/>
      <c r="U877" s="852" t="n"/>
      <c r="V877" s="852" t="n"/>
      <c r="W877" s="852" t="n"/>
      <c r="X877" s="852" t="n"/>
      <c r="Y877" s="852" t="n"/>
      <c r="Z877" s="852" t="n"/>
      <c r="AA877" s="852" t="n"/>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c r="CL877" s="59" t="n"/>
      <c r="CM877" s="59" t="n"/>
      <c r="CN877" s="59" t="n"/>
    </row>
    <row r="878" ht="15" customFormat="1" customHeight="1" s="3">
      <c r="A878">
        <f>IF(C878="","",ROW()-2)</f>
        <v/>
      </c>
      <c r="B878" s="852" t="n"/>
      <c r="C878" s="852" t="n"/>
      <c r="D878">
        <f>IF(C878="TOH","Type 1",IF(C878="POH","Type 2",IF(OR(C878="LTO",C878="TOH-LC",C878="TOH - LC"),"Type 3",IF(C878="Flourish","Type 4","Type 1"))))</f>
        <v/>
      </c>
      <c r="E878" s="852" t="n"/>
      <c r="F878" s="852" t="n"/>
      <c r="G878" s="852" t="n"/>
      <c r="H878" s="888" t="n"/>
      <c r="I878" s="889" t="n"/>
      <c r="J878" s="888" t="n"/>
      <c r="K878">
        <f>SUM(H878:J878)</f>
        <v/>
      </c>
      <c r="L878" s="852" t="n"/>
      <c r="M878" s="852" t="n"/>
      <c r="N878" s="852" t="n"/>
      <c r="O878" s="852" t="n"/>
      <c r="P878" s="852" t="n"/>
      <c r="Q878" s="852" t="n"/>
      <c r="R878" s="852" t="n"/>
      <c r="S878" s="852" t="n"/>
      <c r="T878" s="852" t="n"/>
      <c r="U878" s="852" t="n"/>
      <c r="V878" s="852" t="n"/>
      <c r="W878" s="852" t="n"/>
      <c r="X878" s="852" t="n"/>
      <c r="Y878" s="852" t="n"/>
      <c r="Z878" s="852" t="n"/>
      <c r="AA878" s="852" t="n"/>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c r="CL878" s="59" t="n"/>
      <c r="CM878" s="59" t="n"/>
      <c r="CN878" s="59" t="n"/>
    </row>
    <row r="879" ht="15" customFormat="1" customHeight="1" s="3">
      <c r="A879">
        <f>IF(C879="","",ROW()-2)</f>
        <v/>
      </c>
      <c r="B879" s="852" t="n"/>
      <c r="C879" s="852" t="n"/>
      <c r="D879">
        <f>IF(C879="TOH","Type 1",IF(C879="POH","Type 2",IF(OR(C879="LTO",C879="TOH-LC",C879="TOH - LC"),"Type 3",IF(C879="Flourish","Type 4","Type 1"))))</f>
        <v/>
      </c>
      <c r="E879" s="852" t="n"/>
      <c r="F879" s="852" t="n"/>
      <c r="G879" s="852" t="n"/>
      <c r="H879" s="888" t="n"/>
      <c r="I879" s="889" t="n"/>
      <c r="J879" s="888" t="n"/>
      <c r="K879">
        <f>SUM(H879:J879)</f>
        <v/>
      </c>
      <c r="L879" s="852" t="n"/>
      <c r="M879" s="852" t="n"/>
      <c r="N879" s="852" t="n"/>
      <c r="O879" s="852" t="n"/>
      <c r="P879" s="852" t="n"/>
      <c r="Q879" s="852" t="n"/>
      <c r="R879" s="852" t="n"/>
      <c r="S879" s="852" t="n"/>
      <c r="T879" s="852" t="n"/>
      <c r="U879" s="852" t="n"/>
      <c r="V879" s="852" t="n"/>
      <c r="W879" s="852" t="n"/>
      <c r="X879" s="852" t="n"/>
      <c r="Y879" s="852" t="n"/>
      <c r="Z879" s="852" t="n"/>
      <c r="AA879" s="852" t="n"/>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c r="CL879" s="59" t="n"/>
      <c r="CM879" s="59" t="n"/>
      <c r="CN879" s="59" t="n"/>
    </row>
    <row r="880" ht="15" customFormat="1" customHeight="1" s="3">
      <c r="A880">
        <f>IF(C880="","",ROW()-2)</f>
        <v/>
      </c>
      <c r="B880" s="852" t="n"/>
      <c r="C880" s="852" t="n"/>
      <c r="D880">
        <f>IF(C880="TOH","Type 1",IF(C880="POH","Type 2",IF(OR(C880="LTO",C880="TOH-LC",C880="TOH - LC"),"Type 3",IF(C880="Flourish","Type 4","Type 1"))))</f>
        <v/>
      </c>
      <c r="E880" s="852" t="n"/>
      <c r="F880" s="852" t="n"/>
      <c r="G880" s="852" t="n"/>
      <c r="H880" s="888" t="n"/>
      <c r="I880" s="889" t="n"/>
      <c r="J880" s="888" t="n"/>
      <c r="K880">
        <f>SUM(H880:J880)</f>
        <v/>
      </c>
      <c r="L880" s="852" t="n"/>
      <c r="M880" s="852" t="n"/>
      <c r="N880" s="852" t="n"/>
      <c r="O880" s="852" t="n"/>
      <c r="P880" s="852" t="n"/>
      <c r="Q880" s="852" t="n"/>
      <c r="R880" s="852" t="n"/>
      <c r="S880" s="852" t="n"/>
      <c r="T880" s="852" t="n"/>
      <c r="U880" s="852" t="n"/>
      <c r="V880" s="852" t="n"/>
      <c r="W880" s="852" t="n"/>
      <c r="X880" s="852" t="n"/>
      <c r="Y880" s="852" t="n"/>
      <c r="Z880" s="852" t="n"/>
      <c r="AA880" s="852" t="n"/>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c r="CL880" s="59" t="n"/>
      <c r="CM880" s="59" t="n"/>
      <c r="CN880" s="59" t="n"/>
    </row>
    <row r="881" ht="15" customFormat="1" customHeight="1" s="3">
      <c r="A881">
        <f>IF(C881="","",ROW()-2)</f>
        <v/>
      </c>
      <c r="B881" s="852" t="n"/>
      <c r="C881" s="852" t="n"/>
      <c r="D881">
        <f>IF(C881="TOH","Type 1",IF(C881="POH","Type 2",IF(OR(C881="LTO",C881="TOH-LC",C881="TOH - LC"),"Type 3",IF(C881="Flourish","Type 4","Type 1"))))</f>
        <v/>
      </c>
      <c r="E881" s="852" t="n"/>
      <c r="F881" s="852" t="n"/>
      <c r="G881" s="852" t="n"/>
      <c r="H881" s="888" t="n"/>
      <c r="I881" s="889" t="n"/>
      <c r="J881" s="888" t="n"/>
      <c r="K881">
        <f>SUM(H881:J881)</f>
        <v/>
      </c>
      <c r="L881" s="852" t="n"/>
      <c r="M881" s="852" t="n"/>
      <c r="N881" s="852" t="n"/>
      <c r="O881" s="852" t="n"/>
      <c r="P881" s="852" t="n"/>
      <c r="Q881" s="852" t="n"/>
      <c r="R881" s="852" t="n"/>
      <c r="S881" s="852" t="n"/>
      <c r="T881" s="852" t="n"/>
      <c r="U881" s="852" t="n"/>
      <c r="V881" s="852" t="n"/>
      <c r="W881" s="852" t="n"/>
      <c r="X881" s="852" t="n"/>
      <c r="Y881" s="852" t="n"/>
      <c r="Z881" s="852" t="n"/>
      <c r="AA881" s="852" t="n"/>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c r="CL881" s="59" t="n"/>
      <c r="CM881" s="59" t="n"/>
      <c r="CN881" s="59" t="n"/>
    </row>
    <row r="882" ht="15" customFormat="1" customHeight="1" s="3">
      <c r="A882">
        <f>IF(C882="","",ROW()-2)</f>
        <v/>
      </c>
      <c r="B882" s="852" t="n"/>
      <c r="C882" s="852" t="n"/>
      <c r="D882">
        <f>IF(C882="TOH","Type 1",IF(C882="POH","Type 2",IF(OR(C882="LTO",C882="TOH-LC",C882="TOH - LC"),"Type 3",IF(C882="Flourish","Type 4","Type 1"))))</f>
        <v/>
      </c>
      <c r="E882" s="852" t="n"/>
      <c r="F882" s="852" t="n"/>
      <c r="G882" s="852" t="n"/>
      <c r="H882" s="888" t="n"/>
      <c r="I882" s="889" t="n"/>
      <c r="J882" s="888" t="n"/>
      <c r="K882">
        <f>SUM(H882:J882)</f>
        <v/>
      </c>
      <c r="L882" s="852" t="n"/>
      <c r="M882" s="852" t="n"/>
      <c r="N882" s="852" t="n"/>
      <c r="O882" s="852" t="n"/>
      <c r="P882" s="852" t="n"/>
      <c r="Q882" s="852" t="n"/>
      <c r="R882" s="852" t="n"/>
      <c r="S882" s="852" t="n"/>
      <c r="T882" s="852" t="n"/>
      <c r="U882" s="852" t="n"/>
      <c r="V882" s="852" t="n"/>
      <c r="W882" s="852" t="n"/>
      <c r="X882" s="852" t="n"/>
      <c r="Y882" s="852" t="n"/>
      <c r="Z882" s="852" t="n"/>
      <c r="AA882" s="852" t="n"/>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c r="CL882" s="59" t="n"/>
      <c r="CM882" s="59" t="n"/>
      <c r="CN882" s="59" t="n"/>
    </row>
    <row r="883" ht="15" customFormat="1" customHeight="1" s="3">
      <c r="A883">
        <f>IF(C883="","",ROW()-2)</f>
        <v/>
      </c>
      <c r="B883" s="852" t="n"/>
      <c r="C883" s="852" t="n"/>
      <c r="D883">
        <f>IF(C883="TOH","Type 1",IF(C883="POH","Type 2",IF(OR(C883="LTO",C883="TOH-LC",C883="TOH - LC"),"Type 3",IF(C883="Flourish","Type 4","Type 1"))))</f>
        <v/>
      </c>
      <c r="E883" s="852" t="n"/>
      <c r="F883" s="852" t="n"/>
      <c r="G883" s="852" t="n"/>
      <c r="H883" s="888" t="n"/>
      <c r="I883" s="889" t="n"/>
      <c r="J883" s="888" t="n"/>
      <c r="K883">
        <f>SUM(H883:J883)</f>
        <v/>
      </c>
      <c r="L883" s="852" t="n"/>
      <c r="M883" s="852" t="n"/>
      <c r="N883" s="852" t="n"/>
      <c r="O883" s="852" t="n"/>
      <c r="P883" s="852" t="n"/>
      <c r="Q883" s="852" t="n"/>
      <c r="R883" s="852" t="n"/>
      <c r="S883" s="852" t="n"/>
      <c r="T883" s="852" t="n"/>
      <c r="U883" s="852" t="n"/>
      <c r="V883" s="852" t="n"/>
      <c r="W883" s="852" t="n"/>
      <c r="X883" s="852" t="n"/>
      <c r="Y883" s="852" t="n"/>
      <c r="Z883" s="852" t="n"/>
      <c r="AA883" s="852" t="n"/>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c r="CL883" s="59" t="n"/>
      <c r="CM883" s="59" t="n"/>
      <c r="CN883" s="59" t="n"/>
    </row>
    <row r="884" ht="15" customFormat="1" customHeight="1" s="3">
      <c r="A884">
        <f>IF(C884="","",ROW()-2)</f>
        <v/>
      </c>
      <c r="B884" s="852" t="n"/>
      <c r="C884" s="852" t="n"/>
      <c r="D884">
        <f>IF(C884="TOH","Type 1",IF(C884="POH","Type 2",IF(OR(C884="LTO",C884="TOH-LC",C884="TOH - LC"),"Type 3",IF(C884="Flourish","Type 4","Type 1"))))</f>
        <v/>
      </c>
      <c r="E884" s="852" t="n"/>
      <c r="F884" s="852" t="n"/>
      <c r="G884" s="852" t="n"/>
      <c r="H884" s="888" t="n"/>
      <c r="I884" s="889" t="n"/>
      <c r="J884" s="888" t="n"/>
      <c r="K884">
        <f>SUM(H884:J884)</f>
        <v/>
      </c>
      <c r="L884" s="852" t="n"/>
      <c r="M884" s="852" t="n"/>
      <c r="N884" s="852" t="n"/>
      <c r="O884" s="852" t="n"/>
      <c r="P884" s="852" t="n"/>
      <c r="Q884" s="852" t="n"/>
      <c r="R884" s="852" t="n"/>
      <c r="S884" s="852" t="n"/>
      <c r="T884" s="852" t="n"/>
      <c r="U884" s="852" t="n"/>
      <c r="V884" s="852" t="n"/>
      <c r="W884" s="852" t="n"/>
      <c r="X884" s="852" t="n"/>
      <c r="Y884" s="852" t="n"/>
      <c r="Z884" s="852" t="n"/>
      <c r="AA884" s="852" t="n"/>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c r="CL884" s="59" t="n"/>
      <c r="CM884" s="59" t="n"/>
      <c r="CN884" s="59" t="n"/>
    </row>
    <row r="885" ht="15" customFormat="1" customHeight="1" s="3">
      <c r="A885">
        <f>IF(C885="","",ROW()-2)</f>
        <v/>
      </c>
      <c r="B885" s="852" t="n"/>
      <c r="C885" s="852" t="n"/>
      <c r="D885">
        <f>IF(C885="TOH","Type 1",IF(C885="POH","Type 2",IF(OR(C885="LTO",C885="TOH-LC",C885="TOH - LC"),"Type 3",IF(C885="Flourish","Type 4","Type 1"))))</f>
        <v/>
      </c>
      <c r="E885" s="852" t="n"/>
      <c r="F885" s="852" t="n"/>
      <c r="G885" s="852" t="n"/>
      <c r="H885" s="888" t="n"/>
      <c r="I885" s="889" t="n"/>
      <c r="J885" s="888" t="n"/>
      <c r="K885">
        <f>SUM(H885:J885)</f>
        <v/>
      </c>
      <c r="L885" s="852" t="n"/>
      <c r="M885" s="852" t="n"/>
      <c r="N885" s="852" t="n"/>
      <c r="O885" s="852" t="n"/>
      <c r="P885" s="852" t="n"/>
      <c r="Q885" s="852" t="n"/>
      <c r="R885" s="852" t="n"/>
      <c r="S885" s="852" t="n"/>
      <c r="T885" s="852" t="n"/>
      <c r="U885" s="852" t="n"/>
      <c r="V885" s="852" t="n"/>
      <c r="W885" s="852" t="n"/>
      <c r="X885" s="852" t="n"/>
      <c r="Y885" s="852" t="n"/>
      <c r="Z885" s="852" t="n"/>
      <c r="AA885" s="852" t="n"/>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c r="CL885" s="59" t="n"/>
      <c r="CM885" s="59" t="n"/>
      <c r="CN885" s="59" t="n"/>
    </row>
    <row r="886" ht="15" customFormat="1" customHeight="1" s="3">
      <c r="A886">
        <f>IF(C886="","",ROW()-2)</f>
        <v/>
      </c>
      <c r="B886" s="852" t="n"/>
      <c r="C886" s="852" t="n"/>
      <c r="D886">
        <f>IF(C886="TOH","Type 1",IF(C886="POH","Type 2",IF(OR(C886="LTO",C886="TOH-LC",C886="TOH - LC"),"Type 3",IF(C886="Flourish","Type 4","Type 1"))))</f>
        <v/>
      </c>
      <c r="E886" s="852" t="n"/>
      <c r="F886" s="852" t="n"/>
      <c r="G886" s="852" t="n"/>
      <c r="H886" s="888" t="n"/>
      <c r="I886" s="889" t="n"/>
      <c r="J886" s="888" t="n"/>
      <c r="K886">
        <f>SUM(H886:J886)</f>
        <v/>
      </c>
      <c r="L886" s="852" t="n"/>
      <c r="M886" s="852" t="n"/>
      <c r="N886" s="852" t="n"/>
      <c r="O886" s="852" t="n"/>
      <c r="P886" s="852" t="n"/>
      <c r="Q886" s="852" t="n"/>
      <c r="R886" s="852" t="n"/>
      <c r="S886" s="852" t="n"/>
      <c r="T886" s="852" t="n"/>
      <c r="U886" s="852" t="n"/>
      <c r="V886" s="852" t="n"/>
      <c r="W886" s="852" t="n"/>
      <c r="X886" s="852" t="n"/>
      <c r="Y886" s="852" t="n"/>
      <c r="Z886" s="852" t="n"/>
      <c r="AA886" s="852" t="n"/>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c r="CL886" s="59" t="n"/>
      <c r="CM886" s="59" t="n"/>
      <c r="CN886" s="59" t="n"/>
    </row>
    <row r="887" ht="15" customFormat="1" customHeight="1" s="3">
      <c r="A887">
        <f>IF(C887="","",ROW()-2)</f>
        <v/>
      </c>
      <c r="B887" s="852" t="n"/>
      <c r="C887" s="852" t="n"/>
      <c r="D887">
        <f>IF(C887="TOH","Type 1",IF(C887="POH","Type 2",IF(OR(C887="LTO",C887="TOH-LC",C887="TOH - LC"),"Type 3",IF(C887="Flourish","Type 4","Type 1"))))</f>
        <v/>
      </c>
      <c r="E887" s="852" t="n"/>
      <c r="F887" s="852" t="n"/>
      <c r="G887" s="852" t="n"/>
      <c r="H887" s="888" t="n"/>
      <c r="I887" s="889" t="n"/>
      <c r="J887" s="888" t="n"/>
      <c r="K887">
        <f>SUM(H887:J887)</f>
        <v/>
      </c>
      <c r="L887" s="852" t="n"/>
      <c r="M887" s="852" t="n"/>
      <c r="N887" s="852" t="n"/>
      <c r="O887" s="852" t="n"/>
      <c r="P887" s="852" t="n"/>
      <c r="Q887" s="852" t="n"/>
      <c r="R887" s="852" t="n"/>
      <c r="S887" s="852" t="n"/>
      <c r="T887" s="852" t="n"/>
      <c r="U887" s="852" t="n"/>
      <c r="V887" s="852" t="n"/>
      <c r="W887" s="852" t="n"/>
      <c r="X887" s="852" t="n"/>
      <c r="Y887" s="852" t="n"/>
      <c r="Z887" s="852" t="n"/>
      <c r="AA887" s="852" t="n"/>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c r="CL887" s="59" t="n"/>
      <c r="CM887" s="59" t="n"/>
      <c r="CN887" s="59" t="n"/>
    </row>
    <row r="888" ht="15" customFormat="1" customHeight="1" s="3">
      <c r="A888">
        <f>IF(C888="","",ROW()-2)</f>
        <v/>
      </c>
      <c r="B888" s="852" t="n"/>
      <c r="C888" s="852" t="n"/>
      <c r="D888">
        <f>IF(C888="TOH","Type 1",IF(C888="POH","Type 2",IF(OR(C888="LTO",C888="TOH-LC",C888="TOH - LC"),"Type 3",IF(C888="Flourish","Type 4","Type 1"))))</f>
        <v/>
      </c>
      <c r="E888" s="852" t="n"/>
      <c r="F888" s="852" t="n"/>
      <c r="G888" s="852" t="n"/>
      <c r="H888" s="888" t="n"/>
      <c r="I888" s="889" t="n"/>
      <c r="J888" s="888" t="n"/>
      <c r="K888">
        <f>SUM(H888:J888)</f>
        <v/>
      </c>
      <c r="L888" s="852" t="n"/>
      <c r="M888" s="852" t="n"/>
      <c r="N888" s="852" t="n"/>
      <c r="O888" s="852" t="n"/>
      <c r="P888" s="852" t="n"/>
      <c r="Q888" s="852" t="n"/>
      <c r="R888" s="852" t="n"/>
      <c r="S888" s="852" t="n"/>
      <c r="T888" s="852" t="n"/>
      <c r="U888" s="852" t="n"/>
      <c r="V888" s="852" t="n"/>
      <c r="W888" s="852" t="n"/>
      <c r="X888" s="852" t="n"/>
      <c r="Y888" s="852" t="n"/>
      <c r="Z888" s="852" t="n"/>
      <c r="AA888" s="852" t="n"/>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c r="CL888" s="59" t="n"/>
      <c r="CM888" s="59" t="n"/>
      <c r="CN888" s="59" t="n"/>
    </row>
    <row r="889" ht="15" customFormat="1" customHeight="1" s="3">
      <c r="A889">
        <f>IF(C889="","",ROW()-2)</f>
        <v/>
      </c>
      <c r="B889" s="852" t="n"/>
      <c r="C889" s="852" t="n"/>
      <c r="D889">
        <f>IF(C889="TOH","Type 1",IF(C889="POH","Type 2",IF(OR(C889="LTO",C889="TOH-LC",C889="TOH - LC"),"Type 3",IF(C889="Flourish","Type 4","Type 1"))))</f>
        <v/>
      </c>
      <c r="E889" s="852" t="n"/>
      <c r="F889" s="852" t="n"/>
      <c r="G889" s="852" t="n"/>
      <c r="H889" s="888" t="n"/>
      <c r="I889" s="889" t="n"/>
      <c r="J889" s="888" t="n"/>
      <c r="K889">
        <f>SUM(H889:J889)</f>
        <v/>
      </c>
      <c r="L889" s="852" t="n"/>
      <c r="M889" s="852" t="n"/>
      <c r="N889" s="852" t="n"/>
      <c r="O889" s="852" t="n"/>
      <c r="P889" s="852" t="n"/>
      <c r="Q889" s="852" t="n"/>
      <c r="R889" s="852" t="n"/>
      <c r="S889" s="852" t="n"/>
      <c r="T889" s="852" t="n"/>
      <c r="U889" s="852" t="n"/>
      <c r="V889" s="852" t="n"/>
      <c r="W889" s="852" t="n"/>
      <c r="X889" s="852" t="n"/>
      <c r="Y889" s="852" t="n"/>
      <c r="Z889" s="852" t="n"/>
      <c r="AA889" s="852" t="n"/>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c r="CL889" s="59" t="n"/>
      <c r="CM889" s="59" t="n"/>
      <c r="CN889" s="59" t="n"/>
    </row>
    <row r="890" ht="15" customFormat="1" customHeight="1" s="3">
      <c r="A890">
        <f>IF(C890="","",ROW()-2)</f>
        <v/>
      </c>
      <c r="B890" s="852" t="n"/>
      <c r="C890" s="852" t="n"/>
      <c r="D890">
        <f>IF(C890="TOH","Type 1",IF(C890="POH","Type 2",IF(OR(C890="LTO",C890="TOH-LC",C890="TOH - LC"),"Type 3",IF(C890="Flourish","Type 4","Type 1"))))</f>
        <v/>
      </c>
      <c r="E890" s="852" t="n"/>
      <c r="F890" s="852" t="n"/>
      <c r="G890" s="852" t="n"/>
      <c r="H890" s="888" t="n"/>
      <c r="I890" s="889" t="n"/>
      <c r="J890" s="888" t="n"/>
      <c r="K890">
        <f>SUM(H890:J890)</f>
        <v/>
      </c>
      <c r="L890" s="852" t="n"/>
      <c r="M890" s="852" t="n"/>
      <c r="N890" s="852" t="n"/>
      <c r="O890" s="852" t="n"/>
      <c r="P890" s="852" t="n"/>
      <c r="Q890" s="852" t="n"/>
      <c r="R890" s="852" t="n"/>
      <c r="S890" s="852" t="n"/>
      <c r="T890" s="852" t="n"/>
      <c r="U890" s="852" t="n"/>
      <c r="V890" s="852" t="n"/>
      <c r="W890" s="852" t="n"/>
      <c r="X890" s="852" t="n"/>
      <c r="Y890" s="852" t="n"/>
      <c r="Z890" s="852" t="n"/>
      <c r="AA890" s="852" t="n"/>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c r="CL890" s="59" t="n"/>
      <c r="CM890" s="59" t="n"/>
      <c r="CN890" s="59" t="n"/>
    </row>
    <row r="891" ht="15" customFormat="1" customHeight="1" s="3">
      <c r="A891">
        <f>IF(C891="","",ROW()-2)</f>
        <v/>
      </c>
      <c r="B891" s="852" t="n"/>
      <c r="C891" s="852" t="n"/>
      <c r="D891">
        <f>IF(C891="TOH","Type 1",IF(C891="POH","Type 2",IF(OR(C891="LTO",C891="TOH-LC",C891="TOH - LC"),"Type 3",IF(C891="Flourish","Type 4","Type 1"))))</f>
        <v/>
      </c>
      <c r="E891" s="852" t="n"/>
      <c r="F891" s="852" t="n"/>
      <c r="G891" s="852" t="n"/>
      <c r="H891" s="888" t="n"/>
      <c r="I891" s="889" t="n"/>
      <c r="J891" s="888" t="n"/>
      <c r="K891">
        <f>SUM(H891:J891)</f>
        <v/>
      </c>
      <c r="L891" s="852" t="n"/>
      <c r="M891" s="852" t="n"/>
      <c r="N891" s="852" t="n"/>
      <c r="O891" s="852" t="n"/>
      <c r="P891" s="852" t="n"/>
      <c r="Q891" s="852" t="n"/>
      <c r="R891" s="852" t="n"/>
      <c r="S891" s="852" t="n"/>
      <c r="T891" s="852" t="n"/>
      <c r="U891" s="852" t="n"/>
      <c r="V891" s="852" t="n"/>
      <c r="W891" s="852" t="n"/>
      <c r="X891" s="852" t="n"/>
      <c r="Y891" s="852" t="n"/>
      <c r="Z891" s="852" t="n"/>
      <c r="AA891" s="852" t="n"/>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c r="CL891" s="59" t="n"/>
      <c r="CM891" s="59" t="n"/>
      <c r="CN891" s="59" t="n"/>
    </row>
    <row r="892" ht="15" customFormat="1" customHeight="1" s="3">
      <c r="A892">
        <f>IF(C892="","",ROW()-2)</f>
        <v/>
      </c>
      <c r="B892" s="852" t="n"/>
      <c r="C892" s="852" t="n"/>
      <c r="D892">
        <f>IF(C892="TOH","Type 1",IF(C892="POH","Type 2",IF(OR(C892="LTO",C892="TOH-LC",C892="TOH - LC"),"Type 3",IF(C892="Flourish","Type 4","Type 1"))))</f>
        <v/>
      </c>
      <c r="E892" s="852" t="n"/>
      <c r="F892" s="852" t="n"/>
      <c r="G892" s="852" t="n"/>
      <c r="H892" s="888" t="n"/>
      <c r="I892" s="889" t="n"/>
      <c r="J892" s="888" t="n"/>
      <c r="K892">
        <f>SUM(H892:J892)</f>
        <v/>
      </c>
      <c r="L892" s="852" t="n"/>
      <c r="M892" s="852" t="n"/>
      <c r="N892" s="852" t="n"/>
      <c r="O892" s="852" t="n"/>
      <c r="P892" s="852" t="n"/>
      <c r="Q892" s="852" t="n"/>
      <c r="R892" s="852" t="n"/>
      <c r="S892" s="852" t="n"/>
      <c r="T892" s="852" t="n"/>
      <c r="U892" s="852" t="n"/>
      <c r="V892" s="852" t="n"/>
      <c r="W892" s="852" t="n"/>
      <c r="X892" s="852" t="n"/>
      <c r="Y892" s="852" t="n"/>
      <c r="Z892" s="852" t="n"/>
      <c r="AA892" s="852" t="n"/>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c r="CL892" s="59" t="n"/>
      <c r="CM892" s="59" t="n"/>
      <c r="CN892" s="59" t="n"/>
    </row>
    <row r="893" ht="15" customFormat="1" customHeight="1" s="3">
      <c r="A893">
        <f>IF(C893="","",ROW()-2)</f>
        <v/>
      </c>
      <c r="B893" s="852" t="n"/>
      <c r="C893" s="852" t="n"/>
      <c r="D893">
        <f>IF(C893="TOH","Type 1",IF(C893="POH","Type 2",IF(OR(C893="LTO",C893="TOH-LC",C893="TOH - LC"),"Type 3",IF(C893="Flourish","Type 4","Type 1"))))</f>
        <v/>
      </c>
      <c r="E893" s="852" t="n"/>
      <c r="F893" s="852" t="n"/>
      <c r="G893" s="852" t="n"/>
      <c r="H893" s="888" t="n"/>
      <c r="I893" s="889" t="n"/>
      <c r="J893" s="888" t="n"/>
      <c r="K893">
        <f>SUM(H893:J893)</f>
        <v/>
      </c>
      <c r="L893" s="852" t="n"/>
      <c r="M893" s="852" t="n"/>
      <c r="N893" s="852" t="n"/>
      <c r="O893" s="852" t="n"/>
      <c r="P893" s="852" t="n"/>
      <c r="Q893" s="852" t="n"/>
      <c r="R893" s="852" t="n"/>
      <c r="S893" s="852" t="n"/>
      <c r="T893" s="852" t="n"/>
      <c r="U893" s="852" t="n"/>
      <c r="V893" s="852" t="n"/>
      <c r="W893" s="852" t="n"/>
      <c r="X893" s="852" t="n"/>
      <c r="Y893" s="852" t="n"/>
      <c r="Z893" s="852" t="n"/>
      <c r="AA893" s="852" t="n"/>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c r="CL893" s="59" t="n"/>
      <c r="CM893" s="59" t="n"/>
      <c r="CN893" s="59" t="n"/>
    </row>
    <row r="894" ht="15" customFormat="1" customHeight="1" s="3">
      <c r="A894">
        <f>IF(C894="","",ROW()-2)</f>
        <v/>
      </c>
      <c r="B894" s="852" t="n"/>
      <c r="C894" s="852" t="n"/>
      <c r="D894">
        <f>IF(C894="TOH","Type 1",IF(C894="POH","Type 2",IF(OR(C894="LTO",C894="TOH-LC",C894="TOH - LC"),"Type 3",IF(C894="Flourish","Type 4","Type 1"))))</f>
        <v/>
      </c>
      <c r="E894" s="852" t="n"/>
      <c r="F894" s="852" t="n"/>
      <c r="G894" s="852" t="n"/>
      <c r="H894" s="888" t="n"/>
      <c r="I894" s="889" t="n"/>
      <c r="J894" s="888" t="n"/>
      <c r="K894">
        <f>SUM(H894:J894)</f>
        <v/>
      </c>
      <c r="L894" s="852" t="n"/>
      <c r="M894" s="852" t="n"/>
      <c r="N894" s="852" t="n"/>
      <c r="O894" s="852" t="n"/>
      <c r="P894" s="852" t="n"/>
      <c r="Q894" s="852" t="n"/>
      <c r="R894" s="852" t="n"/>
      <c r="S894" s="852" t="n"/>
      <c r="T894" s="852" t="n"/>
      <c r="U894" s="852" t="n"/>
      <c r="V894" s="852" t="n"/>
      <c r="W894" s="852" t="n"/>
      <c r="X894" s="852" t="n"/>
      <c r="Y894" s="852" t="n"/>
      <c r="Z894" s="852" t="n"/>
      <c r="AA894" s="852" t="n"/>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c r="CL894" s="59" t="n"/>
      <c r="CM894" s="59" t="n"/>
      <c r="CN894" s="59" t="n"/>
    </row>
    <row r="895" ht="15" customFormat="1" customHeight="1" s="3">
      <c r="A895">
        <f>IF(C895="","",ROW()-2)</f>
        <v/>
      </c>
      <c r="B895" s="852" t="n"/>
      <c r="C895" s="852" t="n"/>
      <c r="D895">
        <f>IF(C895="TOH","Type 1",IF(C895="POH","Type 2",IF(OR(C895="LTO",C895="TOH-LC",C895="TOH - LC"),"Type 3",IF(C895="Flourish","Type 4","Type 1"))))</f>
        <v/>
      </c>
      <c r="E895" s="852" t="n"/>
      <c r="F895" s="852" t="n"/>
      <c r="G895" s="852" t="n"/>
      <c r="H895" s="888" t="n"/>
      <c r="I895" s="889" t="n"/>
      <c r="J895" s="888" t="n"/>
      <c r="K895">
        <f>SUM(H895:J895)</f>
        <v/>
      </c>
      <c r="L895" s="852" t="n"/>
      <c r="M895" s="852" t="n"/>
      <c r="N895" s="852" t="n"/>
      <c r="O895" s="852" t="n"/>
      <c r="P895" s="852" t="n"/>
      <c r="Q895" s="852" t="n"/>
      <c r="R895" s="852" t="n"/>
      <c r="S895" s="852" t="n"/>
      <c r="T895" s="852" t="n"/>
      <c r="U895" s="852" t="n"/>
      <c r="V895" s="852" t="n"/>
      <c r="W895" s="852" t="n"/>
      <c r="X895" s="852" t="n"/>
      <c r="Y895" s="852" t="n"/>
      <c r="Z895" s="852" t="n"/>
      <c r="AA895" s="852" t="n"/>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c r="CL895" s="59" t="n"/>
      <c r="CM895" s="59" t="n"/>
      <c r="CN895" s="59" t="n"/>
    </row>
    <row r="896" ht="15" customFormat="1" customHeight="1" s="3">
      <c r="A896">
        <f>IF(C896="","",ROW()-2)</f>
        <v/>
      </c>
      <c r="B896" s="852" t="n"/>
      <c r="C896" s="852" t="n"/>
      <c r="D896">
        <f>IF(C896="TOH","Type 1",IF(C896="POH","Type 2",IF(OR(C896="LTO",C896="TOH-LC",C896="TOH - LC"),"Type 3",IF(C896="Flourish","Type 4","Type 1"))))</f>
        <v/>
      </c>
      <c r="E896" s="852" t="n"/>
      <c r="F896" s="852" t="n"/>
      <c r="G896" s="852" t="n"/>
      <c r="H896" s="888" t="n"/>
      <c r="I896" s="889" t="n"/>
      <c r="J896" s="888" t="n"/>
      <c r="K896">
        <f>SUM(H896:J896)</f>
        <v/>
      </c>
      <c r="L896" s="852" t="n"/>
      <c r="M896" s="852" t="n"/>
      <c r="N896" s="852" t="n"/>
      <c r="O896" s="852" t="n"/>
      <c r="P896" s="852" t="n"/>
      <c r="Q896" s="852" t="n"/>
      <c r="R896" s="852" t="n"/>
      <c r="S896" s="852" t="n"/>
      <c r="T896" s="852" t="n"/>
      <c r="U896" s="852" t="n"/>
      <c r="V896" s="852" t="n"/>
      <c r="W896" s="852" t="n"/>
      <c r="X896" s="852" t="n"/>
      <c r="Y896" s="852" t="n"/>
      <c r="Z896" s="852" t="n"/>
      <c r="AA896" s="852" t="n"/>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c r="CL896" s="59" t="n"/>
      <c r="CM896" s="59" t="n"/>
      <c r="CN896" s="59" t="n"/>
    </row>
    <row r="897" ht="15" customFormat="1" customHeight="1" s="3">
      <c r="A897">
        <f>IF(C897="","",ROW()-2)</f>
        <v/>
      </c>
      <c r="B897" s="852" t="n"/>
      <c r="C897" s="852" t="n"/>
      <c r="D897">
        <f>IF(C897="TOH","Type 1",IF(C897="POH","Type 2",IF(OR(C897="LTO",C897="TOH-LC",C897="TOH - LC"),"Type 3",IF(C897="Flourish","Type 4","Type 1"))))</f>
        <v/>
      </c>
      <c r="E897" s="852" t="n"/>
      <c r="F897" s="852" t="n"/>
      <c r="G897" s="852" t="n"/>
      <c r="H897" s="888" t="n"/>
      <c r="I897" s="889" t="n"/>
      <c r="J897" s="888" t="n"/>
      <c r="K897">
        <f>SUM(H897:J897)</f>
        <v/>
      </c>
      <c r="L897" s="852" t="n"/>
      <c r="M897" s="852" t="n"/>
      <c r="N897" s="852" t="n"/>
      <c r="O897" s="852" t="n"/>
      <c r="P897" s="852" t="n"/>
      <c r="Q897" s="852" t="n"/>
      <c r="R897" s="852" t="n"/>
      <c r="S897" s="852" t="n"/>
      <c r="T897" s="852" t="n"/>
      <c r="U897" s="852" t="n"/>
      <c r="V897" s="852" t="n"/>
      <c r="W897" s="852" t="n"/>
      <c r="X897" s="852" t="n"/>
      <c r="Y897" s="852" t="n"/>
      <c r="Z897" s="852" t="n"/>
      <c r="AA897" s="852" t="n"/>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c r="CL897" s="59" t="n"/>
      <c r="CM897" s="59" t="n"/>
      <c r="CN897" s="59" t="n"/>
    </row>
    <row r="898" ht="15" customFormat="1" customHeight="1" s="3">
      <c r="A898">
        <f>IF(C898="","",ROW()-2)</f>
        <v/>
      </c>
      <c r="B898" s="852" t="n"/>
      <c r="C898" s="852" t="n"/>
      <c r="D898">
        <f>IF(C898="TOH","Type 1",IF(C898="POH","Type 2",IF(OR(C898="LTO",C898="TOH-LC",C898="TOH - LC"),"Type 3",IF(C898="Flourish","Type 4","Type 1"))))</f>
        <v/>
      </c>
      <c r="E898" s="852" t="n"/>
      <c r="F898" s="852" t="n"/>
      <c r="G898" s="852" t="n"/>
      <c r="H898" s="888" t="n"/>
      <c r="I898" s="889" t="n"/>
      <c r="J898" s="888" t="n"/>
      <c r="K898">
        <f>SUM(H898:J898)</f>
        <v/>
      </c>
      <c r="L898" s="852" t="n"/>
      <c r="M898" s="852" t="n"/>
      <c r="N898" s="852" t="n"/>
      <c r="O898" s="852" t="n"/>
      <c r="P898" s="852" t="n"/>
      <c r="Q898" s="852" t="n"/>
      <c r="R898" s="852" t="n"/>
      <c r="S898" s="852" t="n"/>
      <c r="T898" s="852" t="n"/>
      <c r="U898" s="852" t="n"/>
      <c r="V898" s="852" t="n"/>
      <c r="W898" s="852" t="n"/>
      <c r="X898" s="852" t="n"/>
      <c r="Y898" s="852" t="n"/>
      <c r="Z898" s="852" t="n"/>
      <c r="AA898" s="852" t="n"/>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c r="CL898" s="59" t="n"/>
      <c r="CM898" s="59" t="n"/>
      <c r="CN898" s="59" t="n"/>
    </row>
    <row r="899" ht="15" customFormat="1" customHeight="1" s="3">
      <c r="A899">
        <f>IF(C899="","",ROW()-2)</f>
        <v/>
      </c>
      <c r="B899" s="852" t="n"/>
      <c r="C899" s="852" t="n"/>
      <c r="D899">
        <f>IF(C899="TOH","Type 1",IF(C899="POH","Type 2",IF(OR(C899="LTO",C899="TOH-LC",C899="TOH - LC"),"Type 3",IF(C899="Flourish","Type 4","Type 1"))))</f>
        <v/>
      </c>
      <c r="E899" s="852" t="n"/>
      <c r="F899" s="852" t="n"/>
      <c r="G899" s="852" t="n"/>
      <c r="H899" s="888" t="n"/>
      <c r="I899" s="889" t="n"/>
      <c r="J899" s="888" t="n"/>
      <c r="K899">
        <f>SUM(H899:J899)</f>
        <v/>
      </c>
      <c r="L899" s="852" t="n"/>
      <c r="M899" s="852" t="n"/>
      <c r="N899" s="852" t="n"/>
      <c r="O899" s="852" t="n"/>
      <c r="P899" s="852" t="n"/>
      <c r="Q899" s="852" t="n"/>
      <c r="R899" s="852" t="n"/>
      <c r="S899" s="852" t="n"/>
      <c r="T899" s="852" t="n"/>
      <c r="U899" s="852" t="n"/>
      <c r="V899" s="852" t="n"/>
      <c r="W899" s="852" t="n"/>
      <c r="X899" s="852" t="n"/>
      <c r="Y899" s="852" t="n"/>
      <c r="Z899" s="852" t="n"/>
      <c r="AA899" s="852" t="n"/>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c r="CL899" s="59" t="n"/>
      <c r="CM899" s="59" t="n"/>
      <c r="CN899" s="59" t="n"/>
    </row>
    <row r="900" ht="15" customFormat="1" customHeight="1" s="3">
      <c r="A900">
        <f>IF(C900="","",ROW()-2)</f>
        <v/>
      </c>
      <c r="B900" s="852" t="n"/>
      <c r="C900" s="852" t="n"/>
      <c r="D900">
        <f>IF(C900="TOH","Type 1",IF(C900="POH","Type 2",IF(OR(C900="LTO",C900="TOH-LC",C900="TOH - LC"),"Type 3",IF(C900="Flourish","Type 4","Type 1"))))</f>
        <v/>
      </c>
      <c r="E900" s="852" t="n"/>
      <c r="F900" s="852" t="n"/>
      <c r="G900" s="852" t="n"/>
      <c r="H900" s="888" t="n"/>
      <c r="I900" s="889" t="n"/>
      <c r="J900" s="888" t="n"/>
      <c r="K900">
        <f>SUM(H900:J900)</f>
        <v/>
      </c>
      <c r="L900" s="852" t="n"/>
      <c r="M900" s="852" t="n"/>
      <c r="N900" s="852" t="n"/>
      <c r="O900" s="852" t="n"/>
      <c r="P900" s="852" t="n"/>
      <c r="Q900" s="852" t="n"/>
      <c r="R900" s="852" t="n"/>
      <c r="S900" s="852" t="n"/>
      <c r="T900" s="852" t="n"/>
      <c r="U900" s="852" t="n"/>
      <c r="V900" s="852" t="n"/>
      <c r="W900" s="852" t="n"/>
      <c r="X900" s="852" t="n"/>
      <c r="Y900" s="852" t="n"/>
      <c r="Z900" s="852" t="n"/>
      <c r="AA900" s="852" t="n"/>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c r="CL900" s="59" t="n"/>
      <c r="CM900" s="59" t="n"/>
      <c r="CN900" s="59" t="n"/>
    </row>
    <row r="901" ht="15" customFormat="1" customHeight="1" s="3">
      <c r="A901">
        <f>IF(C901="","",ROW()-2)</f>
        <v/>
      </c>
      <c r="B901" s="852" t="n"/>
      <c r="C901" s="852" t="n"/>
      <c r="D901">
        <f>IF(C901="TOH","Type 1",IF(C901="POH","Type 2",IF(OR(C901="LTO",C901="TOH-LC",C901="TOH - LC"),"Type 3",IF(C901="Flourish","Type 4","Type 1"))))</f>
        <v/>
      </c>
      <c r="E901" s="852" t="n"/>
      <c r="F901" s="852" t="n"/>
      <c r="G901" s="852" t="n"/>
      <c r="H901" s="888" t="n"/>
      <c r="I901" s="889" t="n"/>
      <c r="J901" s="888" t="n"/>
      <c r="K901">
        <f>SUM(H901:J901)</f>
        <v/>
      </c>
      <c r="L901" s="852" t="n"/>
      <c r="M901" s="852" t="n"/>
      <c r="N901" s="852" t="n"/>
      <c r="O901" s="852" t="n"/>
      <c r="P901" s="852" t="n"/>
      <c r="Q901" s="852" t="n"/>
      <c r="R901" s="852" t="n"/>
      <c r="S901" s="852" t="n"/>
      <c r="T901" s="852" t="n"/>
      <c r="U901" s="852" t="n"/>
      <c r="V901" s="852" t="n"/>
      <c r="W901" s="852" t="n"/>
      <c r="X901" s="852" t="n"/>
      <c r="Y901" s="852" t="n"/>
      <c r="Z901" s="852" t="n"/>
      <c r="AA901" s="852" t="n"/>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c r="CL901" s="59" t="n"/>
      <c r="CM901" s="59" t="n"/>
      <c r="CN901" s="59" t="n"/>
    </row>
    <row r="902" ht="15" customFormat="1" customHeight="1" s="3">
      <c r="A902">
        <f>IF(C902="","",ROW()-2)</f>
        <v/>
      </c>
      <c r="B902" s="852" t="n"/>
      <c r="C902" s="852" t="n"/>
      <c r="D902">
        <f>IF(C902="TOH","Type 1",IF(C902="POH","Type 2",IF(OR(C902="LTO",C902="TOH-LC",C902="TOH - LC"),"Type 3",IF(C902="Flourish","Type 4","Type 1"))))</f>
        <v/>
      </c>
      <c r="E902" s="852" t="n"/>
      <c r="F902" s="852" t="n"/>
      <c r="G902" s="852" t="n"/>
      <c r="H902" s="888" t="n"/>
      <c r="I902" s="889" t="n"/>
      <c r="J902" s="888" t="n"/>
      <c r="K902">
        <f>SUM(H902:J902)</f>
        <v/>
      </c>
      <c r="L902" s="852" t="n"/>
      <c r="M902" s="852" t="n"/>
      <c r="N902" s="852" t="n"/>
      <c r="O902" s="852" t="n"/>
      <c r="P902" s="852" t="n"/>
      <c r="Q902" s="852" t="n"/>
      <c r="R902" s="852" t="n"/>
      <c r="S902" s="852" t="n"/>
      <c r="T902" s="852" t="n"/>
      <c r="U902" s="852" t="n"/>
      <c r="V902" s="852" t="n"/>
      <c r="W902" s="852" t="n"/>
      <c r="X902" s="852" t="n"/>
      <c r="Y902" s="852" t="n"/>
      <c r="Z902" s="852" t="n"/>
      <c r="AA902" s="852" t="n"/>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c r="CL902" s="59" t="n"/>
      <c r="CM902" s="59" t="n"/>
      <c r="CN902" s="59" t="n"/>
    </row>
    <row r="903" ht="15" customFormat="1" customHeight="1" s="3">
      <c r="A903">
        <f>IF(C903="","",ROW()-2)</f>
        <v/>
      </c>
      <c r="B903" s="852" t="n"/>
      <c r="C903" s="852" t="n"/>
      <c r="D903">
        <f>IF(C903="TOH","Type 1",IF(C903="POH","Type 2",IF(OR(C903="LTO",C903="TOH-LC",C903="TOH - LC"),"Type 3",IF(C903="Flourish","Type 4","Type 1"))))</f>
        <v/>
      </c>
      <c r="E903" s="852" t="n"/>
      <c r="F903" s="852" t="n"/>
      <c r="G903" s="852" t="n"/>
      <c r="H903" s="888" t="n"/>
      <c r="I903" s="889" t="n"/>
      <c r="J903" s="888" t="n"/>
      <c r="K903">
        <f>SUM(H903:J903)</f>
        <v/>
      </c>
      <c r="L903" s="852" t="n"/>
      <c r="M903" s="852" t="n"/>
      <c r="N903" s="852" t="n"/>
      <c r="O903" s="852" t="n"/>
      <c r="P903" s="852" t="n"/>
      <c r="Q903" s="852" t="n"/>
      <c r="R903" s="852" t="n"/>
      <c r="S903" s="852" t="n"/>
      <c r="T903" s="852" t="n"/>
      <c r="U903" s="852" t="n"/>
      <c r="V903" s="852" t="n"/>
      <c r="W903" s="852" t="n"/>
      <c r="X903" s="852" t="n"/>
      <c r="Y903" s="852" t="n"/>
      <c r="Z903" s="852" t="n"/>
      <c r="AA903" s="852" t="n"/>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c r="CL903" s="59" t="n"/>
      <c r="CM903" s="59" t="n"/>
      <c r="CN903" s="59" t="n"/>
    </row>
    <row r="904" ht="15" customFormat="1" customHeight="1" s="3">
      <c r="A904">
        <f>IF(C904="","",ROW()-2)</f>
        <v/>
      </c>
      <c r="B904" s="852" t="n"/>
      <c r="C904" s="852" t="n"/>
      <c r="D904">
        <f>IF(C904="TOH","Type 1",IF(C904="POH","Type 2",IF(OR(C904="LTO",C904="TOH-LC",C904="TOH - LC"),"Type 3",IF(C904="Flourish","Type 4","Type 1"))))</f>
        <v/>
      </c>
      <c r="E904" s="852" t="n"/>
      <c r="F904" s="852" t="n"/>
      <c r="G904" s="852" t="n"/>
      <c r="H904" s="888" t="n"/>
      <c r="I904" s="889" t="n"/>
      <c r="J904" s="888" t="n"/>
      <c r="K904">
        <f>SUM(H904:J904)</f>
        <v/>
      </c>
      <c r="L904" s="852" t="n"/>
      <c r="M904" s="852" t="n"/>
      <c r="N904" s="852" t="n"/>
      <c r="O904" s="852" t="n"/>
      <c r="P904" s="852" t="n"/>
      <c r="Q904" s="852" t="n"/>
      <c r="R904" s="852" t="n"/>
      <c r="S904" s="852" t="n"/>
      <c r="T904" s="852" t="n"/>
      <c r="U904" s="852" t="n"/>
      <c r="V904" s="852" t="n"/>
      <c r="W904" s="852" t="n"/>
      <c r="X904" s="852" t="n"/>
      <c r="Y904" s="852" t="n"/>
      <c r="Z904" s="852" t="n"/>
      <c r="AA904" s="852" t="n"/>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c r="CL904" s="59" t="n"/>
      <c r="CM904" s="59" t="n"/>
      <c r="CN904" s="59" t="n"/>
    </row>
    <row r="905" ht="15" customFormat="1" customHeight="1" s="3">
      <c r="A905">
        <f>IF(C905="","",ROW()-2)</f>
        <v/>
      </c>
      <c r="B905" s="852" t="n"/>
      <c r="C905" s="852" t="n"/>
      <c r="D905">
        <f>IF(C905="TOH","Type 1",IF(C905="POH","Type 2",IF(OR(C905="LTO",C905="TOH-LC",C905="TOH - LC"),"Type 3",IF(C905="Flourish","Type 4","Type 1"))))</f>
        <v/>
      </c>
      <c r="E905" s="852" t="n"/>
      <c r="F905" s="852" t="n"/>
      <c r="G905" s="852" t="n"/>
      <c r="H905" s="888" t="n"/>
      <c r="I905" s="889" t="n"/>
      <c r="J905" s="888" t="n"/>
      <c r="K905">
        <f>SUM(H905:J905)</f>
        <v/>
      </c>
      <c r="L905" s="852" t="n"/>
      <c r="M905" s="852" t="n"/>
      <c r="N905" s="852" t="n"/>
      <c r="O905" s="852" t="n"/>
      <c r="P905" s="852" t="n"/>
      <c r="Q905" s="852" t="n"/>
      <c r="R905" s="852" t="n"/>
      <c r="S905" s="852" t="n"/>
      <c r="T905" s="852" t="n"/>
      <c r="U905" s="852" t="n"/>
      <c r="V905" s="852" t="n"/>
      <c r="W905" s="852" t="n"/>
      <c r="X905" s="852" t="n"/>
      <c r="Y905" s="852" t="n"/>
      <c r="Z905" s="852" t="n"/>
      <c r="AA905" s="852" t="n"/>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c r="CL905" s="59" t="n"/>
      <c r="CM905" s="59" t="n"/>
      <c r="CN905" s="59" t="n"/>
    </row>
    <row r="906" ht="15" customFormat="1" customHeight="1" s="3">
      <c r="A906">
        <f>IF(C906="","",ROW()-2)</f>
        <v/>
      </c>
      <c r="B906" s="852" t="n"/>
      <c r="C906" s="852" t="n"/>
      <c r="D906">
        <f>IF(C906="TOH","Type 1",IF(C906="POH","Type 2",IF(OR(C906="LTO",C906="TOH-LC",C906="TOH - LC"),"Type 3",IF(C906="Flourish","Type 4","Type 1"))))</f>
        <v/>
      </c>
      <c r="E906" s="852" t="n"/>
      <c r="F906" s="852" t="n"/>
      <c r="G906" s="852" t="n"/>
      <c r="H906" s="888" t="n"/>
      <c r="I906" s="889" t="n"/>
      <c r="J906" s="888" t="n"/>
      <c r="K906">
        <f>SUM(H906:J906)</f>
        <v/>
      </c>
      <c r="L906" s="852" t="n"/>
      <c r="M906" s="852" t="n"/>
      <c r="N906" s="852" t="n"/>
      <c r="O906" s="852" t="n"/>
      <c r="P906" s="852" t="n"/>
      <c r="Q906" s="852" t="n"/>
      <c r="R906" s="852" t="n"/>
      <c r="S906" s="852" t="n"/>
      <c r="T906" s="852" t="n"/>
      <c r="U906" s="852" t="n"/>
      <c r="V906" s="852" t="n"/>
      <c r="W906" s="852" t="n"/>
      <c r="X906" s="852" t="n"/>
      <c r="Y906" s="852" t="n"/>
      <c r="Z906" s="852" t="n"/>
      <c r="AA906" s="852" t="n"/>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c r="CL906" s="59" t="n"/>
      <c r="CM906" s="59" t="n"/>
      <c r="CN906" s="59" t="n"/>
    </row>
    <row r="907" ht="15" customFormat="1" customHeight="1" s="3">
      <c r="A907">
        <f>IF(C907="","",ROW()-2)</f>
        <v/>
      </c>
      <c r="B907" s="852" t="n"/>
      <c r="C907" s="852" t="n"/>
      <c r="D907">
        <f>IF(C907="TOH","Type 1",IF(C907="POH","Type 2",IF(OR(C907="LTO",C907="TOH-LC",C907="TOH - LC"),"Type 3",IF(C907="Flourish","Type 4","Type 1"))))</f>
        <v/>
      </c>
      <c r="E907" s="852" t="n"/>
      <c r="F907" s="852" t="n"/>
      <c r="G907" s="852" t="n"/>
      <c r="H907" s="888" t="n"/>
      <c r="I907" s="889" t="n"/>
      <c r="J907" s="888" t="n"/>
      <c r="K907">
        <f>SUM(H907:J907)</f>
        <v/>
      </c>
      <c r="L907" s="852" t="n"/>
      <c r="M907" s="852" t="n"/>
      <c r="N907" s="852" t="n"/>
      <c r="O907" s="852" t="n"/>
      <c r="P907" s="852" t="n"/>
      <c r="Q907" s="852" t="n"/>
      <c r="R907" s="852" t="n"/>
      <c r="S907" s="852" t="n"/>
      <c r="T907" s="852" t="n"/>
      <c r="U907" s="852" t="n"/>
      <c r="V907" s="852" t="n"/>
      <c r="W907" s="852" t="n"/>
      <c r="X907" s="852" t="n"/>
      <c r="Y907" s="852" t="n"/>
      <c r="Z907" s="852" t="n"/>
      <c r="AA907" s="852" t="n"/>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c r="CL907" s="59" t="n"/>
      <c r="CM907" s="59" t="n"/>
      <c r="CN907" s="59" t="n"/>
    </row>
    <row r="908" ht="15" customFormat="1" customHeight="1" s="3">
      <c r="A908">
        <f>IF(C908="","",ROW()-2)</f>
        <v/>
      </c>
      <c r="B908" s="852" t="n"/>
      <c r="C908" s="852" t="n"/>
      <c r="D908">
        <f>IF(C908="TOH","Type 1",IF(C908="POH","Type 2",IF(OR(C908="LTO",C908="TOH-LC",C908="TOH - LC"),"Type 3",IF(C908="Flourish","Type 4","Type 1"))))</f>
        <v/>
      </c>
      <c r="E908" s="852" t="n"/>
      <c r="F908" s="852" t="n"/>
      <c r="G908" s="852" t="n"/>
      <c r="H908" s="888" t="n"/>
      <c r="I908" s="889" t="n"/>
      <c r="J908" s="888" t="n"/>
      <c r="K908">
        <f>SUM(H908:J908)</f>
        <v/>
      </c>
      <c r="L908" s="852" t="n"/>
      <c r="M908" s="852" t="n"/>
      <c r="N908" s="852" t="n"/>
      <c r="O908" s="852" t="n"/>
      <c r="P908" s="852" t="n"/>
      <c r="Q908" s="852" t="n"/>
      <c r="R908" s="852" t="n"/>
      <c r="S908" s="852" t="n"/>
      <c r="T908" s="852" t="n"/>
      <c r="U908" s="852" t="n"/>
      <c r="V908" s="852" t="n"/>
      <c r="W908" s="852" t="n"/>
      <c r="X908" s="852" t="n"/>
      <c r="Y908" s="852" t="n"/>
      <c r="Z908" s="852" t="n"/>
      <c r="AA908" s="852" t="n"/>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c r="CL908" s="59" t="n"/>
      <c r="CM908" s="59" t="n"/>
      <c r="CN908" s="59" t="n"/>
    </row>
    <row r="909" ht="15" customFormat="1" customHeight="1" s="3">
      <c r="A909">
        <f>IF(C909="","",ROW()-2)</f>
        <v/>
      </c>
      <c r="B909" s="852" t="n"/>
      <c r="C909" s="852" t="n"/>
      <c r="D909">
        <f>IF(C909="TOH","Type 1",IF(C909="POH","Type 2",IF(OR(C909="LTO",C909="TOH-LC",C909="TOH - LC"),"Type 3",IF(C909="Flourish","Type 4","Type 1"))))</f>
        <v/>
      </c>
      <c r="E909" s="852" t="n"/>
      <c r="F909" s="852" t="n"/>
      <c r="G909" s="852" t="n"/>
      <c r="H909" s="888" t="n"/>
      <c r="I909" s="889" t="n"/>
      <c r="J909" s="888" t="n"/>
      <c r="K909">
        <f>SUM(H909:J909)</f>
        <v/>
      </c>
      <c r="L909" s="852" t="n"/>
      <c r="M909" s="852" t="n"/>
      <c r="N909" s="852" t="n"/>
      <c r="O909" s="852" t="n"/>
      <c r="P909" s="852" t="n"/>
      <c r="Q909" s="852" t="n"/>
      <c r="R909" s="852" t="n"/>
      <c r="S909" s="852" t="n"/>
      <c r="T909" s="852" t="n"/>
      <c r="U909" s="852" t="n"/>
      <c r="V909" s="852" t="n"/>
      <c r="W909" s="852" t="n"/>
      <c r="X909" s="852" t="n"/>
      <c r="Y909" s="852" t="n"/>
      <c r="Z909" s="852" t="n"/>
      <c r="AA909" s="852" t="n"/>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c r="CL909" s="59" t="n"/>
      <c r="CM909" s="59" t="n"/>
      <c r="CN909" s="59" t="n"/>
    </row>
    <row r="910" ht="15" customFormat="1" customHeight="1" s="3">
      <c r="A910">
        <f>IF(C910="","",ROW()-2)</f>
        <v/>
      </c>
      <c r="B910" s="852" t="n"/>
      <c r="C910" s="852" t="n"/>
      <c r="D910">
        <f>IF(C910="TOH","Type 1",IF(C910="POH","Type 2",IF(OR(C910="LTO",C910="TOH-LC",C910="TOH - LC"),"Type 3",IF(C910="Flourish","Type 4","Type 1"))))</f>
        <v/>
      </c>
      <c r="E910" s="852" t="n"/>
      <c r="F910" s="852" t="n"/>
      <c r="G910" s="852" t="n"/>
      <c r="H910" s="888" t="n"/>
      <c r="I910" s="889" t="n"/>
      <c r="J910" s="888" t="n"/>
      <c r="K910">
        <f>SUM(H910:J910)</f>
        <v/>
      </c>
      <c r="L910" s="852" t="n"/>
      <c r="M910" s="852" t="n"/>
      <c r="N910" s="852" t="n"/>
      <c r="O910" s="852" t="n"/>
      <c r="P910" s="852" t="n"/>
      <c r="Q910" s="852" t="n"/>
      <c r="R910" s="852" t="n"/>
      <c r="S910" s="852" t="n"/>
      <c r="T910" s="852" t="n"/>
      <c r="U910" s="852" t="n"/>
      <c r="V910" s="852" t="n"/>
      <c r="W910" s="852" t="n"/>
      <c r="X910" s="852" t="n"/>
      <c r="Y910" s="852" t="n"/>
      <c r="Z910" s="852" t="n"/>
      <c r="AA910" s="852" t="n"/>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c r="CL910" s="59" t="n"/>
      <c r="CM910" s="59" t="n"/>
      <c r="CN910" s="59" t="n"/>
    </row>
    <row r="911" ht="15" customFormat="1" customHeight="1" s="3">
      <c r="A911">
        <f>IF(C911="","",ROW()-2)</f>
        <v/>
      </c>
      <c r="B911" s="852" t="n"/>
      <c r="C911" s="852" t="n"/>
      <c r="D911">
        <f>IF(C911="TOH","Type 1",IF(C911="POH","Type 2",IF(OR(C911="LTO",C911="TOH-LC",C911="TOH - LC"),"Type 3",IF(C911="Flourish","Type 4","Type 1"))))</f>
        <v/>
      </c>
      <c r="E911" s="852" t="n"/>
      <c r="F911" s="852" t="n"/>
      <c r="G911" s="852" t="n"/>
      <c r="H911" s="888" t="n"/>
      <c r="I911" s="889" t="n"/>
      <c r="J911" s="888" t="n"/>
      <c r="K911">
        <f>SUM(H911:J911)</f>
        <v/>
      </c>
      <c r="L911" s="852" t="n"/>
      <c r="M911" s="852" t="n"/>
      <c r="N911" s="852" t="n"/>
      <c r="O911" s="852" t="n"/>
      <c r="P911" s="852" t="n"/>
      <c r="Q911" s="852" t="n"/>
      <c r="R911" s="852" t="n"/>
      <c r="S911" s="852" t="n"/>
      <c r="T911" s="852" t="n"/>
      <c r="U911" s="852" t="n"/>
      <c r="V911" s="852" t="n"/>
      <c r="W911" s="852" t="n"/>
      <c r="X911" s="852" t="n"/>
      <c r="Y911" s="852" t="n"/>
      <c r="Z911" s="852" t="n"/>
      <c r="AA911" s="852" t="n"/>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c r="CL911" s="59" t="n"/>
      <c r="CM911" s="59" t="n"/>
      <c r="CN911" s="59" t="n"/>
    </row>
    <row r="912" ht="15" customFormat="1" customHeight="1" s="3">
      <c r="A912">
        <f>IF(C912="","",ROW()-2)</f>
        <v/>
      </c>
      <c r="B912" s="852" t="n"/>
      <c r="C912" s="852" t="n"/>
      <c r="D912">
        <f>IF(C912="TOH","Type 1",IF(C912="POH","Type 2",IF(OR(C912="LTO",C912="TOH-LC",C912="TOH - LC"),"Type 3",IF(C912="Flourish","Type 4","Type 1"))))</f>
        <v/>
      </c>
      <c r="E912" s="852" t="n"/>
      <c r="F912" s="852" t="n"/>
      <c r="G912" s="852" t="n"/>
      <c r="H912" s="888" t="n"/>
      <c r="I912" s="889" t="n"/>
      <c r="J912" s="888" t="n"/>
      <c r="K912">
        <f>SUM(H912:J912)</f>
        <v/>
      </c>
      <c r="L912" s="852" t="n"/>
      <c r="M912" s="852" t="n"/>
      <c r="N912" s="852" t="n"/>
      <c r="O912" s="852" t="n"/>
      <c r="P912" s="852" t="n"/>
      <c r="Q912" s="852" t="n"/>
      <c r="R912" s="852" t="n"/>
      <c r="S912" s="852" t="n"/>
      <c r="T912" s="852" t="n"/>
      <c r="U912" s="852" t="n"/>
      <c r="V912" s="852" t="n"/>
      <c r="W912" s="852" t="n"/>
      <c r="X912" s="852" t="n"/>
      <c r="Y912" s="852" t="n"/>
      <c r="Z912" s="852" t="n"/>
      <c r="AA912" s="852" t="n"/>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c r="CL912" s="59" t="n"/>
      <c r="CM912" s="59" t="n"/>
      <c r="CN912" s="59" t="n"/>
    </row>
    <row r="913" ht="15" customFormat="1" customHeight="1" s="3">
      <c r="A913">
        <f>IF(C913="","",ROW()-2)</f>
        <v/>
      </c>
      <c r="B913" s="852" t="n"/>
      <c r="C913" s="852" t="n"/>
      <c r="D913">
        <f>IF(C913="TOH","Type 1",IF(C913="POH","Type 2",IF(OR(C913="LTO",C913="TOH-LC",C913="TOH - LC"),"Type 3",IF(C913="Flourish","Type 4","Type 1"))))</f>
        <v/>
      </c>
      <c r="E913" s="852" t="n"/>
      <c r="F913" s="852" t="n"/>
      <c r="G913" s="852" t="n"/>
      <c r="H913" s="888" t="n"/>
      <c r="I913" s="889" t="n"/>
      <c r="J913" s="888" t="n"/>
      <c r="K913">
        <f>SUM(H913:J913)</f>
        <v/>
      </c>
      <c r="L913" s="852" t="n"/>
      <c r="M913" s="852" t="n"/>
      <c r="N913" s="852" t="n"/>
      <c r="O913" s="852" t="n"/>
      <c r="P913" s="852" t="n"/>
      <c r="Q913" s="852" t="n"/>
      <c r="R913" s="852" t="n"/>
      <c r="S913" s="852" t="n"/>
      <c r="T913" s="852" t="n"/>
      <c r="U913" s="852" t="n"/>
      <c r="V913" s="852" t="n"/>
      <c r="W913" s="852" t="n"/>
      <c r="X913" s="852" t="n"/>
      <c r="Y913" s="852" t="n"/>
      <c r="Z913" s="852" t="n"/>
      <c r="AA913" s="852" t="n"/>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c r="CL913" s="59" t="n"/>
      <c r="CM913" s="59" t="n"/>
      <c r="CN913" s="59" t="n"/>
    </row>
    <row r="914" ht="15" customFormat="1" customHeight="1" s="3">
      <c r="A914">
        <f>IF(C914="","",ROW()-2)</f>
        <v/>
      </c>
      <c r="B914" s="852" t="n"/>
      <c r="C914" s="852" t="n"/>
      <c r="D914">
        <f>IF(C914="TOH","Type 1",IF(C914="POH","Type 2",IF(OR(C914="LTO",C914="TOH-LC",C914="TOH - LC"),"Type 3",IF(C914="Flourish","Type 4","Type 1"))))</f>
        <v/>
      </c>
      <c r="E914" s="852" t="n"/>
      <c r="F914" s="852" t="n"/>
      <c r="G914" s="852" t="n"/>
      <c r="H914" s="888" t="n"/>
      <c r="I914" s="889" t="n"/>
      <c r="J914" s="888" t="n"/>
      <c r="K914">
        <f>SUM(H914:J914)</f>
        <v/>
      </c>
      <c r="L914" s="852" t="n"/>
      <c r="M914" s="852" t="n"/>
      <c r="N914" s="852" t="n"/>
      <c r="O914" s="852" t="n"/>
      <c r="P914" s="852" t="n"/>
      <c r="Q914" s="852" t="n"/>
      <c r="R914" s="852" t="n"/>
      <c r="S914" s="852" t="n"/>
      <c r="T914" s="852" t="n"/>
      <c r="U914" s="852" t="n"/>
      <c r="V914" s="852" t="n"/>
      <c r="W914" s="852" t="n"/>
      <c r="X914" s="852" t="n"/>
      <c r="Y914" s="852" t="n"/>
      <c r="Z914" s="852" t="n"/>
      <c r="AA914" s="852" t="n"/>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c r="CL914" s="59" t="n"/>
      <c r="CM914" s="59" t="n"/>
      <c r="CN914" s="59" t="n"/>
    </row>
    <row r="915" ht="15" customFormat="1" customHeight="1" s="3">
      <c r="A915">
        <f>IF(C915="","",ROW()-2)</f>
        <v/>
      </c>
      <c r="B915" s="852" t="n"/>
      <c r="C915" s="852" t="n"/>
      <c r="D915">
        <f>IF(C915="TOH","Type 1",IF(C915="POH","Type 2",IF(OR(C915="LTO",C915="TOH-LC",C915="TOH - LC"),"Type 3",IF(C915="Flourish","Type 4","Type 1"))))</f>
        <v/>
      </c>
      <c r="E915" s="852" t="n"/>
      <c r="F915" s="852" t="n"/>
      <c r="G915" s="852" t="n"/>
      <c r="H915" s="888" t="n"/>
      <c r="I915" s="889" t="n"/>
      <c r="J915" s="888" t="n"/>
      <c r="K915">
        <f>SUM(H915:J915)</f>
        <v/>
      </c>
      <c r="L915" s="852" t="n"/>
      <c r="M915" s="852" t="n"/>
      <c r="N915" s="852" t="n"/>
      <c r="O915" s="852" t="n"/>
      <c r="P915" s="852" t="n"/>
      <c r="Q915" s="852" t="n"/>
      <c r="R915" s="852" t="n"/>
      <c r="S915" s="852" t="n"/>
      <c r="T915" s="852" t="n"/>
      <c r="U915" s="852" t="n"/>
      <c r="V915" s="852" t="n"/>
      <c r="W915" s="852" t="n"/>
      <c r="X915" s="852" t="n"/>
      <c r="Y915" s="852" t="n"/>
      <c r="Z915" s="852" t="n"/>
      <c r="AA915" s="852" t="n"/>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c r="CL915" s="59" t="n"/>
      <c r="CM915" s="59" t="n"/>
      <c r="CN915" s="59" t="n"/>
    </row>
    <row r="916" ht="15" customFormat="1" customHeight="1" s="3">
      <c r="A916">
        <f>IF(C916="","",ROW()-2)</f>
        <v/>
      </c>
      <c r="B916" s="852" t="n"/>
      <c r="C916" s="852" t="n"/>
      <c r="D916">
        <f>IF(C916="TOH","Type 1",IF(C916="POH","Type 2",IF(OR(C916="LTO",C916="TOH-LC",C916="TOH - LC"),"Type 3",IF(C916="Flourish","Type 4","Type 1"))))</f>
        <v/>
      </c>
      <c r="E916" s="852" t="n"/>
      <c r="F916" s="852" t="n"/>
      <c r="G916" s="852" t="n"/>
      <c r="H916" s="888" t="n"/>
      <c r="I916" s="889" t="n"/>
      <c r="J916" s="888" t="n"/>
      <c r="K916">
        <f>SUM(H916:J916)</f>
        <v/>
      </c>
      <c r="L916" s="852" t="n"/>
      <c r="M916" s="852" t="n"/>
      <c r="N916" s="852" t="n"/>
      <c r="O916" s="852" t="n"/>
      <c r="P916" s="852" t="n"/>
      <c r="Q916" s="852" t="n"/>
      <c r="R916" s="852" t="n"/>
      <c r="S916" s="852" t="n"/>
      <c r="T916" s="852" t="n"/>
      <c r="U916" s="852" t="n"/>
      <c r="V916" s="852" t="n"/>
      <c r="W916" s="852" t="n"/>
      <c r="X916" s="852" t="n"/>
      <c r="Y916" s="852" t="n"/>
      <c r="Z916" s="852" t="n"/>
      <c r="AA916" s="852" t="n"/>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c r="CL916" s="59" t="n"/>
      <c r="CM916" s="59" t="n"/>
      <c r="CN916" s="59" t="n"/>
    </row>
    <row r="917" ht="15" customFormat="1" customHeight="1" s="3">
      <c r="A917">
        <f>IF(C917="","",ROW()-2)</f>
        <v/>
      </c>
      <c r="B917" s="852" t="n"/>
      <c r="C917" s="852" t="n"/>
      <c r="D917">
        <f>IF(C917="TOH","Type 1",IF(C917="POH","Type 2",IF(OR(C917="LTO",C917="TOH-LC",C917="TOH - LC"),"Type 3",IF(C917="Flourish","Type 4","Type 1"))))</f>
        <v/>
      </c>
      <c r="E917" s="852" t="n"/>
      <c r="F917" s="852" t="n"/>
      <c r="G917" s="852" t="n"/>
      <c r="H917" s="888" t="n"/>
      <c r="I917" s="889" t="n"/>
      <c r="J917" s="888" t="n"/>
      <c r="K917">
        <f>SUM(H917:J917)</f>
        <v/>
      </c>
      <c r="L917" s="852" t="n"/>
      <c r="M917" s="852" t="n"/>
      <c r="N917" s="852" t="n"/>
      <c r="O917" s="852" t="n"/>
      <c r="P917" s="852" t="n"/>
      <c r="Q917" s="852" t="n"/>
      <c r="R917" s="852" t="n"/>
      <c r="S917" s="852" t="n"/>
      <c r="T917" s="852" t="n"/>
      <c r="U917" s="852" t="n"/>
      <c r="V917" s="852" t="n"/>
      <c r="W917" s="852" t="n"/>
      <c r="X917" s="852" t="n"/>
      <c r="Y917" s="852" t="n"/>
      <c r="Z917" s="852" t="n"/>
      <c r="AA917" s="852" t="n"/>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c r="CL917" s="59" t="n"/>
      <c r="CM917" s="59" t="n"/>
      <c r="CN917" s="59" t="n"/>
    </row>
    <row r="918" ht="15" customFormat="1" customHeight="1" s="3">
      <c r="A918">
        <f>IF(C918="","",ROW()-2)</f>
        <v/>
      </c>
      <c r="B918" s="852" t="n"/>
      <c r="C918" s="852" t="n"/>
      <c r="D918">
        <f>IF(C918="TOH","Type 1",IF(C918="POH","Type 2",IF(OR(C918="LTO",C918="TOH-LC",C918="TOH - LC"),"Type 3",IF(C918="Flourish","Type 4","Type 1"))))</f>
        <v/>
      </c>
      <c r="E918" s="852" t="n"/>
      <c r="F918" s="852" t="n"/>
      <c r="G918" s="852" t="n"/>
      <c r="H918" s="888" t="n"/>
      <c r="I918" s="889" t="n"/>
      <c r="J918" s="888" t="n"/>
      <c r="K918">
        <f>SUM(H918:J918)</f>
        <v/>
      </c>
      <c r="L918" s="852" t="n"/>
      <c r="M918" s="852" t="n"/>
      <c r="N918" s="852" t="n"/>
      <c r="O918" s="852" t="n"/>
      <c r="P918" s="852" t="n"/>
      <c r="Q918" s="852" t="n"/>
      <c r="R918" s="852" t="n"/>
      <c r="S918" s="852" t="n"/>
      <c r="T918" s="852" t="n"/>
      <c r="U918" s="852" t="n"/>
      <c r="V918" s="852" t="n"/>
      <c r="W918" s="852" t="n"/>
      <c r="X918" s="852" t="n"/>
      <c r="Y918" s="852" t="n"/>
      <c r="Z918" s="852" t="n"/>
      <c r="AA918" s="852" t="n"/>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c r="CL918" s="59" t="n"/>
      <c r="CM918" s="59" t="n"/>
      <c r="CN918" s="59" t="n"/>
    </row>
    <row r="919" ht="15" customFormat="1" customHeight="1" s="3">
      <c r="A919">
        <f>IF(C919="","",ROW()-2)</f>
        <v/>
      </c>
      <c r="B919" s="852" t="n"/>
      <c r="C919" s="852" t="n"/>
      <c r="D919">
        <f>IF(C919="TOH","Type 1",IF(C919="POH","Type 2",IF(OR(C919="LTO",C919="TOH-LC",C919="TOH - LC"),"Type 3",IF(C919="Flourish","Type 4","Type 1"))))</f>
        <v/>
      </c>
      <c r="E919" s="852" t="n"/>
      <c r="F919" s="852" t="n"/>
      <c r="G919" s="852" t="n"/>
      <c r="H919" s="888" t="n"/>
      <c r="I919" s="889" t="n"/>
      <c r="J919" s="888" t="n"/>
      <c r="K919">
        <f>SUM(H919:J919)</f>
        <v/>
      </c>
      <c r="L919" s="852" t="n"/>
      <c r="M919" s="852" t="n"/>
      <c r="N919" s="852" t="n"/>
      <c r="O919" s="852" t="n"/>
      <c r="P919" s="852" t="n"/>
      <c r="Q919" s="852" t="n"/>
      <c r="R919" s="852" t="n"/>
      <c r="S919" s="852" t="n"/>
      <c r="T919" s="852" t="n"/>
      <c r="U919" s="852" t="n"/>
      <c r="V919" s="852" t="n"/>
      <c r="W919" s="852" t="n"/>
      <c r="X919" s="852" t="n"/>
      <c r="Y919" s="852" t="n"/>
      <c r="Z919" s="852" t="n"/>
      <c r="AA919" s="852" t="n"/>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c r="CL919" s="59" t="n"/>
      <c r="CM919" s="59" t="n"/>
      <c r="CN919" s="59" t="n"/>
    </row>
    <row r="920" ht="15" customFormat="1" customHeight="1" s="3">
      <c r="A920">
        <f>IF(C920="","",ROW()-2)</f>
        <v/>
      </c>
      <c r="B920" s="852" t="n"/>
      <c r="C920" s="852" t="n"/>
      <c r="D920">
        <f>IF(C920="TOH","Type 1",IF(C920="POH","Type 2",IF(OR(C920="LTO",C920="TOH-LC",C920="TOH - LC"),"Type 3",IF(C920="Flourish","Type 4","Type 1"))))</f>
        <v/>
      </c>
      <c r="E920" s="852" t="n"/>
      <c r="F920" s="852" t="n"/>
      <c r="G920" s="852" t="n"/>
      <c r="H920" s="888" t="n"/>
      <c r="I920" s="889" t="n"/>
      <c r="J920" s="888" t="n"/>
      <c r="K920">
        <f>SUM(H920:J920)</f>
        <v/>
      </c>
      <c r="L920" s="852" t="n"/>
      <c r="M920" s="852" t="n"/>
      <c r="N920" s="852" t="n"/>
      <c r="O920" s="852" t="n"/>
      <c r="P920" s="852" t="n"/>
      <c r="Q920" s="852" t="n"/>
      <c r="R920" s="852" t="n"/>
      <c r="S920" s="852" t="n"/>
      <c r="T920" s="852" t="n"/>
      <c r="U920" s="852" t="n"/>
      <c r="V920" s="852" t="n"/>
      <c r="W920" s="852" t="n"/>
      <c r="X920" s="852" t="n"/>
      <c r="Y920" s="852" t="n"/>
      <c r="Z920" s="852" t="n"/>
      <c r="AA920" s="852" t="n"/>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c r="CL920" s="59" t="n"/>
      <c r="CM920" s="59" t="n"/>
      <c r="CN920" s="59" t="n"/>
    </row>
    <row r="921" ht="15" customFormat="1" customHeight="1" s="3">
      <c r="A921">
        <f>IF(C921="","",ROW()-2)</f>
        <v/>
      </c>
      <c r="B921" s="852" t="n"/>
      <c r="C921" s="852" t="n"/>
      <c r="D921">
        <f>IF(C921="TOH","Type 1",IF(C921="POH","Type 2",IF(OR(C921="LTO",C921="TOH-LC",C921="TOH - LC"),"Type 3",IF(C921="Flourish","Type 4","Type 1"))))</f>
        <v/>
      </c>
      <c r="E921" s="852" t="n"/>
      <c r="F921" s="852" t="n"/>
      <c r="G921" s="852" t="n"/>
      <c r="H921" s="888" t="n"/>
      <c r="I921" s="889" t="n"/>
      <c r="J921" s="888" t="n"/>
      <c r="K921">
        <f>SUM(H921:J921)</f>
        <v/>
      </c>
      <c r="L921" s="852" t="n"/>
      <c r="M921" s="852" t="n"/>
      <c r="N921" s="852" t="n"/>
      <c r="O921" s="852" t="n"/>
      <c r="P921" s="852" t="n"/>
      <c r="Q921" s="852" t="n"/>
      <c r="R921" s="852" t="n"/>
      <c r="S921" s="852" t="n"/>
      <c r="T921" s="852" t="n"/>
      <c r="U921" s="852" t="n"/>
      <c r="V921" s="852" t="n"/>
      <c r="W921" s="852" t="n"/>
      <c r="X921" s="852" t="n"/>
      <c r="Y921" s="852" t="n"/>
      <c r="Z921" s="852" t="n"/>
      <c r="AA921" s="852" t="n"/>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c r="CL921" s="59" t="n"/>
      <c r="CM921" s="59" t="n"/>
      <c r="CN921" s="59" t="n"/>
    </row>
    <row r="922" ht="15" customFormat="1" customHeight="1" s="3">
      <c r="A922">
        <f>IF(C922="","",ROW()-2)</f>
        <v/>
      </c>
      <c r="B922" s="852" t="n"/>
      <c r="C922" s="852" t="n"/>
      <c r="D922">
        <f>IF(C922="TOH","Type 1",IF(C922="POH","Type 2",IF(OR(C922="LTO",C922="TOH-LC",C922="TOH - LC"),"Type 3",IF(C922="Flourish","Type 4","Type 1"))))</f>
        <v/>
      </c>
      <c r="E922" s="852" t="n"/>
      <c r="F922" s="852" t="n"/>
      <c r="G922" s="852" t="n"/>
      <c r="H922" s="888" t="n"/>
      <c r="I922" s="889" t="n"/>
      <c r="J922" s="888" t="n"/>
      <c r="K922">
        <f>SUM(H922:J922)</f>
        <v/>
      </c>
      <c r="L922" s="852" t="n"/>
      <c r="M922" s="852" t="n"/>
      <c r="N922" s="852" t="n"/>
      <c r="O922" s="852" t="n"/>
      <c r="P922" s="852" t="n"/>
      <c r="Q922" s="852" t="n"/>
      <c r="R922" s="852" t="n"/>
      <c r="S922" s="852" t="n"/>
      <c r="T922" s="852" t="n"/>
      <c r="U922" s="852" t="n"/>
      <c r="V922" s="852" t="n"/>
      <c r="W922" s="852" t="n"/>
      <c r="X922" s="852" t="n"/>
      <c r="Y922" s="852" t="n"/>
      <c r="Z922" s="852" t="n"/>
      <c r="AA922" s="852" t="n"/>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c r="CL922" s="59" t="n"/>
      <c r="CM922" s="59" t="n"/>
      <c r="CN922" s="59" t="n"/>
    </row>
    <row r="923" ht="15" customFormat="1" customHeight="1" s="3">
      <c r="A923">
        <f>IF(C923="","",ROW()-2)</f>
        <v/>
      </c>
      <c r="B923" s="852" t="n"/>
      <c r="C923" s="852" t="n"/>
      <c r="D923">
        <f>IF(C923="TOH","Type 1",IF(C923="POH","Type 2",IF(OR(C923="LTO",C923="TOH-LC",C923="TOH - LC"),"Type 3",IF(C923="Flourish","Type 4","Type 1"))))</f>
        <v/>
      </c>
      <c r="E923" s="852" t="n"/>
      <c r="F923" s="852" t="n"/>
      <c r="G923" s="852" t="n"/>
      <c r="H923" s="888" t="n"/>
      <c r="I923" s="889" t="n"/>
      <c r="J923" s="888" t="n"/>
      <c r="K923">
        <f>SUM(H923:J923)</f>
        <v/>
      </c>
      <c r="L923" s="852" t="n"/>
      <c r="M923" s="852" t="n"/>
      <c r="N923" s="852" t="n"/>
      <c r="O923" s="852" t="n"/>
      <c r="P923" s="852" t="n"/>
      <c r="Q923" s="852" t="n"/>
      <c r="R923" s="852" t="n"/>
      <c r="S923" s="852" t="n"/>
      <c r="T923" s="852" t="n"/>
      <c r="U923" s="852" t="n"/>
      <c r="V923" s="852" t="n"/>
      <c r="W923" s="852" t="n"/>
      <c r="X923" s="852" t="n"/>
      <c r="Y923" s="852" t="n"/>
      <c r="Z923" s="852" t="n"/>
      <c r="AA923" s="852" t="n"/>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c r="CL923" s="59" t="n"/>
      <c r="CM923" s="59" t="n"/>
      <c r="CN923" s="59" t="n"/>
    </row>
    <row r="924" ht="15" customFormat="1" customHeight="1" s="3">
      <c r="A924">
        <f>IF(C924="","",ROW()-2)</f>
        <v/>
      </c>
      <c r="B924" s="852" t="n"/>
      <c r="C924" s="852" t="n"/>
      <c r="D924">
        <f>IF(C924="TOH","Type 1",IF(C924="POH","Type 2",IF(OR(C924="LTO",C924="TOH-LC",C924="TOH - LC"),"Type 3",IF(C924="Flourish","Type 4","Type 1"))))</f>
        <v/>
      </c>
      <c r="E924" s="852" t="n"/>
      <c r="F924" s="852" t="n"/>
      <c r="G924" s="852" t="n"/>
      <c r="H924" s="888" t="n"/>
      <c r="I924" s="889" t="n"/>
      <c r="J924" s="888" t="n"/>
      <c r="K924">
        <f>SUM(H924:J924)</f>
        <v/>
      </c>
      <c r="L924" s="852" t="n"/>
      <c r="M924" s="852" t="n"/>
      <c r="N924" s="852" t="n"/>
      <c r="O924" s="852" t="n"/>
      <c r="P924" s="852" t="n"/>
      <c r="Q924" s="852" t="n"/>
      <c r="R924" s="852" t="n"/>
      <c r="S924" s="852" t="n"/>
      <c r="T924" s="852" t="n"/>
      <c r="U924" s="852" t="n"/>
      <c r="V924" s="852" t="n"/>
      <c r="W924" s="852" t="n"/>
      <c r="X924" s="852" t="n"/>
      <c r="Y924" s="852" t="n"/>
      <c r="Z924" s="852" t="n"/>
      <c r="AA924" s="852" t="n"/>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c r="CL924" s="59" t="n"/>
      <c r="CM924" s="59" t="n"/>
      <c r="CN924" s="59" t="n"/>
    </row>
    <row r="925" ht="15" customFormat="1" customHeight="1" s="3">
      <c r="A925">
        <f>IF(C925="","",ROW()-2)</f>
        <v/>
      </c>
      <c r="B925" s="852" t="n"/>
      <c r="C925" s="852" t="n"/>
      <c r="D925">
        <f>IF(C925="TOH","Type 1",IF(C925="POH","Type 2",IF(OR(C925="LTO",C925="TOH-LC",C925="TOH - LC"),"Type 3",IF(C925="Flourish","Type 4","Type 1"))))</f>
        <v/>
      </c>
      <c r="E925" s="852" t="n"/>
      <c r="F925" s="852" t="n"/>
      <c r="G925" s="852" t="n"/>
      <c r="H925" s="888" t="n"/>
      <c r="I925" s="889" t="n"/>
      <c r="J925" s="888" t="n"/>
      <c r="K925">
        <f>SUM(H925:J925)</f>
        <v/>
      </c>
      <c r="L925" s="852" t="n"/>
      <c r="M925" s="852" t="n"/>
      <c r="N925" s="852" t="n"/>
      <c r="O925" s="852" t="n"/>
      <c r="P925" s="852" t="n"/>
      <c r="Q925" s="852" t="n"/>
      <c r="R925" s="852" t="n"/>
      <c r="S925" s="852" t="n"/>
      <c r="T925" s="852" t="n"/>
      <c r="U925" s="852" t="n"/>
      <c r="V925" s="852" t="n"/>
      <c r="W925" s="852" t="n"/>
      <c r="X925" s="852" t="n"/>
      <c r="Y925" s="852" t="n"/>
      <c r="Z925" s="852" t="n"/>
      <c r="AA925" s="852" t="n"/>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c r="CL925" s="59" t="n"/>
      <c r="CM925" s="59" t="n"/>
      <c r="CN925" s="59" t="n"/>
    </row>
    <row r="926" ht="15" customFormat="1" customHeight="1" s="3">
      <c r="A926">
        <f>IF(C926="","",ROW()-2)</f>
        <v/>
      </c>
      <c r="B926" s="852" t="n"/>
      <c r="C926" s="852" t="n"/>
      <c r="D926">
        <f>IF(C926="TOH","Type 1",IF(C926="POH","Type 2",IF(OR(C926="LTO",C926="TOH-LC",C926="TOH - LC"),"Type 3",IF(C926="Flourish","Type 4","Type 1"))))</f>
        <v/>
      </c>
      <c r="E926" s="852" t="n"/>
      <c r="F926" s="852" t="n"/>
      <c r="G926" s="852" t="n"/>
      <c r="H926" s="888" t="n"/>
      <c r="I926" s="889" t="n"/>
      <c r="J926" s="888" t="n"/>
      <c r="K926">
        <f>SUM(H926:J926)</f>
        <v/>
      </c>
      <c r="L926" s="852" t="n"/>
      <c r="M926" s="852" t="n"/>
      <c r="N926" s="852" t="n"/>
      <c r="O926" s="852" t="n"/>
      <c r="P926" s="852" t="n"/>
      <c r="Q926" s="852" t="n"/>
      <c r="R926" s="852" t="n"/>
      <c r="S926" s="852" t="n"/>
      <c r="T926" s="852" t="n"/>
      <c r="U926" s="852" t="n"/>
      <c r="V926" s="852" t="n"/>
      <c r="W926" s="852" t="n"/>
      <c r="X926" s="852" t="n"/>
      <c r="Y926" s="852" t="n"/>
      <c r="Z926" s="852" t="n"/>
      <c r="AA926" s="852" t="n"/>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c r="CL926" s="59" t="n"/>
      <c r="CM926" s="59" t="n"/>
      <c r="CN926" s="59" t="n"/>
    </row>
    <row r="927" ht="15" customFormat="1" customHeight="1" s="3">
      <c r="A927">
        <f>IF(C927="","",ROW()-2)</f>
        <v/>
      </c>
      <c r="B927" s="852" t="n"/>
      <c r="C927" s="852" t="n"/>
      <c r="D927">
        <f>IF(C927="TOH","Type 1",IF(C927="POH","Type 2",IF(OR(C927="LTO",C927="TOH-LC",C927="TOH - LC"),"Type 3",IF(C927="Flourish","Type 4","Type 1"))))</f>
        <v/>
      </c>
      <c r="E927" s="852" t="n"/>
      <c r="F927" s="852" t="n"/>
      <c r="G927" s="852" t="n"/>
      <c r="H927" s="888" t="n"/>
      <c r="I927" s="889" t="n"/>
      <c r="J927" s="888" t="n"/>
      <c r="K927">
        <f>SUM(H927:J927)</f>
        <v/>
      </c>
      <c r="L927" s="852" t="n"/>
      <c r="M927" s="852" t="n"/>
      <c r="N927" s="852" t="n"/>
      <c r="O927" s="852" t="n"/>
      <c r="P927" s="852" t="n"/>
      <c r="Q927" s="852" t="n"/>
      <c r="R927" s="852" t="n"/>
      <c r="S927" s="852" t="n"/>
      <c r="T927" s="852" t="n"/>
      <c r="U927" s="852" t="n"/>
      <c r="V927" s="852" t="n"/>
      <c r="W927" s="852" t="n"/>
      <c r="X927" s="852" t="n"/>
      <c r="Y927" s="852" t="n"/>
      <c r="Z927" s="852" t="n"/>
      <c r="AA927" s="852" t="n"/>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c r="CL927" s="59" t="n"/>
      <c r="CM927" s="59" t="n"/>
      <c r="CN927" s="59" t="n"/>
    </row>
    <row r="928" ht="15" customFormat="1" customHeight="1" s="3">
      <c r="A928">
        <f>IF(C928="","",ROW()-2)</f>
        <v/>
      </c>
      <c r="B928" s="852" t="n"/>
      <c r="C928" s="852" t="n"/>
      <c r="D928">
        <f>IF(C928="TOH","Type 1",IF(C928="POH","Type 2",IF(OR(C928="LTO",C928="TOH-LC",C928="TOH - LC"),"Type 3",IF(C928="Flourish","Type 4","Type 1"))))</f>
        <v/>
      </c>
      <c r="E928" s="852" t="n"/>
      <c r="F928" s="852" t="n"/>
      <c r="G928" s="852" t="n"/>
      <c r="H928" s="888" t="n"/>
      <c r="I928" s="889" t="n"/>
      <c r="J928" s="888" t="n"/>
      <c r="K928">
        <f>SUM(H928:J928)</f>
        <v/>
      </c>
      <c r="L928" s="852" t="n"/>
      <c r="M928" s="852" t="n"/>
      <c r="N928" s="852" t="n"/>
      <c r="O928" s="852" t="n"/>
      <c r="P928" s="852" t="n"/>
      <c r="Q928" s="852" t="n"/>
      <c r="R928" s="852" t="n"/>
      <c r="S928" s="852" t="n"/>
      <c r="T928" s="852" t="n"/>
      <c r="U928" s="852" t="n"/>
      <c r="V928" s="852" t="n"/>
      <c r="W928" s="852" t="n"/>
      <c r="X928" s="852" t="n"/>
      <c r="Y928" s="852" t="n"/>
      <c r="Z928" s="852" t="n"/>
      <c r="AA928" s="852" t="n"/>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c r="CL928" s="59" t="n"/>
      <c r="CM928" s="59" t="n"/>
      <c r="CN928" s="59" t="n"/>
    </row>
    <row r="929" ht="15" customFormat="1" customHeight="1" s="3">
      <c r="A929">
        <f>IF(C929="","",ROW()-2)</f>
        <v/>
      </c>
      <c r="B929" s="852" t="n"/>
      <c r="C929" s="852" t="n"/>
      <c r="D929">
        <f>IF(C929="TOH","Type 1",IF(C929="POH","Type 2",IF(OR(C929="LTO",C929="TOH-LC",C929="TOH - LC"),"Type 3",IF(C929="Flourish","Type 4","Type 1"))))</f>
        <v/>
      </c>
      <c r="E929" s="852" t="n"/>
      <c r="F929" s="852" t="n"/>
      <c r="G929" s="852" t="n"/>
      <c r="H929" s="888" t="n"/>
      <c r="I929" s="889" t="n"/>
      <c r="J929" s="888" t="n"/>
      <c r="K929">
        <f>SUM(H929:J929)</f>
        <v/>
      </c>
      <c r="L929" s="852" t="n"/>
      <c r="M929" s="852" t="n"/>
      <c r="N929" s="852" t="n"/>
      <c r="O929" s="852" t="n"/>
      <c r="P929" s="852" t="n"/>
      <c r="Q929" s="852" t="n"/>
      <c r="R929" s="852" t="n"/>
      <c r="S929" s="852" t="n"/>
      <c r="T929" s="852" t="n"/>
      <c r="U929" s="852" t="n"/>
      <c r="V929" s="852" t="n"/>
      <c r="W929" s="852" t="n"/>
      <c r="X929" s="852" t="n"/>
      <c r="Y929" s="852" t="n"/>
      <c r="Z929" s="852" t="n"/>
      <c r="AA929" s="852" t="n"/>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c r="CL929" s="59" t="n"/>
      <c r="CM929" s="59" t="n"/>
      <c r="CN929" s="59" t="n"/>
    </row>
    <row r="930" ht="15" customFormat="1" customHeight="1" s="3">
      <c r="A930">
        <f>IF(C930="","",ROW()-2)</f>
        <v/>
      </c>
      <c r="B930" s="852" t="n"/>
      <c r="C930" s="852" t="n"/>
      <c r="D930">
        <f>IF(C930="TOH","Type 1",IF(C930="POH","Type 2",IF(OR(C930="LTO",C930="TOH-LC",C930="TOH - LC"),"Type 3",IF(C930="Flourish","Type 4","Type 1"))))</f>
        <v/>
      </c>
      <c r="E930" s="852" t="n"/>
      <c r="F930" s="852" t="n"/>
      <c r="G930" s="852" t="n"/>
      <c r="H930" s="888" t="n"/>
      <c r="I930" s="889" t="n"/>
      <c r="J930" s="888" t="n"/>
      <c r="K930">
        <f>SUM(H930:J930)</f>
        <v/>
      </c>
      <c r="L930" s="852" t="n"/>
      <c r="M930" s="852" t="n"/>
      <c r="N930" s="852" t="n"/>
      <c r="O930" s="852" t="n"/>
      <c r="P930" s="852" t="n"/>
      <c r="Q930" s="852" t="n"/>
      <c r="R930" s="852" t="n"/>
      <c r="S930" s="852" t="n"/>
      <c r="T930" s="852" t="n"/>
      <c r="U930" s="852" t="n"/>
      <c r="V930" s="852" t="n"/>
      <c r="W930" s="852" t="n"/>
      <c r="X930" s="852" t="n"/>
      <c r="Y930" s="852" t="n"/>
      <c r="Z930" s="852" t="n"/>
      <c r="AA930" s="852" t="n"/>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c r="CL930" s="59" t="n"/>
      <c r="CM930" s="59" t="n"/>
      <c r="CN930" s="59" t="n"/>
    </row>
    <row r="931" ht="15" customFormat="1" customHeight="1" s="3">
      <c r="A931">
        <f>IF(C931="","",ROW()-2)</f>
        <v/>
      </c>
      <c r="B931" s="852" t="n"/>
      <c r="C931" s="852" t="n"/>
      <c r="D931">
        <f>IF(C931="TOH","Type 1",IF(C931="POH","Type 2",IF(OR(C931="LTO",C931="TOH-LC",C931="TOH - LC"),"Type 3",IF(C931="Flourish","Type 4","Type 1"))))</f>
        <v/>
      </c>
      <c r="E931" s="852" t="n"/>
      <c r="F931" s="852" t="n"/>
      <c r="G931" s="852" t="n"/>
      <c r="H931" s="888" t="n"/>
      <c r="I931" s="889" t="n"/>
      <c r="J931" s="888" t="n"/>
      <c r="K931">
        <f>SUM(H931:J931)</f>
        <v/>
      </c>
      <c r="L931" s="852" t="n"/>
      <c r="M931" s="852" t="n"/>
      <c r="N931" s="852" t="n"/>
      <c r="O931" s="852" t="n"/>
      <c r="P931" s="852" t="n"/>
      <c r="Q931" s="852" t="n"/>
      <c r="R931" s="852" t="n"/>
      <c r="S931" s="852" t="n"/>
      <c r="T931" s="852" t="n"/>
      <c r="U931" s="852" t="n"/>
      <c r="V931" s="852" t="n"/>
      <c r="W931" s="852" t="n"/>
      <c r="X931" s="852" t="n"/>
      <c r="Y931" s="852" t="n"/>
      <c r="Z931" s="852" t="n"/>
      <c r="AA931" s="852" t="n"/>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c r="CL931" s="59" t="n"/>
      <c r="CM931" s="59" t="n"/>
      <c r="CN931" s="59" t="n"/>
    </row>
    <row r="932" ht="15" customFormat="1" customHeight="1" s="3">
      <c r="A932">
        <f>IF(C932="","",ROW()-2)</f>
        <v/>
      </c>
      <c r="B932" s="852" t="n"/>
      <c r="C932" s="852" t="n"/>
      <c r="D932">
        <f>IF(C932="TOH","Type 1",IF(C932="POH","Type 2",IF(OR(C932="LTO",C932="TOH-LC",C932="TOH - LC"),"Type 3",IF(C932="Flourish","Type 4","Type 1"))))</f>
        <v/>
      </c>
      <c r="E932" s="852" t="n"/>
      <c r="F932" s="852" t="n"/>
      <c r="G932" s="852" t="n"/>
      <c r="H932" s="888" t="n"/>
      <c r="I932" s="889" t="n"/>
      <c r="J932" s="888" t="n"/>
      <c r="K932">
        <f>SUM(H932:J932)</f>
        <v/>
      </c>
      <c r="L932" s="852" t="n"/>
      <c r="M932" s="852" t="n"/>
      <c r="N932" s="852" t="n"/>
      <c r="O932" s="852" t="n"/>
      <c r="P932" s="852" t="n"/>
      <c r="Q932" s="852" t="n"/>
      <c r="R932" s="852" t="n"/>
      <c r="S932" s="852" t="n"/>
      <c r="T932" s="852" t="n"/>
      <c r="U932" s="852" t="n"/>
      <c r="V932" s="852" t="n"/>
      <c r="W932" s="852" t="n"/>
      <c r="X932" s="852" t="n"/>
      <c r="Y932" s="852" t="n"/>
      <c r="Z932" s="852" t="n"/>
      <c r="AA932" s="852" t="n"/>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c r="CL932" s="59" t="n"/>
      <c r="CM932" s="59" t="n"/>
      <c r="CN932" s="59" t="n"/>
    </row>
    <row r="933" ht="15" customFormat="1" customHeight="1" s="3">
      <c r="A933">
        <f>IF(C933="","",ROW()-2)</f>
        <v/>
      </c>
      <c r="B933" s="852" t="n"/>
      <c r="C933" s="852" t="n"/>
      <c r="D933">
        <f>IF(C933="TOH","Type 1",IF(C933="POH","Type 2",IF(OR(C933="LTO",C933="TOH-LC",C933="TOH - LC"),"Type 3",IF(C933="Flourish","Type 4","Type 1"))))</f>
        <v/>
      </c>
      <c r="E933" s="852" t="n"/>
      <c r="F933" s="852" t="n"/>
      <c r="G933" s="852" t="n"/>
      <c r="H933" s="888" t="n"/>
      <c r="I933" s="889" t="n"/>
      <c r="J933" s="888" t="n"/>
      <c r="K933">
        <f>SUM(H933:J933)</f>
        <v/>
      </c>
      <c r="L933" s="852" t="n"/>
      <c r="M933" s="852" t="n"/>
      <c r="N933" s="852" t="n"/>
      <c r="O933" s="852" t="n"/>
      <c r="P933" s="852" t="n"/>
      <c r="Q933" s="852" t="n"/>
      <c r="R933" s="852" t="n"/>
      <c r="S933" s="852" t="n"/>
      <c r="T933" s="852" t="n"/>
      <c r="U933" s="852" t="n"/>
      <c r="V933" s="852" t="n"/>
      <c r="W933" s="852" t="n"/>
      <c r="X933" s="852" t="n"/>
      <c r="Y933" s="852" t="n"/>
      <c r="Z933" s="852" t="n"/>
      <c r="AA933" s="852" t="n"/>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c r="CL933" s="59" t="n"/>
      <c r="CM933" s="59" t="n"/>
      <c r="CN933" s="59" t="n"/>
    </row>
    <row r="934" ht="15" customFormat="1" customHeight="1" s="3">
      <c r="A934">
        <f>IF(C934="","",ROW()-2)</f>
        <v/>
      </c>
      <c r="B934" s="852" t="n"/>
      <c r="C934" s="852" t="n"/>
      <c r="D934">
        <f>IF(C934="TOH","Type 1",IF(C934="POH","Type 2",IF(OR(C934="LTO",C934="TOH-LC",C934="TOH - LC"),"Type 3",IF(C934="Flourish","Type 4","Type 1"))))</f>
        <v/>
      </c>
      <c r="E934" s="852" t="n"/>
      <c r="F934" s="852" t="n"/>
      <c r="G934" s="852" t="n"/>
      <c r="H934" s="888" t="n"/>
      <c r="I934" s="889" t="n"/>
      <c r="J934" s="888" t="n"/>
      <c r="K934">
        <f>SUM(H934:J934)</f>
        <v/>
      </c>
      <c r="L934" s="852" t="n"/>
      <c r="M934" s="852" t="n"/>
      <c r="N934" s="852" t="n"/>
      <c r="O934" s="852" t="n"/>
      <c r="P934" s="852" t="n"/>
      <c r="Q934" s="852" t="n"/>
      <c r="R934" s="852" t="n"/>
      <c r="S934" s="852" t="n"/>
      <c r="T934" s="852" t="n"/>
      <c r="U934" s="852" t="n"/>
      <c r="V934" s="852" t="n"/>
      <c r="W934" s="852" t="n"/>
      <c r="X934" s="852" t="n"/>
      <c r="Y934" s="852" t="n"/>
      <c r="Z934" s="852" t="n"/>
      <c r="AA934" s="852" t="n"/>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c r="CL934" s="59" t="n"/>
      <c r="CM934" s="59" t="n"/>
      <c r="CN934" s="59" t="n"/>
    </row>
    <row r="935" ht="15" customFormat="1" customHeight="1" s="3">
      <c r="A935">
        <f>IF(C935="","",ROW()-2)</f>
        <v/>
      </c>
      <c r="B935" s="852" t="n"/>
      <c r="C935" s="852" t="n"/>
      <c r="D935">
        <f>IF(C935="TOH","Type 1",IF(C935="POH","Type 2",IF(OR(C935="LTO",C935="TOH-LC",C935="TOH - LC"),"Type 3",IF(C935="Flourish","Type 4","Type 1"))))</f>
        <v/>
      </c>
      <c r="E935" s="852" t="n"/>
      <c r="F935" s="852" t="n"/>
      <c r="G935" s="852" t="n"/>
      <c r="H935" s="888" t="n"/>
      <c r="I935" s="889" t="n"/>
      <c r="J935" s="888" t="n"/>
      <c r="K935">
        <f>SUM(H935:J935)</f>
        <v/>
      </c>
      <c r="L935" s="852" t="n"/>
      <c r="M935" s="852" t="n"/>
      <c r="N935" s="852" t="n"/>
      <c r="O935" s="852" t="n"/>
      <c r="P935" s="852" t="n"/>
      <c r="Q935" s="852" t="n"/>
      <c r="R935" s="852" t="n"/>
      <c r="S935" s="852" t="n"/>
      <c r="T935" s="852" t="n"/>
      <c r="U935" s="852" t="n"/>
      <c r="V935" s="852" t="n"/>
      <c r="W935" s="852" t="n"/>
      <c r="X935" s="852" t="n"/>
      <c r="Y935" s="852" t="n"/>
      <c r="Z935" s="852" t="n"/>
      <c r="AA935" s="852" t="n"/>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c r="CL935" s="59" t="n"/>
      <c r="CM935" s="59" t="n"/>
      <c r="CN935" s="59" t="n"/>
    </row>
    <row r="936" ht="15" customFormat="1" customHeight="1" s="3">
      <c r="A936">
        <f>IF(C936="","",ROW()-2)</f>
        <v/>
      </c>
      <c r="B936" s="852" t="n"/>
      <c r="C936" s="852" t="n"/>
      <c r="D936">
        <f>IF(C936="TOH","Type 1",IF(C936="POH","Type 2",IF(OR(C936="LTO",C936="TOH-LC",C936="TOH - LC"),"Type 3",IF(C936="Flourish","Type 4","Type 1"))))</f>
        <v/>
      </c>
      <c r="E936" s="852" t="n"/>
      <c r="F936" s="852" t="n"/>
      <c r="G936" s="852" t="n"/>
      <c r="H936" s="888" t="n"/>
      <c r="I936" s="889" t="n"/>
      <c r="J936" s="888" t="n"/>
      <c r="K936">
        <f>SUM(H936:J936)</f>
        <v/>
      </c>
      <c r="L936" s="852" t="n"/>
      <c r="M936" s="852" t="n"/>
      <c r="N936" s="852" t="n"/>
      <c r="O936" s="852" t="n"/>
      <c r="P936" s="852" t="n"/>
      <c r="Q936" s="852" t="n"/>
      <c r="R936" s="852" t="n"/>
      <c r="S936" s="852" t="n"/>
      <c r="T936" s="852" t="n"/>
      <c r="U936" s="852" t="n"/>
      <c r="V936" s="852" t="n"/>
      <c r="W936" s="852" t="n"/>
      <c r="X936" s="852" t="n"/>
      <c r="Y936" s="852" t="n"/>
      <c r="Z936" s="852" t="n"/>
      <c r="AA936" s="852" t="n"/>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c r="CL936" s="59" t="n"/>
      <c r="CM936" s="59" t="n"/>
      <c r="CN936" s="59" t="n"/>
    </row>
    <row r="937" ht="15" customFormat="1" customHeight="1" s="3">
      <c r="A937">
        <f>IF(C937="","",ROW()-2)</f>
        <v/>
      </c>
      <c r="B937" s="852" t="n"/>
      <c r="C937" s="852" t="n"/>
      <c r="D937">
        <f>IF(C937="TOH","Type 1",IF(C937="POH","Type 2",IF(OR(C937="LTO",C937="TOH-LC",C937="TOH - LC"),"Type 3",IF(C937="Flourish","Type 4","Type 1"))))</f>
        <v/>
      </c>
      <c r="E937" s="852" t="n"/>
      <c r="F937" s="852" t="n"/>
      <c r="G937" s="852" t="n"/>
      <c r="H937" s="888" t="n"/>
      <c r="I937" s="889" t="n"/>
      <c r="J937" s="888" t="n"/>
      <c r="K937">
        <f>SUM(H937:J937)</f>
        <v/>
      </c>
      <c r="L937" s="852" t="n"/>
      <c r="M937" s="852" t="n"/>
      <c r="N937" s="852" t="n"/>
      <c r="O937" s="852" t="n"/>
      <c r="P937" s="852" t="n"/>
      <c r="Q937" s="852" t="n"/>
      <c r="R937" s="852" t="n"/>
      <c r="S937" s="852" t="n"/>
      <c r="T937" s="852" t="n"/>
      <c r="U937" s="852" t="n"/>
      <c r="V937" s="852" t="n"/>
      <c r="W937" s="852" t="n"/>
      <c r="X937" s="852" t="n"/>
      <c r="Y937" s="852" t="n"/>
      <c r="Z937" s="852" t="n"/>
      <c r="AA937" s="852" t="n"/>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c r="CL937" s="59" t="n"/>
      <c r="CM937" s="59" t="n"/>
      <c r="CN937" s="59" t="n"/>
    </row>
    <row r="938" ht="15" customFormat="1" customHeight="1" s="3">
      <c r="A938">
        <f>IF(C938="","",ROW()-2)</f>
        <v/>
      </c>
      <c r="B938" s="852" t="n"/>
      <c r="C938" s="852" t="n"/>
      <c r="D938">
        <f>IF(C938="TOH","Type 1",IF(C938="POH","Type 2",IF(OR(C938="LTO",C938="TOH-LC",C938="TOH - LC"),"Type 3",IF(C938="Flourish","Type 4","Type 1"))))</f>
        <v/>
      </c>
      <c r="E938" s="852" t="n"/>
      <c r="F938" s="852" t="n"/>
      <c r="G938" s="852" t="n"/>
      <c r="H938" s="888" t="n"/>
      <c r="I938" s="889" t="n"/>
      <c r="J938" s="888" t="n"/>
      <c r="K938">
        <f>SUM(H938:J938)</f>
        <v/>
      </c>
      <c r="L938" s="852" t="n"/>
      <c r="M938" s="852" t="n"/>
      <c r="N938" s="852" t="n"/>
      <c r="O938" s="852" t="n"/>
      <c r="P938" s="852" t="n"/>
      <c r="Q938" s="852" t="n"/>
      <c r="R938" s="852" t="n"/>
      <c r="S938" s="852" t="n"/>
      <c r="T938" s="852" t="n"/>
      <c r="U938" s="852" t="n"/>
      <c r="V938" s="852" t="n"/>
      <c r="W938" s="852" t="n"/>
      <c r="X938" s="852" t="n"/>
      <c r="Y938" s="852" t="n"/>
      <c r="Z938" s="852" t="n"/>
      <c r="AA938" s="852" t="n"/>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c r="CL938" s="59" t="n"/>
      <c r="CM938" s="59" t="n"/>
      <c r="CN938" s="59" t="n"/>
    </row>
    <row r="939" ht="15" customFormat="1" customHeight="1" s="3">
      <c r="A939">
        <f>IF(C939="","",ROW()-2)</f>
        <v/>
      </c>
      <c r="B939" s="852" t="n"/>
      <c r="C939" s="852" t="n"/>
      <c r="D939">
        <f>IF(C939="TOH","Type 1",IF(C939="POH","Type 2",IF(OR(C939="LTO",C939="TOH-LC",C939="TOH - LC"),"Type 3",IF(C939="Flourish","Type 4","Type 1"))))</f>
        <v/>
      </c>
      <c r="E939" s="852" t="n"/>
      <c r="F939" s="852" t="n"/>
      <c r="G939" s="852" t="n"/>
      <c r="H939" s="888" t="n"/>
      <c r="I939" s="889" t="n"/>
      <c r="J939" s="888" t="n"/>
      <c r="K939">
        <f>SUM(H939:J939)</f>
        <v/>
      </c>
      <c r="L939" s="852" t="n"/>
      <c r="M939" s="852" t="n"/>
      <c r="N939" s="852" t="n"/>
      <c r="O939" s="852" t="n"/>
      <c r="P939" s="852" t="n"/>
      <c r="Q939" s="852" t="n"/>
      <c r="R939" s="852" t="n"/>
      <c r="S939" s="852" t="n"/>
      <c r="T939" s="852" t="n"/>
      <c r="U939" s="852" t="n"/>
      <c r="V939" s="852" t="n"/>
      <c r="W939" s="852" t="n"/>
      <c r="X939" s="852" t="n"/>
      <c r="Y939" s="852" t="n"/>
      <c r="Z939" s="852" t="n"/>
      <c r="AA939" s="852" t="n"/>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c r="CL939" s="59" t="n"/>
      <c r="CM939" s="59" t="n"/>
      <c r="CN939" s="59" t="n"/>
    </row>
    <row r="940" ht="15" customFormat="1" customHeight="1" s="3">
      <c r="A940">
        <f>IF(C940="","",ROW()-2)</f>
        <v/>
      </c>
      <c r="B940" s="852" t="n"/>
      <c r="C940" s="852" t="n"/>
      <c r="D940">
        <f>IF(C940="TOH","Type 1",IF(C940="POH","Type 2",IF(OR(C940="LTO",C940="TOH-LC",C940="TOH - LC"),"Type 3",IF(C940="Flourish","Type 4","Type 1"))))</f>
        <v/>
      </c>
      <c r="E940" s="852" t="n"/>
      <c r="F940" s="852" t="n"/>
      <c r="G940" s="852" t="n"/>
      <c r="H940" s="888" t="n"/>
      <c r="I940" s="889" t="n"/>
      <c r="J940" s="888" t="n"/>
      <c r="K940">
        <f>SUM(H940:J940)</f>
        <v/>
      </c>
      <c r="L940" s="852" t="n"/>
      <c r="M940" s="852" t="n"/>
      <c r="N940" s="852" t="n"/>
      <c r="O940" s="852" t="n"/>
      <c r="P940" s="852" t="n"/>
      <c r="Q940" s="852" t="n"/>
      <c r="R940" s="852" t="n"/>
      <c r="S940" s="852" t="n"/>
      <c r="T940" s="852" t="n"/>
      <c r="U940" s="852" t="n"/>
      <c r="V940" s="852" t="n"/>
      <c r="W940" s="852" t="n"/>
      <c r="X940" s="852" t="n"/>
      <c r="Y940" s="852" t="n"/>
      <c r="Z940" s="852" t="n"/>
      <c r="AA940" s="852" t="n"/>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c r="CL940" s="59" t="n"/>
      <c r="CM940" s="59" t="n"/>
      <c r="CN940" s="59" t="n"/>
    </row>
    <row r="941" ht="15" customFormat="1" customHeight="1" s="3">
      <c r="A941">
        <f>IF(C941="","",ROW()-2)</f>
        <v/>
      </c>
      <c r="B941" s="852" t="n"/>
      <c r="C941" s="852" t="n"/>
      <c r="D941">
        <f>IF(C941="TOH","Type 1",IF(C941="POH","Type 2",IF(OR(C941="LTO",C941="TOH-LC",C941="TOH - LC"),"Type 3",IF(C941="Flourish","Type 4","Type 1"))))</f>
        <v/>
      </c>
      <c r="E941" s="852" t="n"/>
      <c r="F941" s="852" t="n"/>
      <c r="G941" s="852" t="n"/>
      <c r="H941" s="888" t="n"/>
      <c r="I941" s="889" t="n"/>
      <c r="J941" s="888" t="n"/>
      <c r="K941">
        <f>SUM(H941:J941)</f>
        <v/>
      </c>
      <c r="L941" s="852" t="n"/>
      <c r="M941" s="852" t="n"/>
      <c r="N941" s="852" t="n"/>
      <c r="O941" s="852" t="n"/>
      <c r="P941" s="852" t="n"/>
      <c r="Q941" s="852" t="n"/>
      <c r="R941" s="852" t="n"/>
      <c r="S941" s="852" t="n"/>
      <c r="T941" s="852" t="n"/>
      <c r="U941" s="852" t="n"/>
      <c r="V941" s="852" t="n"/>
      <c r="W941" s="852" t="n"/>
      <c r="X941" s="852" t="n"/>
      <c r="Y941" s="852" t="n"/>
      <c r="Z941" s="852" t="n"/>
      <c r="AA941" s="852" t="n"/>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c r="CL941" s="59" t="n"/>
      <c r="CM941" s="59" t="n"/>
      <c r="CN941" s="59" t="n"/>
    </row>
    <row r="942" ht="15" customFormat="1" customHeight="1" s="3">
      <c r="A942">
        <f>IF(C942="","",ROW()-2)</f>
        <v/>
      </c>
      <c r="B942" s="852" t="n"/>
      <c r="C942" s="852" t="n"/>
      <c r="D942">
        <f>IF(C942="TOH","Type 1",IF(C942="POH","Type 2",IF(OR(C942="LTO",C942="TOH-LC",C942="TOH - LC"),"Type 3",IF(C942="Flourish","Type 4","Type 1"))))</f>
        <v/>
      </c>
      <c r="E942" s="852" t="n"/>
      <c r="F942" s="852" t="n"/>
      <c r="G942" s="852" t="n"/>
      <c r="H942" s="888" t="n"/>
      <c r="I942" s="889" t="n"/>
      <c r="J942" s="888" t="n"/>
      <c r="K942">
        <f>SUM(H942:J942)</f>
        <v/>
      </c>
      <c r="L942" s="852" t="n"/>
      <c r="M942" s="852" t="n"/>
      <c r="N942" s="852" t="n"/>
      <c r="O942" s="852" t="n"/>
      <c r="P942" s="852" t="n"/>
      <c r="Q942" s="852" t="n"/>
      <c r="R942" s="852" t="n"/>
      <c r="S942" s="852" t="n"/>
      <c r="T942" s="852" t="n"/>
      <c r="U942" s="852" t="n"/>
      <c r="V942" s="852" t="n"/>
      <c r="W942" s="852" t="n"/>
      <c r="X942" s="852" t="n"/>
      <c r="Y942" s="852" t="n"/>
      <c r="Z942" s="852" t="n"/>
      <c r="AA942" s="852" t="n"/>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c r="CL942" s="59" t="n"/>
      <c r="CM942" s="59" t="n"/>
      <c r="CN942" s="59" t="n"/>
    </row>
    <row r="943" ht="15" customFormat="1" customHeight="1" s="3">
      <c r="A943">
        <f>IF(C943="","",ROW()-2)</f>
        <v/>
      </c>
      <c r="B943" s="852" t="n"/>
      <c r="C943" s="852" t="n"/>
      <c r="D943">
        <f>IF(C943="TOH","Type 1",IF(C943="POH","Type 2",IF(OR(C943="LTO",C943="TOH-LC",C943="TOH - LC"),"Type 3",IF(C943="Flourish","Type 4","Type 1"))))</f>
        <v/>
      </c>
      <c r="E943" s="852" t="n"/>
      <c r="F943" s="852" t="n"/>
      <c r="G943" s="852" t="n"/>
      <c r="H943" s="888" t="n"/>
      <c r="I943" s="889" t="n"/>
      <c r="J943" s="888" t="n"/>
      <c r="K943">
        <f>SUM(H943:J943)</f>
        <v/>
      </c>
      <c r="L943" s="852" t="n"/>
      <c r="M943" s="852" t="n"/>
      <c r="N943" s="852" t="n"/>
      <c r="O943" s="852" t="n"/>
      <c r="P943" s="852" t="n"/>
      <c r="Q943" s="852" t="n"/>
      <c r="R943" s="852" t="n"/>
      <c r="S943" s="852" t="n"/>
      <c r="T943" s="852" t="n"/>
      <c r="U943" s="852" t="n"/>
      <c r="V943" s="852" t="n"/>
      <c r="W943" s="852" t="n"/>
      <c r="X943" s="852" t="n"/>
      <c r="Y943" s="852" t="n"/>
      <c r="Z943" s="852" t="n"/>
      <c r="AA943" s="852" t="n"/>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c r="CL943" s="59" t="n"/>
      <c r="CM943" s="59" t="n"/>
      <c r="CN943" s="59" t="n"/>
    </row>
    <row r="944" ht="15" customFormat="1" customHeight="1" s="3">
      <c r="A944">
        <f>IF(C944="","",ROW()-2)</f>
        <v/>
      </c>
      <c r="B944" s="852" t="n"/>
      <c r="C944" s="852" t="n"/>
      <c r="D944">
        <f>IF(C944="TOH","Type 1",IF(C944="POH","Type 2",IF(OR(C944="LTO",C944="TOH-LC",C944="TOH - LC"),"Type 3",IF(C944="Flourish","Type 4","Type 1"))))</f>
        <v/>
      </c>
      <c r="E944" s="852" t="n"/>
      <c r="F944" s="852" t="n"/>
      <c r="G944" s="852" t="n"/>
      <c r="H944" s="888" t="n"/>
      <c r="I944" s="889" t="n"/>
      <c r="J944" s="888" t="n"/>
      <c r="K944">
        <f>SUM(H944:J944)</f>
        <v/>
      </c>
      <c r="L944" s="852" t="n"/>
      <c r="M944" s="852" t="n"/>
      <c r="N944" s="852" t="n"/>
      <c r="O944" s="852" t="n"/>
      <c r="P944" s="852" t="n"/>
      <c r="Q944" s="852" t="n"/>
      <c r="R944" s="852" t="n"/>
      <c r="S944" s="852" t="n"/>
      <c r="T944" s="852" t="n"/>
      <c r="U944" s="852" t="n"/>
      <c r="V944" s="852" t="n"/>
      <c r="W944" s="852" t="n"/>
      <c r="X944" s="852" t="n"/>
      <c r="Y944" s="852" t="n"/>
      <c r="Z944" s="852" t="n"/>
      <c r="AA944" s="852" t="n"/>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c r="CL944" s="59" t="n"/>
      <c r="CM944" s="59" t="n"/>
      <c r="CN944" s="59" t="n"/>
    </row>
    <row r="945" ht="15" customFormat="1" customHeight="1" s="3">
      <c r="A945">
        <f>IF(C945="","",ROW()-2)</f>
        <v/>
      </c>
      <c r="B945" s="852" t="n"/>
      <c r="C945" s="852" t="n"/>
      <c r="D945">
        <f>IF(C945="TOH","Type 1",IF(C945="POH","Type 2",IF(OR(C945="LTO",C945="TOH-LC",C945="TOH - LC"),"Type 3",IF(C945="Flourish","Type 4","Type 1"))))</f>
        <v/>
      </c>
      <c r="E945" s="852" t="n"/>
      <c r="F945" s="852" t="n"/>
      <c r="G945" s="852" t="n"/>
      <c r="H945" s="888" t="n"/>
      <c r="I945" s="889" t="n"/>
      <c r="J945" s="888" t="n"/>
      <c r="K945">
        <f>SUM(H945:J945)</f>
        <v/>
      </c>
      <c r="L945" s="852" t="n"/>
      <c r="M945" s="852" t="n"/>
      <c r="N945" s="852" t="n"/>
      <c r="O945" s="852" t="n"/>
      <c r="P945" s="852" t="n"/>
      <c r="Q945" s="852" t="n"/>
      <c r="R945" s="852" t="n"/>
      <c r="S945" s="852" t="n"/>
      <c r="T945" s="852" t="n"/>
      <c r="U945" s="852" t="n"/>
      <c r="V945" s="852" t="n"/>
      <c r="W945" s="852" t="n"/>
      <c r="X945" s="852" t="n"/>
      <c r="Y945" s="852" t="n"/>
      <c r="Z945" s="852" t="n"/>
      <c r="AA945" s="852" t="n"/>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c r="CL945" s="59" t="n"/>
      <c r="CM945" s="59" t="n"/>
      <c r="CN945" s="59" t="n"/>
    </row>
    <row r="946" ht="15" customFormat="1" customHeight="1" s="3">
      <c r="A946">
        <f>IF(C946="","",ROW()-2)</f>
        <v/>
      </c>
      <c r="B946" s="852" t="n"/>
      <c r="C946" s="852" t="n"/>
      <c r="D946">
        <f>IF(C946="TOH","Type 1",IF(C946="POH","Type 2",IF(OR(C946="LTO",C946="TOH-LC",C946="TOH - LC"),"Type 3",IF(C946="Flourish","Type 4","Type 1"))))</f>
        <v/>
      </c>
      <c r="E946" s="852" t="n"/>
      <c r="F946" s="852" t="n"/>
      <c r="G946" s="852" t="n"/>
      <c r="H946" s="888" t="n"/>
      <c r="I946" s="889" t="n"/>
      <c r="J946" s="888" t="n"/>
      <c r="K946">
        <f>SUM(H946:J946)</f>
        <v/>
      </c>
      <c r="L946" s="852" t="n"/>
      <c r="M946" s="852" t="n"/>
      <c r="N946" s="852" t="n"/>
      <c r="O946" s="852" t="n"/>
      <c r="P946" s="852" t="n"/>
      <c r="Q946" s="852" t="n"/>
      <c r="R946" s="852" t="n"/>
      <c r="S946" s="852" t="n"/>
      <c r="T946" s="852" t="n"/>
      <c r="U946" s="852" t="n"/>
      <c r="V946" s="852" t="n"/>
      <c r="W946" s="852" t="n"/>
      <c r="X946" s="852" t="n"/>
      <c r="Y946" s="852" t="n"/>
      <c r="Z946" s="852" t="n"/>
      <c r="AA946" s="852" t="n"/>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c r="CL946" s="59" t="n"/>
      <c r="CM946" s="59" t="n"/>
      <c r="CN946" s="59" t="n"/>
    </row>
    <row r="947" ht="15" customFormat="1" customHeight="1" s="3">
      <c r="A947">
        <f>IF(C947="","",ROW()-2)</f>
        <v/>
      </c>
      <c r="B947" s="852" t="n"/>
      <c r="C947" s="852" t="n"/>
      <c r="D947">
        <f>IF(C947="TOH","Type 1",IF(C947="POH","Type 2",IF(OR(C947="LTO",C947="TOH-LC",C947="TOH - LC"),"Type 3",IF(C947="Flourish","Type 4","Type 1"))))</f>
        <v/>
      </c>
      <c r="E947" s="852" t="n"/>
      <c r="F947" s="852" t="n"/>
      <c r="G947" s="852" t="n"/>
      <c r="H947" s="888" t="n"/>
      <c r="I947" s="889" t="n"/>
      <c r="J947" s="888" t="n"/>
      <c r="K947">
        <f>SUM(H947:J947)</f>
        <v/>
      </c>
      <c r="L947" s="852" t="n"/>
      <c r="M947" s="852" t="n"/>
      <c r="N947" s="852" t="n"/>
      <c r="O947" s="852" t="n"/>
      <c r="P947" s="852" t="n"/>
      <c r="Q947" s="852" t="n"/>
      <c r="R947" s="852" t="n"/>
      <c r="S947" s="852" t="n"/>
      <c r="T947" s="852" t="n"/>
      <c r="U947" s="852" t="n"/>
      <c r="V947" s="852" t="n"/>
      <c r="W947" s="852" t="n"/>
      <c r="X947" s="852" t="n"/>
      <c r="Y947" s="852" t="n"/>
      <c r="Z947" s="852" t="n"/>
      <c r="AA947" s="852" t="n"/>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c r="CL947" s="59" t="n"/>
      <c r="CM947" s="59" t="n"/>
      <c r="CN947" s="59" t="n"/>
    </row>
    <row r="948" ht="15" customFormat="1" customHeight="1" s="3">
      <c r="A948">
        <f>IF(C948="","",ROW()-2)</f>
        <v/>
      </c>
      <c r="B948" s="852" t="n"/>
      <c r="C948" s="852" t="n"/>
      <c r="D948">
        <f>IF(C948="TOH","Type 1",IF(C948="POH","Type 2",IF(OR(C948="LTO",C948="TOH-LC",C948="TOH - LC"),"Type 3",IF(C948="Flourish","Type 4","Type 1"))))</f>
        <v/>
      </c>
      <c r="E948" s="852" t="n"/>
      <c r="F948" s="852" t="n"/>
      <c r="G948" s="852" t="n"/>
      <c r="H948" s="888" t="n"/>
      <c r="I948" s="889" t="n"/>
      <c r="J948" s="888" t="n"/>
      <c r="K948">
        <f>SUM(H948:J948)</f>
        <v/>
      </c>
      <c r="L948" s="852" t="n"/>
      <c r="M948" s="852" t="n"/>
      <c r="N948" s="852" t="n"/>
      <c r="O948" s="852" t="n"/>
      <c r="P948" s="852" t="n"/>
      <c r="Q948" s="852" t="n"/>
      <c r="R948" s="852" t="n"/>
      <c r="S948" s="852" t="n"/>
      <c r="T948" s="852" t="n"/>
      <c r="U948" s="852" t="n"/>
      <c r="V948" s="852" t="n"/>
      <c r="W948" s="852" t="n"/>
      <c r="X948" s="852" t="n"/>
      <c r="Y948" s="852" t="n"/>
      <c r="Z948" s="852" t="n"/>
      <c r="AA948" s="852" t="n"/>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c r="CL948" s="59" t="n"/>
      <c r="CM948" s="59" t="n"/>
      <c r="CN948" s="59" t="n"/>
    </row>
    <row r="949" ht="15" customFormat="1" customHeight="1" s="3">
      <c r="A949">
        <f>IF(C949="","",ROW()-2)</f>
        <v/>
      </c>
      <c r="B949" s="852" t="n"/>
      <c r="C949" s="852" t="n"/>
      <c r="D949">
        <f>IF(C949="TOH","Type 1",IF(C949="POH","Type 2",IF(OR(C949="LTO",C949="TOH-LC",C949="TOH - LC"),"Type 3",IF(C949="Flourish","Type 4","Type 1"))))</f>
        <v/>
      </c>
      <c r="E949" s="852" t="n"/>
      <c r="F949" s="852" t="n"/>
      <c r="G949" s="852" t="n"/>
      <c r="H949" s="888" t="n"/>
      <c r="I949" s="889" t="n"/>
      <c r="J949" s="888" t="n"/>
      <c r="K949">
        <f>SUM(H949:J949)</f>
        <v/>
      </c>
      <c r="L949" s="852" t="n"/>
      <c r="M949" s="852" t="n"/>
      <c r="N949" s="852" t="n"/>
      <c r="O949" s="852" t="n"/>
      <c r="P949" s="852" t="n"/>
      <c r="Q949" s="852" t="n"/>
      <c r="R949" s="852" t="n"/>
      <c r="S949" s="852" t="n"/>
      <c r="T949" s="852" t="n"/>
      <c r="U949" s="852" t="n"/>
      <c r="V949" s="852" t="n"/>
      <c r="W949" s="852" t="n"/>
      <c r="X949" s="852" t="n"/>
      <c r="Y949" s="852" t="n"/>
      <c r="Z949" s="852" t="n"/>
      <c r="AA949" s="852" t="n"/>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c r="CL949" s="59" t="n"/>
      <c r="CM949" s="59" t="n"/>
      <c r="CN949" s="59" t="n"/>
    </row>
    <row r="950" ht="15" customFormat="1" customHeight="1" s="3">
      <c r="A950">
        <f>IF(C950="","",ROW()-2)</f>
        <v/>
      </c>
      <c r="B950" s="852" t="n"/>
      <c r="C950" s="852" t="n"/>
      <c r="D950">
        <f>IF(C950="TOH","Type 1",IF(C950="POH","Type 2",IF(OR(C950="LTO",C950="TOH-LC",C950="TOH - LC"),"Type 3",IF(C950="Flourish","Type 4","Type 1"))))</f>
        <v/>
      </c>
      <c r="E950" s="852" t="n"/>
      <c r="F950" s="852" t="n"/>
      <c r="G950" s="852" t="n"/>
      <c r="H950" s="888" t="n"/>
      <c r="I950" s="889" t="n"/>
      <c r="J950" s="888" t="n"/>
      <c r="K950">
        <f>SUM(H950:J950)</f>
        <v/>
      </c>
      <c r="L950" s="852" t="n"/>
      <c r="M950" s="852" t="n"/>
      <c r="N950" s="852" t="n"/>
      <c r="O950" s="852" t="n"/>
      <c r="P950" s="852" t="n"/>
      <c r="Q950" s="852" t="n"/>
      <c r="R950" s="852" t="n"/>
      <c r="S950" s="852" t="n"/>
      <c r="T950" s="852" t="n"/>
      <c r="U950" s="852" t="n"/>
      <c r="V950" s="852" t="n"/>
      <c r="W950" s="852" t="n"/>
      <c r="X950" s="852" t="n"/>
      <c r="Y950" s="852" t="n"/>
      <c r="Z950" s="852" t="n"/>
      <c r="AA950" s="852" t="n"/>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c r="CL950" s="59" t="n"/>
      <c r="CM950" s="59" t="n"/>
      <c r="CN950" s="59" t="n"/>
    </row>
    <row r="951" ht="15" customFormat="1" customHeight="1" s="3">
      <c r="A951">
        <f>IF(C951="","",ROW()-2)</f>
        <v/>
      </c>
      <c r="B951" s="852" t="n"/>
      <c r="C951" s="852" t="n"/>
      <c r="D951">
        <f>IF(C951="TOH","Type 1",IF(C951="POH","Type 2",IF(OR(C951="LTO",C951="TOH-LC",C951="TOH - LC"),"Type 3",IF(C951="Flourish","Type 4","Type 1"))))</f>
        <v/>
      </c>
      <c r="E951" s="852" t="n"/>
      <c r="F951" s="852" t="n"/>
      <c r="G951" s="852" t="n"/>
      <c r="H951" s="888" t="n"/>
      <c r="I951" s="889" t="n"/>
      <c r="J951" s="888" t="n"/>
      <c r="K951">
        <f>SUM(H951:J951)</f>
        <v/>
      </c>
      <c r="L951" s="852" t="n"/>
      <c r="M951" s="852" t="n"/>
      <c r="N951" s="852" t="n"/>
      <c r="O951" s="852" t="n"/>
      <c r="P951" s="852" t="n"/>
      <c r="Q951" s="852" t="n"/>
      <c r="R951" s="852" t="n"/>
      <c r="S951" s="852" t="n"/>
      <c r="T951" s="852" t="n"/>
      <c r="U951" s="852" t="n"/>
      <c r="V951" s="852" t="n"/>
      <c r="W951" s="852" t="n"/>
      <c r="X951" s="852" t="n"/>
      <c r="Y951" s="852" t="n"/>
      <c r="Z951" s="852" t="n"/>
      <c r="AA951" s="852" t="n"/>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c r="CL951" s="59" t="n"/>
      <c r="CM951" s="59" t="n"/>
      <c r="CN951" s="59" t="n"/>
    </row>
    <row r="952" ht="15" customFormat="1" customHeight="1" s="3">
      <c r="A952">
        <f>IF(C952="","",ROW()-2)</f>
        <v/>
      </c>
      <c r="B952" s="852" t="n"/>
      <c r="C952" s="852" t="n"/>
      <c r="D952">
        <f>IF(C952="TOH","Type 1",IF(C952="POH","Type 2",IF(OR(C952="LTO",C952="TOH-LC",C952="TOH - LC"),"Type 3",IF(C952="Flourish","Type 4","Type 1"))))</f>
        <v/>
      </c>
      <c r="E952" s="852" t="n"/>
      <c r="F952" s="852" t="n"/>
      <c r="G952" s="852" t="n"/>
      <c r="H952" s="888" t="n"/>
      <c r="I952" s="889" t="n"/>
      <c r="J952" s="888" t="n"/>
      <c r="K952">
        <f>SUM(H952:J952)</f>
        <v/>
      </c>
      <c r="L952" s="852" t="n"/>
      <c r="M952" s="852" t="n"/>
      <c r="N952" s="852" t="n"/>
      <c r="O952" s="852" t="n"/>
      <c r="P952" s="852" t="n"/>
      <c r="Q952" s="852" t="n"/>
      <c r="R952" s="852" t="n"/>
      <c r="S952" s="852" t="n"/>
      <c r="T952" s="852" t="n"/>
      <c r="U952" s="852" t="n"/>
      <c r="V952" s="852" t="n"/>
      <c r="W952" s="852" t="n"/>
      <c r="X952" s="852" t="n"/>
      <c r="Y952" s="852" t="n"/>
      <c r="Z952" s="852" t="n"/>
      <c r="AA952" s="852" t="n"/>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c r="CL952" s="59" t="n"/>
      <c r="CM952" s="59" t="n"/>
      <c r="CN952" s="59" t="n"/>
    </row>
    <row r="953" ht="15" customFormat="1" customHeight="1" s="3">
      <c r="A953">
        <f>IF(C953="","",ROW()-2)</f>
        <v/>
      </c>
      <c r="B953" s="852" t="n"/>
      <c r="C953" s="852" t="n"/>
      <c r="D953">
        <f>IF(C953="TOH","Type 1",IF(C953="POH","Type 2",IF(OR(C953="LTO",C953="TOH-LC",C953="TOH - LC"),"Type 3",IF(C953="Flourish","Type 4","Type 1"))))</f>
        <v/>
      </c>
      <c r="E953" s="852" t="n"/>
      <c r="F953" s="852" t="n"/>
      <c r="G953" s="852" t="n"/>
      <c r="H953" s="888" t="n"/>
      <c r="I953" s="889" t="n"/>
      <c r="J953" s="888" t="n"/>
      <c r="K953">
        <f>SUM(H953:J953)</f>
        <v/>
      </c>
      <c r="L953" s="852" t="n"/>
      <c r="M953" s="852" t="n"/>
      <c r="N953" s="852" t="n"/>
      <c r="O953" s="852" t="n"/>
      <c r="P953" s="852" t="n"/>
      <c r="Q953" s="852" t="n"/>
      <c r="R953" s="852" t="n"/>
      <c r="S953" s="852" t="n"/>
      <c r="T953" s="852" t="n"/>
      <c r="U953" s="852" t="n"/>
      <c r="V953" s="852" t="n"/>
      <c r="W953" s="852" t="n"/>
      <c r="X953" s="852" t="n"/>
      <c r="Y953" s="852" t="n"/>
      <c r="Z953" s="852" t="n"/>
      <c r="AA953" s="852" t="n"/>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c r="CL953" s="59" t="n"/>
      <c r="CM953" s="59" t="n"/>
      <c r="CN953" s="59" t="n"/>
    </row>
    <row r="954" ht="15" customFormat="1" customHeight="1" s="3">
      <c r="A954">
        <f>IF(C954="","",ROW()-2)</f>
        <v/>
      </c>
      <c r="B954" s="852" t="n"/>
      <c r="C954" s="852" t="n"/>
      <c r="D954">
        <f>IF(C954="TOH","Type 1",IF(C954="POH","Type 2",IF(OR(C954="LTO",C954="TOH-LC",C954="TOH - LC"),"Type 3",IF(C954="Flourish","Type 4","Type 1"))))</f>
        <v/>
      </c>
      <c r="E954" s="852" t="n"/>
      <c r="F954" s="852" t="n"/>
      <c r="G954" s="852" t="n"/>
      <c r="H954" s="888" t="n"/>
      <c r="I954" s="889" t="n"/>
      <c r="J954" s="888" t="n"/>
      <c r="K954">
        <f>SUM(H954:J954)</f>
        <v/>
      </c>
      <c r="L954" s="852" t="n"/>
      <c r="M954" s="852" t="n"/>
      <c r="N954" s="852" t="n"/>
      <c r="O954" s="852" t="n"/>
      <c r="P954" s="852" t="n"/>
      <c r="Q954" s="852" t="n"/>
      <c r="R954" s="852" t="n"/>
      <c r="S954" s="852" t="n"/>
      <c r="T954" s="852" t="n"/>
      <c r="U954" s="852" t="n"/>
      <c r="V954" s="852" t="n"/>
      <c r="W954" s="852" t="n"/>
      <c r="X954" s="852" t="n"/>
      <c r="Y954" s="852" t="n"/>
      <c r="Z954" s="852" t="n"/>
      <c r="AA954" s="852" t="n"/>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c r="CL954" s="59" t="n"/>
      <c r="CM954" s="59" t="n"/>
      <c r="CN954" s="59" t="n"/>
    </row>
    <row r="955" ht="15" customFormat="1" customHeight="1" s="3">
      <c r="A955">
        <f>IF(C955="","",ROW()-2)</f>
        <v/>
      </c>
      <c r="B955" s="852" t="n"/>
      <c r="C955" s="852" t="n"/>
      <c r="D955">
        <f>IF(C955="TOH","Type 1",IF(C955="POH","Type 2",IF(OR(C955="LTO",C955="TOH-LC",C955="TOH - LC"),"Type 3",IF(C955="Flourish","Type 4","Type 1"))))</f>
        <v/>
      </c>
      <c r="E955" s="852" t="n"/>
      <c r="F955" s="852" t="n"/>
      <c r="G955" s="852" t="n"/>
      <c r="H955" s="888" t="n"/>
      <c r="I955" s="889" t="n"/>
      <c r="J955" s="888" t="n"/>
      <c r="K955">
        <f>SUM(H955:J955)</f>
        <v/>
      </c>
      <c r="L955" s="852" t="n"/>
      <c r="M955" s="852" t="n"/>
      <c r="N955" s="852" t="n"/>
      <c r="O955" s="852" t="n"/>
      <c r="P955" s="852" t="n"/>
      <c r="Q955" s="852" t="n"/>
      <c r="R955" s="852" t="n"/>
      <c r="S955" s="852" t="n"/>
      <c r="T955" s="852" t="n"/>
      <c r="U955" s="852" t="n"/>
      <c r="V955" s="852" t="n"/>
      <c r="W955" s="852" t="n"/>
      <c r="X955" s="852" t="n"/>
      <c r="Y955" s="852" t="n"/>
      <c r="Z955" s="852" t="n"/>
      <c r="AA955" s="852" t="n"/>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c r="CL955" s="59" t="n"/>
      <c r="CM955" s="59" t="n"/>
      <c r="CN955" s="59" t="n"/>
    </row>
    <row r="956" ht="15" customFormat="1" customHeight="1" s="3">
      <c r="A956">
        <f>IF(C956="","",ROW()-2)</f>
        <v/>
      </c>
      <c r="B956" s="852" t="n"/>
      <c r="C956" s="852" t="n"/>
      <c r="D956">
        <f>IF(C956="TOH","Type 1",IF(C956="POH","Type 2",IF(OR(C956="LTO",C956="TOH-LC",C956="TOH - LC"),"Type 3",IF(C956="Flourish","Type 4","Type 1"))))</f>
        <v/>
      </c>
      <c r="E956" s="852" t="n"/>
      <c r="F956" s="852" t="n"/>
      <c r="G956" s="852" t="n"/>
      <c r="H956" s="888" t="n"/>
      <c r="I956" s="889" t="n"/>
      <c r="J956" s="888" t="n"/>
      <c r="K956">
        <f>SUM(H956:J956)</f>
        <v/>
      </c>
      <c r="L956" s="852" t="n"/>
      <c r="M956" s="852" t="n"/>
      <c r="N956" s="852" t="n"/>
      <c r="O956" s="852" t="n"/>
      <c r="P956" s="852" t="n"/>
      <c r="Q956" s="852" t="n"/>
      <c r="R956" s="852" t="n"/>
      <c r="S956" s="852" t="n"/>
      <c r="T956" s="852" t="n"/>
      <c r="U956" s="852" t="n"/>
      <c r="V956" s="852" t="n"/>
      <c r="W956" s="852" t="n"/>
      <c r="X956" s="852" t="n"/>
      <c r="Y956" s="852" t="n"/>
      <c r="Z956" s="852" t="n"/>
      <c r="AA956" s="852" t="n"/>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c r="CL956" s="59" t="n"/>
      <c r="CM956" s="59" t="n"/>
      <c r="CN956" s="59" t="n"/>
    </row>
    <row r="957" ht="15" customFormat="1" customHeight="1" s="3">
      <c r="A957">
        <f>IF(C957="","",ROW()-2)</f>
        <v/>
      </c>
      <c r="B957" s="852" t="n"/>
      <c r="C957" s="852" t="n"/>
      <c r="D957">
        <f>IF(C957="TOH","Type 1",IF(C957="POH","Type 2",IF(OR(C957="LTO",C957="TOH-LC",C957="TOH - LC"),"Type 3",IF(C957="Flourish","Type 4","Type 1"))))</f>
        <v/>
      </c>
      <c r="E957" s="852" t="n"/>
      <c r="F957" s="852" t="n"/>
      <c r="G957" s="852" t="n"/>
      <c r="H957" s="888" t="n"/>
      <c r="I957" s="889" t="n"/>
      <c r="J957" s="888" t="n"/>
      <c r="K957">
        <f>SUM(H957:J957)</f>
        <v/>
      </c>
      <c r="L957" s="852" t="n"/>
      <c r="M957" s="852" t="n"/>
      <c r="N957" s="852" t="n"/>
      <c r="O957" s="852" t="n"/>
      <c r="P957" s="852" t="n"/>
      <c r="Q957" s="852" t="n"/>
      <c r="R957" s="852" t="n"/>
      <c r="S957" s="852" t="n"/>
      <c r="T957" s="852" t="n"/>
      <c r="U957" s="852" t="n"/>
      <c r="V957" s="852" t="n"/>
      <c r="W957" s="852" t="n"/>
      <c r="X957" s="852" t="n"/>
      <c r="Y957" s="852" t="n"/>
      <c r="Z957" s="852" t="n"/>
      <c r="AA957" s="852" t="n"/>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c r="CL957" s="59" t="n"/>
      <c r="CM957" s="59" t="n"/>
      <c r="CN957" s="59" t="n"/>
    </row>
    <row r="958" ht="15" customFormat="1" customHeight="1" s="3">
      <c r="A958">
        <f>IF(C958="","",ROW()-2)</f>
        <v/>
      </c>
      <c r="B958" s="852" t="n"/>
      <c r="C958" s="852" t="n"/>
      <c r="D958">
        <f>IF(C958="TOH","Type 1",IF(C958="POH","Type 2",IF(OR(C958="LTO",C958="TOH-LC",C958="TOH - LC"),"Type 3",IF(C958="Flourish","Type 4","Type 1"))))</f>
        <v/>
      </c>
      <c r="E958" s="852" t="n"/>
      <c r="F958" s="852" t="n"/>
      <c r="G958" s="852" t="n"/>
      <c r="H958" s="888" t="n"/>
      <c r="I958" s="889" t="n"/>
      <c r="J958" s="888" t="n"/>
      <c r="K958">
        <f>SUM(H958:J958)</f>
        <v/>
      </c>
      <c r="L958" s="852" t="n"/>
      <c r="M958" s="852" t="n"/>
      <c r="N958" s="852" t="n"/>
      <c r="O958" s="852" t="n"/>
      <c r="P958" s="852" t="n"/>
      <c r="Q958" s="852" t="n"/>
      <c r="R958" s="852" t="n"/>
      <c r="S958" s="852" t="n"/>
      <c r="T958" s="852" t="n"/>
      <c r="U958" s="852" t="n"/>
      <c r="V958" s="852" t="n"/>
      <c r="W958" s="852" t="n"/>
      <c r="X958" s="852" t="n"/>
      <c r="Y958" s="852" t="n"/>
      <c r="Z958" s="852" t="n"/>
      <c r="AA958" s="852" t="n"/>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c r="CL958" s="59" t="n"/>
      <c r="CM958" s="59" t="n"/>
      <c r="CN958" s="59" t="n"/>
    </row>
    <row r="959" ht="15" customFormat="1" customHeight="1" s="3">
      <c r="A959">
        <f>IF(C959="","",ROW()-2)</f>
        <v/>
      </c>
      <c r="B959" s="852" t="n"/>
      <c r="C959" s="852" t="n"/>
      <c r="D959">
        <f>IF(C959="TOH","Type 1",IF(C959="POH","Type 2",IF(OR(C959="LTO",C959="TOH-LC",C959="TOH - LC"),"Type 3",IF(C959="Flourish","Type 4","Type 1"))))</f>
        <v/>
      </c>
      <c r="E959" s="852" t="n"/>
      <c r="F959" s="852" t="n"/>
      <c r="G959" s="852" t="n"/>
      <c r="H959" s="888" t="n"/>
      <c r="I959" s="889" t="n"/>
      <c r="J959" s="888" t="n"/>
      <c r="K959">
        <f>SUM(H959:J959)</f>
        <v/>
      </c>
      <c r="L959" s="852" t="n"/>
      <c r="M959" s="852" t="n"/>
      <c r="N959" s="852" t="n"/>
      <c r="O959" s="852" t="n"/>
      <c r="P959" s="852" t="n"/>
      <c r="Q959" s="852" t="n"/>
      <c r="R959" s="852" t="n"/>
      <c r="S959" s="852" t="n"/>
      <c r="T959" s="852" t="n"/>
      <c r="U959" s="852" t="n"/>
      <c r="V959" s="852" t="n"/>
      <c r="W959" s="852" t="n"/>
      <c r="X959" s="852" t="n"/>
      <c r="Y959" s="852" t="n"/>
      <c r="Z959" s="852" t="n"/>
      <c r="AA959" s="852" t="n"/>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c r="CL959" s="59" t="n"/>
      <c r="CM959" s="59" t="n"/>
      <c r="CN959" s="59" t="n"/>
    </row>
    <row r="960" ht="15" customFormat="1" customHeight="1" s="3">
      <c r="A960">
        <f>IF(C960="","",ROW()-2)</f>
        <v/>
      </c>
      <c r="B960" s="852" t="n"/>
      <c r="C960" s="852" t="n"/>
      <c r="D960">
        <f>IF(C960="TOH","Type 1",IF(C960="POH","Type 2",IF(OR(C960="LTO",C960="TOH-LC",C960="TOH - LC"),"Type 3",IF(C960="Flourish","Type 4","Type 1"))))</f>
        <v/>
      </c>
      <c r="E960" s="852" t="n"/>
      <c r="F960" s="852" t="n"/>
      <c r="G960" s="852" t="n"/>
      <c r="H960" s="888" t="n"/>
      <c r="I960" s="889" t="n"/>
      <c r="J960" s="888" t="n"/>
      <c r="K960">
        <f>SUM(H960:J960)</f>
        <v/>
      </c>
      <c r="L960" s="852" t="n"/>
      <c r="M960" s="852" t="n"/>
      <c r="N960" s="852" t="n"/>
      <c r="O960" s="852" t="n"/>
      <c r="P960" s="852" t="n"/>
      <c r="Q960" s="852" t="n"/>
      <c r="R960" s="852" t="n"/>
      <c r="S960" s="852" t="n"/>
      <c r="T960" s="852" t="n"/>
      <c r="U960" s="852" t="n"/>
      <c r="V960" s="852" t="n"/>
      <c r="W960" s="852" t="n"/>
      <c r="X960" s="852" t="n"/>
      <c r="Y960" s="852" t="n"/>
      <c r="Z960" s="852" t="n"/>
      <c r="AA960" s="852" t="n"/>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c r="CL960" s="59" t="n"/>
      <c r="CM960" s="59" t="n"/>
      <c r="CN960" s="59" t="n"/>
    </row>
    <row r="961" ht="15" customFormat="1" customHeight="1" s="3">
      <c r="A961">
        <f>IF(C961="","",ROW()-2)</f>
        <v/>
      </c>
      <c r="B961" s="852" t="n"/>
      <c r="C961" s="852" t="n"/>
      <c r="D961">
        <f>IF(C961="TOH","Type 1",IF(C961="POH","Type 2",IF(OR(C961="LTO",C961="TOH-LC",C961="TOH - LC"),"Type 3",IF(C961="Flourish","Type 4","Type 1"))))</f>
        <v/>
      </c>
      <c r="E961" s="852" t="n"/>
      <c r="F961" s="852" t="n"/>
      <c r="G961" s="852" t="n"/>
      <c r="H961" s="888" t="n"/>
      <c r="I961" s="889" t="n"/>
      <c r="J961" s="888" t="n"/>
      <c r="K961">
        <f>SUM(H961:J961)</f>
        <v/>
      </c>
      <c r="L961" s="852" t="n"/>
      <c r="M961" s="852" t="n"/>
      <c r="N961" s="852" t="n"/>
      <c r="O961" s="852" t="n"/>
      <c r="P961" s="852" t="n"/>
      <c r="Q961" s="852" t="n"/>
      <c r="R961" s="852" t="n"/>
      <c r="S961" s="852" t="n"/>
      <c r="T961" s="852" t="n"/>
      <c r="U961" s="852" t="n"/>
      <c r="V961" s="852" t="n"/>
      <c r="W961" s="852" t="n"/>
      <c r="X961" s="852" t="n"/>
      <c r="Y961" s="852" t="n"/>
      <c r="Z961" s="852" t="n"/>
      <c r="AA961" s="852" t="n"/>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c r="CL961" s="59" t="n"/>
      <c r="CM961" s="59" t="n"/>
      <c r="CN961" s="59" t="n"/>
    </row>
    <row r="962" ht="15" customFormat="1" customHeight="1" s="3">
      <c r="A962">
        <f>IF(C962="","",ROW()-2)</f>
        <v/>
      </c>
      <c r="B962" s="852" t="n"/>
      <c r="C962" s="852" t="n"/>
      <c r="D962">
        <f>IF(C962="TOH","Type 1",IF(C962="POH","Type 2",IF(OR(C962="LTO",C962="TOH-LC",C962="TOH - LC"),"Type 3",IF(C962="Flourish","Type 4","Type 1"))))</f>
        <v/>
      </c>
      <c r="E962" s="852" t="n"/>
      <c r="F962" s="852" t="n"/>
      <c r="G962" s="852" t="n"/>
      <c r="H962" s="888" t="n"/>
      <c r="I962" s="889" t="n"/>
      <c r="J962" s="888" t="n"/>
      <c r="K962">
        <f>SUM(H962:J962)</f>
        <v/>
      </c>
      <c r="L962" s="852" t="n"/>
      <c r="M962" s="852" t="n"/>
      <c r="N962" s="852" t="n"/>
      <c r="O962" s="852" t="n"/>
      <c r="P962" s="852" t="n"/>
      <c r="Q962" s="852" t="n"/>
      <c r="R962" s="852" t="n"/>
      <c r="S962" s="852" t="n"/>
      <c r="T962" s="852" t="n"/>
      <c r="U962" s="852" t="n"/>
      <c r="V962" s="852" t="n"/>
      <c r="W962" s="852" t="n"/>
      <c r="X962" s="852" t="n"/>
      <c r="Y962" s="852" t="n"/>
      <c r="Z962" s="852" t="n"/>
      <c r="AA962" s="852" t="n"/>
      <c r="AB962" s="59" t="n"/>
      <c r="AC962" s="59" t="n"/>
      <c r="AD962" s="59" t="n"/>
      <c r="AE962" s="59" t="n"/>
      <c r="AF962" s="59" t="n"/>
      <c r="AG962" s="59" t="n"/>
      <c r="AH962" s="59" t="n"/>
      <c r="AI962" s="59" t="n"/>
      <c r="AJ962" s="59" t="n"/>
      <c r="AK962" s="59" t="n"/>
      <c r="AL962" s="59" t="n"/>
      <c r="AM962" s="59" t="n"/>
      <c r="AN962" s="59" t="n"/>
      <c r="AO962" s="59" t="n"/>
      <c r="AP962" s="59" t="n"/>
      <c r="AQ962" s="59" t="n"/>
      <c r="AR962" s="59" t="n"/>
      <c r="AS962" s="59" t="n"/>
      <c r="AT962" s="59" t="n"/>
      <c r="AU962" s="59" t="n"/>
      <c r="AV962" s="59" t="n"/>
      <c r="AW962" s="59" t="n"/>
      <c r="AX962" s="59" t="n"/>
      <c r="AY962" s="59" t="n"/>
      <c r="AZ962" s="59" t="n"/>
      <c r="BA962" s="59" t="n"/>
      <c r="BB962" s="59" t="n"/>
      <c r="BC962" s="59" t="n"/>
      <c r="BD962" s="59" t="n"/>
      <c r="BE962" s="59" t="n"/>
      <c r="BF962" s="59" t="n"/>
      <c r="BG962" s="59" t="n"/>
      <c r="BH962" s="59" t="n"/>
      <c r="BI962" s="59" t="n"/>
      <c r="BJ962" s="59" t="n"/>
      <c r="BK962" s="59" t="n"/>
      <c r="BL962" s="59" t="n"/>
      <c r="BM962" s="59" t="n"/>
      <c r="BN962" s="59" t="n"/>
      <c r="BO962" s="59" t="n"/>
      <c r="BP962" s="59" t="n"/>
      <c r="BQ962" s="59" t="n"/>
      <c r="BR962" s="59" t="n"/>
      <c r="BS962" s="59" t="n"/>
      <c r="BT962" s="59" t="n"/>
      <c r="BU962" s="59" t="n"/>
      <c r="BV962" s="59" t="n"/>
      <c r="BW962" s="59" t="n"/>
      <c r="BX962" s="59" t="n"/>
      <c r="BY962" s="59" t="n"/>
      <c r="BZ962" s="59" t="n"/>
      <c r="CA962" s="59" t="n"/>
      <c r="CB962" s="59" t="n"/>
      <c r="CC962" s="59" t="n"/>
      <c r="CD962" s="59" t="n"/>
      <c r="CE962" s="59" t="n"/>
      <c r="CF962" s="59" t="n"/>
      <c r="CG962" s="59" t="n"/>
      <c r="CH962" s="59" t="n"/>
      <c r="CI962" s="59" t="n"/>
      <c r="CJ962" s="59" t="n"/>
      <c r="CK962" s="59" t="n"/>
      <c r="CL962" s="59" t="n"/>
      <c r="CM962" s="59" t="n"/>
      <c r="CN962" s="59" t="n"/>
    </row>
    <row r="963" ht="15" customFormat="1" customHeight="1" s="3">
      <c r="A963">
        <f>IF(C963="","",ROW()-2)</f>
        <v/>
      </c>
      <c r="B963" s="852" t="n"/>
      <c r="C963" s="852" t="n"/>
      <c r="D963">
        <f>IF(C963="TOH","Type 1",IF(C963="POH","Type 2",IF(OR(C963="LTO",C963="TOH-LC",C963="TOH - LC"),"Type 3",IF(C963="Flourish","Type 4","Type 1"))))</f>
        <v/>
      </c>
      <c r="E963" s="852" t="n"/>
      <c r="F963" s="852" t="n"/>
      <c r="G963" s="852" t="n"/>
      <c r="H963" s="888" t="n"/>
      <c r="I963" s="889" t="n"/>
      <c r="J963" s="888" t="n"/>
      <c r="K963">
        <f>SUM(H963:J963)</f>
        <v/>
      </c>
      <c r="L963" s="852" t="n"/>
      <c r="M963" s="852" t="n"/>
      <c r="N963" s="852" t="n"/>
      <c r="O963" s="852" t="n"/>
      <c r="P963" s="852" t="n"/>
      <c r="Q963" s="852" t="n"/>
      <c r="R963" s="852" t="n"/>
      <c r="S963" s="852" t="n"/>
      <c r="T963" s="852" t="n"/>
      <c r="U963" s="852" t="n"/>
      <c r="V963" s="852" t="n"/>
      <c r="W963" s="852" t="n"/>
      <c r="X963" s="852" t="n"/>
      <c r="Y963" s="852" t="n"/>
      <c r="Z963" s="852" t="n"/>
      <c r="AA963" s="852" t="n"/>
      <c r="AB963" s="59" t="n"/>
      <c r="AC963" s="59" t="n"/>
      <c r="AD963" s="59" t="n"/>
      <c r="AE963" s="59" t="n"/>
      <c r="AF963" s="59" t="n"/>
      <c r="AG963" s="59" t="n"/>
      <c r="AH963" s="59" t="n"/>
      <c r="AI963" s="59" t="n"/>
      <c r="AJ963" s="59" t="n"/>
      <c r="AK963" s="59" t="n"/>
      <c r="AL963" s="59" t="n"/>
      <c r="AM963" s="59" t="n"/>
      <c r="AN963" s="59" t="n"/>
      <c r="AO963" s="59" t="n"/>
      <c r="AP963" s="59" t="n"/>
      <c r="AQ963" s="59" t="n"/>
      <c r="AR963" s="59" t="n"/>
      <c r="AS963" s="59" t="n"/>
      <c r="AT963" s="59" t="n"/>
      <c r="AU963" s="59" t="n"/>
      <c r="AV963" s="59" t="n"/>
      <c r="AW963" s="59" t="n"/>
      <c r="AX963" s="59" t="n"/>
      <c r="AY963" s="59" t="n"/>
      <c r="AZ963" s="59" t="n"/>
      <c r="BA963" s="59" t="n"/>
      <c r="BB963" s="59" t="n"/>
      <c r="BC963" s="59" t="n"/>
      <c r="BD963" s="59" t="n"/>
      <c r="BE963" s="59" t="n"/>
      <c r="BF963" s="59" t="n"/>
      <c r="BG963" s="59" t="n"/>
      <c r="BH963" s="59" t="n"/>
      <c r="BI963" s="59" t="n"/>
      <c r="BJ963" s="59" t="n"/>
      <c r="BK963" s="59" t="n"/>
      <c r="BL963" s="59" t="n"/>
      <c r="BM963" s="59" t="n"/>
      <c r="BN963" s="59" t="n"/>
      <c r="BO963" s="59" t="n"/>
      <c r="BP963" s="59" t="n"/>
      <c r="BQ963" s="59" t="n"/>
      <c r="BR963" s="59" t="n"/>
      <c r="BS963" s="59" t="n"/>
      <c r="BT963" s="59" t="n"/>
      <c r="BU963" s="59" t="n"/>
      <c r="BV963" s="59" t="n"/>
      <c r="BW963" s="59" t="n"/>
      <c r="BX963" s="59" t="n"/>
      <c r="BY963" s="59" t="n"/>
      <c r="BZ963" s="59" t="n"/>
      <c r="CA963" s="59" t="n"/>
      <c r="CB963" s="59" t="n"/>
      <c r="CC963" s="59" t="n"/>
      <c r="CD963" s="59" t="n"/>
      <c r="CE963" s="59" t="n"/>
      <c r="CF963" s="59" t="n"/>
      <c r="CG963" s="59" t="n"/>
      <c r="CH963" s="59" t="n"/>
      <c r="CI963" s="59" t="n"/>
      <c r="CJ963" s="59" t="n"/>
      <c r="CK963" s="59" t="n"/>
      <c r="CL963" s="59" t="n"/>
      <c r="CM963" s="59" t="n"/>
      <c r="CN963" s="59" t="n"/>
    </row>
    <row r="964" ht="15" customFormat="1" customHeight="1" s="3">
      <c r="A964">
        <f>IF(C964="","",ROW()-2)</f>
        <v/>
      </c>
      <c r="B964" s="852" t="n"/>
      <c r="C964" s="852" t="n"/>
      <c r="D964">
        <f>IF(C964="TOH","Type 1",IF(C964="POH","Type 2",IF(OR(C964="LTO",C964="TOH-LC",C964="TOH - LC"),"Type 3",IF(C964="Flourish","Type 4","Type 1"))))</f>
        <v/>
      </c>
      <c r="E964" s="852" t="n"/>
      <c r="F964" s="852" t="n"/>
      <c r="G964" s="852" t="n"/>
      <c r="H964" s="888" t="n"/>
      <c r="I964" s="889" t="n"/>
      <c r="J964" s="888" t="n"/>
      <c r="K964">
        <f>SUM(H964:J964)</f>
        <v/>
      </c>
      <c r="L964" s="852" t="n"/>
      <c r="M964" s="852" t="n"/>
      <c r="N964" s="852" t="n"/>
      <c r="O964" s="852" t="n"/>
      <c r="P964" s="852" t="n"/>
      <c r="Q964" s="852" t="n"/>
      <c r="R964" s="852" t="n"/>
      <c r="S964" s="852" t="n"/>
      <c r="T964" s="852" t="n"/>
      <c r="U964" s="852" t="n"/>
      <c r="V964" s="852" t="n"/>
      <c r="W964" s="852" t="n"/>
      <c r="X964" s="852" t="n"/>
      <c r="Y964" s="852" t="n"/>
      <c r="Z964" s="852" t="n"/>
      <c r="AA964" s="852" t="n"/>
      <c r="AB964" s="59" t="n"/>
      <c r="AC964" s="59" t="n"/>
      <c r="AD964" s="59" t="n"/>
      <c r="AE964" s="59" t="n"/>
      <c r="AF964" s="59" t="n"/>
      <c r="AG964" s="59" t="n"/>
      <c r="AH964" s="59" t="n"/>
      <c r="AI964" s="59" t="n"/>
      <c r="AJ964" s="59" t="n"/>
      <c r="AK964" s="59" t="n"/>
      <c r="AL964" s="59" t="n"/>
      <c r="AM964" s="59" t="n"/>
      <c r="AN964" s="59" t="n"/>
      <c r="AO964" s="59" t="n"/>
      <c r="AP964" s="59" t="n"/>
      <c r="AQ964" s="59" t="n"/>
      <c r="AR964" s="59" t="n"/>
      <c r="AS964" s="59" t="n"/>
      <c r="AT964" s="59" t="n"/>
      <c r="AU964" s="59" t="n"/>
      <c r="AV964" s="59" t="n"/>
      <c r="AW964" s="59" t="n"/>
      <c r="AX964" s="59" t="n"/>
      <c r="AY964" s="59" t="n"/>
      <c r="AZ964" s="59" t="n"/>
      <c r="BA964" s="59" t="n"/>
      <c r="BB964" s="59" t="n"/>
      <c r="BC964" s="59" t="n"/>
      <c r="BD964" s="59" t="n"/>
      <c r="BE964" s="59" t="n"/>
      <c r="BF964" s="59" t="n"/>
      <c r="BG964" s="59" t="n"/>
      <c r="BH964" s="59" t="n"/>
      <c r="BI964" s="59" t="n"/>
      <c r="BJ964" s="59" t="n"/>
      <c r="BK964" s="59" t="n"/>
      <c r="BL964" s="59" t="n"/>
      <c r="BM964" s="59" t="n"/>
      <c r="BN964" s="59" t="n"/>
      <c r="BO964" s="59" t="n"/>
      <c r="BP964" s="59" t="n"/>
      <c r="BQ964" s="59" t="n"/>
      <c r="BR964" s="59" t="n"/>
      <c r="BS964" s="59" t="n"/>
      <c r="BT964" s="59" t="n"/>
      <c r="BU964" s="59" t="n"/>
      <c r="BV964" s="59" t="n"/>
      <c r="BW964" s="59" t="n"/>
      <c r="BX964" s="59" t="n"/>
      <c r="BY964" s="59" t="n"/>
      <c r="BZ964" s="59" t="n"/>
      <c r="CA964" s="59" t="n"/>
      <c r="CB964" s="59" t="n"/>
      <c r="CC964" s="59" t="n"/>
      <c r="CD964" s="59" t="n"/>
      <c r="CE964" s="59" t="n"/>
      <c r="CF964" s="59" t="n"/>
      <c r="CG964" s="59" t="n"/>
      <c r="CH964" s="59" t="n"/>
      <c r="CI964" s="59" t="n"/>
      <c r="CJ964" s="59" t="n"/>
      <c r="CK964" s="59" t="n"/>
      <c r="CL964" s="59" t="n"/>
      <c r="CM964" s="59" t="n"/>
      <c r="CN964" s="59" t="n"/>
    </row>
    <row r="965" ht="15" customFormat="1" customHeight="1" s="3">
      <c r="A965">
        <f>IF(C965="","",ROW()-2)</f>
        <v/>
      </c>
      <c r="B965" s="852" t="n"/>
      <c r="C965" s="852" t="n"/>
      <c r="D965">
        <f>IF(C965="TOH","Type 1",IF(C965="POH","Type 2",IF(OR(C965="LTO",C965="TOH-LC",C965="TOH - LC"),"Type 3",IF(C965="Flourish","Type 4","Type 1"))))</f>
        <v/>
      </c>
      <c r="E965" s="852" t="n"/>
      <c r="F965" s="852" t="n"/>
      <c r="G965" s="852" t="n"/>
      <c r="H965" s="888" t="n"/>
      <c r="I965" s="889" t="n"/>
      <c r="J965" s="888" t="n"/>
      <c r="K965">
        <f>SUM(H965:J965)</f>
        <v/>
      </c>
      <c r="L965" s="852" t="n"/>
      <c r="M965" s="852" t="n"/>
      <c r="N965" s="852" t="n"/>
      <c r="O965" s="852" t="n"/>
      <c r="P965" s="852" t="n"/>
      <c r="Q965" s="852" t="n"/>
      <c r="R965" s="852" t="n"/>
      <c r="S965" s="852" t="n"/>
      <c r="T965" s="852" t="n"/>
      <c r="U965" s="852" t="n"/>
      <c r="V965" s="852" t="n"/>
      <c r="W965" s="852" t="n"/>
      <c r="X965" s="852" t="n"/>
      <c r="Y965" s="852" t="n"/>
      <c r="Z965" s="852" t="n"/>
      <c r="AA965" s="852" t="n"/>
      <c r="AB965" s="59" t="n"/>
      <c r="AC965" s="59" t="n"/>
      <c r="AD965" s="59" t="n"/>
      <c r="AE965" s="59" t="n"/>
      <c r="AF965" s="59" t="n"/>
      <c r="AG965" s="59" t="n"/>
      <c r="AH965" s="59" t="n"/>
      <c r="AI965" s="59" t="n"/>
      <c r="AJ965" s="59" t="n"/>
      <c r="AK965" s="59" t="n"/>
      <c r="AL965" s="59" t="n"/>
      <c r="AM965" s="59" t="n"/>
      <c r="AN965" s="59" t="n"/>
      <c r="AO965" s="59" t="n"/>
      <c r="AP965" s="59" t="n"/>
      <c r="AQ965" s="59" t="n"/>
      <c r="AR965" s="59" t="n"/>
      <c r="AS965" s="59" t="n"/>
      <c r="AT965" s="59" t="n"/>
      <c r="AU965" s="59" t="n"/>
      <c r="AV965" s="59" t="n"/>
      <c r="AW965" s="59" t="n"/>
      <c r="AX965" s="59" t="n"/>
      <c r="AY965" s="59" t="n"/>
      <c r="AZ965" s="59" t="n"/>
      <c r="BA965" s="59" t="n"/>
      <c r="BB965" s="59" t="n"/>
      <c r="BC965" s="59" t="n"/>
      <c r="BD965" s="59" t="n"/>
      <c r="BE965" s="59" t="n"/>
      <c r="BF965" s="59" t="n"/>
      <c r="BG965" s="59" t="n"/>
      <c r="BH965" s="59" t="n"/>
      <c r="BI965" s="59" t="n"/>
      <c r="BJ965" s="59" t="n"/>
      <c r="BK965" s="59" t="n"/>
      <c r="BL965" s="59" t="n"/>
      <c r="BM965" s="59" t="n"/>
      <c r="BN965" s="59" t="n"/>
      <c r="BO965" s="59" t="n"/>
      <c r="BP965" s="59" t="n"/>
      <c r="BQ965" s="59" t="n"/>
      <c r="BR965" s="59" t="n"/>
      <c r="BS965" s="59" t="n"/>
      <c r="BT965" s="59" t="n"/>
      <c r="BU965" s="59" t="n"/>
      <c r="BV965" s="59" t="n"/>
      <c r="BW965" s="59" t="n"/>
      <c r="BX965" s="59" t="n"/>
      <c r="BY965" s="59" t="n"/>
      <c r="BZ965" s="59" t="n"/>
      <c r="CA965" s="59" t="n"/>
      <c r="CB965" s="59" t="n"/>
      <c r="CC965" s="59" t="n"/>
      <c r="CD965" s="59" t="n"/>
      <c r="CE965" s="59" t="n"/>
      <c r="CF965" s="59" t="n"/>
      <c r="CG965" s="59" t="n"/>
      <c r="CH965" s="59" t="n"/>
      <c r="CI965" s="59" t="n"/>
      <c r="CJ965" s="59" t="n"/>
      <c r="CK965" s="59" t="n"/>
      <c r="CL965" s="59" t="n"/>
      <c r="CM965" s="59" t="n"/>
      <c r="CN965" s="59" t="n"/>
    </row>
    <row r="966" ht="15" customFormat="1" customHeight="1" s="3">
      <c r="A966">
        <f>IF(C966="","",ROW()-2)</f>
        <v/>
      </c>
      <c r="B966" s="852" t="n"/>
      <c r="C966" s="852" t="n"/>
      <c r="D966">
        <f>IF(C966="TOH","Type 1",IF(C966="POH","Type 2",IF(OR(C966="LTO",C966="TOH-LC",C966="TOH - LC"),"Type 3",IF(C966="Flourish","Type 4","Type 1"))))</f>
        <v/>
      </c>
      <c r="E966" s="852" t="n"/>
      <c r="F966" s="852" t="n"/>
      <c r="G966" s="852" t="n"/>
      <c r="H966" s="888" t="n"/>
      <c r="I966" s="889" t="n"/>
      <c r="J966" s="888" t="n"/>
      <c r="K966">
        <f>SUM(H966:J966)</f>
        <v/>
      </c>
      <c r="L966" s="852" t="n"/>
      <c r="M966" s="852" t="n"/>
      <c r="N966" s="852" t="n"/>
      <c r="O966" s="852" t="n"/>
      <c r="P966" s="852" t="n"/>
      <c r="Q966" s="852" t="n"/>
      <c r="R966" s="852" t="n"/>
      <c r="S966" s="852" t="n"/>
      <c r="T966" s="852" t="n"/>
      <c r="U966" s="852" t="n"/>
      <c r="V966" s="852" t="n"/>
      <c r="W966" s="852" t="n"/>
      <c r="X966" s="852" t="n"/>
      <c r="Y966" s="852" t="n"/>
      <c r="Z966" s="852" t="n"/>
      <c r="AA966" s="852" t="n"/>
      <c r="AB966" s="59" t="n"/>
      <c r="AC966" s="59" t="n"/>
      <c r="AD966" s="59" t="n"/>
      <c r="AE966" s="59" t="n"/>
      <c r="AF966" s="59" t="n"/>
      <c r="AG966" s="59" t="n"/>
      <c r="AH966" s="59" t="n"/>
      <c r="AI966" s="59" t="n"/>
      <c r="AJ966" s="59" t="n"/>
      <c r="AK966" s="59" t="n"/>
      <c r="AL966" s="59" t="n"/>
      <c r="AM966" s="59" t="n"/>
      <c r="AN966" s="59" t="n"/>
      <c r="AO966" s="59" t="n"/>
      <c r="AP966" s="59" t="n"/>
      <c r="AQ966" s="59" t="n"/>
      <c r="AR966" s="59" t="n"/>
      <c r="AS966" s="59" t="n"/>
      <c r="AT966" s="59" t="n"/>
      <c r="AU966" s="59" t="n"/>
      <c r="AV966" s="59" t="n"/>
      <c r="AW966" s="59" t="n"/>
      <c r="AX966" s="59" t="n"/>
      <c r="AY966" s="59" t="n"/>
      <c r="AZ966" s="59" t="n"/>
      <c r="BA966" s="59" t="n"/>
      <c r="BB966" s="59" t="n"/>
      <c r="BC966" s="59" t="n"/>
      <c r="BD966" s="59" t="n"/>
      <c r="BE966" s="59" t="n"/>
      <c r="BF966" s="59" t="n"/>
      <c r="BG966" s="59" t="n"/>
      <c r="BH966" s="59" t="n"/>
      <c r="BI966" s="59" t="n"/>
      <c r="BJ966" s="59" t="n"/>
      <c r="BK966" s="59" t="n"/>
      <c r="BL966" s="59" t="n"/>
      <c r="BM966" s="59" t="n"/>
      <c r="BN966" s="59" t="n"/>
      <c r="BO966" s="59" t="n"/>
      <c r="BP966" s="59" t="n"/>
      <c r="BQ966" s="59" t="n"/>
      <c r="BR966" s="59" t="n"/>
      <c r="BS966" s="59" t="n"/>
      <c r="BT966" s="59" t="n"/>
      <c r="BU966" s="59" t="n"/>
      <c r="BV966" s="59" t="n"/>
      <c r="BW966" s="59" t="n"/>
      <c r="BX966" s="59" t="n"/>
      <c r="BY966" s="59" t="n"/>
      <c r="BZ966" s="59" t="n"/>
      <c r="CA966" s="59" t="n"/>
      <c r="CB966" s="59" t="n"/>
      <c r="CC966" s="59" t="n"/>
      <c r="CD966" s="59" t="n"/>
      <c r="CE966" s="59" t="n"/>
      <c r="CF966" s="59" t="n"/>
      <c r="CG966" s="59" t="n"/>
      <c r="CH966" s="59" t="n"/>
      <c r="CI966" s="59" t="n"/>
      <c r="CJ966" s="59" t="n"/>
      <c r="CK966" s="59" t="n"/>
      <c r="CL966" s="59" t="n"/>
      <c r="CM966" s="59" t="n"/>
      <c r="CN966" s="59" t="n"/>
    </row>
    <row r="967" ht="15" customFormat="1" customHeight="1" s="3">
      <c r="A967">
        <f>IF(C967="","",ROW()-2)</f>
        <v/>
      </c>
      <c r="B967" s="852" t="n"/>
      <c r="C967" s="852" t="n"/>
      <c r="D967">
        <f>IF(C967="TOH","Type 1",IF(C967="POH","Type 2",IF(OR(C967="LTO",C967="TOH-LC",C967="TOH - LC"),"Type 3",IF(C967="Flourish","Type 4","Type 1"))))</f>
        <v/>
      </c>
      <c r="E967" s="852" t="n"/>
      <c r="F967" s="852" t="n"/>
      <c r="G967" s="852" t="n"/>
      <c r="H967" s="888" t="n"/>
      <c r="I967" s="889" t="n"/>
      <c r="J967" s="888" t="n"/>
      <c r="K967">
        <f>SUM(H967:J967)</f>
        <v/>
      </c>
      <c r="L967" s="852" t="n"/>
      <c r="M967" s="852" t="n"/>
      <c r="N967" s="852" t="n"/>
      <c r="O967" s="852" t="n"/>
      <c r="P967" s="852" t="n"/>
      <c r="Q967" s="852" t="n"/>
      <c r="R967" s="852" t="n"/>
      <c r="S967" s="852" t="n"/>
      <c r="T967" s="852" t="n"/>
      <c r="U967" s="852" t="n"/>
      <c r="V967" s="852" t="n"/>
      <c r="W967" s="852" t="n"/>
      <c r="X967" s="852" t="n"/>
      <c r="Y967" s="852" t="n"/>
      <c r="Z967" s="852" t="n"/>
      <c r="AA967" s="852" t="n"/>
      <c r="AB967" s="59" t="n"/>
      <c r="AC967" s="59" t="n"/>
      <c r="AD967" s="59" t="n"/>
      <c r="AE967" s="59" t="n"/>
      <c r="AF967" s="59" t="n"/>
      <c r="AG967" s="59" t="n"/>
      <c r="AH967" s="59" t="n"/>
      <c r="AI967" s="59" t="n"/>
      <c r="AJ967" s="59" t="n"/>
      <c r="AK967" s="59" t="n"/>
      <c r="AL967" s="59" t="n"/>
      <c r="AM967" s="59" t="n"/>
      <c r="AN967" s="59" t="n"/>
      <c r="AO967" s="59" t="n"/>
      <c r="AP967" s="59" t="n"/>
      <c r="AQ967" s="59" t="n"/>
      <c r="AR967" s="59" t="n"/>
      <c r="AS967" s="59" t="n"/>
      <c r="AT967" s="59" t="n"/>
      <c r="AU967" s="59" t="n"/>
      <c r="AV967" s="59" t="n"/>
      <c r="AW967" s="59" t="n"/>
      <c r="AX967" s="59" t="n"/>
      <c r="AY967" s="59" t="n"/>
      <c r="AZ967" s="59" t="n"/>
      <c r="BA967" s="59" t="n"/>
      <c r="BB967" s="59" t="n"/>
      <c r="BC967" s="59" t="n"/>
      <c r="BD967" s="59" t="n"/>
      <c r="BE967" s="59" t="n"/>
      <c r="BF967" s="59" t="n"/>
      <c r="BG967" s="59" t="n"/>
      <c r="BH967" s="59" t="n"/>
      <c r="BI967" s="59" t="n"/>
      <c r="BJ967" s="59" t="n"/>
      <c r="BK967" s="59" t="n"/>
      <c r="BL967" s="59" t="n"/>
      <c r="BM967" s="59" t="n"/>
      <c r="BN967" s="59" t="n"/>
      <c r="BO967" s="59" t="n"/>
      <c r="BP967" s="59" t="n"/>
      <c r="BQ967" s="59" t="n"/>
      <c r="BR967" s="59" t="n"/>
      <c r="BS967" s="59" t="n"/>
      <c r="BT967" s="59" t="n"/>
      <c r="BU967" s="59" t="n"/>
      <c r="BV967" s="59" t="n"/>
      <c r="BW967" s="59" t="n"/>
      <c r="BX967" s="59" t="n"/>
      <c r="BY967" s="59" t="n"/>
      <c r="BZ967" s="59" t="n"/>
      <c r="CA967" s="59" t="n"/>
      <c r="CB967" s="59" t="n"/>
      <c r="CC967" s="59" t="n"/>
      <c r="CD967" s="59" t="n"/>
      <c r="CE967" s="59" t="n"/>
      <c r="CF967" s="59" t="n"/>
      <c r="CG967" s="59" t="n"/>
      <c r="CH967" s="59" t="n"/>
      <c r="CI967" s="59" t="n"/>
      <c r="CJ967" s="59" t="n"/>
      <c r="CK967" s="59" t="n"/>
      <c r="CL967" s="59" t="n"/>
      <c r="CM967" s="59" t="n"/>
      <c r="CN967" s="59" t="n"/>
    </row>
    <row r="968" ht="15" customFormat="1" customHeight="1" s="3">
      <c r="A968">
        <f>IF(C968="","",ROW()-2)</f>
        <v/>
      </c>
      <c r="B968" s="852" t="n"/>
      <c r="C968" s="852" t="n"/>
      <c r="D968">
        <f>IF(C968="TOH","Type 1",IF(C968="POH","Type 2",IF(OR(C968="LTO",C968="TOH-LC",C968="TOH - LC"),"Type 3",IF(C968="Flourish","Type 4","Type 1"))))</f>
        <v/>
      </c>
      <c r="E968" s="852" t="n"/>
      <c r="F968" s="852" t="n"/>
      <c r="G968" s="852" t="n"/>
      <c r="H968" s="888" t="n"/>
      <c r="I968" s="889" t="n"/>
      <c r="J968" s="888" t="n"/>
      <c r="K968">
        <f>SUM(H968:J968)</f>
        <v/>
      </c>
      <c r="L968" s="852" t="n"/>
      <c r="M968" s="852" t="n"/>
      <c r="N968" s="852" t="n"/>
      <c r="O968" s="852" t="n"/>
      <c r="P968" s="852" t="n"/>
      <c r="Q968" s="852" t="n"/>
      <c r="R968" s="852" t="n"/>
      <c r="S968" s="852" t="n"/>
      <c r="T968" s="852" t="n"/>
      <c r="U968" s="852" t="n"/>
      <c r="V968" s="852" t="n"/>
      <c r="W968" s="852" t="n"/>
      <c r="X968" s="852" t="n"/>
      <c r="Y968" s="852" t="n"/>
      <c r="Z968" s="852" t="n"/>
      <c r="AA968" s="852" t="n"/>
      <c r="AB968" s="59" t="n"/>
      <c r="AC968" s="59" t="n"/>
      <c r="AD968" s="59" t="n"/>
      <c r="AE968" s="59" t="n"/>
      <c r="AF968" s="59" t="n"/>
      <c r="AG968" s="59" t="n"/>
      <c r="AH968" s="59" t="n"/>
      <c r="AI968" s="59" t="n"/>
      <c r="AJ968" s="59" t="n"/>
      <c r="AK968" s="59" t="n"/>
      <c r="AL968" s="59" t="n"/>
      <c r="AM968" s="59" t="n"/>
      <c r="AN968" s="59" t="n"/>
      <c r="AO968" s="59" t="n"/>
      <c r="AP968" s="59" t="n"/>
      <c r="AQ968" s="59" t="n"/>
      <c r="AR968" s="59" t="n"/>
      <c r="AS968" s="59" t="n"/>
      <c r="AT968" s="59" t="n"/>
      <c r="AU968" s="59" t="n"/>
      <c r="AV968" s="59" t="n"/>
      <c r="AW968" s="59" t="n"/>
      <c r="AX968" s="59" t="n"/>
      <c r="AY968" s="59" t="n"/>
      <c r="AZ968" s="59" t="n"/>
      <c r="BA968" s="59" t="n"/>
      <c r="BB968" s="59" t="n"/>
      <c r="BC968" s="59" t="n"/>
      <c r="BD968" s="59" t="n"/>
      <c r="BE968" s="59" t="n"/>
      <c r="BF968" s="59" t="n"/>
      <c r="BG968" s="59" t="n"/>
      <c r="BH968" s="59" t="n"/>
      <c r="BI968" s="59" t="n"/>
      <c r="BJ968" s="59" t="n"/>
      <c r="BK968" s="59" t="n"/>
      <c r="BL968" s="59" t="n"/>
      <c r="BM968" s="59" t="n"/>
      <c r="BN968" s="59" t="n"/>
      <c r="BO968" s="59" t="n"/>
      <c r="BP968" s="59" t="n"/>
      <c r="BQ968" s="59" t="n"/>
      <c r="BR968" s="59" t="n"/>
      <c r="BS968" s="59" t="n"/>
      <c r="BT968" s="59" t="n"/>
      <c r="BU968" s="59" t="n"/>
      <c r="BV968" s="59" t="n"/>
      <c r="BW968" s="59" t="n"/>
      <c r="BX968" s="59" t="n"/>
      <c r="BY968" s="59" t="n"/>
      <c r="BZ968" s="59" t="n"/>
      <c r="CA968" s="59" t="n"/>
      <c r="CB968" s="59" t="n"/>
      <c r="CC968" s="59" t="n"/>
      <c r="CD968" s="59" t="n"/>
      <c r="CE968" s="59" t="n"/>
      <c r="CF968" s="59" t="n"/>
      <c r="CG968" s="59" t="n"/>
      <c r="CH968" s="59" t="n"/>
      <c r="CI968" s="59" t="n"/>
      <c r="CJ968" s="59" t="n"/>
      <c r="CK968" s="59" t="n"/>
      <c r="CL968" s="59" t="n"/>
      <c r="CM968" s="59" t="n"/>
      <c r="CN968" s="59" t="n"/>
    </row>
    <row r="969" ht="15" customFormat="1" customHeight="1" s="3">
      <c r="A969">
        <f>IF(C969="","",ROW()-2)</f>
        <v/>
      </c>
      <c r="B969" s="852" t="n"/>
      <c r="C969" s="852" t="n"/>
      <c r="D969">
        <f>IF(C969="TOH","Type 1",IF(C969="POH","Type 2",IF(OR(C969="LTO",C969="TOH-LC",C969="TOH - LC"),"Type 3",IF(C969="Flourish","Type 4","Type 1"))))</f>
        <v/>
      </c>
      <c r="E969" s="852" t="n"/>
      <c r="F969" s="852" t="n"/>
      <c r="G969" s="852" t="n"/>
      <c r="H969" s="888" t="n"/>
      <c r="I969" s="889" t="n"/>
      <c r="J969" s="888" t="n"/>
      <c r="K969">
        <f>SUM(H969:J969)</f>
        <v/>
      </c>
      <c r="L969" s="852" t="n"/>
      <c r="M969" s="852" t="n"/>
      <c r="N969" s="852" t="n"/>
      <c r="O969" s="852" t="n"/>
      <c r="P969" s="852" t="n"/>
      <c r="Q969" s="852" t="n"/>
      <c r="R969" s="852" t="n"/>
      <c r="S969" s="852" t="n"/>
      <c r="T969" s="852" t="n"/>
      <c r="U969" s="852" t="n"/>
      <c r="V969" s="852" t="n"/>
      <c r="W969" s="852" t="n"/>
      <c r="X969" s="852" t="n"/>
      <c r="Y969" s="852" t="n"/>
      <c r="Z969" s="852" t="n"/>
      <c r="AA969" s="852" t="n"/>
      <c r="AB969" s="59" t="n"/>
      <c r="AC969" s="59" t="n"/>
      <c r="AD969" s="59" t="n"/>
      <c r="AE969" s="59" t="n"/>
      <c r="AF969" s="59" t="n"/>
      <c r="AG969" s="59" t="n"/>
      <c r="AH969" s="59" t="n"/>
      <c r="AI969" s="59" t="n"/>
      <c r="AJ969" s="59" t="n"/>
      <c r="AK969" s="59" t="n"/>
      <c r="AL969" s="59" t="n"/>
      <c r="AM969" s="59" t="n"/>
      <c r="AN969" s="59" t="n"/>
      <c r="AO969" s="59" t="n"/>
      <c r="AP969" s="59" t="n"/>
      <c r="AQ969" s="59" t="n"/>
      <c r="AR969" s="59" t="n"/>
      <c r="AS969" s="59" t="n"/>
      <c r="AT969" s="59" t="n"/>
      <c r="AU969" s="59" t="n"/>
      <c r="AV969" s="59" t="n"/>
      <c r="AW969" s="59" t="n"/>
      <c r="AX969" s="59" t="n"/>
      <c r="AY969" s="59" t="n"/>
      <c r="AZ969" s="59" t="n"/>
      <c r="BA969" s="59" t="n"/>
      <c r="BB969" s="59" t="n"/>
      <c r="BC969" s="59" t="n"/>
      <c r="BD969" s="59" t="n"/>
      <c r="BE969" s="59" t="n"/>
      <c r="BF969" s="59" t="n"/>
      <c r="BG969" s="59" t="n"/>
      <c r="BH969" s="59" t="n"/>
      <c r="BI969" s="59" t="n"/>
      <c r="BJ969" s="59" t="n"/>
      <c r="BK969" s="59" t="n"/>
      <c r="BL969" s="59" t="n"/>
      <c r="BM969" s="59" t="n"/>
      <c r="BN969" s="59" t="n"/>
      <c r="BO969" s="59" t="n"/>
      <c r="BP969" s="59" t="n"/>
      <c r="BQ969" s="59" t="n"/>
      <c r="BR969" s="59" t="n"/>
      <c r="BS969" s="59" t="n"/>
      <c r="BT969" s="59" t="n"/>
      <c r="BU969" s="59" t="n"/>
      <c r="BV969" s="59" t="n"/>
      <c r="BW969" s="59" t="n"/>
      <c r="BX969" s="59" t="n"/>
      <c r="BY969" s="59" t="n"/>
      <c r="BZ969" s="59" t="n"/>
      <c r="CA969" s="59" t="n"/>
      <c r="CB969" s="59" t="n"/>
      <c r="CC969" s="59" t="n"/>
      <c r="CD969" s="59" t="n"/>
      <c r="CE969" s="59" t="n"/>
      <c r="CF969" s="59" t="n"/>
      <c r="CG969" s="59" t="n"/>
      <c r="CH969" s="59" t="n"/>
      <c r="CI969" s="59" t="n"/>
      <c r="CJ969" s="59" t="n"/>
      <c r="CK969" s="59" t="n"/>
      <c r="CL969" s="59" t="n"/>
      <c r="CM969" s="59" t="n"/>
      <c r="CN969" s="59" t="n"/>
    </row>
    <row r="970" ht="15" customFormat="1" customHeight="1" s="3">
      <c r="A970">
        <f>IF(C970="","",ROW()-2)</f>
        <v/>
      </c>
      <c r="B970" s="852" t="n"/>
      <c r="C970" s="852" t="n"/>
      <c r="D970">
        <f>IF(C970="TOH","Type 1",IF(C970="POH","Type 2",IF(OR(C970="LTO",C970="TOH-LC",C970="TOH - LC"),"Type 3",IF(C970="Flourish","Type 4","Type 1"))))</f>
        <v/>
      </c>
      <c r="E970" s="852" t="n"/>
      <c r="F970" s="852" t="n"/>
      <c r="G970" s="852" t="n"/>
      <c r="H970" s="888" t="n"/>
      <c r="I970" s="889" t="n"/>
      <c r="J970" s="888" t="n"/>
      <c r="K970">
        <f>SUM(H970:J970)</f>
        <v/>
      </c>
      <c r="L970" s="852" t="n"/>
      <c r="M970" s="852" t="n"/>
      <c r="N970" s="852" t="n"/>
      <c r="O970" s="852" t="n"/>
      <c r="P970" s="852" t="n"/>
      <c r="Q970" s="852" t="n"/>
      <c r="R970" s="852" t="n"/>
      <c r="S970" s="852" t="n"/>
      <c r="T970" s="852" t="n"/>
      <c r="U970" s="852" t="n"/>
      <c r="V970" s="852" t="n"/>
      <c r="W970" s="852" t="n"/>
      <c r="X970" s="852" t="n"/>
      <c r="Y970" s="852" t="n"/>
      <c r="Z970" s="852" t="n"/>
      <c r="AA970" s="852" t="n"/>
      <c r="AB970" s="59" t="n"/>
      <c r="AC970" s="59" t="n"/>
      <c r="AD970" s="59" t="n"/>
      <c r="AE970" s="59" t="n"/>
      <c r="AF970" s="59" t="n"/>
      <c r="AG970" s="59" t="n"/>
      <c r="AH970" s="59" t="n"/>
      <c r="AI970" s="59" t="n"/>
      <c r="AJ970" s="59" t="n"/>
      <c r="AK970" s="59" t="n"/>
      <c r="AL970" s="59" t="n"/>
      <c r="AM970" s="59" t="n"/>
      <c r="AN970" s="59" t="n"/>
      <c r="AO970" s="59" t="n"/>
      <c r="AP970" s="59" t="n"/>
      <c r="AQ970" s="59" t="n"/>
      <c r="AR970" s="59" t="n"/>
      <c r="AS970" s="59" t="n"/>
      <c r="AT970" s="59" t="n"/>
      <c r="AU970" s="59" t="n"/>
      <c r="AV970" s="59" t="n"/>
      <c r="AW970" s="59" t="n"/>
      <c r="AX970" s="59" t="n"/>
      <c r="AY970" s="59" t="n"/>
      <c r="AZ970" s="59" t="n"/>
      <c r="BA970" s="59" t="n"/>
      <c r="BB970" s="59" t="n"/>
      <c r="BC970" s="59" t="n"/>
      <c r="BD970" s="59" t="n"/>
      <c r="BE970" s="59" t="n"/>
      <c r="BF970" s="59" t="n"/>
      <c r="BG970" s="59" t="n"/>
      <c r="BH970" s="59" t="n"/>
      <c r="BI970" s="59" t="n"/>
      <c r="BJ970" s="59" t="n"/>
      <c r="BK970" s="59" t="n"/>
      <c r="BL970" s="59" t="n"/>
      <c r="BM970" s="59" t="n"/>
      <c r="BN970" s="59" t="n"/>
      <c r="BO970" s="59" t="n"/>
      <c r="BP970" s="59" t="n"/>
      <c r="BQ970" s="59" t="n"/>
      <c r="BR970" s="59" t="n"/>
      <c r="BS970" s="59" t="n"/>
      <c r="BT970" s="59" t="n"/>
      <c r="BU970" s="59" t="n"/>
      <c r="BV970" s="59" t="n"/>
      <c r="BW970" s="59" t="n"/>
      <c r="BX970" s="59" t="n"/>
      <c r="BY970" s="59" t="n"/>
      <c r="BZ970" s="59" t="n"/>
      <c r="CA970" s="59" t="n"/>
      <c r="CB970" s="59" t="n"/>
      <c r="CC970" s="59" t="n"/>
      <c r="CD970" s="59" t="n"/>
      <c r="CE970" s="59" t="n"/>
      <c r="CF970" s="59" t="n"/>
      <c r="CG970" s="59" t="n"/>
      <c r="CH970" s="59" t="n"/>
      <c r="CI970" s="59" t="n"/>
      <c r="CJ970" s="59" t="n"/>
      <c r="CK970" s="59" t="n"/>
      <c r="CL970" s="59" t="n"/>
      <c r="CM970" s="59" t="n"/>
      <c r="CN970" s="59" t="n"/>
    </row>
    <row r="971" ht="15" customFormat="1" customHeight="1" s="3">
      <c r="A971">
        <f>IF(C971="","",ROW()-2)</f>
        <v/>
      </c>
      <c r="B971" s="852" t="n"/>
      <c r="C971" s="852" t="n"/>
      <c r="D971">
        <f>IF(C971="TOH","Type 1",IF(C971="POH","Type 2",IF(OR(C971="LTO",C971="TOH-LC",C971="TOH - LC"),"Type 3",IF(C971="Flourish","Type 4","Type 1"))))</f>
        <v/>
      </c>
      <c r="E971" s="852" t="n"/>
      <c r="F971" s="852" t="n"/>
      <c r="G971" s="852" t="n"/>
      <c r="H971" s="888" t="n"/>
      <c r="I971" s="889" t="n"/>
      <c r="J971" s="888" t="n"/>
      <c r="K971">
        <f>SUM(H971:J971)</f>
        <v/>
      </c>
      <c r="L971" s="852" t="n"/>
      <c r="M971" s="852" t="n"/>
      <c r="N971" s="852" t="n"/>
      <c r="O971" s="852" t="n"/>
      <c r="P971" s="852" t="n"/>
      <c r="Q971" s="852" t="n"/>
      <c r="R971" s="852" t="n"/>
      <c r="S971" s="852" t="n"/>
      <c r="T971" s="852" t="n"/>
      <c r="U971" s="852" t="n"/>
      <c r="V971" s="852" t="n"/>
      <c r="W971" s="852" t="n"/>
      <c r="X971" s="852" t="n"/>
      <c r="Y971" s="852" t="n"/>
      <c r="Z971" s="852" t="n"/>
      <c r="AA971" s="852" t="n"/>
      <c r="AB971" s="59" t="n"/>
      <c r="AC971" s="59" t="n"/>
      <c r="AD971" s="59" t="n"/>
      <c r="AE971" s="59" t="n"/>
      <c r="AF971" s="59" t="n"/>
      <c r="AG971" s="59" t="n"/>
      <c r="AH971" s="59" t="n"/>
      <c r="AI971" s="59" t="n"/>
      <c r="AJ971" s="59" t="n"/>
      <c r="AK971" s="59" t="n"/>
      <c r="AL971" s="59" t="n"/>
      <c r="AM971" s="59" t="n"/>
      <c r="AN971" s="59" t="n"/>
      <c r="AO971" s="59" t="n"/>
      <c r="AP971" s="59" t="n"/>
      <c r="AQ971" s="59" t="n"/>
      <c r="AR971" s="59" t="n"/>
      <c r="AS971" s="59" t="n"/>
      <c r="AT971" s="59" t="n"/>
      <c r="AU971" s="59" t="n"/>
      <c r="AV971" s="59" t="n"/>
      <c r="AW971" s="59" t="n"/>
      <c r="AX971" s="59" t="n"/>
      <c r="AY971" s="59" t="n"/>
      <c r="AZ971" s="59" t="n"/>
      <c r="BA971" s="59" t="n"/>
      <c r="BB971" s="59" t="n"/>
      <c r="BC971" s="59" t="n"/>
      <c r="BD971" s="59" t="n"/>
      <c r="BE971" s="59" t="n"/>
      <c r="BF971" s="59" t="n"/>
      <c r="BG971" s="59" t="n"/>
      <c r="BH971" s="59" t="n"/>
      <c r="BI971" s="59" t="n"/>
      <c r="BJ971" s="59" t="n"/>
      <c r="BK971" s="59" t="n"/>
      <c r="BL971" s="59" t="n"/>
      <c r="BM971" s="59" t="n"/>
      <c r="BN971" s="59" t="n"/>
      <c r="BO971" s="59" t="n"/>
      <c r="BP971" s="59" t="n"/>
      <c r="BQ971" s="59" t="n"/>
      <c r="BR971" s="59" t="n"/>
      <c r="BS971" s="59" t="n"/>
      <c r="BT971" s="59" t="n"/>
      <c r="BU971" s="59" t="n"/>
      <c r="BV971" s="59" t="n"/>
      <c r="BW971" s="59" t="n"/>
      <c r="BX971" s="59" t="n"/>
      <c r="BY971" s="59" t="n"/>
      <c r="BZ971" s="59" t="n"/>
      <c r="CA971" s="59" t="n"/>
      <c r="CB971" s="59" t="n"/>
      <c r="CC971" s="59" t="n"/>
      <c r="CD971" s="59" t="n"/>
      <c r="CE971" s="59" t="n"/>
      <c r="CF971" s="59" t="n"/>
      <c r="CG971" s="59" t="n"/>
      <c r="CH971" s="59" t="n"/>
      <c r="CI971" s="59" t="n"/>
      <c r="CJ971" s="59" t="n"/>
      <c r="CK971" s="59" t="n"/>
      <c r="CL971" s="59" t="n"/>
      <c r="CM971" s="59" t="n"/>
      <c r="CN971" s="59" t="n"/>
    </row>
    <row r="972" ht="15" customFormat="1" customHeight="1" s="3">
      <c r="A972">
        <f>IF(C972="","",ROW()-2)</f>
        <v/>
      </c>
      <c r="B972" s="852" t="n"/>
      <c r="C972" s="852" t="n"/>
      <c r="D972">
        <f>IF(C972="TOH","Type 1",IF(C972="POH","Type 2",IF(OR(C972="LTO",C972="TOH-LC",C972="TOH - LC"),"Type 3",IF(C972="Flourish","Type 4","Type 1"))))</f>
        <v/>
      </c>
      <c r="E972" s="852" t="n"/>
      <c r="F972" s="852" t="n"/>
      <c r="G972" s="852" t="n"/>
      <c r="H972" s="888" t="n"/>
      <c r="I972" s="889" t="n"/>
      <c r="J972" s="888" t="n"/>
      <c r="K972">
        <f>SUM(H972:J972)</f>
        <v/>
      </c>
      <c r="L972" s="852" t="n"/>
      <c r="M972" s="852" t="n"/>
      <c r="N972" s="852" t="n"/>
      <c r="O972" s="852" t="n"/>
      <c r="P972" s="852" t="n"/>
      <c r="Q972" s="852" t="n"/>
      <c r="R972" s="852" t="n"/>
      <c r="S972" s="852" t="n"/>
      <c r="T972" s="852" t="n"/>
      <c r="U972" s="852" t="n"/>
      <c r="V972" s="852" t="n"/>
      <c r="W972" s="852" t="n"/>
      <c r="X972" s="852" t="n"/>
      <c r="Y972" s="852" t="n"/>
      <c r="Z972" s="852" t="n"/>
      <c r="AA972" s="852" t="n"/>
      <c r="AB972" s="59" t="n"/>
      <c r="AC972" s="59" t="n"/>
      <c r="AD972" s="59" t="n"/>
      <c r="AE972" s="59" t="n"/>
      <c r="AF972" s="59" t="n"/>
      <c r="AG972" s="59" t="n"/>
      <c r="AH972" s="59" t="n"/>
      <c r="AI972" s="59" t="n"/>
      <c r="AJ972" s="59" t="n"/>
      <c r="AK972" s="59" t="n"/>
      <c r="AL972" s="59" t="n"/>
      <c r="AM972" s="59" t="n"/>
      <c r="AN972" s="59" t="n"/>
      <c r="AO972" s="59" t="n"/>
      <c r="AP972" s="59" t="n"/>
      <c r="AQ972" s="59" t="n"/>
      <c r="AR972" s="59" t="n"/>
      <c r="AS972" s="59" t="n"/>
      <c r="AT972" s="59" t="n"/>
      <c r="AU972" s="59" t="n"/>
      <c r="AV972" s="59" t="n"/>
      <c r="AW972" s="59" t="n"/>
      <c r="AX972" s="59" t="n"/>
      <c r="AY972" s="59" t="n"/>
      <c r="AZ972" s="59" t="n"/>
      <c r="BA972" s="59" t="n"/>
      <c r="BB972" s="59" t="n"/>
      <c r="BC972" s="59" t="n"/>
      <c r="BD972" s="59" t="n"/>
      <c r="BE972" s="59" t="n"/>
      <c r="BF972" s="59" t="n"/>
      <c r="BG972" s="59" t="n"/>
      <c r="BH972" s="59" t="n"/>
      <c r="BI972" s="59" t="n"/>
      <c r="BJ972" s="59" t="n"/>
      <c r="BK972" s="59" t="n"/>
      <c r="BL972" s="59" t="n"/>
      <c r="BM972" s="59" t="n"/>
      <c r="BN972" s="59" t="n"/>
      <c r="BO972" s="59" t="n"/>
      <c r="BP972" s="59" t="n"/>
      <c r="BQ972" s="59" t="n"/>
      <c r="BR972" s="59" t="n"/>
      <c r="BS972" s="59" t="n"/>
      <c r="BT972" s="59" t="n"/>
      <c r="BU972" s="59" t="n"/>
      <c r="BV972" s="59" t="n"/>
      <c r="BW972" s="59" t="n"/>
      <c r="BX972" s="59" t="n"/>
      <c r="BY972" s="59" t="n"/>
      <c r="BZ972" s="59" t="n"/>
      <c r="CA972" s="59" t="n"/>
      <c r="CB972" s="59" t="n"/>
      <c r="CC972" s="59" t="n"/>
      <c r="CD972" s="59" t="n"/>
      <c r="CE972" s="59" t="n"/>
      <c r="CF972" s="59" t="n"/>
      <c r="CG972" s="59" t="n"/>
      <c r="CH972" s="59" t="n"/>
      <c r="CI972" s="59" t="n"/>
      <c r="CJ972" s="59" t="n"/>
      <c r="CK972" s="59" t="n"/>
      <c r="CL972" s="59" t="n"/>
      <c r="CM972" s="59" t="n"/>
      <c r="CN972" s="59" t="n"/>
    </row>
    <row r="973" ht="15" customFormat="1" customHeight="1" s="3">
      <c r="A973">
        <f>IF(C973="","",ROW()-2)</f>
        <v/>
      </c>
      <c r="B973" s="852" t="n"/>
      <c r="C973" s="852" t="n"/>
      <c r="D973">
        <f>IF(C973="TOH","Type 1",IF(C973="POH","Type 2",IF(OR(C973="LTO",C973="TOH-LC",C973="TOH - LC"),"Type 3",IF(C973="Flourish","Type 4","Type 1"))))</f>
        <v/>
      </c>
      <c r="E973" s="852" t="n"/>
      <c r="F973" s="852" t="n"/>
      <c r="G973" s="852" t="n"/>
      <c r="H973" s="888" t="n"/>
      <c r="I973" s="889" t="n"/>
      <c r="J973" s="888" t="n"/>
      <c r="K973">
        <f>SUM(H973:J973)</f>
        <v/>
      </c>
      <c r="L973" s="852" t="n"/>
      <c r="M973" s="852" t="n"/>
      <c r="N973" s="852" t="n"/>
      <c r="O973" s="852" t="n"/>
      <c r="P973" s="852" t="n"/>
      <c r="Q973" s="852" t="n"/>
      <c r="R973" s="852" t="n"/>
      <c r="S973" s="852" t="n"/>
      <c r="T973" s="852" t="n"/>
      <c r="U973" s="852" t="n"/>
      <c r="V973" s="852" t="n"/>
      <c r="W973" s="852" t="n"/>
      <c r="X973" s="852" t="n"/>
      <c r="Y973" s="852" t="n"/>
      <c r="Z973" s="852" t="n"/>
      <c r="AA973" s="852" t="n"/>
      <c r="AB973" s="59" t="n"/>
      <c r="AC973" s="59" t="n"/>
      <c r="AD973" s="59" t="n"/>
      <c r="AE973" s="59" t="n"/>
      <c r="AF973" s="59" t="n"/>
      <c r="AG973" s="59" t="n"/>
      <c r="AH973" s="59" t="n"/>
      <c r="AI973" s="59" t="n"/>
      <c r="AJ973" s="59" t="n"/>
      <c r="AK973" s="59" t="n"/>
      <c r="AL973" s="59" t="n"/>
      <c r="AM973" s="59" t="n"/>
      <c r="AN973" s="59" t="n"/>
      <c r="AO973" s="59" t="n"/>
      <c r="AP973" s="59" t="n"/>
      <c r="AQ973" s="59" t="n"/>
      <c r="AR973" s="59" t="n"/>
      <c r="AS973" s="59" t="n"/>
      <c r="AT973" s="59" t="n"/>
      <c r="AU973" s="59" t="n"/>
      <c r="AV973" s="59" t="n"/>
      <c r="AW973" s="59" t="n"/>
      <c r="AX973" s="59" t="n"/>
      <c r="AY973" s="59" t="n"/>
      <c r="AZ973" s="59" t="n"/>
      <c r="BA973" s="59" t="n"/>
      <c r="BB973" s="59" t="n"/>
      <c r="BC973" s="59" t="n"/>
      <c r="BD973" s="59" t="n"/>
      <c r="BE973" s="59" t="n"/>
      <c r="BF973" s="59" t="n"/>
      <c r="BG973" s="59" t="n"/>
      <c r="BH973" s="59" t="n"/>
      <c r="BI973" s="59" t="n"/>
      <c r="BJ973" s="59" t="n"/>
      <c r="BK973" s="59" t="n"/>
      <c r="BL973" s="59" t="n"/>
      <c r="BM973" s="59" t="n"/>
      <c r="BN973" s="59" t="n"/>
      <c r="BO973" s="59" t="n"/>
      <c r="BP973" s="59" t="n"/>
      <c r="BQ973" s="59" t="n"/>
      <c r="BR973" s="59" t="n"/>
      <c r="BS973" s="59" t="n"/>
      <c r="BT973" s="59" t="n"/>
      <c r="BU973" s="59" t="n"/>
      <c r="BV973" s="59" t="n"/>
      <c r="BW973" s="59" t="n"/>
      <c r="BX973" s="59" t="n"/>
      <c r="BY973" s="59" t="n"/>
      <c r="BZ973" s="59" t="n"/>
      <c r="CA973" s="59" t="n"/>
      <c r="CB973" s="59" t="n"/>
      <c r="CC973" s="59" t="n"/>
      <c r="CD973" s="59" t="n"/>
      <c r="CE973" s="59" t="n"/>
      <c r="CF973" s="59" t="n"/>
      <c r="CG973" s="59" t="n"/>
      <c r="CH973" s="59" t="n"/>
      <c r="CI973" s="59" t="n"/>
      <c r="CJ973" s="59" t="n"/>
      <c r="CK973" s="59" t="n"/>
      <c r="CL973" s="59" t="n"/>
      <c r="CM973" s="59" t="n"/>
      <c r="CN973" s="59" t="n"/>
    </row>
    <row r="974" ht="15" customFormat="1" customHeight="1" s="3">
      <c r="A974">
        <f>IF(C974="","",ROW()-2)</f>
        <v/>
      </c>
      <c r="B974" s="852" t="n"/>
      <c r="C974" s="852" t="n"/>
      <c r="D974">
        <f>IF(C974="TOH","Type 1",IF(C974="POH","Type 2",IF(OR(C974="LTO",C974="TOH-LC",C974="TOH - LC"),"Type 3",IF(C974="Flourish","Type 4","Type 1"))))</f>
        <v/>
      </c>
      <c r="E974" s="852" t="n"/>
      <c r="F974" s="852" t="n"/>
      <c r="G974" s="852" t="n"/>
      <c r="H974" s="888" t="n"/>
      <c r="I974" s="889" t="n"/>
      <c r="J974" s="888" t="n"/>
      <c r="K974">
        <f>SUM(H974:J974)</f>
        <v/>
      </c>
      <c r="L974" s="852" t="n"/>
      <c r="M974" s="852" t="n"/>
      <c r="N974" s="852" t="n"/>
      <c r="O974" s="852" t="n"/>
      <c r="P974" s="852" t="n"/>
      <c r="Q974" s="852" t="n"/>
      <c r="R974" s="852" t="n"/>
      <c r="S974" s="852" t="n"/>
      <c r="T974" s="852" t="n"/>
      <c r="U974" s="852" t="n"/>
      <c r="V974" s="852" t="n"/>
      <c r="W974" s="852" t="n"/>
      <c r="X974" s="852" t="n"/>
      <c r="Y974" s="852" t="n"/>
      <c r="Z974" s="852" t="n"/>
      <c r="AA974" s="852" t="n"/>
      <c r="AB974" s="59" t="n"/>
      <c r="AC974" s="59" t="n"/>
      <c r="AD974" s="59" t="n"/>
      <c r="AE974" s="59" t="n"/>
      <c r="AF974" s="59" t="n"/>
      <c r="AG974" s="59" t="n"/>
      <c r="AH974" s="59" t="n"/>
      <c r="AI974" s="59" t="n"/>
      <c r="AJ974" s="59" t="n"/>
      <c r="AK974" s="59" t="n"/>
      <c r="AL974" s="59" t="n"/>
      <c r="AM974" s="59" t="n"/>
      <c r="AN974" s="59" t="n"/>
      <c r="AO974" s="59" t="n"/>
      <c r="AP974" s="59" t="n"/>
      <c r="AQ974" s="59" t="n"/>
      <c r="AR974" s="59" t="n"/>
      <c r="AS974" s="59" t="n"/>
      <c r="AT974" s="59" t="n"/>
      <c r="AU974" s="59" t="n"/>
      <c r="AV974" s="59" t="n"/>
      <c r="AW974" s="59" t="n"/>
      <c r="AX974" s="59" t="n"/>
      <c r="AY974" s="59" t="n"/>
      <c r="AZ974" s="59" t="n"/>
      <c r="BA974" s="59" t="n"/>
      <c r="BB974" s="59" t="n"/>
      <c r="BC974" s="59" t="n"/>
      <c r="BD974" s="59" t="n"/>
      <c r="BE974" s="59" t="n"/>
      <c r="BF974" s="59" t="n"/>
      <c r="BG974" s="59" t="n"/>
      <c r="BH974" s="59" t="n"/>
      <c r="BI974" s="59" t="n"/>
      <c r="BJ974" s="59" t="n"/>
      <c r="BK974" s="59" t="n"/>
      <c r="BL974" s="59" t="n"/>
      <c r="BM974" s="59" t="n"/>
      <c r="BN974" s="59" t="n"/>
      <c r="BO974" s="59" t="n"/>
      <c r="BP974" s="59" t="n"/>
      <c r="BQ974" s="59" t="n"/>
      <c r="BR974" s="59" t="n"/>
      <c r="BS974" s="59" t="n"/>
      <c r="BT974" s="59" t="n"/>
      <c r="BU974" s="59" t="n"/>
      <c r="BV974" s="59" t="n"/>
      <c r="BW974" s="59" t="n"/>
      <c r="BX974" s="59" t="n"/>
      <c r="BY974" s="59" t="n"/>
      <c r="BZ974" s="59" t="n"/>
      <c r="CA974" s="59" t="n"/>
      <c r="CB974" s="59" t="n"/>
      <c r="CC974" s="59" t="n"/>
      <c r="CD974" s="59" t="n"/>
      <c r="CE974" s="59" t="n"/>
      <c r="CF974" s="59" t="n"/>
      <c r="CG974" s="59" t="n"/>
      <c r="CH974" s="59" t="n"/>
      <c r="CI974" s="59" t="n"/>
      <c r="CJ974" s="59" t="n"/>
      <c r="CK974" s="59" t="n"/>
      <c r="CL974" s="59" t="n"/>
      <c r="CM974" s="59" t="n"/>
      <c r="CN974" s="59" t="n"/>
    </row>
    <row r="975" ht="15" customFormat="1" customHeight="1" s="3">
      <c r="A975">
        <f>IF(C975="","",ROW()-2)</f>
        <v/>
      </c>
      <c r="B975" s="852" t="n"/>
      <c r="C975" s="852" t="n"/>
      <c r="D975">
        <f>IF(C975="TOH","Type 1",IF(C975="POH","Type 2",IF(OR(C975="LTO",C975="TOH-LC",C975="TOH - LC"),"Type 3",IF(C975="Flourish","Type 4","Type 1"))))</f>
        <v/>
      </c>
      <c r="E975" s="852" t="n"/>
      <c r="F975" s="852" t="n"/>
      <c r="G975" s="852" t="n"/>
      <c r="H975" s="888" t="n"/>
      <c r="I975" s="889" t="n"/>
      <c r="J975" s="888" t="n"/>
      <c r="K975">
        <f>SUM(H975:J975)</f>
        <v/>
      </c>
      <c r="L975" s="852" t="n"/>
      <c r="M975" s="852" t="n"/>
      <c r="N975" s="852" t="n"/>
      <c r="O975" s="852" t="n"/>
      <c r="P975" s="852" t="n"/>
      <c r="Q975" s="852" t="n"/>
      <c r="R975" s="852" t="n"/>
      <c r="S975" s="852" t="n"/>
      <c r="T975" s="852" t="n"/>
      <c r="U975" s="852" t="n"/>
      <c r="V975" s="852" t="n"/>
      <c r="W975" s="852" t="n"/>
      <c r="X975" s="852" t="n"/>
      <c r="Y975" s="852" t="n"/>
      <c r="Z975" s="852" t="n"/>
      <c r="AA975" s="852" t="n"/>
      <c r="AB975" s="59" t="n"/>
      <c r="AC975" s="59" t="n"/>
      <c r="AD975" s="59" t="n"/>
      <c r="AE975" s="59" t="n"/>
      <c r="AF975" s="59" t="n"/>
      <c r="AG975" s="59" t="n"/>
      <c r="AH975" s="59" t="n"/>
      <c r="AI975" s="59" t="n"/>
      <c r="AJ975" s="59" t="n"/>
      <c r="AK975" s="59" t="n"/>
      <c r="AL975" s="59" t="n"/>
      <c r="AM975" s="59" t="n"/>
      <c r="AN975" s="59" t="n"/>
      <c r="AO975" s="59" t="n"/>
      <c r="AP975" s="59" t="n"/>
      <c r="AQ975" s="59" t="n"/>
      <c r="AR975" s="59" t="n"/>
      <c r="AS975" s="59" t="n"/>
      <c r="AT975" s="59" t="n"/>
      <c r="AU975" s="59" t="n"/>
      <c r="AV975" s="59" t="n"/>
      <c r="AW975" s="59" t="n"/>
      <c r="AX975" s="59" t="n"/>
      <c r="AY975" s="59" t="n"/>
      <c r="AZ975" s="59" t="n"/>
      <c r="BA975" s="59" t="n"/>
      <c r="BB975" s="59" t="n"/>
      <c r="BC975" s="59" t="n"/>
      <c r="BD975" s="59" t="n"/>
      <c r="BE975" s="59" t="n"/>
      <c r="BF975" s="59" t="n"/>
      <c r="BG975" s="59" t="n"/>
      <c r="BH975" s="59" t="n"/>
      <c r="BI975" s="59" t="n"/>
      <c r="BJ975" s="59" t="n"/>
      <c r="BK975" s="59" t="n"/>
      <c r="BL975" s="59" t="n"/>
      <c r="BM975" s="59" t="n"/>
      <c r="BN975" s="59" t="n"/>
      <c r="BO975" s="59" t="n"/>
      <c r="BP975" s="59" t="n"/>
      <c r="BQ975" s="59" t="n"/>
      <c r="BR975" s="59" t="n"/>
      <c r="BS975" s="59" t="n"/>
      <c r="BT975" s="59" t="n"/>
      <c r="BU975" s="59" t="n"/>
      <c r="BV975" s="59" t="n"/>
      <c r="BW975" s="59" t="n"/>
      <c r="BX975" s="59" t="n"/>
      <c r="BY975" s="59" t="n"/>
      <c r="BZ975" s="59" t="n"/>
      <c r="CA975" s="59" t="n"/>
      <c r="CB975" s="59" t="n"/>
      <c r="CC975" s="59" t="n"/>
      <c r="CD975" s="59" t="n"/>
      <c r="CE975" s="59" t="n"/>
      <c r="CF975" s="59" t="n"/>
      <c r="CG975" s="59" t="n"/>
      <c r="CH975" s="59" t="n"/>
      <c r="CI975" s="59" t="n"/>
      <c r="CJ975" s="59" t="n"/>
      <c r="CK975" s="59" t="n"/>
      <c r="CL975" s="59" t="n"/>
      <c r="CM975" s="59" t="n"/>
      <c r="CN975" s="59" t="n"/>
    </row>
    <row r="976" ht="15" customFormat="1" customHeight="1" s="3">
      <c r="A976">
        <f>IF(C976="","",ROW()-2)</f>
        <v/>
      </c>
      <c r="B976" s="852" t="n"/>
      <c r="C976" s="852" t="n"/>
      <c r="D976">
        <f>IF(C976="TOH","Type 1",IF(C976="POH","Type 2",IF(OR(C976="LTO",C976="TOH-LC",C976="TOH - LC"),"Type 3",IF(C976="Flourish","Type 4","Type 1"))))</f>
        <v/>
      </c>
      <c r="E976" s="852" t="n"/>
      <c r="F976" s="852" t="n"/>
      <c r="G976" s="852" t="n"/>
      <c r="H976" s="888" t="n"/>
      <c r="I976" s="889" t="n"/>
      <c r="J976" s="888" t="n"/>
      <c r="K976">
        <f>SUM(H976:J976)</f>
        <v/>
      </c>
      <c r="L976" s="852" t="n"/>
      <c r="M976" s="852" t="n"/>
      <c r="N976" s="852" t="n"/>
      <c r="O976" s="852" t="n"/>
      <c r="P976" s="852" t="n"/>
      <c r="Q976" s="852" t="n"/>
      <c r="R976" s="852" t="n"/>
      <c r="S976" s="852" t="n"/>
      <c r="T976" s="852" t="n"/>
      <c r="U976" s="852" t="n"/>
      <c r="V976" s="852" t="n"/>
      <c r="W976" s="852" t="n"/>
      <c r="X976" s="852" t="n"/>
      <c r="Y976" s="852" t="n"/>
      <c r="Z976" s="852" t="n"/>
      <c r="AA976" s="852" t="n"/>
      <c r="AB976" s="59" t="n"/>
      <c r="AC976" s="59" t="n"/>
      <c r="AD976" s="59" t="n"/>
      <c r="AE976" s="59" t="n"/>
      <c r="AF976" s="59" t="n"/>
      <c r="AG976" s="59" t="n"/>
      <c r="AH976" s="59" t="n"/>
      <c r="AI976" s="59" t="n"/>
      <c r="AJ976" s="59" t="n"/>
      <c r="AK976" s="59" t="n"/>
      <c r="AL976" s="59" t="n"/>
      <c r="AM976" s="59" t="n"/>
      <c r="AN976" s="59" t="n"/>
      <c r="AO976" s="59" t="n"/>
      <c r="AP976" s="59" t="n"/>
      <c r="AQ976" s="59" t="n"/>
      <c r="AR976" s="59" t="n"/>
      <c r="AS976" s="59" t="n"/>
      <c r="AT976" s="59" t="n"/>
      <c r="AU976" s="59" t="n"/>
      <c r="AV976" s="59" t="n"/>
      <c r="AW976" s="59" t="n"/>
      <c r="AX976" s="59" t="n"/>
      <c r="AY976" s="59" t="n"/>
      <c r="AZ976" s="59" t="n"/>
      <c r="BA976" s="59" t="n"/>
      <c r="BB976" s="59" t="n"/>
      <c r="BC976" s="59" t="n"/>
      <c r="BD976" s="59" t="n"/>
      <c r="BE976" s="59" t="n"/>
      <c r="BF976" s="59" t="n"/>
      <c r="BG976" s="59" t="n"/>
      <c r="BH976" s="59" t="n"/>
      <c r="BI976" s="59" t="n"/>
      <c r="BJ976" s="59" t="n"/>
      <c r="BK976" s="59" t="n"/>
      <c r="BL976" s="59" t="n"/>
      <c r="BM976" s="59" t="n"/>
      <c r="BN976" s="59" t="n"/>
      <c r="BO976" s="59" t="n"/>
      <c r="BP976" s="59" t="n"/>
      <c r="BQ976" s="59" t="n"/>
      <c r="BR976" s="59" t="n"/>
      <c r="BS976" s="59" t="n"/>
      <c r="BT976" s="59" t="n"/>
      <c r="BU976" s="59" t="n"/>
      <c r="BV976" s="59" t="n"/>
      <c r="BW976" s="59" t="n"/>
      <c r="BX976" s="59" t="n"/>
      <c r="BY976" s="59" t="n"/>
      <c r="BZ976" s="59" t="n"/>
      <c r="CA976" s="59" t="n"/>
      <c r="CB976" s="59" t="n"/>
      <c r="CC976" s="59" t="n"/>
      <c r="CD976" s="59" t="n"/>
      <c r="CE976" s="59" t="n"/>
      <c r="CF976" s="59" t="n"/>
      <c r="CG976" s="59" t="n"/>
      <c r="CH976" s="59" t="n"/>
      <c r="CI976" s="59" t="n"/>
      <c r="CJ976" s="59" t="n"/>
      <c r="CK976" s="59" t="n"/>
      <c r="CL976" s="59" t="n"/>
      <c r="CM976" s="59" t="n"/>
      <c r="CN976" s="59" t="n"/>
    </row>
    <row r="977" ht="15" customFormat="1" customHeight="1" s="3">
      <c r="A977">
        <f>IF(C977="","",ROW()-2)</f>
        <v/>
      </c>
      <c r="B977" s="852" t="n"/>
      <c r="C977" s="852" t="n"/>
      <c r="D977">
        <f>IF(C977="TOH","Type 1",IF(C977="POH","Type 2",IF(OR(C977="LTO",C977="TOH-LC",C977="TOH - LC"),"Type 3",IF(C977="Flourish","Type 4","Type 1"))))</f>
        <v/>
      </c>
      <c r="E977" s="852" t="n"/>
      <c r="F977" s="852" t="n"/>
      <c r="G977" s="852" t="n"/>
      <c r="H977" s="888" t="n"/>
      <c r="I977" s="889" t="n"/>
      <c r="J977" s="888" t="n"/>
      <c r="K977">
        <f>SUM(H977:J977)</f>
        <v/>
      </c>
      <c r="L977" s="852" t="n"/>
      <c r="M977" s="852" t="n"/>
      <c r="N977" s="852" t="n"/>
      <c r="O977" s="852" t="n"/>
      <c r="P977" s="852" t="n"/>
      <c r="Q977" s="852" t="n"/>
      <c r="R977" s="852" t="n"/>
      <c r="S977" s="852" t="n"/>
      <c r="T977" s="852" t="n"/>
      <c r="U977" s="852" t="n"/>
      <c r="V977" s="852" t="n"/>
      <c r="W977" s="852" t="n"/>
      <c r="X977" s="852" t="n"/>
      <c r="Y977" s="852" t="n"/>
      <c r="Z977" s="852" t="n"/>
      <c r="AA977" s="852" t="n"/>
      <c r="AB977" s="59" t="n"/>
      <c r="AC977" s="59" t="n"/>
      <c r="AD977" s="59" t="n"/>
      <c r="AE977" s="59" t="n"/>
      <c r="AF977" s="59" t="n"/>
      <c r="AG977" s="59" t="n"/>
      <c r="AH977" s="59" t="n"/>
      <c r="AI977" s="59" t="n"/>
      <c r="AJ977" s="59" t="n"/>
      <c r="AK977" s="59" t="n"/>
      <c r="AL977" s="59" t="n"/>
      <c r="AM977" s="59" t="n"/>
      <c r="AN977" s="59" t="n"/>
      <c r="AO977" s="59" t="n"/>
      <c r="AP977" s="59" t="n"/>
      <c r="AQ977" s="59" t="n"/>
      <c r="AR977" s="59" t="n"/>
      <c r="AS977" s="59" t="n"/>
      <c r="AT977" s="59" t="n"/>
      <c r="AU977" s="59" t="n"/>
      <c r="AV977" s="59" t="n"/>
      <c r="AW977" s="59" t="n"/>
      <c r="AX977" s="59" t="n"/>
      <c r="AY977" s="59" t="n"/>
      <c r="AZ977" s="59" t="n"/>
      <c r="BA977" s="59" t="n"/>
      <c r="BB977" s="59" t="n"/>
      <c r="BC977" s="59" t="n"/>
      <c r="BD977" s="59" t="n"/>
      <c r="BE977" s="59" t="n"/>
      <c r="BF977" s="59" t="n"/>
      <c r="BG977" s="59" t="n"/>
      <c r="BH977" s="59" t="n"/>
      <c r="BI977" s="59" t="n"/>
      <c r="BJ977" s="59" t="n"/>
      <c r="BK977" s="59" t="n"/>
      <c r="BL977" s="59" t="n"/>
      <c r="BM977" s="59" t="n"/>
      <c r="BN977" s="59" t="n"/>
      <c r="BO977" s="59" t="n"/>
      <c r="BP977" s="59" t="n"/>
      <c r="BQ977" s="59" t="n"/>
      <c r="BR977" s="59" t="n"/>
      <c r="BS977" s="59" t="n"/>
      <c r="BT977" s="59" t="n"/>
      <c r="BU977" s="59" t="n"/>
      <c r="BV977" s="59" t="n"/>
      <c r="BW977" s="59" t="n"/>
      <c r="BX977" s="59" t="n"/>
      <c r="BY977" s="59" t="n"/>
      <c r="BZ977" s="59" t="n"/>
      <c r="CA977" s="59" t="n"/>
      <c r="CB977" s="59" t="n"/>
      <c r="CC977" s="59" t="n"/>
      <c r="CD977" s="59" t="n"/>
      <c r="CE977" s="59" t="n"/>
      <c r="CF977" s="59" t="n"/>
      <c r="CG977" s="59" t="n"/>
      <c r="CH977" s="59" t="n"/>
      <c r="CI977" s="59" t="n"/>
      <c r="CJ977" s="59" t="n"/>
      <c r="CK977" s="59" t="n"/>
      <c r="CL977" s="59" t="n"/>
      <c r="CM977" s="59" t="n"/>
      <c r="CN977" s="59" t="n"/>
    </row>
    <row r="978" ht="15" customFormat="1" customHeight="1" s="3">
      <c r="A978">
        <f>IF(C978="","",ROW()-2)</f>
        <v/>
      </c>
      <c r="B978" s="852" t="n"/>
      <c r="C978" s="852" t="n"/>
      <c r="D978">
        <f>IF(C978="TOH","Type 1",IF(C978="POH","Type 2",IF(OR(C978="LTO",C978="TOH-LC",C978="TOH - LC"),"Type 3",IF(C978="Flourish","Type 4","Type 1"))))</f>
        <v/>
      </c>
      <c r="E978" s="852" t="n"/>
      <c r="F978" s="852" t="n"/>
      <c r="G978" s="852" t="n"/>
      <c r="H978" s="888" t="n"/>
      <c r="I978" s="889" t="n"/>
      <c r="J978" s="888" t="n"/>
      <c r="K978">
        <f>SUM(H978:J978)</f>
        <v/>
      </c>
      <c r="L978" s="852" t="n"/>
      <c r="M978" s="852" t="n"/>
      <c r="N978" s="852" t="n"/>
      <c r="O978" s="852" t="n"/>
      <c r="P978" s="852" t="n"/>
      <c r="Q978" s="852" t="n"/>
      <c r="R978" s="852" t="n"/>
      <c r="S978" s="852" t="n"/>
      <c r="T978" s="852" t="n"/>
      <c r="U978" s="852" t="n"/>
      <c r="V978" s="852" t="n"/>
      <c r="W978" s="852" t="n"/>
      <c r="X978" s="852" t="n"/>
      <c r="Y978" s="852" t="n"/>
      <c r="Z978" s="852" t="n"/>
      <c r="AA978" s="852" t="n"/>
      <c r="AB978" s="59" t="n"/>
      <c r="AC978" s="59" t="n"/>
      <c r="AD978" s="59" t="n"/>
      <c r="AE978" s="59" t="n"/>
      <c r="AF978" s="59" t="n"/>
      <c r="AG978" s="59" t="n"/>
      <c r="AH978" s="59" t="n"/>
      <c r="AI978" s="59" t="n"/>
      <c r="AJ978" s="59" t="n"/>
      <c r="AK978" s="59" t="n"/>
      <c r="AL978" s="59" t="n"/>
      <c r="AM978" s="59" t="n"/>
      <c r="AN978" s="59" t="n"/>
      <c r="AO978" s="59" t="n"/>
      <c r="AP978" s="59" t="n"/>
      <c r="AQ978" s="59" t="n"/>
      <c r="AR978" s="59" t="n"/>
      <c r="AS978" s="59" t="n"/>
      <c r="AT978" s="59" t="n"/>
      <c r="AU978" s="59" t="n"/>
      <c r="AV978" s="59" t="n"/>
      <c r="AW978" s="59" t="n"/>
      <c r="AX978" s="59" t="n"/>
      <c r="AY978" s="59" t="n"/>
      <c r="AZ978" s="59" t="n"/>
      <c r="BA978" s="59" t="n"/>
      <c r="BB978" s="59" t="n"/>
      <c r="BC978" s="59" t="n"/>
      <c r="BD978" s="59" t="n"/>
      <c r="BE978" s="59" t="n"/>
      <c r="BF978" s="59" t="n"/>
      <c r="BG978" s="59" t="n"/>
      <c r="BH978" s="59" t="n"/>
      <c r="BI978" s="59" t="n"/>
      <c r="BJ978" s="59" t="n"/>
      <c r="BK978" s="59" t="n"/>
      <c r="BL978" s="59" t="n"/>
      <c r="BM978" s="59" t="n"/>
      <c r="BN978" s="59" t="n"/>
      <c r="BO978" s="59" t="n"/>
      <c r="BP978" s="59" t="n"/>
      <c r="BQ978" s="59" t="n"/>
      <c r="BR978" s="59" t="n"/>
      <c r="BS978" s="59" t="n"/>
      <c r="BT978" s="59" t="n"/>
      <c r="BU978" s="59" t="n"/>
      <c r="BV978" s="59" t="n"/>
      <c r="BW978" s="59" t="n"/>
      <c r="BX978" s="59" t="n"/>
      <c r="BY978" s="59" t="n"/>
      <c r="BZ978" s="59" t="n"/>
      <c r="CA978" s="59" t="n"/>
      <c r="CB978" s="59" t="n"/>
      <c r="CC978" s="59" t="n"/>
      <c r="CD978" s="59" t="n"/>
      <c r="CE978" s="59" t="n"/>
      <c r="CF978" s="59" t="n"/>
      <c r="CG978" s="59" t="n"/>
      <c r="CH978" s="59" t="n"/>
      <c r="CI978" s="59" t="n"/>
      <c r="CJ978" s="59" t="n"/>
      <c r="CK978" s="59" t="n"/>
      <c r="CL978" s="59" t="n"/>
      <c r="CM978" s="59" t="n"/>
      <c r="CN978" s="59" t="n"/>
    </row>
    <row r="979" ht="15" customFormat="1" customHeight="1" s="3">
      <c r="A979">
        <f>IF(C979="","",ROW()-2)</f>
        <v/>
      </c>
      <c r="B979" s="852" t="n"/>
      <c r="C979" s="852" t="n"/>
      <c r="D979">
        <f>IF(C979="TOH","Type 1",IF(C979="POH","Type 2",IF(OR(C979="LTO",C979="TOH-LC",C979="TOH - LC"),"Type 3",IF(C979="Flourish","Type 4","Type 1"))))</f>
        <v/>
      </c>
      <c r="E979" s="852" t="n"/>
      <c r="F979" s="852" t="n"/>
      <c r="G979" s="852" t="n"/>
      <c r="H979" s="888" t="n"/>
      <c r="I979" s="889" t="n"/>
      <c r="J979" s="888" t="n"/>
      <c r="K979">
        <f>SUM(H979:J979)</f>
        <v/>
      </c>
      <c r="L979" s="852" t="n"/>
      <c r="M979" s="852" t="n"/>
      <c r="N979" s="852" t="n"/>
      <c r="O979" s="852" t="n"/>
      <c r="P979" s="852" t="n"/>
      <c r="Q979" s="852" t="n"/>
      <c r="R979" s="852" t="n"/>
      <c r="S979" s="852" t="n"/>
      <c r="T979" s="852" t="n"/>
      <c r="U979" s="852" t="n"/>
      <c r="V979" s="852" t="n"/>
      <c r="W979" s="852" t="n"/>
      <c r="X979" s="852" t="n"/>
      <c r="Y979" s="852" t="n"/>
      <c r="Z979" s="852" t="n"/>
      <c r="AA979" s="852" t="n"/>
      <c r="AB979" s="59" t="n"/>
      <c r="AC979" s="59" t="n"/>
      <c r="AD979" s="59" t="n"/>
      <c r="AE979" s="59" t="n"/>
      <c r="AF979" s="59" t="n"/>
      <c r="AG979" s="59" t="n"/>
      <c r="AH979" s="59" t="n"/>
      <c r="AI979" s="59" t="n"/>
      <c r="AJ979" s="59" t="n"/>
      <c r="AK979" s="59" t="n"/>
      <c r="AL979" s="59" t="n"/>
      <c r="AM979" s="59" t="n"/>
      <c r="AN979" s="59" t="n"/>
      <c r="AO979" s="59" t="n"/>
      <c r="AP979" s="59" t="n"/>
      <c r="AQ979" s="59" t="n"/>
      <c r="AR979" s="59" t="n"/>
      <c r="AS979" s="59" t="n"/>
      <c r="AT979" s="59" t="n"/>
      <c r="AU979" s="59" t="n"/>
      <c r="AV979" s="59" t="n"/>
      <c r="AW979" s="59" t="n"/>
      <c r="AX979" s="59" t="n"/>
      <c r="AY979" s="59" t="n"/>
      <c r="AZ979" s="59" t="n"/>
      <c r="BA979" s="59" t="n"/>
      <c r="BB979" s="59" t="n"/>
      <c r="BC979" s="59" t="n"/>
      <c r="BD979" s="59" t="n"/>
      <c r="BE979" s="59" t="n"/>
      <c r="BF979" s="59" t="n"/>
      <c r="BG979" s="59" t="n"/>
      <c r="BH979" s="59" t="n"/>
      <c r="BI979" s="59" t="n"/>
      <c r="BJ979" s="59" t="n"/>
      <c r="BK979" s="59" t="n"/>
      <c r="BL979" s="59" t="n"/>
      <c r="BM979" s="59" t="n"/>
      <c r="BN979" s="59" t="n"/>
      <c r="BO979" s="59" t="n"/>
      <c r="BP979" s="59" t="n"/>
      <c r="BQ979" s="59" t="n"/>
      <c r="BR979" s="59" t="n"/>
      <c r="BS979" s="59" t="n"/>
      <c r="BT979" s="59" t="n"/>
      <c r="BU979" s="59" t="n"/>
      <c r="BV979" s="59" t="n"/>
      <c r="BW979" s="59" t="n"/>
      <c r="BX979" s="59" t="n"/>
      <c r="BY979" s="59" t="n"/>
      <c r="BZ979" s="59" t="n"/>
      <c r="CA979" s="59" t="n"/>
      <c r="CB979" s="59" t="n"/>
      <c r="CC979" s="59" t="n"/>
      <c r="CD979" s="59" t="n"/>
      <c r="CE979" s="59" t="n"/>
      <c r="CF979" s="59" t="n"/>
      <c r="CG979" s="59" t="n"/>
      <c r="CH979" s="59" t="n"/>
      <c r="CI979" s="59" t="n"/>
      <c r="CJ979" s="59" t="n"/>
      <c r="CK979" s="59" t="n"/>
      <c r="CL979" s="59" t="n"/>
      <c r="CM979" s="59" t="n"/>
      <c r="CN979" s="59" t="n"/>
    </row>
    <row r="980" ht="15" customFormat="1" customHeight="1" s="3">
      <c r="A980">
        <f>IF(C980="","",ROW()-2)</f>
        <v/>
      </c>
      <c r="B980" s="852" t="n"/>
      <c r="C980" s="852" t="n"/>
      <c r="D980">
        <f>IF(C980="TOH","Type 1",IF(C980="POH","Type 2",IF(OR(C980="LTO",C980="TOH-LC",C980="TOH - LC"),"Type 3",IF(C980="Flourish","Type 4","Type 1"))))</f>
        <v/>
      </c>
      <c r="E980" s="852" t="n"/>
      <c r="F980" s="852" t="n"/>
      <c r="G980" s="852" t="n"/>
      <c r="H980" s="888" t="n"/>
      <c r="I980" s="889" t="n"/>
      <c r="J980" s="888" t="n"/>
      <c r="K980">
        <f>SUM(H980:J980)</f>
        <v/>
      </c>
      <c r="L980" s="852" t="n"/>
      <c r="M980" s="852" t="n"/>
      <c r="N980" s="852" t="n"/>
      <c r="O980" s="852" t="n"/>
      <c r="P980" s="852" t="n"/>
      <c r="Q980" s="852" t="n"/>
      <c r="R980" s="852" t="n"/>
      <c r="S980" s="852" t="n"/>
      <c r="T980" s="852" t="n"/>
      <c r="U980" s="852" t="n"/>
      <c r="V980" s="852" t="n"/>
      <c r="W980" s="852" t="n"/>
      <c r="X980" s="852" t="n"/>
      <c r="Y980" s="852" t="n"/>
      <c r="Z980" s="852" t="n"/>
      <c r="AA980" s="852" t="n"/>
      <c r="AB980" s="59" t="n"/>
      <c r="AC980" s="59" t="n"/>
      <c r="AD980" s="59" t="n"/>
      <c r="AE980" s="59" t="n"/>
      <c r="AF980" s="59" t="n"/>
      <c r="AG980" s="59" t="n"/>
      <c r="AH980" s="59" t="n"/>
      <c r="AI980" s="59" t="n"/>
      <c r="AJ980" s="59" t="n"/>
      <c r="AK980" s="59" t="n"/>
      <c r="AL980" s="59" t="n"/>
      <c r="AM980" s="59" t="n"/>
      <c r="AN980" s="59" t="n"/>
      <c r="AO980" s="59" t="n"/>
      <c r="AP980" s="59" t="n"/>
      <c r="AQ980" s="59" t="n"/>
      <c r="AR980" s="59" t="n"/>
      <c r="AS980" s="59" t="n"/>
      <c r="AT980" s="59" t="n"/>
      <c r="AU980" s="59" t="n"/>
      <c r="AV980" s="59" t="n"/>
      <c r="AW980" s="59" t="n"/>
      <c r="AX980" s="59" t="n"/>
      <c r="AY980" s="59" t="n"/>
      <c r="AZ980" s="59" t="n"/>
      <c r="BA980" s="59" t="n"/>
      <c r="BB980" s="59" t="n"/>
      <c r="BC980" s="59" t="n"/>
      <c r="BD980" s="59" t="n"/>
      <c r="BE980" s="59" t="n"/>
      <c r="BF980" s="59" t="n"/>
      <c r="BG980" s="59" t="n"/>
      <c r="BH980" s="59" t="n"/>
      <c r="BI980" s="59" t="n"/>
      <c r="BJ980" s="59" t="n"/>
      <c r="BK980" s="59" t="n"/>
      <c r="BL980" s="59" t="n"/>
      <c r="BM980" s="59" t="n"/>
      <c r="BN980" s="59" t="n"/>
      <c r="BO980" s="59" t="n"/>
      <c r="BP980" s="59" t="n"/>
      <c r="BQ980" s="59" t="n"/>
      <c r="BR980" s="59" t="n"/>
      <c r="BS980" s="59" t="n"/>
      <c r="BT980" s="59" t="n"/>
      <c r="BU980" s="59" t="n"/>
      <c r="BV980" s="59" t="n"/>
      <c r="BW980" s="59" t="n"/>
      <c r="BX980" s="59" t="n"/>
      <c r="BY980" s="59" t="n"/>
      <c r="BZ980" s="59" t="n"/>
      <c r="CA980" s="59" t="n"/>
      <c r="CB980" s="59" t="n"/>
      <c r="CC980" s="59" t="n"/>
      <c r="CD980" s="59" t="n"/>
      <c r="CE980" s="59" t="n"/>
      <c r="CF980" s="59" t="n"/>
      <c r="CG980" s="59" t="n"/>
      <c r="CH980" s="59" t="n"/>
      <c r="CI980" s="59" t="n"/>
      <c r="CJ980" s="59" t="n"/>
      <c r="CK980" s="59" t="n"/>
      <c r="CL980" s="59" t="n"/>
      <c r="CM980" s="59" t="n"/>
      <c r="CN980" s="59" t="n"/>
    </row>
    <row r="981" ht="15" customFormat="1" customHeight="1" s="3">
      <c r="A981">
        <f>IF(C981="","",ROW()-2)</f>
        <v/>
      </c>
      <c r="B981" s="852" t="n"/>
      <c r="C981" s="852" t="n"/>
      <c r="D981">
        <f>IF(C981="TOH","Type 1",IF(C981="POH","Type 2",IF(OR(C981="LTO",C981="TOH-LC",C981="TOH - LC"),"Type 3",IF(C981="Flourish","Type 4","Type 1"))))</f>
        <v/>
      </c>
      <c r="E981" s="852" t="n"/>
      <c r="F981" s="852" t="n"/>
      <c r="G981" s="852" t="n"/>
      <c r="H981" s="888" t="n"/>
      <c r="I981" s="889" t="n"/>
      <c r="J981" s="888" t="n"/>
      <c r="K981">
        <f>SUM(H981:J981)</f>
        <v/>
      </c>
      <c r="L981" s="852" t="n"/>
      <c r="M981" s="852" t="n"/>
      <c r="N981" s="852" t="n"/>
      <c r="O981" s="852" t="n"/>
      <c r="P981" s="852" t="n"/>
      <c r="Q981" s="852" t="n"/>
      <c r="R981" s="852" t="n"/>
      <c r="S981" s="852" t="n"/>
      <c r="T981" s="852" t="n"/>
      <c r="U981" s="852" t="n"/>
      <c r="V981" s="852" t="n"/>
      <c r="W981" s="852" t="n"/>
      <c r="X981" s="852" t="n"/>
      <c r="Y981" s="852" t="n"/>
      <c r="Z981" s="852" t="n"/>
      <c r="AA981" s="852" t="n"/>
      <c r="AB981" s="59" t="n"/>
      <c r="AC981" s="59" t="n"/>
      <c r="AD981" s="59" t="n"/>
      <c r="AE981" s="59" t="n"/>
      <c r="AF981" s="59" t="n"/>
      <c r="AG981" s="59" t="n"/>
      <c r="AH981" s="59" t="n"/>
      <c r="AI981" s="59" t="n"/>
      <c r="AJ981" s="59" t="n"/>
      <c r="AK981" s="59" t="n"/>
      <c r="AL981" s="59" t="n"/>
      <c r="AM981" s="59" t="n"/>
      <c r="AN981" s="59" t="n"/>
      <c r="AO981" s="59" t="n"/>
      <c r="AP981" s="59" t="n"/>
      <c r="AQ981" s="59" t="n"/>
      <c r="AR981" s="59" t="n"/>
      <c r="AS981" s="59" t="n"/>
      <c r="AT981" s="59" t="n"/>
      <c r="AU981" s="59" t="n"/>
      <c r="AV981" s="59" t="n"/>
      <c r="AW981" s="59" t="n"/>
      <c r="AX981" s="59" t="n"/>
      <c r="AY981" s="59" t="n"/>
      <c r="AZ981" s="59" t="n"/>
      <c r="BA981" s="59" t="n"/>
      <c r="BB981" s="59" t="n"/>
      <c r="BC981" s="59" t="n"/>
      <c r="BD981" s="59" t="n"/>
      <c r="BE981" s="59" t="n"/>
      <c r="BF981" s="59" t="n"/>
      <c r="BG981" s="59" t="n"/>
      <c r="BH981" s="59" t="n"/>
      <c r="BI981" s="59" t="n"/>
      <c r="BJ981" s="59" t="n"/>
      <c r="BK981" s="59" t="n"/>
      <c r="BL981" s="59" t="n"/>
      <c r="BM981" s="59" t="n"/>
      <c r="BN981" s="59" t="n"/>
      <c r="BO981" s="59" t="n"/>
      <c r="BP981" s="59" t="n"/>
      <c r="BQ981" s="59" t="n"/>
      <c r="BR981" s="59" t="n"/>
      <c r="BS981" s="59" t="n"/>
      <c r="BT981" s="59" t="n"/>
      <c r="BU981" s="59" t="n"/>
      <c r="BV981" s="59" t="n"/>
      <c r="BW981" s="59" t="n"/>
      <c r="BX981" s="59" t="n"/>
      <c r="BY981" s="59" t="n"/>
      <c r="BZ981" s="59" t="n"/>
      <c r="CA981" s="59" t="n"/>
      <c r="CB981" s="59" t="n"/>
      <c r="CC981" s="59" t="n"/>
      <c r="CD981" s="59" t="n"/>
      <c r="CE981" s="59" t="n"/>
      <c r="CF981" s="59" t="n"/>
      <c r="CG981" s="59" t="n"/>
      <c r="CH981" s="59" t="n"/>
      <c r="CI981" s="59" t="n"/>
      <c r="CJ981" s="59" t="n"/>
      <c r="CK981" s="59" t="n"/>
      <c r="CL981" s="59" t="n"/>
      <c r="CM981" s="59" t="n"/>
      <c r="CN981" s="59" t="n"/>
    </row>
    <row r="982" ht="15" customFormat="1" customHeight="1" s="3">
      <c r="A982">
        <f>IF(C982="","",ROW()-2)</f>
        <v/>
      </c>
      <c r="B982" s="852" t="n"/>
      <c r="C982" s="852" t="n"/>
      <c r="D982">
        <f>IF(C982="TOH","Type 1",IF(C982="POH","Type 2",IF(OR(C982="LTO",C982="TOH-LC",C982="TOH - LC"),"Type 3",IF(C982="Flourish","Type 4","Type 1"))))</f>
        <v/>
      </c>
      <c r="E982" s="852" t="n"/>
      <c r="F982" s="852" t="n"/>
      <c r="G982" s="852" t="n"/>
      <c r="H982" s="888" t="n"/>
      <c r="I982" s="889" t="n"/>
      <c r="J982" s="888" t="n"/>
      <c r="K982">
        <f>SUM(H982:J982)</f>
        <v/>
      </c>
      <c r="L982" s="852" t="n"/>
      <c r="M982" s="852" t="n"/>
      <c r="N982" s="852" t="n"/>
      <c r="O982" s="852" t="n"/>
      <c r="P982" s="852" t="n"/>
      <c r="Q982" s="852" t="n"/>
      <c r="R982" s="852" t="n"/>
      <c r="S982" s="852" t="n"/>
      <c r="T982" s="852" t="n"/>
      <c r="U982" s="852" t="n"/>
      <c r="V982" s="852" t="n"/>
      <c r="W982" s="852" t="n"/>
      <c r="X982" s="852" t="n"/>
      <c r="Y982" s="852" t="n"/>
      <c r="Z982" s="852" t="n"/>
      <c r="AA982" s="852" t="n"/>
      <c r="AB982" s="59" t="n"/>
      <c r="AC982" s="59" t="n"/>
      <c r="AD982" s="59" t="n"/>
      <c r="AE982" s="59" t="n"/>
      <c r="AF982" s="59" t="n"/>
      <c r="AG982" s="59" t="n"/>
      <c r="AH982" s="59" t="n"/>
      <c r="AI982" s="59" t="n"/>
      <c r="AJ982" s="59" t="n"/>
      <c r="AK982" s="59" t="n"/>
      <c r="AL982" s="59" t="n"/>
      <c r="AM982" s="59" t="n"/>
      <c r="AN982" s="59" t="n"/>
      <c r="AO982" s="59" t="n"/>
      <c r="AP982" s="59" t="n"/>
      <c r="AQ982" s="59" t="n"/>
      <c r="AR982" s="59" t="n"/>
      <c r="AS982" s="59" t="n"/>
      <c r="AT982" s="59" t="n"/>
      <c r="AU982" s="59" t="n"/>
      <c r="AV982" s="59" t="n"/>
      <c r="AW982" s="59" t="n"/>
      <c r="AX982" s="59" t="n"/>
      <c r="AY982" s="59" t="n"/>
      <c r="AZ982" s="59" t="n"/>
      <c r="BA982" s="59" t="n"/>
      <c r="BB982" s="59" t="n"/>
      <c r="BC982" s="59" t="n"/>
      <c r="BD982" s="59" t="n"/>
      <c r="BE982" s="59" t="n"/>
      <c r="BF982" s="59" t="n"/>
      <c r="BG982" s="59" t="n"/>
      <c r="BH982" s="59" t="n"/>
      <c r="BI982" s="59" t="n"/>
      <c r="BJ982" s="59" t="n"/>
      <c r="BK982" s="59" t="n"/>
      <c r="BL982" s="59" t="n"/>
      <c r="BM982" s="59" t="n"/>
      <c r="BN982" s="59" t="n"/>
      <c r="BO982" s="59" t="n"/>
      <c r="BP982" s="59" t="n"/>
      <c r="BQ982" s="59" t="n"/>
      <c r="BR982" s="59" t="n"/>
      <c r="BS982" s="59" t="n"/>
      <c r="BT982" s="59" t="n"/>
      <c r="BU982" s="59" t="n"/>
      <c r="BV982" s="59" t="n"/>
      <c r="BW982" s="59" t="n"/>
      <c r="BX982" s="59" t="n"/>
      <c r="BY982" s="59" t="n"/>
      <c r="BZ982" s="59" t="n"/>
      <c r="CA982" s="59" t="n"/>
      <c r="CB982" s="59" t="n"/>
      <c r="CC982" s="59" t="n"/>
      <c r="CD982" s="59" t="n"/>
      <c r="CE982" s="59" t="n"/>
      <c r="CF982" s="59" t="n"/>
      <c r="CG982" s="59" t="n"/>
      <c r="CH982" s="59" t="n"/>
      <c r="CI982" s="59" t="n"/>
      <c r="CJ982" s="59" t="n"/>
      <c r="CK982" s="59" t="n"/>
      <c r="CL982" s="59" t="n"/>
      <c r="CM982" s="59" t="n"/>
      <c r="CN982" s="59" t="n"/>
    </row>
    <row r="983" ht="15" customFormat="1" customHeight="1" s="3">
      <c r="A983">
        <f>IF(C983="","",ROW()-2)</f>
        <v/>
      </c>
      <c r="B983" s="852" t="n"/>
      <c r="C983" s="852" t="n"/>
      <c r="D983">
        <f>IF(C983="TOH","Type 1",IF(C983="POH","Type 2",IF(OR(C983="LTO",C983="TOH-LC",C983="TOH - LC"),"Type 3",IF(C983="Flourish","Type 4","Type 1"))))</f>
        <v/>
      </c>
      <c r="E983" s="852" t="n"/>
      <c r="F983" s="852" t="n"/>
      <c r="G983" s="852" t="n"/>
      <c r="H983" s="888" t="n"/>
      <c r="I983" s="889" t="n"/>
      <c r="J983" s="888" t="n"/>
      <c r="K983">
        <f>SUM(H983:J983)</f>
        <v/>
      </c>
      <c r="L983" s="852" t="n"/>
      <c r="M983" s="852" t="n"/>
      <c r="N983" s="852" t="n"/>
      <c r="O983" s="852" t="n"/>
      <c r="P983" s="852" t="n"/>
      <c r="Q983" s="852" t="n"/>
      <c r="R983" s="852" t="n"/>
      <c r="S983" s="852" t="n"/>
      <c r="T983" s="852" t="n"/>
      <c r="U983" s="852" t="n"/>
      <c r="V983" s="852" t="n"/>
      <c r="W983" s="852" t="n"/>
      <c r="X983" s="852" t="n"/>
      <c r="Y983" s="852" t="n"/>
      <c r="Z983" s="852" t="n"/>
      <c r="AA983" s="852" t="n"/>
      <c r="AB983" s="59" t="n"/>
      <c r="AC983" s="59" t="n"/>
      <c r="AD983" s="59" t="n"/>
      <c r="AE983" s="59" t="n"/>
      <c r="AF983" s="59" t="n"/>
      <c r="AG983" s="59" t="n"/>
      <c r="AH983" s="59" t="n"/>
      <c r="AI983" s="59" t="n"/>
      <c r="AJ983" s="59" t="n"/>
      <c r="AK983" s="59" t="n"/>
      <c r="AL983" s="59" t="n"/>
      <c r="AM983" s="59" t="n"/>
      <c r="AN983" s="59" t="n"/>
      <c r="AO983" s="59" t="n"/>
      <c r="AP983" s="59" t="n"/>
      <c r="AQ983" s="59" t="n"/>
      <c r="AR983" s="59" t="n"/>
      <c r="AS983" s="59" t="n"/>
      <c r="AT983" s="59" t="n"/>
      <c r="AU983" s="59" t="n"/>
      <c r="AV983" s="59" t="n"/>
      <c r="AW983" s="59" t="n"/>
      <c r="AX983" s="59" t="n"/>
      <c r="AY983" s="59" t="n"/>
      <c r="AZ983" s="59" t="n"/>
      <c r="BA983" s="59" t="n"/>
      <c r="BB983" s="59" t="n"/>
      <c r="BC983" s="59" t="n"/>
      <c r="BD983" s="59" t="n"/>
      <c r="BE983" s="59" t="n"/>
      <c r="BF983" s="59" t="n"/>
      <c r="BG983" s="59" t="n"/>
      <c r="BH983" s="59" t="n"/>
      <c r="BI983" s="59" t="n"/>
      <c r="BJ983" s="59" t="n"/>
      <c r="BK983" s="59" t="n"/>
      <c r="BL983" s="59" t="n"/>
      <c r="BM983" s="59" t="n"/>
      <c r="BN983" s="59" t="n"/>
      <c r="BO983" s="59" t="n"/>
      <c r="BP983" s="59" t="n"/>
      <c r="BQ983" s="59" t="n"/>
      <c r="BR983" s="59" t="n"/>
      <c r="BS983" s="59" t="n"/>
      <c r="BT983" s="59" t="n"/>
      <c r="BU983" s="59" t="n"/>
      <c r="BV983" s="59" t="n"/>
      <c r="BW983" s="59" t="n"/>
      <c r="BX983" s="59" t="n"/>
      <c r="BY983" s="59" t="n"/>
      <c r="BZ983" s="59" t="n"/>
      <c r="CA983" s="59" t="n"/>
      <c r="CB983" s="59" t="n"/>
      <c r="CC983" s="59" t="n"/>
      <c r="CD983" s="59" t="n"/>
      <c r="CE983" s="59" t="n"/>
      <c r="CF983" s="59" t="n"/>
      <c r="CG983" s="59" t="n"/>
      <c r="CH983" s="59" t="n"/>
      <c r="CI983" s="59" t="n"/>
      <c r="CJ983" s="59" t="n"/>
      <c r="CK983" s="59" t="n"/>
      <c r="CL983" s="59" t="n"/>
      <c r="CM983" s="59" t="n"/>
      <c r="CN983" s="59" t="n"/>
    </row>
    <row r="984" ht="15" customFormat="1" customHeight="1" s="3">
      <c r="A984">
        <f>IF(C984="","",ROW()-2)</f>
        <v/>
      </c>
      <c r="B984" s="852" t="n"/>
      <c r="C984" s="852" t="n"/>
      <c r="D984">
        <f>IF(C984="TOH","Type 1",IF(C984="POH","Type 2",IF(OR(C984="LTO",C984="TOH-LC",C984="TOH - LC"),"Type 3",IF(C984="Flourish","Type 4","Type 1"))))</f>
        <v/>
      </c>
      <c r="E984" s="852" t="n"/>
      <c r="F984" s="852" t="n"/>
      <c r="G984" s="852" t="n"/>
      <c r="H984" s="888" t="n"/>
      <c r="I984" s="889" t="n"/>
      <c r="J984" s="888" t="n"/>
      <c r="K984">
        <f>SUM(H984:J984)</f>
        <v/>
      </c>
      <c r="L984" s="852" t="n"/>
      <c r="M984" s="852" t="n"/>
      <c r="N984" s="852" t="n"/>
      <c r="O984" s="852" t="n"/>
      <c r="P984" s="852" t="n"/>
      <c r="Q984" s="852" t="n"/>
      <c r="R984" s="852" t="n"/>
      <c r="S984" s="852" t="n"/>
      <c r="T984" s="852" t="n"/>
      <c r="U984" s="852" t="n"/>
      <c r="V984" s="852" t="n"/>
      <c r="W984" s="852" t="n"/>
      <c r="X984" s="852" t="n"/>
      <c r="Y984" s="852" t="n"/>
      <c r="Z984" s="852" t="n"/>
      <c r="AA984" s="852" t="n"/>
      <c r="AB984" s="59" t="n"/>
      <c r="AC984" s="59" t="n"/>
      <c r="AD984" s="59" t="n"/>
      <c r="AE984" s="59" t="n"/>
      <c r="AF984" s="59" t="n"/>
      <c r="AG984" s="59" t="n"/>
      <c r="AH984" s="59" t="n"/>
      <c r="AI984" s="59" t="n"/>
      <c r="AJ984" s="59" t="n"/>
      <c r="AK984" s="59" t="n"/>
      <c r="AL984" s="59" t="n"/>
      <c r="AM984" s="59" t="n"/>
      <c r="AN984" s="59" t="n"/>
      <c r="AO984" s="59" t="n"/>
      <c r="AP984" s="59" t="n"/>
      <c r="AQ984" s="59" t="n"/>
      <c r="AR984" s="59" t="n"/>
      <c r="AS984" s="59" t="n"/>
      <c r="AT984" s="59" t="n"/>
      <c r="AU984" s="59" t="n"/>
      <c r="AV984" s="59" t="n"/>
      <c r="AW984" s="59" t="n"/>
      <c r="AX984" s="59" t="n"/>
      <c r="AY984" s="59" t="n"/>
      <c r="AZ984" s="59" t="n"/>
      <c r="BA984" s="59" t="n"/>
      <c r="BB984" s="59" t="n"/>
      <c r="BC984" s="59" t="n"/>
      <c r="BD984" s="59" t="n"/>
      <c r="BE984" s="59" t="n"/>
      <c r="BF984" s="59" t="n"/>
      <c r="BG984" s="59" t="n"/>
      <c r="BH984" s="59" t="n"/>
      <c r="BI984" s="59" t="n"/>
      <c r="BJ984" s="59" t="n"/>
      <c r="BK984" s="59" t="n"/>
      <c r="BL984" s="59" t="n"/>
      <c r="BM984" s="59" t="n"/>
      <c r="BN984" s="59" t="n"/>
      <c r="BO984" s="59" t="n"/>
      <c r="BP984" s="59" t="n"/>
      <c r="BQ984" s="59" t="n"/>
      <c r="BR984" s="59" t="n"/>
      <c r="BS984" s="59" t="n"/>
      <c r="BT984" s="59" t="n"/>
      <c r="BU984" s="59" t="n"/>
      <c r="BV984" s="59" t="n"/>
      <c r="BW984" s="59" t="n"/>
      <c r="BX984" s="59" t="n"/>
      <c r="BY984" s="59" t="n"/>
      <c r="BZ984" s="59" t="n"/>
      <c r="CA984" s="59" t="n"/>
      <c r="CB984" s="59" t="n"/>
      <c r="CC984" s="59" t="n"/>
      <c r="CD984" s="59" t="n"/>
      <c r="CE984" s="59" t="n"/>
      <c r="CF984" s="59" t="n"/>
      <c r="CG984" s="59" t="n"/>
      <c r="CH984" s="59" t="n"/>
      <c r="CI984" s="59" t="n"/>
      <c r="CJ984" s="59" t="n"/>
      <c r="CK984" s="59" t="n"/>
      <c r="CL984" s="59" t="n"/>
      <c r="CM984" s="59" t="n"/>
      <c r="CN984" s="59" t="n"/>
    </row>
    <row r="985" ht="15" customFormat="1" customHeight="1" s="3">
      <c r="A985">
        <f>IF(C985="","",ROW()-2)</f>
        <v/>
      </c>
      <c r="B985" s="852" t="n"/>
      <c r="C985" s="852" t="n"/>
      <c r="D985">
        <f>IF(C985="TOH","Type 1",IF(C985="POH","Type 2",IF(OR(C985="LTO",C985="TOH-LC",C985="TOH - LC"),"Type 3",IF(C985="Flourish","Type 4","Type 1"))))</f>
        <v/>
      </c>
      <c r="E985" s="852" t="n"/>
      <c r="F985" s="852" t="n"/>
      <c r="G985" s="852" t="n"/>
      <c r="H985" s="888" t="n"/>
      <c r="I985" s="889" t="n"/>
      <c r="J985" s="888" t="n"/>
      <c r="K985">
        <f>SUM(H985:J985)</f>
        <v/>
      </c>
      <c r="L985" s="852" t="n"/>
      <c r="M985" s="852" t="n"/>
      <c r="N985" s="852" t="n"/>
      <c r="O985" s="852" t="n"/>
      <c r="P985" s="852" t="n"/>
      <c r="Q985" s="852" t="n"/>
      <c r="R985" s="852" t="n"/>
      <c r="S985" s="852" t="n"/>
      <c r="T985" s="852" t="n"/>
      <c r="U985" s="852" t="n"/>
      <c r="V985" s="852" t="n"/>
      <c r="W985" s="852" t="n"/>
      <c r="X985" s="852" t="n"/>
      <c r="Y985" s="852" t="n"/>
      <c r="Z985" s="852" t="n"/>
      <c r="AA985" s="852" t="n"/>
      <c r="AB985" s="59" t="n"/>
      <c r="AC985" s="59" t="n"/>
      <c r="AD985" s="59" t="n"/>
      <c r="AE985" s="59" t="n"/>
      <c r="AF985" s="59" t="n"/>
      <c r="AG985" s="59" t="n"/>
      <c r="AH985" s="59" t="n"/>
      <c r="AI985" s="59" t="n"/>
      <c r="AJ985" s="59" t="n"/>
      <c r="AK985" s="59" t="n"/>
      <c r="AL985" s="59" t="n"/>
      <c r="AM985" s="59" t="n"/>
      <c r="AN985" s="59" t="n"/>
      <c r="AO985" s="59" t="n"/>
      <c r="AP985" s="59" t="n"/>
      <c r="AQ985" s="59" t="n"/>
      <c r="AR985" s="59" t="n"/>
      <c r="AS985" s="59" t="n"/>
      <c r="AT985" s="59" t="n"/>
      <c r="AU985" s="59" t="n"/>
      <c r="AV985" s="59" t="n"/>
      <c r="AW985" s="59" t="n"/>
      <c r="AX985" s="59" t="n"/>
      <c r="AY985" s="59" t="n"/>
      <c r="AZ985" s="59" t="n"/>
      <c r="BA985" s="59" t="n"/>
      <c r="BB985" s="59" t="n"/>
      <c r="BC985" s="59" t="n"/>
      <c r="BD985" s="59" t="n"/>
      <c r="BE985" s="59" t="n"/>
      <c r="BF985" s="59" t="n"/>
      <c r="BG985" s="59" t="n"/>
      <c r="BH985" s="59" t="n"/>
      <c r="BI985" s="59" t="n"/>
      <c r="BJ985" s="59" t="n"/>
      <c r="BK985" s="59" t="n"/>
      <c r="BL985" s="59" t="n"/>
      <c r="BM985" s="59" t="n"/>
      <c r="BN985" s="59" t="n"/>
      <c r="BO985" s="59" t="n"/>
      <c r="BP985" s="59" t="n"/>
      <c r="BQ985" s="59" t="n"/>
      <c r="BR985" s="59" t="n"/>
      <c r="BS985" s="59" t="n"/>
      <c r="BT985" s="59" t="n"/>
      <c r="BU985" s="59" t="n"/>
      <c r="BV985" s="59" t="n"/>
      <c r="BW985" s="59" t="n"/>
      <c r="BX985" s="59" t="n"/>
      <c r="BY985" s="59" t="n"/>
      <c r="BZ985" s="59" t="n"/>
      <c r="CA985" s="59" t="n"/>
      <c r="CB985" s="59" t="n"/>
      <c r="CC985" s="59" t="n"/>
      <c r="CD985" s="59" t="n"/>
      <c r="CE985" s="59" t="n"/>
      <c r="CF985" s="59" t="n"/>
      <c r="CG985" s="59" t="n"/>
      <c r="CH985" s="59" t="n"/>
      <c r="CI985" s="59" t="n"/>
      <c r="CJ985" s="59" t="n"/>
      <c r="CK985" s="59" t="n"/>
      <c r="CL985" s="59" t="n"/>
      <c r="CM985" s="59" t="n"/>
      <c r="CN985" s="59" t="n"/>
    </row>
    <row r="986" ht="15" customFormat="1" customHeight="1" s="3">
      <c r="A986">
        <f>IF(C986="","",ROW()-2)</f>
        <v/>
      </c>
      <c r="B986" s="852" t="n"/>
      <c r="C986" s="852" t="n"/>
      <c r="D986">
        <f>IF(C986="TOH","Type 1",IF(C986="POH","Type 2",IF(OR(C986="LTO",C986="TOH-LC",C986="TOH - LC"),"Type 3",IF(C986="Flourish","Type 4","Type 1"))))</f>
        <v/>
      </c>
      <c r="E986" s="852" t="n"/>
      <c r="F986" s="852" t="n"/>
      <c r="G986" s="852" t="n"/>
      <c r="H986" s="888" t="n"/>
      <c r="I986" s="889" t="n"/>
      <c r="J986" s="888" t="n"/>
      <c r="K986">
        <f>SUM(H986:J986)</f>
        <v/>
      </c>
      <c r="L986" s="852" t="n"/>
      <c r="M986" s="852" t="n"/>
      <c r="N986" s="852" t="n"/>
      <c r="O986" s="852" t="n"/>
      <c r="P986" s="852" t="n"/>
      <c r="Q986" s="852" t="n"/>
      <c r="R986" s="852" t="n"/>
      <c r="S986" s="852" t="n"/>
      <c r="T986" s="852" t="n"/>
      <c r="U986" s="852" t="n"/>
      <c r="V986" s="852" t="n"/>
      <c r="W986" s="852" t="n"/>
      <c r="X986" s="852" t="n"/>
      <c r="Y986" s="852" t="n"/>
      <c r="Z986" s="852" t="n"/>
      <c r="AA986" s="852" t="n"/>
      <c r="AB986" s="59" t="n"/>
      <c r="AC986" s="59" t="n"/>
      <c r="AD986" s="59" t="n"/>
      <c r="AE986" s="59" t="n"/>
      <c r="AF986" s="59" t="n"/>
      <c r="AG986" s="59" t="n"/>
      <c r="AH986" s="59" t="n"/>
      <c r="AI986" s="59" t="n"/>
      <c r="AJ986" s="59" t="n"/>
      <c r="AK986" s="59" t="n"/>
      <c r="AL986" s="59" t="n"/>
      <c r="AM986" s="59" t="n"/>
      <c r="AN986" s="59" t="n"/>
      <c r="AO986" s="59" t="n"/>
      <c r="AP986" s="59" t="n"/>
      <c r="AQ986" s="59" t="n"/>
      <c r="AR986" s="59" t="n"/>
      <c r="AS986" s="59" t="n"/>
      <c r="AT986" s="59" t="n"/>
      <c r="AU986" s="59" t="n"/>
      <c r="AV986" s="59" t="n"/>
      <c r="AW986" s="59" t="n"/>
      <c r="AX986" s="59" t="n"/>
      <c r="AY986" s="59" t="n"/>
      <c r="AZ986" s="59" t="n"/>
      <c r="BA986" s="59" t="n"/>
      <c r="BB986" s="59" t="n"/>
      <c r="BC986" s="59" t="n"/>
      <c r="BD986" s="59" t="n"/>
      <c r="BE986" s="59" t="n"/>
      <c r="BF986" s="59" t="n"/>
      <c r="BG986" s="59" t="n"/>
      <c r="BH986" s="59" t="n"/>
      <c r="BI986" s="59" t="n"/>
      <c r="BJ986" s="59" t="n"/>
      <c r="BK986" s="59" t="n"/>
      <c r="BL986" s="59" t="n"/>
      <c r="BM986" s="59" t="n"/>
      <c r="BN986" s="59" t="n"/>
      <c r="BO986" s="59" t="n"/>
      <c r="BP986" s="59" t="n"/>
      <c r="BQ986" s="59" t="n"/>
      <c r="BR986" s="59" t="n"/>
      <c r="BS986" s="59" t="n"/>
      <c r="BT986" s="59" t="n"/>
      <c r="BU986" s="59" t="n"/>
      <c r="BV986" s="59" t="n"/>
      <c r="BW986" s="59" t="n"/>
      <c r="BX986" s="59" t="n"/>
      <c r="BY986" s="59" t="n"/>
      <c r="BZ986" s="59" t="n"/>
      <c r="CA986" s="59" t="n"/>
      <c r="CB986" s="59" t="n"/>
      <c r="CC986" s="59" t="n"/>
      <c r="CD986" s="59" t="n"/>
      <c r="CE986" s="59" t="n"/>
      <c r="CF986" s="59" t="n"/>
      <c r="CG986" s="59" t="n"/>
      <c r="CH986" s="59" t="n"/>
      <c r="CI986" s="59" t="n"/>
      <c r="CJ986" s="59" t="n"/>
      <c r="CK986" s="59" t="n"/>
      <c r="CL986" s="59" t="n"/>
      <c r="CM986" s="59" t="n"/>
      <c r="CN986" s="59" t="n"/>
    </row>
    <row r="987" ht="15" customFormat="1" customHeight="1" s="3">
      <c r="A987">
        <f>IF(C987="","",ROW()-2)</f>
        <v/>
      </c>
      <c r="B987" s="852" t="n"/>
      <c r="C987" s="852" t="n"/>
      <c r="D987">
        <f>IF(C987="TOH","Type 1",IF(C987="POH","Type 2",IF(OR(C987="LTO",C987="TOH-LC",C987="TOH - LC"),"Type 3",IF(C987="Flourish","Type 4","Type 1"))))</f>
        <v/>
      </c>
      <c r="E987" s="852" t="n"/>
      <c r="F987" s="852" t="n"/>
      <c r="G987" s="852" t="n"/>
      <c r="H987" s="888" t="n"/>
      <c r="I987" s="889" t="n"/>
      <c r="J987" s="888" t="n"/>
      <c r="K987">
        <f>SUM(H987:J987)</f>
        <v/>
      </c>
      <c r="L987" s="852" t="n"/>
      <c r="M987" s="852" t="n"/>
      <c r="N987" s="852" t="n"/>
      <c r="O987" s="852" t="n"/>
      <c r="P987" s="852" t="n"/>
      <c r="Q987" s="852" t="n"/>
      <c r="R987" s="852" t="n"/>
      <c r="S987" s="852" t="n"/>
      <c r="T987" s="852" t="n"/>
      <c r="U987" s="852" t="n"/>
      <c r="V987" s="852" t="n"/>
      <c r="W987" s="852" t="n"/>
      <c r="X987" s="852" t="n"/>
      <c r="Y987" s="852" t="n"/>
      <c r="Z987" s="852" t="n"/>
      <c r="AA987" s="852" t="n"/>
      <c r="AB987" s="59" t="n"/>
      <c r="AC987" s="59" t="n"/>
      <c r="AD987" s="59" t="n"/>
      <c r="AE987" s="59" t="n"/>
      <c r="AF987" s="59" t="n"/>
      <c r="AG987" s="59" t="n"/>
      <c r="AH987" s="59" t="n"/>
      <c r="AI987" s="59" t="n"/>
      <c r="AJ987" s="59" t="n"/>
      <c r="AK987" s="59" t="n"/>
      <c r="AL987" s="59" t="n"/>
      <c r="AM987" s="59" t="n"/>
      <c r="AN987" s="59" t="n"/>
      <c r="AO987" s="59" t="n"/>
      <c r="AP987" s="59" t="n"/>
      <c r="AQ987" s="59" t="n"/>
      <c r="AR987" s="59" t="n"/>
      <c r="AS987" s="59" t="n"/>
      <c r="AT987" s="59" t="n"/>
      <c r="AU987" s="59" t="n"/>
      <c r="AV987" s="59" t="n"/>
      <c r="AW987" s="59" t="n"/>
      <c r="AX987" s="59" t="n"/>
      <c r="AY987" s="59" t="n"/>
      <c r="AZ987" s="59" t="n"/>
      <c r="BA987" s="59" t="n"/>
      <c r="BB987" s="59" t="n"/>
      <c r="BC987" s="59" t="n"/>
      <c r="BD987" s="59" t="n"/>
      <c r="BE987" s="59" t="n"/>
      <c r="BF987" s="59" t="n"/>
      <c r="BG987" s="59" t="n"/>
      <c r="BH987" s="59" t="n"/>
      <c r="BI987" s="59" t="n"/>
      <c r="BJ987" s="59" t="n"/>
      <c r="BK987" s="59" t="n"/>
      <c r="BL987" s="59" t="n"/>
      <c r="BM987" s="59" t="n"/>
      <c r="BN987" s="59" t="n"/>
      <c r="BO987" s="59" t="n"/>
      <c r="BP987" s="59" t="n"/>
      <c r="BQ987" s="59" t="n"/>
      <c r="BR987" s="59" t="n"/>
      <c r="BS987" s="59" t="n"/>
      <c r="BT987" s="59" t="n"/>
      <c r="BU987" s="59" t="n"/>
      <c r="BV987" s="59" t="n"/>
      <c r="BW987" s="59" t="n"/>
      <c r="BX987" s="59" t="n"/>
      <c r="BY987" s="59" t="n"/>
      <c r="BZ987" s="59" t="n"/>
      <c r="CA987" s="59" t="n"/>
      <c r="CB987" s="59" t="n"/>
      <c r="CC987" s="59" t="n"/>
      <c r="CD987" s="59" t="n"/>
      <c r="CE987" s="59" t="n"/>
      <c r="CF987" s="59" t="n"/>
      <c r="CG987" s="59" t="n"/>
      <c r="CH987" s="59" t="n"/>
      <c r="CI987" s="59" t="n"/>
      <c r="CJ987" s="59" t="n"/>
      <c r="CK987" s="59" t="n"/>
      <c r="CL987" s="59" t="n"/>
      <c r="CM987" s="59" t="n"/>
      <c r="CN987" s="59" t="n"/>
    </row>
    <row r="988" ht="15" customFormat="1" customHeight="1" s="3">
      <c r="A988">
        <f>IF(C988="","",ROW()-2)</f>
        <v/>
      </c>
      <c r="B988" s="852" t="n"/>
      <c r="C988" s="852" t="n"/>
      <c r="D988">
        <f>IF(C988="TOH","Type 1",IF(C988="POH","Type 2",IF(OR(C988="LTO",C988="TOH-LC",C988="TOH - LC"),"Type 3",IF(C988="Flourish","Type 4","Type 1"))))</f>
        <v/>
      </c>
      <c r="E988" s="852" t="n"/>
      <c r="F988" s="852" t="n"/>
      <c r="G988" s="852" t="n"/>
      <c r="H988" s="888" t="n"/>
      <c r="I988" s="889" t="n"/>
      <c r="J988" s="888" t="n"/>
      <c r="K988">
        <f>SUM(H988:J988)</f>
        <v/>
      </c>
      <c r="L988" s="852" t="n"/>
      <c r="M988" s="852" t="n"/>
      <c r="N988" s="852" t="n"/>
      <c r="O988" s="852" t="n"/>
      <c r="P988" s="852" t="n"/>
      <c r="Q988" s="852" t="n"/>
      <c r="R988" s="852" t="n"/>
      <c r="S988" s="852" t="n"/>
      <c r="T988" s="852" t="n"/>
      <c r="U988" s="852" t="n"/>
      <c r="V988" s="852" t="n"/>
      <c r="W988" s="852" t="n"/>
      <c r="X988" s="852" t="n"/>
      <c r="Y988" s="852" t="n"/>
      <c r="Z988" s="852" t="n"/>
      <c r="AA988" s="852" t="n"/>
      <c r="AB988" s="59" t="n"/>
      <c r="AC988" s="59" t="n"/>
      <c r="AD988" s="59" t="n"/>
      <c r="AE988" s="59" t="n"/>
      <c r="AF988" s="59" t="n"/>
      <c r="AG988" s="59" t="n"/>
      <c r="AH988" s="59" t="n"/>
      <c r="AI988" s="59" t="n"/>
      <c r="AJ988" s="59" t="n"/>
      <c r="AK988" s="59" t="n"/>
      <c r="AL988" s="59" t="n"/>
      <c r="AM988" s="59" t="n"/>
      <c r="AN988" s="59" t="n"/>
      <c r="AO988" s="59" t="n"/>
      <c r="AP988" s="59" t="n"/>
      <c r="AQ988" s="59" t="n"/>
      <c r="AR988" s="59" t="n"/>
      <c r="AS988" s="59" t="n"/>
      <c r="AT988" s="59" t="n"/>
      <c r="AU988" s="59" t="n"/>
      <c r="AV988" s="59" t="n"/>
      <c r="AW988" s="59" t="n"/>
      <c r="AX988" s="59" t="n"/>
      <c r="AY988" s="59" t="n"/>
      <c r="AZ988" s="59" t="n"/>
      <c r="BA988" s="59" t="n"/>
      <c r="BB988" s="59" t="n"/>
      <c r="BC988" s="59" t="n"/>
      <c r="BD988" s="59" t="n"/>
      <c r="BE988" s="59" t="n"/>
      <c r="BF988" s="59" t="n"/>
      <c r="BG988" s="59" t="n"/>
      <c r="BH988" s="59" t="n"/>
      <c r="BI988" s="59" t="n"/>
      <c r="BJ988" s="59" t="n"/>
      <c r="BK988" s="59" t="n"/>
      <c r="BL988" s="59" t="n"/>
      <c r="BM988" s="59" t="n"/>
      <c r="BN988" s="59" t="n"/>
      <c r="BO988" s="59" t="n"/>
      <c r="BP988" s="59" t="n"/>
      <c r="BQ988" s="59" t="n"/>
      <c r="BR988" s="59" t="n"/>
      <c r="BS988" s="59" t="n"/>
      <c r="BT988" s="59" t="n"/>
      <c r="BU988" s="59" t="n"/>
      <c r="BV988" s="59" t="n"/>
      <c r="BW988" s="59" t="n"/>
      <c r="BX988" s="59" t="n"/>
      <c r="BY988" s="59" t="n"/>
      <c r="BZ988" s="59" t="n"/>
      <c r="CA988" s="59" t="n"/>
      <c r="CB988" s="59" t="n"/>
      <c r="CC988" s="59" t="n"/>
      <c r="CD988" s="59" t="n"/>
      <c r="CE988" s="59" t="n"/>
      <c r="CF988" s="59" t="n"/>
      <c r="CG988" s="59" t="n"/>
      <c r="CH988" s="59" t="n"/>
      <c r="CI988" s="59" t="n"/>
      <c r="CJ988" s="59" t="n"/>
      <c r="CK988" s="59" t="n"/>
      <c r="CL988" s="59" t="n"/>
      <c r="CM988" s="59" t="n"/>
      <c r="CN988" s="59" t="n"/>
    </row>
    <row r="989" ht="15" customFormat="1" customHeight="1" s="3">
      <c r="A989">
        <f>IF(C989="","",ROW()-2)</f>
        <v/>
      </c>
      <c r="B989" s="852" t="n"/>
      <c r="C989" s="852" t="n"/>
      <c r="D989">
        <f>IF(C989="TOH","Type 1",IF(C989="POH","Type 2",IF(OR(C989="LTO",C989="TOH-LC",C989="TOH - LC"),"Type 3",IF(C989="Flourish","Type 4","Type 1"))))</f>
        <v/>
      </c>
      <c r="E989" s="852" t="n"/>
      <c r="F989" s="852" t="n"/>
      <c r="G989" s="852" t="n"/>
      <c r="H989" s="888" t="n"/>
      <c r="I989" s="889" t="n"/>
      <c r="J989" s="888" t="n"/>
      <c r="K989">
        <f>SUM(H989:J989)</f>
        <v/>
      </c>
      <c r="L989" s="852" t="n"/>
      <c r="M989" s="852" t="n"/>
      <c r="N989" s="852" t="n"/>
      <c r="O989" s="852" t="n"/>
      <c r="P989" s="852" t="n"/>
      <c r="Q989" s="852" t="n"/>
      <c r="R989" s="852" t="n"/>
      <c r="S989" s="852" t="n"/>
      <c r="T989" s="852" t="n"/>
      <c r="U989" s="852" t="n"/>
      <c r="V989" s="852" t="n"/>
      <c r="W989" s="852" t="n"/>
      <c r="X989" s="852" t="n"/>
      <c r="Y989" s="852" t="n"/>
      <c r="Z989" s="852" t="n"/>
      <c r="AA989" s="852" t="n"/>
      <c r="AB989" s="59" t="n"/>
      <c r="AC989" s="59" t="n"/>
      <c r="AD989" s="59" t="n"/>
      <c r="AE989" s="59" t="n"/>
      <c r="AF989" s="59" t="n"/>
      <c r="AG989" s="59" t="n"/>
      <c r="AH989" s="59" t="n"/>
      <c r="AI989" s="59" t="n"/>
      <c r="AJ989" s="59" t="n"/>
      <c r="AK989" s="59" t="n"/>
      <c r="AL989" s="59" t="n"/>
      <c r="AM989" s="59" t="n"/>
      <c r="AN989" s="59" t="n"/>
      <c r="AO989" s="59" t="n"/>
      <c r="AP989" s="59" t="n"/>
      <c r="AQ989" s="59" t="n"/>
      <c r="AR989" s="59" t="n"/>
      <c r="AS989" s="59" t="n"/>
      <c r="AT989" s="59" t="n"/>
      <c r="AU989" s="59" t="n"/>
      <c r="AV989" s="59" t="n"/>
      <c r="AW989" s="59" t="n"/>
      <c r="AX989" s="59" t="n"/>
      <c r="AY989" s="59" t="n"/>
      <c r="AZ989" s="59" t="n"/>
      <c r="BA989" s="59" t="n"/>
      <c r="BB989" s="59" t="n"/>
      <c r="BC989" s="59" t="n"/>
      <c r="BD989" s="59" t="n"/>
      <c r="BE989" s="59" t="n"/>
      <c r="BF989" s="59" t="n"/>
      <c r="BG989" s="59" t="n"/>
      <c r="BH989" s="59" t="n"/>
      <c r="BI989" s="59" t="n"/>
      <c r="BJ989" s="59" t="n"/>
      <c r="BK989" s="59" t="n"/>
      <c r="BL989" s="59" t="n"/>
      <c r="BM989" s="59" t="n"/>
      <c r="BN989" s="59" t="n"/>
      <c r="BO989" s="59" t="n"/>
      <c r="BP989" s="59" t="n"/>
      <c r="BQ989" s="59" t="n"/>
      <c r="BR989" s="59" t="n"/>
      <c r="BS989" s="59" t="n"/>
      <c r="BT989" s="59" t="n"/>
      <c r="BU989" s="59" t="n"/>
      <c r="BV989" s="59" t="n"/>
      <c r="BW989" s="59" t="n"/>
      <c r="BX989" s="59" t="n"/>
      <c r="BY989" s="59" t="n"/>
      <c r="BZ989" s="59" t="n"/>
      <c r="CA989" s="59" t="n"/>
      <c r="CB989" s="59" t="n"/>
      <c r="CC989" s="59" t="n"/>
      <c r="CD989" s="59" t="n"/>
      <c r="CE989" s="59" t="n"/>
      <c r="CF989" s="59" t="n"/>
      <c r="CG989" s="59" t="n"/>
      <c r="CH989" s="59" t="n"/>
      <c r="CI989" s="59" t="n"/>
      <c r="CJ989" s="59" t="n"/>
      <c r="CK989" s="59" t="n"/>
      <c r="CL989" s="59" t="n"/>
      <c r="CM989" s="59" t="n"/>
      <c r="CN989" s="59" t="n"/>
    </row>
    <row r="990" ht="15" customFormat="1" customHeight="1" s="3">
      <c r="A990">
        <f>IF(C990="","",ROW()-2)</f>
        <v/>
      </c>
      <c r="B990" s="852" t="n"/>
      <c r="C990" s="852" t="n"/>
      <c r="D990">
        <f>IF(C990="TOH","Type 1",IF(C990="POH","Type 2",IF(OR(C990="LTO",C990="TOH-LC",C990="TOH - LC"),"Type 3",IF(C990="Flourish","Type 4","Type 1"))))</f>
        <v/>
      </c>
      <c r="E990" s="852" t="n"/>
      <c r="F990" s="852" t="n"/>
      <c r="G990" s="852" t="n"/>
      <c r="H990" s="888" t="n"/>
      <c r="I990" s="889" t="n"/>
      <c r="J990" s="888" t="n"/>
      <c r="K990">
        <f>SUM(H990:J990)</f>
        <v/>
      </c>
      <c r="L990" s="852" t="n"/>
      <c r="M990" s="852" t="n"/>
      <c r="N990" s="852" t="n"/>
      <c r="O990" s="852" t="n"/>
      <c r="P990" s="852" t="n"/>
      <c r="Q990" s="852" t="n"/>
      <c r="R990" s="852" t="n"/>
      <c r="S990" s="852" t="n"/>
      <c r="T990" s="852" t="n"/>
      <c r="U990" s="852" t="n"/>
      <c r="V990" s="852" t="n"/>
      <c r="W990" s="852" t="n"/>
      <c r="X990" s="852" t="n"/>
      <c r="Y990" s="852" t="n"/>
      <c r="Z990" s="852" t="n"/>
      <c r="AA990" s="852" t="n"/>
      <c r="AB990" s="59" t="n"/>
      <c r="AC990" s="59" t="n"/>
      <c r="AD990" s="59" t="n"/>
      <c r="AE990" s="59" t="n"/>
      <c r="AF990" s="59" t="n"/>
      <c r="AG990" s="59" t="n"/>
      <c r="AH990" s="59" t="n"/>
      <c r="AI990" s="59" t="n"/>
      <c r="AJ990" s="59" t="n"/>
      <c r="AK990" s="59" t="n"/>
      <c r="AL990" s="59" t="n"/>
      <c r="AM990" s="59" t="n"/>
      <c r="AN990" s="59" t="n"/>
      <c r="AO990" s="59" t="n"/>
      <c r="AP990" s="59" t="n"/>
      <c r="AQ990" s="59" t="n"/>
      <c r="AR990" s="59" t="n"/>
      <c r="AS990" s="59" t="n"/>
      <c r="AT990" s="59" t="n"/>
      <c r="AU990" s="59" t="n"/>
      <c r="AV990" s="59" t="n"/>
      <c r="AW990" s="59" t="n"/>
      <c r="AX990" s="59" t="n"/>
      <c r="AY990" s="59" t="n"/>
      <c r="AZ990" s="59" t="n"/>
      <c r="BA990" s="59" t="n"/>
      <c r="BB990" s="59" t="n"/>
      <c r="BC990" s="59" t="n"/>
      <c r="BD990" s="59" t="n"/>
      <c r="BE990" s="59" t="n"/>
      <c r="BF990" s="59" t="n"/>
      <c r="BG990" s="59" t="n"/>
      <c r="BH990" s="59" t="n"/>
      <c r="BI990" s="59" t="n"/>
      <c r="BJ990" s="59" t="n"/>
      <c r="BK990" s="59" t="n"/>
      <c r="BL990" s="59" t="n"/>
      <c r="BM990" s="59" t="n"/>
      <c r="BN990" s="59" t="n"/>
      <c r="BO990" s="59" t="n"/>
      <c r="BP990" s="59" t="n"/>
      <c r="BQ990" s="59" t="n"/>
      <c r="BR990" s="59" t="n"/>
      <c r="BS990" s="59" t="n"/>
      <c r="BT990" s="59" t="n"/>
      <c r="BU990" s="59" t="n"/>
      <c r="BV990" s="59" t="n"/>
      <c r="BW990" s="59" t="n"/>
      <c r="BX990" s="59" t="n"/>
      <c r="BY990" s="59" t="n"/>
      <c r="BZ990" s="59" t="n"/>
      <c r="CA990" s="59" t="n"/>
      <c r="CB990" s="59" t="n"/>
      <c r="CC990" s="59" t="n"/>
      <c r="CD990" s="59" t="n"/>
      <c r="CE990" s="59" t="n"/>
      <c r="CF990" s="59" t="n"/>
      <c r="CG990" s="59" t="n"/>
      <c r="CH990" s="59" t="n"/>
      <c r="CI990" s="59" t="n"/>
      <c r="CJ990" s="59" t="n"/>
      <c r="CK990" s="59" t="n"/>
      <c r="CL990" s="59" t="n"/>
      <c r="CM990" s="59" t="n"/>
      <c r="CN990" s="59" t="n"/>
    </row>
    <row r="991" ht="15" customFormat="1" customHeight="1" s="3">
      <c r="A991">
        <f>IF(C991="","",ROW()-2)</f>
        <v/>
      </c>
      <c r="B991" s="852" t="n"/>
      <c r="C991" s="852" t="n"/>
      <c r="D991">
        <f>IF(C991="TOH","Type 1",IF(C991="POH","Type 2",IF(OR(C991="LTO",C991="TOH-LC",C991="TOH - LC"),"Type 3",IF(C991="Flourish","Type 4","Type 1"))))</f>
        <v/>
      </c>
      <c r="E991" s="852" t="n"/>
      <c r="F991" s="852" t="n"/>
      <c r="G991" s="852" t="n"/>
      <c r="H991" s="888" t="n"/>
      <c r="I991" s="889" t="n"/>
      <c r="J991" s="888" t="n"/>
      <c r="K991">
        <f>SUM(H991:J991)</f>
        <v/>
      </c>
      <c r="L991" s="852" t="n"/>
      <c r="M991" s="852" t="n"/>
      <c r="N991" s="852" t="n"/>
      <c r="O991" s="852" t="n"/>
      <c r="P991" s="852" t="n"/>
      <c r="Q991" s="852" t="n"/>
      <c r="R991" s="852" t="n"/>
      <c r="S991" s="852" t="n"/>
      <c r="T991" s="852" t="n"/>
      <c r="U991" s="852" t="n"/>
      <c r="V991" s="852" t="n"/>
      <c r="W991" s="852" t="n"/>
      <c r="X991" s="852" t="n"/>
      <c r="Y991" s="852" t="n"/>
      <c r="Z991" s="852" t="n"/>
      <c r="AA991" s="852" t="n"/>
      <c r="AB991" s="59" t="n"/>
      <c r="AC991" s="59" t="n"/>
      <c r="AD991" s="59" t="n"/>
      <c r="AE991" s="59" t="n"/>
      <c r="AF991" s="59" t="n"/>
      <c r="AG991" s="59" t="n"/>
      <c r="AH991" s="59" t="n"/>
      <c r="AI991" s="59" t="n"/>
      <c r="AJ991" s="59" t="n"/>
      <c r="AK991" s="59" t="n"/>
      <c r="AL991" s="59" t="n"/>
      <c r="AM991" s="59" t="n"/>
      <c r="AN991" s="59" t="n"/>
      <c r="AO991" s="59" t="n"/>
      <c r="AP991" s="59" t="n"/>
      <c r="AQ991" s="59" t="n"/>
      <c r="AR991" s="59" t="n"/>
      <c r="AS991" s="59" t="n"/>
      <c r="AT991" s="59" t="n"/>
      <c r="AU991" s="59" t="n"/>
      <c r="AV991" s="59" t="n"/>
      <c r="AW991" s="59" t="n"/>
      <c r="AX991" s="59" t="n"/>
      <c r="AY991" s="59" t="n"/>
      <c r="AZ991" s="59" t="n"/>
      <c r="BA991" s="59" t="n"/>
      <c r="BB991" s="59" t="n"/>
      <c r="BC991" s="59" t="n"/>
      <c r="BD991" s="59" t="n"/>
      <c r="BE991" s="59" t="n"/>
      <c r="BF991" s="59" t="n"/>
      <c r="BG991" s="59" t="n"/>
      <c r="BH991" s="59" t="n"/>
      <c r="BI991" s="59" t="n"/>
      <c r="BJ991" s="59" t="n"/>
      <c r="BK991" s="59" t="n"/>
      <c r="BL991" s="59" t="n"/>
      <c r="BM991" s="59" t="n"/>
      <c r="BN991" s="59" t="n"/>
      <c r="BO991" s="59" t="n"/>
      <c r="BP991" s="59" t="n"/>
      <c r="BQ991" s="59" t="n"/>
      <c r="BR991" s="59" t="n"/>
      <c r="BS991" s="59" t="n"/>
      <c r="BT991" s="59" t="n"/>
      <c r="BU991" s="59" t="n"/>
      <c r="BV991" s="59" t="n"/>
      <c r="BW991" s="59" t="n"/>
      <c r="BX991" s="59" t="n"/>
      <c r="BY991" s="59" t="n"/>
      <c r="BZ991" s="59" t="n"/>
      <c r="CA991" s="59" t="n"/>
      <c r="CB991" s="59" t="n"/>
      <c r="CC991" s="59" t="n"/>
      <c r="CD991" s="59" t="n"/>
      <c r="CE991" s="59" t="n"/>
      <c r="CF991" s="59" t="n"/>
      <c r="CG991" s="59" t="n"/>
      <c r="CH991" s="59" t="n"/>
      <c r="CI991" s="59" t="n"/>
      <c r="CJ991" s="59" t="n"/>
      <c r="CK991" s="59" t="n"/>
      <c r="CL991" s="59" t="n"/>
      <c r="CM991" s="59" t="n"/>
      <c r="CN991" s="59" t="n"/>
    </row>
    <row r="992" ht="15" customFormat="1" customHeight="1" s="3">
      <c r="A992">
        <f>IF(C992="","",ROW()-2)</f>
        <v/>
      </c>
      <c r="B992" s="852" t="n"/>
      <c r="C992" s="852" t="n"/>
      <c r="D992">
        <f>IF(C992="TOH","Type 1",IF(C992="POH","Type 2",IF(OR(C992="LTO",C992="TOH-LC",C992="TOH - LC"),"Type 3",IF(C992="Flourish","Type 4","Type 1"))))</f>
        <v/>
      </c>
      <c r="E992" s="852" t="n"/>
      <c r="F992" s="852" t="n"/>
      <c r="G992" s="852" t="n"/>
      <c r="H992" s="888" t="n"/>
      <c r="I992" s="889" t="n"/>
      <c r="J992" s="888" t="n"/>
      <c r="K992">
        <f>SUM(H992:J992)</f>
        <v/>
      </c>
      <c r="L992" s="852" t="n"/>
      <c r="M992" s="852" t="n"/>
      <c r="N992" s="852" t="n"/>
      <c r="O992" s="852" t="n"/>
      <c r="P992" s="852" t="n"/>
      <c r="Q992" s="852" t="n"/>
      <c r="R992" s="852" t="n"/>
      <c r="S992" s="852" t="n"/>
      <c r="T992" s="852" t="n"/>
      <c r="U992" s="852" t="n"/>
      <c r="V992" s="852" t="n"/>
      <c r="W992" s="852" t="n"/>
      <c r="X992" s="852" t="n"/>
      <c r="Y992" s="852" t="n"/>
      <c r="Z992" s="852" t="n"/>
      <c r="AA992" s="852" t="n"/>
      <c r="AB992" s="59" t="n"/>
      <c r="AC992" s="59" t="n"/>
      <c r="AD992" s="59" t="n"/>
      <c r="AE992" s="59" t="n"/>
      <c r="AF992" s="59" t="n"/>
      <c r="AG992" s="59" t="n"/>
      <c r="AH992" s="59" t="n"/>
      <c r="AI992" s="59" t="n"/>
      <c r="AJ992" s="59" t="n"/>
      <c r="AK992" s="59" t="n"/>
      <c r="AL992" s="59" t="n"/>
      <c r="AM992" s="59" t="n"/>
      <c r="AN992" s="59" t="n"/>
      <c r="AO992" s="59" t="n"/>
      <c r="AP992" s="59" t="n"/>
      <c r="AQ992" s="59" t="n"/>
      <c r="AR992" s="59" t="n"/>
      <c r="AS992" s="59" t="n"/>
      <c r="AT992" s="59" t="n"/>
      <c r="AU992" s="59" t="n"/>
      <c r="AV992" s="59" t="n"/>
      <c r="AW992" s="59" t="n"/>
      <c r="AX992" s="59" t="n"/>
      <c r="AY992" s="59" t="n"/>
      <c r="AZ992" s="59" t="n"/>
      <c r="BA992" s="59" t="n"/>
      <c r="BB992" s="59" t="n"/>
      <c r="BC992" s="59" t="n"/>
      <c r="BD992" s="59" t="n"/>
      <c r="BE992" s="59" t="n"/>
      <c r="BF992" s="59" t="n"/>
      <c r="BG992" s="59" t="n"/>
      <c r="BH992" s="59" t="n"/>
      <c r="BI992" s="59" t="n"/>
      <c r="BJ992" s="59" t="n"/>
      <c r="BK992" s="59" t="n"/>
      <c r="BL992" s="59" t="n"/>
      <c r="BM992" s="59" t="n"/>
      <c r="BN992" s="59" t="n"/>
      <c r="BO992" s="59" t="n"/>
      <c r="BP992" s="59" t="n"/>
      <c r="BQ992" s="59" t="n"/>
      <c r="BR992" s="59" t="n"/>
      <c r="BS992" s="59" t="n"/>
      <c r="BT992" s="59" t="n"/>
      <c r="BU992" s="59" t="n"/>
      <c r="BV992" s="59" t="n"/>
      <c r="BW992" s="59" t="n"/>
      <c r="BX992" s="59" t="n"/>
      <c r="BY992" s="59" t="n"/>
      <c r="BZ992" s="59" t="n"/>
      <c r="CA992" s="59" t="n"/>
      <c r="CB992" s="59" t="n"/>
      <c r="CC992" s="59" t="n"/>
      <c r="CD992" s="59" t="n"/>
      <c r="CE992" s="59" t="n"/>
      <c r="CF992" s="59" t="n"/>
      <c r="CG992" s="59" t="n"/>
      <c r="CH992" s="59" t="n"/>
      <c r="CI992" s="59" t="n"/>
      <c r="CJ992" s="59" t="n"/>
      <c r="CK992" s="59" t="n"/>
      <c r="CL992" s="59" t="n"/>
      <c r="CM992" s="59" t="n"/>
      <c r="CN992" s="59" t="n"/>
    </row>
    <row r="993" ht="15" customFormat="1" customHeight="1" s="3">
      <c r="A993">
        <f>IF(C993="","",ROW()-2)</f>
        <v/>
      </c>
      <c r="B993" s="852" t="n"/>
      <c r="C993" s="852" t="n"/>
      <c r="D993">
        <f>IF(C993="TOH","Type 1",IF(C993="POH","Type 2",IF(OR(C993="LTO",C993="TOH-LC",C993="TOH - LC"),"Type 3",IF(C993="Flourish","Type 4","Type 1"))))</f>
        <v/>
      </c>
      <c r="E993" s="852" t="n"/>
      <c r="F993" s="852" t="n"/>
      <c r="G993" s="852" t="n"/>
      <c r="H993" s="888" t="n"/>
      <c r="I993" s="889" t="n"/>
      <c r="J993" s="888" t="n"/>
      <c r="K993">
        <f>SUM(H993:J993)</f>
        <v/>
      </c>
      <c r="L993" s="852" t="n"/>
      <c r="M993" s="852" t="n"/>
      <c r="N993" s="852" t="n"/>
      <c r="O993" s="852" t="n"/>
      <c r="P993" s="852" t="n"/>
      <c r="Q993" s="852" t="n"/>
      <c r="R993" s="852" t="n"/>
      <c r="S993" s="852" t="n"/>
      <c r="T993" s="852" t="n"/>
      <c r="U993" s="852" t="n"/>
      <c r="V993" s="852" t="n"/>
      <c r="W993" s="852" t="n"/>
      <c r="X993" s="852" t="n"/>
      <c r="Y993" s="852" t="n"/>
      <c r="Z993" s="852" t="n"/>
      <c r="AA993" s="852" t="n"/>
      <c r="AB993" s="59" t="n"/>
      <c r="AC993" s="59" t="n"/>
      <c r="AD993" s="59" t="n"/>
      <c r="AE993" s="59" t="n"/>
      <c r="AF993" s="59" t="n"/>
      <c r="AG993" s="59" t="n"/>
      <c r="AH993" s="59" t="n"/>
      <c r="AI993" s="59" t="n"/>
      <c r="AJ993" s="59" t="n"/>
      <c r="AK993" s="59" t="n"/>
      <c r="AL993" s="59" t="n"/>
      <c r="AM993" s="59" t="n"/>
      <c r="AN993" s="59" t="n"/>
      <c r="AO993" s="59" t="n"/>
      <c r="AP993" s="59" t="n"/>
      <c r="AQ993" s="59" t="n"/>
      <c r="AR993" s="59" t="n"/>
      <c r="AS993" s="59" t="n"/>
      <c r="AT993" s="59" t="n"/>
      <c r="AU993" s="59" t="n"/>
      <c r="AV993" s="59" t="n"/>
      <c r="AW993" s="59" t="n"/>
      <c r="AX993" s="59" t="n"/>
      <c r="AY993" s="59" t="n"/>
      <c r="AZ993" s="59" t="n"/>
      <c r="BA993" s="59" t="n"/>
      <c r="BB993" s="59" t="n"/>
      <c r="BC993" s="59" t="n"/>
      <c r="BD993" s="59" t="n"/>
      <c r="BE993" s="59" t="n"/>
      <c r="BF993" s="59" t="n"/>
      <c r="BG993" s="59" t="n"/>
      <c r="BH993" s="59" t="n"/>
      <c r="BI993" s="59" t="n"/>
      <c r="BJ993" s="59" t="n"/>
      <c r="BK993" s="59" t="n"/>
      <c r="BL993" s="59" t="n"/>
      <c r="BM993" s="59" t="n"/>
      <c r="BN993" s="59" t="n"/>
      <c r="BO993" s="59" t="n"/>
      <c r="BP993" s="59" t="n"/>
      <c r="BQ993" s="59" t="n"/>
      <c r="BR993" s="59" t="n"/>
      <c r="BS993" s="59" t="n"/>
      <c r="BT993" s="59" t="n"/>
      <c r="BU993" s="59" t="n"/>
      <c r="BV993" s="59" t="n"/>
      <c r="BW993" s="59" t="n"/>
      <c r="BX993" s="59" t="n"/>
      <c r="BY993" s="59" t="n"/>
      <c r="BZ993" s="59" t="n"/>
      <c r="CA993" s="59" t="n"/>
      <c r="CB993" s="59" t="n"/>
      <c r="CC993" s="59" t="n"/>
      <c r="CD993" s="59" t="n"/>
      <c r="CE993" s="59" t="n"/>
      <c r="CF993" s="59" t="n"/>
      <c r="CG993" s="59" t="n"/>
      <c r="CH993" s="59" t="n"/>
      <c r="CI993" s="59" t="n"/>
      <c r="CJ993" s="59" t="n"/>
      <c r="CK993" s="59" t="n"/>
      <c r="CL993" s="59" t="n"/>
      <c r="CM993" s="59" t="n"/>
      <c r="CN993" s="59" t="n"/>
    </row>
    <row r="994" ht="15" customFormat="1" customHeight="1" s="3">
      <c r="A994">
        <f>IF(C994="","",ROW()-2)</f>
        <v/>
      </c>
      <c r="B994" s="852" t="n"/>
      <c r="C994" s="852" t="n"/>
      <c r="D994">
        <f>IF(C994="TOH","Type 1",IF(C994="POH","Type 2",IF(OR(C994="LTO",C994="TOH-LC",C994="TOH - LC"),"Type 3",IF(C994="Flourish","Type 4","Type 1"))))</f>
        <v/>
      </c>
      <c r="E994" s="852" t="n"/>
      <c r="F994" s="852" t="n"/>
      <c r="G994" s="852" t="n"/>
      <c r="H994" s="888" t="n"/>
      <c r="I994" s="889" t="n"/>
      <c r="J994" s="888" t="n"/>
      <c r="K994">
        <f>SUM(H994:J994)</f>
        <v/>
      </c>
      <c r="L994" s="852" t="n"/>
      <c r="M994" s="852" t="n"/>
      <c r="N994" s="852" t="n"/>
      <c r="O994" s="852" t="n"/>
      <c r="P994" s="852" t="n"/>
      <c r="Q994" s="852" t="n"/>
      <c r="R994" s="852" t="n"/>
      <c r="S994" s="852" t="n"/>
      <c r="T994" s="852" t="n"/>
      <c r="U994" s="852" t="n"/>
      <c r="V994" s="852" t="n"/>
      <c r="W994" s="852" t="n"/>
      <c r="X994" s="852" t="n"/>
      <c r="Y994" s="852" t="n"/>
      <c r="Z994" s="852" t="n"/>
      <c r="AA994" s="852" t="n"/>
      <c r="AB994" s="59" t="n"/>
      <c r="AC994" s="59" t="n"/>
      <c r="AD994" s="59" t="n"/>
      <c r="AE994" s="59" t="n"/>
      <c r="AF994" s="59" t="n"/>
      <c r="AG994" s="59" t="n"/>
      <c r="AH994" s="59" t="n"/>
      <c r="AI994" s="59" t="n"/>
      <c r="AJ994" s="59" t="n"/>
      <c r="AK994" s="59" t="n"/>
      <c r="AL994" s="59" t="n"/>
      <c r="AM994" s="59" t="n"/>
      <c r="AN994" s="59" t="n"/>
      <c r="AO994" s="59" t="n"/>
      <c r="AP994" s="59" t="n"/>
      <c r="AQ994" s="59" t="n"/>
      <c r="AR994" s="59" t="n"/>
      <c r="AS994" s="59" t="n"/>
      <c r="AT994" s="59" t="n"/>
      <c r="AU994" s="59" t="n"/>
      <c r="AV994" s="59" t="n"/>
      <c r="AW994" s="59" t="n"/>
      <c r="AX994" s="59" t="n"/>
      <c r="AY994" s="59" t="n"/>
      <c r="AZ994" s="59" t="n"/>
      <c r="BA994" s="59" t="n"/>
      <c r="BB994" s="59" t="n"/>
      <c r="BC994" s="59" t="n"/>
      <c r="BD994" s="59" t="n"/>
      <c r="BE994" s="59" t="n"/>
      <c r="BF994" s="59" t="n"/>
      <c r="BG994" s="59" t="n"/>
      <c r="BH994" s="59" t="n"/>
      <c r="BI994" s="59" t="n"/>
      <c r="BJ994" s="59" t="n"/>
      <c r="BK994" s="59" t="n"/>
      <c r="BL994" s="59" t="n"/>
      <c r="BM994" s="59" t="n"/>
      <c r="BN994" s="59" t="n"/>
      <c r="BO994" s="59" t="n"/>
      <c r="BP994" s="59" t="n"/>
      <c r="BQ994" s="59" t="n"/>
      <c r="BR994" s="59" t="n"/>
      <c r="BS994" s="59" t="n"/>
      <c r="BT994" s="59" t="n"/>
      <c r="BU994" s="59" t="n"/>
      <c r="BV994" s="59" t="n"/>
      <c r="BW994" s="59" t="n"/>
      <c r="BX994" s="59" t="n"/>
      <c r="BY994" s="59" t="n"/>
      <c r="BZ994" s="59" t="n"/>
      <c r="CA994" s="59" t="n"/>
      <c r="CB994" s="59" t="n"/>
      <c r="CC994" s="59" t="n"/>
      <c r="CD994" s="59" t="n"/>
      <c r="CE994" s="59" t="n"/>
      <c r="CF994" s="59" t="n"/>
      <c r="CG994" s="59" t="n"/>
      <c r="CH994" s="59" t="n"/>
      <c r="CI994" s="59" t="n"/>
      <c r="CJ994" s="59" t="n"/>
      <c r="CK994" s="59" t="n"/>
      <c r="CL994" s="59" t="n"/>
      <c r="CM994" s="59" t="n"/>
      <c r="CN994" s="59" t="n"/>
    </row>
    <row r="995" ht="15" customFormat="1" customHeight="1" s="3">
      <c r="A995">
        <f>IF(C995="","",ROW()-2)</f>
        <v/>
      </c>
      <c r="B995" s="852" t="n"/>
      <c r="C995" s="852" t="n"/>
      <c r="D995">
        <f>IF(C995="TOH","Type 1",IF(C995="POH","Type 2",IF(OR(C995="LTO",C995="TOH-LC",C995="TOH - LC"),"Type 3",IF(C995="Flourish","Type 4","Type 1"))))</f>
        <v/>
      </c>
      <c r="E995" s="852" t="n"/>
      <c r="F995" s="852" t="n"/>
      <c r="G995" s="852" t="n"/>
      <c r="H995" s="888" t="n"/>
      <c r="I995" s="889" t="n"/>
      <c r="J995" s="888" t="n"/>
      <c r="K995">
        <f>SUM(H995:J995)</f>
        <v/>
      </c>
      <c r="L995" s="852" t="n"/>
      <c r="M995" s="852" t="n"/>
      <c r="N995" s="852" t="n"/>
      <c r="O995" s="852" t="n"/>
      <c r="P995" s="852" t="n"/>
      <c r="Q995" s="852" t="n"/>
      <c r="R995" s="852" t="n"/>
      <c r="S995" s="852" t="n"/>
      <c r="T995" s="852" t="n"/>
      <c r="U995" s="852" t="n"/>
      <c r="V995" s="852" t="n"/>
      <c r="W995" s="852" t="n"/>
      <c r="X995" s="852" t="n"/>
      <c r="Y995" s="852" t="n"/>
      <c r="Z995" s="852" t="n"/>
      <c r="AA995" s="852" t="n"/>
      <c r="AB995" s="59" t="n"/>
      <c r="AC995" s="59" t="n"/>
      <c r="AD995" s="59" t="n"/>
      <c r="AE995" s="59" t="n"/>
      <c r="AF995" s="59" t="n"/>
      <c r="AG995" s="59" t="n"/>
      <c r="AH995" s="59" t="n"/>
      <c r="AI995" s="59" t="n"/>
      <c r="AJ995" s="59" t="n"/>
      <c r="AK995" s="59" t="n"/>
      <c r="AL995" s="59" t="n"/>
      <c r="AM995" s="59" t="n"/>
      <c r="AN995" s="59" t="n"/>
      <c r="AO995" s="59" t="n"/>
      <c r="AP995" s="59" t="n"/>
      <c r="AQ995" s="59" t="n"/>
      <c r="AR995" s="59" t="n"/>
      <c r="AS995" s="59" t="n"/>
      <c r="AT995" s="59" t="n"/>
      <c r="AU995" s="59" t="n"/>
      <c r="AV995" s="59" t="n"/>
      <c r="AW995" s="59" t="n"/>
      <c r="AX995" s="59" t="n"/>
      <c r="AY995" s="59" t="n"/>
      <c r="AZ995" s="59" t="n"/>
      <c r="BA995" s="59" t="n"/>
      <c r="BB995" s="59" t="n"/>
      <c r="BC995" s="59" t="n"/>
      <c r="BD995" s="59" t="n"/>
      <c r="BE995" s="59" t="n"/>
      <c r="BF995" s="59" t="n"/>
      <c r="BG995" s="59" t="n"/>
      <c r="BH995" s="59" t="n"/>
      <c r="BI995" s="59" t="n"/>
      <c r="BJ995" s="59" t="n"/>
      <c r="BK995" s="59" t="n"/>
      <c r="BL995" s="59" t="n"/>
      <c r="BM995" s="59" t="n"/>
      <c r="BN995" s="59" t="n"/>
      <c r="BO995" s="59" t="n"/>
      <c r="BP995" s="59" t="n"/>
      <c r="BQ995" s="59" t="n"/>
      <c r="BR995" s="59" t="n"/>
      <c r="BS995" s="59" t="n"/>
      <c r="BT995" s="59" t="n"/>
      <c r="BU995" s="59" t="n"/>
      <c r="BV995" s="59" t="n"/>
      <c r="BW995" s="59" t="n"/>
      <c r="BX995" s="59" t="n"/>
      <c r="BY995" s="59" t="n"/>
      <c r="BZ995" s="59" t="n"/>
      <c r="CA995" s="59" t="n"/>
      <c r="CB995" s="59" t="n"/>
      <c r="CC995" s="59" t="n"/>
      <c r="CD995" s="59" t="n"/>
      <c r="CE995" s="59" t="n"/>
      <c r="CF995" s="59" t="n"/>
      <c r="CG995" s="59" t="n"/>
      <c r="CH995" s="59" t="n"/>
      <c r="CI995" s="59" t="n"/>
      <c r="CJ995" s="59" t="n"/>
      <c r="CK995" s="59" t="n"/>
      <c r="CL995" s="59" t="n"/>
      <c r="CM995" s="59" t="n"/>
      <c r="CN995" s="59" t="n"/>
    </row>
    <row r="996" ht="15" customFormat="1" customHeight="1" s="3">
      <c r="A996">
        <f>IF(C996="","",ROW()-2)</f>
        <v/>
      </c>
      <c r="B996" s="852" t="n"/>
      <c r="C996" s="852" t="n"/>
      <c r="D996">
        <f>IF(C996="TOH","Type 1",IF(C996="POH","Type 2",IF(OR(C996="LTO",C996="TOH-LC",C996="TOH - LC"),"Type 3",IF(C996="Flourish","Type 4","Type 1"))))</f>
        <v/>
      </c>
      <c r="E996" s="852" t="n"/>
      <c r="F996" s="852" t="n"/>
      <c r="G996" s="852" t="n"/>
      <c r="H996" s="888" t="n"/>
      <c r="I996" s="889" t="n"/>
      <c r="J996" s="888" t="n"/>
      <c r="K996">
        <f>SUM(H996:J996)</f>
        <v/>
      </c>
      <c r="L996" s="852" t="n"/>
      <c r="M996" s="852" t="n"/>
      <c r="N996" s="852" t="n"/>
      <c r="O996" s="852" t="n"/>
      <c r="P996" s="852" t="n"/>
      <c r="Q996" s="852" t="n"/>
      <c r="R996" s="852" t="n"/>
      <c r="S996" s="852" t="n"/>
      <c r="T996" s="852" t="n"/>
      <c r="U996" s="852" t="n"/>
      <c r="V996" s="852" t="n"/>
      <c r="W996" s="852" t="n"/>
      <c r="X996" s="852" t="n"/>
      <c r="Y996" s="852" t="n"/>
      <c r="Z996" s="852" t="n"/>
      <c r="AA996" s="852" t="n"/>
      <c r="AB996" s="59" t="n"/>
      <c r="AC996" s="59" t="n"/>
      <c r="AD996" s="59" t="n"/>
      <c r="AE996" s="59" t="n"/>
      <c r="AF996" s="59" t="n"/>
      <c r="AG996" s="59" t="n"/>
      <c r="AH996" s="59" t="n"/>
      <c r="AI996" s="59" t="n"/>
      <c r="AJ996" s="59" t="n"/>
      <c r="AK996" s="59" t="n"/>
      <c r="AL996" s="59" t="n"/>
      <c r="AM996" s="59" t="n"/>
      <c r="AN996" s="59" t="n"/>
      <c r="AO996" s="59" t="n"/>
      <c r="AP996" s="59" t="n"/>
      <c r="AQ996" s="59" t="n"/>
      <c r="AR996" s="59" t="n"/>
      <c r="AS996" s="59" t="n"/>
      <c r="AT996" s="59" t="n"/>
      <c r="AU996" s="59" t="n"/>
      <c r="AV996" s="59" t="n"/>
      <c r="AW996" s="59" t="n"/>
      <c r="AX996" s="59" t="n"/>
      <c r="AY996" s="59" t="n"/>
      <c r="AZ996" s="59" t="n"/>
      <c r="BA996" s="59" t="n"/>
      <c r="BB996" s="59" t="n"/>
      <c r="BC996" s="59" t="n"/>
      <c r="BD996" s="59" t="n"/>
      <c r="BE996" s="59" t="n"/>
      <c r="BF996" s="59" t="n"/>
      <c r="BG996" s="59" t="n"/>
      <c r="BH996" s="59" t="n"/>
      <c r="BI996" s="59" t="n"/>
      <c r="BJ996" s="59" t="n"/>
      <c r="BK996" s="59" t="n"/>
      <c r="BL996" s="59" t="n"/>
      <c r="BM996" s="59" t="n"/>
      <c r="BN996" s="59" t="n"/>
      <c r="BO996" s="59" t="n"/>
      <c r="BP996" s="59" t="n"/>
      <c r="BQ996" s="59" t="n"/>
      <c r="BR996" s="59" t="n"/>
      <c r="BS996" s="59" t="n"/>
      <c r="BT996" s="59" t="n"/>
      <c r="BU996" s="59" t="n"/>
      <c r="BV996" s="59" t="n"/>
      <c r="BW996" s="59" t="n"/>
      <c r="BX996" s="59" t="n"/>
      <c r="BY996" s="59" t="n"/>
      <c r="BZ996" s="59" t="n"/>
      <c r="CA996" s="59" t="n"/>
      <c r="CB996" s="59" t="n"/>
      <c r="CC996" s="59" t="n"/>
      <c r="CD996" s="59" t="n"/>
      <c r="CE996" s="59" t="n"/>
      <c r="CF996" s="59" t="n"/>
      <c r="CG996" s="59" t="n"/>
      <c r="CH996" s="59" t="n"/>
      <c r="CI996" s="59" t="n"/>
      <c r="CJ996" s="59" t="n"/>
      <c r="CK996" s="59" t="n"/>
      <c r="CL996" s="59" t="n"/>
      <c r="CM996" s="59" t="n"/>
      <c r="CN996" s="59" t="n"/>
    </row>
    <row r="997" ht="15" customFormat="1" customHeight="1" s="3">
      <c r="A997">
        <f>IF(C997="","",ROW()-2)</f>
        <v/>
      </c>
      <c r="B997" s="852" t="n"/>
      <c r="C997" s="852" t="n"/>
      <c r="D997">
        <f>IF(C997="TOH","Type 1",IF(C997="POH","Type 2",IF(OR(C997="LTO",C997="TOH-LC",C997="TOH - LC"),"Type 3",IF(C997="Flourish","Type 4","Type 1"))))</f>
        <v/>
      </c>
      <c r="E997" s="852" t="n"/>
      <c r="F997" s="852" t="n"/>
      <c r="G997" s="852" t="n"/>
      <c r="H997" s="888" t="n"/>
      <c r="I997" s="889" t="n"/>
      <c r="J997" s="888" t="n"/>
      <c r="K997">
        <f>SUM(H997:J997)</f>
        <v/>
      </c>
      <c r="L997" s="852" t="n"/>
      <c r="M997" s="852" t="n"/>
      <c r="N997" s="852" t="n"/>
      <c r="O997" s="852" t="n"/>
      <c r="P997" s="852" t="n"/>
      <c r="Q997" s="852" t="n"/>
      <c r="R997" s="852" t="n"/>
      <c r="S997" s="852" t="n"/>
      <c r="T997" s="852" t="n"/>
      <c r="U997" s="852" t="n"/>
      <c r="V997" s="852" t="n"/>
      <c r="W997" s="852" t="n"/>
      <c r="X997" s="852" t="n"/>
      <c r="Y997" s="852" t="n"/>
      <c r="Z997" s="852" t="n"/>
      <c r="AA997" s="852" t="n"/>
      <c r="AB997" s="59" t="n"/>
      <c r="AC997" s="59" t="n"/>
      <c r="AD997" s="59" t="n"/>
      <c r="AE997" s="59" t="n"/>
      <c r="AF997" s="59" t="n"/>
      <c r="AG997" s="59" t="n"/>
      <c r="AH997" s="59" t="n"/>
      <c r="AI997" s="59" t="n"/>
      <c r="AJ997" s="59" t="n"/>
      <c r="AK997" s="59" t="n"/>
      <c r="AL997" s="59" t="n"/>
      <c r="AM997" s="59" t="n"/>
      <c r="AN997" s="59" t="n"/>
      <c r="AO997" s="59" t="n"/>
      <c r="AP997" s="59" t="n"/>
      <c r="AQ997" s="59" t="n"/>
      <c r="AR997" s="59" t="n"/>
      <c r="AS997" s="59" t="n"/>
      <c r="AT997" s="59" t="n"/>
      <c r="AU997" s="59" t="n"/>
      <c r="AV997" s="59" t="n"/>
      <c r="AW997" s="59" t="n"/>
      <c r="AX997" s="59" t="n"/>
      <c r="AY997" s="59" t="n"/>
      <c r="AZ997" s="59" t="n"/>
      <c r="BA997" s="59" t="n"/>
      <c r="BB997" s="59" t="n"/>
      <c r="BC997" s="59" t="n"/>
      <c r="BD997" s="59" t="n"/>
      <c r="BE997" s="59" t="n"/>
      <c r="BF997" s="59" t="n"/>
      <c r="BG997" s="59" t="n"/>
      <c r="BH997" s="59" t="n"/>
      <c r="BI997" s="59" t="n"/>
      <c r="BJ997" s="59" t="n"/>
      <c r="BK997" s="59" t="n"/>
      <c r="BL997" s="59" t="n"/>
      <c r="BM997" s="59" t="n"/>
      <c r="BN997" s="59" t="n"/>
      <c r="BO997" s="59" t="n"/>
      <c r="BP997" s="59" t="n"/>
      <c r="BQ997" s="59" t="n"/>
      <c r="BR997" s="59" t="n"/>
      <c r="BS997" s="59" t="n"/>
      <c r="BT997" s="59" t="n"/>
      <c r="BU997" s="59" t="n"/>
      <c r="BV997" s="59" t="n"/>
      <c r="BW997" s="59" t="n"/>
      <c r="BX997" s="59" t="n"/>
      <c r="BY997" s="59" t="n"/>
      <c r="BZ997" s="59" t="n"/>
      <c r="CA997" s="59" t="n"/>
      <c r="CB997" s="59" t="n"/>
      <c r="CC997" s="59" t="n"/>
      <c r="CD997" s="59" t="n"/>
      <c r="CE997" s="59" t="n"/>
      <c r="CF997" s="59" t="n"/>
      <c r="CG997" s="59" t="n"/>
      <c r="CH997" s="59" t="n"/>
      <c r="CI997" s="59" t="n"/>
      <c r="CJ997" s="59" t="n"/>
      <c r="CK997" s="59" t="n"/>
      <c r="CL997" s="59" t="n"/>
      <c r="CM997" s="59" t="n"/>
      <c r="CN997" s="59" t="n"/>
    </row>
    <row r="998" ht="15" customFormat="1" customHeight="1" s="3">
      <c r="A998">
        <f>IF(C998="","",ROW()-2)</f>
        <v/>
      </c>
      <c r="B998" s="852" t="n"/>
      <c r="C998" s="852" t="n"/>
      <c r="D998">
        <f>IF(C998="TOH","Type 1",IF(C998="POH","Type 2",IF(OR(C998="LTO",C998="TOH-LC",C998="TOH - LC"),"Type 3",IF(C998="Flourish","Type 4","Type 1"))))</f>
        <v/>
      </c>
      <c r="E998" s="852" t="n"/>
      <c r="F998" s="852" t="n"/>
      <c r="G998" s="852" t="n"/>
      <c r="H998" s="888" t="n"/>
      <c r="I998" s="889" t="n"/>
      <c r="J998" s="888" t="n"/>
      <c r="K998">
        <f>SUM(H998:J998)</f>
        <v/>
      </c>
      <c r="L998" s="852" t="n"/>
      <c r="M998" s="852" t="n"/>
      <c r="N998" s="852" t="n"/>
      <c r="O998" s="852" t="n"/>
      <c r="P998" s="852" t="n"/>
      <c r="Q998" s="852" t="n"/>
      <c r="R998" s="852" t="n"/>
      <c r="S998" s="852" t="n"/>
      <c r="T998" s="852" t="n"/>
      <c r="U998" s="852" t="n"/>
      <c r="V998" s="852" t="n"/>
      <c r="W998" s="852" t="n"/>
      <c r="X998" s="852" t="n"/>
      <c r="Y998" s="852" t="n"/>
      <c r="Z998" s="852" t="n"/>
      <c r="AA998" s="852" t="n"/>
      <c r="AB998" s="59" t="n"/>
      <c r="AC998" s="59" t="n"/>
      <c r="AD998" s="59" t="n"/>
      <c r="AE998" s="59" t="n"/>
      <c r="AF998" s="59" t="n"/>
      <c r="AG998" s="59" t="n"/>
      <c r="AH998" s="59" t="n"/>
      <c r="AI998" s="59" t="n"/>
      <c r="AJ998" s="59" t="n"/>
      <c r="AK998" s="59" t="n"/>
      <c r="AL998" s="59" t="n"/>
      <c r="AM998" s="59" t="n"/>
      <c r="AN998" s="59" t="n"/>
      <c r="AO998" s="59" t="n"/>
      <c r="AP998" s="59" t="n"/>
      <c r="AQ998" s="59" t="n"/>
      <c r="AR998" s="59" t="n"/>
      <c r="AS998" s="59" t="n"/>
      <c r="AT998" s="59" t="n"/>
      <c r="AU998" s="59" t="n"/>
      <c r="AV998" s="59" t="n"/>
      <c r="AW998" s="59" t="n"/>
      <c r="AX998" s="59" t="n"/>
      <c r="AY998" s="59" t="n"/>
      <c r="AZ998" s="59" t="n"/>
      <c r="BA998" s="59" t="n"/>
      <c r="BB998" s="59" t="n"/>
      <c r="BC998" s="59" t="n"/>
      <c r="BD998" s="59" t="n"/>
      <c r="BE998" s="59" t="n"/>
      <c r="BF998" s="59" t="n"/>
      <c r="BG998" s="59" t="n"/>
      <c r="BH998" s="59" t="n"/>
      <c r="BI998" s="59" t="n"/>
      <c r="BJ998" s="59" t="n"/>
      <c r="BK998" s="59" t="n"/>
      <c r="BL998" s="59" t="n"/>
      <c r="BM998" s="59" t="n"/>
      <c r="BN998" s="59" t="n"/>
      <c r="BO998" s="59" t="n"/>
      <c r="BP998" s="59" t="n"/>
      <c r="BQ998" s="59" t="n"/>
      <c r="BR998" s="59" t="n"/>
      <c r="BS998" s="59" t="n"/>
      <c r="BT998" s="59" t="n"/>
      <c r="BU998" s="59" t="n"/>
      <c r="BV998" s="59" t="n"/>
      <c r="BW998" s="59" t="n"/>
      <c r="BX998" s="59" t="n"/>
      <c r="BY998" s="59" t="n"/>
      <c r="BZ998" s="59" t="n"/>
      <c r="CA998" s="59" t="n"/>
      <c r="CB998" s="59" t="n"/>
      <c r="CC998" s="59" t="n"/>
      <c r="CD998" s="59" t="n"/>
      <c r="CE998" s="59" t="n"/>
      <c r="CF998" s="59" t="n"/>
      <c r="CG998" s="59" t="n"/>
      <c r="CH998" s="59" t="n"/>
      <c r="CI998" s="59" t="n"/>
      <c r="CJ998" s="59" t="n"/>
      <c r="CK998" s="59" t="n"/>
      <c r="CL998" s="59" t="n"/>
      <c r="CM998" s="59" t="n"/>
      <c r="CN998" s="59" t="n"/>
    </row>
    <row r="999" ht="15" customFormat="1" customHeight="1" s="3">
      <c r="A999">
        <f>IF(C999="","",ROW()-2)</f>
        <v/>
      </c>
      <c r="B999" s="852" t="n"/>
      <c r="C999" s="852" t="n"/>
      <c r="D999">
        <f>IF(C999="TOH","Type 1",IF(C999="POH","Type 2",IF(OR(C999="LTO",C999="TOH-LC",C999="TOH - LC"),"Type 3",IF(C999="Flourish","Type 4","Type 1"))))</f>
        <v/>
      </c>
      <c r="E999" s="852" t="n"/>
      <c r="F999" s="852" t="n"/>
      <c r="G999" s="852" t="n"/>
      <c r="H999" s="888" t="n"/>
      <c r="I999" s="889" t="n"/>
      <c r="J999" s="888" t="n"/>
      <c r="K999">
        <f>SUM(H999:J999)</f>
        <v/>
      </c>
      <c r="L999" s="852" t="n"/>
      <c r="M999" s="852" t="n"/>
      <c r="N999" s="852" t="n"/>
      <c r="O999" s="852" t="n"/>
      <c r="P999" s="852" t="n"/>
      <c r="Q999" s="852" t="n"/>
      <c r="R999" s="852" t="n"/>
      <c r="S999" s="852" t="n"/>
      <c r="T999" s="852" t="n"/>
      <c r="U999" s="852" t="n"/>
      <c r="V999" s="852" t="n"/>
      <c r="W999" s="852" t="n"/>
      <c r="X999" s="852" t="n"/>
      <c r="Y999" s="852" t="n"/>
      <c r="Z999" s="852" t="n"/>
      <c r="AA999" s="852" t="n"/>
      <c r="AB999" s="59" t="n"/>
      <c r="AC999" s="59" t="n"/>
      <c r="AD999" s="59" t="n"/>
      <c r="AE999" s="59" t="n"/>
      <c r="AF999" s="59" t="n"/>
      <c r="AG999" s="59" t="n"/>
      <c r="AH999" s="59" t="n"/>
      <c r="AI999" s="59" t="n"/>
      <c r="AJ999" s="59" t="n"/>
      <c r="AK999" s="59" t="n"/>
      <c r="AL999" s="59" t="n"/>
      <c r="AM999" s="59" t="n"/>
      <c r="AN999" s="59" t="n"/>
      <c r="AO999" s="59" t="n"/>
      <c r="AP999" s="59" t="n"/>
      <c r="AQ999" s="59" t="n"/>
      <c r="AR999" s="59" t="n"/>
      <c r="AS999" s="59" t="n"/>
      <c r="AT999" s="59" t="n"/>
      <c r="AU999" s="59" t="n"/>
      <c r="AV999" s="59" t="n"/>
      <c r="AW999" s="59" t="n"/>
      <c r="AX999" s="59" t="n"/>
      <c r="AY999" s="59" t="n"/>
      <c r="AZ999" s="59" t="n"/>
      <c r="BA999" s="59" t="n"/>
      <c r="BB999" s="59" t="n"/>
      <c r="BC999" s="59" t="n"/>
      <c r="BD999" s="59" t="n"/>
      <c r="BE999" s="59" t="n"/>
      <c r="BF999" s="59" t="n"/>
      <c r="BG999" s="59" t="n"/>
      <c r="BH999" s="59" t="n"/>
      <c r="BI999" s="59" t="n"/>
      <c r="BJ999" s="59" t="n"/>
      <c r="BK999" s="59" t="n"/>
      <c r="BL999" s="59" t="n"/>
      <c r="BM999" s="59" t="n"/>
      <c r="BN999" s="59" t="n"/>
      <c r="BO999" s="59" t="n"/>
      <c r="BP999" s="59" t="n"/>
      <c r="BQ999" s="59" t="n"/>
      <c r="BR999" s="59" t="n"/>
      <c r="BS999" s="59" t="n"/>
      <c r="BT999" s="59" t="n"/>
      <c r="BU999" s="59" t="n"/>
      <c r="BV999" s="59" t="n"/>
      <c r="BW999" s="59" t="n"/>
      <c r="BX999" s="59" t="n"/>
      <c r="BY999" s="59" t="n"/>
      <c r="BZ999" s="59" t="n"/>
      <c r="CA999" s="59" t="n"/>
      <c r="CB999" s="59" t="n"/>
      <c r="CC999" s="59" t="n"/>
      <c r="CD999" s="59" t="n"/>
      <c r="CE999" s="59" t="n"/>
      <c r="CF999" s="59" t="n"/>
      <c r="CG999" s="59" t="n"/>
      <c r="CH999" s="59" t="n"/>
      <c r="CI999" s="59" t="n"/>
      <c r="CJ999" s="59" t="n"/>
      <c r="CK999" s="59" t="n"/>
      <c r="CL999" s="59" t="n"/>
      <c r="CM999" s="59" t="n"/>
      <c r="CN999" s="59" t="n"/>
    </row>
    <row r="1000" ht="15" customFormat="1" customHeight="1" s="3">
      <c r="A1000">
        <f>IF(C1000="","",ROW()-2)</f>
        <v/>
      </c>
      <c r="B1000" s="852" t="n"/>
      <c r="C1000" s="852" t="n"/>
      <c r="D1000">
        <f>IF(C1000="TOH","Type 1",IF(C1000="POH","Type 2",IF(OR(C1000="LTO",C1000="TOH-LC",C1000="TOH - LC"),"Type 3",IF(C1000="Flourish","Type 4","Type 1"))))</f>
        <v/>
      </c>
      <c r="E1000" s="852" t="n"/>
      <c r="F1000" s="852" t="n"/>
      <c r="G1000" s="852" t="n"/>
      <c r="H1000" s="888" t="n"/>
      <c r="I1000" s="889" t="n"/>
      <c r="J1000" s="888" t="n"/>
      <c r="K1000">
        <f>SUM(H1000:J1000)</f>
        <v/>
      </c>
      <c r="L1000" s="852" t="n"/>
      <c r="M1000" s="852" t="n"/>
      <c r="N1000" s="852" t="n"/>
      <c r="O1000" s="852" t="n"/>
      <c r="P1000" s="852" t="n"/>
      <c r="Q1000" s="852" t="n"/>
      <c r="R1000" s="852" t="n"/>
      <c r="S1000" s="852" t="n"/>
      <c r="T1000" s="852" t="n"/>
      <c r="U1000" s="852" t="n"/>
      <c r="V1000" s="852" t="n"/>
      <c r="W1000" s="852" t="n"/>
      <c r="X1000" s="852" t="n"/>
      <c r="Y1000" s="852" t="n"/>
      <c r="Z1000" s="852" t="n"/>
      <c r="AA1000" s="852" t="n"/>
      <c r="AB1000" s="59" t="n"/>
      <c r="AC1000" s="59" t="n"/>
      <c r="AD1000" s="59" t="n"/>
      <c r="AE1000" s="59" t="n"/>
      <c r="AF1000" s="59" t="n"/>
      <c r="AG1000" s="59" t="n"/>
      <c r="AH1000" s="59" t="n"/>
      <c r="AI1000" s="59" t="n"/>
      <c r="AJ1000" s="59" t="n"/>
      <c r="AK1000" s="59" t="n"/>
      <c r="AL1000" s="59" t="n"/>
      <c r="AM1000" s="59" t="n"/>
      <c r="AN1000" s="59" t="n"/>
      <c r="AO1000" s="59" t="n"/>
      <c r="AP1000" s="59" t="n"/>
      <c r="AQ1000" s="59" t="n"/>
      <c r="AR1000" s="59" t="n"/>
      <c r="AS1000" s="59" t="n"/>
      <c r="AT1000" s="59" t="n"/>
      <c r="AU1000" s="59" t="n"/>
      <c r="AV1000" s="59" t="n"/>
      <c r="AW1000" s="59" t="n"/>
      <c r="AX1000" s="59" t="n"/>
      <c r="AY1000" s="59" t="n"/>
      <c r="AZ1000" s="59" t="n"/>
      <c r="BA1000" s="59" t="n"/>
      <c r="BB1000" s="59" t="n"/>
      <c r="BC1000" s="59" t="n"/>
      <c r="BD1000" s="59" t="n"/>
      <c r="BE1000" s="59" t="n"/>
      <c r="BF1000" s="59" t="n"/>
      <c r="BG1000" s="59" t="n"/>
      <c r="BH1000" s="59" t="n"/>
      <c r="BI1000" s="59" t="n"/>
      <c r="BJ1000" s="59" t="n"/>
      <c r="BK1000" s="59" t="n"/>
      <c r="BL1000" s="59" t="n"/>
      <c r="BM1000" s="59" t="n"/>
      <c r="BN1000" s="59" t="n"/>
      <c r="BO1000" s="59" t="n"/>
      <c r="BP1000" s="59" t="n"/>
      <c r="BQ1000" s="59" t="n"/>
      <c r="BR1000" s="59" t="n"/>
      <c r="BS1000" s="59" t="n"/>
      <c r="BT1000" s="59" t="n"/>
      <c r="BU1000" s="59" t="n"/>
      <c r="BV1000" s="59" t="n"/>
      <c r="BW1000" s="59" t="n"/>
      <c r="BX1000" s="59" t="n"/>
      <c r="BY1000" s="59" t="n"/>
      <c r="BZ1000" s="59" t="n"/>
      <c r="CA1000" s="59" t="n"/>
      <c r="CB1000" s="59" t="n"/>
      <c r="CC1000" s="59" t="n"/>
      <c r="CD1000" s="59" t="n"/>
      <c r="CE1000" s="59" t="n"/>
      <c r="CF1000" s="59" t="n"/>
      <c r="CG1000" s="59" t="n"/>
      <c r="CH1000" s="59" t="n"/>
      <c r="CI1000" s="59" t="n"/>
      <c r="CJ1000" s="59" t="n"/>
      <c r="CK1000" s="59" t="n"/>
      <c r="CL1000" s="59" t="n"/>
      <c r="CM1000" s="59" t="n"/>
      <c r="CN1000" s="59" t="n"/>
    </row>
    <row r="1001" ht="15" customFormat="1" customHeight="1" s="3">
      <c r="A1001">
        <f>IF(C1001="","",ROW()-2)</f>
        <v/>
      </c>
      <c r="B1001" s="852" t="n"/>
      <c r="C1001" s="852" t="n"/>
      <c r="D1001">
        <f>IF(C1001="TOH","Type 1",IF(C1001="POH","Type 2",IF(OR(C1001="LTO",C1001="TOH-LC",C1001="TOH - LC"),"Type 3",IF(C1001="Flourish","Type 4","Type 1"))))</f>
        <v/>
      </c>
      <c r="E1001" s="852" t="n"/>
      <c r="F1001" s="852" t="n"/>
      <c r="G1001" s="852" t="n"/>
      <c r="H1001" s="888" t="n"/>
      <c r="I1001" s="889" t="n"/>
      <c r="J1001" s="888" t="n"/>
      <c r="K1001">
        <f>SUM(H1001:J1001)</f>
        <v/>
      </c>
      <c r="L1001" s="852" t="n"/>
      <c r="M1001" s="852" t="n"/>
      <c r="N1001" s="852" t="n"/>
      <c r="O1001" s="852" t="n"/>
      <c r="P1001" s="852" t="n"/>
      <c r="Q1001" s="852" t="n"/>
      <c r="R1001" s="852" t="n"/>
      <c r="S1001" s="852" t="n"/>
      <c r="T1001" s="852" t="n"/>
      <c r="U1001" s="852" t="n"/>
      <c r="V1001" s="852" t="n"/>
      <c r="W1001" s="852" t="n"/>
      <c r="X1001" s="852" t="n"/>
      <c r="Y1001" s="852" t="n"/>
      <c r="Z1001" s="852" t="n"/>
      <c r="AA1001" s="852" t="n"/>
      <c r="AB1001" s="59" t="n"/>
      <c r="AC1001" s="59" t="n"/>
      <c r="AD1001" s="59" t="n"/>
      <c r="AE1001" s="59" t="n"/>
      <c r="AF1001" s="59" t="n"/>
      <c r="AG1001" s="59" t="n"/>
      <c r="AH1001" s="59" t="n"/>
      <c r="AI1001" s="59" t="n"/>
      <c r="AJ1001" s="59" t="n"/>
      <c r="AK1001" s="59" t="n"/>
      <c r="AL1001" s="59" t="n"/>
      <c r="AM1001" s="59" t="n"/>
      <c r="AN1001" s="59" t="n"/>
      <c r="AO1001" s="59" t="n"/>
      <c r="AP1001" s="59" t="n"/>
      <c r="AQ1001" s="59" t="n"/>
      <c r="AR1001" s="59" t="n"/>
      <c r="AS1001" s="59" t="n"/>
      <c r="AT1001" s="59" t="n"/>
      <c r="AU1001" s="59" t="n"/>
      <c r="AV1001" s="59" t="n"/>
      <c r="AW1001" s="59" t="n"/>
      <c r="AX1001" s="59" t="n"/>
      <c r="AY1001" s="59" t="n"/>
      <c r="AZ1001" s="59" t="n"/>
      <c r="BA1001" s="59" t="n"/>
      <c r="BB1001" s="59" t="n"/>
      <c r="BC1001" s="59" t="n"/>
      <c r="BD1001" s="59" t="n"/>
      <c r="BE1001" s="59" t="n"/>
      <c r="BF1001" s="59" t="n"/>
      <c r="BG1001" s="59" t="n"/>
      <c r="BH1001" s="59" t="n"/>
      <c r="BI1001" s="59" t="n"/>
      <c r="BJ1001" s="59" t="n"/>
      <c r="BK1001" s="59" t="n"/>
      <c r="BL1001" s="59" t="n"/>
      <c r="BM1001" s="59" t="n"/>
      <c r="BN1001" s="59" t="n"/>
      <c r="BO1001" s="59" t="n"/>
      <c r="BP1001" s="59" t="n"/>
      <c r="BQ1001" s="59" t="n"/>
      <c r="BR1001" s="59" t="n"/>
      <c r="BS1001" s="59" t="n"/>
      <c r="BT1001" s="59" t="n"/>
      <c r="BU1001" s="59" t="n"/>
      <c r="BV1001" s="59" t="n"/>
      <c r="BW1001" s="59" t="n"/>
      <c r="BX1001" s="59" t="n"/>
      <c r="BY1001" s="59" t="n"/>
      <c r="BZ1001" s="59" t="n"/>
      <c r="CA1001" s="59" t="n"/>
      <c r="CB1001" s="59" t="n"/>
      <c r="CC1001" s="59" t="n"/>
      <c r="CD1001" s="59" t="n"/>
      <c r="CE1001" s="59" t="n"/>
      <c r="CF1001" s="59" t="n"/>
      <c r="CG1001" s="59" t="n"/>
      <c r="CH1001" s="59" t="n"/>
      <c r="CI1001" s="59" t="n"/>
      <c r="CJ1001" s="59" t="n"/>
      <c r="CK1001" s="59" t="n"/>
      <c r="CL1001" s="59" t="n"/>
      <c r="CM1001" s="59" t="n"/>
      <c r="CN1001" s="59" t="n"/>
    </row>
    <row r="1002" ht="15" customFormat="1" customHeight="1" s="3">
      <c r="A1002">
        <f>IF(C1002="","",ROW()-2)</f>
        <v/>
      </c>
      <c r="B1002" s="852" t="n"/>
      <c r="C1002" s="852" t="n"/>
      <c r="D1002">
        <f>IF(C1002="TOH","Type 1",IF(C1002="POH","Type 2",IF(OR(C1002="LTO",C1002="TOH-LC",C1002="TOH - LC"),"Type 3",IF(C1002="Flourish","Type 4","Type 1"))))</f>
        <v/>
      </c>
      <c r="E1002" s="852" t="n"/>
      <c r="F1002" s="852" t="n"/>
      <c r="G1002" s="852" t="n"/>
      <c r="H1002" s="888" t="n"/>
      <c r="I1002" s="889" t="n"/>
      <c r="J1002" s="888" t="n"/>
      <c r="K1002">
        <f>SUM(H1002:J1002)</f>
        <v/>
      </c>
      <c r="L1002" s="852" t="n"/>
      <c r="M1002" s="852" t="n"/>
      <c r="N1002" s="852" t="n"/>
      <c r="O1002" s="852" t="n"/>
      <c r="P1002" s="852" t="n"/>
      <c r="Q1002" s="852" t="n"/>
      <c r="R1002" s="852" t="n"/>
      <c r="S1002" s="852" t="n"/>
      <c r="T1002" s="852" t="n"/>
      <c r="U1002" s="852" t="n"/>
      <c r="V1002" s="852" t="n"/>
      <c r="W1002" s="852" t="n"/>
      <c r="X1002" s="852" t="n"/>
      <c r="Y1002" s="852" t="n"/>
      <c r="Z1002" s="852" t="n"/>
      <c r="AA1002" s="852" t="n"/>
      <c r="AB1002" s="59" t="n"/>
      <c r="AC1002" s="59" t="n"/>
      <c r="AD1002" s="59" t="n"/>
      <c r="AE1002" s="59" t="n"/>
      <c r="AF1002" s="59" t="n"/>
      <c r="AG1002" s="59" t="n"/>
      <c r="AH1002" s="59" t="n"/>
      <c r="AI1002" s="59" t="n"/>
      <c r="AJ1002" s="59" t="n"/>
      <c r="AK1002" s="59" t="n"/>
      <c r="AL1002" s="59" t="n"/>
      <c r="AM1002" s="59" t="n"/>
      <c r="AN1002" s="59" t="n"/>
      <c r="AO1002" s="59" t="n"/>
      <c r="AP1002" s="59" t="n"/>
      <c r="AQ1002" s="59" t="n"/>
      <c r="AR1002" s="59" t="n"/>
      <c r="AS1002" s="59" t="n"/>
      <c r="AT1002" s="59" t="n"/>
      <c r="AU1002" s="59" t="n"/>
      <c r="AV1002" s="59" t="n"/>
      <c r="AW1002" s="59" t="n"/>
      <c r="AX1002" s="59" t="n"/>
      <c r="AY1002" s="59" t="n"/>
      <c r="AZ1002" s="59" t="n"/>
      <c r="BA1002" s="59" t="n"/>
      <c r="BB1002" s="59" t="n"/>
      <c r="BC1002" s="59" t="n"/>
      <c r="BD1002" s="59" t="n"/>
      <c r="BE1002" s="59" t="n"/>
      <c r="BF1002" s="59" t="n"/>
      <c r="BG1002" s="59" t="n"/>
      <c r="BH1002" s="59" t="n"/>
      <c r="BI1002" s="59" t="n"/>
      <c r="BJ1002" s="59" t="n"/>
      <c r="BK1002" s="59" t="n"/>
      <c r="BL1002" s="59" t="n"/>
      <c r="BM1002" s="59" t="n"/>
      <c r="BN1002" s="59" t="n"/>
      <c r="BO1002" s="59" t="n"/>
      <c r="BP1002" s="59" t="n"/>
      <c r="BQ1002" s="59" t="n"/>
      <c r="BR1002" s="59" t="n"/>
      <c r="BS1002" s="59" t="n"/>
      <c r="BT1002" s="59" t="n"/>
      <c r="BU1002" s="59" t="n"/>
      <c r="BV1002" s="59" t="n"/>
      <c r="BW1002" s="59" t="n"/>
      <c r="BX1002" s="59" t="n"/>
      <c r="BY1002" s="59" t="n"/>
      <c r="BZ1002" s="59" t="n"/>
      <c r="CA1002" s="59" t="n"/>
      <c r="CB1002" s="59" t="n"/>
      <c r="CC1002" s="59" t="n"/>
      <c r="CD1002" s="59" t="n"/>
      <c r="CE1002" s="59" t="n"/>
      <c r="CF1002" s="59" t="n"/>
      <c r="CG1002" s="59" t="n"/>
      <c r="CH1002" s="59" t="n"/>
      <c r="CI1002" s="59" t="n"/>
      <c r="CJ1002" s="59" t="n"/>
      <c r="CK1002" s="59" t="n"/>
      <c r="CL1002" s="59" t="n"/>
      <c r="CM1002" s="59" t="n"/>
      <c r="CN1002" s="59" t="n"/>
    </row>
    <row r="1003" ht="15" customFormat="1" customHeight="1" s="3">
      <c r="A1003" s="885" t="n"/>
      <c r="B1003" s="885" t="n"/>
      <c r="C1003" s="885" t="n"/>
      <c r="D1003" s="885" t="n"/>
      <c r="E1003" s="885" t="n"/>
      <c r="F1003" s="885" t="n"/>
      <c r="G1003" s="885" t="n"/>
      <c r="H1003" s="885" t="n"/>
      <c r="I1003" s="892" t="n"/>
      <c r="J1003" s="885" t="n"/>
      <c r="K1003" s="885" t="n"/>
      <c r="L1003" s="885" t="n"/>
      <c r="M1003" s="885" t="n"/>
      <c r="N1003" s="885" t="n"/>
      <c r="O1003" s="885" t="n"/>
      <c r="P1003" s="885" t="n"/>
      <c r="Q1003" s="885" t="n"/>
      <c r="R1003" s="885" t="n"/>
      <c r="S1003" s="885" t="n"/>
      <c r="T1003" s="885" t="n"/>
      <c r="U1003" s="885" t="n"/>
      <c r="V1003" s="885" t="n"/>
      <c r="W1003" s="885" t="n"/>
      <c r="X1003" s="885" t="n"/>
      <c r="Y1003" s="885" t="n"/>
      <c r="Z1003" s="885" t="n"/>
      <c r="AA1003" s="885" t="n"/>
      <c r="AB1003" s="885" t="n"/>
      <c r="AC1003" s="885" t="n"/>
      <c r="AD1003" s="885" t="n"/>
      <c r="AE1003" s="885" t="n"/>
      <c r="AF1003" s="885" t="n"/>
      <c r="AG1003" s="885" t="n"/>
      <c r="AH1003" s="885" t="n"/>
      <c r="AI1003" s="885" t="n"/>
      <c r="AJ1003" s="885" t="n"/>
      <c r="AK1003" s="885" t="n"/>
      <c r="AL1003" s="885" t="n"/>
      <c r="AM1003" s="885" t="n"/>
      <c r="AN1003" s="885" t="n"/>
      <c r="AO1003" s="885" t="n"/>
      <c r="AP1003" s="885" t="n"/>
      <c r="AQ1003" s="885" t="n"/>
      <c r="AR1003" s="885" t="n"/>
      <c r="AS1003" s="885" t="n"/>
      <c r="AT1003" s="885" t="n"/>
      <c r="AU1003" s="885" t="n"/>
      <c r="AV1003" s="885" t="n"/>
      <c r="AW1003" s="885" t="n"/>
      <c r="AX1003" s="885" t="n"/>
      <c r="AY1003" s="885" t="n"/>
      <c r="AZ1003" s="885" t="n"/>
      <c r="BA1003" s="885" t="n"/>
      <c r="BB1003" s="885" t="n"/>
      <c r="BC1003" s="885" t="n"/>
      <c r="BD1003" s="885" t="n"/>
      <c r="BE1003" s="885" t="n"/>
      <c r="BF1003" s="885" t="n"/>
      <c r="BG1003" s="885" t="n"/>
      <c r="BH1003" s="885" t="n"/>
      <c r="BI1003" s="885" t="n"/>
      <c r="BJ1003" s="885" t="n"/>
      <c r="BK1003" s="885" t="n"/>
      <c r="BL1003" s="885" t="n"/>
      <c r="BM1003" s="885" t="n"/>
      <c r="BN1003" s="885" t="n"/>
      <c r="BO1003" s="885" t="n"/>
      <c r="BP1003" s="885" t="n"/>
      <c r="BQ1003" s="885" t="n"/>
      <c r="BR1003" s="885" t="n"/>
      <c r="BS1003" s="885" t="n"/>
      <c r="BT1003" s="885" t="n"/>
      <c r="BU1003" s="885" t="n"/>
      <c r="BV1003" s="885" t="n"/>
      <c r="BW1003" s="885" t="n"/>
      <c r="BX1003" s="885" t="n"/>
      <c r="BY1003" s="885" t="n"/>
      <c r="BZ1003" s="885" t="n"/>
      <c r="CA1003" s="885" t="n"/>
      <c r="CB1003" s="885" t="n"/>
      <c r="CC1003" s="885" t="n"/>
      <c r="CD1003" s="885" t="n"/>
      <c r="CE1003" s="885" t="n"/>
      <c r="CF1003" s="885" t="n"/>
      <c r="CG1003" s="885" t="n"/>
      <c r="CH1003" s="885" t="n"/>
      <c r="CI1003" s="885" t="n"/>
      <c r="CJ1003" s="885" t="n"/>
      <c r="CK1003" s="885" t="n"/>
      <c r="CL1003" s="885" t="n"/>
      <c r="CM1003" s="885" t="n"/>
      <c r="CN1003" s="885" t="n"/>
      <c r="CO1003" s="885" t="n"/>
      <c r="CP1003" s="885" t="n"/>
      <c r="CQ1003" s="885" t="n"/>
      <c r="CR1003" s="885" t="n"/>
      <c r="CS1003" s="885" t="n"/>
      <c r="CT1003" s="885" t="n"/>
      <c r="CU1003" s="885" t="n"/>
      <c r="CV1003" s="885" t="n"/>
      <c r="CW1003" s="885" t="n"/>
      <c r="CX1003" s="885" t="n"/>
      <c r="CY1003" s="885" t="n"/>
      <c r="CZ1003" s="885" t="n"/>
      <c r="DA1003" s="885" t="n"/>
      <c r="DB1003" s="885" t="n"/>
      <c r="DC1003" s="885" t="n"/>
      <c r="DD1003" s="885" t="n"/>
      <c r="DE1003" s="885" t="n"/>
      <c r="DF1003" s="885" t="n"/>
      <c r="DG1003" s="885" t="n"/>
      <c r="DH1003" s="885" t="n"/>
      <c r="DI1003" s="885" t="n"/>
      <c r="DJ1003" s="885" t="n"/>
      <c r="DK1003" s="885" t="n"/>
      <c r="DL1003" s="885" t="n"/>
      <c r="DM1003" s="885" t="n"/>
      <c r="DN1003" s="885" t="n"/>
      <c r="DO1003" s="885" t="n"/>
      <c r="DP1003" s="885" t="n"/>
      <c r="DQ1003" s="885" t="n"/>
      <c r="DR1003" s="885" t="n"/>
      <c r="DS1003" s="885" t="n"/>
      <c r="DT1003" s="885" t="n"/>
      <c r="DU1003" s="885" t="n"/>
      <c r="DV1003" s="885" t="n"/>
      <c r="DW1003" s="885" t="n"/>
      <c r="DX1003" s="885" t="n"/>
    </row>
    <row r="1004" ht="15" customFormat="1" customHeight="1" s="3">
      <c r="A1004">
        <f>A1003+1</f>
        <v/>
      </c>
      <c r="B1004" s="852" t="n"/>
      <c r="C1004" s="852" t="n"/>
      <c r="D1004" s="852" t="n"/>
      <c r="E1004" s="852" t="n"/>
      <c r="F1004" s="852" t="n"/>
      <c r="G1004" s="852" t="n"/>
      <c r="H1004" s="852" t="n"/>
      <c r="I1004" s="853" t="n"/>
      <c r="J1004" s="852" t="n"/>
      <c r="K1004">
        <f>I1004+J1004</f>
        <v/>
      </c>
      <c r="L1004" s="852" t="n"/>
      <c r="M1004" s="852" t="n"/>
      <c r="N1004" s="852" t="n"/>
      <c r="O1004" s="852" t="n"/>
      <c r="P1004" s="852" t="n"/>
      <c r="Q1004" s="852" t="n"/>
      <c r="R1004" s="852" t="n"/>
      <c r="S1004" s="852" t="n"/>
      <c r="T1004" s="852" t="n"/>
      <c r="U1004" s="852" t="n"/>
      <c r="V1004" s="852" t="n"/>
      <c r="W1004" s="852" t="n"/>
      <c r="X1004" s="852" t="n"/>
      <c r="Y1004" s="852" t="n"/>
      <c r="Z1004" s="852" t="n"/>
      <c r="AA1004" s="852" t="n"/>
      <c r="AB1004" s="852" t="n"/>
      <c r="AC1004" s="852" t="n"/>
      <c r="AD1004" s="852" t="n"/>
      <c r="AE1004" s="852" t="n"/>
      <c r="AF1004" s="852" t="n"/>
      <c r="AG1004" s="852" t="n"/>
      <c r="AH1004" s="852" t="n"/>
      <c r="AI1004" s="852" t="n"/>
      <c r="AJ1004" s="852" t="n"/>
      <c r="AK1004" s="852" t="n"/>
      <c r="AL1004" s="852" t="n"/>
      <c r="AM1004" s="852" t="n"/>
      <c r="AN1004" s="852" t="n"/>
      <c r="AO1004" s="852" t="n"/>
      <c r="AP1004" s="852" t="n"/>
      <c r="AQ1004" s="852" t="n"/>
      <c r="AR1004" s="852" t="n"/>
      <c r="AS1004" s="852" t="n"/>
      <c r="AT1004" s="852" t="n"/>
      <c r="AU1004" s="852" t="n"/>
      <c r="AV1004" s="852" t="n"/>
      <c r="AW1004" s="852" t="n"/>
      <c r="AX1004" s="852" t="n"/>
      <c r="AY1004" s="852" t="n"/>
      <c r="AZ1004" s="852" t="n"/>
      <c r="BA1004" s="852" t="n"/>
      <c r="BB1004" s="852" t="n"/>
      <c r="BC1004" s="852" t="n"/>
      <c r="BD1004" s="852" t="n"/>
      <c r="BE1004" s="852" t="n"/>
      <c r="BF1004" s="852" t="n"/>
      <c r="BG1004" s="852" t="n"/>
      <c r="BH1004" s="852" t="n"/>
      <c r="BI1004" s="852" t="n"/>
      <c r="BJ1004" s="852" t="n"/>
      <c r="BK1004" s="852" t="n"/>
      <c r="BL1004" s="852" t="n"/>
      <c r="BM1004" s="852" t="n"/>
      <c r="BN1004" s="852" t="n"/>
      <c r="BO1004" s="852" t="n"/>
      <c r="BP1004" s="852" t="n"/>
      <c r="BQ1004" s="852" t="n"/>
      <c r="BR1004" s="852" t="n"/>
      <c r="BS1004" s="852" t="n"/>
      <c r="BT1004" s="852" t="n"/>
      <c r="BU1004" s="852" t="n"/>
      <c r="BV1004" s="852" t="n"/>
      <c r="BW1004" s="852" t="n"/>
      <c r="BX1004" s="852" t="n"/>
      <c r="BY1004" s="852" t="n"/>
      <c r="BZ1004" s="852" t="n"/>
      <c r="CA1004" s="852" t="n"/>
      <c r="CB1004" s="852" t="n"/>
      <c r="CC1004" s="852" t="n"/>
      <c r="CD1004" s="852" t="n"/>
      <c r="CE1004" s="852" t="n"/>
      <c r="CF1004" s="852" t="n"/>
      <c r="CG1004" s="852" t="n"/>
      <c r="CH1004" s="852" t="n"/>
      <c r="CI1004" s="852" t="n"/>
      <c r="CJ1004" s="852" t="n"/>
      <c r="CK1004" s="852" t="n"/>
      <c r="CL1004" s="852" t="n"/>
      <c r="CM1004" s="852" t="n"/>
      <c r="CN1004" s="852" t="n"/>
      <c r="CO1004" s="852" t="n"/>
      <c r="CP1004" s="852" t="n"/>
      <c r="CQ1004" s="852" t="n"/>
      <c r="CR1004" s="852" t="n"/>
      <c r="CS1004" s="852" t="n"/>
      <c r="CT1004" s="852" t="n"/>
      <c r="CU1004" s="852" t="n"/>
      <c r="CV1004" s="852" t="n"/>
      <c r="CW1004" s="852" t="n"/>
      <c r="CX1004" s="852" t="n"/>
      <c r="CY1004" s="852" t="n"/>
      <c r="CZ1004" s="852" t="n"/>
      <c r="DA1004" s="852" t="n"/>
      <c r="DB1004" s="852" t="n"/>
      <c r="DC1004" s="852" t="n"/>
      <c r="DD1004" s="852" t="n"/>
      <c r="DE1004" s="852" t="n"/>
      <c r="DF1004" s="852" t="n"/>
      <c r="DG1004" s="852" t="n"/>
      <c r="DH1004" s="852" t="n"/>
      <c r="DI1004" s="852" t="n"/>
      <c r="DJ1004" s="852" t="n"/>
      <c r="DK1004" s="852" t="n"/>
      <c r="DL1004" s="852" t="n"/>
      <c r="DM1004" s="852" t="n"/>
      <c r="DN1004" s="852" t="n"/>
      <c r="DO1004" s="852" t="n"/>
      <c r="DP1004" s="852" t="n"/>
      <c r="DQ1004" s="852" t="n"/>
      <c r="DR1004" s="852" t="n"/>
      <c r="DS1004" s="852" t="n"/>
      <c r="DT1004" s="852" t="n"/>
      <c r="DU1004" s="852" t="n"/>
      <c r="DV1004" s="852" t="n"/>
      <c r="DW1004" s="852" t="n"/>
      <c r="DX1004" s="852" t="n"/>
    </row>
    <row r="1005" ht="15" customFormat="1" customHeight="1" s="3">
      <c r="A1005">
        <f>A1004+1</f>
        <v/>
      </c>
      <c r="B1005" s="852" t="n"/>
      <c r="C1005" s="852" t="n"/>
      <c r="D1005" s="852" t="n"/>
      <c r="E1005" s="852" t="n"/>
      <c r="F1005" s="852" t="n"/>
      <c r="G1005" s="852" t="n"/>
      <c r="H1005" s="852" t="n"/>
      <c r="I1005" s="853" t="n"/>
      <c r="J1005" s="852" t="n"/>
      <c r="K1005">
        <f>I1005+J1005</f>
        <v/>
      </c>
      <c r="L1005" s="852" t="n"/>
      <c r="M1005" s="852" t="n"/>
      <c r="N1005" s="852" t="n"/>
      <c r="O1005" s="852" t="n"/>
      <c r="P1005" s="852" t="n"/>
      <c r="Q1005" s="852" t="n"/>
      <c r="R1005" s="852" t="n"/>
      <c r="S1005" s="852" t="n"/>
      <c r="T1005" s="852" t="n"/>
      <c r="U1005" s="852" t="n"/>
      <c r="V1005" s="852" t="n"/>
      <c r="W1005" s="852" t="n"/>
      <c r="X1005" s="852" t="n"/>
      <c r="Y1005" s="852" t="n"/>
      <c r="Z1005" s="852" t="n"/>
      <c r="AA1005" s="852" t="n"/>
      <c r="AB1005" s="852" t="n"/>
      <c r="AC1005" s="852" t="n"/>
      <c r="AD1005" s="852" t="n"/>
      <c r="AE1005" s="852" t="n"/>
      <c r="AF1005" s="852" t="n"/>
      <c r="AG1005" s="852" t="n"/>
      <c r="AH1005" s="852" t="n"/>
      <c r="AI1005" s="852" t="n"/>
      <c r="AJ1005" s="852" t="n"/>
      <c r="AK1005" s="852" t="n"/>
      <c r="AL1005" s="852" t="n"/>
      <c r="AM1005" s="852" t="n"/>
      <c r="AN1005" s="852" t="n"/>
      <c r="AO1005" s="852" t="n"/>
      <c r="AP1005" s="852" t="n"/>
      <c r="AQ1005" s="852" t="n"/>
      <c r="AR1005" s="852" t="n"/>
      <c r="AS1005" s="852" t="n"/>
      <c r="AT1005" s="852" t="n"/>
      <c r="AU1005" s="852" t="n"/>
      <c r="AV1005" s="852" t="n"/>
      <c r="AW1005" s="852" t="n"/>
      <c r="AX1005" s="852" t="n"/>
      <c r="AY1005" s="852" t="n"/>
      <c r="AZ1005" s="852" t="n"/>
      <c r="BA1005" s="852" t="n"/>
      <c r="BB1005" s="852" t="n"/>
      <c r="BC1005" s="852" t="n"/>
      <c r="BD1005" s="852" t="n"/>
      <c r="BE1005" s="852" t="n"/>
      <c r="BF1005" s="852" t="n"/>
      <c r="BG1005" s="852" t="n"/>
      <c r="BH1005" s="852" t="n"/>
      <c r="BI1005" s="852" t="n"/>
      <c r="BJ1005" s="852" t="n"/>
      <c r="BK1005" s="852" t="n"/>
      <c r="BL1005" s="852" t="n"/>
      <c r="BM1005" s="852" t="n"/>
      <c r="BN1005" s="852" t="n"/>
      <c r="BO1005" s="852" t="n"/>
      <c r="BP1005" s="852" t="n"/>
      <c r="BQ1005" s="852" t="n"/>
      <c r="BR1005" s="852" t="n"/>
      <c r="BS1005" s="852" t="n"/>
      <c r="BT1005" s="852" t="n"/>
      <c r="BU1005" s="852" t="n"/>
      <c r="BV1005" s="852" t="n"/>
      <c r="BW1005" s="852" t="n"/>
      <c r="BX1005" s="852" t="n"/>
      <c r="BY1005" s="852" t="n"/>
      <c r="BZ1005" s="852" t="n"/>
      <c r="CA1005" s="852" t="n"/>
      <c r="CB1005" s="852" t="n"/>
      <c r="CC1005" s="852" t="n"/>
      <c r="CD1005" s="852" t="n"/>
      <c r="CE1005" s="852" t="n"/>
      <c r="CF1005" s="852" t="n"/>
      <c r="CG1005" s="852" t="n"/>
      <c r="CH1005" s="852" t="n"/>
      <c r="CI1005" s="852" t="n"/>
      <c r="CJ1005" s="852" t="n"/>
      <c r="CK1005" s="852" t="n"/>
      <c r="CL1005" s="852" t="n"/>
      <c r="CM1005" s="852" t="n"/>
      <c r="CN1005" s="852" t="n"/>
      <c r="CO1005" s="852" t="n"/>
      <c r="CP1005" s="852" t="n"/>
      <c r="CQ1005" s="852" t="n"/>
      <c r="CR1005" s="852" t="n"/>
      <c r="CS1005" s="852" t="n"/>
      <c r="CT1005" s="852" t="n"/>
      <c r="CU1005" s="852" t="n"/>
      <c r="CV1005" s="852" t="n"/>
      <c r="CW1005" s="852" t="n"/>
      <c r="CX1005" s="852" t="n"/>
      <c r="CY1005" s="852" t="n"/>
      <c r="CZ1005" s="852" t="n"/>
      <c r="DA1005" s="852" t="n"/>
      <c r="DB1005" s="852" t="n"/>
      <c r="DC1005" s="852" t="n"/>
      <c r="DD1005" s="852" t="n"/>
      <c r="DE1005" s="852" t="n"/>
      <c r="DF1005" s="852" t="n"/>
      <c r="DG1005" s="852" t="n"/>
      <c r="DH1005" s="852" t="n"/>
      <c r="DI1005" s="852" t="n"/>
      <c r="DJ1005" s="852" t="n"/>
      <c r="DK1005" s="852" t="n"/>
      <c r="DL1005" s="852" t="n"/>
      <c r="DM1005" s="852" t="n"/>
      <c r="DN1005" s="852" t="n"/>
      <c r="DO1005" s="852" t="n"/>
      <c r="DP1005" s="852" t="n"/>
      <c r="DQ1005" s="852" t="n"/>
      <c r="DR1005" s="852" t="n"/>
      <c r="DS1005" s="852" t="n"/>
      <c r="DT1005" s="852" t="n"/>
      <c r="DU1005" s="852" t="n"/>
      <c r="DV1005" s="852" t="n"/>
      <c r="DW1005" s="852" t="n"/>
      <c r="DX1005" s="852" t="n"/>
    </row>
    <row r="1006" ht="15" customFormat="1" customHeight="1" s="3">
      <c r="A1006">
        <f>A1005+1</f>
        <v/>
      </c>
      <c r="B1006" s="852" t="n"/>
      <c r="C1006" s="852" t="n"/>
      <c r="D1006" s="852" t="n"/>
      <c r="E1006" s="852" t="n"/>
      <c r="F1006" s="852" t="n"/>
      <c r="G1006" s="852" t="n"/>
      <c r="H1006" s="852" t="n"/>
      <c r="I1006" s="853" t="n"/>
      <c r="J1006" s="852" t="n"/>
      <c r="K1006">
        <f>I1006+J1006</f>
        <v/>
      </c>
      <c r="L1006" s="852" t="n"/>
      <c r="M1006" s="852" t="n"/>
      <c r="N1006" s="852" t="n"/>
      <c r="O1006" s="852" t="n"/>
      <c r="P1006" s="852" t="n"/>
      <c r="Q1006" s="852" t="n"/>
      <c r="R1006" s="852" t="n"/>
      <c r="S1006" s="852" t="n"/>
      <c r="T1006" s="852" t="n"/>
      <c r="U1006" s="852" t="n"/>
      <c r="V1006" s="852" t="n"/>
      <c r="W1006" s="852" t="n"/>
      <c r="X1006" s="852" t="n"/>
      <c r="Y1006" s="852" t="n"/>
      <c r="Z1006" s="852" t="n"/>
      <c r="AA1006" s="852" t="n"/>
      <c r="AB1006" s="852" t="n"/>
      <c r="AC1006" s="852" t="n"/>
      <c r="AD1006" s="852" t="n"/>
      <c r="AE1006" s="852" t="n"/>
      <c r="AF1006" s="852" t="n"/>
      <c r="AG1006" s="852" t="n"/>
      <c r="AH1006" s="852" t="n"/>
      <c r="AI1006" s="852" t="n"/>
      <c r="AJ1006" s="852" t="n"/>
      <c r="AK1006" s="852" t="n"/>
      <c r="AL1006" s="852" t="n"/>
      <c r="AM1006" s="852" t="n"/>
      <c r="AN1006" s="852" t="n"/>
      <c r="AO1006" s="852" t="n"/>
      <c r="AP1006" s="852" t="n"/>
      <c r="AQ1006" s="852" t="n"/>
      <c r="AR1006" s="852" t="n"/>
      <c r="AS1006" s="852" t="n"/>
      <c r="AT1006" s="852" t="n"/>
      <c r="AU1006" s="852" t="n"/>
      <c r="AV1006" s="852" t="n"/>
      <c r="AW1006" s="852" t="n"/>
      <c r="AX1006" s="852" t="n"/>
      <c r="AY1006" s="852" t="n"/>
      <c r="AZ1006" s="852" t="n"/>
      <c r="BA1006" s="852" t="n"/>
      <c r="BB1006" s="852" t="n"/>
      <c r="BC1006" s="852" t="n"/>
      <c r="BD1006" s="852" t="n"/>
      <c r="BE1006" s="852" t="n"/>
      <c r="BF1006" s="852" t="n"/>
      <c r="BG1006" s="852" t="n"/>
      <c r="BH1006" s="852" t="n"/>
      <c r="BI1006" s="852" t="n"/>
      <c r="BJ1006" s="852" t="n"/>
      <c r="BK1006" s="852" t="n"/>
      <c r="BL1006" s="852" t="n"/>
      <c r="BM1006" s="852" t="n"/>
      <c r="BN1006" s="852" t="n"/>
      <c r="BO1006" s="852" t="n"/>
      <c r="BP1006" s="852" t="n"/>
      <c r="BQ1006" s="852" t="n"/>
      <c r="BR1006" s="852" t="n"/>
      <c r="BS1006" s="852" t="n"/>
      <c r="BT1006" s="852" t="n"/>
      <c r="BU1006" s="852" t="n"/>
      <c r="BV1006" s="852" t="n"/>
      <c r="BW1006" s="852" t="n"/>
      <c r="BX1006" s="852" t="n"/>
      <c r="BY1006" s="852" t="n"/>
      <c r="BZ1006" s="852" t="n"/>
      <c r="CA1006" s="852" t="n"/>
      <c r="CB1006" s="852" t="n"/>
      <c r="CC1006" s="852" t="n"/>
      <c r="CD1006" s="852" t="n"/>
      <c r="CE1006" s="852" t="n"/>
      <c r="CF1006" s="852" t="n"/>
      <c r="CG1006" s="852" t="n"/>
      <c r="CH1006" s="852" t="n"/>
      <c r="CI1006" s="852" t="n"/>
      <c r="CJ1006" s="852" t="n"/>
      <c r="CK1006" s="852" t="n"/>
      <c r="CL1006" s="852" t="n"/>
      <c r="CM1006" s="852" t="n"/>
      <c r="CN1006" s="852" t="n"/>
      <c r="CO1006" s="852" t="n"/>
      <c r="CP1006" s="852" t="n"/>
      <c r="CQ1006" s="852" t="n"/>
      <c r="CR1006" s="852" t="n"/>
      <c r="CS1006" s="852" t="n"/>
      <c r="CT1006" s="852" t="n"/>
      <c r="CU1006" s="852" t="n"/>
      <c r="CV1006" s="852" t="n"/>
      <c r="CW1006" s="852" t="n"/>
      <c r="CX1006" s="852" t="n"/>
      <c r="CY1006" s="852" t="n"/>
      <c r="CZ1006" s="852" t="n"/>
      <c r="DA1006" s="852" t="n"/>
      <c r="DB1006" s="852" t="n"/>
      <c r="DC1006" s="852" t="n"/>
      <c r="DD1006" s="852" t="n"/>
      <c r="DE1006" s="852" t="n"/>
      <c r="DF1006" s="852" t="n"/>
      <c r="DG1006" s="852" t="n"/>
      <c r="DH1006" s="852" t="n"/>
      <c r="DI1006" s="852" t="n"/>
      <c r="DJ1006" s="852" t="n"/>
      <c r="DK1006" s="852" t="n"/>
      <c r="DL1006" s="852" t="n"/>
      <c r="DM1006" s="852" t="n"/>
      <c r="DN1006" s="852" t="n"/>
      <c r="DO1006" s="852" t="n"/>
      <c r="DP1006" s="852" t="n"/>
      <c r="DQ1006" s="852" t="n"/>
      <c r="DR1006" s="852" t="n"/>
      <c r="DS1006" s="852" t="n"/>
      <c r="DT1006" s="852" t="n"/>
      <c r="DU1006" s="852" t="n"/>
      <c r="DV1006" s="852" t="n"/>
      <c r="DW1006" s="852" t="n"/>
      <c r="DX1006" s="852" t="n"/>
    </row>
    <row r="1007" ht="15" customFormat="1" customHeight="1" s="3">
      <c r="A1007">
        <f>A1006+1</f>
        <v/>
      </c>
      <c r="B1007" s="852" t="n"/>
      <c r="C1007" s="852" t="n"/>
      <c r="D1007" s="852" t="n"/>
      <c r="E1007" s="852" t="n"/>
      <c r="F1007" s="852" t="n"/>
      <c r="G1007" s="852" t="n"/>
      <c r="H1007" s="852" t="n"/>
      <c r="I1007" s="853" t="n"/>
      <c r="J1007" s="852" t="n"/>
      <c r="K1007">
        <f>I1007+J1007</f>
        <v/>
      </c>
      <c r="L1007" s="852" t="n"/>
      <c r="M1007" s="852" t="n"/>
      <c r="N1007" s="852" t="n"/>
      <c r="O1007" s="852" t="n"/>
      <c r="P1007" s="852" t="n"/>
      <c r="Q1007" s="852" t="n"/>
      <c r="R1007" s="852" t="n"/>
      <c r="S1007" s="852" t="n"/>
      <c r="T1007" s="852" t="n"/>
      <c r="U1007" s="852" t="n"/>
      <c r="V1007" s="852" t="n"/>
      <c r="W1007" s="852" t="n"/>
      <c r="X1007" s="852" t="n"/>
      <c r="Y1007" s="852" t="n"/>
      <c r="Z1007" s="852" t="n"/>
      <c r="AA1007" s="852" t="n"/>
      <c r="AB1007" s="852" t="n"/>
      <c r="AC1007" s="852" t="n"/>
      <c r="AD1007" s="852" t="n"/>
      <c r="AE1007" s="852" t="n"/>
      <c r="AF1007" s="852" t="n"/>
      <c r="AG1007" s="852" t="n"/>
      <c r="AH1007" s="852" t="n"/>
      <c r="AI1007" s="852" t="n"/>
      <c r="AJ1007" s="852" t="n"/>
      <c r="AK1007" s="852" t="n"/>
      <c r="AL1007" s="852" t="n"/>
      <c r="AM1007" s="852" t="n"/>
      <c r="AN1007" s="852" t="n"/>
      <c r="AO1007" s="852" t="n"/>
      <c r="AP1007" s="852" t="n"/>
      <c r="AQ1007" s="852" t="n"/>
      <c r="AR1007" s="852" t="n"/>
      <c r="AS1007" s="852" t="n"/>
      <c r="AT1007" s="852" t="n"/>
      <c r="AU1007" s="852" t="n"/>
      <c r="AV1007" s="852" t="n"/>
      <c r="AW1007" s="852" t="n"/>
      <c r="AX1007" s="852" t="n"/>
      <c r="AY1007" s="852" t="n"/>
      <c r="AZ1007" s="852" t="n"/>
      <c r="BA1007" s="852" t="n"/>
      <c r="BB1007" s="852" t="n"/>
      <c r="BC1007" s="852" t="n"/>
      <c r="BD1007" s="852" t="n"/>
      <c r="BE1007" s="852" t="n"/>
      <c r="BF1007" s="852" t="n"/>
      <c r="BG1007" s="852" t="n"/>
      <c r="BH1007" s="852" t="n"/>
      <c r="BI1007" s="852" t="n"/>
      <c r="BJ1007" s="852" t="n"/>
      <c r="BK1007" s="852" t="n"/>
      <c r="BL1007" s="852" t="n"/>
      <c r="BM1007" s="852" t="n"/>
      <c r="BN1007" s="852" t="n"/>
      <c r="BO1007" s="852" t="n"/>
      <c r="BP1007" s="852" t="n"/>
      <c r="BQ1007" s="852" t="n"/>
      <c r="BR1007" s="852" t="n"/>
      <c r="BS1007" s="852" t="n"/>
      <c r="BT1007" s="852" t="n"/>
      <c r="BU1007" s="852" t="n"/>
      <c r="BV1007" s="852" t="n"/>
      <c r="BW1007" s="852" t="n"/>
      <c r="BX1007" s="852" t="n"/>
      <c r="BY1007" s="852" t="n"/>
      <c r="BZ1007" s="852" t="n"/>
      <c r="CA1007" s="852" t="n"/>
      <c r="CB1007" s="852" t="n"/>
      <c r="CC1007" s="852" t="n"/>
      <c r="CD1007" s="852" t="n"/>
      <c r="CE1007" s="852" t="n"/>
      <c r="CF1007" s="852" t="n"/>
      <c r="CG1007" s="852" t="n"/>
      <c r="CH1007" s="852" t="n"/>
      <c r="CI1007" s="852" t="n"/>
      <c r="CJ1007" s="852" t="n"/>
      <c r="CK1007" s="852" t="n"/>
      <c r="CL1007" s="852" t="n"/>
      <c r="CM1007" s="852" t="n"/>
      <c r="CN1007" s="852" t="n"/>
      <c r="CO1007" s="852" t="n"/>
      <c r="CP1007" s="852" t="n"/>
      <c r="CQ1007" s="852" t="n"/>
      <c r="CR1007" s="852" t="n"/>
      <c r="CS1007" s="852" t="n"/>
      <c r="CT1007" s="852" t="n"/>
      <c r="CU1007" s="852" t="n"/>
      <c r="CV1007" s="852" t="n"/>
      <c r="CW1007" s="852" t="n"/>
      <c r="CX1007" s="852" t="n"/>
      <c r="CY1007" s="852" t="n"/>
      <c r="CZ1007" s="852" t="n"/>
      <c r="DA1007" s="852" t="n"/>
      <c r="DB1007" s="852" t="n"/>
      <c r="DC1007" s="852" t="n"/>
      <c r="DD1007" s="852" t="n"/>
      <c r="DE1007" s="852" t="n"/>
      <c r="DF1007" s="852" t="n"/>
      <c r="DG1007" s="852" t="n"/>
      <c r="DH1007" s="852" t="n"/>
      <c r="DI1007" s="852" t="n"/>
      <c r="DJ1007" s="852" t="n"/>
      <c r="DK1007" s="852" t="n"/>
      <c r="DL1007" s="852" t="n"/>
      <c r="DM1007" s="852" t="n"/>
      <c r="DN1007" s="852" t="n"/>
      <c r="DO1007" s="852" t="n"/>
      <c r="DP1007" s="852" t="n"/>
      <c r="DQ1007" s="852" t="n"/>
      <c r="DR1007" s="852" t="n"/>
      <c r="DS1007" s="852" t="n"/>
      <c r="DT1007" s="852" t="n"/>
      <c r="DU1007" s="852" t="n"/>
      <c r="DV1007" s="852" t="n"/>
      <c r="DW1007" s="852" t="n"/>
      <c r="DX1007" s="852" t="n"/>
    </row>
    <row r="1008" ht="15" customFormat="1" customHeight="1" s="3">
      <c r="A1008">
        <f>A1007+1</f>
        <v/>
      </c>
      <c r="B1008" s="852" t="n"/>
      <c r="C1008" s="852" t="n"/>
      <c r="D1008" s="852" t="n"/>
      <c r="E1008" s="852" t="n"/>
      <c r="F1008" s="852" t="n"/>
      <c r="G1008" s="852" t="n"/>
      <c r="H1008" s="852" t="n"/>
      <c r="I1008" s="853" t="n"/>
      <c r="J1008" s="852" t="n"/>
      <c r="K1008">
        <f>I1008+J1008</f>
        <v/>
      </c>
      <c r="L1008" s="852" t="n"/>
      <c r="M1008" s="852" t="n"/>
      <c r="N1008" s="852" t="n"/>
      <c r="O1008" s="852" t="n"/>
      <c r="P1008" s="852" t="n"/>
      <c r="Q1008" s="852" t="n"/>
      <c r="R1008" s="852" t="n"/>
      <c r="S1008" s="852" t="n"/>
      <c r="T1008" s="852" t="n"/>
      <c r="U1008" s="852" t="n"/>
      <c r="V1008" s="852" t="n"/>
      <c r="W1008" s="852" t="n"/>
      <c r="X1008" s="852" t="n"/>
      <c r="Y1008" s="852" t="n"/>
      <c r="Z1008" s="852" t="n"/>
      <c r="AA1008" s="852" t="n"/>
      <c r="AB1008" s="852" t="n"/>
      <c r="AC1008" s="852" t="n"/>
      <c r="AD1008" s="852" t="n"/>
      <c r="AE1008" s="852" t="n"/>
      <c r="AF1008" s="852" t="n"/>
      <c r="AG1008" s="852" t="n"/>
      <c r="AH1008" s="852" t="n"/>
      <c r="AI1008" s="852" t="n"/>
      <c r="AJ1008" s="852" t="n"/>
      <c r="AK1008" s="852" t="n"/>
      <c r="AL1008" s="852" t="n"/>
      <c r="AM1008" s="852" t="n"/>
      <c r="AN1008" s="852" t="n"/>
      <c r="AO1008" s="852" t="n"/>
      <c r="AP1008" s="852" t="n"/>
      <c r="AQ1008" s="852" t="n"/>
      <c r="AR1008" s="852" t="n"/>
      <c r="AS1008" s="852" t="n"/>
      <c r="AT1008" s="852" t="n"/>
      <c r="AU1008" s="852" t="n"/>
      <c r="AV1008" s="852" t="n"/>
      <c r="AW1008" s="852" t="n"/>
      <c r="AX1008" s="852" t="n"/>
      <c r="AY1008" s="852" t="n"/>
      <c r="AZ1008" s="852" t="n"/>
      <c r="BA1008" s="852" t="n"/>
      <c r="BB1008" s="852" t="n"/>
      <c r="BC1008" s="852" t="n"/>
      <c r="BD1008" s="852" t="n"/>
      <c r="BE1008" s="852" t="n"/>
      <c r="BF1008" s="852" t="n"/>
      <c r="BG1008" s="852" t="n"/>
      <c r="BH1008" s="852" t="n"/>
      <c r="BI1008" s="852" t="n"/>
      <c r="BJ1008" s="852" t="n"/>
      <c r="BK1008" s="852" t="n"/>
      <c r="BL1008" s="852" t="n"/>
      <c r="BM1008" s="852" t="n"/>
      <c r="BN1008" s="852" t="n"/>
      <c r="BO1008" s="852" t="n"/>
      <c r="BP1008" s="852" t="n"/>
      <c r="BQ1008" s="852" t="n"/>
      <c r="BR1008" s="852" t="n"/>
      <c r="BS1008" s="852" t="n"/>
      <c r="BT1008" s="852" t="n"/>
      <c r="BU1008" s="852" t="n"/>
      <c r="BV1008" s="852" t="n"/>
      <c r="BW1008" s="852" t="n"/>
      <c r="BX1008" s="852" t="n"/>
      <c r="BY1008" s="852" t="n"/>
      <c r="BZ1008" s="852" t="n"/>
      <c r="CA1008" s="852" t="n"/>
      <c r="CB1008" s="852" t="n"/>
      <c r="CC1008" s="852" t="n"/>
      <c r="CD1008" s="852" t="n"/>
      <c r="CE1008" s="852" t="n"/>
      <c r="CF1008" s="852" t="n"/>
      <c r="CG1008" s="852" t="n"/>
      <c r="CH1008" s="852" t="n"/>
      <c r="CI1008" s="852" t="n"/>
      <c r="CJ1008" s="852" t="n"/>
      <c r="CK1008" s="852" t="n"/>
      <c r="CL1008" s="852" t="n"/>
      <c r="CM1008" s="852" t="n"/>
      <c r="CN1008" s="852" t="n"/>
      <c r="CO1008" s="852" t="n"/>
      <c r="CP1008" s="852" t="n"/>
      <c r="CQ1008" s="852" t="n"/>
      <c r="CR1008" s="852" t="n"/>
      <c r="CS1008" s="852" t="n"/>
      <c r="CT1008" s="852" t="n"/>
      <c r="CU1008" s="852" t="n"/>
      <c r="CV1008" s="852" t="n"/>
      <c r="CW1008" s="852" t="n"/>
      <c r="CX1008" s="852" t="n"/>
      <c r="CY1008" s="852" t="n"/>
      <c r="CZ1008" s="852" t="n"/>
      <c r="DA1008" s="852" t="n"/>
      <c r="DB1008" s="852" t="n"/>
      <c r="DC1008" s="852" t="n"/>
      <c r="DD1008" s="852" t="n"/>
      <c r="DE1008" s="852" t="n"/>
      <c r="DF1008" s="852" t="n"/>
      <c r="DG1008" s="852" t="n"/>
      <c r="DH1008" s="852" t="n"/>
      <c r="DI1008" s="852" t="n"/>
      <c r="DJ1008" s="852" t="n"/>
      <c r="DK1008" s="852" t="n"/>
      <c r="DL1008" s="852" t="n"/>
      <c r="DM1008" s="852" t="n"/>
      <c r="DN1008" s="852" t="n"/>
      <c r="DO1008" s="852" t="n"/>
      <c r="DP1008" s="852" t="n"/>
      <c r="DQ1008" s="852" t="n"/>
      <c r="DR1008" s="852" t="n"/>
      <c r="DS1008" s="852" t="n"/>
      <c r="DT1008" s="852" t="n"/>
      <c r="DU1008" s="852" t="n"/>
      <c r="DV1008" s="852" t="n"/>
      <c r="DW1008" s="852" t="n"/>
      <c r="DX1008" s="852" t="n"/>
    </row>
    <row r="1009" ht="15" customFormat="1" customHeight="1" s="3">
      <c r="A1009">
        <f>A1008+1</f>
        <v/>
      </c>
      <c r="B1009" s="852" t="n"/>
      <c r="C1009" s="852" t="n"/>
      <c r="D1009" s="852" t="n"/>
      <c r="E1009" s="852" t="n"/>
      <c r="F1009" s="852" t="n"/>
      <c r="G1009" s="852" t="n"/>
      <c r="H1009" s="852" t="n"/>
      <c r="I1009" s="853" t="n"/>
      <c r="J1009" s="852" t="n"/>
      <c r="K1009">
        <f>I1009+J1009</f>
        <v/>
      </c>
      <c r="L1009" s="852" t="n"/>
      <c r="M1009" s="852" t="n"/>
      <c r="N1009" s="852" t="n"/>
      <c r="O1009" s="852" t="n"/>
      <c r="P1009" s="852" t="n"/>
      <c r="Q1009" s="852" t="n"/>
      <c r="R1009" s="852" t="n"/>
      <c r="S1009" s="852" t="n"/>
      <c r="T1009" s="852" t="n"/>
      <c r="U1009" s="852" t="n"/>
      <c r="V1009" s="852" t="n"/>
      <c r="W1009" s="852" t="n"/>
      <c r="X1009" s="852" t="n"/>
      <c r="Y1009" s="852" t="n"/>
      <c r="Z1009" s="852" t="n"/>
      <c r="AA1009" s="852" t="n"/>
      <c r="AB1009" s="852" t="n"/>
      <c r="AC1009" s="852" t="n"/>
      <c r="AD1009" s="852" t="n"/>
      <c r="AE1009" s="852" t="n"/>
      <c r="AF1009" s="852" t="n"/>
      <c r="AG1009" s="852" t="n"/>
      <c r="AH1009" s="852" t="n"/>
      <c r="AI1009" s="852" t="n"/>
      <c r="AJ1009" s="852" t="n"/>
      <c r="AK1009" s="852" t="n"/>
      <c r="AL1009" s="852" t="n"/>
      <c r="AM1009" s="852" t="n"/>
      <c r="AN1009" s="852" t="n"/>
      <c r="AO1009" s="852" t="n"/>
      <c r="AP1009" s="852" t="n"/>
      <c r="AQ1009" s="852" t="n"/>
      <c r="AR1009" s="852" t="n"/>
      <c r="AS1009" s="852" t="n"/>
      <c r="AT1009" s="852" t="n"/>
      <c r="AU1009" s="852" t="n"/>
      <c r="AV1009" s="852" t="n"/>
      <c r="AW1009" s="852" t="n"/>
      <c r="AX1009" s="852" t="n"/>
      <c r="AY1009" s="852" t="n"/>
      <c r="AZ1009" s="852" t="n"/>
      <c r="BA1009" s="852" t="n"/>
      <c r="BB1009" s="852" t="n"/>
      <c r="BC1009" s="852" t="n"/>
      <c r="BD1009" s="852" t="n"/>
      <c r="BE1009" s="852" t="n"/>
      <c r="BF1009" s="852" t="n"/>
      <c r="BG1009" s="852" t="n"/>
      <c r="BH1009" s="852" t="n"/>
      <c r="BI1009" s="852" t="n"/>
      <c r="BJ1009" s="852" t="n"/>
      <c r="BK1009" s="852" t="n"/>
      <c r="BL1009" s="852" t="n"/>
      <c r="BM1009" s="852" t="n"/>
      <c r="BN1009" s="852" t="n"/>
      <c r="BO1009" s="852" t="n"/>
      <c r="BP1009" s="852" t="n"/>
      <c r="BQ1009" s="852" t="n"/>
      <c r="BR1009" s="852" t="n"/>
      <c r="BS1009" s="852" t="n"/>
      <c r="BT1009" s="852" t="n"/>
      <c r="BU1009" s="852" t="n"/>
      <c r="BV1009" s="852" t="n"/>
      <c r="BW1009" s="852" t="n"/>
      <c r="BX1009" s="852" t="n"/>
      <c r="BY1009" s="852" t="n"/>
      <c r="BZ1009" s="852" t="n"/>
      <c r="CA1009" s="852" t="n"/>
      <c r="CB1009" s="852" t="n"/>
      <c r="CC1009" s="852" t="n"/>
      <c r="CD1009" s="852" t="n"/>
      <c r="CE1009" s="852" t="n"/>
      <c r="CF1009" s="852" t="n"/>
      <c r="CG1009" s="852" t="n"/>
      <c r="CH1009" s="852" t="n"/>
      <c r="CI1009" s="852" t="n"/>
      <c r="CJ1009" s="852" t="n"/>
      <c r="CK1009" s="852" t="n"/>
      <c r="CL1009" s="852" t="n"/>
      <c r="CM1009" s="852" t="n"/>
      <c r="CN1009" s="852" t="n"/>
      <c r="CO1009" s="852" t="n"/>
      <c r="CP1009" s="852" t="n"/>
      <c r="CQ1009" s="852" t="n"/>
      <c r="CR1009" s="852" t="n"/>
      <c r="CS1009" s="852" t="n"/>
      <c r="CT1009" s="852" t="n"/>
      <c r="CU1009" s="852" t="n"/>
      <c r="CV1009" s="852" t="n"/>
      <c r="CW1009" s="852" t="n"/>
      <c r="CX1009" s="852" t="n"/>
      <c r="CY1009" s="852" t="n"/>
      <c r="CZ1009" s="852" t="n"/>
      <c r="DA1009" s="852" t="n"/>
      <c r="DB1009" s="852" t="n"/>
      <c r="DC1009" s="852" t="n"/>
      <c r="DD1009" s="852" t="n"/>
      <c r="DE1009" s="852" t="n"/>
      <c r="DF1009" s="852" t="n"/>
      <c r="DG1009" s="852" t="n"/>
      <c r="DH1009" s="852" t="n"/>
      <c r="DI1009" s="852" t="n"/>
      <c r="DJ1009" s="852" t="n"/>
      <c r="DK1009" s="852" t="n"/>
      <c r="DL1009" s="852" t="n"/>
      <c r="DM1009" s="852" t="n"/>
      <c r="DN1009" s="852" t="n"/>
      <c r="DO1009" s="852" t="n"/>
      <c r="DP1009" s="852" t="n"/>
      <c r="DQ1009" s="852" t="n"/>
      <c r="DR1009" s="852" t="n"/>
      <c r="DS1009" s="852" t="n"/>
      <c r="DT1009" s="852" t="n"/>
      <c r="DU1009" s="852" t="n"/>
      <c r="DV1009" s="852" t="n"/>
      <c r="DW1009" s="852" t="n"/>
      <c r="DX1009" s="852" t="n"/>
    </row>
    <row r="1010" ht="15" customFormat="1" customHeight="1" s="3">
      <c r="A1010">
        <f>A1009+1</f>
        <v/>
      </c>
      <c r="B1010" s="852" t="n"/>
      <c r="C1010" s="852" t="n"/>
      <c r="D1010" s="852" t="n"/>
      <c r="E1010" s="852" t="n"/>
      <c r="F1010" s="852" t="n"/>
      <c r="G1010" s="852" t="n"/>
      <c r="H1010" s="852" t="n"/>
      <c r="I1010" s="853" t="n"/>
      <c r="J1010" s="852" t="n"/>
      <c r="K1010">
        <f>I1010+J1010</f>
        <v/>
      </c>
      <c r="L1010" s="852" t="n"/>
      <c r="M1010" s="852" t="n"/>
      <c r="N1010" s="852" t="n"/>
      <c r="O1010" s="852" t="n"/>
      <c r="P1010" s="852" t="n"/>
      <c r="Q1010" s="852" t="n"/>
      <c r="R1010" s="852" t="n"/>
      <c r="S1010" s="852" t="n"/>
      <c r="T1010" s="852" t="n"/>
      <c r="U1010" s="852" t="n"/>
      <c r="V1010" s="852" t="n"/>
      <c r="W1010" s="852" t="n"/>
      <c r="X1010" s="852" t="n"/>
      <c r="Y1010" s="852" t="n"/>
      <c r="Z1010" s="852" t="n"/>
      <c r="AA1010" s="852" t="n"/>
      <c r="AB1010" s="852" t="n"/>
      <c r="AC1010" s="852" t="n"/>
      <c r="AD1010" s="852" t="n"/>
      <c r="AE1010" s="852" t="n"/>
      <c r="AF1010" s="852" t="n"/>
      <c r="AG1010" s="852" t="n"/>
      <c r="AH1010" s="852" t="n"/>
      <c r="AI1010" s="852" t="n"/>
      <c r="AJ1010" s="852" t="n"/>
      <c r="AK1010" s="852" t="n"/>
      <c r="AL1010" s="852" t="n"/>
      <c r="AM1010" s="852" t="n"/>
      <c r="AN1010" s="852" t="n"/>
      <c r="AO1010" s="852" t="n"/>
      <c r="AP1010" s="852" t="n"/>
      <c r="AQ1010" s="852" t="n"/>
      <c r="AR1010" s="852" t="n"/>
      <c r="AS1010" s="852" t="n"/>
      <c r="AT1010" s="852" t="n"/>
      <c r="AU1010" s="852" t="n"/>
      <c r="AV1010" s="852" t="n"/>
      <c r="AW1010" s="852" t="n"/>
      <c r="AX1010" s="852" t="n"/>
      <c r="AY1010" s="852" t="n"/>
      <c r="AZ1010" s="852" t="n"/>
      <c r="BA1010" s="852" t="n"/>
      <c r="BB1010" s="852" t="n"/>
      <c r="BC1010" s="852" t="n"/>
      <c r="BD1010" s="852" t="n"/>
      <c r="BE1010" s="852" t="n"/>
      <c r="BF1010" s="852" t="n"/>
      <c r="BG1010" s="852" t="n"/>
      <c r="BH1010" s="852" t="n"/>
      <c r="BI1010" s="852" t="n"/>
      <c r="BJ1010" s="852" t="n"/>
      <c r="BK1010" s="852" t="n"/>
      <c r="BL1010" s="852" t="n"/>
      <c r="BM1010" s="852" t="n"/>
      <c r="BN1010" s="852" t="n"/>
      <c r="BO1010" s="852" t="n"/>
      <c r="BP1010" s="852" t="n"/>
      <c r="BQ1010" s="852" t="n"/>
      <c r="BR1010" s="852" t="n"/>
      <c r="BS1010" s="852" t="n"/>
      <c r="BT1010" s="852" t="n"/>
      <c r="BU1010" s="852" t="n"/>
      <c r="BV1010" s="852" t="n"/>
      <c r="BW1010" s="852" t="n"/>
      <c r="BX1010" s="852" t="n"/>
      <c r="BY1010" s="852" t="n"/>
      <c r="BZ1010" s="852" t="n"/>
      <c r="CA1010" s="852" t="n"/>
      <c r="CB1010" s="852" t="n"/>
      <c r="CC1010" s="852" t="n"/>
      <c r="CD1010" s="852" t="n"/>
      <c r="CE1010" s="852" t="n"/>
      <c r="CF1010" s="852" t="n"/>
      <c r="CG1010" s="852" t="n"/>
      <c r="CH1010" s="852" t="n"/>
      <c r="CI1010" s="852" t="n"/>
      <c r="CJ1010" s="852" t="n"/>
      <c r="CK1010" s="852" t="n"/>
      <c r="CL1010" s="852" t="n"/>
      <c r="CM1010" s="852" t="n"/>
      <c r="CN1010" s="852" t="n"/>
      <c r="CO1010" s="852" t="n"/>
      <c r="CP1010" s="852" t="n"/>
      <c r="CQ1010" s="852" t="n"/>
      <c r="CR1010" s="852" t="n"/>
      <c r="CS1010" s="852" t="n"/>
      <c r="CT1010" s="852" t="n"/>
      <c r="CU1010" s="852" t="n"/>
      <c r="CV1010" s="852" t="n"/>
      <c r="CW1010" s="852" t="n"/>
      <c r="CX1010" s="852" t="n"/>
      <c r="CY1010" s="852" t="n"/>
      <c r="CZ1010" s="852" t="n"/>
      <c r="DA1010" s="852" t="n"/>
      <c r="DB1010" s="852" t="n"/>
      <c r="DC1010" s="852" t="n"/>
      <c r="DD1010" s="852" t="n"/>
      <c r="DE1010" s="852" t="n"/>
      <c r="DF1010" s="852" t="n"/>
      <c r="DG1010" s="852" t="n"/>
      <c r="DH1010" s="852" t="n"/>
      <c r="DI1010" s="852" t="n"/>
      <c r="DJ1010" s="852" t="n"/>
      <c r="DK1010" s="852" t="n"/>
      <c r="DL1010" s="852" t="n"/>
      <c r="DM1010" s="852" t="n"/>
      <c r="DN1010" s="852" t="n"/>
      <c r="DO1010" s="852" t="n"/>
      <c r="DP1010" s="852" t="n"/>
      <c r="DQ1010" s="852" t="n"/>
      <c r="DR1010" s="852" t="n"/>
      <c r="DS1010" s="852" t="n"/>
      <c r="DT1010" s="852" t="n"/>
      <c r="DU1010" s="852" t="n"/>
      <c r="DV1010" s="852" t="n"/>
      <c r="DW1010" s="852" t="n"/>
      <c r="DX1010" s="852" t="n"/>
    </row>
    <row r="1011" ht="15" customFormat="1" customHeight="1" s="3">
      <c r="A1011">
        <f>A1010+1</f>
        <v/>
      </c>
      <c r="I1011" s="20" t="n"/>
      <c r="K1011">
        <f>I1011+J1011</f>
        <v/>
      </c>
      <c r="X1011" s="59" t="n"/>
      <c r="Y1011" s="59" t="n"/>
      <c r="Z1011" s="59" t="n"/>
      <c r="AA1011" s="59" t="n"/>
      <c r="AB1011" s="59" t="n"/>
      <c r="AC1011" s="59" t="n"/>
      <c r="AD1011" s="59" t="n"/>
      <c r="AE1011" s="59" t="n"/>
      <c r="AF1011" s="59" t="n"/>
      <c r="AG1011" s="59" t="n"/>
      <c r="AH1011" s="59" t="n"/>
      <c r="AI1011" s="59" t="n"/>
      <c r="AJ1011" s="59" t="n"/>
      <c r="AK1011" s="59" t="n"/>
      <c r="AL1011" s="59" t="n"/>
      <c r="AM1011" s="59" t="n"/>
      <c r="AN1011" s="59" t="n"/>
      <c r="AO1011" s="59" t="n"/>
      <c r="AP1011" s="59" t="n"/>
      <c r="AQ1011" s="59" t="n"/>
      <c r="AR1011" s="59" t="n"/>
      <c r="AS1011" s="59" t="n"/>
      <c r="AT1011" s="59" t="n"/>
      <c r="AU1011" s="59" t="n"/>
      <c r="AV1011" s="59" t="n"/>
      <c r="AW1011" s="59" t="n"/>
      <c r="AX1011" s="59" t="n"/>
      <c r="AY1011" s="59" t="n"/>
      <c r="AZ1011" s="59" t="n"/>
      <c r="BA1011" s="59" t="n"/>
      <c r="BB1011" s="59" t="n"/>
      <c r="BC1011" s="59" t="n"/>
      <c r="BD1011" s="59" t="n"/>
      <c r="BE1011" s="59" t="n"/>
      <c r="BF1011" s="59" t="n"/>
      <c r="BG1011" s="59" t="n"/>
      <c r="BH1011" s="59" t="n"/>
      <c r="BI1011" s="59" t="n"/>
      <c r="BJ1011" s="59" t="n"/>
      <c r="BK1011" s="59" t="n"/>
      <c r="BL1011" s="59" t="n"/>
      <c r="BM1011" s="59" t="n"/>
      <c r="BN1011" s="59" t="n"/>
      <c r="BO1011" s="59" t="n"/>
      <c r="BP1011" s="59" t="n"/>
      <c r="BQ1011" s="59" t="n"/>
      <c r="BR1011" s="59" t="n"/>
      <c r="BS1011" s="59" t="n"/>
      <c r="BT1011" s="59" t="n"/>
      <c r="BU1011" s="59" t="n"/>
      <c r="BV1011" s="59" t="n"/>
      <c r="BW1011" s="59" t="n"/>
      <c r="BX1011" s="59" t="n"/>
      <c r="BY1011" s="59" t="n"/>
      <c r="BZ1011" s="59" t="n"/>
      <c r="CA1011" s="59" t="n"/>
      <c r="CB1011" s="59" t="n"/>
      <c r="CC1011" s="59" t="n"/>
      <c r="CD1011" s="59" t="n"/>
      <c r="CE1011" s="59" t="n"/>
      <c r="CF1011" s="59" t="n"/>
      <c r="CG1011" s="59" t="n"/>
      <c r="CH1011" s="59" t="n"/>
      <c r="CI1011" s="59" t="n"/>
      <c r="CJ1011" s="59" t="n"/>
      <c r="CK1011" s="59" t="n"/>
      <c r="CL1011" s="59" t="n"/>
      <c r="CM1011" s="59" t="n"/>
      <c r="CN1011" s="59" t="n"/>
    </row>
    <row r="1012" ht="15" customFormat="1" customHeight="1" s="3">
      <c r="A1012">
        <f>A1011+1</f>
        <v/>
      </c>
      <c r="I1012" s="20" t="n"/>
      <c r="K1012">
        <f>I1012+J1012</f>
        <v/>
      </c>
      <c r="X1012" s="59" t="n"/>
      <c r="Y1012" s="59" t="n"/>
      <c r="Z1012" s="59" t="n"/>
      <c r="AA1012" s="59" t="n"/>
      <c r="AB1012" s="59" t="n"/>
      <c r="AC1012" s="59" t="n"/>
      <c r="AD1012" s="59" t="n"/>
      <c r="AE1012" s="59" t="n"/>
      <c r="AF1012" s="59" t="n"/>
      <c r="AG1012" s="59" t="n"/>
      <c r="AH1012" s="59" t="n"/>
      <c r="AI1012" s="59" t="n"/>
      <c r="AJ1012" s="59" t="n"/>
      <c r="AK1012" s="59" t="n"/>
      <c r="AL1012" s="59" t="n"/>
      <c r="AM1012" s="59" t="n"/>
      <c r="AN1012" s="59" t="n"/>
      <c r="AO1012" s="59" t="n"/>
      <c r="AP1012" s="59" t="n"/>
      <c r="AQ1012" s="59" t="n"/>
      <c r="AR1012" s="59" t="n"/>
      <c r="AS1012" s="59" t="n"/>
      <c r="AT1012" s="59" t="n"/>
      <c r="AU1012" s="59" t="n"/>
      <c r="AV1012" s="59" t="n"/>
      <c r="AW1012" s="59" t="n"/>
      <c r="AX1012" s="59" t="n"/>
      <c r="AY1012" s="59" t="n"/>
      <c r="AZ1012" s="59" t="n"/>
      <c r="BA1012" s="59" t="n"/>
      <c r="BB1012" s="59" t="n"/>
      <c r="BC1012" s="59" t="n"/>
      <c r="BD1012" s="59" t="n"/>
      <c r="BE1012" s="59" t="n"/>
      <c r="BF1012" s="59" t="n"/>
      <c r="BG1012" s="59" t="n"/>
      <c r="BH1012" s="59" t="n"/>
      <c r="BI1012" s="59" t="n"/>
      <c r="BJ1012" s="59" t="n"/>
      <c r="BK1012" s="59" t="n"/>
      <c r="BL1012" s="59" t="n"/>
      <c r="BM1012" s="59" t="n"/>
      <c r="BN1012" s="59" t="n"/>
      <c r="BO1012" s="59" t="n"/>
      <c r="BP1012" s="59" t="n"/>
      <c r="BQ1012" s="59" t="n"/>
      <c r="BR1012" s="59" t="n"/>
      <c r="BS1012" s="59" t="n"/>
      <c r="BT1012" s="59" t="n"/>
      <c r="BU1012" s="59" t="n"/>
      <c r="BV1012" s="59" t="n"/>
      <c r="BW1012" s="59" t="n"/>
      <c r="BX1012" s="59" t="n"/>
      <c r="BY1012" s="59" t="n"/>
      <c r="BZ1012" s="59" t="n"/>
      <c r="CA1012" s="59" t="n"/>
      <c r="CB1012" s="59" t="n"/>
      <c r="CC1012" s="59" t="n"/>
      <c r="CD1012" s="59" t="n"/>
      <c r="CE1012" s="59" t="n"/>
      <c r="CF1012" s="59" t="n"/>
      <c r="CG1012" s="59" t="n"/>
      <c r="CH1012" s="59" t="n"/>
      <c r="CI1012" s="59" t="n"/>
      <c r="CJ1012" s="59" t="n"/>
      <c r="CK1012" s="59" t="n"/>
      <c r="CL1012" s="59" t="n"/>
      <c r="CM1012" s="59" t="n"/>
      <c r="CN1012" s="59" t="n"/>
    </row>
    <row r="1013" ht="15" customFormat="1" customHeight="1" s="3">
      <c r="A1013">
        <f>A1012+1</f>
        <v/>
      </c>
      <c r="I1013" s="20" t="n"/>
      <c r="K1013">
        <f>I1013+J1013</f>
        <v/>
      </c>
      <c r="X1013" s="59" t="n"/>
      <c r="Y1013" s="59" t="n"/>
      <c r="Z1013" s="59" t="n"/>
      <c r="AA1013" s="59" t="n"/>
      <c r="AB1013" s="59" t="n"/>
      <c r="AC1013" s="59" t="n"/>
      <c r="AD1013" s="59" t="n"/>
      <c r="AE1013" s="59" t="n"/>
      <c r="AF1013" s="59" t="n"/>
      <c r="AG1013" s="59" t="n"/>
      <c r="AH1013" s="59" t="n"/>
      <c r="AI1013" s="59" t="n"/>
      <c r="AJ1013" s="59" t="n"/>
      <c r="AK1013" s="59" t="n"/>
      <c r="AL1013" s="59" t="n"/>
      <c r="AM1013" s="59" t="n"/>
      <c r="AN1013" s="59" t="n"/>
      <c r="AO1013" s="59" t="n"/>
      <c r="AP1013" s="59" t="n"/>
      <c r="AQ1013" s="59" t="n"/>
      <c r="AR1013" s="59" t="n"/>
      <c r="AS1013" s="59" t="n"/>
      <c r="AT1013" s="59" t="n"/>
      <c r="AU1013" s="59" t="n"/>
      <c r="AV1013" s="59" t="n"/>
      <c r="AW1013" s="59" t="n"/>
      <c r="AX1013" s="59" t="n"/>
      <c r="AY1013" s="59" t="n"/>
      <c r="AZ1013" s="59" t="n"/>
      <c r="BA1013" s="59" t="n"/>
      <c r="BB1013" s="59" t="n"/>
      <c r="BC1013" s="59" t="n"/>
      <c r="BD1013" s="59" t="n"/>
      <c r="BE1013" s="59" t="n"/>
      <c r="BF1013" s="59" t="n"/>
      <c r="BG1013" s="59" t="n"/>
      <c r="BH1013" s="59" t="n"/>
      <c r="BI1013" s="59" t="n"/>
      <c r="BJ1013" s="59" t="n"/>
      <c r="BK1013" s="59" t="n"/>
      <c r="BL1013" s="59" t="n"/>
      <c r="BM1013" s="59" t="n"/>
      <c r="BN1013" s="59" t="n"/>
      <c r="BO1013" s="59" t="n"/>
      <c r="BP1013" s="59" t="n"/>
      <c r="BQ1013" s="59" t="n"/>
      <c r="BR1013" s="59" t="n"/>
      <c r="BS1013" s="59" t="n"/>
      <c r="BT1013" s="59" t="n"/>
      <c r="BU1013" s="59" t="n"/>
      <c r="BV1013" s="59" t="n"/>
      <c r="BW1013" s="59" t="n"/>
      <c r="BX1013" s="59" t="n"/>
      <c r="BY1013" s="59" t="n"/>
      <c r="BZ1013" s="59" t="n"/>
      <c r="CA1013" s="59" t="n"/>
      <c r="CB1013" s="59" t="n"/>
      <c r="CC1013" s="59" t="n"/>
      <c r="CD1013" s="59" t="n"/>
      <c r="CE1013" s="59" t="n"/>
      <c r="CF1013" s="59" t="n"/>
      <c r="CG1013" s="59" t="n"/>
      <c r="CH1013" s="59" t="n"/>
      <c r="CI1013" s="59" t="n"/>
      <c r="CJ1013" s="59" t="n"/>
      <c r="CK1013" s="59" t="n"/>
      <c r="CL1013" s="59" t="n"/>
      <c r="CM1013" s="59" t="n"/>
      <c r="CN1013" s="59" t="n"/>
    </row>
    <row r="1014" ht="15" customFormat="1" customHeight="1" s="3">
      <c r="A1014">
        <f>A1013+1</f>
        <v/>
      </c>
      <c r="I1014" s="20" t="n"/>
      <c r="K1014">
        <f>I1014+J1014</f>
        <v/>
      </c>
      <c r="X1014" s="59" t="n"/>
      <c r="Y1014" s="59" t="n"/>
      <c r="Z1014" s="59" t="n"/>
      <c r="AA1014" s="59" t="n"/>
      <c r="AB1014" s="59" t="n"/>
      <c r="AC1014" s="59" t="n"/>
      <c r="AD1014" s="59" t="n"/>
      <c r="AE1014" s="59" t="n"/>
      <c r="AF1014" s="59" t="n"/>
      <c r="AG1014" s="59" t="n"/>
      <c r="AH1014" s="59" t="n"/>
      <c r="AI1014" s="59" t="n"/>
      <c r="AJ1014" s="59" t="n"/>
      <c r="AK1014" s="59" t="n"/>
      <c r="AL1014" s="59" t="n"/>
      <c r="AM1014" s="59" t="n"/>
      <c r="AN1014" s="59" t="n"/>
      <c r="AO1014" s="59" t="n"/>
      <c r="AP1014" s="59" t="n"/>
      <c r="AQ1014" s="59" t="n"/>
      <c r="AR1014" s="59" t="n"/>
      <c r="AS1014" s="59" t="n"/>
      <c r="AT1014" s="59" t="n"/>
      <c r="AU1014" s="59" t="n"/>
      <c r="AV1014" s="59" t="n"/>
      <c r="AW1014" s="59" t="n"/>
      <c r="AX1014" s="59" t="n"/>
      <c r="AY1014" s="59" t="n"/>
      <c r="AZ1014" s="59" t="n"/>
      <c r="BA1014" s="59" t="n"/>
      <c r="BB1014" s="59" t="n"/>
      <c r="BC1014" s="59" t="n"/>
      <c r="BD1014" s="59" t="n"/>
      <c r="BE1014" s="59" t="n"/>
      <c r="BF1014" s="59" t="n"/>
      <c r="BG1014" s="59" t="n"/>
      <c r="BH1014" s="59" t="n"/>
      <c r="BI1014" s="59" t="n"/>
      <c r="BJ1014" s="59" t="n"/>
      <c r="BK1014" s="59" t="n"/>
      <c r="BL1014" s="59" t="n"/>
      <c r="BM1014" s="59" t="n"/>
      <c r="BN1014" s="59" t="n"/>
      <c r="BO1014" s="59" t="n"/>
      <c r="BP1014" s="59" t="n"/>
      <c r="BQ1014" s="59" t="n"/>
      <c r="BR1014" s="59" t="n"/>
      <c r="BS1014" s="59" t="n"/>
      <c r="BT1014" s="59" t="n"/>
      <c r="BU1014" s="59" t="n"/>
      <c r="BV1014" s="59" t="n"/>
      <c r="BW1014" s="59" t="n"/>
      <c r="BX1014" s="59" t="n"/>
      <c r="BY1014" s="59" t="n"/>
      <c r="BZ1014" s="59" t="n"/>
      <c r="CA1014" s="59" t="n"/>
      <c r="CB1014" s="59" t="n"/>
      <c r="CC1014" s="59" t="n"/>
      <c r="CD1014" s="59" t="n"/>
      <c r="CE1014" s="59" t="n"/>
      <c r="CF1014" s="59" t="n"/>
      <c r="CG1014" s="59" t="n"/>
      <c r="CH1014" s="59" t="n"/>
      <c r="CI1014" s="59" t="n"/>
      <c r="CJ1014" s="59" t="n"/>
      <c r="CK1014" s="59" t="n"/>
      <c r="CL1014" s="59" t="n"/>
      <c r="CM1014" s="59" t="n"/>
      <c r="CN1014" s="59" t="n"/>
    </row>
    <row r="1015" ht="15" customFormat="1" customHeight="1" s="3">
      <c r="A1015">
        <f>A1014+1</f>
        <v/>
      </c>
      <c r="I1015" s="20" t="n"/>
      <c r="K1015">
        <f>I1015+J1015</f>
        <v/>
      </c>
      <c r="X1015" s="59" t="n"/>
      <c r="Y1015" s="59" t="n"/>
      <c r="Z1015" s="59" t="n"/>
      <c r="AA1015" s="59" t="n"/>
      <c r="AB1015" s="59" t="n"/>
      <c r="AC1015" s="59" t="n"/>
      <c r="AD1015" s="59" t="n"/>
      <c r="AE1015" s="59" t="n"/>
      <c r="AF1015" s="59" t="n"/>
      <c r="AG1015" s="59" t="n"/>
      <c r="AH1015" s="59" t="n"/>
      <c r="AI1015" s="59" t="n"/>
      <c r="AJ1015" s="59" t="n"/>
      <c r="AK1015" s="59" t="n"/>
      <c r="AL1015" s="59" t="n"/>
      <c r="AM1015" s="59" t="n"/>
      <c r="AN1015" s="59" t="n"/>
      <c r="AO1015" s="59" t="n"/>
      <c r="AP1015" s="59" t="n"/>
      <c r="AQ1015" s="59" t="n"/>
      <c r="AR1015" s="59" t="n"/>
      <c r="AS1015" s="59" t="n"/>
      <c r="AT1015" s="59" t="n"/>
      <c r="AU1015" s="59" t="n"/>
      <c r="AV1015" s="59" t="n"/>
      <c r="AW1015" s="59" t="n"/>
      <c r="AX1015" s="59" t="n"/>
      <c r="AY1015" s="59" t="n"/>
      <c r="AZ1015" s="59" t="n"/>
      <c r="BA1015" s="59" t="n"/>
      <c r="BB1015" s="59" t="n"/>
      <c r="BC1015" s="59" t="n"/>
      <c r="BD1015" s="59" t="n"/>
      <c r="BE1015" s="59" t="n"/>
      <c r="BF1015" s="59" t="n"/>
      <c r="BG1015" s="59" t="n"/>
      <c r="BH1015" s="59" t="n"/>
      <c r="BI1015" s="59" t="n"/>
      <c r="BJ1015" s="59" t="n"/>
      <c r="BK1015" s="59" t="n"/>
      <c r="BL1015" s="59" t="n"/>
      <c r="BM1015" s="59" t="n"/>
      <c r="BN1015" s="59" t="n"/>
      <c r="BO1015" s="59" t="n"/>
      <c r="BP1015" s="59" t="n"/>
      <c r="BQ1015" s="59" t="n"/>
      <c r="BR1015" s="59" t="n"/>
      <c r="BS1015" s="59" t="n"/>
      <c r="BT1015" s="59" t="n"/>
      <c r="BU1015" s="59" t="n"/>
      <c r="BV1015" s="59" t="n"/>
      <c r="BW1015" s="59" t="n"/>
      <c r="BX1015" s="59" t="n"/>
      <c r="BY1015" s="59" t="n"/>
      <c r="BZ1015" s="59" t="n"/>
      <c r="CA1015" s="59" t="n"/>
      <c r="CB1015" s="59" t="n"/>
      <c r="CC1015" s="59" t="n"/>
      <c r="CD1015" s="59" t="n"/>
      <c r="CE1015" s="59" t="n"/>
      <c r="CF1015" s="59" t="n"/>
      <c r="CG1015" s="59" t="n"/>
      <c r="CH1015" s="59" t="n"/>
      <c r="CI1015" s="59" t="n"/>
      <c r="CJ1015" s="59" t="n"/>
      <c r="CK1015" s="59" t="n"/>
      <c r="CL1015" s="59" t="n"/>
      <c r="CM1015" s="59" t="n"/>
      <c r="CN1015" s="59" t="n"/>
    </row>
    <row r="1016" ht="15" customFormat="1" customHeight="1" s="3">
      <c r="A1016">
        <f>A1015+1</f>
        <v/>
      </c>
      <c r="I1016" s="20" t="n"/>
      <c r="K1016">
        <f>I1016+J1016</f>
        <v/>
      </c>
      <c r="X1016" s="59" t="n"/>
      <c r="Y1016" s="59" t="n"/>
      <c r="Z1016" s="59" t="n"/>
      <c r="AA1016" s="59" t="n"/>
      <c r="AB1016" s="59" t="n"/>
      <c r="AC1016" s="59" t="n"/>
      <c r="AD1016" s="59" t="n"/>
      <c r="AE1016" s="59" t="n"/>
      <c r="AF1016" s="59" t="n"/>
      <c r="AG1016" s="59" t="n"/>
      <c r="AH1016" s="59" t="n"/>
      <c r="AI1016" s="59" t="n"/>
      <c r="AJ1016" s="59" t="n"/>
      <c r="AK1016" s="59" t="n"/>
      <c r="AL1016" s="59" t="n"/>
      <c r="AM1016" s="59" t="n"/>
      <c r="AN1016" s="59" t="n"/>
      <c r="AO1016" s="59" t="n"/>
      <c r="AP1016" s="59" t="n"/>
      <c r="AQ1016" s="59" t="n"/>
      <c r="AR1016" s="59" t="n"/>
      <c r="AS1016" s="59" t="n"/>
      <c r="AT1016" s="59" t="n"/>
      <c r="AU1016" s="59" t="n"/>
      <c r="AV1016" s="59" t="n"/>
      <c r="AW1016" s="59" t="n"/>
      <c r="AX1016" s="59" t="n"/>
      <c r="AY1016" s="59" t="n"/>
      <c r="AZ1016" s="59" t="n"/>
      <c r="BA1016" s="59" t="n"/>
      <c r="BB1016" s="59" t="n"/>
      <c r="BC1016" s="59" t="n"/>
      <c r="BD1016" s="59" t="n"/>
      <c r="BE1016" s="59" t="n"/>
      <c r="BF1016" s="59" t="n"/>
      <c r="BG1016" s="59" t="n"/>
      <c r="BH1016" s="59" t="n"/>
      <c r="BI1016" s="59" t="n"/>
      <c r="BJ1016" s="59" t="n"/>
      <c r="BK1016" s="59" t="n"/>
      <c r="BL1016" s="59" t="n"/>
      <c r="BM1016" s="59" t="n"/>
      <c r="BN1016" s="59" t="n"/>
      <c r="BO1016" s="59" t="n"/>
      <c r="BP1016" s="59" t="n"/>
      <c r="BQ1016" s="59" t="n"/>
      <c r="BR1016" s="59" t="n"/>
      <c r="BS1016" s="59" t="n"/>
      <c r="BT1016" s="59" t="n"/>
      <c r="BU1016" s="59" t="n"/>
      <c r="BV1016" s="59" t="n"/>
      <c r="BW1016" s="59" t="n"/>
      <c r="BX1016" s="59" t="n"/>
      <c r="BY1016" s="59" t="n"/>
      <c r="BZ1016" s="59" t="n"/>
      <c r="CA1016" s="59" t="n"/>
      <c r="CB1016" s="59" t="n"/>
      <c r="CC1016" s="59" t="n"/>
      <c r="CD1016" s="59" t="n"/>
      <c r="CE1016" s="59" t="n"/>
      <c r="CF1016" s="59" t="n"/>
      <c r="CG1016" s="59" t="n"/>
      <c r="CH1016" s="59" t="n"/>
      <c r="CI1016" s="59" t="n"/>
      <c r="CJ1016" s="59" t="n"/>
      <c r="CK1016" s="59" t="n"/>
      <c r="CL1016" s="59" t="n"/>
      <c r="CM1016" s="59" t="n"/>
      <c r="CN1016" s="59" t="n"/>
    </row>
    <row r="1017" ht="15" customFormat="1" customHeight="1" s="3">
      <c r="A1017">
        <f>A1016+1</f>
        <v/>
      </c>
      <c r="I1017" s="20" t="n"/>
      <c r="K1017">
        <f>I1017+J1017</f>
        <v/>
      </c>
      <c r="X1017" s="59" t="n"/>
      <c r="Y1017" s="59" t="n"/>
      <c r="Z1017" s="59" t="n"/>
      <c r="AA1017" s="59" t="n"/>
      <c r="AB1017" s="59" t="n"/>
      <c r="AC1017" s="59" t="n"/>
      <c r="AD1017" s="59" t="n"/>
      <c r="AE1017" s="59" t="n"/>
      <c r="AF1017" s="59" t="n"/>
      <c r="AG1017" s="59" t="n"/>
      <c r="AH1017" s="59" t="n"/>
      <c r="AI1017" s="59" t="n"/>
      <c r="AJ1017" s="59" t="n"/>
      <c r="AK1017" s="59" t="n"/>
      <c r="AL1017" s="59" t="n"/>
      <c r="AM1017" s="59" t="n"/>
      <c r="AN1017" s="59" t="n"/>
      <c r="AO1017" s="59" t="n"/>
      <c r="AP1017" s="59" t="n"/>
      <c r="AQ1017" s="59" t="n"/>
      <c r="AR1017" s="59" t="n"/>
      <c r="AS1017" s="59" t="n"/>
      <c r="AT1017" s="59" t="n"/>
      <c r="AU1017" s="59" t="n"/>
      <c r="AV1017" s="59" t="n"/>
      <c r="AW1017" s="59" t="n"/>
      <c r="AX1017" s="59" t="n"/>
      <c r="AY1017" s="59" t="n"/>
      <c r="AZ1017" s="59" t="n"/>
      <c r="BA1017" s="59" t="n"/>
      <c r="BB1017" s="59" t="n"/>
      <c r="BC1017" s="59" t="n"/>
      <c r="BD1017" s="59" t="n"/>
      <c r="BE1017" s="59" t="n"/>
      <c r="BF1017" s="59" t="n"/>
      <c r="BG1017" s="59" t="n"/>
      <c r="BH1017" s="59" t="n"/>
      <c r="BI1017" s="59" t="n"/>
      <c r="BJ1017" s="59" t="n"/>
      <c r="BK1017" s="59" t="n"/>
      <c r="BL1017" s="59" t="n"/>
      <c r="BM1017" s="59" t="n"/>
      <c r="BN1017" s="59" t="n"/>
      <c r="BO1017" s="59" t="n"/>
      <c r="BP1017" s="59" t="n"/>
      <c r="BQ1017" s="59" t="n"/>
      <c r="BR1017" s="59" t="n"/>
      <c r="BS1017" s="59" t="n"/>
      <c r="BT1017" s="59" t="n"/>
      <c r="BU1017" s="59" t="n"/>
      <c r="BV1017" s="59" t="n"/>
      <c r="BW1017" s="59" t="n"/>
      <c r="BX1017" s="59" t="n"/>
      <c r="BY1017" s="59" t="n"/>
      <c r="BZ1017" s="59" t="n"/>
      <c r="CA1017" s="59" t="n"/>
      <c r="CB1017" s="59" t="n"/>
      <c r="CC1017" s="59" t="n"/>
      <c r="CD1017" s="59" t="n"/>
      <c r="CE1017" s="59" t="n"/>
      <c r="CF1017" s="59" t="n"/>
      <c r="CG1017" s="59" t="n"/>
      <c r="CH1017" s="59" t="n"/>
      <c r="CI1017" s="59" t="n"/>
      <c r="CJ1017" s="59" t="n"/>
      <c r="CK1017" s="59" t="n"/>
      <c r="CL1017" s="59" t="n"/>
      <c r="CM1017" s="59" t="n"/>
      <c r="CN1017" s="59" t="n"/>
    </row>
    <row r="1018" ht="15" customFormat="1" customHeight="1" s="3">
      <c r="A1018">
        <f>A1017+1</f>
        <v/>
      </c>
      <c r="I1018" s="20" t="n"/>
      <c r="K1018">
        <f>I1018+J1018</f>
        <v/>
      </c>
      <c r="X1018" s="59" t="n"/>
      <c r="Y1018" s="59" t="n"/>
      <c r="Z1018" s="59" t="n"/>
      <c r="AA1018" s="59" t="n"/>
      <c r="AB1018" s="59" t="n"/>
      <c r="AC1018" s="59" t="n"/>
      <c r="AD1018" s="59" t="n"/>
      <c r="AE1018" s="59" t="n"/>
      <c r="AF1018" s="59" t="n"/>
      <c r="AG1018" s="59" t="n"/>
      <c r="AH1018" s="59" t="n"/>
      <c r="AI1018" s="59" t="n"/>
      <c r="AJ1018" s="59" t="n"/>
      <c r="AK1018" s="59" t="n"/>
      <c r="AL1018" s="59" t="n"/>
      <c r="AM1018" s="59" t="n"/>
      <c r="AN1018" s="59" t="n"/>
      <c r="AO1018" s="59" t="n"/>
      <c r="AP1018" s="59" t="n"/>
      <c r="AQ1018" s="59" t="n"/>
      <c r="AR1018" s="59" t="n"/>
      <c r="AS1018" s="59" t="n"/>
      <c r="AT1018" s="59" t="n"/>
      <c r="AU1018" s="59" t="n"/>
      <c r="AV1018" s="59" t="n"/>
      <c r="AW1018" s="59" t="n"/>
      <c r="AX1018" s="59" t="n"/>
      <c r="AY1018" s="59" t="n"/>
      <c r="AZ1018" s="59" t="n"/>
      <c r="BA1018" s="59" t="n"/>
      <c r="BB1018" s="59" t="n"/>
      <c r="BC1018" s="59" t="n"/>
      <c r="BD1018" s="59" t="n"/>
      <c r="BE1018" s="59" t="n"/>
      <c r="BF1018" s="59" t="n"/>
      <c r="BG1018" s="59" t="n"/>
      <c r="BH1018" s="59" t="n"/>
      <c r="BI1018" s="59" t="n"/>
      <c r="BJ1018" s="59" t="n"/>
      <c r="BK1018" s="59" t="n"/>
      <c r="BL1018" s="59" t="n"/>
      <c r="BM1018" s="59" t="n"/>
      <c r="BN1018" s="59" t="n"/>
      <c r="BO1018" s="59" t="n"/>
      <c r="BP1018" s="59" t="n"/>
      <c r="BQ1018" s="59" t="n"/>
      <c r="BR1018" s="59" t="n"/>
      <c r="BS1018" s="59" t="n"/>
      <c r="BT1018" s="59" t="n"/>
      <c r="BU1018" s="59" t="n"/>
      <c r="BV1018" s="59" t="n"/>
      <c r="BW1018" s="59" t="n"/>
      <c r="BX1018" s="59" t="n"/>
      <c r="BY1018" s="59" t="n"/>
      <c r="BZ1018" s="59" t="n"/>
      <c r="CA1018" s="59" t="n"/>
      <c r="CB1018" s="59" t="n"/>
      <c r="CC1018" s="59" t="n"/>
      <c r="CD1018" s="59" t="n"/>
      <c r="CE1018" s="59" t="n"/>
      <c r="CF1018" s="59" t="n"/>
      <c r="CG1018" s="59" t="n"/>
      <c r="CH1018" s="59" t="n"/>
      <c r="CI1018" s="59" t="n"/>
      <c r="CJ1018" s="59" t="n"/>
      <c r="CK1018" s="59" t="n"/>
      <c r="CL1018" s="59" t="n"/>
      <c r="CM1018" s="59" t="n"/>
      <c r="CN1018" s="59" t="n"/>
    </row>
    <row r="1019" ht="15" customFormat="1" customHeight="1" s="3">
      <c r="A1019">
        <f>A1018+1</f>
        <v/>
      </c>
      <c r="I1019" s="20" t="n"/>
      <c r="K1019">
        <f>I1019+J1019</f>
        <v/>
      </c>
      <c r="X1019" s="59" t="n"/>
      <c r="Y1019" s="59" t="n"/>
      <c r="Z1019" s="59" t="n"/>
      <c r="AA1019" s="59" t="n"/>
      <c r="AB1019" s="59" t="n"/>
      <c r="AC1019" s="59" t="n"/>
      <c r="AD1019" s="59" t="n"/>
      <c r="AE1019" s="59" t="n"/>
      <c r="AF1019" s="59" t="n"/>
      <c r="AG1019" s="59" t="n"/>
      <c r="AH1019" s="59" t="n"/>
      <c r="AI1019" s="59" t="n"/>
      <c r="AJ1019" s="59" t="n"/>
      <c r="AK1019" s="59" t="n"/>
      <c r="AL1019" s="59" t="n"/>
      <c r="AM1019" s="59" t="n"/>
      <c r="AN1019" s="59" t="n"/>
      <c r="AO1019" s="59" t="n"/>
      <c r="AP1019" s="59" t="n"/>
      <c r="AQ1019" s="59" t="n"/>
      <c r="AR1019" s="59" t="n"/>
      <c r="AS1019" s="59" t="n"/>
      <c r="AT1019" s="59" t="n"/>
      <c r="AU1019" s="59" t="n"/>
      <c r="AV1019" s="59" t="n"/>
      <c r="AW1019" s="59" t="n"/>
      <c r="AX1019" s="59" t="n"/>
      <c r="AY1019" s="59" t="n"/>
      <c r="AZ1019" s="59" t="n"/>
      <c r="BA1019" s="59" t="n"/>
      <c r="BB1019" s="59" t="n"/>
      <c r="BC1019" s="59" t="n"/>
      <c r="BD1019" s="59" t="n"/>
      <c r="BE1019" s="59" t="n"/>
      <c r="BF1019" s="59" t="n"/>
      <c r="BG1019" s="59" t="n"/>
      <c r="BH1019" s="59" t="n"/>
      <c r="BI1019" s="59" t="n"/>
      <c r="BJ1019" s="59" t="n"/>
      <c r="BK1019" s="59" t="n"/>
      <c r="BL1019" s="59" t="n"/>
      <c r="BM1019" s="59" t="n"/>
      <c r="BN1019" s="59" t="n"/>
      <c r="BO1019" s="59" t="n"/>
      <c r="BP1019" s="59" t="n"/>
      <c r="BQ1019" s="59" t="n"/>
      <c r="BR1019" s="59" t="n"/>
      <c r="BS1019" s="59" t="n"/>
      <c r="BT1019" s="59" t="n"/>
      <c r="BU1019" s="59" t="n"/>
      <c r="BV1019" s="59" t="n"/>
      <c r="BW1019" s="59" t="n"/>
      <c r="BX1019" s="59" t="n"/>
      <c r="BY1019" s="59" t="n"/>
      <c r="BZ1019" s="59" t="n"/>
      <c r="CA1019" s="59" t="n"/>
      <c r="CB1019" s="59" t="n"/>
      <c r="CC1019" s="59" t="n"/>
      <c r="CD1019" s="59" t="n"/>
      <c r="CE1019" s="59" t="n"/>
      <c r="CF1019" s="59" t="n"/>
      <c r="CG1019" s="59" t="n"/>
      <c r="CH1019" s="59" t="n"/>
      <c r="CI1019" s="59" t="n"/>
      <c r="CJ1019" s="59" t="n"/>
      <c r="CK1019" s="59" t="n"/>
      <c r="CL1019" s="59" t="n"/>
      <c r="CM1019" s="59" t="n"/>
      <c r="CN1019" s="59" t="n"/>
    </row>
    <row r="1020" ht="15" customFormat="1" customHeight="1" s="3">
      <c r="A1020">
        <f>A1019+1</f>
        <v/>
      </c>
      <c r="I1020" s="20" t="n"/>
      <c r="K1020">
        <f>I1020+J1020</f>
        <v/>
      </c>
      <c r="X1020" s="59" t="n"/>
      <c r="Y1020" s="59" t="n"/>
      <c r="Z1020" s="59" t="n"/>
      <c r="AA1020" s="59" t="n"/>
      <c r="AB1020" s="59" t="n"/>
      <c r="AC1020" s="59" t="n"/>
      <c r="AD1020" s="59" t="n"/>
      <c r="AE1020" s="59" t="n"/>
      <c r="AF1020" s="59" t="n"/>
      <c r="AG1020" s="59" t="n"/>
      <c r="AH1020" s="59" t="n"/>
      <c r="AI1020" s="59" t="n"/>
      <c r="AJ1020" s="59" t="n"/>
      <c r="AK1020" s="59" t="n"/>
      <c r="AL1020" s="59" t="n"/>
      <c r="AM1020" s="59" t="n"/>
      <c r="AN1020" s="59" t="n"/>
      <c r="AO1020" s="59" t="n"/>
      <c r="AP1020" s="59" t="n"/>
      <c r="AQ1020" s="59" t="n"/>
      <c r="AR1020" s="59" t="n"/>
      <c r="AS1020" s="59" t="n"/>
      <c r="AT1020" s="59" t="n"/>
      <c r="AU1020" s="59" t="n"/>
      <c r="AV1020" s="59" t="n"/>
      <c r="AW1020" s="59" t="n"/>
      <c r="AX1020" s="59" t="n"/>
      <c r="AY1020" s="59" t="n"/>
      <c r="AZ1020" s="59" t="n"/>
      <c r="BA1020" s="59" t="n"/>
      <c r="BB1020" s="59" t="n"/>
      <c r="BC1020" s="59" t="n"/>
      <c r="BD1020" s="59" t="n"/>
      <c r="BE1020" s="59" t="n"/>
      <c r="BF1020" s="59" t="n"/>
      <c r="BG1020" s="59" t="n"/>
      <c r="BH1020" s="59" t="n"/>
      <c r="BI1020" s="59" t="n"/>
      <c r="BJ1020" s="59" t="n"/>
      <c r="BK1020" s="59" t="n"/>
      <c r="BL1020" s="59" t="n"/>
      <c r="BM1020" s="59" t="n"/>
      <c r="BN1020" s="59" t="n"/>
      <c r="BO1020" s="59" t="n"/>
      <c r="BP1020" s="59" t="n"/>
      <c r="BQ1020" s="59" t="n"/>
      <c r="BR1020" s="59" t="n"/>
      <c r="BS1020" s="59" t="n"/>
      <c r="BT1020" s="59" t="n"/>
      <c r="BU1020" s="59" t="n"/>
      <c r="BV1020" s="59" t="n"/>
      <c r="BW1020" s="59" t="n"/>
      <c r="BX1020" s="59" t="n"/>
      <c r="BY1020" s="59" t="n"/>
      <c r="BZ1020" s="59" t="n"/>
      <c r="CA1020" s="59" t="n"/>
      <c r="CB1020" s="59" t="n"/>
      <c r="CC1020" s="59" t="n"/>
      <c r="CD1020" s="59" t="n"/>
      <c r="CE1020" s="59" t="n"/>
      <c r="CF1020" s="59" t="n"/>
      <c r="CG1020" s="59" t="n"/>
      <c r="CH1020" s="59" t="n"/>
      <c r="CI1020" s="59" t="n"/>
      <c r="CJ1020" s="59" t="n"/>
      <c r="CK1020" s="59" t="n"/>
      <c r="CL1020" s="59" t="n"/>
      <c r="CM1020" s="59" t="n"/>
      <c r="CN1020" s="59" t="n"/>
    </row>
    <row r="1021" ht="15" customFormat="1" customHeight="1" s="3">
      <c r="A1021">
        <f>A1020+1</f>
        <v/>
      </c>
      <c r="I1021" s="20" t="n"/>
      <c r="K1021">
        <f>I1021+J1021</f>
        <v/>
      </c>
      <c r="X1021" s="59" t="n"/>
      <c r="Y1021" s="59" t="n"/>
      <c r="Z1021" s="59" t="n"/>
      <c r="AA1021" s="59" t="n"/>
      <c r="AB1021" s="59" t="n"/>
      <c r="AC1021" s="59" t="n"/>
      <c r="AD1021" s="59" t="n"/>
      <c r="AE1021" s="59" t="n"/>
      <c r="AF1021" s="59" t="n"/>
      <c r="AG1021" s="59" t="n"/>
      <c r="AH1021" s="59" t="n"/>
      <c r="AI1021" s="59" t="n"/>
      <c r="AJ1021" s="59" t="n"/>
      <c r="AK1021" s="59" t="n"/>
      <c r="AL1021" s="59" t="n"/>
      <c r="AM1021" s="59" t="n"/>
      <c r="AN1021" s="59" t="n"/>
      <c r="AO1021" s="59" t="n"/>
      <c r="AP1021" s="59" t="n"/>
      <c r="AQ1021" s="59" t="n"/>
      <c r="AR1021" s="59" t="n"/>
      <c r="AS1021" s="59" t="n"/>
      <c r="AT1021" s="59" t="n"/>
      <c r="AU1021" s="59" t="n"/>
      <c r="AV1021" s="59" t="n"/>
      <c r="AW1021" s="59" t="n"/>
      <c r="AX1021" s="59" t="n"/>
      <c r="AY1021" s="59" t="n"/>
      <c r="AZ1021" s="59" t="n"/>
      <c r="BA1021" s="59" t="n"/>
      <c r="BB1021" s="59" t="n"/>
      <c r="BC1021" s="59" t="n"/>
      <c r="BD1021" s="59" t="n"/>
      <c r="BE1021" s="59" t="n"/>
      <c r="BF1021" s="59" t="n"/>
      <c r="BG1021" s="59" t="n"/>
      <c r="BH1021" s="59" t="n"/>
      <c r="BI1021" s="59" t="n"/>
      <c r="BJ1021" s="59" t="n"/>
      <c r="BK1021" s="59" t="n"/>
      <c r="BL1021" s="59" t="n"/>
      <c r="BM1021" s="59" t="n"/>
      <c r="BN1021" s="59" t="n"/>
      <c r="BO1021" s="59" t="n"/>
      <c r="BP1021" s="59" t="n"/>
      <c r="BQ1021" s="59" t="n"/>
      <c r="BR1021" s="59" t="n"/>
      <c r="BS1021" s="59" t="n"/>
      <c r="BT1021" s="59" t="n"/>
      <c r="BU1021" s="59" t="n"/>
      <c r="BV1021" s="59" t="n"/>
      <c r="BW1021" s="59" t="n"/>
      <c r="BX1021" s="59" t="n"/>
      <c r="BY1021" s="59" t="n"/>
      <c r="BZ1021" s="59" t="n"/>
      <c r="CA1021" s="59" t="n"/>
      <c r="CB1021" s="59" t="n"/>
      <c r="CC1021" s="59" t="n"/>
      <c r="CD1021" s="59" t="n"/>
      <c r="CE1021" s="59" t="n"/>
      <c r="CF1021" s="59" t="n"/>
      <c r="CG1021" s="59" t="n"/>
      <c r="CH1021" s="59" t="n"/>
      <c r="CI1021" s="59" t="n"/>
      <c r="CJ1021" s="59" t="n"/>
      <c r="CK1021" s="59" t="n"/>
      <c r="CL1021" s="59" t="n"/>
      <c r="CM1021" s="59" t="n"/>
      <c r="CN1021" s="59" t="n"/>
    </row>
    <row r="1022" ht="15" customFormat="1" customHeight="1" s="3">
      <c r="A1022">
        <f>A1021+1</f>
        <v/>
      </c>
      <c r="I1022" s="20" t="n"/>
      <c r="K1022">
        <f>I1022+J1022</f>
        <v/>
      </c>
      <c r="X1022" s="59" t="n"/>
      <c r="Y1022" s="59" t="n"/>
      <c r="Z1022" s="59" t="n"/>
      <c r="AA1022" s="59" t="n"/>
      <c r="AB1022" s="59" t="n"/>
      <c r="AC1022" s="59" t="n"/>
      <c r="AD1022" s="59" t="n"/>
      <c r="AE1022" s="59" t="n"/>
      <c r="AF1022" s="59" t="n"/>
      <c r="AG1022" s="59" t="n"/>
      <c r="AH1022" s="59" t="n"/>
      <c r="AI1022" s="59" t="n"/>
      <c r="AJ1022" s="59" t="n"/>
      <c r="AK1022" s="59" t="n"/>
      <c r="AL1022" s="59" t="n"/>
      <c r="AM1022" s="59" t="n"/>
      <c r="AN1022" s="59" t="n"/>
      <c r="AO1022" s="59" t="n"/>
      <c r="AP1022" s="59" t="n"/>
      <c r="AQ1022" s="59" t="n"/>
      <c r="AR1022" s="59" t="n"/>
      <c r="AS1022" s="59" t="n"/>
      <c r="AT1022" s="59" t="n"/>
      <c r="AU1022" s="59" t="n"/>
      <c r="AV1022" s="59" t="n"/>
      <c r="AW1022" s="59" t="n"/>
      <c r="AX1022" s="59" t="n"/>
      <c r="AY1022" s="59" t="n"/>
      <c r="AZ1022" s="59" t="n"/>
      <c r="BA1022" s="59" t="n"/>
      <c r="BB1022" s="59" t="n"/>
      <c r="BC1022" s="59" t="n"/>
      <c r="BD1022" s="59" t="n"/>
      <c r="BE1022" s="59" t="n"/>
      <c r="BF1022" s="59" t="n"/>
      <c r="BG1022" s="59" t="n"/>
      <c r="BH1022" s="59" t="n"/>
      <c r="BI1022" s="59" t="n"/>
      <c r="BJ1022" s="59" t="n"/>
      <c r="BK1022" s="59" t="n"/>
      <c r="BL1022" s="59" t="n"/>
      <c r="BM1022" s="59" t="n"/>
      <c r="BN1022" s="59" t="n"/>
      <c r="BO1022" s="59" t="n"/>
      <c r="BP1022" s="59" t="n"/>
      <c r="BQ1022" s="59" t="n"/>
      <c r="BR1022" s="59" t="n"/>
      <c r="BS1022" s="59" t="n"/>
      <c r="BT1022" s="59" t="n"/>
      <c r="BU1022" s="59" t="n"/>
      <c r="BV1022" s="59" t="n"/>
      <c r="BW1022" s="59" t="n"/>
      <c r="BX1022" s="59" t="n"/>
      <c r="BY1022" s="59" t="n"/>
      <c r="BZ1022" s="59" t="n"/>
      <c r="CA1022" s="59" t="n"/>
      <c r="CB1022" s="59" t="n"/>
      <c r="CC1022" s="59" t="n"/>
      <c r="CD1022" s="59" t="n"/>
      <c r="CE1022" s="59" t="n"/>
      <c r="CF1022" s="59" t="n"/>
      <c r="CG1022" s="59" t="n"/>
      <c r="CH1022" s="59" t="n"/>
      <c r="CI1022" s="59" t="n"/>
      <c r="CJ1022" s="59" t="n"/>
      <c r="CK1022" s="59" t="n"/>
      <c r="CL1022" s="59" t="n"/>
      <c r="CM1022" s="59" t="n"/>
      <c r="CN1022" s="59" t="n"/>
    </row>
    <row r="1023" ht="15" customFormat="1" customHeight="1" s="3">
      <c r="A1023">
        <f>A1022+1</f>
        <v/>
      </c>
      <c r="I1023" s="20" t="n"/>
      <c r="K1023">
        <f>I1023+J1023</f>
        <v/>
      </c>
      <c r="X1023" s="59" t="n"/>
      <c r="Y1023" s="59" t="n"/>
      <c r="Z1023" s="59" t="n"/>
      <c r="AA1023" s="59" t="n"/>
      <c r="AB1023" s="59" t="n"/>
      <c r="AC1023" s="59" t="n"/>
      <c r="AD1023" s="59" t="n"/>
      <c r="AE1023" s="59" t="n"/>
      <c r="AF1023" s="59" t="n"/>
      <c r="AG1023" s="59" t="n"/>
      <c r="AH1023" s="59" t="n"/>
      <c r="AI1023" s="59" t="n"/>
      <c r="AJ1023" s="59" t="n"/>
      <c r="AK1023" s="59" t="n"/>
      <c r="AL1023" s="59" t="n"/>
      <c r="AM1023" s="59" t="n"/>
      <c r="AN1023" s="59" t="n"/>
      <c r="AO1023" s="59" t="n"/>
      <c r="AP1023" s="59" t="n"/>
      <c r="AQ1023" s="59" t="n"/>
      <c r="AR1023" s="59" t="n"/>
      <c r="AS1023" s="59" t="n"/>
      <c r="AT1023" s="59" t="n"/>
      <c r="AU1023" s="59" t="n"/>
      <c r="AV1023" s="59" t="n"/>
      <c r="AW1023" s="59" t="n"/>
      <c r="AX1023" s="59" t="n"/>
      <c r="AY1023" s="59" t="n"/>
      <c r="AZ1023" s="59" t="n"/>
      <c r="BA1023" s="59" t="n"/>
      <c r="BB1023" s="59" t="n"/>
      <c r="BC1023" s="59" t="n"/>
      <c r="BD1023" s="59" t="n"/>
      <c r="BE1023" s="59" t="n"/>
      <c r="BF1023" s="59" t="n"/>
      <c r="BG1023" s="59" t="n"/>
      <c r="BH1023" s="59" t="n"/>
      <c r="BI1023" s="59" t="n"/>
      <c r="BJ1023" s="59" t="n"/>
      <c r="BK1023" s="59" t="n"/>
      <c r="BL1023" s="59" t="n"/>
      <c r="BM1023" s="59" t="n"/>
      <c r="BN1023" s="59" t="n"/>
      <c r="BO1023" s="59" t="n"/>
      <c r="BP1023" s="59" t="n"/>
      <c r="BQ1023" s="59" t="n"/>
      <c r="BR1023" s="59" t="n"/>
      <c r="BS1023" s="59" t="n"/>
      <c r="BT1023" s="59" t="n"/>
      <c r="BU1023" s="59" t="n"/>
      <c r="BV1023" s="59" t="n"/>
      <c r="BW1023" s="59" t="n"/>
      <c r="BX1023" s="59" t="n"/>
      <c r="BY1023" s="59" t="n"/>
      <c r="BZ1023" s="59" t="n"/>
      <c r="CA1023" s="59" t="n"/>
      <c r="CB1023" s="59" t="n"/>
      <c r="CC1023" s="59" t="n"/>
      <c r="CD1023" s="59" t="n"/>
      <c r="CE1023" s="59" t="n"/>
      <c r="CF1023" s="59" t="n"/>
      <c r="CG1023" s="59" t="n"/>
      <c r="CH1023" s="59" t="n"/>
      <c r="CI1023" s="59" t="n"/>
      <c r="CJ1023" s="59" t="n"/>
      <c r="CK1023" s="59" t="n"/>
      <c r="CL1023" s="59" t="n"/>
      <c r="CM1023" s="59" t="n"/>
      <c r="CN1023" s="59" t="n"/>
    </row>
    <row r="1024" ht="15" customFormat="1" customHeight="1" s="3">
      <c r="A1024">
        <f>A1023+1</f>
        <v/>
      </c>
      <c r="I1024" s="20" t="n"/>
      <c r="K1024">
        <f>I1024+J1024</f>
        <v/>
      </c>
      <c r="X1024" s="59" t="n"/>
      <c r="Y1024" s="59" t="n"/>
      <c r="Z1024" s="59" t="n"/>
      <c r="AA1024" s="59" t="n"/>
      <c r="AB1024" s="59" t="n"/>
      <c r="AC1024" s="59" t="n"/>
      <c r="AD1024" s="59" t="n"/>
      <c r="AE1024" s="59" t="n"/>
      <c r="AF1024" s="59" t="n"/>
      <c r="AG1024" s="59" t="n"/>
      <c r="AH1024" s="59" t="n"/>
      <c r="AI1024" s="59" t="n"/>
      <c r="AJ1024" s="59" t="n"/>
      <c r="AK1024" s="59" t="n"/>
      <c r="AL1024" s="59" t="n"/>
      <c r="AM1024" s="59" t="n"/>
      <c r="AN1024" s="59" t="n"/>
      <c r="AO1024" s="59" t="n"/>
      <c r="AP1024" s="59" t="n"/>
      <c r="AQ1024" s="59" t="n"/>
      <c r="AR1024" s="59" t="n"/>
      <c r="AS1024" s="59" t="n"/>
      <c r="AT1024" s="59" t="n"/>
      <c r="AU1024" s="59" t="n"/>
      <c r="AV1024" s="59" t="n"/>
      <c r="AW1024" s="59" t="n"/>
      <c r="AX1024" s="59" t="n"/>
      <c r="AY1024" s="59" t="n"/>
      <c r="AZ1024" s="59" t="n"/>
      <c r="BA1024" s="59" t="n"/>
      <c r="BB1024" s="59" t="n"/>
      <c r="BC1024" s="59" t="n"/>
      <c r="BD1024" s="59" t="n"/>
      <c r="BE1024" s="59" t="n"/>
      <c r="BF1024" s="59" t="n"/>
      <c r="BG1024" s="59" t="n"/>
      <c r="BH1024" s="59" t="n"/>
      <c r="BI1024" s="59" t="n"/>
      <c r="BJ1024" s="59" t="n"/>
      <c r="BK1024" s="59" t="n"/>
      <c r="BL1024" s="59" t="n"/>
      <c r="BM1024" s="59" t="n"/>
      <c r="BN1024" s="59" t="n"/>
      <c r="BO1024" s="59" t="n"/>
      <c r="BP1024" s="59" t="n"/>
      <c r="BQ1024" s="59" t="n"/>
      <c r="BR1024" s="59" t="n"/>
      <c r="BS1024" s="59" t="n"/>
      <c r="BT1024" s="59" t="n"/>
      <c r="BU1024" s="59" t="n"/>
      <c r="BV1024" s="59" t="n"/>
      <c r="BW1024" s="59" t="n"/>
      <c r="BX1024" s="59" t="n"/>
      <c r="BY1024" s="59" t="n"/>
      <c r="BZ1024" s="59" t="n"/>
      <c r="CA1024" s="59" t="n"/>
      <c r="CB1024" s="59" t="n"/>
      <c r="CC1024" s="59" t="n"/>
      <c r="CD1024" s="59" t="n"/>
      <c r="CE1024" s="59" t="n"/>
      <c r="CF1024" s="59" t="n"/>
      <c r="CG1024" s="59" t="n"/>
      <c r="CH1024" s="59" t="n"/>
      <c r="CI1024" s="59" t="n"/>
      <c r="CJ1024" s="59" t="n"/>
      <c r="CK1024" s="59" t="n"/>
      <c r="CL1024" s="59" t="n"/>
      <c r="CM1024" s="59" t="n"/>
      <c r="CN1024" s="59" t="n"/>
    </row>
    <row r="1025" ht="15" customFormat="1" customHeight="1" s="3">
      <c r="A1025">
        <f>A1024+1</f>
        <v/>
      </c>
      <c r="I1025" s="20" t="n"/>
      <c r="K1025">
        <f>I1025+J1025</f>
        <v/>
      </c>
      <c r="X1025" s="59" t="n"/>
      <c r="Y1025" s="59" t="n"/>
      <c r="Z1025" s="59" t="n"/>
      <c r="AA1025" s="59" t="n"/>
      <c r="AB1025" s="59" t="n"/>
      <c r="AC1025" s="59" t="n"/>
      <c r="AD1025" s="59" t="n"/>
      <c r="AE1025" s="59" t="n"/>
      <c r="AF1025" s="59" t="n"/>
      <c r="AG1025" s="59" t="n"/>
      <c r="AH1025" s="59" t="n"/>
      <c r="AI1025" s="59" t="n"/>
      <c r="AJ1025" s="59" t="n"/>
      <c r="AK1025" s="59" t="n"/>
      <c r="AL1025" s="59" t="n"/>
      <c r="AM1025" s="59" t="n"/>
      <c r="AN1025" s="59" t="n"/>
      <c r="AO1025" s="59" t="n"/>
      <c r="AP1025" s="59" t="n"/>
      <c r="AQ1025" s="59" t="n"/>
      <c r="AR1025" s="59" t="n"/>
      <c r="AS1025" s="59" t="n"/>
      <c r="AT1025" s="59" t="n"/>
      <c r="AU1025" s="59" t="n"/>
      <c r="AV1025" s="59" t="n"/>
      <c r="AW1025" s="59" t="n"/>
      <c r="AX1025" s="59" t="n"/>
      <c r="AY1025" s="59" t="n"/>
      <c r="AZ1025" s="59" t="n"/>
      <c r="BA1025" s="59" t="n"/>
      <c r="BB1025" s="59" t="n"/>
      <c r="BC1025" s="59" t="n"/>
      <c r="BD1025" s="59" t="n"/>
      <c r="BE1025" s="59" t="n"/>
      <c r="BF1025" s="59" t="n"/>
      <c r="BG1025" s="59" t="n"/>
      <c r="BH1025" s="59" t="n"/>
      <c r="BI1025" s="59" t="n"/>
      <c r="BJ1025" s="59" t="n"/>
      <c r="BK1025" s="59" t="n"/>
      <c r="BL1025" s="59" t="n"/>
      <c r="BM1025" s="59" t="n"/>
      <c r="BN1025" s="59" t="n"/>
      <c r="BO1025" s="59" t="n"/>
      <c r="BP1025" s="59" t="n"/>
      <c r="BQ1025" s="59" t="n"/>
      <c r="BR1025" s="59" t="n"/>
      <c r="BS1025" s="59" t="n"/>
      <c r="BT1025" s="59" t="n"/>
      <c r="BU1025" s="59" t="n"/>
      <c r="BV1025" s="59" t="n"/>
      <c r="BW1025" s="59" t="n"/>
      <c r="BX1025" s="59" t="n"/>
      <c r="BY1025" s="59" t="n"/>
      <c r="BZ1025" s="59" t="n"/>
      <c r="CA1025" s="59" t="n"/>
      <c r="CB1025" s="59" t="n"/>
      <c r="CC1025" s="59" t="n"/>
      <c r="CD1025" s="59" t="n"/>
      <c r="CE1025" s="59" t="n"/>
      <c r="CF1025" s="59" t="n"/>
      <c r="CG1025" s="59" t="n"/>
      <c r="CH1025" s="59" t="n"/>
      <c r="CI1025" s="59" t="n"/>
      <c r="CJ1025" s="59" t="n"/>
      <c r="CK1025" s="59" t="n"/>
      <c r="CL1025" s="59" t="n"/>
      <c r="CM1025" s="59" t="n"/>
      <c r="CN1025" s="59" t="n"/>
    </row>
    <row r="1026" ht="15" customFormat="1" customHeight="1" s="3">
      <c r="A1026">
        <f>A1025+1</f>
        <v/>
      </c>
      <c r="I1026" s="20" t="n"/>
      <c r="K1026">
        <f>I1026+J1026</f>
        <v/>
      </c>
      <c r="X1026" s="59" t="n"/>
      <c r="Y1026" s="59" t="n"/>
      <c r="Z1026" s="59" t="n"/>
      <c r="AA1026" s="59" t="n"/>
      <c r="AB1026" s="59" t="n"/>
      <c r="AC1026" s="59" t="n"/>
      <c r="AD1026" s="59" t="n"/>
      <c r="AE1026" s="59" t="n"/>
      <c r="AF1026" s="59" t="n"/>
      <c r="AG1026" s="59" t="n"/>
      <c r="AH1026" s="59" t="n"/>
      <c r="AI1026" s="59" t="n"/>
      <c r="AJ1026" s="59" t="n"/>
      <c r="AK1026" s="59" t="n"/>
      <c r="AL1026" s="59" t="n"/>
      <c r="AM1026" s="59" t="n"/>
      <c r="AN1026" s="59" t="n"/>
      <c r="AO1026" s="59" t="n"/>
      <c r="AP1026" s="59" t="n"/>
      <c r="AQ1026" s="59" t="n"/>
      <c r="AR1026" s="59" t="n"/>
      <c r="AS1026" s="59" t="n"/>
      <c r="AT1026" s="59" t="n"/>
      <c r="AU1026" s="59" t="n"/>
      <c r="AV1026" s="59" t="n"/>
      <c r="AW1026" s="59" t="n"/>
      <c r="AX1026" s="59" t="n"/>
      <c r="AY1026" s="59" t="n"/>
      <c r="AZ1026" s="59" t="n"/>
      <c r="BA1026" s="59" t="n"/>
      <c r="BB1026" s="59" t="n"/>
      <c r="BC1026" s="59" t="n"/>
      <c r="BD1026" s="59" t="n"/>
      <c r="BE1026" s="59" t="n"/>
      <c r="BF1026" s="59" t="n"/>
      <c r="BG1026" s="59" t="n"/>
      <c r="BH1026" s="59" t="n"/>
      <c r="BI1026" s="59" t="n"/>
      <c r="BJ1026" s="59" t="n"/>
      <c r="BK1026" s="59" t="n"/>
      <c r="BL1026" s="59" t="n"/>
      <c r="BM1026" s="59" t="n"/>
      <c r="BN1026" s="59" t="n"/>
      <c r="BO1026" s="59" t="n"/>
      <c r="BP1026" s="59" t="n"/>
      <c r="BQ1026" s="59" t="n"/>
      <c r="BR1026" s="59" t="n"/>
      <c r="BS1026" s="59" t="n"/>
      <c r="BT1026" s="59" t="n"/>
      <c r="BU1026" s="59" t="n"/>
      <c r="BV1026" s="59" t="n"/>
      <c r="BW1026" s="59" t="n"/>
      <c r="BX1026" s="59" t="n"/>
      <c r="BY1026" s="59" t="n"/>
      <c r="BZ1026" s="59" t="n"/>
      <c r="CA1026" s="59" t="n"/>
      <c r="CB1026" s="59" t="n"/>
      <c r="CC1026" s="59" t="n"/>
      <c r="CD1026" s="59" t="n"/>
      <c r="CE1026" s="59" t="n"/>
      <c r="CF1026" s="59" t="n"/>
      <c r="CG1026" s="59" t="n"/>
      <c r="CH1026" s="59" t="n"/>
      <c r="CI1026" s="59" t="n"/>
      <c r="CJ1026" s="59" t="n"/>
      <c r="CK1026" s="59" t="n"/>
      <c r="CL1026" s="59" t="n"/>
      <c r="CM1026" s="59" t="n"/>
      <c r="CN1026" s="59" t="n"/>
    </row>
    <row r="1027" ht="15" customFormat="1" customHeight="1" s="3">
      <c r="A1027">
        <f>A1026+1</f>
        <v/>
      </c>
      <c r="I1027" s="20" t="n"/>
      <c r="K1027">
        <f>I1027+J1027</f>
        <v/>
      </c>
      <c r="X1027" s="59" t="n"/>
      <c r="Y1027" s="59" t="n"/>
      <c r="Z1027" s="59" t="n"/>
      <c r="AA1027" s="59" t="n"/>
      <c r="AB1027" s="59" t="n"/>
      <c r="AC1027" s="59" t="n"/>
      <c r="AD1027" s="59" t="n"/>
      <c r="AE1027" s="59" t="n"/>
      <c r="AF1027" s="59" t="n"/>
      <c r="AG1027" s="59" t="n"/>
      <c r="AH1027" s="59" t="n"/>
      <c r="AI1027" s="59" t="n"/>
      <c r="AJ1027" s="59" t="n"/>
      <c r="AK1027" s="59" t="n"/>
      <c r="AL1027" s="59" t="n"/>
      <c r="AM1027" s="59" t="n"/>
      <c r="AN1027" s="59" t="n"/>
      <c r="AO1027" s="59" t="n"/>
      <c r="AP1027" s="59" t="n"/>
      <c r="AQ1027" s="59" t="n"/>
      <c r="AR1027" s="59" t="n"/>
      <c r="AS1027" s="59" t="n"/>
      <c r="AT1027" s="59" t="n"/>
      <c r="AU1027" s="59" t="n"/>
      <c r="AV1027" s="59" t="n"/>
      <c r="AW1027" s="59" t="n"/>
      <c r="AX1027" s="59" t="n"/>
      <c r="AY1027" s="59" t="n"/>
      <c r="AZ1027" s="59" t="n"/>
      <c r="BA1027" s="59" t="n"/>
      <c r="BB1027" s="59" t="n"/>
      <c r="BC1027" s="59" t="n"/>
      <c r="BD1027" s="59" t="n"/>
      <c r="BE1027" s="59" t="n"/>
      <c r="BF1027" s="59" t="n"/>
      <c r="BG1027" s="59" t="n"/>
      <c r="BH1027" s="59" t="n"/>
      <c r="BI1027" s="59" t="n"/>
      <c r="BJ1027" s="59" t="n"/>
      <c r="BK1027" s="59" t="n"/>
      <c r="BL1027" s="59" t="n"/>
      <c r="BM1027" s="59" t="n"/>
      <c r="BN1027" s="59" t="n"/>
      <c r="BO1027" s="59" t="n"/>
      <c r="BP1027" s="59" t="n"/>
      <c r="BQ1027" s="59" t="n"/>
      <c r="BR1027" s="59" t="n"/>
      <c r="BS1027" s="59" t="n"/>
      <c r="BT1027" s="59" t="n"/>
      <c r="BU1027" s="59" t="n"/>
      <c r="BV1027" s="59" t="n"/>
      <c r="BW1027" s="59" t="n"/>
      <c r="BX1027" s="59" t="n"/>
      <c r="BY1027" s="59" t="n"/>
      <c r="BZ1027" s="59" t="n"/>
      <c r="CA1027" s="59" t="n"/>
      <c r="CB1027" s="59" t="n"/>
      <c r="CC1027" s="59" t="n"/>
      <c r="CD1027" s="59" t="n"/>
      <c r="CE1027" s="59" t="n"/>
      <c r="CF1027" s="59" t="n"/>
      <c r="CG1027" s="59" t="n"/>
      <c r="CH1027" s="59" t="n"/>
      <c r="CI1027" s="59" t="n"/>
      <c r="CJ1027" s="59" t="n"/>
      <c r="CK1027" s="59" t="n"/>
      <c r="CL1027" s="59" t="n"/>
      <c r="CM1027" s="59" t="n"/>
      <c r="CN1027" s="59" t="n"/>
    </row>
    <row r="1028" ht="15" customFormat="1" customHeight="1" s="3">
      <c r="A1028">
        <f>A1027+1</f>
        <v/>
      </c>
      <c r="I1028" s="20" t="n"/>
      <c r="K1028">
        <f>I1028+J1028</f>
        <v/>
      </c>
      <c r="X1028" s="59" t="n"/>
      <c r="Y1028" s="59" t="n"/>
      <c r="Z1028" s="59" t="n"/>
      <c r="AA1028" s="59" t="n"/>
      <c r="AB1028" s="59" t="n"/>
      <c r="AC1028" s="59" t="n"/>
      <c r="AD1028" s="59" t="n"/>
      <c r="AE1028" s="59" t="n"/>
      <c r="AF1028" s="59" t="n"/>
      <c r="AG1028" s="59" t="n"/>
      <c r="AH1028" s="59" t="n"/>
      <c r="AI1028" s="59" t="n"/>
      <c r="AJ1028" s="59" t="n"/>
      <c r="AK1028" s="59" t="n"/>
      <c r="AL1028" s="59" t="n"/>
      <c r="AM1028" s="59" t="n"/>
      <c r="AN1028" s="59" t="n"/>
      <c r="AO1028" s="59" t="n"/>
      <c r="AP1028" s="59" t="n"/>
      <c r="AQ1028" s="59" t="n"/>
      <c r="AR1028" s="59" t="n"/>
      <c r="AS1028" s="59" t="n"/>
      <c r="AT1028" s="59" t="n"/>
      <c r="AU1028" s="59" t="n"/>
      <c r="AV1028" s="59" t="n"/>
      <c r="AW1028" s="59" t="n"/>
      <c r="AX1028" s="59" t="n"/>
      <c r="AY1028" s="59" t="n"/>
      <c r="AZ1028" s="59" t="n"/>
      <c r="BA1028" s="59" t="n"/>
      <c r="BB1028" s="59" t="n"/>
      <c r="BC1028" s="59" t="n"/>
      <c r="BD1028" s="59" t="n"/>
      <c r="BE1028" s="59" t="n"/>
      <c r="BF1028" s="59" t="n"/>
      <c r="BG1028" s="59" t="n"/>
      <c r="BH1028" s="59" t="n"/>
      <c r="BI1028" s="59" t="n"/>
      <c r="BJ1028" s="59" t="n"/>
      <c r="BK1028" s="59" t="n"/>
      <c r="BL1028" s="59" t="n"/>
      <c r="BM1028" s="59" t="n"/>
      <c r="BN1028" s="59" t="n"/>
      <c r="BO1028" s="59" t="n"/>
      <c r="BP1028" s="59" t="n"/>
      <c r="BQ1028" s="59" t="n"/>
      <c r="BR1028" s="59" t="n"/>
      <c r="BS1028" s="59" t="n"/>
      <c r="BT1028" s="59" t="n"/>
      <c r="BU1028" s="59" t="n"/>
      <c r="BV1028" s="59" t="n"/>
      <c r="BW1028" s="59" t="n"/>
      <c r="BX1028" s="59" t="n"/>
      <c r="BY1028" s="59" t="n"/>
      <c r="BZ1028" s="59" t="n"/>
      <c r="CA1028" s="59" t="n"/>
      <c r="CB1028" s="59" t="n"/>
      <c r="CC1028" s="59" t="n"/>
      <c r="CD1028" s="59" t="n"/>
      <c r="CE1028" s="59" t="n"/>
      <c r="CF1028" s="59" t="n"/>
      <c r="CG1028" s="59" t="n"/>
      <c r="CH1028" s="59" t="n"/>
      <c r="CI1028" s="59" t="n"/>
      <c r="CJ1028" s="59" t="n"/>
      <c r="CK1028" s="59" t="n"/>
      <c r="CL1028" s="59" t="n"/>
      <c r="CM1028" s="59" t="n"/>
      <c r="CN1028" s="59" t="n"/>
    </row>
    <row r="1029" ht="15" customFormat="1" customHeight="1" s="3">
      <c r="A1029">
        <f>A1028+1</f>
        <v/>
      </c>
      <c r="I1029" s="20" t="n"/>
      <c r="K1029">
        <f>I1029+J1029</f>
        <v/>
      </c>
      <c r="X1029" s="59" t="n"/>
      <c r="Y1029" s="59" t="n"/>
      <c r="Z1029" s="59" t="n"/>
      <c r="AA1029" s="59" t="n"/>
      <c r="AB1029" s="59" t="n"/>
      <c r="AC1029" s="59" t="n"/>
      <c r="AD1029" s="59" t="n"/>
      <c r="AE1029" s="59" t="n"/>
      <c r="AF1029" s="59" t="n"/>
      <c r="AG1029" s="59" t="n"/>
      <c r="AH1029" s="59" t="n"/>
      <c r="AI1029" s="59" t="n"/>
      <c r="AJ1029" s="59" t="n"/>
      <c r="AK1029" s="59" t="n"/>
      <c r="AL1029" s="59" t="n"/>
      <c r="AM1029" s="59" t="n"/>
      <c r="AN1029" s="59" t="n"/>
      <c r="AO1029" s="59" t="n"/>
      <c r="AP1029" s="59" t="n"/>
      <c r="AQ1029" s="59" t="n"/>
      <c r="AR1029" s="59" t="n"/>
      <c r="AS1029" s="59" t="n"/>
      <c r="AT1029" s="59" t="n"/>
      <c r="AU1029" s="59" t="n"/>
      <c r="AV1029" s="59" t="n"/>
      <c r="AW1029" s="59" t="n"/>
      <c r="AX1029" s="59" t="n"/>
      <c r="AY1029" s="59" t="n"/>
      <c r="AZ1029" s="59" t="n"/>
      <c r="BA1029" s="59" t="n"/>
      <c r="BB1029" s="59" t="n"/>
      <c r="BC1029" s="59" t="n"/>
      <c r="BD1029" s="59" t="n"/>
      <c r="BE1029" s="59" t="n"/>
      <c r="BF1029" s="59" t="n"/>
      <c r="BG1029" s="59" t="n"/>
      <c r="BH1029" s="59" t="n"/>
      <c r="BI1029" s="59" t="n"/>
      <c r="BJ1029" s="59" t="n"/>
      <c r="BK1029" s="59" t="n"/>
      <c r="BL1029" s="59" t="n"/>
      <c r="BM1029" s="59" t="n"/>
      <c r="BN1029" s="59" t="n"/>
      <c r="BO1029" s="59" t="n"/>
      <c r="BP1029" s="59" t="n"/>
      <c r="BQ1029" s="59" t="n"/>
      <c r="BR1029" s="59" t="n"/>
      <c r="BS1029" s="59" t="n"/>
      <c r="BT1029" s="59" t="n"/>
      <c r="BU1029" s="59" t="n"/>
      <c r="BV1029" s="59" t="n"/>
      <c r="BW1029" s="59" t="n"/>
      <c r="BX1029" s="59" t="n"/>
      <c r="BY1029" s="59" t="n"/>
      <c r="BZ1029" s="59" t="n"/>
      <c r="CA1029" s="59" t="n"/>
      <c r="CB1029" s="59" t="n"/>
      <c r="CC1029" s="59" t="n"/>
      <c r="CD1029" s="59" t="n"/>
      <c r="CE1029" s="59" t="n"/>
      <c r="CF1029" s="59" t="n"/>
      <c r="CG1029" s="59" t="n"/>
      <c r="CH1029" s="59" t="n"/>
      <c r="CI1029" s="59" t="n"/>
      <c r="CJ1029" s="59" t="n"/>
      <c r="CK1029" s="59" t="n"/>
      <c r="CL1029" s="59" t="n"/>
      <c r="CM1029" s="59" t="n"/>
      <c r="CN1029" s="59" t="n"/>
    </row>
    <row r="1030" ht="15" customFormat="1" customHeight="1" s="3">
      <c r="A1030">
        <f>A1029+1</f>
        <v/>
      </c>
      <c r="I1030" s="20" t="n"/>
      <c r="K1030">
        <f>I1030+J1030</f>
        <v/>
      </c>
      <c r="X1030" s="59" t="n"/>
      <c r="Y1030" s="59" t="n"/>
      <c r="Z1030" s="59" t="n"/>
      <c r="AA1030" s="59" t="n"/>
      <c r="AB1030" s="59" t="n"/>
      <c r="AC1030" s="59" t="n"/>
      <c r="AD1030" s="59" t="n"/>
      <c r="AE1030" s="59" t="n"/>
      <c r="AF1030" s="59" t="n"/>
      <c r="AG1030" s="59" t="n"/>
      <c r="AH1030" s="59" t="n"/>
      <c r="AI1030" s="59" t="n"/>
      <c r="AJ1030" s="59" t="n"/>
      <c r="AK1030" s="59" t="n"/>
      <c r="AL1030" s="59" t="n"/>
      <c r="AM1030" s="59" t="n"/>
      <c r="AN1030" s="59" t="n"/>
      <c r="AO1030" s="59" t="n"/>
      <c r="AP1030" s="59" t="n"/>
      <c r="AQ1030" s="59" t="n"/>
      <c r="AR1030" s="59" t="n"/>
      <c r="AS1030" s="59" t="n"/>
      <c r="AT1030" s="59" t="n"/>
      <c r="AU1030" s="59" t="n"/>
      <c r="AV1030" s="59" t="n"/>
      <c r="AW1030" s="59" t="n"/>
      <c r="AX1030" s="59" t="n"/>
      <c r="AY1030" s="59" t="n"/>
      <c r="AZ1030" s="59" t="n"/>
      <c r="BA1030" s="59" t="n"/>
      <c r="BB1030" s="59" t="n"/>
      <c r="BC1030" s="59" t="n"/>
      <c r="BD1030" s="59" t="n"/>
      <c r="BE1030" s="59" t="n"/>
      <c r="BF1030" s="59" t="n"/>
      <c r="BG1030" s="59" t="n"/>
      <c r="BH1030" s="59" t="n"/>
      <c r="BI1030" s="59" t="n"/>
      <c r="BJ1030" s="59" t="n"/>
      <c r="BK1030" s="59" t="n"/>
      <c r="BL1030" s="59" t="n"/>
      <c r="BM1030" s="59" t="n"/>
      <c r="BN1030" s="59" t="n"/>
      <c r="BO1030" s="59" t="n"/>
      <c r="BP1030" s="59" t="n"/>
      <c r="BQ1030" s="59" t="n"/>
      <c r="BR1030" s="59" t="n"/>
      <c r="BS1030" s="59" t="n"/>
      <c r="BT1030" s="59" t="n"/>
      <c r="BU1030" s="59" t="n"/>
      <c r="BV1030" s="59" t="n"/>
      <c r="BW1030" s="59" t="n"/>
      <c r="BX1030" s="59" t="n"/>
      <c r="BY1030" s="59" t="n"/>
      <c r="BZ1030" s="59" t="n"/>
      <c r="CA1030" s="59" t="n"/>
      <c r="CB1030" s="59" t="n"/>
      <c r="CC1030" s="59" t="n"/>
      <c r="CD1030" s="59" t="n"/>
      <c r="CE1030" s="59" t="n"/>
      <c r="CF1030" s="59" t="n"/>
      <c r="CG1030" s="59" t="n"/>
      <c r="CH1030" s="59" t="n"/>
      <c r="CI1030" s="59" t="n"/>
      <c r="CJ1030" s="59" t="n"/>
      <c r="CK1030" s="59" t="n"/>
      <c r="CL1030" s="59" t="n"/>
      <c r="CM1030" s="59" t="n"/>
      <c r="CN1030" s="59" t="n"/>
    </row>
    <row r="1031" ht="15" customFormat="1" customHeight="1" s="3">
      <c r="A1031">
        <f>A1030+1</f>
        <v/>
      </c>
      <c r="I1031" s="20" t="n"/>
      <c r="K1031">
        <f>I1031+J1031</f>
        <v/>
      </c>
      <c r="X1031" s="59" t="n"/>
      <c r="Y1031" s="59" t="n"/>
      <c r="Z1031" s="59" t="n"/>
      <c r="AA1031" s="59" t="n"/>
      <c r="AB1031" s="59" t="n"/>
      <c r="AC1031" s="59" t="n"/>
      <c r="AD1031" s="59" t="n"/>
      <c r="AE1031" s="59" t="n"/>
      <c r="AF1031" s="59" t="n"/>
      <c r="AG1031" s="59" t="n"/>
      <c r="AH1031" s="59" t="n"/>
      <c r="AI1031" s="59" t="n"/>
      <c r="AJ1031" s="59" t="n"/>
      <c r="AK1031" s="59" t="n"/>
      <c r="AL1031" s="59" t="n"/>
      <c r="AM1031" s="59" t="n"/>
      <c r="AN1031" s="59" t="n"/>
      <c r="AO1031" s="59" t="n"/>
      <c r="AP1031" s="59" t="n"/>
      <c r="AQ1031" s="59" t="n"/>
      <c r="AR1031" s="59" t="n"/>
      <c r="AS1031" s="59" t="n"/>
      <c r="AT1031" s="59" t="n"/>
      <c r="AU1031" s="59" t="n"/>
      <c r="AV1031" s="59" t="n"/>
      <c r="AW1031" s="59" t="n"/>
      <c r="AX1031" s="59" t="n"/>
      <c r="AY1031" s="59" t="n"/>
      <c r="AZ1031" s="59" t="n"/>
      <c r="BA1031" s="59" t="n"/>
      <c r="BB1031" s="59" t="n"/>
      <c r="BC1031" s="59" t="n"/>
      <c r="BD1031" s="59" t="n"/>
      <c r="BE1031" s="59" t="n"/>
      <c r="BF1031" s="59" t="n"/>
      <c r="BG1031" s="59" t="n"/>
      <c r="BH1031" s="59" t="n"/>
      <c r="BI1031" s="59" t="n"/>
      <c r="BJ1031" s="59" t="n"/>
      <c r="BK1031" s="59" t="n"/>
      <c r="BL1031" s="59" t="n"/>
      <c r="BM1031" s="59" t="n"/>
      <c r="BN1031" s="59" t="n"/>
      <c r="BO1031" s="59" t="n"/>
      <c r="BP1031" s="59" t="n"/>
      <c r="BQ1031" s="59" t="n"/>
      <c r="BR1031" s="59" t="n"/>
      <c r="BS1031" s="59" t="n"/>
      <c r="BT1031" s="59" t="n"/>
      <c r="BU1031" s="59" t="n"/>
      <c r="BV1031" s="59" t="n"/>
      <c r="BW1031" s="59" t="n"/>
      <c r="BX1031" s="59" t="n"/>
      <c r="BY1031" s="59" t="n"/>
      <c r="BZ1031" s="59" t="n"/>
      <c r="CA1031" s="59" t="n"/>
      <c r="CB1031" s="59" t="n"/>
      <c r="CC1031" s="59" t="n"/>
      <c r="CD1031" s="59" t="n"/>
      <c r="CE1031" s="59" t="n"/>
      <c r="CF1031" s="59" t="n"/>
      <c r="CG1031" s="59" t="n"/>
      <c r="CH1031" s="59" t="n"/>
      <c r="CI1031" s="59" t="n"/>
      <c r="CJ1031" s="59" t="n"/>
      <c r="CK1031" s="59" t="n"/>
      <c r="CL1031" s="59" t="n"/>
      <c r="CM1031" s="59" t="n"/>
      <c r="CN1031" s="59" t="n"/>
    </row>
    <row r="1032" ht="15" customFormat="1" customHeight="1" s="3">
      <c r="A1032">
        <f>A1031+1</f>
        <v/>
      </c>
      <c r="I1032" s="20" t="n"/>
      <c r="K1032">
        <f>I1032+J1032</f>
        <v/>
      </c>
      <c r="X1032" s="59" t="n"/>
      <c r="Y1032" s="59" t="n"/>
      <c r="Z1032" s="59" t="n"/>
      <c r="AA1032" s="59" t="n"/>
      <c r="AB1032" s="59" t="n"/>
      <c r="AC1032" s="59" t="n"/>
      <c r="AD1032" s="59" t="n"/>
      <c r="AE1032" s="59" t="n"/>
      <c r="AF1032" s="59" t="n"/>
      <c r="AG1032" s="59" t="n"/>
      <c r="AH1032" s="59" t="n"/>
      <c r="AI1032" s="59" t="n"/>
      <c r="AJ1032" s="59" t="n"/>
      <c r="AK1032" s="59" t="n"/>
      <c r="AL1032" s="59" t="n"/>
      <c r="AM1032" s="59" t="n"/>
      <c r="AN1032" s="59" t="n"/>
      <c r="AO1032" s="59" t="n"/>
      <c r="AP1032" s="59" t="n"/>
      <c r="AQ1032" s="59" t="n"/>
      <c r="AR1032" s="59" t="n"/>
      <c r="AS1032" s="59" t="n"/>
      <c r="AT1032" s="59" t="n"/>
      <c r="AU1032" s="59" t="n"/>
      <c r="AV1032" s="59" t="n"/>
      <c r="AW1032" s="59" t="n"/>
      <c r="AX1032" s="59" t="n"/>
      <c r="AY1032" s="59" t="n"/>
      <c r="AZ1032" s="59" t="n"/>
      <c r="BA1032" s="59" t="n"/>
      <c r="BB1032" s="59" t="n"/>
      <c r="BC1032" s="59" t="n"/>
      <c r="BD1032" s="59" t="n"/>
      <c r="BE1032" s="59" t="n"/>
      <c r="BF1032" s="59" t="n"/>
      <c r="BG1032" s="59" t="n"/>
      <c r="BH1032" s="59" t="n"/>
      <c r="BI1032" s="59" t="n"/>
      <c r="BJ1032" s="59" t="n"/>
      <c r="BK1032" s="59" t="n"/>
      <c r="BL1032" s="59" t="n"/>
      <c r="BM1032" s="59" t="n"/>
      <c r="BN1032" s="59" t="n"/>
      <c r="BO1032" s="59" t="n"/>
      <c r="BP1032" s="59" t="n"/>
      <c r="BQ1032" s="59" t="n"/>
      <c r="BR1032" s="59" t="n"/>
      <c r="BS1032" s="59" t="n"/>
      <c r="BT1032" s="59" t="n"/>
      <c r="BU1032" s="59" t="n"/>
      <c r="BV1032" s="59" t="n"/>
      <c r="BW1032" s="59" t="n"/>
      <c r="BX1032" s="59" t="n"/>
      <c r="BY1032" s="59" t="n"/>
      <c r="BZ1032" s="59" t="n"/>
      <c r="CA1032" s="59" t="n"/>
      <c r="CB1032" s="59" t="n"/>
      <c r="CC1032" s="59" t="n"/>
      <c r="CD1032" s="59" t="n"/>
      <c r="CE1032" s="59" t="n"/>
      <c r="CF1032" s="59" t="n"/>
      <c r="CG1032" s="59" t="n"/>
      <c r="CH1032" s="59" t="n"/>
      <c r="CI1032" s="59" t="n"/>
      <c r="CJ1032" s="59" t="n"/>
      <c r="CK1032" s="59" t="n"/>
      <c r="CL1032" s="59" t="n"/>
      <c r="CM1032" s="59" t="n"/>
      <c r="CN1032" s="59" t="n"/>
    </row>
    <row r="1033" ht="15" customFormat="1" customHeight="1" s="3">
      <c r="A1033">
        <f>A1032+1</f>
        <v/>
      </c>
      <c r="I1033" s="20" t="n"/>
      <c r="K1033">
        <f>I1033+J1033</f>
        <v/>
      </c>
      <c r="X1033" s="59" t="n"/>
      <c r="Y1033" s="59" t="n"/>
      <c r="Z1033" s="59" t="n"/>
      <c r="AA1033" s="59" t="n"/>
      <c r="AB1033" s="59" t="n"/>
      <c r="AC1033" s="59" t="n"/>
      <c r="AD1033" s="59" t="n"/>
      <c r="AE1033" s="59" t="n"/>
      <c r="AF1033" s="59" t="n"/>
      <c r="AG1033" s="59" t="n"/>
      <c r="AH1033" s="59" t="n"/>
      <c r="AI1033" s="59" t="n"/>
      <c r="AJ1033" s="59" t="n"/>
      <c r="AK1033" s="59" t="n"/>
      <c r="AL1033" s="59" t="n"/>
      <c r="AM1033" s="59" t="n"/>
      <c r="AN1033" s="59" t="n"/>
      <c r="AO1033" s="59" t="n"/>
      <c r="AP1033" s="59" t="n"/>
      <c r="AQ1033" s="59" t="n"/>
      <c r="AR1033" s="59" t="n"/>
      <c r="AS1033" s="59" t="n"/>
      <c r="AT1033" s="59" t="n"/>
      <c r="AU1033" s="59" t="n"/>
      <c r="AV1033" s="59" t="n"/>
      <c r="AW1033" s="59" t="n"/>
      <c r="AX1033" s="59" t="n"/>
      <c r="AY1033" s="59" t="n"/>
      <c r="AZ1033" s="59" t="n"/>
      <c r="BA1033" s="59" t="n"/>
      <c r="BB1033" s="59" t="n"/>
      <c r="BC1033" s="59" t="n"/>
      <c r="BD1033" s="59" t="n"/>
      <c r="BE1033" s="59" t="n"/>
      <c r="BF1033" s="59" t="n"/>
      <c r="BG1033" s="59" t="n"/>
      <c r="BH1033" s="59" t="n"/>
      <c r="BI1033" s="59" t="n"/>
      <c r="BJ1033" s="59" t="n"/>
      <c r="BK1033" s="59" t="n"/>
      <c r="BL1033" s="59" t="n"/>
      <c r="BM1033" s="59" t="n"/>
      <c r="BN1033" s="59" t="n"/>
      <c r="BO1033" s="59" t="n"/>
      <c r="BP1033" s="59" t="n"/>
      <c r="BQ1033" s="59" t="n"/>
      <c r="BR1033" s="59" t="n"/>
      <c r="BS1033" s="59" t="n"/>
      <c r="BT1033" s="59" t="n"/>
      <c r="BU1033" s="59" t="n"/>
      <c r="BV1033" s="59" t="n"/>
      <c r="BW1033" s="59" t="n"/>
      <c r="BX1033" s="59" t="n"/>
      <c r="BY1033" s="59" t="n"/>
      <c r="BZ1033" s="59" t="n"/>
      <c r="CA1033" s="59" t="n"/>
      <c r="CB1033" s="59" t="n"/>
      <c r="CC1033" s="59" t="n"/>
      <c r="CD1033" s="59" t="n"/>
      <c r="CE1033" s="59" t="n"/>
      <c r="CF1033" s="59" t="n"/>
      <c r="CG1033" s="59" t="n"/>
      <c r="CH1033" s="59" t="n"/>
      <c r="CI1033" s="59" t="n"/>
      <c r="CJ1033" s="59" t="n"/>
      <c r="CK1033" s="59" t="n"/>
      <c r="CL1033" s="59" t="n"/>
      <c r="CM1033" s="59" t="n"/>
      <c r="CN1033" s="59" t="n"/>
    </row>
    <row r="1034" ht="15" customFormat="1" customHeight="1" s="3">
      <c r="A1034">
        <f>A1033+1</f>
        <v/>
      </c>
      <c r="I1034" s="20" t="n"/>
      <c r="K1034">
        <f>I1034+J1034</f>
        <v/>
      </c>
      <c r="X1034" s="59" t="n"/>
      <c r="Y1034" s="59" t="n"/>
      <c r="Z1034" s="59" t="n"/>
      <c r="AA1034" s="59" t="n"/>
      <c r="AB1034" s="59" t="n"/>
      <c r="AC1034" s="59" t="n"/>
      <c r="AD1034" s="59" t="n"/>
      <c r="AE1034" s="59" t="n"/>
      <c r="AF1034" s="59" t="n"/>
      <c r="AG1034" s="59" t="n"/>
      <c r="AH1034" s="59" t="n"/>
      <c r="AI1034" s="59" t="n"/>
      <c r="AJ1034" s="59" t="n"/>
      <c r="AK1034" s="59" t="n"/>
      <c r="AL1034" s="59" t="n"/>
      <c r="AM1034" s="59" t="n"/>
      <c r="AN1034" s="59" t="n"/>
      <c r="AO1034" s="59" t="n"/>
      <c r="AP1034" s="59" t="n"/>
      <c r="AQ1034" s="59" t="n"/>
      <c r="AR1034" s="59" t="n"/>
      <c r="AS1034" s="59" t="n"/>
      <c r="AT1034" s="59" t="n"/>
      <c r="AU1034" s="59" t="n"/>
      <c r="AV1034" s="59" t="n"/>
      <c r="AW1034" s="59" t="n"/>
      <c r="AX1034" s="59" t="n"/>
      <c r="AY1034" s="59" t="n"/>
      <c r="AZ1034" s="59" t="n"/>
      <c r="BA1034" s="59" t="n"/>
      <c r="BB1034" s="59" t="n"/>
      <c r="BC1034" s="59" t="n"/>
      <c r="BD1034" s="59" t="n"/>
      <c r="BE1034" s="59" t="n"/>
      <c r="BF1034" s="59" t="n"/>
      <c r="BG1034" s="59" t="n"/>
      <c r="BH1034" s="59" t="n"/>
      <c r="BI1034" s="59" t="n"/>
      <c r="BJ1034" s="59" t="n"/>
      <c r="BK1034" s="59" t="n"/>
      <c r="BL1034" s="59" t="n"/>
      <c r="BM1034" s="59" t="n"/>
      <c r="BN1034" s="59" t="n"/>
      <c r="BO1034" s="59" t="n"/>
      <c r="BP1034" s="59" t="n"/>
      <c r="BQ1034" s="59" t="n"/>
      <c r="BR1034" s="59" t="n"/>
      <c r="BS1034" s="59" t="n"/>
      <c r="BT1034" s="59" t="n"/>
      <c r="BU1034" s="59" t="n"/>
      <c r="BV1034" s="59" t="n"/>
      <c r="BW1034" s="59" t="n"/>
      <c r="BX1034" s="59" t="n"/>
      <c r="BY1034" s="59" t="n"/>
      <c r="BZ1034" s="59" t="n"/>
      <c r="CA1034" s="59" t="n"/>
      <c r="CB1034" s="59" t="n"/>
      <c r="CC1034" s="59" t="n"/>
      <c r="CD1034" s="59" t="n"/>
      <c r="CE1034" s="59" t="n"/>
      <c r="CF1034" s="59" t="n"/>
      <c r="CG1034" s="59" t="n"/>
      <c r="CH1034" s="59" t="n"/>
      <c r="CI1034" s="59" t="n"/>
      <c r="CJ1034" s="59" t="n"/>
      <c r="CK1034" s="59" t="n"/>
      <c r="CL1034" s="59" t="n"/>
      <c r="CM1034" s="59" t="n"/>
      <c r="CN1034" s="59" t="n"/>
    </row>
    <row r="1035" ht="15" customFormat="1" customHeight="1" s="3">
      <c r="A1035">
        <f>A1034+1</f>
        <v/>
      </c>
      <c r="I1035" s="20" t="n"/>
      <c r="K1035">
        <f>I1035+J1035</f>
        <v/>
      </c>
      <c r="X1035" s="59" t="n"/>
      <c r="Y1035" s="59" t="n"/>
      <c r="Z1035" s="59" t="n"/>
      <c r="AA1035" s="59" t="n"/>
      <c r="AB1035" s="59" t="n"/>
      <c r="AC1035" s="59" t="n"/>
      <c r="AD1035" s="59" t="n"/>
      <c r="AE1035" s="59" t="n"/>
      <c r="AF1035" s="59" t="n"/>
      <c r="AG1035" s="59" t="n"/>
      <c r="AH1035" s="59" t="n"/>
      <c r="AI1035" s="59" t="n"/>
      <c r="AJ1035" s="59" t="n"/>
      <c r="AK1035" s="59" t="n"/>
      <c r="AL1035" s="59" t="n"/>
      <c r="AM1035" s="59" t="n"/>
      <c r="AN1035" s="59" t="n"/>
      <c r="AO1035" s="59" t="n"/>
      <c r="AP1035" s="59" t="n"/>
      <c r="AQ1035" s="59" t="n"/>
      <c r="AR1035" s="59" t="n"/>
      <c r="AS1035" s="59" t="n"/>
      <c r="AT1035" s="59" t="n"/>
      <c r="AU1035" s="59" t="n"/>
      <c r="AV1035" s="59" t="n"/>
      <c r="AW1035" s="59" t="n"/>
      <c r="AX1035" s="59" t="n"/>
      <c r="AY1035" s="59" t="n"/>
      <c r="AZ1035" s="59" t="n"/>
      <c r="BA1035" s="59" t="n"/>
      <c r="BB1035" s="59" t="n"/>
      <c r="BC1035" s="59" t="n"/>
      <c r="BD1035" s="59" t="n"/>
      <c r="BE1035" s="59" t="n"/>
      <c r="BF1035" s="59" t="n"/>
      <c r="BG1035" s="59" t="n"/>
      <c r="BH1035" s="59" t="n"/>
      <c r="BI1035" s="59" t="n"/>
      <c r="BJ1035" s="59" t="n"/>
      <c r="BK1035" s="59" t="n"/>
      <c r="BL1035" s="59" t="n"/>
      <c r="BM1035" s="59" t="n"/>
      <c r="BN1035" s="59" t="n"/>
      <c r="BO1035" s="59" t="n"/>
      <c r="BP1035" s="59" t="n"/>
      <c r="BQ1035" s="59" t="n"/>
      <c r="BR1035" s="59" t="n"/>
      <c r="BS1035" s="59" t="n"/>
      <c r="BT1035" s="59" t="n"/>
      <c r="BU1035" s="59" t="n"/>
      <c r="BV1035" s="59" t="n"/>
      <c r="BW1035" s="59" t="n"/>
      <c r="BX1035" s="59" t="n"/>
      <c r="BY1035" s="59" t="n"/>
      <c r="BZ1035" s="59" t="n"/>
      <c r="CA1035" s="59" t="n"/>
      <c r="CB1035" s="59" t="n"/>
      <c r="CC1035" s="59" t="n"/>
      <c r="CD1035" s="59" t="n"/>
      <c r="CE1035" s="59" t="n"/>
      <c r="CF1035" s="59" t="n"/>
      <c r="CG1035" s="59" t="n"/>
      <c r="CH1035" s="59" t="n"/>
      <c r="CI1035" s="59" t="n"/>
      <c r="CJ1035" s="59" t="n"/>
      <c r="CK1035" s="59" t="n"/>
      <c r="CL1035" s="59" t="n"/>
      <c r="CM1035" s="59" t="n"/>
      <c r="CN1035" s="59" t="n"/>
    </row>
    <row r="1036" ht="15" customFormat="1" customHeight="1" s="3">
      <c r="A1036">
        <f>A1035+1</f>
        <v/>
      </c>
      <c r="I1036" s="20" t="n"/>
      <c r="K1036">
        <f>I1036+J1036</f>
        <v/>
      </c>
      <c r="X1036" s="59" t="n"/>
      <c r="Y1036" s="59" t="n"/>
      <c r="Z1036" s="59" t="n"/>
      <c r="AA1036" s="59" t="n"/>
      <c r="AB1036" s="59" t="n"/>
      <c r="AC1036" s="59" t="n"/>
      <c r="AD1036" s="59" t="n"/>
      <c r="AE1036" s="59" t="n"/>
      <c r="AF1036" s="59" t="n"/>
      <c r="AG1036" s="59" t="n"/>
      <c r="AH1036" s="59" t="n"/>
      <c r="AI1036" s="59" t="n"/>
      <c r="AJ1036" s="59" t="n"/>
      <c r="AK1036" s="59" t="n"/>
      <c r="AL1036" s="59" t="n"/>
      <c r="AM1036" s="59" t="n"/>
      <c r="AN1036" s="59" t="n"/>
      <c r="AO1036" s="59" t="n"/>
      <c r="AP1036" s="59" t="n"/>
      <c r="AQ1036" s="59" t="n"/>
      <c r="AR1036" s="59" t="n"/>
      <c r="AS1036" s="59" t="n"/>
      <c r="AT1036" s="59" t="n"/>
      <c r="AU1036" s="59" t="n"/>
      <c r="AV1036" s="59" t="n"/>
      <c r="AW1036" s="59" t="n"/>
      <c r="AX1036" s="59" t="n"/>
      <c r="AY1036" s="59" t="n"/>
      <c r="AZ1036" s="59" t="n"/>
      <c r="BA1036" s="59" t="n"/>
      <c r="BB1036" s="59" t="n"/>
      <c r="BC1036" s="59" t="n"/>
      <c r="BD1036" s="59" t="n"/>
      <c r="BE1036" s="59" t="n"/>
      <c r="BF1036" s="59" t="n"/>
      <c r="BG1036" s="59" t="n"/>
      <c r="BH1036" s="59" t="n"/>
      <c r="BI1036" s="59" t="n"/>
      <c r="BJ1036" s="59" t="n"/>
      <c r="BK1036" s="59" t="n"/>
      <c r="BL1036" s="59" t="n"/>
      <c r="BM1036" s="59" t="n"/>
      <c r="BN1036" s="59" t="n"/>
      <c r="BO1036" s="59" t="n"/>
      <c r="BP1036" s="59" t="n"/>
      <c r="BQ1036" s="59" t="n"/>
      <c r="BR1036" s="59" t="n"/>
      <c r="BS1036" s="59" t="n"/>
      <c r="BT1036" s="59" t="n"/>
      <c r="BU1036" s="59" t="n"/>
      <c r="BV1036" s="59" t="n"/>
      <c r="BW1036" s="59" t="n"/>
      <c r="BX1036" s="59" t="n"/>
      <c r="BY1036" s="59" t="n"/>
      <c r="BZ1036" s="59" t="n"/>
      <c r="CA1036" s="59" t="n"/>
      <c r="CB1036" s="59" t="n"/>
      <c r="CC1036" s="59" t="n"/>
      <c r="CD1036" s="59" t="n"/>
      <c r="CE1036" s="59" t="n"/>
      <c r="CF1036" s="59" t="n"/>
      <c r="CG1036" s="59" t="n"/>
      <c r="CH1036" s="59" t="n"/>
      <c r="CI1036" s="59" t="n"/>
      <c r="CJ1036" s="59" t="n"/>
      <c r="CK1036" s="59" t="n"/>
      <c r="CL1036" s="59" t="n"/>
      <c r="CM1036" s="59" t="n"/>
      <c r="CN1036" s="59" t="n"/>
    </row>
    <row r="1037" ht="15" customFormat="1" customHeight="1" s="3">
      <c r="A1037">
        <f>A1036+1</f>
        <v/>
      </c>
      <c r="I1037" s="20" t="n"/>
      <c r="K1037">
        <f>I1037+J1037</f>
        <v/>
      </c>
      <c r="X1037" s="59" t="n"/>
      <c r="Y1037" s="59" t="n"/>
      <c r="Z1037" s="59" t="n"/>
      <c r="AA1037" s="59" t="n"/>
      <c r="AB1037" s="59" t="n"/>
      <c r="AC1037" s="59" t="n"/>
      <c r="AD1037" s="59" t="n"/>
      <c r="AE1037" s="59" t="n"/>
      <c r="AF1037" s="59" t="n"/>
      <c r="AG1037" s="59" t="n"/>
      <c r="AH1037" s="59" t="n"/>
      <c r="AI1037" s="59" t="n"/>
      <c r="AJ1037" s="59" t="n"/>
      <c r="AK1037" s="59" t="n"/>
      <c r="AL1037" s="59" t="n"/>
      <c r="AM1037" s="59" t="n"/>
      <c r="AN1037" s="59" t="n"/>
      <c r="AO1037" s="59" t="n"/>
      <c r="AP1037" s="59" t="n"/>
      <c r="AQ1037" s="59" t="n"/>
      <c r="AR1037" s="59" t="n"/>
      <c r="AS1037" s="59" t="n"/>
      <c r="AT1037" s="59" t="n"/>
      <c r="AU1037" s="59" t="n"/>
      <c r="AV1037" s="59" t="n"/>
      <c r="AW1037" s="59" t="n"/>
      <c r="AX1037" s="59" t="n"/>
      <c r="AY1037" s="59" t="n"/>
      <c r="AZ1037" s="59" t="n"/>
      <c r="BA1037" s="59" t="n"/>
      <c r="BB1037" s="59" t="n"/>
      <c r="BC1037" s="59" t="n"/>
      <c r="BD1037" s="59" t="n"/>
      <c r="BE1037" s="59" t="n"/>
      <c r="BF1037" s="59" t="n"/>
      <c r="BG1037" s="59" t="n"/>
      <c r="BH1037" s="59" t="n"/>
      <c r="BI1037" s="59" t="n"/>
      <c r="BJ1037" s="59" t="n"/>
      <c r="BK1037" s="59" t="n"/>
      <c r="BL1037" s="59" t="n"/>
      <c r="BM1037" s="59" t="n"/>
      <c r="BN1037" s="59" t="n"/>
      <c r="BO1037" s="59" t="n"/>
      <c r="BP1037" s="59" t="n"/>
      <c r="BQ1037" s="59" t="n"/>
      <c r="BR1037" s="59" t="n"/>
      <c r="BS1037" s="59" t="n"/>
      <c r="BT1037" s="59" t="n"/>
      <c r="BU1037" s="59" t="n"/>
      <c r="BV1037" s="59" t="n"/>
      <c r="BW1037" s="59" t="n"/>
      <c r="BX1037" s="59" t="n"/>
      <c r="BY1037" s="59" t="n"/>
      <c r="BZ1037" s="59" t="n"/>
      <c r="CA1037" s="59" t="n"/>
      <c r="CB1037" s="59" t="n"/>
      <c r="CC1037" s="59" t="n"/>
      <c r="CD1037" s="59" t="n"/>
      <c r="CE1037" s="59" t="n"/>
      <c r="CF1037" s="59" t="n"/>
      <c r="CG1037" s="59" t="n"/>
      <c r="CH1037" s="59" t="n"/>
      <c r="CI1037" s="59" t="n"/>
      <c r="CJ1037" s="59" t="n"/>
      <c r="CK1037" s="59" t="n"/>
      <c r="CL1037" s="59" t="n"/>
      <c r="CM1037" s="59" t="n"/>
      <c r="CN1037" s="59" t="n"/>
    </row>
    <row r="1038" ht="15" customFormat="1" customHeight="1" s="3">
      <c r="A1038">
        <f>A1037+1</f>
        <v/>
      </c>
      <c r="I1038" s="20" t="n"/>
      <c r="K1038">
        <f>I1038+J1038</f>
        <v/>
      </c>
      <c r="X1038" s="59" t="n"/>
      <c r="Y1038" s="59" t="n"/>
      <c r="Z1038" s="59" t="n"/>
      <c r="AA1038" s="59" t="n"/>
      <c r="AB1038" s="59" t="n"/>
      <c r="AC1038" s="59" t="n"/>
      <c r="AD1038" s="59" t="n"/>
      <c r="AE1038" s="59" t="n"/>
      <c r="AF1038" s="59" t="n"/>
      <c r="AG1038" s="59" t="n"/>
      <c r="AH1038" s="59" t="n"/>
      <c r="AI1038" s="59" t="n"/>
      <c r="AJ1038" s="59" t="n"/>
      <c r="AK1038" s="59" t="n"/>
      <c r="AL1038" s="59" t="n"/>
      <c r="AM1038" s="59" t="n"/>
      <c r="AN1038" s="59" t="n"/>
      <c r="AO1038" s="59" t="n"/>
      <c r="AP1038" s="59" t="n"/>
      <c r="AQ1038" s="59" t="n"/>
      <c r="AR1038" s="59" t="n"/>
      <c r="AS1038" s="59" t="n"/>
      <c r="AT1038" s="59" t="n"/>
      <c r="AU1038" s="59" t="n"/>
      <c r="AV1038" s="59" t="n"/>
      <c r="AW1038" s="59" t="n"/>
      <c r="AX1038" s="59" t="n"/>
      <c r="AY1038" s="59" t="n"/>
      <c r="AZ1038" s="59" t="n"/>
      <c r="BA1038" s="59" t="n"/>
      <c r="BB1038" s="59" t="n"/>
      <c r="BC1038" s="59" t="n"/>
      <c r="BD1038" s="59" t="n"/>
      <c r="BE1038" s="59" t="n"/>
      <c r="BF1038" s="59" t="n"/>
      <c r="BG1038" s="59" t="n"/>
      <c r="BH1038" s="59" t="n"/>
      <c r="BI1038" s="59" t="n"/>
      <c r="BJ1038" s="59" t="n"/>
      <c r="BK1038" s="59" t="n"/>
      <c r="BL1038" s="59" t="n"/>
      <c r="BM1038" s="59" t="n"/>
      <c r="BN1038" s="59" t="n"/>
      <c r="BO1038" s="59" t="n"/>
      <c r="BP1038" s="59" t="n"/>
      <c r="BQ1038" s="59" t="n"/>
      <c r="BR1038" s="59" t="n"/>
      <c r="BS1038" s="59" t="n"/>
      <c r="BT1038" s="59" t="n"/>
      <c r="BU1038" s="59" t="n"/>
      <c r="BV1038" s="59" t="n"/>
      <c r="BW1038" s="59" t="n"/>
      <c r="BX1038" s="59" t="n"/>
      <c r="BY1038" s="59" t="n"/>
      <c r="BZ1038" s="59" t="n"/>
      <c r="CA1038" s="59" t="n"/>
      <c r="CB1038" s="59" t="n"/>
      <c r="CC1038" s="59" t="n"/>
      <c r="CD1038" s="59" t="n"/>
      <c r="CE1038" s="59" t="n"/>
      <c r="CF1038" s="59" t="n"/>
      <c r="CG1038" s="59" t="n"/>
      <c r="CH1038" s="59" t="n"/>
      <c r="CI1038" s="59" t="n"/>
      <c r="CJ1038" s="59" t="n"/>
      <c r="CK1038" s="59" t="n"/>
      <c r="CL1038" s="59" t="n"/>
      <c r="CM1038" s="59" t="n"/>
      <c r="CN1038" s="59" t="n"/>
    </row>
    <row r="1039" ht="15" customFormat="1" customHeight="1" s="3">
      <c r="A1039">
        <f>A1038+1</f>
        <v/>
      </c>
      <c r="I1039" s="20" t="n"/>
      <c r="K1039">
        <f>I1039+J1039</f>
        <v/>
      </c>
      <c r="X1039" s="59" t="n"/>
      <c r="Y1039" s="59" t="n"/>
      <c r="Z1039" s="59" t="n"/>
      <c r="AA1039" s="59" t="n"/>
      <c r="AB1039" s="59" t="n"/>
      <c r="AC1039" s="59" t="n"/>
      <c r="AD1039" s="59" t="n"/>
      <c r="AE1039" s="59" t="n"/>
      <c r="AF1039" s="59" t="n"/>
      <c r="AG1039" s="59" t="n"/>
      <c r="AH1039" s="59" t="n"/>
      <c r="AI1039" s="59" t="n"/>
      <c r="AJ1039" s="59" t="n"/>
      <c r="AK1039" s="59" t="n"/>
      <c r="AL1039" s="59" t="n"/>
      <c r="AM1039" s="59" t="n"/>
      <c r="AN1039" s="59" t="n"/>
      <c r="AO1039" s="59" t="n"/>
      <c r="AP1039" s="59" t="n"/>
      <c r="AQ1039" s="59" t="n"/>
      <c r="AR1039" s="59" t="n"/>
      <c r="AS1039" s="59" t="n"/>
      <c r="AT1039" s="59" t="n"/>
      <c r="AU1039" s="59" t="n"/>
      <c r="AV1039" s="59" t="n"/>
      <c r="AW1039" s="59" t="n"/>
      <c r="AX1039" s="59" t="n"/>
      <c r="AY1039" s="59" t="n"/>
      <c r="AZ1039" s="59" t="n"/>
      <c r="BA1039" s="59" t="n"/>
      <c r="BB1039" s="59" t="n"/>
      <c r="BC1039" s="59" t="n"/>
      <c r="BD1039" s="59" t="n"/>
      <c r="BE1039" s="59" t="n"/>
      <c r="BF1039" s="59" t="n"/>
      <c r="BG1039" s="59" t="n"/>
      <c r="BH1039" s="59" t="n"/>
      <c r="BI1039" s="59" t="n"/>
      <c r="BJ1039" s="59" t="n"/>
      <c r="BK1039" s="59" t="n"/>
      <c r="BL1039" s="59" t="n"/>
      <c r="BM1039" s="59" t="n"/>
      <c r="BN1039" s="59" t="n"/>
      <c r="BO1039" s="59" t="n"/>
      <c r="BP1039" s="59" t="n"/>
      <c r="BQ1039" s="59" t="n"/>
      <c r="BR1039" s="59" t="n"/>
      <c r="BS1039" s="59" t="n"/>
      <c r="BT1039" s="59" t="n"/>
      <c r="BU1039" s="59" t="n"/>
      <c r="BV1039" s="59" t="n"/>
      <c r="BW1039" s="59" t="n"/>
      <c r="BX1039" s="59" t="n"/>
      <c r="BY1039" s="59" t="n"/>
      <c r="BZ1039" s="59" t="n"/>
      <c r="CA1039" s="59" t="n"/>
      <c r="CB1039" s="59" t="n"/>
      <c r="CC1039" s="59" t="n"/>
      <c r="CD1039" s="59" t="n"/>
      <c r="CE1039" s="59" t="n"/>
      <c r="CF1039" s="59" t="n"/>
      <c r="CG1039" s="59" t="n"/>
      <c r="CH1039" s="59" t="n"/>
      <c r="CI1039" s="59" t="n"/>
      <c r="CJ1039" s="59" t="n"/>
      <c r="CK1039" s="59" t="n"/>
      <c r="CL1039" s="59" t="n"/>
      <c r="CM1039" s="59" t="n"/>
      <c r="CN1039" s="59" t="n"/>
    </row>
    <row r="1040" ht="14.45" customHeight="1">
      <c r="A1040">
        <f>A1039+1</f>
        <v/>
      </c>
      <c r="K1040">
        <f>I1040+J1040</f>
        <v/>
      </c>
    </row>
    <row r="1041" ht="14.45" customHeight="1">
      <c r="A1041">
        <f>A1040+1</f>
        <v/>
      </c>
      <c r="K1041">
        <f>I1041+J1041</f>
        <v/>
      </c>
    </row>
    <row r="1042" ht="14.45" customHeight="1">
      <c r="A1042">
        <f>A1041+1</f>
        <v/>
      </c>
      <c r="K1042">
        <f>I1042+J1042</f>
        <v/>
      </c>
    </row>
    <row r="1043" ht="14.45" customHeight="1">
      <c r="A1043">
        <f>A1042+1</f>
        <v/>
      </c>
      <c r="K1043">
        <f>I1043+J1043</f>
        <v/>
      </c>
    </row>
    <row r="1044" ht="14.45" customHeight="1">
      <c r="A1044">
        <f>A1043+1</f>
        <v/>
      </c>
      <c r="K1044">
        <f>I1044+J1044</f>
        <v/>
      </c>
    </row>
    <row r="1045" ht="14.45" customHeight="1">
      <c r="A1045">
        <f>A1044+1</f>
        <v/>
      </c>
      <c r="K1045">
        <f>I1045+J1045</f>
        <v/>
      </c>
    </row>
    <row r="1046" ht="14.45" customHeight="1">
      <c r="A1046">
        <f>A1045+1</f>
        <v/>
      </c>
      <c r="K1046">
        <f>I1046+J1046</f>
        <v/>
      </c>
    </row>
    <row r="1047" ht="14.45" customHeight="1">
      <c r="A1047">
        <f>A1046+1</f>
        <v/>
      </c>
      <c r="K1047">
        <f>I1047+J1047</f>
        <v/>
      </c>
    </row>
    <row r="1048" ht="14.45" customHeight="1">
      <c r="A1048">
        <f>A1047+1</f>
        <v/>
      </c>
      <c r="K1048">
        <f>I1048+J1048</f>
        <v/>
      </c>
    </row>
    <row r="1049" ht="14.45" customHeight="1">
      <c r="A1049">
        <f>A1048+1</f>
        <v/>
      </c>
      <c r="K1049">
        <f>I1049+J1049</f>
        <v/>
      </c>
    </row>
    <row r="1050" ht="14.45" customHeight="1">
      <c r="A1050">
        <f>A1049+1</f>
        <v/>
      </c>
      <c r="K1050">
        <f>I1050+J1050</f>
        <v/>
      </c>
    </row>
    <row r="1051" ht="14.45" customHeight="1">
      <c r="A1051">
        <f>A1050+1</f>
        <v/>
      </c>
      <c r="K1051">
        <f>I1051+J1051</f>
        <v/>
      </c>
    </row>
    <row r="1052" ht="14.45" customHeight="1">
      <c r="A1052">
        <f>A1051+1</f>
        <v/>
      </c>
      <c r="K1052">
        <f>I1052+J1052</f>
        <v/>
      </c>
    </row>
    <row r="1053" ht="14.45" customHeight="1">
      <c r="A1053">
        <f>A1052+1</f>
        <v/>
      </c>
      <c r="K1053">
        <f>I1053+J1053</f>
        <v/>
      </c>
    </row>
    <row r="1054" ht="14.45" customHeight="1">
      <c r="A1054">
        <f>A1053+1</f>
        <v/>
      </c>
      <c r="K1054">
        <f>I1054+J1054</f>
        <v/>
      </c>
    </row>
    <row r="1055" ht="14.45" customHeight="1">
      <c r="A1055">
        <f>A1054+1</f>
        <v/>
      </c>
      <c r="K1055">
        <f>I1055+J1055</f>
        <v/>
      </c>
    </row>
    <row r="1056" ht="14.45" customHeight="1">
      <c r="A1056">
        <f>A1055+1</f>
        <v/>
      </c>
      <c r="K1056">
        <f>I1056+J1056</f>
        <v/>
      </c>
    </row>
    <row r="1057" ht="14.45" customHeight="1">
      <c r="A1057">
        <f>A1056+1</f>
        <v/>
      </c>
      <c r="K1057">
        <f>I1057+J1057</f>
        <v/>
      </c>
    </row>
    <row r="1058" ht="14.45" customHeight="1">
      <c r="A1058">
        <f>A1057+1</f>
        <v/>
      </c>
      <c r="K1058">
        <f>I1058+J1058</f>
        <v/>
      </c>
    </row>
    <row r="1059" ht="14.45" customHeight="1">
      <c r="A1059">
        <f>A1058+1</f>
        <v/>
      </c>
      <c r="K1059">
        <f>I1059+J1059</f>
        <v/>
      </c>
    </row>
    <row r="1060" ht="14.45" customHeight="1">
      <c r="A1060">
        <f>A1059+1</f>
        <v/>
      </c>
      <c r="K1060">
        <f>I1060+J1060</f>
        <v/>
      </c>
    </row>
    <row r="1061" ht="14.45" customHeight="1">
      <c r="A1061">
        <f>A1060+1</f>
        <v/>
      </c>
      <c r="K1061">
        <f>I1061+J1061</f>
        <v/>
      </c>
    </row>
    <row r="1062" ht="14.45" customHeight="1">
      <c r="A1062">
        <f>A1061+1</f>
        <v/>
      </c>
      <c r="K1062">
        <f>I1062+J1062</f>
        <v/>
      </c>
    </row>
    <row r="1063" ht="14.45" customHeight="1">
      <c r="A1063">
        <f>A1062+1</f>
        <v/>
      </c>
      <c r="K1063">
        <f>I1063+J1063</f>
        <v/>
      </c>
    </row>
    <row r="1064" ht="14.45" customHeight="1">
      <c r="A1064">
        <f>A1063+1</f>
        <v/>
      </c>
      <c r="K1064">
        <f>I1064+J1064</f>
        <v/>
      </c>
    </row>
    <row r="1065" ht="14.45" customHeight="1">
      <c r="A1065">
        <f>A1064+1</f>
        <v/>
      </c>
      <c r="K1065">
        <f>I1065+J1065</f>
        <v/>
      </c>
    </row>
    <row r="1066" ht="14.45" customHeight="1">
      <c r="A1066">
        <f>A1065+1</f>
        <v/>
      </c>
      <c r="K1066">
        <f>I1066+J1066</f>
        <v/>
      </c>
    </row>
    <row r="1067" ht="14.45" customHeight="1">
      <c r="A1067">
        <f>A1066+1</f>
        <v/>
      </c>
      <c r="K1067">
        <f>I1067+J1067</f>
        <v/>
      </c>
    </row>
    <row r="1068" ht="14.45" customHeight="1">
      <c r="A1068">
        <f>A1067+1</f>
        <v/>
      </c>
      <c r="K1068">
        <f>I1068+J1068</f>
        <v/>
      </c>
    </row>
    <row r="1069" ht="14.45" customHeight="1">
      <c r="A1069">
        <f>A1068+1</f>
        <v/>
      </c>
      <c r="K1069">
        <f>I1069+J1069</f>
        <v/>
      </c>
    </row>
    <row r="1070" ht="14.45" customHeight="1">
      <c r="A1070">
        <f>A1069+1</f>
        <v/>
      </c>
      <c r="K1070">
        <f>I1070+J1070</f>
        <v/>
      </c>
    </row>
    <row r="1071" ht="14.45" customHeight="1">
      <c r="A1071">
        <f>A1070+1</f>
        <v/>
      </c>
      <c r="K1071">
        <f>I1071+J1071</f>
        <v/>
      </c>
    </row>
    <row r="1072" ht="14.45" customHeight="1">
      <c r="A1072">
        <f>A1071+1</f>
        <v/>
      </c>
      <c r="K1072">
        <f>I1072+J1072</f>
        <v/>
      </c>
    </row>
    <row r="1073" ht="14.45" customHeight="1">
      <c r="A1073">
        <f>A1072+1</f>
        <v/>
      </c>
      <c r="K1073">
        <f>I1073+J1073</f>
        <v/>
      </c>
    </row>
    <row r="1074" ht="14.45" customHeight="1">
      <c r="A1074">
        <f>A1073+1</f>
        <v/>
      </c>
      <c r="K1074">
        <f>I1074+J1074</f>
        <v/>
      </c>
    </row>
    <row r="1075" ht="14.45" customHeight="1">
      <c r="A1075">
        <f>A1074+1</f>
        <v/>
      </c>
      <c r="K1075">
        <f>I1075+J1075</f>
        <v/>
      </c>
    </row>
    <row r="1076" ht="14.45" customHeight="1">
      <c r="A1076">
        <f>A1075+1</f>
        <v/>
      </c>
      <c r="K1076">
        <f>I1076+J1076</f>
        <v/>
      </c>
    </row>
    <row r="1077" ht="14.45" customHeight="1">
      <c r="A1077">
        <f>A1076+1</f>
        <v/>
      </c>
      <c r="K1077">
        <f>I1077+J1077</f>
        <v/>
      </c>
    </row>
    <row r="1078" ht="14.45" customHeight="1">
      <c r="A1078">
        <f>A1077+1</f>
        <v/>
      </c>
      <c r="K1078">
        <f>I1078+J1078</f>
        <v/>
      </c>
    </row>
    <row r="1079" ht="14.45" customHeight="1">
      <c r="A1079">
        <f>A1078+1</f>
        <v/>
      </c>
      <c r="K1079">
        <f>I1079+J1079</f>
        <v/>
      </c>
    </row>
    <row r="1080" ht="14.45" customHeight="1">
      <c r="A1080">
        <f>A1079+1</f>
        <v/>
      </c>
      <c r="K1080">
        <f>I1080+J1080</f>
        <v/>
      </c>
    </row>
    <row r="1081" ht="14.45" customHeight="1">
      <c r="A1081">
        <f>A1080+1</f>
        <v/>
      </c>
      <c r="K1081">
        <f>I1081+J1081</f>
        <v/>
      </c>
    </row>
    <row r="1082" ht="14.45" customHeight="1">
      <c r="A1082">
        <f>A1081+1</f>
        <v/>
      </c>
      <c r="K1082">
        <f>I1082+J1082</f>
        <v/>
      </c>
    </row>
    <row r="1083" ht="14.45" customHeight="1">
      <c r="A1083">
        <f>A1082+1</f>
        <v/>
      </c>
      <c r="K1083">
        <f>I1083+J1083</f>
        <v/>
      </c>
    </row>
    <row r="1084" ht="14.45" customHeight="1">
      <c r="A1084">
        <f>A1083+1</f>
        <v/>
      </c>
      <c r="K1084">
        <f>I1084+J1084</f>
        <v/>
      </c>
    </row>
    <row r="1085" ht="14.45" customHeight="1">
      <c r="A1085">
        <f>A1084+1</f>
        <v/>
      </c>
      <c r="K1085">
        <f>I1085+J1085</f>
        <v/>
      </c>
    </row>
    <row r="1086" ht="14.45" customHeight="1">
      <c r="A1086">
        <f>A1085+1</f>
        <v/>
      </c>
      <c r="K1086">
        <f>I1086+J1086</f>
        <v/>
      </c>
    </row>
    <row r="1087" ht="14.45" customHeight="1">
      <c r="A1087">
        <f>A1086+1</f>
        <v/>
      </c>
      <c r="K1087">
        <f>I1087+J1087</f>
        <v/>
      </c>
    </row>
    <row r="1088" ht="14.45" customHeight="1">
      <c r="A1088">
        <f>A1087+1</f>
        <v/>
      </c>
      <c r="K1088">
        <f>I1088+J1088</f>
        <v/>
      </c>
    </row>
    <row r="1089" ht="14.45" customHeight="1">
      <c r="A1089">
        <f>A1088+1</f>
        <v/>
      </c>
      <c r="K1089">
        <f>I1089+J1089</f>
        <v/>
      </c>
    </row>
    <row r="1090" ht="14.45" customHeight="1">
      <c r="A1090">
        <f>A1089+1</f>
        <v/>
      </c>
      <c r="K1090">
        <f>I1090+J1090</f>
        <v/>
      </c>
    </row>
    <row r="1091" ht="14.45" customHeight="1">
      <c r="A1091">
        <f>A1090+1</f>
        <v/>
      </c>
      <c r="K1091">
        <f>I1091+J1091</f>
        <v/>
      </c>
    </row>
    <row r="1092" ht="14.45" customHeight="1">
      <c r="A1092">
        <f>A1091+1</f>
        <v/>
      </c>
      <c r="K1092">
        <f>I1092+J1092</f>
        <v/>
      </c>
    </row>
    <row r="1093" ht="14.45" customHeight="1">
      <c r="A1093">
        <f>A1092+1</f>
        <v/>
      </c>
      <c r="K1093">
        <f>I1093+J1093</f>
        <v/>
      </c>
    </row>
    <row r="1094" ht="14.45" customHeight="1">
      <c r="A1094">
        <f>A1093+1</f>
        <v/>
      </c>
      <c r="K1094">
        <f>I1094+J1094</f>
        <v/>
      </c>
    </row>
    <row r="1095" ht="14.45" customHeight="1">
      <c r="A1095">
        <f>A1094+1</f>
        <v/>
      </c>
      <c r="K1095">
        <f>I1095+J1095</f>
        <v/>
      </c>
    </row>
    <row r="1096" ht="14.45" customHeight="1">
      <c r="A1096">
        <f>A1095+1</f>
        <v/>
      </c>
      <c r="K1096">
        <f>I1096+J1096</f>
        <v/>
      </c>
    </row>
    <row r="1097" ht="14.45" customHeight="1">
      <c r="A1097">
        <f>A1096+1</f>
        <v/>
      </c>
      <c r="K1097">
        <f>I1097+J1097</f>
        <v/>
      </c>
    </row>
    <row r="1098" ht="14.45" customHeight="1">
      <c r="A1098">
        <f>A1097+1</f>
        <v/>
      </c>
      <c r="K1098">
        <f>I1098+J1098</f>
        <v/>
      </c>
    </row>
    <row r="1099" ht="14.45" customHeight="1">
      <c r="A1099">
        <f>A1098+1</f>
        <v/>
      </c>
      <c r="K1099">
        <f>I1099+J1099</f>
        <v/>
      </c>
    </row>
    <row r="1100" ht="14.45" customHeight="1">
      <c r="A1100">
        <f>A1099+1</f>
        <v/>
      </c>
      <c r="K1100">
        <f>I1100+J1100</f>
        <v/>
      </c>
    </row>
    <row r="1101" ht="14.45" customHeight="1">
      <c r="A1101">
        <f>A1100+1</f>
        <v/>
      </c>
      <c r="K1101">
        <f>I1101+J1101</f>
        <v/>
      </c>
    </row>
    <row r="1102" ht="14.45" customHeight="1">
      <c r="A1102">
        <f>A1101+1</f>
        <v/>
      </c>
      <c r="K1102">
        <f>I1102+J1102</f>
        <v/>
      </c>
    </row>
    <row r="1103" ht="14.45" customHeight="1">
      <c r="A1103">
        <f>A1102+1</f>
        <v/>
      </c>
      <c r="K1103">
        <f>I1103+J1103</f>
        <v/>
      </c>
    </row>
    <row r="1104" ht="14.45" customHeight="1">
      <c r="A1104">
        <f>A1103+1</f>
        <v/>
      </c>
      <c r="K1104">
        <f>I1104+J1104</f>
        <v/>
      </c>
    </row>
    <row r="1105" ht="14.45" customHeight="1">
      <c r="A1105">
        <f>A1104+1</f>
        <v/>
      </c>
      <c r="K1105">
        <f>I1105+J1105</f>
        <v/>
      </c>
    </row>
    <row r="1106" ht="14.45" customHeight="1">
      <c r="A1106">
        <f>A1105+1</f>
        <v/>
      </c>
      <c r="K1106">
        <f>I1106+J1106</f>
        <v/>
      </c>
    </row>
    <row r="1107" ht="14.45" customHeight="1">
      <c r="A1107">
        <f>A1106+1</f>
        <v/>
      </c>
      <c r="K1107">
        <f>I1107+J1107</f>
        <v/>
      </c>
    </row>
    <row r="1108" ht="14.45" customHeight="1">
      <c r="A1108">
        <f>A1107+1</f>
        <v/>
      </c>
      <c r="K1108">
        <f>I1108+J1108</f>
        <v/>
      </c>
    </row>
    <row r="1109" ht="14.45" customHeight="1">
      <c r="A1109">
        <f>A1108+1</f>
        <v/>
      </c>
      <c r="K1109">
        <f>I1109+J1109</f>
        <v/>
      </c>
    </row>
    <row r="1110" ht="14.45" customHeight="1">
      <c r="A1110">
        <f>A1109+1</f>
        <v/>
      </c>
      <c r="K1110">
        <f>I1110+J1110</f>
        <v/>
      </c>
    </row>
    <row r="1111" ht="14.45" customHeight="1">
      <c r="A1111">
        <f>A1110+1</f>
        <v/>
      </c>
      <c r="K1111">
        <f>I1111+J1111</f>
        <v/>
      </c>
    </row>
    <row r="1112" ht="14.45" customHeight="1">
      <c r="A1112">
        <f>A1111+1</f>
        <v/>
      </c>
      <c r="K1112">
        <f>I1112+J1112</f>
        <v/>
      </c>
    </row>
    <row r="1113" ht="14.45" customHeight="1">
      <c r="A1113">
        <f>A1112+1</f>
        <v/>
      </c>
      <c r="K1113">
        <f>I1113+J1113</f>
        <v/>
      </c>
    </row>
    <row r="1114" ht="14.45" customHeight="1">
      <c r="A1114">
        <f>A1113+1</f>
        <v/>
      </c>
      <c r="K1114">
        <f>I1114+J1114</f>
        <v/>
      </c>
    </row>
    <row r="1115" ht="14.45" customHeight="1">
      <c r="A1115">
        <f>A1114+1</f>
        <v/>
      </c>
      <c r="K1115">
        <f>I1115+J1115</f>
        <v/>
      </c>
    </row>
    <row r="1116">
      <c r="A1116">
        <f>A1115+1</f>
        <v/>
      </c>
      <c r="K1116">
        <f>I1116+J1116</f>
        <v/>
      </c>
    </row>
    <row r="1117">
      <c r="A1117">
        <f>A1116+1</f>
        <v/>
      </c>
      <c r="K1117">
        <f>I1117+J1117</f>
        <v/>
      </c>
    </row>
    <row r="1118">
      <c r="A1118">
        <f>A1117+1</f>
        <v/>
      </c>
      <c r="K1118">
        <f>I1118+J1118</f>
        <v/>
      </c>
    </row>
    <row r="1119">
      <c r="A1119">
        <f>A1118+1</f>
        <v/>
      </c>
      <c r="K1119">
        <f>I1119+J1119</f>
        <v/>
      </c>
    </row>
    <row r="1120">
      <c r="A1120">
        <f>A1119+1</f>
        <v/>
      </c>
      <c r="K1120">
        <f>I1120+J1120</f>
        <v/>
      </c>
    </row>
    <row r="1121">
      <c r="A1121">
        <f>A1120+1</f>
        <v/>
      </c>
      <c r="K1121">
        <f>I1121+J1121</f>
        <v/>
      </c>
    </row>
    <row r="1122">
      <c r="A1122">
        <f>A1121+1</f>
        <v/>
      </c>
      <c r="K1122">
        <f>I1122+J1122</f>
        <v/>
      </c>
    </row>
    <row r="1123">
      <c r="A1123">
        <f>A1122+1</f>
        <v/>
      </c>
      <c r="K1123">
        <f>I1123+J1123</f>
        <v/>
      </c>
    </row>
    <row r="1124">
      <c r="A1124">
        <f>A1123+1</f>
        <v/>
      </c>
      <c r="K1124">
        <f>I1124+J1124</f>
        <v/>
      </c>
    </row>
    <row r="1125">
      <c r="A1125">
        <f>A1124+1</f>
        <v/>
      </c>
      <c r="K1125">
        <f>I1125+J1125</f>
        <v/>
      </c>
    </row>
    <row r="1126">
      <c r="A1126">
        <f>A1125+1</f>
        <v/>
      </c>
      <c r="K1126">
        <f>I1126+J1126</f>
        <v/>
      </c>
    </row>
    <row r="1127">
      <c r="A1127">
        <f>A1126+1</f>
        <v/>
      </c>
      <c r="K1127">
        <f>I1127+J1127</f>
        <v/>
      </c>
    </row>
    <row r="1128">
      <c r="A1128">
        <f>A1127+1</f>
        <v/>
      </c>
      <c r="K1128">
        <f>I1128+J1128</f>
        <v/>
      </c>
    </row>
    <row r="1129">
      <c r="A1129">
        <f>A1128+1</f>
        <v/>
      </c>
      <c r="K1129">
        <f>I1129+J1129</f>
        <v/>
      </c>
    </row>
    <row r="1130">
      <c r="A1130">
        <f>A1129+1</f>
        <v/>
      </c>
      <c r="K1130">
        <f>I1130+J1130</f>
        <v/>
      </c>
    </row>
    <row r="1131">
      <c r="A1131">
        <f>A1130+1</f>
        <v/>
      </c>
      <c r="K1131">
        <f>I1131+J1131</f>
        <v/>
      </c>
    </row>
    <row r="1132">
      <c r="A1132">
        <f>A1131+1</f>
        <v/>
      </c>
      <c r="K1132">
        <f>I1132+J1132</f>
        <v/>
      </c>
    </row>
    <row r="1133">
      <c r="A1133">
        <f>A1132+1</f>
        <v/>
      </c>
      <c r="K1133">
        <f>I1133+J1133</f>
        <v/>
      </c>
    </row>
    <row r="1134">
      <c r="A1134">
        <f>A1133+1</f>
        <v/>
      </c>
      <c r="K1134">
        <f>I1134+J1134</f>
        <v/>
      </c>
    </row>
    <row r="1135">
      <c r="A1135">
        <f>A1134+1</f>
        <v/>
      </c>
      <c r="K1135">
        <f>I1135+J1135</f>
        <v/>
      </c>
    </row>
    <row r="1136">
      <c r="A1136">
        <f>A1135+1</f>
        <v/>
      </c>
      <c r="K1136">
        <f>I1136+J1136</f>
        <v/>
      </c>
    </row>
    <row r="1137">
      <c r="A1137">
        <f>A1136+1</f>
        <v/>
      </c>
      <c r="K1137">
        <f>I1137+J1137</f>
        <v/>
      </c>
    </row>
    <row r="1138">
      <c r="A1138">
        <f>A1137+1</f>
        <v/>
      </c>
      <c r="K1138">
        <f>I1138+J1138</f>
        <v/>
      </c>
    </row>
    <row r="1139">
      <c r="A1139">
        <f>A1138+1</f>
        <v/>
      </c>
      <c r="K1139">
        <f>I1139+J1139</f>
        <v/>
      </c>
    </row>
    <row r="1140">
      <c r="A1140">
        <f>A1139+1</f>
        <v/>
      </c>
      <c r="K1140">
        <f>I1140+J1140</f>
        <v/>
      </c>
    </row>
    <row r="1141">
      <c r="A1141">
        <f>A1140+1</f>
        <v/>
      </c>
      <c r="K1141">
        <f>I1141+J1141</f>
        <v/>
      </c>
    </row>
    <row r="1142">
      <c r="A1142">
        <f>A1141+1</f>
        <v/>
      </c>
      <c r="K1142">
        <f>I1142+J1142</f>
        <v/>
      </c>
    </row>
    <row r="1143">
      <c r="A1143">
        <f>A1142+1</f>
        <v/>
      </c>
      <c r="K1143">
        <f>I1143+J1143</f>
        <v/>
      </c>
    </row>
    <row r="1144">
      <c r="A1144">
        <f>A1143+1</f>
        <v/>
      </c>
      <c r="K1144">
        <f>I1144+J1144</f>
        <v/>
      </c>
    </row>
    <row r="1145">
      <c r="A1145">
        <f>A1144+1</f>
        <v/>
      </c>
      <c r="K1145">
        <f>I1145+J1145</f>
        <v/>
      </c>
    </row>
    <row r="1146">
      <c r="A1146">
        <f>A1145+1</f>
        <v/>
      </c>
      <c r="K1146">
        <f>I1146+J1146</f>
        <v/>
      </c>
    </row>
    <row r="1147">
      <c r="A1147">
        <f>A1146+1</f>
        <v/>
      </c>
      <c r="K1147">
        <f>I1147+J1147</f>
        <v/>
      </c>
    </row>
    <row r="1148">
      <c r="A1148">
        <f>A1147+1</f>
        <v/>
      </c>
      <c r="K1148">
        <f>I1148+J1148</f>
        <v/>
      </c>
    </row>
    <row r="1149">
      <c r="A1149">
        <f>A1148+1</f>
        <v/>
      </c>
      <c r="K1149">
        <f>I1149+J1149</f>
        <v/>
      </c>
    </row>
    <row r="1150">
      <c r="A1150">
        <f>A1149+1</f>
        <v/>
      </c>
      <c r="K1150">
        <f>I1150+J1150</f>
        <v/>
      </c>
    </row>
    <row r="1151">
      <c r="A1151">
        <f>A1150+1</f>
        <v/>
      </c>
      <c r="K1151">
        <f>I1151+J1151</f>
        <v/>
      </c>
    </row>
    <row r="1152">
      <c r="A1152">
        <f>A1151+1</f>
        <v/>
      </c>
      <c r="K1152">
        <f>I1152+J1152</f>
        <v/>
      </c>
    </row>
    <row r="1153">
      <c r="A1153">
        <f>A1152+1</f>
        <v/>
      </c>
      <c r="K1153">
        <f>I1153+J1153</f>
        <v/>
      </c>
    </row>
    <row r="1154">
      <c r="A1154">
        <f>A1153+1</f>
        <v/>
      </c>
      <c r="K1154">
        <f>I1154+J1154</f>
        <v/>
      </c>
    </row>
    <row r="1155">
      <c r="A1155">
        <f>A1154+1</f>
        <v/>
      </c>
      <c r="K1155">
        <f>I1155+J1155</f>
        <v/>
      </c>
    </row>
    <row r="1156">
      <c r="A1156">
        <f>A1155+1</f>
        <v/>
      </c>
      <c r="K1156">
        <f>I1156+J1156</f>
        <v/>
      </c>
    </row>
    <row r="1157">
      <c r="A1157">
        <f>A1156+1</f>
        <v/>
      </c>
      <c r="K1157">
        <f>I1157+J1157</f>
        <v/>
      </c>
    </row>
    <row r="1158">
      <c r="A1158">
        <f>A1157+1</f>
        <v/>
      </c>
      <c r="K1158">
        <f>I1158+J1158</f>
        <v/>
      </c>
    </row>
    <row r="1159">
      <c r="A1159">
        <f>A1158+1</f>
        <v/>
      </c>
      <c r="K1159">
        <f>I1159+J1159</f>
        <v/>
      </c>
    </row>
    <row r="1160">
      <c r="A1160">
        <f>A1159+1</f>
        <v/>
      </c>
      <c r="K1160">
        <f>I1160+J1160</f>
        <v/>
      </c>
    </row>
    <row r="1161">
      <c r="A1161">
        <f>A1160+1</f>
        <v/>
      </c>
      <c r="K1161">
        <f>I1161+J1161</f>
        <v/>
      </c>
    </row>
    <row r="1162">
      <c r="A1162">
        <f>A1161+1</f>
        <v/>
      </c>
      <c r="K1162">
        <f>I1162+J1162</f>
        <v/>
      </c>
    </row>
    <row r="1163">
      <c r="A1163">
        <f>A1162+1</f>
        <v/>
      </c>
      <c r="K1163">
        <f>I1163+J1163</f>
        <v/>
      </c>
    </row>
    <row r="1164">
      <c r="A1164">
        <f>A1163+1</f>
        <v/>
      </c>
      <c r="K1164">
        <f>I1164+J1164</f>
        <v/>
      </c>
    </row>
    <row r="1165">
      <c r="A1165">
        <f>A1164+1</f>
        <v/>
      </c>
      <c r="K1165">
        <f>I1165+J1165</f>
        <v/>
      </c>
    </row>
    <row r="1166">
      <c r="A1166">
        <f>A1165+1</f>
        <v/>
      </c>
      <c r="K1166">
        <f>I1166+J1166</f>
        <v/>
      </c>
    </row>
    <row r="1167">
      <c r="A1167">
        <f>A1166+1</f>
        <v/>
      </c>
      <c r="K1167">
        <f>I1167+J1167</f>
        <v/>
      </c>
    </row>
    <row r="1168">
      <c r="A1168">
        <f>A1167+1</f>
        <v/>
      </c>
      <c r="K1168">
        <f>I1168+J1168</f>
        <v/>
      </c>
    </row>
    <row r="1169">
      <c r="A1169">
        <f>A1168+1</f>
        <v/>
      </c>
      <c r="K1169">
        <f>I1169+J1169</f>
        <v/>
      </c>
    </row>
    <row r="1170">
      <c r="A1170">
        <f>A1169+1</f>
        <v/>
      </c>
      <c r="K1170">
        <f>I1170+J1170</f>
        <v/>
      </c>
    </row>
    <row r="1171">
      <c r="A1171">
        <f>A1170+1</f>
        <v/>
      </c>
      <c r="K1171">
        <f>I1171+J1171</f>
        <v/>
      </c>
    </row>
    <row r="1172">
      <c r="A1172">
        <f>A1171+1</f>
        <v/>
      </c>
      <c r="K1172">
        <f>I1172+J1172</f>
        <v/>
      </c>
    </row>
    <row r="1173">
      <c r="A1173">
        <f>A1172+1</f>
        <v/>
      </c>
      <c r="K1173">
        <f>I1173+J1173</f>
        <v/>
      </c>
    </row>
    <row r="1174">
      <c r="A1174">
        <f>A1173+1</f>
        <v/>
      </c>
      <c r="K1174">
        <f>I1174+J1174</f>
        <v/>
      </c>
    </row>
    <row r="1175">
      <c r="A1175">
        <f>A1174+1</f>
        <v/>
      </c>
      <c r="K1175">
        <f>I1175+J1175</f>
        <v/>
      </c>
    </row>
    <row r="1176">
      <c r="A1176">
        <f>A1175+1</f>
        <v/>
      </c>
      <c r="K1176">
        <f>I1176+J1176</f>
        <v/>
      </c>
    </row>
    <row r="1177">
      <c r="A1177">
        <f>A1176+1</f>
        <v/>
      </c>
      <c r="K1177">
        <f>I1177+J1177</f>
        <v/>
      </c>
    </row>
    <row r="1178">
      <c r="A1178">
        <f>A1177+1</f>
        <v/>
      </c>
      <c r="K1178">
        <f>I1178+J1178</f>
        <v/>
      </c>
    </row>
    <row r="1179">
      <c r="A1179">
        <f>A1178+1</f>
        <v/>
      </c>
      <c r="K1179">
        <f>I1179+J1179</f>
        <v/>
      </c>
    </row>
    <row r="1180">
      <c r="A1180">
        <f>A1179+1</f>
        <v/>
      </c>
      <c r="K1180">
        <f>I1180+J1180</f>
        <v/>
      </c>
    </row>
    <row r="1181">
      <c r="A1181">
        <f>A1180+1</f>
        <v/>
      </c>
      <c r="K1181">
        <f>I1181+J1181</f>
        <v/>
      </c>
    </row>
    <row r="1182">
      <c r="A1182">
        <f>A1181+1</f>
        <v/>
      </c>
      <c r="K1182">
        <f>I1182+J1182</f>
        <v/>
      </c>
    </row>
    <row r="1183">
      <c r="A1183">
        <f>A1182+1</f>
        <v/>
      </c>
      <c r="K1183">
        <f>I1183+J1183</f>
        <v/>
      </c>
    </row>
    <row r="1184">
      <c r="A1184">
        <f>A1183+1</f>
        <v/>
      </c>
      <c r="K1184">
        <f>I1184+J1184</f>
        <v/>
      </c>
    </row>
    <row r="1185">
      <c r="A1185">
        <f>A1184+1</f>
        <v/>
      </c>
      <c r="K1185">
        <f>I1185+J1185</f>
        <v/>
      </c>
    </row>
    <row r="1186">
      <c r="A1186">
        <f>A1185+1</f>
        <v/>
      </c>
      <c r="K1186">
        <f>I1186+J1186</f>
        <v/>
      </c>
    </row>
    <row r="1187">
      <c r="A1187">
        <f>A1186+1</f>
        <v/>
      </c>
      <c r="K1187">
        <f>I1187+J1187</f>
        <v/>
      </c>
    </row>
    <row r="1188">
      <c r="A1188">
        <f>A1187+1</f>
        <v/>
      </c>
      <c r="K1188">
        <f>I1188+J1188</f>
        <v/>
      </c>
    </row>
    <row r="1189">
      <c r="A1189">
        <f>A1188+1</f>
        <v/>
      </c>
      <c r="K1189">
        <f>I1189+J1189</f>
        <v/>
      </c>
    </row>
    <row r="1190">
      <c r="A1190">
        <f>A1189+1</f>
        <v/>
      </c>
      <c r="K1190">
        <f>I1190+J1190</f>
        <v/>
      </c>
    </row>
    <row r="1191">
      <c r="A1191">
        <f>A1190+1</f>
        <v/>
      </c>
      <c r="K1191">
        <f>I1191+J1191</f>
        <v/>
      </c>
    </row>
    <row r="1192">
      <c r="A1192">
        <f>A1191+1</f>
        <v/>
      </c>
      <c r="K1192">
        <f>I1192+J1192</f>
        <v/>
      </c>
    </row>
    <row r="1193">
      <c r="A1193">
        <f>A1192+1</f>
        <v/>
      </c>
      <c r="K1193">
        <f>I1193+J1193</f>
        <v/>
      </c>
    </row>
    <row r="1194">
      <c r="A1194">
        <f>A1193+1</f>
        <v/>
      </c>
      <c r="K1194">
        <f>I1194+J1194</f>
        <v/>
      </c>
    </row>
    <row r="1195">
      <c r="A1195">
        <f>A1194+1</f>
        <v/>
      </c>
      <c r="K1195">
        <f>I1195+J1195</f>
        <v/>
      </c>
    </row>
    <row r="1196">
      <c r="A1196">
        <f>A1195+1</f>
        <v/>
      </c>
      <c r="K1196">
        <f>I1196+J1196</f>
        <v/>
      </c>
    </row>
    <row r="1197">
      <c r="A1197">
        <f>A1196+1</f>
        <v/>
      </c>
      <c r="K1197">
        <f>I1197+J1197</f>
        <v/>
      </c>
    </row>
    <row r="1198">
      <c r="A1198">
        <f>A1197+1</f>
        <v/>
      </c>
      <c r="K1198">
        <f>I1198+J1198</f>
        <v/>
      </c>
    </row>
    <row r="1199">
      <c r="A1199">
        <f>A1198+1</f>
        <v/>
      </c>
      <c r="K1199">
        <f>I1199+J1199</f>
        <v/>
      </c>
    </row>
    <row r="1200">
      <c r="A1200">
        <f>A1199+1</f>
        <v/>
      </c>
      <c r="K1200">
        <f>I1200+J1200</f>
        <v/>
      </c>
    </row>
    <row r="1201">
      <c r="A1201">
        <f>A1200+1</f>
        <v/>
      </c>
      <c r="K1201">
        <f>I1201+J1201</f>
        <v/>
      </c>
    </row>
    <row r="1202">
      <c r="A1202">
        <f>A1201+1</f>
        <v/>
      </c>
      <c r="K1202">
        <f>I1202+J1202</f>
        <v/>
      </c>
    </row>
    <row r="1203">
      <c r="A1203">
        <f>A1202+1</f>
        <v/>
      </c>
      <c r="K1203">
        <f>I1203+J1203</f>
        <v/>
      </c>
    </row>
    <row r="1204">
      <c r="A1204">
        <f>A1203+1</f>
        <v/>
      </c>
      <c r="K1204">
        <f>I1204+J1204</f>
        <v/>
      </c>
    </row>
    <row r="1205">
      <c r="A1205">
        <f>A1204+1</f>
        <v/>
      </c>
      <c r="K1205">
        <f>I1205+J1205</f>
        <v/>
      </c>
    </row>
    <row r="1206">
      <c r="A1206">
        <f>A1205+1</f>
        <v/>
      </c>
      <c r="K1206">
        <f>I1206+J1206</f>
        <v/>
      </c>
    </row>
    <row r="1207">
      <c r="A1207">
        <f>A1206+1</f>
        <v/>
      </c>
      <c r="K1207">
        <f>I1207+J1207</f>
        <v/>
      </c>
    </row>
    <row r="1208">
      <c r="A1208">
        <f>A1207+1</f>
        <v/>
      </c>
      <c r="K1208">
        <f>I1208+J1208</f>
        <v/>
      </c>
    </row>
    <row r="1209">
      <c r="A1209">
        <f>A1208+1</f>
        <v/>
      </c>
      <c r="K1209">
        <f>I1209+J1209</f>
        <v/>
      </c>
    </row>
    <row r="1210">
      <c r="A1210">
        <f>A1209+1</f>
        <v/>
      </c>
      <c r="K1210">
        <f>I1210+J1210</f>
        <v/>
      </c>
    </row>
    <row r="1211">
      <c r="A1211">
        <f>A1210+1</f>
        <v/>
      </c>
      <c r="K1211">
        <f>I1211+J1211</f>
        <v/>
      </c>
    </row>
    <row r="1212">
      <c r="A1212">
        <f>A1211+1</f>
        <v/>
      </c>
      <c r="K1212">
        <f>I1212+J1212</f>
        <v/>
      </c>
    </row>
    <row r="1213">
      <c r="A1213">
        <f>A1212+1</f>
        <v/>
      </c>
      <c r="K1213">
        <f>I1213+J1213</f>
        <v/>
      </c>
    </row>
    <row r="1214">
      <c r="A1214">
        <f>A1213+1</f>
        <v/>
      </c>
      <c r="K1214">
        <f>I1214+J1214</f>
        <v/>
      </c>
    </row>
    <row r="1215">
      <c r="A1215">
        <f>A1214+1</f>
        <v/>
      </c>
      <c r="K1215">
        <f>I1215+J1215</f>
        <v/>
      </c>
    </row>
    <row r="1216">
      <c r="A1216">
        <f>A1215+1</f>
        <v/>
      </c>
      <c r="K1216">
        <f>I1216+J1216</f>
        <v/>
      </c>
    </row>
    <row r="1217">
      <c r="A1217">
        <f>A1216+1</f>
        <v/>
      </c>
      <c r="K1217">
        <f>I1217+J1217</f>
        <v/>
      </c>
    </row>
    <row r="1218">
      <c r="A1218">
        <f>A1217+1</f>
        <v/>
      </c>
      <c r="K1218">
        <f>I1218+J1218</f>
        <v/>
      </c>
    </row>
    <row r="1219">
      <c r="A1219">
        <f>A1218+1</f>
        <v/>
      </c>
      <c r="K1219">
        <f>I1219+J1219</f>
        <v/>
      </c>
    </row>
    <row r="1220">
      <c r="A1220">
        <f>A1219+1</f>
        <v/>
      </c>
      <c r="K1220">
        <f>I1220+J1220</f>
        <v/>
      </c>
    </row>
    <row r="1221">
      <c r="A1221">
        <f>A1220+1</f>
        <v/>
      </c>
      <c r="K1221">
        <f>I1221+J1221</f>
        <v/>
      </c>
    </row>
    <row r="1222">
      <c r="A1222">
        <f>A1221+1</f>
        <v/>
      </c>
      <c r="K1222">
        <f>I1222+J1222</f>
        <v/>
      </c>
    </row>
    <row r="1223">
      <c r="A1223">
        <f>A1222+1</f>
        <v/>
      </c>
      <c r="K1223">
        <f>I1223+J1223</f>
        <v/>
      </c>
    </row>
    <row r="1224">
      <c r="A1224">
        <f>A1223+1</f>
        <v/>
      </c>
      <c r="K1224">
        <f>I1224+J1224</f>
        <v/>
      </c>
    </row>
    <row r="1225">
      <c r="A1225">
        <f>A1224+1</f>
        <v/>
      </c>
      <c r="K1225">
        <f>I1225+J1225</f>
        <v/>
      </c>
    </row>
    <row r="1226">
      <c r="A1226">
        <f>A1225+1</f>
        <v/>
      </c>
      <c r="K1226">
        <f>I1226+J1226</f>
        <v/>
      </c>
    </row>
    <row r="1227">
      <c r="A1227">
        <f>A1226+1</f>
        <v/>
      </c>
      <c r="K1227">
        <f>I1227+J1227</f>
        <v/>
      </c>
    </row>
    <row r="1228">
      <c r="A1228">
        <f>A1227+1</f>
        <v/>
      </c>
      <c r="K1228">
        <f>I1228+J1228</f>
        <v/>
      </c>
    </row>
    <row r="1229">
      <c r="A1229">
        <f>A1228+1</f>
        <v/>
      </c>
      <c r="K1229">
        <f>I1229+J1229</f>
        <v/>
      </c>
    </row>
    <row r="1230">
      <c r="A1230">
        <f>A1229+1</f>
        <v/>
      </c>
      <c r="K1230">
        <f>I1230+J1230</f>
        <v/>
      </c>
    </row>
    <row r="1231">
      <c r="A1231">
        <f>A1230+1</f>
        <v/>
      </c>
      <c r="K1231">
        <f>I1231+J1231</f>
        <v/>
      </c>
    </row>
    <row r="1232">
      <c r="A1232">
        <f>A1231+1</f>
        <v/>
      </c>
      <c r="K1232">
        <f>I1232+J1232</f>
        <v/>
      </c>
    </row>
    <row r="1233">
      <c r="A1233">
        <f>A1232+1</f>
        <v/>
      </c>
      <c r="K1233">
        <f>I1233+J1233</f>
        <v/>
      </c>
    </row>
    <row r="1234">
      <c r="A1234">
        <f>A1233+1</f>
        <v/>
      </c>
      <c r="K1234">
        <f>I1234+J1234</f>
        <v/>
      </c>
    </row>
    <row r="1235">
      <c r="A1235">
        <f>A1234+1</f>
        <v/>
      </c>
      <c r="K1235">
        <f>I1235+J1235</f>
        <v/>
      </c>
    </row>
    <row r="1236">
      <c r="A1236">
        <f>A1235+1</f>
        <v/>
      </c>
      <c r="K1236">
        <f>I1236+J1236</f>
        <v/>
      </c>
    </row>
    <row r="1237">
      <c r="A1237">
        <f>A1236+1</f>
        <v/>
      </c>
      <c r="K1237">
        <f>I1237+J1237</f>
        <v/>
      </c>
    </row>
    <row r="1238">
      <c r="A1238">
        <f>A1237+1</f>
        <v/>
      </c>
      <c r="K1238">
        <f>I1238+J1238</f>
        <v/>
      </c>
    </row>
    <row r="1239">
      <c r="A1239">
        <f>A1238+1</f>
        <v/>
      </c>
      <c r="K1239">
        <f>I1239+J1239</f>
        <v/>
      </c>
    </row>
    <row r="1240">
      <c r="A1240">
        <f>A1239+1</f>
        <v/>
      </c>
      <c r="K1240">
        <f>I1240+J1240</f>
        <v/>
      </c>
    </row>
    <row r="1241">
      <c r="A1241">
        <f>A1240+1</f>
        <v/>
      </c>
      <c r="K1241">
        <f>I1241+J1241</f>
        <v/>
      </c>
    </row>
    <row r="1242">
      <c r="A1242">
        <f>A1241+1</f>
        <v/>
      </c>
      <c r="K1242">
        <f>I1242+J1242</f>
        <v/>
      </c>
    </row>
    <row r="1243">
      <c r="A1243">
        <f>A1242+1</f>
        <v/>
      </c>
      <c r="K1243">
        <f>I1243+J1243</f>
        <v/>
      </c>
    </row>
    <row r="1244">
      <c r="A1244">
        <f>A1243+1</f>
        <v/>
      </c>
      <c r="K1244">
        <f>I1244+J1244</f>
        <v/>
      </c>
    </row>
    <row r="1245">
      <c r="A1245">
        <f>A1244+1</f>
        <v/>
      </c>
      <c r="K1245">
        <f>I1245+J1245</f>
        <v/>
      </c>
    </row>
    <row r="1246">
      <c r="A1246">
        <f>A1245+1</f>
        <v/>
      </c>
      <c r="K1246">
        <f>I1246+J1246</f>
        <v/>
      </c>
    </row>
    <row r="1247">
      <c r="A1247">
        <f>A1246+1</f>
        <v/>
      </c>
      <c r="K1247">
        <f>I1247+J1247</f>
        <v/>
      </c>
    </row>
    <row r="1248">
      <c r="A1248">
        <f>A1247+1</f>
        <v/>
      </c>
      <c r="K1248">
        <f>I1248+J1248</f>
        <v/>
      </c>
    </row>
    <row r="1249">
      <c r="A1249">
        <f>A1248+1</f>
        <v/>
      </c>
      <c r="K1249">
        <f>I1249+J1249</f>
        <v/>
      </c>
    </row>
    <row r="1250">
      <c r="A1250">
        <f>A1249+1</f>
        <v/>
      </c>
      <c r="K1250">
        <f>I1250+J1250</f>
        <v/>
      </c>
    </row>
    <row r="1251">
      <c r="A1251">
        <f>A1250+1</f>
        <v/>
      </c>
      <c r="K1251">
        <f>I1251+J1251</f>
        <v/>
      </c>
    </row>
    <row r="1252">
      <c r="A1252">
        <f>A1251+1</f>
        <v/>
      </c>
      <c r="K1252">
        <f>I1252+J1252</f>
        <v/>
      </c>
    </row>
    <row r="1253">
      <c r="A1253">
        <f>A1252+1</f>
        <v/>
      </c>
      <c r="K1253">
        <f>I1253+J1253</f>
        <v/>
      </c>
    </row>
    <row r="1254">
      <c r="A1254">
        <f>A1253+1</f>
        <v/>
      </c>
      <c r="K1254">
        <f>I1254+J1254</f>
        <v/>
      </c>
    </row>
    <row r="1255">
      <c r="A1255">
        <f>A1254+1</f>
        <v/>
      </c>
      <c r="K1255">
        <f>I1255+J1255</f>
        <v/>
      </c>
    </row>
    <row r="1256">
      <c r="A1256">
        <f>A1255+1</f>
        <v/>
      </c>
      <c r="K1256">
        <f>I1256+J1256</f>
        <v/>
      </c>
    </row>
    <row r="1257">
      <c r="A1257">
        <f>A1256+1</f>
        <v/>
      </c>
      <c r="K1257">
        <f>I1257+J1257</f>
        <v/>
      </c>
    </row>
    <row r="1258">
      <c r="A1258">
        <f>A1257+1</f>
        <v/>
      </c>
      <c r="K1258">
        <f>I1258+J1258</f>
        <v/>
      </c>
    </row>
    <row r="1259">
      <c r="A1259">
        <f>A1258+1</f>
        <v/>
      </c>
      <c r="K1259">
        <f>I1259+J1259</f>
        <v/>
      </c>
    </row>
    <row r="1260">
      <c r="A1260">
        <f>A1259+1</f>
        <v/>
      </c>
      <c r="K1260">
        <f>I1260+J1260</f>
        <v/>
      </c>
    </row>
    <row r="1261">
      <c r="A1261">
        <f>A1260+1</f>
        <v/>
      </c>
      <c r="K1261">
        <f>I1261+J1261</f>
        <v/>
      </c>
    </row>
    <row r="1262">
      <c r="A1262">
        <f>A1261+1</f>
        <v/>
      </c>
      <c r="K1262">
        <f>I1262+J1262</f>
        <v/>
      </c>
    </row>
    <row r="1263">
      <c r="A1263">
        <f>A1262+1</f>
        <v/>
      </c>
      <c r="K1263">
        <f>I1263+J1263</f>
        <v/>
      </c>
    </row>
    <row r="1264">
      <c r="A1264">
        <f>A1263+1</f>
        <v/>
      </c>
      <c r="K1264">
        <f>I1264+J1264</f>
        <v/>
      </c>
    </row>
    <row r="1265">
      <c r="A1265">
        <f>A1264+1</f>
        <v/>
      </c>
      <c r="K1265">
        <f>I1265+J1265</f>
        <v/>
      </c>
    </row>
    <row r="1266">
      <c r="A1266">
        <f>A1265+1</f>
        <v/>
      </c>
      <c r="K1266">
        <f>I1266+J1266</f>
        <v/>
      </c>
    </row>
    <row r="1267">
      <c r="A1267">
        <f>A1266+1</f>
        <v/>
      </c>
      <c r="K1267">
        <f>I1267+J1267</f>
        <v/>
      </c>
    </row>
    <row r="1268">
      <c r="A1268">
        <f>A1267+1</f>
        <v/>
      </c>
      <c r="K1268">
        <f>I1268+J1268</f>
        <v/>
      </c>
    </row>
    <row r="1269">
      <c r="A1269">
        <f>A1268+1</f>
        <v/>
      </c>
      <c r="K1269">
        <f>I1269+J1269</f>
        <v/>
      </c>
    </row>
    <row r="1270">
      <c r="A1270">
        <f>A1269+1</f>
        <v/>
      </c>
      <c r="K1270">
        <f>I1270+J1270</f>
        <v/>
      </c>
    </row>
    <row r="1271">
      <c r="A1271">
        <f>A1270+1</f>
        <v/>
      </c>
      <c r="K1271">
        <f>I1271+J1271</f>
        <v/>
      </c>
    </row>
    <row r="1272">
      <c r="A1272">
        <f>A1271+1</f>
        <v/>
      </c>
      <c r="K1272">
        <f>I1272+J1272</f>
        <v/>
      </c>
    </row>
    <row r="1273">
      <c r="A1273">
        <f>A1272+1</f>
        <v/>
      </c>
      <c r="K1273">
        <f>I1273+J1273</f>
        <v/>
      </c>
    </row>
    <row r="1274">
      <c r="A1274">
        <f>A1273+1</f>
        <v/>
      </c>
      <c r="K1274">
        <f>I1274+J1274</f>
        <v/>
      </c>
    </row>
    <row r="1275">
      <c r="A1275">
        <f>A1274+1</f>
        <v/>
      </c>
      <c r="K1275">
        <f>I1275+J1275</f>
        <v/>
      </c>
    </row>
    <row r="1276">
      <c r="A1276">
        <f>A1275+1</f>
        <v/>
      </c>
      <c r="K1276">
        <f>I1276+J1276</f>
        <v/>
      </c>
    </row>
    <row r="1277">
      <c r="A1277">
        <f>A1276+1</f>
        <v/>
      </c>
      <c r="K1277">
        <f>I1277+J1277</f>
        <v/>
      </c>
    </row>
    <row r="1278">
      <c r="A1278">
        <f>A1277+1</f>
        <v/>
      </c>
      <c r="K1278">
        <f>I1278+J1278</f>
        <v/>
      </c>
    </row>
    <row r="1279">
      <c r="A1279">
        <f>A1278+1</f>
        <v/>
      </c>
      <c r="K1279">
        <f>I1279+J1279</f>
        <v/>
      </c>
    </row>
    <row r="1280">
      <c r="A1280">
        <f>A1279+1</f>
        <v/>
      </c>
      <c r="K1280">
        <f>I1280+J1280</f>
        <v/>
      </c>
    </row>
    <row r="1281">
      <c r="A1281">
        <f>A1280+1</f>
        <v/>
      </c>
      <c r="K1281">
        <f>I1281+J1281</f>
        <v/>
      </c>
    </row>
    <row r="1282">
      <c r="A1282">
        <f>A1281+1</f>
        <v/>
      </c>
      <c r="K1282">
        <f>I1282+J1282</f>
        <v/>
      </c>
    </row>
    <row r="1283">
      <c r="A1283">
        <f>A1282+1</f>
        <v/>
      </c>
      <c r="K1283">
        <f>I1283+J1283</f>
        <v/>
      </c>
    </row>
    <row r="1284">
      <c r="A1284">
        <f>A1283+1</f>
        <v/>
      </c>
      <c r="K1284">
        <f>I1284+J1284</f>
        <v/>
      </c>
    </row>
    <row r="1285">
      <c r="A1285">
        <f>A1284+1</f>
        <v/>
      </c>
      <c r="K1285">
        <f>I1285+J1285</f>
        <v/>
      </c>
    </row>
    <row r="1286">
      <c r="A1286">
        <f>A1285+1</f>
        <v/>
      </c>
      <c r="K1286">
        <f>I1286+J1286</f>
        <v/>
      </c>
    </row>
    <row r="1287">
      <c r="A1287">
        <f>A1286+1</f>
        <v/>
      </c>
      <c r="K1287">
        <f>I1287+J1287</f>
        <v/>
      </c>
    </row>
    <row r="1288">
      <c r="A1288">
        <f>A1287+1</f>
        <v/>
      </c>
      <c r="K1288">
        <f>I1288+J1288</f>
        <v/>
      </c>
    </row>
    <row r="1289">
      <c r="A1289">
        <f>A1288+1</f>
        <v/>
      </c>
      <c r="K1289">
        <f>I1289+J1289</f>
        <v/>
      </c>
    </row>
    <row r="1290">
      <c r="A1290">
        <f>A1289+1</f>
        <v/>
      </c>
      <c r="K1290">
        <f>I1290+J1290</f>
        <v/>
      </c>
    </row>
    <row r="1291">
      <c r="A1291">
        <f>A1290+1</f>
        <v/>
      </c>
      <c r="K1291">
        <f>I1291+J1291</f>
        <v/>
      </c>
    </row>
    <row r="1292">
      <c r="A1292">
        <f>A1291+1</f>
        <v/>
      </c>
      <c r="K1292">
        <f>I1292+J1292</f>
        <v/>
      </c>
    </row>
    <row r="1293">
      <c r="A1293">
        <f>A1292+1</f>
        <v/>
      </c>
      <c r="K1293">
        <f>I1293+J1293</f>
        <v/>
      </c>
    </row>
    <row r="1294">
      <c r="A1294">
        <f>A1293+1</f>
        <v/>
      </c>
      <c r="K1294">
        <f>I1294+J1294</f>
        <v/>
      </c>
    </row>
    <row r="1295">
      <c r="A1295">
        <f>A1294+1</f>
        <v/>
      </c>
      <c r="K1295">
        <f>I1295+J1295</f>
        <v/>
      </c>
    </row>
    <row r="1296">
      <c r="A1296">
        <f>A1295+1</f>
        <v/>
      </c>
      <c r="K1296">
        <f>I1296+J1296</f>
        <v/>
      </c>
    </row>
    <row r="1297">
      <c r="A1297">
        <f>A1296+1</f>
        <v/>
      </c>
      <c r="K1297">
        <f>I1297+J1297</f>
        <v/>
      </c>
    </row>
    <row r="1298">
      <c r="A1298">
        <f>A1297+1</f>
        <v/>
      </c>
      <c r="K1298">
        <f>I1298+J1298</f>
        <v/>
      </c>
    </row>
    <row r="1299">
      <c r="A1299">
        <f>A1298+1</f>
        <v/>
      </c>
      <c r="K1299">
        <f>I1299+J1299</f>
        <v/>
      </c>
    </row>
    <row r="1300">
      <c r="A1300">
        <f>A1299+1</f>
        <v/>
      </c>
      <c r="K1300">
        <f>I1300+J1300</f>
        <v/>
      </c>
    </row>
    <row r="1301">
      <c r="A1301">
        <f>A1300+1</f>
        <v/>
      </c>
      <c r="K1301">
        <f>I1301+J1301</f>
        <v/>
      </c>
    </row>
    <row r="1302">
      <c r="A1302">
        <f>A1301+1</f>
        <v/>
      </c>
      <c r="K1302">
        <f>I1302+J1302</f>
        <v/>
      </c>
    </row>
    <row r="1303">
      <c r="A1303">
        <f>A1302+1</f>
        <v/>
      </c>
      <c r="K1303">
        <f>I1303+J1303</f>
        <v/>
      </c>
    </row>
    <row r="1304">
      <c r="A1304">
        <f>A1303+1</f>
        <v/>
      </c>
      <c r="K1304">
        <f>I1304+J1304</f>
        <v/>
      </c>
    </row>
    <row r="1305">
      <c r="A1305">
        <f>A1304+1</f>
        <v/>
      </c>
      <c r="K1305">
        <f>I1305+J1305</f>
        <v/>
      </c>
    </row>
    <row r="1306">
      <c r="A1306">
        <f>A1305+1</f>
        <v/>
      </c>
      <c r="K1306">
        <f>I1306+J1306</f>
        <v/>
      </c>
    </row>
    <row r="1307">
      <c r="A1307">
        <f>A1306+1</f>
        <v/>
      </c>
      <c r="K1307">
        <f>I1307+J1307</f>
        <v/>
      </c>
    </row>
    <row r="1308">
      <c r="A1308">
        <f>A1307+1</f>
        <v/>
      </c>
      <c r="K1308">
        <f>I1308+J1308</f>
        <v/>
      </c>
    </row>
    <row r="1309">
      <c r="A1309">
        <f>A1308+1</f>
        <v/>
      </c>
      <c r="K1309">
        <f>I1309+J1309</f>
        <v/>
      </c>
    </row>
    <row r="1310">
      <c r="A1310">
        <f>A1309+1</f>
        <v/>
      </c>
      <c r="K1310">
        <f>I1310+J1310</f>
        <v/>
      </c>
    </row>
    <row r="1311">
      <c r="A1311">
        <f>A1310+1</f>
        <v/>
      </c>
      <c r="K1311">
        <f>I1311+J1311</f>
        <v/>
      </c>
    </row>
    <row r="1312">
      <c r="A1312">
        <f>A1311+1</f>
        <v/>
      </c>
      <c r="K1312">
        <f>I1312+J1312</f>
        <v/>
      </c>
    </row>
    <row r="1313">
      <c r="A1313">
        <f>A1312+1</f>
        <v/>
      </c>
      <c r="K1313">
        <f>I1313+J1313</f>
        <v/>
      </c>
    </row>
    <row r="1314">
      <c r="A1314">
        <f>A1313+1</f>
        <v/>
      </c>
      <c r="K1314">
        <f>I1314+J1314</f>
        <v/>
      </c>
    </row>
    <row r="1315">
      <c r="A1315">
        <f>A1314+1</f>
        <v/>
      </c>
      <c r="K1315">
        <f>I1315+J1315</f>
        <v/>
      </c>
    </row>
    <row r="1316">
      <c r="A1316">
        <f>A1315+1</f>
        <v/>
      </c>
      <c r="K1316">
        <f>I1316+J1316</f>
        <v/>
      </c>
    </row>
    <row r="1317">
      <c r="A1317">
        <f>A1316+1</f>
        <v/>
      </c>
      <c r="K1317">
        <f>I1317+J1317</f>
        <v/>
      </c>
    </row>
    <row r="1318">
      <c r="A1318">
        <f>A1317+1</f>
        <v/>
      </c>
      <c r="K1318">
        <f>I1318+J1318</f>
        <v/>
      </c>
    </row>
    <row r="1319">
      <c r="A1319">
        <f>A1318+1</f>
        <v/>
      </c>
      <c r="K1319">
        <f>I1319+J1319</f>
        <v/>
      </c>
    </row>
    <row r="1320">
      <c r="A1320">
        <f>A1319+1</f>
        <v/>
      </c>
      <c r="K1320">
        <f>I1320+J1320</f>
        <v/>
      </c>
    </row>
    <row r="1321">
      <c r="A1321">
        <f>A1320+1</f>
        <v/>
      </c>
      <c r="K1321">
        <f>I1321+J1321</f>
        <v/>
      </c>
    </row>
    <row r="1322">
      <c r="A1322">
        <f>A1321+1</f>
        <v/>
      </c>
      <c r="K1322">
        <f>I1322+J1322</f>
        <v/>
      </c>
    </row>
    <row r="1323">
      <c r="A1323">
        <f>A1322+1</f>
        <v/>
      </c>
      <c r="K1323">
        <f>I1323+J1323</f>
        <v/>
      </c>
    </row>
    <row r="1324">
      <c r="A1324">
        <f>A1323+1</f>
        <v/>
      </c>
      <c r="K1324">
        <f>I1324+J1324</f>
        <v/>
      </c>
    </row>
    <row r="1325">
      <c r="A1325">
        <f>A1324+1</f>
        <v/>
      </c>
      <c r="K1325">
        <f>I1325+J1325</f>
        <v/>
      </c>
    </row>
    <row r="1326">
      <c r="A1326">
        <f>A1325+1</f>
        <v/>
      </c>
      <c r="K1326">
        <f>I1326+J1326</f>
        <v/>
      </c>
    </row>
    <row r="1327">
      <c r="A1327">
        <f>A1326+1</f>
        <v/>
      </c>
      <c r="K1327">
        <f>I1327+J1327</f>
        <v/>
      </c>
    </row>
    <row r="1328">
      <c r="A1328">
        <f>A1327+1</f>
        <v/>
      </c>
      <c r="K1328">
        <f>I1328+J1328</f>
        <v/>
      </c>
    </row>
    <row r="1329">
      <c r="A1329">
        <f>A1328+1</f>
        <v/>
      </c>
      <c r="K1329">
        <f>I1329+J1329</f>
        <v/>
      </c>
    </row>
    <row r="1330">
      <c r="A1330">
        <f>A1329+1</f>
        <v/>
      </c>
      <c r="K1330">
        <f>I1330+J1330</f>
        <v/>
      </c>
    </row>
    <row r="1331">
      <c r="A1331">
        <f>A1330+1</f>
        <v/>
      </c>
      <c r="K1331">
        <f>I1331+J1331</f>
        <v/>
      </c>
    </row>
    <row r="1332">
      <c r="A1332">
        <f>A1331+1</f>
        <v/>
      </c>
      <c r="K1332">
        <f>I1332+J1332</f>
        <v/>
      </c>
    </row>
    <row r="1333">
      <c r="A1333">
        <f>A1332+1</f>
        <v/>
      </c>
      <c r="K1333">
        <f>I1333+J1333</f>
        <v/>
      </c>
    </row>
    <row r="1334">
      <c r="A1334">
        <f>A1333+1</f>
        <v/>
      </c>
      <c r="K1334">
        <f>I1334+J1334</f>
        <v/>
      </c>
    </row>
    <row r="1335">
      <c r="A1335">
        <f>A1334+1</f>
        <v/>
      </c>
      <c r="K1335">
        <f>I1335+J1335</f>
        <v/>
      </c>
    </row>
    <row r="1336">
      <c r="A1336">
        <f>A1335+1</f>
        <v/>
      </c>
      <c r="K1336">
        <f>I1336+J1336</f>
        <v/>
      </c>
    </row>
    <row r="1337">
      <c r="A1337">
        <f>A1336+1</f>
        <v/>
      </c>
      <c r="K1337">
        <f>I1337+J1337</f>
        <v/>
      </c>
    </row>
    <row r="1338">
      <c r="A1338">
        <f>A1337+1</f>
        <v/>
      </c>
      <c r="K1338">
        <f>I1338+J1338</f>
        <v/>
      </c>
    </row>
    <row r="1339">
      <c r="A1339">
        <f>A1338+1</f>
        <v/>
      </c>
      <c r="K1339">
        <f>I1339+J1339</f>
        <v/>
      </c>
    </row>
    <row r="1340">
      <c r="A1340">
        <f>A1339+1</f>
        <v/>
      </c>
      <c r="K1340">
        <f>I1340+J1340</f>
        <v/>
      </c>
    </row>
    <row r="1341">
      <c r="A1341">
        <f>A1340+1</f>
        <v/>
      </c>
      <c r="K1341">
        <f>I1341+J1341</f>
        <v/>
      </c>
    </row>
    <row r="1342">
      <c r="A1342">
        <f>A1341+1</f>
        <v/>
      </c>
      <c r="K1342">
        <f>I1342+J1342</f>
        <v/>
      </c>
    </row>
    <row r="1343">
      <c r="A1343">
        <f>A1342+1</f>
        <v/>
      </c>
      <c r="K1343">
        <f>I1343+J1343</f>
        <v/>
      </c>
    </row>
    <row r="1344">
      <c r="A1344">
        <f>A1343+1</f>
        <v/>
      </c>
      <c r="K1344">
        <f>I1344+J1344</f>
        <v/>
      </c>
    </row>
    <row r="1345">
      <c r="A1345">
        <f>A1344+1</f>
        <v/>
      </c>
      <c r="K1345">
        <f>I1345+J1345</f>
        <v/>
      </c>
    </row>
    <row r="1346">
      <c r="A1346">
        <f>A1345+1</f>
        <v/>
      </c>
      <c r="K1346">
        <f>I1346+J1346</f>
        <v/>
      </c>
    </row>
    <row r="1347">
      <c r="A1347">
        <f>A1346+1</f>
        <v/>
      </c>
      <c r="K1347">
        <f>I1347+J1347</f>
        <v/>
      </c>
    </row>
    <row r="1348">
      <c r="A1348">
        <f>A1347+1</f>
        <v/>
      </c>
      <c r="K1348">
        <f>I1348+J1348</f>
        <v/>
      </c>
    </row>
    <row r="1349">
      <c r="A1349">
        <f>A1348+1</f>
        <v/>
      </c>
      <c r="K1349">
        <f>I1349+J1349</f>
        <v/>
      </c>
    </row>
    <row r="1350">
      <c r="A1350">
        <f>A1349+1</f>
        <v/>
      </c>
      <c r="K1350">
        <f>I1350+J1350</f>
        <v/>
      </c>
    </row>
    <row r="1351">
      <c r="A1351">
        <f>A1350+1</f>
        <v/>
      </c>
      <c r="K1351">
        <f>I1351+J1351</f>
        <v/>
      </c>
    </row>
    <row r="1352">
      <c r="A1352">
        <f>A1351+1</f>
        <v/>
      </c>
      <c r="K1352">
        <f>I1352+J1352</f>
        <v/>
      </c>
    </row>
    <row r="1353">
      <c r="A1353">
        <f>A1352+1</f>
        <v/>
      </c>
      <c r="K1353">
        <f>I1353+J1353</f>
        <v/>
      </c>
    </row>
    <row r="1354">
      <c r="A1354">
        <f>A1353+1</f>
        <v/>
      </c>
      <c r="K1354">
        <f>I1354+J1354</f>
        <v/>
      </c>
    </row>
    <row r="1355">
      <c r="A1355">
        <f>A1354+1</f>
        <v/>
      </c>
      <c r="K1355">
        <f>I1355+J1355</f>
        <v/>
      </c>
    </row>
    <row r="1356">
      <c r="A1356">
        <f>A1355+1</f>
        <v/>
      </c>
      <c r="K1356">
        <f>I1356+J1356</f>
        <v/>
      </c>
    </row>
    <row r="1357">
      <c r="A1357">
        <f>A1356+1</f>
        <v/>
      </c>
      <c r="K1357">
        <f>I1357+J1357</f>
        <v/>
      </c>
    </row>
    <row r="1358">
      <c r="A1358">
        <f>A1357+1</f>
        <v/>
      </c>
      <c r="K1358">
        <f>I1358+J1358</f>
        <v/>
      </c>
    </row>
    <row r="1359">
      <c r="A1359">
        <f>A1358+1</f>
        <v/>
      </c>
      <c r="K1359">
        <f>I1359+J1359</f>
        <v/>
      </c>
    </row>
    <row r="1360">
      <c r="A1360">
        <f>A1359+1</f>
        <v/>
      </c>
      <c r="K1360">
        <f>I1360+J1360</f>
        <v/>
      </c>
    </row>
    <row r="1361">
      <c r="A1361">
        <f>A1360+1</f>
        <v/>
      </c>
      <c r="K1361">
        <f>I1361+J1361</f>
        <v/>
      </c>
    </row>
    <row r="1362">
      <c r="A1362">
        <f>A1361+1</f>
        <v/>
      </c>
      <c r="K1362">
        <f>I1362+J1362</f>
        <v/>
      </c>
    </row>
    <row r="1363">
      <c r="A1363">
        <f>A1362+1</f>
        <v/>
      </c>
      <c r="K1363">
        <f>I1363+J1363</f>
        <v/>
      </c>
    </row>
    <row r="1364">
      <c r="A1364">
        <f>A1363+1</f>
        <v/>
      </c>
      <c r="K1364">
        <f>I1364+J1364</f>
        <v/>
      </c>
    </row>
    <row r="1365">
      <c r="A1365">
        <f>A1364+1</f>
        <v/>
      </c>
      <c r="K1365">
        <f>I1365+J1365</f>
        <v/>
      </c>
    </row>
    <row r="1366">
      <c r="A1366">
        <f>A1365+1</f>
        <v/>
      </c>
      <c r="K1366">
        <f>I1366+J1366</f>
        <v/>
      </c>
    </row>
    <row r="1367">
      <c r="A1367">
        <f>A1366+1</f>
        <v/>
      </c>
      <c r="K1367">
        <f>I1367+J1367</f>
        <v/>
      </c>
    </row>
    <row r="1368">
      <c r="A1368">
        <f>A1367+1</f>
        <v/>
      </c>
      <c r="K1368">
        <f>I1368+J1368</f>
        <v/>
      </c>
    </row>
    <row r="1369">
      <c r="A1369">
        <f>A1368+1</f>
        <v/>
      </c>
      <c r="K1369">
        <f>I1369+J1369</f>
        <v/>
      </c>
    </row>
    <row r="1370">
      <c r="A1370">
        <f>A1369+1</f>
        <v/>
      </c>
      <c r="K1370">
        <f>I1370+J1370</f>
        <v/>
      </c>
    </row>
    <row r="1371">
      <c r="A1371">
        <f>A1370+1</f>
        <v/>
      </c>
      <c r="K1371">
        <f>I1371+J1371</f>
        <v/>
      </c>
    </row>
    <row r="1372">
      <c r="A1372">
        <f>A1371+1</f>
        <v/>
      </c>
      <c r="K1372">
        <f>I1372+J1372</f>
        <v/>
      </c>
    </row>
    <row r="1373">
      <c r="A1373">
        <f>A1372+1</f>
        <v/>
      </c>
      <c r="K1373">
        <f>I1373+J1373</f>
        <v/>
      </c>
    </row>
    <row r="1374">
      <c r="A1374">
        <f>A1373+1</f>
        <v/>
      </c>
      <c r="K1374">
        <f>I1374+J1374</f>
        <v/>
      </c>
    </row>
    <row r="1375">
      <c r="A1375">
        <f>A1374+1</f>
        <v/>
      </c>
      <c r="K1375">
        <f>I1375+J1375</f>
        <v/>
      </c>
    </row>
    <row r="1376">
      <c r="A1376">
        <f>A1375+1</f>
        <v/>
      </c>
      <c r="K1376">
        <f>I1376+J1376</f>
        <v/>
      </c>
    </row>
    <row r="1377">
      <c r="A1377">
        <f>A1376+1</f>
        <v/>
      </c>
      <c r="K1377">
        <f>I1377+J1377</f>
        <v/>
      </c>
    </row>
    <row r="1378">
      <c r="A1378">
        <f>A1377+1</f>
        <v/>
      </c>
      <c r="K1378">
        <f>I1378+J1378</f>
        <v/>
      </c>
    </row>
    <row r="1379">
      <c r="A1379">
        <f>A1378+1</f>
        <v/>
      </c>
      <c r="K1379">
        <f>I1379+J1379</f>
        <v/>
      </c>
    </row>
    <row r="1380">
      <c r="A1380">
        <f>A1379+1</f>
        <v/>
      </c>
      <c r="K1380">
        <f>I1380+J1380</f>
        <v/>
      </c>
    </row>
    <row r="1381">
      <c r="A1381">
        <f>A1380+1</f>
        <v/>
      </c>
      <c r="K1381">
        <f>I1381+J1381</f>
        <v/>
      </c>
    </row>
    <row r="1382">
      <c r="A1382">
        <f>A1381+1</f>
        <v/>
      </c>
      <c r="K1382">
        <f>I1382+J1382</f>
        <v/>
      </c>
    </row>
    <row r="1383">
      <c r="A1383">
        <f>A1382+1</f>
        <v/>
      </c>
      <c r="K1383">
        <f>I1383+J1383</f>
        <v/>
      </c>
    </row>
    <row r="1384">
      <c r="A1384">
        <f>A1383+1</f>
        <v/>
      </c>
      <c r="K1384">
        <f>I1384+J1384</f>
        <v/>
      </c>
    </row>
    <row r="1385">
      <c r="A1385">
        <f>A1384+1</f>
        <v/>
      </c>
      <c r="K1385">
        <f>I1385+J1385</f>
        <v/>
      </c>
    </row>
    <row r="1386">
      <c r="A1386">
        <f>A1385+1</f>
        <v/>
      </c>
      <c r="K1386">
        <f>I1386+J1386</f>
        <v/>
      </c>
    </row>
    <row r="1387">
      <c r="A1387">
        <f>A1386+1</f>
        <v/>
      </c>
      <c r="K1387">
        <f>I1387+J1387</f>
        <v/>
      </c>
    </row>
    <row r="1388">
      <c r="A1388">
        <f>A1387+1</f>
        <v/>
      </c>
      <c r="K1388">
        <f>I1388+J1388</f>
        <v/>
      </c>
    </row>
    <row r="1389">
      <c r="A1389">
        <f>A1388+1</f>
        <v/>
      </c>
      <c r="K1389">
        <f>I1389+J1389</f>
        <v/>
      </c>
    </row>
    <row r="1390">
      <c r="A1390">
        <f>A1389+1</f>
        <v/>
      </c>
      <c r="K1390">
        <f>I1390+J1390</f>
        <v/>
      </c>
    </row>
    <row r="1391">
      <c r="A1391">
        <f>A1390+1</f>
        <v/>
      </c>
      <c r="K1391">
        <f>I1391+J1391</f>
        <v/>
      </c>
    </row>
    <row r="1392">
      <c r="A1392">
        <f>A1391+1</f>
        <v/>
      </c>
      <c r="K1392">
        <f>I1392+J1392</f>
        <v/>
      </c>
    </row>
    <row r="1393">
      <c r="A1393">
        <f>A1392+1</f>
        <v/>
      </c>
      <c r="K1393">
        <f>I1393+J1393</f>
        <v/>
      </c>
    </row>
    <row r="1394">
      <c r="A1394">
        <f>A1393+1</f>
        <v/>
      </c>
      <c r="K1394">
        <f>I1394+J1394</f>
        <v/>
      </c>
    </row>
    <row r="1395">
      <c r="A1395">
        <f>A1394+1</f>
        <v/>
      </c>
      <c r="K1395">
        <f>I1395+J1395</f>
        <v/>
      </c>
    </row>
    <row r="1396">
      <c r="A1396">
        <f>A1395+1</f>
        <v/>
      </c>
      <c r="K1396">
        <f>I1396+J1396</f>
        <v/>
      </c>
    </row>
    <row r="1397">
      <c r="A1397">
        <f>A1396+1</f>
        <v/>
      </c>
      <c r="K1397">
        <f>I1397+J1397</f>
        <v/>
      </c>
    </row>
    <row r="1398">
      <c r="A1398">
        <f>A1397+1</f>
        <v/>
      </c>
      <c r="K1398">
        <f>I1398+J1398</f>
        <v/>
      </c>
    </row>
    <row r="1399">
      <c r="A1399">
        <f>A1398+1</f>
        <v/>
      </c>
      <c r="K1399">
        <f>I1399+J1399</f>
        <v/>
      </c>
    </row>
    <row r="1400">
      <c r="A1400">
        <f>A1399+1</f>
        <v/>
      </c>
      <c r="K1400">
        <f>I1400+J1400</f>
        <v/>
      </c>
    </row>
    <row r="1401">
      <c r="A1401">
        <f>A1400+1</f>
        <v/>
      </c>
      <c r="K1401">
        <f>I1401+J1401</f>
        <v/>
      </c>
    </row>
    <row r="1402">
      <c r="A1402">
        <f>A1401+1</f>
        <v/>
      </c>
      <c r="K1402">
        <f>I1402+J1402</f>
        <v/>
      </c>
    </row>
    <row r="1403">
      <c r="A1403">
        <f>A1402+1</f>
        <v/>
      </c>
      <c r="K1403">
        <f>I1403+J1403</f>
        <v/>
      </c>
    </row>
    <row r="1404">
      <c r="A1404">
        <f>A1403+1</f>
        <v/>
      </c>
      <c r="K1404">
        <f>I1404+J1404</f>
        <v/>
      </c>
    </row>
    <row r="1405">
      <c r="A1405">
        <f>A1404+1</f>
        <v/>
      </c>
      <c r="K1405">
        <f>I1405+J1405</f>
        <v/>
      </c>
    </row>
    <row r="1406">
      <c r="A1406">
        <f>A1405+1</f>
        <v/>
      </c>
      <c r="K1406">
        <f>I1406+J1406</f>
        <v/>
      </c>
    </row>
    <row r="1407">
      <c r="A1407">
        <f>A1406+1</f>
        <v/>
      </c>
      <c r="K1407">
        <f>I1407+J1407</f>
        <v/>
      </c>
    </row>
    <row r="1408">
      <c r="A1408">
        <f>A1407+1</f>
        <v/>
      </c>
      <c r="K1408">
        <f>I1408+J1408</f>
        <v/>
      </c>
    </row>
    <row r="1409">
      <c r="A1409">
        <f>A1408+1</f>
        <v/>
      </c>
      <c r="K1409">
        <f>I1409+J1409</f>
        <v/>
      </c>
    </row>
    <row r="1410">
      <c r="A1410">
        <f>A1409+1</f>
        <v/>
      </c>
      <c r="K1410">
        <f>I1410+J1410</f>
        <v/>
      </c>
    </row>
    <row r="1411">
      <c r="A1411">
        <f>A1410+1</f>
        <v/>
      </c>
      <c r="K1411">
        <f>I1411+J1411</f>
        <v/>
      </c>
    </row>
    <row r="1412">
      <c r="A1412">
        <f>A1411+1</f>
        <v/>
      </c>
      <c r="K1412">
        <f>I1412+J1412</f>
        <v/>
      </c>
    </row>
    <row r="1413">
      <c r="A1413">
        <f>A1412+1</f>
        <v/>
      </c>
      <c r="K1413">
        <f>I1413+J1413</f>
        <v/>
      </c>
    </row>
    <row r="1414">
      <c r="A1414">
        <f>A1413+1</f>
        <v/>
      </c>
      <c r="K1414">
        <f>I1414+J1414</f>
        <v/>
      </c>
    </row>
    <row r="1415">
      <c r="A1415">
        <f>A1414+1</f>
        <v/>
      </c>
      <c r="K1415">
        <f>I1415+J1415</f>
        <v/>
      </c>
    </row>
    <row r="1416">
      <c r="A1416">
        <f>A1415+1</f>
        <v/>
      </c>
      <c r="K1416">
        <f>I1416+J1416</f>
        <v/>
      </c>
    </row>
    <row r="1417">
      <c r="A1417">
        <f>A1416+1</f>
        <v/>
      </c>
      <c r="K1417">
        <f>I1417+J1417</f>
        <v/>
      </c>
    </row>
    <row r="1418">
      <c r="A1418">
        <f>A1417+1</f>
        <v/>
      </c>
      <c r="K1418">
        <f>I1418+J1418</f>
        <v/>
      </c>
    </row>
    <row r="1419">
      <c r="A1419">
        <f>A1418+1</f>
        <v/>
      </c>
      <c r="K1419">
        <f>I1419+J1419</f>
        <v/>
      </c>
    </row>
    <row r="1420">
      <c r="A1420">
        <f>A1419+1</f>
        <v/>
      </c>
      <c r="K1420">
        <f>I1420+J1420</f>
        <v/>
      </c>
    </row>
    <row r="1421">
      <c r="A1421">
        <f>A1420+1</f>
        <v/>
      </c>
      <c r="K1421">
        <f>I1421+J1421</f>
        <v/>
      </c>
    </row>
    <row r="1422">
      <c r="A1422">
        <f>A1421+1</f>
        <v/>
      </c>
      <c r="K1422">
        <f>I1422+J1422</f>
        <v/>
      </c>
    </row>
    <row r="1423">
      <c r="A1423">
        <f>A1422+1</f>
        <v/>
      </c>
      <c r="K1423">
        <f>I1423+J1423</f>
        <v/>
      </c>
    </row>
    <row r="1424">
      <c r="A1424">
        <f>A1423+1</f>
        <v/>
      </c>
      <c r="K1424">
        <f>I1424+J1424</f>
        <v/>
      </c>
    </row>
    <row r="1425">
      <c r="A1425">
        <f>A1424+1</f>
        <v/>
      </c>
      <c r="K1425">
        <f>I1425+J1425</f>
        <v/>
      </c>
    </row>
    <row r="1426">
      <c r="A1426">
        <f>A1425+1</f>
        <v/>
      </c>
      <c r="K1426">
        <f>I1426+J1426</f>
        <v/>
      </c>
    </row>
    <row r="1427">
      <c r="A1427">
        <f>A1426+1</f>
        <v/>
      </c>
      <c r="K1427">
        <f>I1427+J1427</f>
        <v/>
      </c>
    </row>
    <row r="1428">
      <c r="A1428">
        <f>A1427+1</f>
        <v/>
      </c>
      <c r="K1428">
        <f>I1428+J1428</f>
        <v/>
      </c>
    </row>
    <row r="1429">
      <c r="A1429">
        <f>A1428+1</f>
        <v/>
      </c>
      <c r="K1429">
        <f>I1429+J1429</f>
        <v/>
      </c>
    </row>
    <row r="1430">
      <c r="A1430">
        <f>A1429+1</f>
        <v/>
      </c>
      <c r="K1430">
        <f>I1430+J1430</f>
        <v/>
      </c>
    </row>
    <row r="1431">
      <c r="A1431">
        <f>A1430+1</f>
        <v/>
      </c>
      <c r="K1431">
        <f>I1431+J1431</f>
        <v/>
      </c>
    </row>
    <row r="1432">
      <c r="A1432">
        <f>A1431+1</f>
        <v/>
      </c>
      <c r="K1432">
        <f>I1432+J1432</f>
        <v/>
      </c>
    </row>
    <row r="1433">
      <c r="A1433">
        <f>A1432+1</f>
        <v/>
      </c>
      <c r="K1433">
        <f>I1433+J1433</f>
        <v/>
      </c>
    </row>
    <row r="1434">
      <c r="A1434">
        <f>A1433+1</f>
        <v/>
      </c>
      <c r="K1434">
        <f>I1434+J1434</f>
        <v/>
      </c>
    </row>
    <row r="1435">
      <c r="A1435">
        <f>A1434+1</f>
        <v/>
      </c>
      <c r="K1435">
        <f>I1435+J1435</f>
        <v/>
      </c>
    </row>
    <row r="1436">
      <c r="A1436">
        <f>A1435+1</f>
        <v/>
      </c>
      <c r="K1436">
        <f>I1436+J1436</f>
        <v/>
      </c>
    </row>
    <row r="1437">
      <c r="A1437">
        <f>A1436+1</f>
        <v/>
      </c>
      <c r="K1437">
        <f>I1437+J1437</f>
        <v/>
      </c>
    </row>
    <row r="1438">
      <c r="A1438">
        <f>A1437+1</f>
        <v/>
      </c>
      <c r="K1438">
        <f>I1438+J1438</f>
        <v/>
      </c>
    </row>
    <row r="1439">
      <c r="A1439">
        <f>A1438+1</f>
        <v/>
      </c>
      <c r="K1439">
        <f>I1439+J1439</f>
        <v/>
      </c>
    </row>
    <row r="1440">
      <c r="A1440">
        <f>A1439+1</f>
        <v/>
      </c>
      <c r="K1440">
        <f>I1440+J1440</f>
        <v/>
      </c>
    </row>
    <row r="1441">
      <c r="A1441">
        <f>A1440+1</f>
        <v/>
      </c>
      <c r="K1441">
        <f>I1441+J1441</f>
        <v/>
      </c>
    </row>
    <row r="1442">
      <c r="A1442">
        <f>A1441+1</f>
        <v/>
      </c>
      <c r="K1442">
        <f>I1442+J1442</f>
        <v/>
      </c>
    </row>
    <row r="1443">
      <c r="A1443">
        <f>A1442+1</f>
        <v/>
      </c>
      <c r="K1443">
        <f>I1443+J1443</f>
        <v/>
      </c>
    </row>
    <row r="1444">
      <c r="A1444">
        <f>A1443+1</f>
        <v/>
      </c>
      <c r="K1444">
        <f>I1444+J1444</f>
        <v/>
      </c>
    </row>
    <row r="1445">
      <c r="A1445">
        <f>A1444+1</f>
        <v/>
      </c>
      <c r="K1445">
        <f>I1445+J1445</f>
        <v/>
      </c>
    </row>
    <row r="1446">
      <c r="A1446">
        <f>A1445+1</f>
        <v/>
      </c>
      <c r="K1446">
        <f>I1446+J1446</f>
        <v/>
      </c>
    </row>
    <row r="1447">
      <c r="A1447">
        <f>A1446+1</f>
        <v/>
      </c>
      <c r="K1447">
        <f>I1447+J1447</f>
        <v/>
      </c>
    </row>
    <row r="1448">
      <c r="A1448">
        <f>A1447+1</f>
        <v/>
      </c>
      <c r="K1448">
        <f>I1448+J1448</f>
        <v/>
      </c>
    </row>
    <row r="1449">
      <c r="A1449">
        <f>A1448+1</f>
        <v/>
      </c>
      <c r="K1449">
        <f>I1449+J1449</f>
        <v/>
      </c>
    </row>
    <row r="1450">
      <c r="A1450">
        <f>A1449+1</f>
        <v/>
      </c>
      <c r="K1450">
        <f>I1450+J1450</f>
        <v/>
      </c>
    </row>
    <row r="1451">
      <c r="A1451">
        <f>A1450+1</f>
        <v/>
      </c>
      <c r="K1451">
        <f>I1451+J1451</f>
        <v/>
      </c>
    </row>
    <row r="1452">
      <c r="A1452">
        <f>A1451+1</f>
        <v/>
      </c>
      <c r="K1452">
        <f>I1452+J1452</f>
        <v/>
      </c>
    </row>
    <row r="1453">
      <c r="A1453">
        <f>A1452+1</f>
        <v/>
      </c>
      <c r="K1453">
        <f>I1453+J1453</f>
        <v/>
      </c>
    </row>
    <row r="1454">
      <c r="A1454">
        <f>A1453+1</f>
        <v/>
      </c>
      <c r="K1454">
        <f>I1454+J1454</f>
        <v/>
      </c>
    </row>
    <row r="1455">
      <c r="A1455">
        <f>A1454+1</f>
        <v/>
      </c>
      <c r="K1455">
        <f>I1455+J1455</f>
        <v/>
      </c>
    </row>
    <row r="1456">
      <c r="A1456">
        <f>A1455+1</f>
        <v/>
      </c>
      <c r="K1456">
        <f>I1456+J1456</f>
        <v/>
      </c>
    </row>
    <row r="1457">
      <c r="A1457">
        <f>A1456+1</f>
        <v/>
      </c>
      <c r="K1457">
        <f>I1457+J1457</f>
        <v/>
      </c>
    </row>
    <row r="1458">
      <c r="A1458">
        <f>A1457+1</f>
        <v/>
      </c>
      <c r="K1458">
        <f>I1458+J1458</f>
        <v/>
      </c>
    </row>
    <row r="1459">
      <c r="A1459">
        <f>A1458+1</f>
        <v/>
      </c>
      <c r="K1459">
        <f>I1459+J1459</f>
        <v/>
      </c>
    </row>
    <row r="1460">
      <c r="A1460">
        <f>A1459+1</f>
        <v/>
      </c>
      <c r="K1460">
        <f>I1460+J1460</f>
        <v/>
      </c>
    </row>
    <row r="1461">
      <c r="A1461">
        <f>A1460+1</f>
        <v/>
      </c>
      <c r="K1461">
        <f>I1461+J1461</f>
        <v/>
      </c>
    </row>
    <row r="1462">
      <c r="A1462">
        <f>A1461+1</f>
        <v/>
      </c>
      <c r="K1462">
        <f>I1462+J1462</f>
        <v/>
      </c>
    </row>
    <row r="1463">
      <c r="A1463">
        <f>A1462+1</f>
        <v/>
      </c>
      <c r="K1463">
        <f>I1463+J1463</f>
        <v/>
      </c>
    </row>
    <row r="1464">
      <c r="A1464">
        <f>A1463+1</f>
        <v/>
      </c>
      <c r="K1464">
        <f>I1464+J1464</f>
        <v/>
      </c>
    </row>
    <row r="1465">
      <c r="A1465">
        <f>A1464+1</f>
        <v/>
      </c>
      <c r="K1465">
        <f>I1465+J1465</f>
        <v/>
      </c>
    </row>
    <row r="1466">
      <c r="A1466">
        <f>A1465+1</f>
        <v/>
      </c>
      <c r="K1466">
        <f>I1466+J1466</f>
        <v/>
      </c>
    </row>
    <row r="1467">
      <c r="A1467">
        <f>A1466+1</f>
        <v/>
      </c>
      <c r="K1467">
        <f>I1467+J1467</f>
        <v/>
      </c>
    </row>
    <row r="1468">
      <c r="A1468">
        <f>A1467+1</f>
        <v/>
      </c>
      <c r="K1468">
        <f>I1468+J1468</f>
        <v/>
      </c>
    </row>
    <row r="1469">
      <c r="A1469">
        <f>A1468+1</f>
        <v/>
      </c>
      <c r="K1469">
        <f>I1469+J1469</f>
        <v/>
      </c>
    </row>
    <row r="1470">
      <c r="A1470">
        <f>A1469+1</f>
        <v/>
      </c>
      <c r="K1470">
        <f>I1470+J1470</f>
        <v/>
      </c>
    </row>
    <row r="1471">
      <c r="A1471">
        <f>A1470+1</f>
        <v/>
      </c>
      <c r="K1471">
        <f>I1471+J1471</f>
        <v/>
      </c>
    </row>
    <row r="1472">
      <c r="A1472">
        <f>A1471+1</f>
        <v/>
      </c>
      <c r="K1472">
        <f>I1472+J1472</f>
        <v/>
      </c>
    </row>
    <row r="1473">
      <c r="A1473">
        <f>A1472+1</f>
        <v/>
      </c>
      <c r="K1473">
        <f>I1473+J1473</f>
        <v/>
      </c>
    </row>
    <row r="1474">
      <c r="A1474">
        <f>A1473+1</f>
        <v/>
      </c>
      <c r="K1474">
        <f>I1474+J1474</f>
        <v/>
      </c>
    </row>
    <row r="1475">
      <c r="A1475">
        <f>A1474+1</f>
        <v/>
      </c>
      <c r="K1475">
        <f>I1475+J1475</f>
        <v/>
      </c>
    </row>
    <row r="1476">
      <c r="A1476">
        <f>A1475+1</f>
        <v/>
      </c>
      <c r="K1476">
        <f>I1476+J1476</f>
        <v/>
      </c>
    </row>
    <row r="1477">
      <c r="A1477">
        <f>A1476+1</f>
        <v/>
      </c>
      <c r="K1477">
        <f>I1477+J1477</f>
        <v/>
      </c>
    </row>
    <row r="1478">
      <c r="A1478">
        <f>A1477+1</f>
        <v/>
      </c>
      <c r="K1478">
        <f>I1478+J1478</f>
        <v/>
      </c>
    </row>
    <row r="1479">
      <c r="A1479">
        <f>A1478+1</f>
        <v/>
      </c>
      <c r="K1479">
        <f>I1479+J1479</f>
        <v/>
      </c>
    </row>
    <row r="1480">
      <c r="A1480">
        <f>A1479+1</f>
        <v/>
      </c>
      <c r="K1480">
        <f>I1480+J1480</f>
        <v/>
      </c>
    </row>
    <row r="1481">
      <c r="A1481">
        <f>A1480+1</f>
        <v/>
      </c>
      <c r="K1481">
        <f>I1481+J1481</f>
        <v/>
      </c>
    </row>
    <row r="1482">
      <c r="A1482">
        <f>A1481+1</f>
        <v/>
      </c>
      <c r="K1482">
        <f>I1482+J1482</f>
        <v/>
      </c>
    </row>
    <row r="1483">
      <c r="A1483">
        <f>A1482+1</f>
        <v/>
      </c>
      <c r="K1483">
        <f>I1483+J1483</f>
        <v/>
      </c>
    </row>
    <row r="1484">
      <c r="A1484">
        <f>A1483+1</f>
        <v/>
      </c>
      <c r="K1484">
        <f>I1484+J1484</f>
        <v/>
      </c>
    </row>
    <row r="1485">
      <c r="A1485">
        <f>A1484+1</f>
        <v/>
      </c>
      <c r="K1485">
        <f>I1485+J1485</f>
        <v/>
      </c>
    </row>
    <row r="1486">
      <c r="A1486">
        <f>A1485+1</f>
        <v/>
      </c>
      <c r="K1486">
        <f>I1486+J1486</f>
        <v/>
      </c>
    </row>
    <row r="1487">
      <c r="A1487">
        <f>A1486+1</f>
        <v/>
      </c>
      <c r="K1487">
        <f>I1487+J1487</f>
        <v/>
      </c>
    </row>
    <row r="1488">
      <c r="A1488">
        <f>A1487+1</f>
        <v/>
      </c>
      <c r="K1488">
        <f>I1488+J1488</f>
        <v/>
      </c>
    </row>
    <row r="1489">
      <c r="A1489">
        <f>A1488+1</f>
        <v/>
      </c>
      <c r="K1489">
        <f>I1489+J1489</f>
        <v/>
      </c>
    </row>
    <row r="1490">
      <c r="A1490">
        <f>A1489+1</f>
        <v/>
      </c>
      <c r="K1490">
        <f>I1490+J1490</f>
        <v/>
      </c>
    </row>
    <row r="1491">
      <c r="A1491">
        <f>A1490+1</f>
        <v/>
      </c>
      <c r="K1491">
        <f>I1491+J1491</f>
        <v/>
      </c>
    </row>
    <row r="1492">
      <c r="A1492">
        <f>A1491+1</f>
        <v/>
      </c>
      <c r="K1492">
        <f>I1492+J1492</f>
        <v/>
      </c>
    </row>
    <row r="1493">
      <c r="A1493">
        <f>A1492+1</f>
        <v/>
      </c>
      <c r="K1493">
        <f>I1493+J1493</f>
        <v/>
      </c>
    </row>
    <row r="1494">
      <c r="A1494">
        <f>A1493+1</f>
        <v/>
      </c>
      <c r="K1494">
        <f>I1494+J1494</f>
        <v/>
      </c>
    </row>
    <row r="1495">
      <c r="A1495">
        <f>A1494+1</f>
        <v/>
      </c>
      <c r="K1495">
        <f>I1495+J1495</f>
        <v/>
      </c>
    </row>
    <row r="1496">
      <c r="A1496">
        <f>A1495+1</f>
        <v/>
      </c>
      <c r="K1496">
        <f>I1496+J1496</f>
        <v/>
      </c>
    </row>
    <row r="1497">
      <c r="A1497">
        <f>A1496+1</f>
        <v/>
      </c>
      <c r="K1497">
        <f>I1497+J1497</f>
        <v/>
      </c>
    </row>
    <row r="1498">
      <c r="A1498">
        <f>A1497+1</f>
        <v/>
      </c>
      <c r="K1498">
        <f>I1498+J1498</f>
        <v/>
      </c>
    </row>
    <row r="1499">
      <c r="A1499">
        <f>A1498+1</f>
        <v/>
      </c>
      <c r="K1499">
        <f>I1499+J1499</f>
        <v/>
      </c>
    </row>
    <row r="1500">
      <c r="A1500">
        <f>A1499+1</f>
        <v/>
      </c>
      <c r="K1500">
        <f>I1500+J1500</f>
        <v/>
      </c>
    </row>
    <row r="1501">
      <c r="A1501">
        <f>A1500+1</f>
        <v/>
      </c>
      <c r="K1501">
        <f>I1501+J1501</f>
        <v/>
      </c>
    </row>
    <row r="1502">
      <c r="A1502">
        <f>A1501+1</f>
        <v/>
      </c>
      <c r="K1502">
        <f>I1502+J1502</f>
        <v/>
      </c>
    </row>
    <row r="1503">
      <c r="A1503">
        <f>A1502+1</f>
        <v/>
      </c>
      <c r="K1503">
        <f>I1503+J1503</f>
        <v/>
      </c>
    </row>
    <row r="1504">
      <c r="A1504">
        <f>A1503+1</f>
        <v/>
      </c>
      <c r="K1504">
        <f>I1504+J1504</f>
        <v/>
      </c>
    </row>
    <row r="1505">
      <c r="A1505">
        <f>A1504+1</f>
        <v/>
      </c>
      <c r="K1505">
        <f>I1505+J1505</f>
        <v/>
      </c>
    </row>
    <row r="1506">
      <c r="A1506">
        <f>A1505+1</f>
        <v/>
      </c>
      <c r="K1506">
        <f>I1506+J1506</f>
        <v/>
      </c>
    </row>
    <row r="1507">
      <c r="A1507">
        <f>A1506+1</f>
        <v/>
      </c>
      <c r="K1507">
        <f>I1507+J1507</f>
        <v/>
      </c>
    </row>
    <row r="1508">
      <c r="A1508">
        <f>A1507+1</f>
        <v/>
      </c>
      <c r="K1508">
        <f>I1508+J1508</f>
        <v/>
      </c>
    </row>
    <row r="1509">
      <c r="A1509">
        <f>A1508+1</f>
        <v/>
      </c>
      <c r="K1509">
        <f>I1509+J1509</f>
        <v/>
      </c>
    </row>
    <row r="1510">
      <c r="A1510">
        <f>A1509+1</f>
        <v/>
      </c>
      <c r="K1510">
        <f>I1510+J1510</f>
        <v/>
      </c>
    </row>
    <row r="1511">
      <c r="A1511">
        <f>A1510+1</f>
        <v/>
      </c>
      <c r="K1511">
        <f>I1511+J1511</f>
        <v/>
      </c>
    </row>
    <row r="1512">
      <c r="A1512">
        <f>A1511+1</f>
        <v/>
      </c>
      <c r="K1512">
        <f>I1512+J1512</f>
        <v/>
      </c>
    </row>
    <row r="1513">
      <c r="A1513">
        <f>A1512+1</f>
        <v/>
      </c>
      <c r="K1513">
        <f>I1513+J1513</f>
        <v/>
      </c>
    </row>
    <row r="1514">
      <c r="A1514">
        <f>A1513+1</f>
        <v/>
      </c>
      <c r="K1514">
        <f>I1514+J1514</f>
        <v/>
      </c>
    </row>
    <row r="1515">
      <c r="A1515">
        <f>A1514+1</f>
        <v/>
      </c>
      <c r="K1515">
        <f>I1515+J1515</f>
        <v/>
      </c>
    </row>
    <row r="1516">
      <c r="A1516">
        <f>A1515+1</f>
        <v/>
      </c>
      <c r="K1516">
        <f>I1516+J1516</f>
        <v/>
      </c>
    </row>
    <row r="1517">
      <c r="A1517">
        <f>A1516+1</f>
        <v/>
      </c>
      <c r="K1517">
        <f>I1517+J1517</f>
        <v/>
      </c>
    </row>
    <row r="1518">
      <c r="A1518">
        <f>A1517+1</f>
        <v/>
      </c>
      <c r="K1518">
        <f>I1518+J1518</f>
        <v/>
      </c>
    </row>
    <row r="1519">
      <c r="A1519">
        <f>A1518+1</f>
        <v/>
      </c>
      <c r="K1519">
        <f>I1519+J1519</f>
        <v/>
      </c>
    </row>
    <row r="1520">
      <c r="A1520">
        <f>A1519+1</f>
        <v/>
      </c>
      <c r="K1520">
        <f>I1520+J1520</f>
        <v/>
      </c>
    </row>
    <row r="1521">
      <c r="A1521">
        <f>A1520+1</f>
        <v/>
      </c>
      <c r="K1521">
        <f>I1521+J1521</f>
        <v/>
      </c>
    </row>
    <row r="1522">
      <c r="A1522">
        <f>A1521+1</f>
        <v/>
      </c>
      <c r="K1522">
        <f>I1522+J1522</f>
        <v/>
      </c>
    </row>
    <row r="1523">
      <c r="A1523">
        <f>A1522+1</f>
        <v/>
      </c>
      <c r="K1523">
        <f>I1523+J1523</f>
        <v/>
      </c>
    </row>
    <row r="1524">
      <c r="A1524">
        <f>A1523+1</f>
        <v/>
      </c>
      <c r="K1524">
        <f>I1524+J1524</f>
        <v/>
      </c>
    </row>
    <row r="1525">
      <c r="A1525">
        <f>A1524+1</f>
        <v/>
      </c>
      <c r="K1525">
        <f>I1525+J1525</f>
        <v/>
      </c>
    </row>
    <row r="1526">
      <c r="A1526">
        <f>A1525+1</f>
        <v/>
      </c>
      <c r="K1526">
        <f>I1526+J1526</f>
        <v/>
      </c>
    </row>
    <row r="1527">
      <c r="A1527">
        <f>A1526+1</f>
        <v/>
      </c>
      <c r="K1527">
        <f>I1527+J1527</f>
        <v/>
      </c>
    </row>
    <row r="1528">
      <c r="A1528">
        <f>A1527+1</f>
        <v/>
      </c>
      <c r="K1528">
        <f>I1528+J1528</f>
        <v/>
      </c>
    </row>
    <row r="1529">
      <c r="A1529">
        <f>A1528+1</f>
        <v/>
      </c>
      <c r="K1529">
        <f>I1529+J1529</f>
        <v/>
      </c>
    </row>
    <row r="1530">
      <c r="A1530">
        <f>A1529+1</f>
        <v/>
      </c>
      <c r="K1530">
        <f>I1530+J1530</f>
        <v/>
      </c>
    </row>
    <row r="1531">
      <c r="A1531">
        <f>A1530+1</f>
        <v/>
      </c>
      <c r="K1531">
        <f>I1531+J1531</f>
        <v/>
      </c>
    </row>
    <row r="1532">
      <c r="A1532">
        <f>A1531+1</f>
        <v/>
      </c>
      <c r="K1532">
        <f>I1532+J1532</f>
        <v/>
      </c>
    </row>
    <row r="1533">
      <c r="A1533">
        <f>A1532+1</f>
        <v/>
      </c>
      <c r="K1533">
        <f>I1533+J1533</f>
        <v/>
      </c>
    </row>
    <row r="1534">
      <c r="A1534">
        <f>A1533+1</f>
        <v/>
      </c>
      <c r="K1534">
        <f>I1534+J1534</f>
        <v/>
      </c>
    </row>
    <row r="1535">
      <c r="A1535">
        <f>A1534+1</f>
        <v/>
      </c>
      <c r="K1535">
        <f>I1535+J1535</f>
        <v/>
      </c>
    </row>
    <row r="1536">
      <c r="A1536">
        <f>A1535+1</f>
        <v/>
      </c>
      <c r="K1536">
        <f>I1536+J1536</f>
        <v/>
      </c>
    </row>
    <row r="1537">
      <c r="A1537">
        <f>A1536+1</f>
        <v/>
      </c>
      <c r="K1537">
        <f>I1537+J1537</f>
        <v/>
      </c>
    </row>
    <row r="1538">
      <c r="A1538">
        <f>A1537+1</f>
        <v/>
      </c>
      <c r="K1538">
        <f>I1538+J1538</f>
        <v/>
      </c>
    </row>
    <row r="1539">
      <c r="A1539">
        <f>A1538+1</f>
        <v/>
      </c>
      <c r="K1539">
        <f>I1539+J1539</f>
        <v/>
      </c>
    </row>
    <row r="1540">
      <c r="A1540">
        <f>A1539+1</f>
        <v/>
      </c>
      <c r="K1540">
        <f>I1540+J1540</f>
        <v/>
      </c>
    </row>
    <row r="1541">
      <c r="A1541">
        <f>A1540+1</f>
        <v/>
      </c>
      <c r="K1541">
        <f>I1541+J1541</f>
        <v/>
      </c>
    </row>
    <row r="1542">
      <c r="A1542">
        <f>A1541+1</f>
        <v/>
      </c>
      <c r="K1542">
        <f>I1542+J1542</f>
        <v/>
      </c>
    </row>
    <row r="1543">
      <c r="A1543">
        <f>A1542+1</f>
        <v/>
      </c>
      <c r="K1543">
        <f>I1543+J1543</f>
        <v/>
      </c>
    </row>
    <row r="1544">
      <c r="A1544">
        <f>A1543+1</f>
        <v/>
      </c>
      <c r="K1544">
        <f>I1544+J1544</f>
        <v/>
      </c>
    </row>
    <row r="1545">
      <c r="A1545">
        <f>A1544+1</f>
        <v/>
      </c>
      <c r="K1545">
        <f>I1545+J1545</f>
        <v/>
      </c>
    </row>
    <row r="1546">
      <c r="A1546">
        <f>A1545+1</f>
        <v/>
      </c>
      <c r="K1546">
        <f>I1546+J1546</f>
        <v/>
      </c>
    </row>
    <row r="1547">
      <c r="A1547">
        <f>A1546+1</f>
        <v/>
      </c>
      <c r="K1547">
        <f>I1547+J1547</f>
        <v/>
      </c>
    </row>
    <row r="1548">
      <c r="A1548">
        <f>A1547+1</f>
        <v/>
      </c>
      <c r="K1548">
        <f>I1548+J1548</f>
        <v/>
      </c>
    </row>
    <row r="1549">
      <c r="A1549">
        <f>A1548+1</f>
        <v/>
      </c>
      <c r="K1549">
        <f>I1549+J1549</f>
        <v/>
      </c>
    </row>
    <row r="1550">
      <c r="A1550">
        <f>A1549+1</f>
        <v/>
      </c>
      <c r="K1550">
        <f>I1550+J1550</f>
        <v/>
      </c>
    </row>
    <row r="1551">
      <c r="A1551">
        <f>A1550+1</f>
        <v/>
      </c>
      <c r="K1551">
        <f>I1551+J1551</f>
        <v/>
      </c>
    </row>
    <row r="1552">
      <c r="A1552">
        <f>A1551+1</f>
        <v/>
      </c>
      <c r="K1552">
        <f>I1552+J1552</f>
        <v/>
      </c>
    </row>
    <row r="1553">
      <c r="A1553">
        <f>A1552+1</f>
        <v/>
      </c>
      <c r="K1553">
        <f>I1553+J1553</f>
        <v/>
      </c>
    </row>
    <row r="1554">
      <c r="A1554">
        <f>A1553+1</f>
        <v/>
      </c>
      <c r="K1554">
        <f>I1554+J1554</f>
        <v/>
      </c>
    </row>
    <row r="1555">
      <c r="A1555">
        <f>A1554+1</f>
        <v/>
      </c>
      <c r="K1555">
        <f>I1555+J1555</f>
        <v/>
      </c>
    </row>
    <row r="1556">
      <c r="A1556">
        <f>A1555+1</f>
        <v/>
      </c>
      <c r="K1556">
        <f>I1556+J1556</f>
        <v/>
      </c>
    </row>
    <row r="1557">
      <c r="A1557">
        <f>A1556+1</f>
        <v/>
      </c>
      <c r="K1557">
        <f>I1557+J1557</f>
        <v/>
      </c>
    </row>
    <row r="1558">
      <c r="A1558">
        <f>A1557+1</f>
        <v/>
      </c>
      <c r="K1558">
        <f>I1558+J1558</f>
        <v/>
      </c>
    </row>
    <row r="1559">
      <c r="A1559">
        <f>A1558+1</f>
        <v/>
      </c>
      <c r="K1559">
        <f>I1559+J1559</f>
        <v/>
      </c>
    </row>
    <row r="1560">
      <c r="A1560">
        <f>A1559+1</f>
        <v/>
      </c>
      <c r="K1560">
        <f>I1560+J1560</f>
        <v/>
      </c>
    </row>
    <row r="1561">
      <c r="A1561">
        <f>A1560+1</f>
        <v/>
      </c>
      <c r="K1561">
        <f>I1561+J1561</f>
        <v/>
      </c>
    </row>
    <row r="1562">
      <c r="A1562">
        <f>A1561+1</f>
        <v/>
      </c>
      <c r="K1562">
        <f>I1562+J1562</f>
        <v/>
      </c>
    </row>
    <row r="1563">
      <c r="A1563">
        <f>A1562+1</f>
        <v/>
      </c>
      <c r="K1563">
        <f>I1563+J1563</f>
        <v/>
      </c>
    </row>
    <row r="1564">
      <c r="A1564">
        <f>A1563+1</f>
        <v/>
      </c>
      <c r="K1564">
        <f>I1564+J1564</f>
        <v/>
      </c>
    </row>
    <row r="1565">
      <c r="A1565">
        <f>A1564+1</f>
        <v/>
      </c>
      <c r="K1565">
        <f>I1565+J1565</f>
        <v/>
      </c>
    </row>
    <row r="1566">
      <c r="A1566">
        <f>A1565+1</f>
        <v/>
      </c>
      <c r="K1566">
        <f>I1566+J1566</f>
        <v/>
      </c>
    </row>
    <row r="1567">
      <c r="A1567">
        <f>A1566+1</f>
        <v/>
      </c>
      <c r="K1567">
        <f>I1567+J1567</f>
        <v/>
      </c>
    </row>
    <row r="1568">
      <c r="A1568">
        <f>A1567+1</f>
        <v/>
      </c>
      <c r="K1568">
        <f>I1568+J1568</f>
        <v/>
      </c>
    </row>
    <row r="1569">
      <c r="A1569">
        <f>A1568+1</f>
        <v/>
      </c>
      <c r="K1569">
        <f>I1569+J1569</f>
        <v/>
      </c>
    </row>
    <row r="1570">
      <c r="A1570">
        <f>A1569+1</f>
        <v/>
      </c>
      <c r="K1570">
        <f>I1570+J1570</f>
        <v/>
      </c>
    </row>
    <row r="1571">
      <c r="A1571">
        <f>A1570+1</f>
        <v/>
      </c>
      <c r="K1571">
        <f>I1571+J1571</f>
        <v/>
      </c>
    </row>
    <row r="1572">
      <c r="A1572">
        <f>A1571+1</f>
        <v/>
      </c>
      <c r="K1572">
        <f>I1572+J1572</f>
        <v/>
      </c>
    </row>
    <row r="1573">
      <c r="A1573">
        <f>A1572+1</f>
        <v/>
      </c>
      <c r="K1573">
        <f>I1573+J1573</f>
        <v/>
      </c>
    </row>
    <row r="1574">
      <c r="A1574">
        <f>A1573+1</f>
        <v/>
      </c>
      <c r="K1574">
        <f>I1574+J1574</f>
        <v/>
      </c>
    </row>
    <row r="1575">
      <c r="A1575">
        <f>A1574+1</f>
        <v/>
      </c>
      <c r="K1575">
        <f>I1575+J1575</f>
        <v/>
      </c>
    </row>
    <row r="1576">
      <c r="A1576">
        <f>A1575+1</f>
        <v/>
      </c>
      <c r="K1576">
        <f>I1576+J1576</f>
        <v/>
      </c>
    </row>
    <row r="1577">
      <c r="A1577">
        <f>A1576+1</f>
        <v/>
      </c>
      <c r="K1577">
        <f>I1577+J1577</f>
        <v/>
      </c>
    </row>
    <row r="1578">
      <c r="A1578">
        <f>A1577+1</f>
        <v/>
      </c>
      <c r="K1578">
        <f>I1578+J1578</f>
        <v/>
      </c>
    </row>
    <row r="1579">
      <c r="A1579">
        <f>A1578+1</f>
        <v/>
      </c>
      <c r="K1579">
        <f>I1579+J1579</f>
        <v/>
      </c>
    </row>
    <row r="1580">
      <c r="A1580">
        <f>A1579+1</f>
        <v/>
      </c>
      <c r="K1580">
        <f>I1580+J1580</f>
        <v/>
      </c>
    </row>
    <row r="1581">
      <c r="A1581">
        <f>A1580+1</f>
        <v/>
      </c>
      <c r="K1581">
        <f>I1581+J1581</f>
        <v/>
      </c>
    </row>
    <row r="1582">
      <c r="A1582">
        <f>A1581+1</f>
        <v/>
      </c>
      <c r="K1582">
        <f>I1582+J1582</f>
        <v/>
      </c>
    </row>
    <row r="1583">
      <c r="A1583">
        <f>A1582+1</f>
        <v/>
      </c>
      <c r="K1583">
        <f>I1583+J1583</f>
        <v/>
      </c>
    </row>
    <row r="1584">
      <c r="A1584">
        <f>A1583+1</f>
        <v/>
      </c>
      <c r="K1584">
        <f>I1584+J1584</f>
        <v/>
      </c>
    </row>
    <row r="1585">
      <c r="A1585">
        <f>A1584+1</f>
        <v/>
      </c>
      <c r="K1585">
        <f>I1585+J1585</f>
        <v/>
      </c>
    </row>
    <row r="1586">
      <c r="A1586">
        <f>A1585+1</f>
        <v/>
      </c>
      <c r="K1586">
        <f>I1586+J1586</f>
        <v/>
      </c>
    </row>
    <row r="1587">
      <c r="A1587">
        <f>A1586+1</f>
        <v/>
      </c>
      <c r="K1587">
        <f>I1587+J1587</f>
        <v/>
      </c>
    </row>
    <row r="1588">
      <c r="A1588">
        <f>A1587+1</f>
        <v/>
      </c>
      <c r="K1588">
        <f>I1588+J1588</f>
        <v/>
      </c>
    </row>
    <row r="1589">
      <c r="A1589">
        <f>A1588+1</f>
        <v/>
      </c>
      <c r="K1589">
        <f>I1589+J1589</f>
        <v/>
      </c>
    </row>
    <row r="1590">
      <c r="A1590">
        <f>A1589+1</f>
        <v/>
      </c>
      <c r="K1590">
        <f>I1590+J1590</f>
        <v/>
      </c>
    </row>
    <row r="1591">
      <c r="A1591">
        <f>A1590+1</f>
        <v/>
      </c>
      <c r="K1591">
        <f>I1591+J1591</f>
        <v/>
      </c>
    </row>
    <row r="1592">
      <c r="A1592">
        <f>A1591+1</f>
        <v/>
      </c>
      <c r="K1592">
        <f>I1592+J1592</f>
        <v/>
      </c>
    </row>
    <row r="1593">
      <c r="A1593">
        <f>A1592+1</f>
        <v/>
      </c>
      <c r="K1593">
        <f>I1593+J1593</f>
        <v/>
      </c>
    </row>
    <row r="1594">
      <c r="A1594">
        <f>A1593+1</f>
        <v/>
      </c>
      <c r="K1594">
        <f>I1594+J1594</f>
        <v/>
      </c>
    </row>
    <row r="1595">
      <c r="A1595">
        <f>A1594+1</f>
        <v/>
      </c>
      <c r="K1595">
        <f>I1595+J1595</f>
        <v/>
      </c>
    </row>
    <row r="1596">
      <c r="A1596">
        <f>A1595+1</f>
        <v/>
      </c>
      <c r="K1596">
        <f>I1596+J1596</f>
        <v/>
      </c>
    </row>
    <row r="1597">
      <c r="A1597">
        <f>A1596+1</f>
        <v/>
      </c>
      <c r="K1597">
        <f>I1597+J1597</f>
        <v/>
      </c>
    </row>
    <row r="1598">
      <c r="A1598">
        <f>A1597+1</f>
        <v/>
      </c>
      <c r="K1598">
        <f>I1598+J1598</f>
        <v/>
      </c>
    </row>
    <row r="1599">
      <c r="A1599">
        <f>A1598+1</f>
        <v/>
      </c>
      <c r="K1599">
        <f>I1599+J1599</f>
        <v/>
      </c>
    </row>
    <row r="1600">
      <c r="A1600">
        <f>A1599+1</f>
        <v/>
      </c>
      <c r="K1600">
        <f>I1600+J1600</f>
        <v/>
      </c>
    </row>
    <row r="1601">
      <c r="A1601">
        <f>A1600+1</f>
        <v/>
      </c>
      <c r="K1601">
        <f>I1601+J1601</f>
        <v/>
      </c>
    </row>
    <row r="1602">
      <c r="A1602">
        <f>A1601+1</f>
        <v/>
      </c>
      <c r="K1602">
        <f>I1602+J1602</f>
        <v/>
      </c>
    </row>
    <row r="1603">
      <c r="A1603">
        <f>A1602+1</f>
        <v/>
      </c>
      <c r="K1603">
        <f>I1603+J1603</f>
        <v/>
      </c>
    </row>
    <row r="1604">
      <c r="A1604">
        <f>A1603+1</f>
        <v/>
      </c>
      <c r="K1604">
        <f>I1604+J1604</f>
        <v/>
      </c>
    </row>
    <row r="1605">
      <c r="A1605">
        <f>A1604+1</f>
        <v/>
      </c>
      <c r="K1605">
        <f>I1605+J1605</f>
        <v/>
      </c>
    </row>
    <row r="1606">
      <c r="A1606">
        <f>A1605+1</f>
        <v/>
      </c>
      <c r="K1606">
        <f>I1606+J1606</f>
        <v/>
      </c>
    </row>
    <row r="1607">
      <c r="A1607">
        <f>A1606+1</f>
        <v/>
      </c>
      <c r="K1607">
        <f>I1607+J1607</f>
        <v/>
      </c>
    </row>
    <row r="1608">
      <c r="A1608">
        <f>A1607+1</f>
        <v/>
      </c>
      <c r="K1608">
        <f>I1608+J1608</f>
        <v/>
      </c>
    </row>
    <row r="1609">
      <c r="A1609">
        <f>A1608+1</f>
        <v/>
      </c>
      <c r="K1609">
        <f>I1609+J1609</f>
        <v/>
      </c>
    </row>
    <row r="1610">
      <c r="A1610">
        <f>A1609+1</f>
        <v/>
      </c>
      <c r="K1610">
        <f>I1610+J1610</f>
        <v/>
      </c>
    </row>
    <row r="1611">
      <c r="A1611">
        <f>A1610+1</f>
        <v/>
      </c>
      <c r="K1611">
        <f>I1611+J1611</f>
        <v/>
      </c>
    </row>
    <row r="1612">
      <c r="A1612">
        <f>A1611+1</f>
        <v/>
      </c>
      <c r="K1612">
        <f>I1612+J1612</f>
        <v/>
      </c>
    </row>
    <row r="1613">
      <c r="A1613">
        <f>A1612+1</f>
        <v/>
      </c>
      <c r="K1613">
        <f>I1613+J1613</f>
        <v/>
      </c>
    </row>
    <row r="1614">
      <c r="A1614">
        <f>A1613+1</f>
        <v/>
      </c>
      <c r="K1614">
        <f>I1614+J1614</f>
        <v/>
      </c>
    </row>
    <row r="1615">
      <c r="A1615">
        <f>A1614+1</f>
        <v/>
      </c>
      <c r="K1615">
        <f>I1615+J1615</f>
        <v/>
      </c>
    </row>
    <row r="1616">
      <c r="A1616">
        <f>A1615+1</f>
        <v/>
      </c>
      <c r="K1616">
        <f>I1616+J1616</f>
        <v/>
      </c>
    </row>
    <row r="1617">
      <c r="A1617">
        <f>A1616+1</f>
        <v/>
      </c>
      <c r="K1617">
        <f>I1617+J1617</f>
        <v/>
      </c>
    </row>
    <row r="1618">
      <c r="A1618">
        <f>A1617+1</f>
        <v/>
      </c>
      <c r="K1618">
        <f>I1618+J1618</f>
        <v/>
      </c>
    </row>
    <row r="1619">
      <c r="A1619">
        <f>A1618+1</f>
        <v/>
      </c>
      <c r="K1619">
        <f>I1619+J1619</f>
        <v/>
      </c>
    </row>
    <row r="1620">
      <c r="A1620">
        <f>A1619+1</f>
        <v/>
      </c>
      <c r="K1620">
        <f>I1620+J1620</f>
        <v/>
      </c>
    </row>
    <row r="1621">
      <c r="A1621">
        <f>A1620+1</f>
        <v/>
      </c>
      <c r="K1621">
        <f>I1621+J1621</f>
        <v/>
      </c>
    </row>
    <row r="1622">
      <c r="A1622">
        <f>A1621+1</f>
        <v/>
      </c>
      <c r="K1622">
        <f>I1622+J1622</f>
        <v/>
      </c>
    </row>
    <row r="1623">
      <c r="A1623">
        <f>A1622+1</f>
        <v/>
      </c>
      <c r="K1623">
        <f>I1623+J1623</f>
        <v/>
      </c>
    </row>
    <row r="1624">
      <c r="A1624">
        <f>A1623+1</f>
        <v/>
      </c>
      <c r="K1624">
        <f>I1624+J1624</f>
        <v/>
      </c>
    </row>
    <row r="1625">
      <c r="A1625">
        <f>A1624+1</f>
        <v/>
      </c>
      <c r="K1625">
        <f>I1625+J1625</f>
        <v/>
      </c>
    </row>
    <row r="1626">
      <c r="A1626">
        <f>A1625+1</f>
        <v/>
      </c>
      <c r="K1626">
        <f>I1626+J1626</f>
        <v/>
      </c>
    </row>
    <row r="1627">
      <c r="A1627">
        <f>A1626+1</f>
        <v/>
      </c>
      <c r="K1627">
        <f>I1627+J1627</f>
        <v/>
      </c>
    </row>
    <row r="1628">
      <c r="A1628">
        <f>A1627+1</f>
        <v/>
      </c>
      <c r="K1628">
        <f>I1628+J1628</f>
        <v/>
      </c>
    </row>
    <row r="1629">
      <c r="A1629">
        <f>A1628+1</f>
        <v/>
      </c>
      <c r="K1629">
        <f>I1629+J1629</f>
        <v/>
      </c>
    </row>
    <row r="1630">
      <c r="A1630">
        <f>A1629+1</f>
        <v/>
      </c>
      <c r="K1630">
        <f>I1630+J1630</f>
        <v/>
      </c>
    </row>
    <row r="1631">
      <c r="A1631">
        <f>A1630+1</f>
        <v/>
      </c>
      <c r="K1631">
        <f>I1631+J1631</f>
        <v/>
      </c>
    </row>
    <row r="1632">
      <c r="A1632">
        <f>A1631+1</f>
        <v/>
      </c>
      <c r="K1632">
        <f>I1632+J1632</f>
        <v/>
      </c>
    </row>
    <row r="1633">
      <c r="A1633">
        <f>A1632+1</f>
        <v/>
      </c>
      <c r="K1633">
        <f>I1633+J1633</f>
        <v/>
      </c>
    </row>
    <row r="1634">
      <c r="A1634">
        <f>A1633+1</f>
        <v/>
      </c>
      <c r="K1634">
        <f>I1634+J1634</f>
        <v/>
      </c>
    </row>
    <row r="1635">
      <c r="A1635">
        <f>A1634+1</f>
        <v/>
      </c>
      <c r="K1635">
        <f>I1635+J1635</f>
        <v/>
      </c>
    </row>
    <row r="1636">
      <c r="A1636">
        <f>A1635+1</f>
        <v/>
      </c>
      <c r="K1636">
        <f>I1636+J1636</f>
        <v/>
      </c>
    </row>
    <row r="1637">
      <c r="A1637">
        <f>A1636+1</f>
        <v/>
      </c>
      <c r="K1637">
        <f>I1637+J1637</f>
        <v/>
      </c>
    </row>
    <row r="1638">
      <c r="A1638">
        <f>A1637+1</f>
        <v/>
      </c>
      <c r="K1638">
        <f>I1638+J1638</f>
        <v/>
      </c>
    </row>
    <row r="1639">
      <c r="A1639">
        <f>A1638+1</f>
        <v/>
      </c>
      <c r="K1639">
        <f>I1639+J1639</f>
        <v/>
      </c>
    </row>
    <row r="1640">
      <c r="A1640">
        <f>A1639+1</f>
        <v/>
      </c>
      <c r="K1640">
        <f>I1640+J1640</f>
        <v/>
      </c>
    </row>
    <row r="1641">
      <c r="A1641">
        <f>A1640+1</f>
        <v/>
      </c>
      <c r="K1641">
        <f>I1641+J1641</f>
        <v/>
      </c>
    </row>
    <row r="1642">
      <c r="A1642">
        <f>A1641+1</f>
        <v/>
      </c>
      <c r="K1642">
        <f>I1642+J1642</f>
        <v/>
      </c>
    </row>
    <row r="1643">
      <c r="A1643">
        <f>A1642+1</f>
        <v/>
      </c>
      <c r="K1643">
        <f>I1643+J1643</f>
        <v/>
      </c>
    </row>
    <row r="1644">
      <c r="A1644">
        <f>A1643+1</f>
        <v/>
      </c>
      <c r="K1644">
        <f>I1644+J1644</f>
        <v/>
      </c>
    </row>
    <row r="1645">
      <c r="A1645">
        <f>A1644+1</f>
        <v/>
      </c>
      <c r="K1645">
        <f>I1645+J1645</f>
        <v/>
      </c>
    </row>
    <row r="1646">
      <c r="A1646">
        <f>A1645+1</f>
        <v/>
      </c>
      <c r="K1646">
        <f>I1646+J1646</f>
        <v/>
      </c>
    </row>
    <row r="1647">
      <c r="A1647">
        <f>A1646+1</f>
        <v/>
      </c>
      <c r="K1647">
        <f>I1647+J1647</f>
        <v/>
      </c>
    </row>
    <row r="1648">
      <c r="A1648">
        <f>A1647+1</f>
        <v/>
      </c>
      <c r="K1648">
        <f>I1648+J1648</f>
        <v/>
      </c>
    </row>
    <row r="1649">
      <c r="A1649">
        <f>A1648+1</f>
        <v/>
      </c>
      <c r="K1649">
        <f>I1649+J1649</f>
        <v/>
      </c>
    </row>
    <row r="1650">
      <c r="A1650">
        <f>A1649+1</f>
        <v/>
      </c>
      <c r="K1650">
        <f>I1650+J1650</f>
        <v/>
      </c>
    </row>
    <row r="1651">
      <c r="A1651">
        <f>A1650+1</f>
        <v/>
      </c>
      <c r="K1651">
        <f>I1651+J1651</f>
        <v/>
      </c>
    </row>
    <row r="1652">
      <c r="A1652">
        <f>A1651+1</f>
        <v/>
      </c>
      <c r="K1652">
        <f>I1652+J1652</f>
        <v/>
      </c>
    </row>
    <row r="1653">
      <c r="A1653">
        <f>A1652+1</f>
        <v/>
      </c>
      <c r="K1653">
        <f>I1653+J1653</f>
        <v/>
      </c>
    </row>
    <row r="1654">
      <c r="A1654">
        <f>A1653+1</f>
        <v/>
      </c>
      <c r="K1654">
        <f>I1654+J1654</f>
        <v/>
      </c>
    </row>
    <row r="1655">
      <c r="A1655">
        <f>A1654+1</f>
        <v/>
      </c>
      <c r="K1655">
        <f>I1655+J1655</f>
        <v/>
      </c>
    </row>
    <row r="1656">
      <c r="A1656">
        <f>A1655+1</f>
        <v/>
      </c>
      <c r="K1656">
        <f>I1656+J1656</f>
        <v/>
      </c>
    </row>
    <row r="1657">
      <c r="A1657">
        <f>A1656+1</f>
        <v/>
      </c>
      <c r="K1657">
        <f>I1657+J1657</f>
        <v/>
      </c>
    </row>
    <row r="1658">
      <c r="A1658">
        <f>A1657+1</f>
        <v/>
      </c>
      <c r="K1658">
        <f>I1658+J1658</f>
        <v/>
      </c>
    </row>
    <row r="1659">
      <c r="A1659">
        <f>A1658+1</f>
        <v/>
      </c>
      <c r="K1659">
        <f>I1659+J1659</f>
        <v/>
      </c>
    </row>
    <row r="1660">
      <c r="A1660">
        <f>A1659+1</f>
        <v/>
      </c>
      <c r="K1660">
        <f>I1660+J1660</f>
        <v/>
      </c>
    </row>
    <row r="1661">
      <c r="A1661">
        <f>A1660+1</f>
        <v/>
      </c>
      <c r="K1661">
        <f>I1661+J1661</f>
        <v/>
      </c>
    </row>
    <row r="1662">
      <c r="A1662">
        <f>A1661+1</f>
        <v/>
      </c>
      <c r="K1662">
        <f>I1662+J1662</f>
        <v/>
      </c>
    </row>
    <row r="1663">
      <c r="A1663">
        <f>A1662+1</f>
        <v/>
      </c>
      <c r="K1663">
        <f>I1663+J1663</f>
        <v/>
      </c>
    </row>
    <row r="1664">
      <c r="A1664">
        <f>A1663+1</f>
        <v/>
      </c>
      <c r="K1664">
        <f>I1664+J1664</f>
        <v/>
      </c>
    </row>
    <row r="1665">
      <c r="A1665">
        <f>A1664+1</f>
        <v/>
      </c>
      <c r="K1665">
        <f>I1665+J1665</f>
        <v/>
      </c>
    </row>
    <row r="1666">
      <c r="A1666">
        <f>A1665+1</f>
        <v/>
      </c>
      <c r="K1666">
        <f>I1666+J1666</f>
        <v/>
      </c>
    </row>
    <row r="1667">
      <c r="A1667">
        <f>A1666+1</f>
        <v/>
      </c>
      <c r="K1667">
        <f>I1667+J1667</f>
        <v/>
      </c>
    </row>
    <row r="1668">
      <c r="A1668">
        <f>A1667+1</f>
        <v/>
      </c>
      <c r="K1668">
        <f>I1668+J1668</f>
        <v/>
      </c>
    </row>
    <row r="1669">
      <c r="A1669">
        <f>A1668+1</f>
        <v/>
      </c>
      <c r="K1669">
        <f>I1669+J1669</f>
        <v/>
      </c>
    </row>
    <row r="1670">
      <c r="A1670">
        <f>A1669+1</f>
        <v/>
      </c>
      <c r="K1670">
        <f>I1670+J1670</f>
        <v/>
      </c>
    </row>
    <row r="1671">
      <c r="A1671">
        <f>A1670+1</f>
        <v/>
      </c>
      <c r="K1671">
        <f>I1671+J1671</f>
        <v/>
      </c>
    </row>
    <row r="1672">
      <c r="A1672">
        <f>A1671+1</f>
        <v/>
      </c>
      <c r="K1672">
        <f>I1672+J1672</f>
        <v/>
      </c>
    </row>
    <row r="1673">
      <c r="A1673">
        <f>A1672+1</f>
        <v/>
      </c>
      <c r="K1673">
        <f>I1673+J1673</f>
        <v/>
      </c>
    </row>
    <row r="1674">
      <c r="A1674">
        <f>A1673+1</f>
        <v/>
      </c>
      <c r="K1674">
        <f>I1674+J1674</f>
        <v/>
      </c>
    </row>
    <row r="1675">
      <c r="A1675">
        <f>A1674+1</f>
        <v/>
      </c>
      <c r="K1675">
        <f>I1675+J1675</f>
        <v/>
      </c>
    </row>
    <row r="1676">
      <c r="A1676">
        <f>A1675+1</f>
        <v/>
      </c>
      <c r="K1676">
        <f>I1676+J1676</f>
        <v/>
      </c>
    </row>
    <row r="1677">
      <c r="A1677">
        <f>A1676+1</f>
        <v/>
      </c>
      <c r="K1677">
        <f>I1677+J1677</f>
        <v/>
      </c>
    </row>
    <row r="1678">
      <c r="A1678">
        <f>A1677+1</f>
        <v/>
      </c>
      <c r="K1678">
        <f>I1678+J1678</f>
        <v/>
      </c>
    </row>
    <row r="1679">
      <c r="A1679">
        <f>A1678+1</f>
        <v/>
      </c>
      <c r="K1679">
        <f>I1679+J1679</f>
        <v/>
      </c>
    </row>
    <row r="1680">
      <c r="A1680">
        <f>A1679+1</f>
        <v/>
      </c>
      <c r="K1680">
        <f>I1680+J1680</f>
        <v/>
      </c>
    </row>
    <row r="1681">
      <c r="A1681">
        <f>A1680+1</f>
        <v/>
      </c>
      <c r="K1681">
        <f>I1681+J1681</f>
        <v/>
      </c>
    </row>
    <row r="1682">
      <c r="A1682">
        <f>A1681+1</f>
        <v/>
      </c>
      <c r="K1682">
        <f>I1682+J1682</f>
        <v/>
      </c>
    </row>
    <row r="1683">
      <c r="A1683">
        <f>A1682+1</f>
        <v/>
      </c>
      <c r="K1683">
        <f>I1683+J1683</f>
        <v/>
      </c>
    </row>
    <row r="1684">
      <c r="A1684">
        <f>A1683+1</f>
        <v/>
      </c>
      <c r="K1684">
        <f>I1684+J1684</f>
        <v/>
      </c>
    </row>
    <row r="1685">
      <c r="A1685">
        <f>A1684+1</f>
        <v/>
      </c>
      <c r="K1685">
        <f>I1685+J1685</f>
        <v/>
      </c>
    </row>
    <row r="1686">
      <c r="A1686">
        <f>A1685+1</f>
        <v/>
      </c>
      <c r="K1686">
        <f>I1686+J1686</f>
        <v/>
      </c>
    </row>
    <row r="1687">
      <c r="A1687">
        <f>A1686+1</f>
        <v/>
      </c>
      <c r="K1687">
        <f>I1687+J1687</f>
        <v/>
      </c>
    </row>
    <row r="1688">
      <c r="A1688">
        <f>A1687+1</f>
        <v/>
      </c>
      <c r="K1688">
        <f>I1688+J1688</f>
        <v/>
      </c>
    </row>
    <row r="1689">
      <c r="A1689">
        <f>A1688+1</f>
        <v/>
      </c>
      <c r="K1689">
        <f>I1689+J1689</f>
        <v/>
      </c>
    </row>
    <row r="1690">
      <c r="A1690">
        <f>A1689+1</f>
        <v/>
      </c>
      <c r="K1690">
        <f>I1690+J1690</f>
        <v/>
      </c>
    </row>
    <row r="1691">
      <c r="A1691">
        <f>A1690+1</f>
        <v/>
      </c>
      <c r="K1691">
        <f>I1691+J1691</f>
        <v/>
      </c>
    </row>
    <row r="1692">
      <c r="A1692">
        <f>A1691+1</f>
        <v/>
      </c>
      <c r="K1692">
        <f>I1692+J1692</f>
        <v/>
      </c>
    </row>
    <row r="1693">
      <c r="A1693">
        <f>A1692+1</f>
        <v/>
      </c>
      <c r="K1693">
        <f>I1693+J1693</f>
        <v/>
      </c>
    </row>
    <row r="1694">
      <c r="A1694">
        <f>A1693+1</f>
        <v/>
      </c>
      <c r="K1694">
        <f>I1694+J1694</f>
        <v/>
      </c>
    </row>
    <row r="1695">
      <c r="A1695">
        <f>A1694+1</f>
        <v/>
      </c>
      <c r="K1695">
        <f>I1695+J1695</f>
        <v/>
      </c>
    </row>
    <row r="1696">
      <c r="A1696">
        <f>A1695+1</f>
        <v/>
      </c>
      <c r="K1696">
        <f>I1696+J1696</f>
        <v/>
      </c>
    </row>
    <row r="1697">
      <c r="A1697">
        <f>A1696+1</f>
        <v/>
      </c>
      <c r="K1697">
        <f>I1697+J1697</f>
        <v/>
      </c>
    </row>
    <row r="1698">
      <c r="A1698">
        <f>A1697+1</f>
        <v/>
      </c>
      <c r="K1698">
        <f>I1698+J1698</f>
        <v/>
      </c>
    </row>
    <row r="1699">
      <c r="A1699">
        <f>A1698+1</f>
        <v/>
      </c>
      <c r="K1699">
        <f>I1699+J1699</f>
        <v/>
      </c>
    </row>
    <row r="1700">
      <c r="A1700">
        <f>A1699+1</f>
        <v/>
      </c>
      <c r="K1700">
        <f>I1700+J1700</f>
        <v/>
      </c>
    </row>
    <row r="1701">
      <c r="A1701">
        <f>A1700+1</f>
        <v/>
      </c>
      <c r="K1701">
        <f>I1701+J1701</f>
        <v/>
      </c>
    </row>
    <row r="1702">
      <c r="A1702">
        <f>A1701+1</f>
        <v/>
      </c>
      <c r="K1702">
        <f>I1702+J1702</f>
        <v/>
      </c>
    </row>
    <row r="1703">
      <c r="A1703">
        <f>A1702+1</f>
        <v/>
      </c>
      <c r="K1703">
        <f>I1703+J1703</f>
        <v/>
      </c>
    </row>
    <row r="1704">
      <c r="A1704">
        <f>A1703+1</f>
        <v/>
      </c>
      <c r="K1704">
        <f>I1704+J1704</f>
        <v/>
      </c>
    </row>
    <row r="1705">
      <c r="A1705">
        <f>A1704+1</f>
        <v/>
      </c>
      <c r="K1705">
        <f>I1705+J1705</f>
        <v/>
      </c>
    </row>
    <row r="1706">
      <c r="A1706">
        <f>A1705+1</f>
        <v/>
      </c>
      <c r="K1706">
        <f>I1706+J1706</f>
        <v/>
      </c>
    </row>
    <row r="1707">
      <c r="A1707">
        <f>A1706+1</f>
        <v/>
      </c>
      <c r="K1707">
        <f>I1707+J1707</f>
        <v/>
      </c>
    </row>
    <row r="1708">
      <c r="A1708">
        <f>A1707+1</f>
        <v/>
      </c>
      <c r="K1708">
        <f>I1708+J1708</f>
        <v/>
      </c>
    </row>
    <row r="1709">
      <c r="A1709">
        <f>A1708+1</f>
        <v/>
      </c>
      <c r="K1709">
        <f>I1709+J1709</f>
        <v/>
      </c>
    </row>
    <row r="1710">
      <c r="A1710">
        <f>A1709+1</f>
        <v/>
      </c>
      <c r="K1710">
        <f>I1710+J1710</f>
        <v/>
      </c>
    </row>
    <row r="1711">
      <c r="A1711">
        <f>A1710+1</f>
        <v/>
      </c>
      <c r="K1711">
        <f>I1711+J1711</f>
        <v/>
      </c>
    </row>
    <row r="1712">
      <c r="A1712">
        <f>A1711+1</f>
        <v/>
      </c>
      <c r="K1712">
        <f>I1712+J1712</f>
        <v/>
      </c>
    </row>
    <row r="1713">
      <c r="A1713">
        <f>A1712+1</f>
        <v/>
      </c>
      <c r="K1713">
        <f>I1713+J1713</f>
        <v/>
      </c>
    </row>
    <row r="1714">
      <c r="A1714">
        <f>A1713+1</f>
        <v/>
      </c>
      <c r="K1714">
        <f>I1714+J1714</f>
        <v/>
      </c>
    </row>
    <row r="1715">
      <c r="A1715">
        <f>A1714+1</f>
        <v/>
      </c>
      <c r="K1715">
        <f>I1715+J1715</f>
        <v/>
      </c>
    </row>
    <row r="1716">
      <c r="A1716">
        <f>A1715+1</f>
        <v/>
      </c>
      <c r="K1716">
        <f>I1716+J1716</f>
        <v/>
      </c>
    </row>
    <row r="1717">
      <c r="A1717">
        <f>A1716+1</f>
        <v/>
      </c>
      <c r="K1717">
        <f>I1717+J1717</f>
        <v/>
      </c>
    </row>
    <row r="1718">
      <c r="A1718">
        <f>A1717+1</f>
        <v/>
      </c>
      <c r="K1718">
        <f>I1718+J1718</f>
        <v/>
      </c>
    </row>
    <row r="1719">
      <c r="A1719">
        <f>A1718+1</f>
        <v/>
      </c>
      <c r="K1719">
        <f>I1719+J1719</f>
        <v/>
      </c>
    </row>
    <row r="1720">
      <c r="A1720">
        <f>A1719+1</f>
        <v/>
      </c>
      <c r="K1720">
        <f>I1720+J1720</f>
        <v/>
      </c>
    </row>
    <row r="1721">
      <c r="A1721">
        <f>A1720+1</f>
        <v/>
      </c>
      <c r="K1721">
        <f>I1721+J1721</f>
        <v/>
      </c>
    </row>
    <row r="1722">
      <c r="A1722">
        <f>A1721+1</f>
        <v/>
      </c>
      <c r="K1722">
        <f>I1722+J1722</f>
        <v/>
      </c>
    </row>
    <row r="1723">
      <c r="A1723">
        <f>A1722+1</f>
        <v/>
      </c>
      <c r="K1723">
        <f>I1723+J1723</f>
        <v/>
      </c>
    </row>
    <row r="1724">
      <c r="A1724">
        <f>A1723+1</f>
        <v/>
      </c>
      <c r="K1724">
        <f>I1724+J1724</f>
        <v/>
      </c>
    </row>
    <row r="1725">
      <c r="A1725">
        <f>A1724+1</f>
        <v/>
      </c>
      <c r="K1725">
        <f>I1725+J1725</f>
        <v/>
      </c>
    </row>
    <row r="1726">
      <c r="A1726">
        <f>A1725+1</f>
        <v/>
      </c>
      <c r="K1726">
        <f>I1726+J1726</f>
        <v/>
      </c>
    </row>
    <row r="1727">
      <c r="A1727">
        <f>A1726+1</f>
        <v/>
      </c>
      <c r="K1727">
        <f>I1727+J1727</f>
        <v/>
      </c>
    </row>
    <row r="1728">
      <c r="A1728">
        <f>A1727+1</f>
        <v/>
      </c>
      <c r="K1728">
        <f>I1728+J1728</f>
        <v/>
      </c>
    </row>
    <row r="1729">
      <c r="A1729">
        <f>A1728+1</f>
        <v/>
      </c>
      <c r="K1729">
        <f>I1729+J1729</f>
        <v/>
      </c>
    </row>
    <row r="1730">
      <c r="A1730">
        <f>A1729+1</f>
        <v/>
      </c>
      <c r="K1730">
        <f>I1730+J1730</f>
        <v/>
      </c>
    </row>
    <row r="1731">
      <c r="A1731">
        <f>A1730+1</f>
        <v/>
      </c>
      <c r="K1731">
        <f>I1731+J1731</f>
        <v/>
      </c>
    </row>
    <row r="1732">
      <c r="A1732">
        <f>A1731+1</f>
        <v/>
      </c>
      <c r="K1732">
        <f>I1732+J1732</f>
        <v/>
      </c>
    </row>
    <row r="1733">
      <c r="A1733">
        <f>A1732+1</f>
        <v/>
      </c>
      <c r="K1733">
        <f>I1733+J1733</f>
        <v/>
      </c>
    </row>
    <row r="1734">
      <c r="A1734">
        <f>A1733+1</f>
        <v/>
      </c>
      <c r="K1734">
        <f>I1734+J1734</f>
        <v/>
      </c>
    </row>
    <row r="1735">
      <c r="A1735">
        <f>A1734+1</f>
        <v/>
      </c>
      <c r="K1735">
        <f>I1735+J1735</f>
        <v/>
      </c>
    </row>
    <row r="1736">
      <c r="A1736">
        <f>A1735+1</f>
        <v/>
      </c>
      <c r="K1736">
        <f>I1736+J1736</f>
        <v/>
      </c>
    </row>
    <row r="1737">
      <c r="A1737">
        <f>A1736+1</f>
        <v/>
      </c>
      <c r="K1737">
        <f>I1737+J1737</f>
        <v/>
      </c>
    </row>
    <row r="1738">
      <c r="A1738">
        <f>A1737+1</f>
        <v/>
      </c>
      <c r="K1738">
        <f>I1738+J1738</f>
        <v/>
      </c>
    </row>
    <row r="1739">
      <c r="A1739">
        <f>A1738+1</f>
        <v/>
      </c>
      <c r="K1739">
        <f>I1739+J1739</f>
        <v/>
      </c>
    </row>
    <row r="1740">
      <c r="A1740">
        <f>A1739+1</f>
        <v/>
      </c>
      <c r="K1740">
        <f>I1740+J1740</f>
        <v/>
      </c>
    </row>
    <row r="1741">
      <c r="A1741">
        <f>A1740+1</f>
        <v/>
      </c>
      <c r="K1741">
        <f>I1741+J1741</f>
        <v/>
      </c>
    </row>
    <row r="1742">
      <c r="A1742">
        <f>A1741+1</f>
        <v/>
      </c>
      <c r="K1742">
        <f>I1742+J1742</f>
        <v/>
      </c>
    </row>
    <row r="1743">
      <c r="A1743">
        <f>A1742+1</f>
        <v/>
      </c>
      <c r="K1743">
        <f>I1743+J1743</f>
        <v/>
      </c>
    </row>
    <row r="1744">
      <c r="A1744">
        <f>A1743+1</f>
        <v/>
      </c>
      <c r="K1744">
        <f>I1744+J1744</f>
        <v/>
      </c>
    </row>
    <row r="1745">
      <c r="A1745">
        <f>A1744+1</f>
        <v/>
      </c>
      <c r="K1745">
        <f>I1745+J1745</f>
        <v/>
      </c>
    </row>
    <row r="1746">
      <c r="A1746">
        <f>A1745+1</f>
        <v/>
      </c>
      <c r="K1746">
        <f>I1746+J1746</f>
        <v/>
      </c>
    </row>
    <row r="1747">
      <c r="A1747">
        <f>A1746+1</f>
        <v/>
      </c>
      <c r="K1747">
        <f>I1747+J1747</f>
        <v/>
      </c>
    </row>
    <row r="1748">
      <c r="A1748">
        <f>A1747+1</f>
        <v/>
      </c>
      <c r="K1748">
        <f>I1748+J1748</f>
        <v/>
      </c>
    </row>
    <row r="1749">
      <c r="A1749">
        <f>A1748+1</f>
        <v/>
      </c>
      <c r="K1749">
        <f>I1749+J1749</f>
        <v/>
      </c>
    </row>
    <row r="1750">
      <c r="A1750">
        <f>A1749+1</f>
        <v/>
      </c>
      <c r="K1750">
        <f>I1750+J1750</f>
        <v/>
      </c>
    </row>
    <row r="1751">
      <c r="A1751">
        <f>A1750+1</f>
        <v/>
      </c>
      <c r="K1751">
        <f>I1751+J1751</f>
        <v/>
      </c>
    </row>
    <row r="1752">
      <c r="A1752">
        <f>A1751+1</f>
        <v/>
      </c>
      <c r="K1752">
        <f>I1752+J1752</f>
        <v/>
      </c>
    </row>
    <row r="1753">
      <c r="A1753">
        <f>A1752+1</f>
        <v/>
      </c>
      <c r="K1753">
        <f>I1753+J1753</f>
        <v/>
      </c>
    </row>
    <row r="1754">
      <c r="A1754">
        <f>A1753+1</f>
        <v/>
      </c>
      <c r="K1754">
        <f>I1754+J1754</f>
        <v/>
      </c>
    </row>
    <row r="1755">
      <c r="A1755">
        <f>A1754+1</f>
        <v/>
      </c>
      <c r="K1755">
        <f>I1755+J1755</f>
        <v/>
      </c>
    </row>
    <row r="1756">
      <c r="A1756">
        <f>A1755+1</f>
        <v/>
      </c>
      <c r="K1756">
        <f>I1756+J1756</f>
        <v/>
      </c>
    </row>
    <row r="1757">
      <c r="A1757">
        <f>A1756+1</f>
        <v/>
      </c>
      <c r="K1757">
        <f>I1757+J1757</f>
        <v/>
      </c>
    </row>
    <row r="1758">
      <c r="A1758">
        <f>A1757+1</f>
        <v/>
      </c>
      <c r="K1758">
        <f>I1758+J1758</f>
        <v/>
      </c>
    </row>
    <row r="1759">
      <c r="A1759">
        <f>A1758+1</f>
        <v/>
      </c>
      <c r="K1759">
        <f>I1759+J1759</f>
        <v/>
      </c>
    </row>
    <row r="1760">
      <c r="A1760">
        <f>A1759+1</f>
        <v/>
      </c>
      <c r="K1760">
        <f>I1760+J1760</f>
        <v/>
      </c>
    </row>
    <row r="1761">
      <c r="A1761">
        <f>A1760+1</f>
        <v/>
      </c>
      <c r="K1761">
        <f>I1761+J1761</f>
        <v/>
      </c>
    </row>
    <row r="1762">
      <c r="A1762">
        <f>A1761+1</f>
        <v/>
      </c>
      <c r="K1762">
        <f>I1762+J1762</f>
        <v/>
      </c>
    </row>
    <row r="1763">
      <c r="A1763">
        <f>A1762+1</f>
        <v/>
      </c>
      <c r="K1763">
        <f>I1763+J1763</f>
        <v/>
      </c>
    </row>
    <row r="1764">
      <c r="A1764">
        <f>A1763+1</f>
        <v/>
      </c>
      <c r="K1764">
        <f>I1764+J1764</f>
        <v/>
      </c>
    </row>
    <row r="1765">
      <c r="A1765">
        <f>A1764+1</f>
        <v/>
      </c>
      <c r="K1765">
        <f>I1765+J1765</f>
        <v/>
      </c>
    </row>
    <row r="1766">
      <c r="A1766">
        <f>A1765+1</f>
        <v/>
      </c>
      <c r="K1766">
        <f>I1766+J1766</f>
        <v/>
      </c>
    </row>
    <row r="1767">
      <c r="A1767">
        <f>A1766+1</f>
        <v/>
      </c>
      <c r="K1767">
        <f>I1767+J1767</f>
        <v/>
      </c>
    </row>
    <row r="1768">
      <c r="A1768">
        <f>A1767+1</f>
        <v/>
      </c>
      <c r="K1768">
        <f>I1768+J1768</f>
        <v/>
      </c>
    </row>
    <row r="1769">
      <c r="A1769">
        <f>A1768+1</f>
        <v/>
      </c>
      <c r="K1769">
        <f>I1769+J1769</f>
        <v/>
      </c>
    </row>
    <row r="1770">
      <c r="A1770">
        <f>A1769+1</f>
        <v/>
      </c>
      <c r="K1770">
        <f>I1770+J1770</f>
        <v/>
      </c>
    </row>
    <row r="1771">
      <c r="A1771">
        <f>A1770+1</f>
        <v/>
      </c>
      <c r="K1771">
        <f>I1771+J1771</f>
        <v/>
      </c>
    </row>
    <row r="1772">
      <c r="A1772">
        <f>A1771+1</f>
        <v/>
      </c>
      <c r="K1772">
        <f>I1772+J1772</f>
        <v/>
      </c>
    </row>
    <row r="1773">
      <c r="A1773">
        <f>A1772+1</f>
        <v/>
      </c>
      <c r="K1773">
        <f>I1773+J1773</f>
        <v/>
      </c>
    </row>
    <row r="1774">
      <c r="A1774">
        <f>A1773+1</f>
        <v/>
      </c>
      <c r="K1774">
        <f>I1774+J1774</f>
        <v/>
      </c>
    </row>
    <row r="1775">
      <c r="A1775">
        <f>A1774+1</f>
        <v/>
      </c>
      <c r="K1775">
        <f>I1775+J1775</f>
        <v/>
      </c>
    </row>
    <row r="1776">
      <c r="A1776">
        <f>A1775+1</f>
        <v/>
      </c>
      <c r="K1776">
        <f>I1776+J1776</f>
        <v/>
      </c>
    </row>
    <row r="1777">
      <c r="A1777">
        <f>A1776+1</f>
        <v/>
      </c>
      <c r="K1777">
        <f>I1777+J1777</f>
        <v/>
      </c>
    </row>
    <row r="1778">
      <c r="A1778">
        <f>A1777+1</f>
        <v/>
      </c>
      <c r="K1778">
        <f>I1778+J1778</f>
        <v/>
      </c>
    </row>
    <row r="1779">
      <c r="A1779">
        <f>A1778+1</f>
        <v/>
      </c>
      <c r="K1779">
        <f>I1779+J1779</f>
        <v/>
      </c>
    </row>
    <row r="1780">
      <c r="A1780">
        <f>A1779+1</f>
        <v/>
      </c>
      <c r="K1780">
        <f>I1780+J1780</f>
        <v/>
      </c>
    </row>
    <row r="1781">
      <c r="A1781">
        <f>A1780+1</f>
        <v/>
      </c>
      <c r="K1781">
        <f>I1781+J1781</f>
        <v/>
      </c>
    </row>
    <row r="1782">
      <c r="A1782">
        <f>A1781+1</f>
        <v/>
      </c>
      <c r="K1782">
        <f>I1782+J1782</f>
        <v/>
      </c>
    </row>
    <row r="1783">
      <c r="A1783">
        <f>A1782+1</f>
        <v/>
      </c>
      <c r="K1783">
        <f>I1783+J1783</f>
        <v/>
      </c>
    </row>
    <row r="1784">
      <c r="A1784">
        <f>A1783+1</f>
        <v/>
      </c>
      <c r="K1784">
        <f>I1784+J1784</f>
        <v/>
      </c>
    </row>
    <row r="1785">
      <c r="A1785">
        <f>A1784+1</f>
        <v/>
      </c>
      <c r="K1785">
        <f>I1785+J1785</f>
        <v/>
      </c>
    </row>
    <row r="1786">
      <c r="A1786">
        <f>A1785+1</f>
        <v/>
      </c>
      <c r="K1786">
        <f>I1786+J1786</f>
        <v/>
      </c>
    </row>
    <row r="1787">
      <c r="A1787">
        <f>A1786+1</f>
        <v/>
      </c>
      <c r="K1787">
        <f>I1787+J1787</f>
        <v/>
      </c>
    </row>
    <row r="1788">
      <c r="A1788">
        <f>A1787+1</f>
        <v/>
      </c>
      <c r="K1788">
        <f>I1788+J1788</f>
        <v/>
      </c>
    </row>
    <row r="1789">
      <c r="A1789">
        <f>A1788+1</f>
        <v/>
      </c>
      <c r="K1789">
        <f>I1789+J1789</f>
        <v/>
      </c>
    </row>
    <row r="1790">
      <c r="A1790">
        <f>A1789+1</f>
        <v/>
      </c>
      <c r="K1790">
        <f>I1790+J1790</f>
        <v/>
      </c>
    </row>
    <row r="1791">
      <c r="A1791">
        <f>A1790+1</f>
        <v/>
      </c>
      <c r="K1791">
        <f>I1791+J1791</f>
        <v/>
      </c>
    </row>
    <row r="1792">
      <c r="A1792">
        <f>A1791+1</f>
        <v/>
      </c>
      <c r="K1792">
        <f>I1792+J1792</f>
        <v/>
      </c>
    </row>
    <row r="1793">
      <c r="A1793">
        <f>A1792+1</f>
        <v/>
      </c>
      <c r="K1793">
        <f>I1793+J1793</f>
        <v/>
      </c>
    </row>
    <row r="1794">
      <c r="A1794">
        <f>A1793+1</f>
        <v/>
      </c>
      <c r="K1794">
        <f>I1794+J1794</f>
        <v/>
      </c>
    </row>
    <row r="1795">
      <c r="A1795">
        <f>A1794+1</f>
        <v/>
      </c>
      <c r="K1795">
        <f>I1795+J1795</f>
        <v/>
      </c>
    </row>
    <row r="1796">
      <c r="A1796">
        <f>A1795+1</f>
        <v/>
      </c>
      <c r="K1796">
        <f>I1796+J1796</f>
        <v/>
      </c>
    </row>
    <row r="1797">
      <c r="A1797">
        <f>A1796+1</f>
        <v/>
      </c>
      <c r="K1797">
        <f>I1797+J1797</f>
        <v/>
      </c>
    </row>
    <row r="1798">
      <c r="A1798">
        <f>A1797+1</f>
        <v/>
      </c>
      <c r="K1798">
        <f>I1798+J1798</f>
        <v/>
      </c>
    </row>
    <row r="1799">
      <c r="A1799">
        <f>A1798+1</f>
        <v/>
      </c>
      <c r="K1799">
        <f>I1799+J1799</f>
        <v/>
      </c>
    </row>
    <row r="1800">
      <c r="A1800">
        <f>A1799+1</f>
        <v/>
      </c>
      <c r="K1800">
        <f>I1800+J1800</f>
        <v/>
      </c>
    </row>
    <row r="1801">
      <c r="A1801">
        <f>A1800+1</f>
        <v/>
      </c>
      <c r="K1801">
        <f>I1801+J1801</f>
        <v/>
      </c>
    </row>
    <row r="1802">
      <c r="A1802">
        <f>A1801+1</f>
        <v/>
      </c>
      <c r="K1802">
        <f>I1802+J1802</f>
        <v/>
      </c>
    </row>
    <row r="1803">
      <c r="A1803">
        <f>A1802+1</f>
        <v/>
      </c>
      <c r="K1803">
        <f>I1803+J1803</f>
        <v/>
      </c>
    </row>
    <row r="1804">
      <c r="A1804">
        <f>A1803+1</f>
        <v/>
      </c>
      <c r="K1804">
        <f>I1804+J1804</f>
        <v/>
      </c>
    </row>
    <row r="1805">
      <c r="A1805">
        <f>A1804+1</f>
        <v/>
      </c>
      <c r="K1805">
        <f>I1805+J1805</f>
        <v/>
      </c>
    </row>
    <row r="1806">
      <c r="A1806">
        <f>A1805+1</f>
        <v/>
      </c>
      <c r="K1806">
        <f>I1806+J1806</f>
        <v/>
      </c>
    </row>
    <row r="1807">
      <c r="A1807">
        <f>A1806+1</f>
        <v/>
      </c>
      <c r="K1807">
        <f>I1807+J1807</f>
        <v/>
      </c>
    </row>
    <row r="1808">
      <c r="A1808">
        <f>A1807+1</f>
        <v/>
      </c>
      <c r="K1808">
        <f>I1808+J1808</f>
        <v/>
      </c>
    </row>
    <row r="1809">
      <c r="A1809">
        <f>A1808+1</f>
        <v/>
      </c>
      <c r="K1809">
        <f>I1809+J1809</f>
        <v/>
      </c>
    </row>
    <row r="1810">
      <c r="A1810">
        <f>A1809+1</f>
        <v/>
      </c>
      <c r="K1810">
        <f>I1810+J1810</f>
        <v/>
      </c>
    </row>
    <row r="1811">
      <c r="A1811">
        <f>A1810+1</f>
        <v/>
      </c>
      <c r="K1811">
        <f>I1811+J1811</f>
        <v/>
      </c>
    </row>
    <row r="1812">
      <c r="A1812">
        <f>A1811+1</f>
        <v/>
      </c>
      <c r="K1812">
        <f>I1812+J1812</f>
        <v/>
      </c>
    </row>
    <row r="1813">
      <c r="A1813">
        <f>A1812+1</f>
        <v/>
      </c>
      <c r="K1813">
        <f>I1813+J1813</f>
        <v/>
      </c>
    </row>
    <row r="1814">
      <c r="A1814">
        <f>A1813+1</f>
        <v/>
      </c>
      <c r="K1814">
        <f>I1814+J1814</f>
        <v/>
      </c>
    </row>
    <row r="1815">
      <c r="A1815">
        <f>A1814+1</f>
        <v/>
      </c>
      <c r="K1815">
        <f>I1815+J1815</f>
        <v/>
      </c>
    </row>
    <row r="1816">
      <c r="A1816">
        <f>A1815+1</f>
        <v/>
      </c>
      <c r="K1816">
        <f>I1816+J1816</f>
        <v/>
      </c>
    </row>
    <row r="1817">
      <c r="A1817">
        <f>A1816+1</f>
        <v/>
      </c>
      <c r="K1817">
        <f>I1817+J1817</f>
        <v/>
      </c>
    </row>
    <row r="1818">
      <c r="A1818">
        <f>A1817+1</f>
        <v/>
      </c>
      <c r="K1818">
        <f>I1818+J1818</f>
        <v/>
      </c>
    </row>
    <row r="1819">
      <c r="A1819">
        <f>A1818+1</f>
        <v/>
      </c>
      <c r="K1819">
        <f>I1819+J1819</f>
        <v/>
      </c>
    </row>
    <row r="1820">
      <c r="A1820">
        <f>A1819+1</f>
        <v/>
      </c>
      <c r="K1820">
        <f>I1820+J1820</f>
        <v/>
      </c>
    </row>
    <row r="1821">
      <c r="A1821">
        <f>A1820+1</f>
        <v/>
      </c>
      <c r="K1821">
        <f>I1821+J1821</f>
        <v/>
      </c>
    </row>
    <row r="1822">
      <c r="A1822">
        <f>A1821+1</f>
        <v/>
      </c>
      <c r="K1822">
        <f>I1822+J1822</f>
        <v/>
      </c>
    </row>
    <row r="1823">
      <c r="A1823">
        <f>A1822+1</f>
        <v/>
      </c>
      <c r="K1823">
        <f>I1823+J1823</f>
        <v/>
      </c>
    </row>
    <row r="1824">
      <c r="A1824">
        <f>A1823+1</f>
        <v/>
      </c>
      <c r="K1824">
        <f>I1824+J1824</f>
        <v/>
      </c>
    </row>
    <row r="1825">
      <c r="A1825">
        <f>A1824+1</f>
        <v/>
      </c>
      <c r="K1825">
        <f>I1825+J1825</f>
        <v/>
      </c>
    </row>
    <row r="1826">
      <c r="A1826">
        <f>A1825+1</f>
        <v/>
      </c>
      <c r="K1826">
        <f>I1826+J1826</f>
        <v/>
      </c>
    </row>
    <row r="1827">
      <c r="A1827">
        <f>A1826+1</f>
        <v/>
      </c>
      <c r="K1827">
        <f>I1827+J1827</f>
        <v/>
      </c>
    </row>
    <row r="1828">
      <c r="A1828">
        <f>A1827+1</f>
        <v/>
      </c>
      <c r="K1828">
        <f>I1828+J1828</f>
        <v/>
      </c>
    </row>
    <row r="1829">
      <c r="A1829">
        <f>A1828+1</f>
        <v/>
      </c>
      <c r="K1829">
        <f>I1829+J1829</f>
        <v/>
      </c>
    </row>
    <row r="1830">
      <c r="A1830">
        <f>A1829+1</f>
        <v/>
      </c>
      <c r="K1830">
        <f>I1830+J1830</f>
        <v/>
      </c>
    </row>
    <row r="1831">
      <c r="A1831">
        <f>A1830+1</f>
        <v/>
      </c>
      <c r="K1831">
        <f>I1831+J1831</f>
        <v/>
      </c>
    </row>
    <row r="1832">
      <c r="A1832">
        <f>A1831+1</f>
        <v/>
      </c>
      <c r="K1832">
        <f>I1832+J1832</f>
        <v/>
      </c>
    </row>
    <row r="1833">
      <c r="A1833">
        <f>A1832+1</f>
        <v/>
      </c>
      <c r="K1833">
        <f>I1833+J1833</f>
        <v/>
      </c>
    </row>
    <row r="1834">
      <c r="A1834">
        <f>A1833+1</f>
        <v/>
      </c>
      <c r="K1834">
        <f>I1834+J1834</f>
        <v/>
      </c>
    </row>
    <row r="1835">
      <c r="A1835">
        <f>A1834+1</f>
        <v/>
      </c>
      <c r="K1835">
        <f>I1835+J1835</f>
        <v/>
      </c>
    </row>
    <row r="1836">
      <c r="A1836">
        <f>A1835+1</f>
        <v/>
      </c>
      <c r="K1836">
        <f>I1836+J1836</f>
        <v/>
      </c>
    </row>
    <row r="1837">
      <c r="A1837">
        <f>A1836+1</f>
        <v/>
      </c>
      <c r="K1837">
        <f>I1837+J1837</f>
        <v/>
      </c>
    </row>
    <row r="1838">
      <c r="A1838">
        <f>A1837+1</f>
        <v/>
      </c>
      <c r="K1838">
        <f>I1838+J1838</f>
        <v/>
      </c>
    </row>
    <row r="1839">
      <c r="A1839">
        <f>A1838+1</f>
        <v/>
      </c>
      <c r="K1839">
        <f>I1839+J1839</f>
        <v/>
      </c>
    </row>
    <row r="1840">
      <c r="A1840">
        <f>A1839+1</f>
        <v/>
      </c>
      <c r="K1840">
        <f>I1840+J1840</f>
        <v/>
      </c>
    </row>
    <row r="1841">
      <c r="A1841">
        <f>A1840+1</f>
        <v/>
      </c>
      <c r="K1841">
        <f>I1841+J1841</f>
        <v/>
      </c>
    </row>
    <row r="1842">
      <c r="A1842">
        <f>A1841+1</f>
        <v/>
      </c>
      <c r="K1842">
        <f>I1842+J1842</f>
        <v/>
      </c>
    </row>
    <row r="1843">
      <c r="A1843">
        <f>A1842+1</f>
        <v/>
      </c>
      <c r="K1843">
        <f>I1843+J1843</f>
        <v/>
      </c>
    </row>
    <row r="1844">
      <c r="A1844">
        <f>A1843+1</f>
        <v/>
      </c>
      <c r="K1844">
        <f>I1844+J1844</f>
        <v/>
      </c>
    </row>
    <row r="1845">
      <c r="A1845">
        <f>A1844+1</f>
        <v/>
      </c>
      <c r="K1845">
        <f>I1845+J1845</f>
        <v/>
      </c>
    </row>
    <row r="1846">
      <c r="A1846">
        <f>A1845+1</f>
        <v/>
      </c>
      <c r="K1846">
        <f>I1846+J1846</f>
        <v/>
      </c>
    </row>
    <row r="1847">
      <c r="A1847">
        <f>A1846+1</f>
        <v/>
      </c>
      <c r="K1847">
        <f>I1847+J1847</f>
        <v/>
      </c>
    </row>
    <row r="1848">
      <c r="A1848">
        <f>A1847+1</f>
        <v/>
      </c>
      <c r="K1848">
        <f>I1848+J1848</f>
        <v/>
      </c>
    </row>
    <row r="1849">
      <c r="A1849">
        <f>A1848+1</f>
        <v/>
      </c>
      <c r="K1849">
        <f>I1849+J1849</f>
        <v/>
      </c>
    </row>
    <row r="1850">
      <c r="A1850">
        <f>A1849+1</f>
        <v/>
      </c>
      <c r="K1850">
        <f>I1850+J1850</f>
        <v/>
      </c>
    </row>
    <row r="1851">
      <c r="A1851">
        <f>A1850+1</f>
        <v/>
      </c>
      <c r="K1851">
        <f>I1851+J1851</f>
        <v/>
      </c>
    </row>
    <row r="1852">
      <c r="A1852">
        <f>A1851+1</f>
        <v/>
      </c>
      <c r="K1852">
        <f>I1852+J1852</f>
        <v/>
      </c>
    </row>
    <row r="1853">
      <c r="A1853">
        <f>A1852+1</f>
        <v/>
      </c>
      <c r="K1853">
        <f>I1853+J1853</f>
        <v/>
      </c>
    </row>
    <row r="1854">
      <c r="A1854">
        <f>A1853+1</f>
        <v/>
      </c>
      <c r="K1854">
        <f>I1854+J1854</f>
        <v/>
      </c>
    </row>
    <row r="1855">
      <c r="A1855">
        <f>A1854+1</f>
        <v/>
      </c>
      <c r="K1855">
        <f>I1855+J1855</f>
        <v/>
      </c>
    </row>
    <row r="1856">
      <c r="A1856">
        <f>A1855+1</f>
        <v/>
      </c>
      <c r="K1856">
        <f>I1856+J1856</f>
        <v/>
      </c>
    </row>
    <row r="1857">
      <c r="A1857">
        <f>A1856+1</f>
        <v/>
      </c>
      <c r="K1857">
        <f>I1857+J1857</f>
        <v/>
      </c>
    </row>
    <row r="1858">
      <c r="A1858">
        <f>A1857+1</f>
        <v/>
      </c>
      <c r="K1858">
        <f>I1858+J1858</f>
        <v/>
      </c>
    </row>
    <row r="1859">
      <c r="A1859">
        <f>A1858+1</f>
        <v/>
      </c>
      <c r="K1859">
        <f>I1859+J1859</f>
        <v/>
      </c>
    </row>
    <row r="1860">
      <c r="A1860">
        <f>A1859+1</f>
        <v/>
      </c>
      <c r="K1860">
        <f>I1860+J1860</f>
        <v/>
      </c>
    </row>
    <row r="1861">
      <c r="A1861">
        <f>A1860+1</f>
        <v/>
      </c>
      <c r="K1861">
        <f>I1861+J1861</f>
        <v/>
      </c>
    </row>
    <row r="1862">
      <c r="A1862">
        <f>A1861+1</f>
        <v/>
      </c>
      <c r="K1862">
        <f>I1862+J1862</f>
        <v/>
      </c>
    </row>
    <row r="1863">
      <c r="A1863">
        <f>A1862+1</f>
        <v/>
      </c>
      <c r="K1863">
        <f>I1863+J1863</f>
        <v/>
      </c>
    </row>
    <row r="1864">
      <c r="A1864">
        <f>A1863+1</f>
        <v/>
      </c>
      <c r="K1864">
        <f>I1864+J1864</f>
        <v/>
      </c>
    </row>
    <row r="1865">
      <c r="A1865">
        <f>A1864+1</f>
        <v/>
      </c>
      <c r="K1865">
        <f>I1865+J1865</f>
        <v/>
      </c>
    </row>
    <row r="1866">
      <c r="A1866">
        <f>A1865+1</f>
        <v/>
      </c>
      <c r="K1866">
        <f>I1866+J1866</f>
        <v/>
      </c>
    </row>
    <row r="1867">
      <c r="A1867">
        <f>A1866+1</f>
        <v/>
      </c>
      <c r="K1867">
        <f>I1867+J1867</f>
        <v/>
      </c>
    </row>
    <row r="1868">
      <c r="A1868">
        <f>A1867+1</f>
        <v/>
      </c>
      <c r="K1868">
        <f>I1868+J1868</f>
        <v/>
      </c>
    </row>
    <row r="1869">
      <c r="A1869">
        <f>A1868+1</f>
        <v/>
      </c>
      <c r="K1869">
        <f>I1869+J1869</f>
        <v/>
      </c>
    </row>
    <row r="1870">
      <c r="A1870">
        <f>A1869+1</f>
        <v/>
      </c>
      <c r="K1870">
        <f>I1870+J1870</f>
        <v/>
      </c>
    </row>
    <row r="1871">
      <c r="A1871">
        <f>A1870+1</f>
        <v/>
      </c>
      <c r="K1871">
        <f>I1871+J1871</f>
        <v/>
      </c>
    </row>
    <row r="1872">
      <c r="A1872">
        <f>A1871+1</f>
        <v/>
      </c>
      <c r="K1872">
        <f>I1872+J1872</f>
        <v/>
      </c>
    </row>
    <row r="1873">
      <c r="A1873">
        <f>A1872+1</f>
        <v/>
      </c>
      <c r="K1873">
        <f>I1873+J1873</f>
        <v/>
      </c>
    </row>
    <row r="1874">
      <c r="A1874">
        <f>A1873+1</f>
        <v/>
      </c>
      <c r="K1874">
        <f>I1874+J1874</f>
        <v/>
      </c>
    </row>
    <row r="1875">
      <c r="A1875">
        <f>A1874+1</f>
        <v/>
      </c>
      <c r="K1875">
        <f>I1875+J1875</f>
        <v/>
      </c>
    </row>
    <row r="1876">
      <c r="A1876">
        <f>A1875+1</f>
        <v/>
      </c>
      <c r="K1876">
        <f>I1876+J1876</f>
        <v/>
      </c>
    </row>
    <row r="1877">
      <c r="A1877">
        <f>A1876+1</f>
        <v/>
      </c>
      <c r="K1877">
        <f>I1877+J1877</f>
        <v/>
      </c>
    </row>
    <row r="1878">
      <c r="A1878">
        <f>A1877+1</f>
        <v/>
      </c>
      <c r="K1878">
        <f>I1878+J1878</f>
        <v/>
      </c>
    </row>
    <row r="1879">
      <c r="A1879">
        <f>A1878+1</f>
        <v/>
      </c>
      <c r="K1879">
        <f>I1879+J1879</f>
        <v/>
      </c>
    </row>
    <row r="1880">
      <c r="A1880">
        <f>A1879+1</f>
        <v/>
      </c>
      <c r="K1880">
        <f>I1880+J1880</f>
        <v/>
      </c>
    </row>
    <row r="1881">
      <c r="A1881">
        <f>A1880+1</f>
        <v/>
      </c>
      <c r="K1881">
        <f>I1881+J1881</f>
        <v/>
      </c>
    </row>
    <row r="1882">
      <c r="A1882">
        <f>A1881+1</f>
        <v/>
      </c>
      <c r="K1882">
        <f>I1882+J1882</f>
        <v/>
      </c>
    </row>
    <row r="1883">
      <c r="A1883">
        <f>A1882+1</f>
        <v/>
      </c>
      <c r="K1883">
        <f>I1883+J1883</f>
        <v/>
      </c>
    </row>
    <row r="1884">
      <c r="A1884">
        <f>A1883+1</f>
        <v/>
      </c>
      <c r="K1884">
        <f>I1884+J1884</f>
        <v/>
      </c>
    </row>
    <row r="1885">
      <c r="A1885">
        <f>A1884+1</f>
        <v/>
      </c>
      <c r="K1885">
        <f>I1885+J1885</f>
        <v/>
      </c>
    </row>
    <row r="1886">
      <c r="A1886">
        <f>A1885+1</f>
        <v/>
      </c>
      <c r="K1886">
        <f>I1886+J1886</f>
        <v/>
      </c>
    </row>
    <row r="1887">
      <c r="A1887">
        <f>A1886+1</f>
        <v/>
      </c>
      <c r="K1887">
        <f>I1887+J1887</f>
        <v/>
      </c>
    </row>
    <row r="1888">
      <c r="A1888">
        <f>A1887+1</f>
        <v/>
      </c>
      <c r="K1888">
        <f>I1888+J1888</f>
        <v/>
      </c>
    </row>
    <row r="1889">
      <c r="A1889">
        <f>A1888+1</f>
        <v/>
      </c>
      <c r="K1889">
        <f>I1889+J1889</f>
        <v/>
      </c>
    </row>
    <row r="1890">
      <c r="A1890">
        <f>A1889+1</f>
        <v/>
      </c>
      <c r="K1890">
        <f>I1890+J1890</f>
        <v/>
      </c>
    </row>
    <row r="1891">
      <c r="A1891">
        <f>A1890+1</f>
        <v/>
      </c>
      <c r="K1891">
        <f>I1891+J1891</f>
        <v/>
      </c>
    </row>
    <row r="1892">
      <c r="A1892">
        <f>A1891+1</f>
        <v/>
      </c>
      <c r="K1892">
        <f>I1892+J1892</f>
        <v/>
      </c>
    </row>
    <row r="1893">
      <c r="A1893">
        <f>A1892+1</f>
        <v/>
      </c>
      <c r="K1893">
        <f>I1893+J1893</f>
        <v/>
      </c>
    </row>
    <row r="1894">
      <c r="A1894">
        <f>A1893+1</f>
        <v/>
      </c>
      <c r="K1894">
        <f>I1894+J1894</f>
        <v/>
      </c>
    </row>
    <row r="1895">
      <c r="A1895">
        <f>A1894+1</f>
        <v/>
      </c>
      <c r="K1895">
        <f>I1895+J1895</f>
        <v/>
      </c>
    </row>
    <row r="1896">
      <c r="A1896">
        <f>A1895+1</f>
        <v/>
      </c>
      <c r="K1896">
        <f>I1896+J1896</f>
        <v/>
      </c>
    </row>
    <row r="1897">
      <c r="A1897">
        <f>A1896+1</f>
        <v/>
      </c>
      <c r="K1897">
        <f>I1897+J1897</f>
        <v/>
      </c>
    </row>
    <row r="1898">
      <c r="A1898">
        <f>A1897+1</f>
        <v/>
      </c>
      <c r="K1898">
        <f>I1898+J1898</f>
        <v/>
      </c>
    </row>
    <row r="1899">
      <c r="A1899">
        <f>A1898+1</f>
        <v/>
      </c>
      <c r="K1899">
        <f>I1899+J1899</f>
        <v/>
      </c>
    </row>
    <row r="1900">
      <c r="A1900">
        <f>A1899+1</f>
        <v/>
      </c>
      <c r="K1900">
        <f>I1900+J1900</f>
        <v/>
      </c>
    </row>
    <row r="1901">
      <c r="A1901">
        <f>A1900+1</f>
        <v/>
      </c>
      <c r="K1901">
        <f>I1901+J1901</f>
        <v/>
      </c>
    </row>
    <row r="1902">
      <c r="A1902">
        <f>A1901+1</f>
        <v/>
      </c>
      <c r="K1902">
        <f>I1902+J1902</f>
        <v/>
      </c>
    </row>
    <row r="1903">
      <c r="A1903">
        <f>A1902+1</f>
        <v/>
      </c>
      <c r="K1903">
        <f>I1903+J1903</f>
        <v/>
      </c>
    </row>
    <row r="1904">
      <c r="A1904">
        <f>A1903+1</f>
        <v/>
      </c>
      <c r="K1904">
        <f>I1904+J1904</f>
        <v/>
      </c>
    </row>
    <row r="1905">
      <c r="A1905">
        <f>A1904+1</f>
        <v/>
      </c>
      <c r="K1905">
        <f>I1905+J1905</f>
        <v/>
      </c>
    </row>
    <row r="1906">
      <c r="A1906">
        <f>A1905+1</f>
        <v/>
      </c>
      <c r="K1906">
        <f>I1906+J1906</f>
        <v/>
      </c>
    </row>
    <row r="1907">
      <c r="A1907">
        <f>A1906+1</f>
        <v/>
      </c>
      <c r="K1907">
        <f>I1907+J1907</f>
        <v/>
      </c>
    </row>
    <row r="1908">
      <c r="A1908">
        <f>A1907+1</f>
        <v/>
      </c>
      <c r="K1908">
        <f>I1908+J1908</f>
        <v/>
      </c>
    </row>
    <row r="1909">
      <c r="A1909">
        <f>A1908+1</f>
        <v/>
      </c>
      <c r="K1909">
        <f>I1909+J1909</f>
        <v/>
      </c>
    </row>
    <row r="1910">
      <c r="A1910">
        <f>A1909+1</f>
        <v/>
      </c>
      <c r="K1910">
        <f>I1910+J1910</f>
        <v/>
      </c>
    </row>
    <row r="1911">
      <c r="A1911">
        <f>A1910+1</f>
        <v/>
      </c>
      <c r="K1911">
        <f>I1911+J1911</f>
        <v/>
      </c>
    </row>
    <row r="1912">
      <c r="A1912">
        <f>A1911+1</f>
        <v/>
      </c>
      <c r="K1912">
        <f>I1912+J1912</f>
        <v/>
      </c>
    </row>
    <row r="1913">
      <c r="A1913">
        <f>A1912+1</f>
        <v/>
      </c>
      <c r="K1913">
        <f>I1913+J1913</f>
        <v/>
      </c>
    </row>
    <row r="1914">
      <c r="A1914">
        <f>A1913+1</f>
        <v/>
      </c>
      <c r="K1914">
        <f>I1914+J1914</f>
        <v/>
      </c>
    </row>
    <row r="1915">
      <c r="A1915">
        <f>A1914+1</f>
        <v/>
      </c>
      <c r="K1915">
        <f>I1915+J1915</f>
        <v/>
      </c>
    </row>
    <row r="1916">
      <c r="A1916">
        <f>A1915+1</f>
        <v/>
      </c>
      <c r="K1916">
        <f>I1916+J1916</f>
        <v/>
      </c>
    </row>
    <row r="1917">
      <c r="A1917">
        <f>A1916+1</f>
        <v/>
      </c>
      <c r="K1917">
        <f>I1917+J1917</f>
        <v/>
      </c>
    </row>
    <row r="1918">
      <c r="A1918">
        <f>A1917+1</f>
        <v/>
      </c>
      <c r="K1918">
        <f>I1918+J1918</f>
        <v/>
      </c>
    </row>
    <row r="1919">
      <c r="A1919">
        <f>A1918+1</f>
        <v/>
      </c>
      <c r="K1919">
        <f>I1919+J1919</f>
        <v/>
      </c>
    </row>
    <row r="1920">
      <c r="A1920">
        <f>A1919+1</f>
        <v/>
      </c>
      <c r="K1920">
        <f>I1920+J1920</f>
        <v/>
      </c>
    </row>
    <row r="1921">
      <c r="A1921">
        <f>A1920+1</f>
        <v/>
      </c>
      <c r="K1921">
        <f>I1921+J1921</f>
        <v/>
      </c>
    </row>
    <row r="1922">
      <c r="A1922">
        <f>A1921+1</f>
        <v/>
      </c>
      <c r="K1922">
        <f>I1922+J1922</f>
        <v/>
      </c>
    </row>
    <row r="1923">
      <c r="A1923">
        <f>A1922+1</f>
        <v/>
      </c>
      <c r="K1923">
        <f>I1923+J1923</f>
        <v/>
      </c>
    </row>
    <row r="1924">
      <c r="A1924">
        <f>A1923+1</f>
        <v/>
      </c>
      <c r="K1924">
        <f>I1924+J1924</f>
        <v/>
      </c>
    </row>
    <row r="1925">
      <c r="A1925">
        <f>A1924+1</f>
        <v/>
      </c>
      <c r="K1925">
        <f>I1925+J1925</f>
        <v/>
      </c>
    </row>
    <row r="1926">
      <c r="A1926">
        <f>A1925+1</f>
        <v/>
      </c>
      <c r="K1926">
        <f>I1926+J1926</f>
        <v/>
      </c>
    </row>
    <row r="1927">
      <c r="A1927">
        <f>A1926+1</f>
        <v/>
      </c>
      <c r="K1927">
        <f>I1927+J1927</f>
        <v/>
      </c>
    </row>
    <row r="1928">
      <c r="A1928">
        <f>A1927+1</f>
        <v/>
      </c>
      <c r="K1928">
        <f>I1928+J1928</f>
        <v/>
      </c>
    </row>
    <row r="1929">
      <c r="A1929">
        <f>A1928+1</f>
        <v/>
      </c>
      <c r="K1929">
        <f>I1929+J1929</f>
        <v/>
      </c>
    </row>
    <row r="1930">
      <c r="A1930">
        <f>A1929+1</f>
        <v/>
      </c>
      <c r="K1930">
        <f>I1930+J1930</f>
        <v/>
      </c>
    </row>
    <row r="1931">
      <c r="A1931">
        <f>A1930+1</f>
        <v/>
      </c>
      <c r="K1931">
        <f>I1931+J1931</f>
        <v/>
      </c>
    </row>
    <row r="1932">
      <c r="A1932">
        <f>A1931+1</f>
        <v/>
      </c>
      <c r="K1932">
        <f>I1932+J1932</f>
        <v/>
      </c>
    </row>
    <row r="1933">
      <c r="A1933">
        <f>A1932+1</f>
        <v/>
      </c>
      <c r="K1933">
        <f>I1933+J1933</f>
        <v/>
      </c>
    </row>
    <row r="1934">
      <c r="A1934">
        <f>A1933+1</f>
        <v/>
      </c>
      <c r="K1934">
        <f>I1934+J1934</f>
        <v/>
      </c>
    </row>
    <row r="1935">
      <c r="A1935">
        <f>A1934+1</f>
        <v/>
      </c>
      <c r="K1935">
        <f>I1935+J1935</f>
        <v/>
      </c>
    </row>
    <row r="1936">
      <c r="A1936">
        <f>A1935+1</f>
        <v/>
      </c>
      <c r="K1936">
        <f>I1936+J1936</f>
        <v/>
      </c>
    </row>
    <row r="1937">
      <c r="A1937">
        <f>A1936+1</f>
        <v/>
      </c>
      <c r="K1937">
        <f>I1937+J1937</f>
        <v/>
      </c>
    </row>
    <row r="1938">
      <c r="A1938">
        <f>A1937+1</f>
        <v/>
      </c>
      <c r="K1938">
        <f>I1938+J1938</f>
        <v/>
      </c>
    </row>
    <row r="1939">
      <c r="A1939">
        <f>A1938+1</f>
        <v/>
      </c>
      <c r="K1939">
        <f>I1939+J1939</f>
        <v/>
      </c>
    </row>
    <row r="1940">
      <c r="A1940">
        <f>A1939+1</f>
        <v/>
      </c>
      <c r="K1940">
        <f>I1940+J1940</f>
        <v/>
      </c>
    </row>
    <row r="1941">
      <c r="A1941">
        <f>A1940+1</f>
        <v/>
      </c>
      <c r="K1941">
        <f>I1941+J1941</f>
        <v/>
      </c>
    </row>
    <row r="1942">
      <c r="A1942">
        <f>A1941+1</f>
        <v/>
      </c>
      <c r="K1942">
        <f>I1942+J1942</f>
        <v/>
      </c>
    </row>
    <row r="1943">
      <c r="A1943">
        <f>A1942+1</f>
        <v/>
      </c>
      <c r="K1943">
        <f>I1943+J1943</f>
        <v/>
      </c>
    </row>
    <row r="1944">
      <c r="A1944">
        <f>A1943+1</f>
        <v/>
      </c>
      <c r="K1944">
        <f>I1944+J1944</f>
        <v/>
      </c>
    </row>
    <row r="1945">
      <c r="A1945">
        <f>A1944+1</f>
        <v/>
      </c>
      <c r="K1945">
        <f>I1945+J1945</f>
        <v/>
      </c>
    </row>
    <row r="1946">
      <c r="A1946">
        <f>A1945+1</f>
        <v/>
      </c>
      <c r="K1946">
        <f>I1946+J1946</f>
        <v/>
      </c>
    </row>
    <row r="1947">
      <c r="A1947">
        <f>A1946+1</f>
        <v/>
      </c>
      <c r="K1947">
        <f>I1947+J1947</f>
        <v/>
      </c>
    </row>
    <row r="1948">
      <c r="A1948">
        <f>A1947+1</f>
        <v/>
      </c>
      <c r="K1948">
        <f>I1948+J1948</f>
        <v/>
      </c>
    </row>
    <row r="1949">
      <c r="A1949">
        <f>A1948+1</f>
        <v/>
      </c>
      <c r="K1949">
        <f>I1949+J1949</f>
        <v/>
      </c>
    </row>
    <row r="1950">
      <c r="A1950">
        <f>A1949+1</f>
        <v/>
      </c>
      <c r="K1950">
        <f>I1950+J1950</f>
        <v/>
      </c>
    </row>
    <row r="1951">
      <c r="A1951">
        <f>A1950+1</f>
        <v/>
      </c>
      <c r="K1951">
        <f>I1951+J1951</f>
        <v/>
      </c>
    </row>
    <row r="1952">
      <c r="A1952">
        <f>A1951+1</f>
        <v/>
      </c>
      <c r="K1952">
        <f>I1952+J1952</f>
        <v/>
      </c>
    </row>
    <row r="1953">
      <c r="A1953">
        <f>A1952+1</f>
        <v/>
      </c>
      <c r="K1953">
        <f>I1953+J1953</f>
        <v/>
      </c>
    </row>
    <row r="1954">
      <c r="A1954">
        <f>A1953+1</f>
        <v/>
      </c>
      <c r="K1954">
        <f>I1954+J1954</f>
        <v/>
      </c>
    </row>
    <row r="1955">
      <c r="A1955">
        <f>A1954+1</f>
        <v/>
      </c>
      <c r="K1955">
        <f>I1955+J1955</f>
        <v/>
      </c>
    </row>
    <row r="1956">
      <c r="A1956">
        <f>A1955+1</f>
        <v/>
      </c>
      <c r="K1956">
        <f>I1956+J1956</f>
        <v/>
      </c>
    </row>
    <row r="1957">
      <c r="A1957">
        <f>A1956+1</f>
        <v/>
      </c>
      <c r="K1957">
        <f>I1957+J1957</f>
        <v/>
      </c>
    </row>
    <row r="1958">
      <c r="A1958">
        <f>A1957+1</f>
        <v/>
      </c>
      <c r="K1958">
        <f>I1958+J1958</f>
        <v/>
      </c>
    </row>
    <row r="1959">
      <c r="A1959">
        <f>A1958+1</f>
        <v/>
      </c>
      <c r="K1959">
        <f>I1959+J1959</f>
        <v/>
      </c>
    </row>
    <row r="1960">
      <c r="A1960">
        <f>A1959+1</f>
        <v/>
      </c>
      <c r="K1960">
        <f>I1960+J1960</f>
        <v/>
      </c>
    </row>
    <row r="1961">
      <c r="A1961">
        <f>A1960+1</f>
        <v/>
      </c>
      <c r="K1961">
        <f>I1961+J1961</f>
        <v/>
      </c>
    </row>
    <row r="1962">
      <c r="A1962">
        <f>A1961+1</f>
        <v/>
      </c>
      <c r="K1962">
        <f>I1962+J1962</f>
        <v/>
      </c>
    </row>
    <row r="1963">
      <c r="A1963">
        <f>A1962+1</f>
        <v/>
      </c>
      <c r="K1963">
        <f>I1963+J1963</f>
        <v/>
      </c>
    </row>
    <row r="1964">
      <c r="A1964">
        <f>A1963+1</f>
        <v/>
      </c>
      <c r="K1964">
        <f>I1964+J1964</f>
        <v/>
      </c>
    </row>
    <row r="1965">
      <c r="A1965">
        <f>A1964+1</f>
        <v/>
      </c>
      <c r="K1965">
        <f>I1965+J1965</f>
        <v/>
      </c>
    </row>
    <row r="1966">
      <c r="A1966">
        <f>A1965+1</f>
        <v/>
      </c>
      <c r="K1966">
        <f>I1966+J1966</f>
        <v/>
      </c>
    </row>
    <row r="1967">
      <c r="A1967">
        <f>A1966+1</f>
        <v/>
      </c>
      <c r="K1967">
        <f>I1967+J1967</f>
        <v/>
      </c>
    </row>
    <row r="1968">
      <c r="A1968">
        <f>A1967+1</f>
        <v/>
      </c>
      <c r="K1968">
        <f>I1968+J1968</f>
        <v/>
      </c>
    </row>
    <row r="1969">
      <c r="A1969">
        <f>A1968+1</f>
        <v/>
      </c>
      <c r="K1969">
        <f>I1969+J1969</f>
        <v/>
      </c>
    </row>
    <row r="1970">
      <c r="A1970">
        <f>A1969+1</f>
        <v/>
      </c>
      <c r="K1970">
        <f>I1970+J1970</f>
        <v/>
      </c>
    </row>
    <row r="1971">
      <c r="A1971">
        <f>A1970+1</f>
        <v/>
      </c>
      <c r="K1971">
        <f>I1971+J1971</f>
        <v/>
      </c>
    </row>
    <row r="1972">
      <c r="A1972">
        <f>A1971+1</f>
        <v/>
      </c>
      <c r="K1972">
        <f>I1972+J1972</f>
        <v/>
      </c>
    </row>
    <row r="1973">
      <c r="A1973">
        <f>A1972+1</f>
        <v/>
      </c>
      <c r="K1973">
        <f>I1973+J1973</f>
        <v/>
      </c>
    </row>
    <row r="1974">
      <c r="A1974">
        <f>A1973+1</f>
        <v/>
      </c>
      <c r="K1974">
        <f>I1974+J1974</f>
        <v/>
      </c>
    </row>
    <row r="1975">
      <c r="A1975">
        <f>A1974+1</f>
        <v/>
      </c>
      <c r="K1975">
        <f>I1975+J1975</f>
        <v/>
      </c>
    </row>
    <row r="1976">
      <c r="A1976">
        <f>A1975+1</f>
        <v/>
      </c>
      <c r="K1976">
        <f>I1976+J1976</f>
        <v/>
      </c>
    </row>
    <row r="1977">
      <c r="A1977">
        <f>A1976+1</f>
        <v/>
      </c>
      <c r="K1977">
        <f>I1977+J1977</f>
        <v/>
      </c>
    </row>
    <row r="1978">
      <c r="A1978">
        <f>A1977+1</f>
        <v/>
      </c>
      <c r="K1978">
        <f>I1978+J1978</f>
        <v/>
      </c>
    </row>
    <row r="1979">
      <c r="A1979">
        <f>A1978+1</f>
        <v/>
      </c>
      <c r="K1979">
        <f>I1979+J1979</f>
        <v/>
      </c>
    </row>
    <row r="1980">
      <c r="A1980">
        <f>A1979+1</f>
        <v/>
      </c>
      <c r="K1980">
        <f>I1980+J1980</f>
        <v/>
      </c>
    </row>
    <row r="1981">
      <c r="A1981">
        <f>A1980+1</f>
        <v/>
      </c>
      <c r="K1981">
        <f>I1981+J1981</f>
        <v/>
      </c>
    </row>
    <row r="1982">
      <c r="A1982">
        <f>A1981+1</f>
        <v/>
      </c>
      <c r="K1982">
        <f>I1982+J1982</f>
        <v/>
      </c>
    </row>
    <row r="1983">
      <c r="A1983">
        <f>A1982+1</f>
        <v/>
      </c>
      <c r="K1983">
        <f>I1983+J1983</f>
        <v/>
      </c>
    </row>
    <row r="1984">
      <c r="A1984">
        <f>A1983+1</f>
        <v/>
      </c>
      <c r="K1984">
        <f>I1984+J1984</f>
        <v/>
      </c>
    </row>
    <row r="1985">
      <c r="A1985">
        <f>A1984+1</f>
        <v/>
      </c>
      <c r="K1985">
        <f>I1985+J1985</f>
        <v/>
      </c>
    </row>
    <row r="1986">
      <c r="A1986">
        <f>A1985+1</f>
        <v/>
      </c>
      <c r="K1986">
        <f>I1986+J1986</f>
        <v/>
      </c>
    </row>
    <row r="1987">
      <c r="A1987">
        <f>A1986+1</f>
        <v/>
      </c>
      <c r="K1987">
        <f>I1987+J1987</f>
        <v/>
      </c>
    </row>
    <row r="1988">
      <c r="A1988">
        <f>A1987+1</f>
        <v/>
      </c>
      <c r="K1988">
        <f>I1988+J1988</f>
        <v/>
      </c>
    </row>
    <row r="1989">
      <c r="A1989">
        <f>A1988+1</f>
        <v/>
      </c>
      <c r="K1989">
        <f>I1989+J1989</f>
        <v/>
      </c>
    </row>
    <row r="1990">
      <c r="A1990">
        <f>A1989+1</f>
        <v/>
      </c>
      <c r="K1990">
        <f>I1990+J1990</f>
        <v/>
      </c>
    </row>
    <row r="1991">
      <c r="A1991">
        <f>A1990+1</f>
        <v/>
      </c>
      <c r="K1991">
        <f>I1991+J1991</f>
        <v/>
      </c>
    </row>
    <row r="1992">
      <c r="A1992">
        <f>A1991+1</f>
        <v/>
      </c>
      <c r="K1992">
        <f>I1992+J1992</f>
        <v/>
      </c>
    </row>
    <row r="1993">
      <c r="A1993">
        <f>A1992+1</f>
        <v/>
      </c>
      <c r="K1993">
        <f>I1993+J1993</f>
        <v/>
      </c>
    </row>
    <row r="1994">
      <c r="A1994">
        <f>A1993+1</f>
        <v/>
      </c>
      <c r="K1994">
        <f>I1994+J1994</f>
        <v/>
      </c>
    </row>
    <row r="1995">
      <c r="A1995">
        <f>A1994+1</f>
        <v/>
      </c>
      <c r="K1995">
        <f>I1995+J1995</f>
        <v/>
      </c>
    </row>
    <row r="1996">
      <c r="A1996">
        <f>A1995+1</f>
        <v/>
      </c>
      <c r="K1996">
        <f>I1996+J1996</f>
        <v/>
      </c>
    </row>
    <row r="1997">
      <c r="A1997">
        <f>A1996+1</f>
        <v/>
      </c>
      <c r="K1997">
        <f>I1997+J1997</f>
        <v/>
      </c>
    </row>
    <row r="1998">
      <c r="A1998">
        <f>A1997+1</f>
        <v/>
      </c>
      <c r="K1998">
        <f>I1998+J1998</f>
        <v/>
      </c>
    </row>
    <row r="1999">
      <c r="A1999">
        <f>A1998+1</f>
        <v/>
      </c>
      <c r="K1999">
        <f>I1999+J1999</f>
        <v/>
      </c>
    </row>
    <row r="2000">
      <c r="A2000">
        <f>A1999+1</f>
        <v/>
      </c>
      <c r="K2000">
        <f>I2000+J2000</f>
        <v/>
      </c>
    </row>
    <row r="2001">
      <c r="A2001">
        <f>A2000+1</f>
        <v/>
      </c>
      <c r="K2001">
        <f>I2001+J2001</f>
        <v/>
      </c>
    </row>
    <row r="2002">
      <c r="A2002">
        <f>A2001+1</f>
        <v/>
      </c>
      <c r="K2002">
        <f>I2002+J2002</f>
        <v/>
      </c>
    </row>
  </sheetData>
  <mergeCells count="4">
    <mergeCell ref="Q1:S1"/>
    <mergeCell ref="I1:K1"/>
    <mergeCell ref="L1:P1"/>
    <mergeCell ref="T1:W1"/>
  </mergeCells>
  <conditionalFormatting sqref="C1:C1048576">
    <cfRule type="containsText" priority="2" operator="containsText" dxfId="18" text="Type 1">
      <formula>NOT(ISERROR(SEARCH("Type 1",C1)))</formula>
    </cfRule>
  </conditionalFormatting>
  <conditionalFormatting sqref="C3:C150">
    <cfRule type="containsText" priority="3" operator="containsText" dxfId="17" text="Type 3">
      <formula>NOT(ISERROR(SEARCH("Type 3",C3)))</formula>
    </cfRule>
    <cfRule type="containsText" priority="5" operator="containsText" dxfId="16" text="Type 2">
      <formula>NOT(ISERROR(SEARCH("Type 2",C3)))</formula>
    </cfRule>
    <cfRule type="containsText" priority="6" operator="containsText" dxfId="15" text="Type 3">
      <formula>NOT(ISERROR(SEARCH("Type 3",C3)))</formula>
    </cfRule>
  </conditionalFormatting>
  <conditionalFormatting sqref="D3:D150">
    <cfRule type="containsText" priority="1" operator="containsText" dxfId="14" text="vacant">
      <formula>NOT(ISERROR(SEARCH("vacant",D3)))</formula>
    </cfRule>
  </conditionalFormatting>
  <dataValidations count="3">
    <dataValidation sqref="C3:C1002" showDropDown="0" showInputMessage="0" showErrorMessage="0" allowBlank="0" type="list">
      <formula1>"TOH,POH,LTO,Flourish"</formula1>
    </dataValidation>
    <dataValidation sqref="E3:E1002" showDropDown="0" showInputMessage="0" showErrorMessage="0" allowBlank="0" type="list">
      <formula1>"Occupied,Vacant"</formula1>
    </dataValidation>
    <dataValidation sqref="S3:S1002" showDropDown="0" showInputMessage="0" showErrorMessage="0" allowBlank="0" type="list">
      <formula1>"NNN,Gross"</formula1>
    </dataValidation>
  </dataValidations>
  <pageMargins left="0.7" right="0.7" top="0.75" bottom="0.75" header="0.3" footer="0.3"/>
</worksheet>
</file>

<file path=xl/worksheets/sheet4.xml><?xml version="1.0" encoding="utf-8"?>
<worksheet xmlns="http://schemas.openxmlformats.org/spreadsheetml/2006/main">
  <sheetPr>
    <tabColor theme="4"/>
    <outlinePr summaryBelow="1" summaryRight="1"/>
    <pageSetUpPr/>
  </sheetPr>
  <dimension ref="A1:DH40"/>
  <sheetViews>
    <sheetView workbookViewId="0">
      <selection activeCell="A1" sqref="A1"/>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97" t="inlineStr">
        <is>
          <t xml:space="preserve">GARY GROUP CAPITAL </t>
        </is>
      </c>
      <c r="B1" s="852" t="n"/>
      <c r="C1" s="861" t="n"/>
      <c r="D1" s="861" t="n"/>
      <c r="E1" s="861" t="n"/>
      <c r="F1" s="861" t="n"/>
      <c r="G1" s="861" t="n"/>
      <c r="H1" s="861" t="n"/>
      <c r="I1" s="861" t="n"/>
      <c r="J1" s="861" t="n"/>
      <c r="K1" s="861" t="n"/>
      <c r="L1" s="861" t="n"/>
      <c r="M1" s="861" t="n"/>
      <c r="N1" s="861" t="n"/>
      <c r="O1" s="861" t="n"/>
      <c r="P1" s="861" t="n"/>
      <c r="Q1" s="852" t="n"/>
      <c r="R1" s="852" t="n"/>
      <c r="S1" s="852" t="n"/>
      <c r="T1" s="852" t="n"/>
      <c r="U1" s="852" t="n"/>
      <c r="V1" s="852" t="n"/>
      <c r="W1" s="852" t="n"/>
      <c r="X1" s="852" t="n"/>
      <c r="Y1" s="852" t="n"/>
      <c r="Z1" s="852" t="n"/>
      <c r="AA1" s="852" t="n"/>
      <c r="AB1" s="852" t="n"/>
      <c r="AC1" s="852" t="n"/>
      <c r="AD1" s="852" t="n"/>
      <c r="AE1" s="852" t="n"/>
      <c r="AF1" s="852" t="n"/>
      <c r="AG1" s="852" t="n"/>
      <c r="AH1" s="852" t="n"/>
      <c r="AI1" s="852" t="n"/>
      <c r="AJ1" s="852" t="n"/>
      <c r="AK1" s="852" t="n"/>
      <c r="AL1" s="852" t="n"/>
      <c r="AM1" s="852" t="n"/>
      <c r="AN1" s="852" t="n"/>
      <c r="AO1" s="852" t="n"/>
      <c r="AP1" s="852" t="n"/>
      <c r="AQ1" s="852" t="n"/>
      <c r="AR1" s="852" t="n"/>
      <c r="AS1" s="852" t="n"/>
      <c r="AT1" s="852" t="n"/>
      <c r="AU1" s="852" t="n"/>
      <c r="AV1" s="852" t="n"/>
      <c r="AW1" s="852" t="n"/>
      <c r="AX1" s="852" t="n"/>
      <c r="AY1" s="852" t="n"/>
      <c r="AZ1" s="852" t="n"/>
      <c r="BA1" s="852" t="n"/>
      <c r="BB1" s="852" t="n"/>
      <c r="BC1" s="852" t="n"/>
      <c r="BD1" s="852" t="n"/>
      <c r="BE1" s="852" t="n"/>
      <c r="BF1" s="852" t="n"/>
      <c r="BG1" s="852" t="n"/>
      <c r="BH1" s="852" t="n"/>
      <c r="BI1" s="852" t="n"/>
      <c r="BJ1" s="852" t="n"/>
      <c r="BK1" s="852" t="n"/>
      <c r="BL1" s="852" t="n"/>
      <c r="BM1" s="852" t="n"/>
      <c r="BN1" s="852" t="n"/>
      <c r="BO1" s="852" t="n"/>
      <c r="BP1" s="852" t="n"/>
      <c r="BQ1" s="852" t="n"/>
      <c r="BR1" s="852" t="n"/>
      <c r="BS1" s="852" t="n"/>
      <c r="BT1" s="852" t="n"/>
      <c r="BU1" s="852" t="n"/>
      <c r="BV1" s="852" t="n"/>
      <c r="BW1" s="852" t="n"/>
      <c r="BX1" s="852" t="n"/>
      <c r="BY1" s="852" t="n"/>
      <c r="BZ1" s="852" t="n"/>
      <c r="CA1" s="852" t="n"/>
      <c r="CB1" s="852" t="n"/>
      <c r="CC1" s="852" t="n"/>
      <c r="CD1" s="852" t="n"/>
      <c r="CE1" s="852" t="n"/>
      <c r="CF1" s="852" t="n"/>
      <c r="CG1" s="852" t="n"/>
      <c r="CH1" s="852" t="n"/>
      <c r="CI1" s="852" t="n"/>
      <c r="CJ1" s="852" t="n"/>
      <c r="CK1" s="852" t="n"/>
      <c r="CL1" s="852" t="n"/>
      <c r="CM1" s="852" t="n"/>
      <c r="CN1" s="852" t="n"/>
      <c r="CO1" s="852" t="n"/>
      <c r="CP1" s="852" t="n"/>
      <c r="CQ1" s="852" t="n"/>
      <c r="CR1" s="852" t="n"/>
      <c r="CS1" s="852" t="n"/>
      <c r="CT1" s="852" t="n"/>
      <c r="CU1" s="852" t="n"/>
      <c r="CV1" s="852" t="n"/>
      <c r="CW1" s="852" t="n"/>
      <c r="CX1" s="852" t="n"/>
      <c r="CY1" s="852" t="n"/>
      <c r="CZ1" s="852" t="n"/>
      <c r="DA1" s="852" t="n"/>
      <c r="DB1" s="852" t="n"/>
      <c r="DC1" s="852" t="n"/>
      <c r="DD1" s="852" t="n"/>
      <c r="DE1" s="852" t="n"/>
      <c r="DF1" s="852" t="n"/>
      <c r="DG1" s="852" t="n"/>
      <c r="DH1" s="852" t="n"/>
    </row>
    <row r="3" ht="15.75" customHeight="1"/>
    <row r="4">
      <c r="B4" s="150" t="inlineStr">
        <is>
          <t>Month</t>
        </is>
      </c>
      <c r="C4" s="254" t="inlineStr">
        <is>
          <t>GPR</t>
        </is>
      </c>
      <c r="D4" s="254" t="inlineStr">
        <is>
          <t>Vacant</t>
        </is>
      </c>
      <c r="E4" s="254" t="inlineStr">
        <is>
          <t>Concessions</t>
        </is>
      </c>
      <c r="F4" s="254" t="inlineStr">
        <is>
          <t>Bad Debt</t>
        </is>
      </c>
      <c r="G4" s="255" t="inlineStr">
        <is>
          <t>Net Rental Income</t>
        </is>
      </c>
      <c r="H4" s="254" t="inlineStr">
        <is>
          <t>RUBS</t>
        </is>
      </c>
      <c r="I4" s="254" t="inlineStr">
        <is>
          <t>HR Income</t>
        </is>
      </c>
      <c r="J4" s="254" t="inlineStr">
        <is>
          <t>RV Income</t>
        </is>
      </c>
      <c r="K4" s="254" t="inlineStr">
        <is>
          <t>Parking</t>
        </is>
      </c>
      <c r="L4" s="254" t="inlineStr">
        <is>
          <t>Laundry</t>
        </is>
      </c>
      <c r="M4" s="254" t="inlineStr">
        <is>
          <t>Other Income</t>
        </is>
      </c>
      <c r="N4" s="256" t="inlineStr">
        <is>
          <t>EGI</t>
        </is>
      </c>
    </row>
    <row r="5">
      <c r="B5" s="243">
        <f>'Data Consolidation'!J2</f>
        <v/>
      </c>
      <c r="C5" s="244">
        <f>SUMIFS('Data Consolidation'!J3:J36,'Data Consolidation'!$A$3:$A$36,"Gross Potential Rent")</f>
        <v/>
      </c>
      <c r="D5" s="248">
        <f>SUMIFS('Data Consolidation'!$J$3:$J$36,'Data Consolidation'!$A$3:$A$36,"Vacancy")</f>
        <v/>
      </c>
      <c r="E5" s="248">
        <f>SUMIFS('Data Consolidation'!$J$3:$J$36,'Data Consolidation'!$A$3:$A$36,"Concessions")</f>
        <v/>
      </c>
      <c r="F5" s="248">
        <f>SUMIFS('Data Consolidation'!$J$3:$J$36,'Data Consolidation'!$A$3:$A$36,"bad debt")</f>
        <v/>
      </c>
      <c r="G5" s="252">
        <f>SUM(C5:F5)</f>
        <v/>
      </c>
      <c r="H5" s="248">
        <f>SUMIFS('Data Consolidation'!$J$3:$J$36,'Data Consolidation'!$A$3:$A$36,"Utility Reimbursement")</f>
        <v/>
      </c>
      <c r="I5" s="248">
        <f>SUMIFS('Data Consolidation'!$J$3:$J$36,'Data Consolidation'!$A$3:$A$36,"Home Rent Income")</f>
        <v/>
      </c>
      <c r="J5" s="248">
        <f>SUMIFS('Data Consolidation'!$J$3:$J$36,'Data Consolidation'!$A$3:$A$36,"RV site rental income")</f>
        <v/>
      </c>
      <c r="K5" s="248">
        <f>SUMIFS('Data Consolidation'!$J$3:$J$36,'Data Consolidation'!$A$3:$A$36,"Parking Income")</f>
        <v/>
      </c>
      <c r="L5" s="248">
        <f>SUMIFS('Data Consolidation'!$J$3:$J$36,'Data Consolidation'!$A$3:$A$36,"Laundry Income")</f>
        <v/>
      </c>
      <c r="M5" s="248">
        <f>SUMIFS('Data Consolidation'!$J$3:$J$36,'Data Consolidation'!$A$3:$A$36,"Other Income")</f>
        <v/>
      </c>
      <c r="N5" s="253">
        <f>G5+H5+I5+J5+K5+L5+M5</f>
        <v/>
      </c>
    </row>
    <row r="6">
      <c r="B6" s="243">
        <f>'Data Consolidation'!K2</f>
        <v/>
      </c>
      <c r="C6" s="244">
        <f>SUMIFS('Data Consolidation'!K$3:K$36,'Data Consolidation'!$A$3:$A$36,"Gross Potential Rent")</f>
        <v/>
      </c>
      <c r="D6" s="248">
        <f>SUMIFS('Data Consolidation'!$K$3:$K$36,'Data Consolidation'!$A$3:$A$36,"Vacancy")</f>
        <v/>
      </c>
      <c r="E6" s="248">
        <f>SUMIFS('Data Consolidation'!$K$3:$K$36,'Data Consolidation'!$A$3:$A$36,"Concessions")</f>
        <v/>
      </c>
      <c r="F6" s="248">
        <f>SUMIFS('Data Consolidation'!$K$3:$K$36,'Data Consolidation'!$A$3:$A$36,"bad debt")</f>
        <v/>
      </c>
      <c r="G6" s="252">
        <f>SUM(C6:F6)</f>
        <v/>
      </c>
      <c r="H6" s="248">
        <f>SUMIFS('Data Consolidation'!$K$3:$K$36,'Data Consolidation'!$A$3:$A$36,"Utility Reimbursement")</f>
        <v/>
      </c>
      <c r="I6" s="248">
        <f>SUMIFS('Data Consolidation'!$K$3:$K$36,'Data Consolidation'!$A$3:$A$36,"Home Rent Income")</f>
        <v/>
      </c>
      <c r="J6" s="248">
        <f>SUMIFS('Data Consolidation'!$K$3:$K$36,'Data Consolidation'!$A$3:$A$36,"RV site rental income")</f>
        <v/>
      </c>
      <c r="K6" s="248">
        <f>SUMIFS('Data Consolidation'!$K$3:$K$36,'Data Consolidation'!$A$3:$A$36,"Parking Income")</f>
        <v/>
      </c>
      <c r="L6" s="248">
        <f>SUMIFS('Data Consolidation'!$K$3:$K$36,'Data Consolidation'!$A$3:$A$36,"Laundry Income")</f>
        <v/>
      </c>
      <c r="M6" s="248">
        <f>SUMIFS('Data Consolidation'!$K$3:$K$36,'Data Consolidation'!$A$3:$A$36,"Other Income")</f>
        <v/>
      </c>
      <c r="N6" s="253">
        <f>G6+H6+I6+J6+K6+L6+M6</f>
        <v/>
      </c>
    </row>
    <row r="7">
      <c r="B7" s="243">
        <f>'Data Consolidation'!L2</f>
        <v/>
      </c>
      <c r="C7" s="244">
        <f>SUMIFS('Data Consolidation'!L$3:L$36,'Data Consolidation'!$A$3:$A$36,"Gross Potential Rent")</f>
        <v/>
      </c>
      <c r="D7" s="244">
        <f>SUMIFS('Data Consolidation'!$L$3:$L$36,'Data Consolidation'!$A$3:$A$36,"Vacancy")</f>
        <v/>
      </c>
      <c r="E7" s="244">
        <f>SUMIFS('Data Consolidation'!$L$3:$L$36,'Data Consolidation'!$A$3:$A$36,"Concessions")</f>
        <v/>
      </c>
      <c r="F7" s="244">
        <f>SUMIFS('Data Consolidation'!$L$3:$L$36,'Data Consolidation'!$A$3:$A$36,"bad debt")</f>
        <v/>
      </c>
      <c r="G7" s="252">
        <f>SUM(C7:F7)</f>
        <v/>
      </c>
      <c r="H7" s="244">
        <f>SUMIFS('Data Consolidation'!$L$3:$L$36,'Data Consolidation'!$A$3:$A$36,"Utility Reimbursement")</f>
        <v/>
      </c>
      <c r="I7" s="244">
        <f>SUMIFS('Data Consolidation'!$L$3:$L$36,'Data Consolidation'!$A$3:$A$36,"Home Rent Income")</f>
        <v/>
      </c>
      <c r="J7" s="244">
        <f>SUMIFS('Data Consolidation'!$L$3:$L$36,'Data Consolidation'!$A$3:$A$36,"RV site rental income")</f>
        <v/>
      </c>
      <c r="K7" s="244">
        <f>SUMIFS('Data Consolidation'!$L$3:$L$36,'Data Consolidation'!$A$3:$A$36,"Parking Income")</f>
        <v/>
      </c>
      <c r="L7" s="244">
        <f>SUMIFS('Data Consolidation'!$L$3:$L$36,'Data Consolidation'!$A$3:$A$36,"Laundry Income")</f>
        <v/>
      </c>
      <c r="M7" s="244">
        <f>SUMIFS('Data Consolidation'!$L$3:$L$36,'Data Consolidation'!$A$3:$A$36,"Other Income")</f>
        <v/>
      </c>
      <c r="N7" s="253">
        <f>G7+H7+I7+J7+K7+L7+M7</f>
        <v/>
      </c>
    </row>
    <row r="8">
      <c r="B8" s="243">
        <f>'Data Consolidation'!M2</f>
        <v/>
      </c>
      <c r="C8" s="244">
        <f>SUMIFS('Data Consolidation'!M$3:M$36,'Data Consolidation'!$A$3:$A$36,"Gross Potential Rent")</f>
        <v/>
      </c>
      <c r="D8" s="244">
        <f>SUMIFS('Data Consolidation'!$M$3:$M$36,'Data Consolidation'!$A$3:$A$36,"Vacancy")</f>
        <v/>
      </c>
      <c r="E8" s="244">
        <f>SUMIFS('Data Consolidation'!$M$3:$M$36,'Data Consolidation'!$A$3:$A$36,"Concessions")</f>
        <v/>
      </c>
      <c r="F8" s="244">
        <f>SUMIFS('Data Consolidation'!$M$3:$M$36,'Data Consolidation'!$A$3:$A$36,"bad debt")</f>
        <v/>
      </c>
      <c r="G8" s="252">
        <f>SUM(C8:F8)</f>
        <v/>
      </c>
      <c r="H8" s="244">
        <f>SUMIFS('Data Consolidation'!$M$3:$M$36,'Data Consolidation'!$A$3:$A$36,"Utility Reimbursement")</f>
        <v/>
      </c>
      <c r="I8" s="244">
        <f>SUMIFS('Data Consolidation'!$M$3:$M$36,'Data Consolidation'!$A$3:$A$36,"Home Rent Income")</f>
        <v/>
      </c>
      <c r="J8" s="244">
        <f>SUMIFS('Data Consolidation'!$M$3:$M$36,'Data Consolidation'!$A$3:$A$36,"RV site rental income")</f>
        <v/>
      </c>
      <c r="K8" s="244">
        <f>SUMIFS('Data Consolidation'!$M$3:$M$36,'Data Consolidation'!$A$3:$A$36,"Parking Income")</f>
        <v/>
      </c>
      <c r="L8" s="244">
        <f>SUMIFS('Data Consolidation'!$M$3:$M$36,'Data Consolidation'!$A$3:$A$36,"Laundry Income")</f>
        <v/>
      </c>
      <c r="M8" s="244">
        <f>SUMIFS('Data Consolidation'!$M$3:$M$36,'Data Consolidation'!$A$3:$A$36,"Other Income")</f>
        <v/>
      </c>
      <c r="N8" s="253">
        <f>G8+H8+I8+J8+K8+L8+M8</f>
        <v/>
      </c>
    </row>
    <row r="9">
      <c r="B9" s="243">
        <f>'Data Consolidation'!N2</f>
        <v/>
      </c>
      <c r="C9" s="244">
        <f>SUMIFS('Data Consolidation'!N$3:N$36,'Data Consolidation'!$A$3:$A$36,"Gross Potential Rent")</f>
        <v/>
      </c>
      <c r="D9" s="244">
        <f>SUMIFS('Data Consolidation'!$N$3:$N$36,'Data Consolidation'!$A$3:$A$36,"Vacancy")</f>
        <v/>
      </c>
      <c r="E9" s="244">
        <f>SUMIFS('Data Consolidation'!$N$3:$N$36,'Data Consolidation'!$A$3:$A$36,"Concessions")</f>
        <v/>
      </c>
      <c r="F9" s="244">
        <f>SUMIFS('Data Consolidation'!$N$3:$N$36,'Data Consolidation'!$A$3:$A$36,"bad debt")</f>
        <v/>
      </c>
      <c r="G9" s="252">
        <f>SUM(C9:F9)</f>
        <v/>
      </c>
      <c r="H9" s="244">
        <f>SUMIFS('Data Consolidation'!$N$3:$N$36,'Data Consolidation'!$A$3:$A$36,"Utility Reimbursement")</f>
        <v/>
      </c>
      <c r="I9" s="244">
        <f>SUMIFS('Data Consolidation'!$N$3:$N$36,'Data Consolidation'!$A$3:$A$36,"Home Rent Income")</f>
        <v/>
      </c>
      <c r="J9" s="244">
        <f>SUMIFS('Data Consolidation'!$N$3:$N$36,'Data Consolidation'!$A$3:$A$36,"RV site rental income")</f>
        <v/>
      </c>
      <c r="K9" s="244">
        <f>SUMIFS('Data Consolidation'!$N$3:$N$36,'Data Consolidation'!$A$3:$A$36,"Parking Income")</f>
        <v/>
      </c>
      <c r="L9" s="244">
        <f>SUMIFS('Data Consolidation'!$N$3:$N$36,'Data Consolidation'!$A$3:$A$36,"Laundry Income")</f>
        <v/>
      </c>
      <c r="M9" s="244">
        <f>SUMIFS('Data Consolidation'!$N$3:$N$36,'Data Consolidation'!$A$3:$A$36,"Other Income")</f>
        <v/>
      </c>
      <c r="N9" s="253">
        <f>G9+H9+I9+J9+K9+L9+M9</f>
        <v/>
      </c>
    </row>
    <row r="10">
      <c r="B10" s="243">
        <f>'Data Consolidation'!O2</f>
        <v/>
      </c>
      <c r="C10" s="244">
        <f>SUMIFS('Data Consolidation'!O$3:O$36,'Data Consolidation'!$A$3:$A$36,"Gross Potential Rent")</f>
        <v/>
      </c>
      <c r="D10" s="244">
        <f>SUMIFS('Data Consolidation'!$O$3:$O$36,'Data Consolidation'!$A$3:$A$36,"Vacancy")</f>
        <v/>
      </c>
      <c r="E10" s="244">
        <f>SUMIFS('Data Consolidation'!$O$3:$O$36,'Data Consolidation'!$A$3:$A$36,"Concessions")</f>
        <v/>
      </c>
      <c r="F10" s="244">
        <f>SUMIFS('Data Consolidation'!$O$3:$O$36,'Data Consolidation'!$A$3:$A$36,"bad debt")</f>
        <v/>
      </c>
      <c r="G10" s="252">
        <f>SUM(C10:F10)</f>
        <v/>
      </c>
      <c r="H10" s="244">
        <f>SUMIFS('Data Consolidation'!$O$3:$O$36,'Data Consolidation'!$A$3:$A$36,"Utility Reimbursement")</f>
        <v/>
      </c>
      <c r="I10" s="244">
        <f>SUMIFS('Data Consolidation'!$O$3:$O$36,'Data Consolidation'!$A$3:$A$36,"Home Rent Income")</f>
        <v/>
      </c>
      <c r="J10" s="244">
        <f>SUMIFS('Data Consolidation'!$O$3:$O$36,'Data Consolidation'!$A$3:$A$36,"RV site rental income")</f>
        <v/>
      </c>
      <c r="K10" s="244">
        <f>SUMIFS('Data Consolidation'!$O$3:$O$36,'Data Consolidation'!$A$3:$A$36,"Parking Income")</f>
        <v/>
      </c>
      <c r="L10" s="244">
        <f>SUMIFS('Data Consolidation'!$O$3:$O$36,'Data Consolidation'!$A$3:$A$36,"Laundry Income")</f>
        <v/>
      </c>
      <c r="M10" s="244">
        <f>SUMIFS('Data Consolidation'!$O$3:$O$36,'Data Consolidation'!$A$3:$A$36,"Other Income")</f>
        <v/>
      </c>
      <c r="N10" s="253">
        <f>G10+H10+I10+J10+K10+L10+M10</f>
        <v/>
      </c>
    </row>
    <row r="11">
      <c r="B11" s="243">
        <f>'Data Consolidation'!P2</f>
        <v/>
      </c>
      <c r="C11" s="244">
        <f>SUMIFS('Data Consolidation'!P$3:P$36,'Data Consolidation'!$A$3:$A$36,"Gross Potential Rent")</f>
        <v/>
      </c>
      <c r="D11" s="244">
        <f>SUMIFS('Data Consolidation'!$P$3:$P$36,'Data Consolidation'!$A$3:$A$36,"Vacancy")</f>
        <v/>
      </c>
      <c r="E11" s="244">
        <f>SUMIFS('Data Consolidation'!$P$3:$P$36,'Data Consolidation'!$A$3:$A$36,"Concessions")</f>
        <v/>
      </c>
      <c r="F11" s="244">
        <f>SUMIFS('Data Consolidation'!$P$3:$P$36,'Data Consolidation'!$A$3:$A$36,"bad debt")</f>
        <v/>
      </c>
      <c r="G11" s="252">
        <f>SUM(C11:F11)</f>
        <v/>
      </c>
      <c r="H11" s="244">
        <f>SUMIFS('Data Consolidation'!$P$3:$P$36,'Data Consolidation'!$A$3:$A$36,"Utility Reimbursement")</f>
        <v/>
      </c>
      <c r="I11" s="244">
        <f>SUMIFS('Data Consolidation'!$P$3:$P$36,'Data Consolidation'!$A$3:$A$36,"Home Rent Income")</f>
        <v/>
      </c>
      <c r="J11" s="244">
        <f>SUMIFS('Data Consolidation'!$P$3:$P$36,'Data Consolidation'!$A$3:$A$36,"RV site rental income")</f>
        <v/>
      </c>
      <c r="K11" s="244">
        <f>SUMIFS('Data Consolidation'!$P$3:$P$36,'Data Consolidation'!$A$3:$A$36,"Parking Income")</f>
        <v/>
      </c>
      <c r="L11" s="244">
        <f>SUMIFS('Data Consolidation'!$P$3:$P$36,'Data Consolidation'!$A$3:$A$36,"Laundry Income")</f>
        <v/>
      </c>
      <c r="M11" s="244">
        <f>SUMIFS('Data Consolidation'!$P$3:$P$36,'Data Consolidation'!$A$3:$A$36,"Other Income")</f>
        <v/>
      </c>
      <c r="N11" s="253">
        <f>G11+H11+I11+J11+K11+L11+M11</f>
        <v/>
      </c>
    </row>
    <row r="12">
      <c r="B12" s="243">
        <f>'Data Consolidation'!Q2</f>
        <v/>
      </c>
      <c r="C12" s="244">
        <f>SUMIFS('Data Consolidation'!Q$3:Q$36,'Data Consolidation'!$A$3:$A$36,"Gross Potential Rent")</f>
        <v/>
      </c>
      <c r="D12" s="244">
        <f>SUMIFS('Data Consolidation'!$Q$3:$Q$36,'Data Consolidation'!$A$3:$A$36,"Vacancy")</f>
        <v/>
      </c>
      <c r="E12" s="244">
        <f>SUMIFS('Data Consolidation'!$Q$3:$Q$36,'Data Consolidation'!$A$3:$A$36,"Concessions")</f>
        <v/>
      </c>
      <c r="F12" s="244">
        <f>SUMIFS('Data Consolidation'!$Q$3:$Q$36,'Data Consolidation'!$A$3:$A$36,"bad debt")</f>
        <v/>
      </c>
      <c r="G12" s="252">
        <f>SUM(C12:F12)</f>
        <v/>
      </c>
      <c r="H12" s="244">
        <f>SUMIFS('Data Consolidation'!$Q$3:$Q$36,'Data Consolidation'!$A$3:$A$36,"Utility Reimbursement")</f>
        <v/>
      </c>
      <c r="I12" s="244">
        <f>SUMIFS('Data Consolidation'!$Q$3:$Q$36,'Data Consolidation'!$A$3:$A$36,"Home Rent Income")</f>
        <v/>
      </c>
      <c r="J12" s="244">
        <f>SUMIFS('Data Consolidation'!$Q$3:$Q$36,'Data Consolidation'!$A$3:$A$36,"RV site rental income")</f>
        <v/>
      </c>
      <c r="K12" s="244">
        <f>SUMIFS('Data Consolidation'!$Q$3:$Q$36,'Data Consolidation'!$A$3:$A$36,"Parking Income")</f>
        <v/>
      </c>
      <c r="L12" s="244">
        <f>SUMIFS('Data Consolidation'!$Q$3:$Q$36,'Data Consolidation'!$A$3:$A$36,"Laundry Income")</f>
        <v/>
      </c>
      <c r="M12" s="244">
        <f>SUMIFS('Data Consolidation'!$Q$3:$Q$36,'Data Consolidation'!$A$3:$A$36,"Other Income")</f>
        <v/>
      </c>
      <c r="N12" s="253">
        <f>G12+H12+I12+J12+K12+L12+M12</f>
        <v/>
      </c>
    </row>
    <row r="13">
      <c r="B13" s="243">
        <f>'Data Consolidation'!R2</f>
        <v/>
      </c>
      <c r="C13" s="244">
        <f>SUMIFS('Data Consolidation'!R$3:R$36,'Data Consolidation'!$A$3:$A$36,"Gross Potential Rent")</f>
        <v/>
      </c>
      <c r="D13" s="244">
        <f>SUMIFS('Data Consolidation'!$R$3:$R$36,'Data Consolidation'!$A$3:$A$36,"Vacancy")</f>
        <v/>
      </c>
      <c r="E13" s="244">
        <f>SUMIFS('Data Consolidation'!$R$3:$R$36,'Data Consolidation'!$A$3:$A$36,"Concessions")</f>
        <v/>
      </c>
      <c r="F13" s="244">
        <f>SUMIFS('Data Consolidation'!$R$3:$R$36,'Data Consolidation'!$A$3:$A$36,"bad debt")</f>
        <v/>
      </c>
      <c r="G13" s="252">
        <f>SUM(C13:F13)</f>
        <v/>
      </c>
      <c r="H13" s="244">
        <f>SUMIFS('Data Consolidation'!$R$3:$R$36,'Data Consolidation'!$A$3:$A$36,"Utility Reimbursement")</f>
        <v/>
      </c>
      <c r="I13" s="244">
        <f>SUMIFS('Data Consolidation'!$R$3:$R$36,'Data Consolidation'!$A$3:$A$36,"Home Rent Income")</f>
        <v/>
      </c>
      <c r="J13" s="244">
        <f>SUMIFS('Data Consolidation'!$R$3:$R$36,'Data Consolidation'!$A$3:$A$36,"RV site rental income")</f>
        <v/>
      </c>
      <c r="K13" s="244">
        <f>SUMIFS('Data Consolidation'!$R$3:$R$36,'Data Consolidation'!$A$3:$A$36,"Parking Income")</f>
        <v/>
      </c>
      <c r="L13" s="244">
        <f>SUMIFS('Data Consolidation'!$R$3:$R$36,'Data Consolidation'!$A$3:$A$36,"Laundry Income")</f>
        <v/>
      </c>
      <c r="M13" s="244">
        <f>SUMIFS('Data Consolidation'!$R$3:$R$36,'Data Consolidation'!$A$3:$A$36,"Other Income")</f>
        <v/>
      </c>
      <c r="N13" s="253">
        <f>G13+H13+I13+J13+K13+L13+M13</f>
        <v/>
      </c>
    </row>
    <row r="14">
      <c r="B14" s="243">
        <f>'Data Consolidation'!S2</f>
        <v/>
      </c>
      <c r="C14" s="244">
        <f>SUMIFS('Data Consolidation'!S$3:S$36,'Data Consolidation'!$A$3:$A$36,"Gross Potential Rent")</f>
        <v/>
      </c>
      <c r="D14" s="244">
        <f>SUMIFS('Data Consolidation'!$S$3:$S$36,'Data Consolidation'!$A$3:$A$36,"Vacancy")</f>
        <v/>
      </c>
      <c r="E14" s="244">
        <f>SUMIFS('Data Consolidation'!$S$3:$S$36,'Data Consolidation'!$A$3:$A$36,"Concessions")</f>
        <v/>
      </c>
      <c r="F14" s="244">
        <f>SUMIFS('Data Consolidation'!$S$3:$S$36,'Data Consolidation'!$A$3:$A$36,"bad debt")</f>
        <v/>
      </c>
      <c r="G14" s="252">
        <f>SUM(C14:F14)</f>
        <v/>
      </c>
      <c r="H14" s="244">
        <f>SUMIFS('Data Consolidation'!$S$3:$S$36,'Data Consolidation'!$A$3:$A$36,"Utility Reimbursement")</f>
        <v/>
      </c>
      <c r="I14" s="244">
        <f>SUMIFS('Data Consolidation'!$S$3:$S$36,'Data Consolidation'!$A$3:$A$36,"Home Rent Income")</f>
        <v/>
      </c>
      <c r="J14" s="244">
        <f>SUMIFS('Data Consolidation'!$S$3:$S$36,'Data Consolidation'!$A$3:$A$36,"RV site rental income")</f>
        <v/>
      </c>
      <c r="K14" s="244">
        <f>SUMIFS('Data Consolidation'!$S$3:$S$36,'Data Consolidation'!$A$3:$A$36,"Parking Income")</f>
        <v/>
      </c>
      <c r="L14" s="244">
        <f>SUMIFS('Data Consolidation'!$S$3:$S$36,'Data Consolidation'!$A$3:$A$36,"Laundry Income")</f>
        <v/>
      </c>
      <c r="M14" s="244">
        <f>SUMIFS('Data Consolidation'!$S$3:$S$36,'Data Consolidation'!$A$3:$A$36,"Other Income")</f>
        <v/>
      </c>
      <c r="N14" s="253">
        <f>G14+H14+I14+J14+K14+L14+M14</f>
        <v/>
      </c>
    </row>
    <row r="15">
      <c r="B15" s="243">
        <f>'Data Consolidation'!T2</f>
        <v/>
      </c>
      <c r="C15" s="244">
        <f>SUMIFS('Data Consolidation'!T$3:T$36,'Data Consolidation'!$A$3:$A$36,"Gross Potential Rent")</f>
        <v/>
      </c>
      <c r="D15" s="244">
        <f>SUMIFS('Data Consolidation'!$T$3:$T$36,'Data Consolidation'!$A$3:$A$36,"Vacancy")</f>
        <v/>
      </c>
      <c r="E15" s="244">
        <f>SUMIFS('Data Consolidation'!$T$3:$T$36,'Data Consolidation'!$A$3:$A$36,"Concessions")</f>
        <v/>
      </c>
      <c r="F15" s="244">
        <f>SUMIFS('Data Consolidation'!$T$3:$T$36,'Data Consolidation'!$A$3:$A$36,"bad debt")</f>
        <v/>
      </c>
      <c r="G15" s="252">
        <f>SUM(C15:F15)</f>
        <v/>
      </c>
      <c r="H15" s="244">
        <f>SUMIFS('Data Consolidation'!$T$3:$T$36,'Data Consolidation'!$A$3:$A$36,"Utility Reimbursement")</f>
        <v/>
      </c>
      <c r="I15" s="244">
        <f>SUMIFS('Data Consolidation'!$T$3:$T$36,'Data Consolidation'!$A$3:$A$36,"Home Rent Income")</f>
        <v/>
      </c>
      <c r="J15" s="244">
        <f>SUMIFS('Data Consolidation'!$T$3:$T$36,'Data Consolidation'!$A$3:$A$36,"RV site rental income")</f>
        <v/>
      </c>
      <c r="K15" s="244">
        <f>SUMIFS('Data Consolidation'!$T$3:$T$36,'Data Consolidation'!$A$3:$A$36,"Parking Income")</f>
        <v/>
      </c>
      <c r="L15" s="244">
        <f>SUMIFS('Data Consolidation'!$T$3:$T$36,'Data Consolidation'!$A$3:$A$36,"Laundry Income")</f>
        <v/>
      </c>
      <c r="M15" s="244">
        <f>SUMIFS('Data Consolidation'!$T$3:$T$36,'Data Consolidation'!$A$3:$A$36,"Other Income")</f>
        <v/>
      </c>
      <c r="N15" s="253">
        <f>G15+H15+I15+J15+K15+L15+M15</f>
        <v/>
      </c>
    </row>
    <row r="16">
      <c r="B16" s="243">
        <f>'Data Consolidation'!U2</f>
        <v/>
      </c>
      <c r="C16" s="244">
        <f>SUMIFS('Data Consolidation'!U$3:U$36,'Data Consolidation'!$A$3:$A$36,"Gross Potential Rent")</f>
        <v/>
      </c>
      <c r="D16" s="244">
        <f>SUMIFS('Data Consolidation'!$U$3:$U$36,'Data Consolidation'!$A$3:$A$36,"Vacancy")</f>
        <v/>
      </c>
      <c r="E16" s="244">
        <f>SUMIFS('Data Consolidation'!$U$3:$U$36,'Data Consolidation'!$A$3:$A$36,"Concessions")</f>
        <v/>
      </c>
      <c r="F16" s="244">
        <f>SUMIFS('Data Consolidation'!$U$3:$U$36,'Data Consolidation'!$A$3:$A$36,"bad debt")</f>
        <v/>
      </c>
      <c r="G16" s="252">
        <f>SUM(C16:F16)</f>
        <v/>
      </c>
      <c r="H16" s="244">
        <f>SUMIFS('Data Consolidation'!$U$3:$U$36,'Data Consolidation'!$A$3:$A$36,"Utility Reimbursement")</f>
        <v/>
      </c>
      <c r="I16" s="244">
        <f>SUMIFS('Data Consolidation'!$U$3:$U$36,'Data Consolidation'!$A$3:$A$36,"Home Rent Income")</f>
        <v/>
      </c>
      <c r="J16" s="244">
        <f>SUMIFS('Data Consolidation'!$U$3:$U$36,'Data Consolidation'!$A$3:$A$36,"RV site rental income")</f>
        <v/>
      </c>
      <c r="K16" s="244">
        <f>SUMIFS('Data Consolidation'!$U$3:$U$36,'Data Consolidation'!$A$3:$A$36,"Parking Income")</f>
        <v/>
      </c>
      <c r="L16" s="244">
        <f>SUMIFS('Data Consolidation'!$U$3:$U$36,'Data Consolidation'!$A$3:$A$36,"Laundry Income")</f>
        <v/>
      </c>
      <c r="M16" s="244">
        <f>SUMIFS('Data Consolidation'!$U$3:$U$36,'Data Consolidation'!$A$3:$A$36,"Other Income")</f>
        <v/>
      </c>
      <c r="N16" s="253">
        <f>G16+H16+I16+J16+K16+L16+M16</f>
        <v/>
      </c>
    </row>
    <row r="17">
      <c r="G17" t="inlineStr">
        <is>
          <t>Avg</t>
        </is>
      </c>
      <c r="H17">
        <f>AVERAGE(H6:H16)</f>
        <v/>
      </c>
    </row>
    <row r="18">
      <c r="H18">
        <f>H17*12</f>
        <v/>
      </c>
    </row>
    <row r="19">
      <c r="H19">
        <f>SUM(H6:H16)</f>
        <v/>
      </c>
    </row>
    <row r="20" ht="18.75" customHeight="1">
      <c r="B20" s="249" t="inlineStr">
        <is>
          <t>Avg NRI Analysis</t>
        </is>
      </c>
      <c r="D20" s="247" t="inlineStr">
        <is>
          <t>% Difference</t>
        </is>
      </c>
      <c r="F20" s="250" t="inlineStr">
        <is>
          <t>Net Rental Income</t>
        </is>
      </c>
    </row>
    <row r="21">
      <c r="B21" s="242" t="inlineStr">
        <is>
          <t>T1</t>
        </is>
      </c>
      <c r="C21" s="245">
        <f>G16</f>
        <v/>
      </c>
      <c r="D21" s="246">
        <f>(C21-C22)/C22</f>
        <v/>
      </c>
      <c r="E21" t="inlineStr">
        <is>
          <t>T1vsT3</t>
        </is>
      </c>
    </row>
    <row r="22">
      <c r="B22" s="242" t="inlineStr">
        <is>
          <t>T3</t>
        </is>
      </c>
      <c r="C22" s="245">
        <f>AVERAGE(G14:G16)</f>
        <v/>
      </c>
      <c r="D22" s="246">
        <f>(C22-C23)/C23</f>
        <v/>
      </c>
      <c r="E22" t="inlineStr">
        <is>
          <t>T3vsT6</t>
        </is>
      </c>
    </row>
    <row r="23">
      <c r="B23" s="242" t="inlineStr">
        <is>
          <t>T6</t>
        </is>
      </c>
      <c r="C23" s="245">
        <f>AVERAGE(G11:G16)</f>
        <v/>
      </c>
      <c r="D23" s="246">
        <f>(C23-C24)/C24</f>
        <v/>
      </c>
      <c r="E23" t="inlineStr">
        <is>
          <t>T6vsT12</t>
        </is>
      </c>
    </row>
    <row r="24">
      <c r="B24" s="242" t="inlineStr">
        <is>
          <t>T12</t>
        </is>
      </c>
      <c r="C24" s="245">
        <f>AVERAGE(G5:G16)</f>
        <v/>
      </c>
      <c r="D24" s="241" t="n"/>
    </row>
    <row r="40" ht="21" customHeight="1">
      <c r="F40" s="251"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tabColor rgb="FFCCCCFF"/>
    <outlinePr summaryBelow="1" summaryRight="1"/>
    <pageSetUpPr/>
  </sheetPr>
  <dimension ref="A1:DE49"/>
  <sheetViews>
    <sheetView workbookViewId="0">
      <selection activeCell="E15" sqref="E15"/>
    </sheetView>
  </sheetViews>
  <sheetFormatPr baseColWidth="8" defaultColWidth="9.140625" defaultRowHeight="15"/>
  <cols>
    <col width="48.42578125" customWidth="1" style="59" min="1" max="1"/>
    <col width="39.42578125" customWidth="1" style="59" min="2" max="2"/>
    <col width="26.42578125" customWidth="1" style="59" min="3" max="3"/>
    <col width="20"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97" t="inlineStr">
        <is>
          <t>GARY GROUP CAPITAL - UNIT MIX GROWTH</t>
        </is>
      </c>
      <c r="B1" s="298" t="n"/>
      <c r="C1" s="299" t="n"/>
      <c r="D1" s="299" t="n"/>
      <c r="E1" s="299" t="n"/>
      <c r="F1" s="299" t="n"/>
      <c r="G1" s="299" t="n"/>
      <c r="H1" s="299" t="n"/>
      <c r="I1" s="299" t="n"/>
      <c r="J1" s="299" t="n"/>
      <c r="K1" s="299" t="n"/>
      <c r="L1" s="299" t="n"/>
      <c r="M1" s="299" t="n"/>
      <c r="N1" s="298" t="n"/>
      <c r="O1" s="298" t="n"/>
      <c r="P1" s="298" t="n"/>
      <c r="Q1" s="298" t="n"/>
      <c r="R1" s="298" t="n"/>
      <c r="S1" s="298" t="n"/>
      <c r="T1" s="298" t="n"/>
      <c r="U1" s="298" t="n"/>
      <c r="V1" s="298" t="n"/>
      <c r="W1" s="298" t="n"/>
      <c r="X1" s="298" t="n"/>
      <c r="Y1" s="298" t="n"/>
      <c r="Z1" s="298" t="n"/>
      <c r="AA1" s="298" t="n"/>
      <c r="AB1" s="298" t="n"/>
      <c r="AC1" s="298"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3" ht="15.75" customHeight="1" thickBot="1">
      <c r="A3" s="383" t="inlineStr">
        <is>
          <t>Lots only</t>
        </is>
      </c>
    </row>
    <row r="4" ht="15.75" customHeight="1" thickBot="1">
      <c r="A4" s="510" t="inlineStr">
        <is>
          <t>Key Assumptions</t>
        </is>
      </c>
      <c r="B4" s="275" t="inlineStr">
        <is>
          <t>Year 1</t>
        </is>
      </c>
      <c r="C4" s="275" t="inlineStr">
        <is>
          <t>Year 2</t>
        </is>
      </c>
      <c r="D4" s="275" t="inlineStr">
        <is>
          <t>Year 3</t>
        </is>
      </c>
      <c r="E4" s="275" t="inlineStr">
        <is>
          <t>Year 4</t>
        </is>
      </c>
      <c r="F4" s="275" t="inlineStr">
        <is>
          <t>Year 5</t>
        </is>
      </c>
      <c r="G4" s="275" t="inlineStr">
        <is>
          <t>Year 6</t>
        </is>
      </c>
      <c r="H4" s="275" t="inlineStr">
        <is>
          <t>Year 7</t>
        </is>
      </c>
      <c r="I4" s="275" t="inlineStr">
        <is>
          <t>Year 8</t>
        </is>
      </c>
      <c r="J4" s="275" t="inlineStr">
        <is>
          <t>Year 9</t>
        </is>
      </c>
      <c r="K4" s="276" t="inlineStr">
        <is>
          <t>Year 10</t>
        </is>
      </c>
      <c r="M4" t="inlineStr">
        <is>
          <t>10-yr Avg Growth</t>
        </is>
      </c>
    </row>
    <row r="5" ht="15.75" customHeight="1" thickBot="1">
      <c r="A5" s="511">
        <f>'Unit Mix Summary'!B4</f>
        <v/>
      </c>
      <c r="B5" s="750" t="n">
        <v>0.1</v>
      </c>
      <c r="C5" s="750" t="n">
        <v>0.11</v>
      </c>
      <c r="D5" s="750" t="n">
        <v>0.1</v>
      </c>
      <c r="E5" s="750" t="n">
        <v>0.065</v>
      </c>
      <c r="F5" s="750" t="n">
        <v>0.06</v>
      </c>
      <c r="G5" s="750" t="n">
        <v>0.06</v>
      </c>
      <c r="H5" s="750" t="n">
        <v>0.05</v>
      </c>
      <c r="I5" s="750" t="n">
        <v>0.05</v>
      </c>
      <c r="J5" s="750" t="n">
        <v>0.05</v>
      </c>
      <c r="K5" s="750" t="n">
        <v>0.05</v>
      </c>
      <c r="M5" s="893">
        <f>AVERAGE(B5:K5)</f>
        <v/>
      </c>
    </row>
    <row r="6">
      <c r="A6" s="511">
        <f>'Unit Mix Summary'!B5</f>
        <v/>
      </c>
      <c r="B6" s="750" t="n">
        <v>0.1</v>
      </c>
      <c r="C6" s="750" t="n">
        <v>0.11</v>
      </c>
      <c r="D6" s="750" t="n">
        <v>0.1</v>
      </c>
      <c r="E6" s="750" t="n">
        <v>0.065</v>
      </c>
      <c r="F6" s="750" t="n">
        <v>0.06</v>
      </c>
      <c r="G6" s="750" t="n">
        <v>0.06</v>
      </c>
      <c r="H6" s="750" t="n">
        <v>0.05</v>
      </c>
      <c r="I6" s="750" t="n">
        <v>0.05</v>
      </c>
      <c r="J6" s="750" t="n">
        <v>0.05</v>
      </c>
      <c r="K6" s="750" t="n">
        <v>0.05</v>
      </c>
      <c r="M6" s="893">
        <f>AVERAGE(B6:K6)</f>
        <v/>
      </c>
    </row>
    <row r="7">
      <c r="A7" s="59">
        <f>'Unit Mix Summary'!B6</f>
        <v/>
      </c>
      <c r="B7" s="894" t="n">
        <v>0.1</v>
      </c>
      <c r="C7" s="894" t="n">
        <v>0.09</v>
      </c>
      <c r="D7" s="894" t="n">
        <v>0.08500000000000001</v>
      </c>
      <c r="E7" s="894" t="n">
        <v>0.065</v>
      </c>
      <c r="F7" s="894" t="n">
        <v>0.075</v>
      </c>
      <c r="G7" s="894" t="n">
        <v>0.075</v>
      </c>
      <c r="H7" s="894" t="n">
        <v>0.04</v>
      </c>
      <c r="I7" s="894" t="n">
        <v>0.04</v>
      </c>
      <c r="J7" s="894" t="n">
        <v>0.04</v>
      </c>
      <c r="K7" s="894" t="n">
        <v>0.04</v>
      </c>
      <c r="L7" s="59" t="n"/>
      <c r="M7" s="894">
        <f>AVERAGE(B7:K7)</f>
        <v/>
      </c>
      <c r="N7" s="852" t="n"/>
      <c r="O7" s="852" t="n"/>
      <c r="P7" s="852" t="n"/>
      <c r="Q7" s="852" t="n"/>
      <c r="R7" s="852" t="n"/>
      <c r="S7" s="852" t="n"/>
      <c r="T7" s="852" t="n"/>
      <c r="U7" s="852" t="n"/>
      <c r="V7" s="852" t="n"/>
      <c r="W7" s="852" t="n"/>
      <c r="X7" s="852" t="n"/>
      <c r="Y7" s="852" t="n"/>
      <c r="Z7" s="852" t="n"/>
      <c r="AA7" s="852" t="n"/>
      <c r="AB7" s="852" t="n"/>
      <c r="AC7" s="852" t="n"/>
      <c r="AD7" s="852" t="n"/>
      <c r="AE7" s="852" t="n"/>
      <c r="AF7" s="852" t="n"/>
      <c r="AG7" s="852" t="n"/>
      <c r="AH7" s="852" t="n"/>
      <c r="AI7" s="852" t="n"/>
      <c r="AJ7" s="852" t="n"/>
      <c r="AK7" s="852" t="n"/>
      <c r="AL7" s="852" t="n"/>
      <c r="AM7" s="852" t="n"/>
      <c r="AN7" s="852" t="n"/>
      <c r="AO7" s="852" t="n"/>
      <c r="AP7" s="852" t="n"/>
      <c r="AQ7" s="852" t="n"/>
      <c r="AR7" s="852" t="n"/>
      <c r="AS7" s="852" t="n"/>
      <c r="AT7" s="852" t="n"/>
      <c r="AU7" s="852" t="n"/>
      <c r="AV7" s="852" t="n"/>
      <c r="AW7" s="852" t="n"/>
      <c r="AX7" s="852" t="n"/>
      <c r="AY7" s="852" t="n"/>
    </row>
    <row r="8">
      <c r="A8" s="249">
        <f>'Unit Mix Summary'!B7</f>
        <v/>
      </c>
      <c r="B8" s="894" t="n">
        <v>0.1</v>
      </c>
      <c r="C8" s="894" t="n">
        <v>0.11</v>
      </c>
      <c r="D8" s="894" t="n">
        <v>0.1</v>
      </c>
      <c r="E8" s="751" t="n">
        <v>0.065</v>
      </c>
      <c r="F8" s="894" t="n">
        <v>0.06</v>
      </c>
      <c r="G8" s="801" t="n">
        <v>0.06</v>
      </c>
      <c r="H8" s="894" t="n">
        <v>0.05</v>
      </c>
      <c r="I8" s="894" t="n">
        <v>0.05</v>
      </c>
      <c r="J8" s="894" t="n">
        <v>0.05</v>
      </c>
      <c r="K8" s="894" t="n">
        <v>0.05</v>
      </c>
      <c r="L8" s="59" t="n"/>
      <c r="M8" s="894">
        <f>AVERAGE(B8:K8)</f>
        <v/>
      </c>
      <c r="N8" s="852" t="n"/>
      <c r="O8" s="852" t="n"/>
      <c r="P8" s="852" t="n"/>
      <c r="Q8" s="852" t="n"/>
      <c r="R8" s="852" t="n"/>
      <c r="S8" s="852" t="n"/>
      <c r="T8" s="852" t="n"/>
      <c r="U8" s="852" t="n"/>
      <c r="V8" s="852" t="n"/>
      <c r="W8" s="852" t="n"/>
      <c r="X8" s="852" t="n"/>
      <c r="Y8" s="852" t="n"/>
      <c r="Z8" s="852" t="n"/>
      <c r="AA8" s="852" t="n"/>
      <c r="AB8" s="852" t="n"/>
      <c r="AC8" s="852" t="n"/>
      <c r="AD8" s="852" t="n"/>
      <c r="AE8" s="852" t="n"/>
      <c r="AF8" s="852" t="n"/>
      <c r="AG8" s="852" t="n"/>
      <c r="AH8" s="852" t="n"/>
      <c r="AI8" s="852" t="n"/>
      <c r="AJ8" s="852" t="n"/>
      <c r="AK8" s="852" t="n"/>
      <c r="AL8" s="852" t="n"/>
      <c r="AM8" s="852" t="n"/>
      <c r="AN8" s="852" t="n"/>
      <c r="AO8" s="852" t="n"/>
      <c r="AP8" s="852" t="n"/>
      <c r="AQ8" s="852" t="n"/>
      <c r="AR8" s="852" t="n"/>
      <c r="AS8" s="852" t="n"/>
      <c r="AT8" s="852" t="n"/>
      <c r="AU8" s="852" t="n"/>
      <c r="AV8" s="852" t="n"/>
      <c r="AW8" s="852" t="n"/>
      <c r="AX8" s="852" t="n"/>
      <c r="AY8" s="852" t="n"/>
    </row>
    <row r="9" ht="33" customHeight="1">
      <c r="C9" s="59" t="inlineStr">
        <is>
          <t>Unit Mix</t>
        </is>
      </c>
      <c r="D9" s="341" t="inlineStr">
        <is>
          <t># of Units</t>
        </is>
      </c>
      <c r="E9" s="171" t="inlineStr">
        <is>
          <t>Avg Monthly Rent</t>
        </is>
      </c>
      <c r="F9" s="143" t="inlineStr">
        <is>
          <t>Year 1</t>
        </is>
      </c>
      <c r="G9" s="143" t="inlineStr">
        <is>
          <t>Year 2</t>
        </is>
      </c>
      <c r="H9" s="143" t="inlineStr">
        <is>
          <t>Year 3</t>
        </is>
      </c>
      <c r="I9" s="143" t="inlineStr">
        <is>
          <t>Year 4</t>
        </is>
      </c>
      <c r="J9" s="143" t="inlineStr">
        <is>
          <t>Year 5</t>
        </is>
      </c>
      <c r="K9" s="143" t="inlineStr">
        <is>
          <t>Year 6</t>
        </is>
      </c>
      <c r="L9" s="143" t="inlineStr">
        <is>
          <t>Year 7</t>
        </is>
      </c>
      <c r="M9" s="143" t="inlineStr">
        <is>
          <t>Year 8</t>
        </is>
      </c>
      <c r="N9" s="143" t="inlineStr">
        <is>
          <t>Year 9</t>
        </is>
      </c>
      <c r="O9" s="143" t="inlineStr">
        <is>
          <t>Year 10</t>
        </is>
      </c>
      <c r="P9" s="852" t="n"/>
      <c r="Q9" s="852" t="n"/>
      <c r="R9" s="852" t="n"/>
      <c r="S9" s="852" t="n"/>
      <c r="T9" s="852" t="n"/>
      <c r="U9" s="852" t="n"/>
      <c r="V9" s="852" t="n"/>
      <c r="W9" s="852" t="n"/>
      <c r="X9" s="852" t="n"/>
      <c r="Y9" s="852" t="n"/>
      <c r="Z9" s="852" t="n"/>
      <c r="AA9" s="852" t="n"/>
      <c r="AB9" s="852" t="n"/>
      <c r="AC9" s="852" t="n"/>
      <c r="AD9" s="852" t="n"/>
      <c r="AE9" s="852" t="n"/>
      <c r="AF9" s="852" t="n"/>
      <c r="AG9" s="852" t="n"/>
      <c r="AH9" s="852" t="n"/>
      <c r="AI9" s="852" t="n"/>
      <c r="AJ9" s="852" t="n"/>
      <c r="AK9" s="852" t="n"/>
      <c r="AL9" s="852" t="n"/>
      <c r="AM9" s="852" t="n"/>
      <c r="AN9" s="852" t="n"/>
      <c r="AO9" s="852" t="n"/>
      <c r="AP9" s="852" t="n"/>
      <c r="AQ9" s="852" t="n"/>
      <c r="AR9" s="852" t="n"/>
      <c r="AS9" s="852" t="n"/>
      <c r="AT9" s="852" t="n"/>
      <c r="AU9" s="852" t="n"/>
      <c r="AV9" s="852" t="n"/>
      <c r="AW9" s="852" t="n"/>
      <c r="AX9" s="852" t="n"/>
      <c r="AY9" s="852" t="n"/>
    </row>
    <row r="10" ht="36" customHeight="1">
      <c r="B10" s="895">
        <f>IFERROR(D10/$D$14,0)</f>
        <v/>
      </c>
      <c r="C10" s="515">
        <f>'Unit Mix Summary'!B4</f>
        <v/>
      </c>
      <c r="D10" s="896">
        <f>'Unit Mix Summary'!E4</f>
        <v/>
      </c>
      <c r="E10" s="217">
        <f>IFERROR('Unit Mix Summary'!H4/'Unit Mix Summary'!E4,0)</f>
        <v/>
      </c>
      <c r="F10" s="217">
        <f>E10*(100%+B$5)</f>
        <v/>
      </c>
      <c r="G10" s="217">
        <f>F10*(100%+C$5)</f>
        <v/>
      </c>
      <c r="H10" s="217">
        <f>G10*(100%+D$5)</f>
        <v/>
      </c>
      <c r="I10" s="217">
        <f>H10*(100%+E$5)</f>
        <v/>
      </c>
      <c r="J10" s="217">
        <f>I10*(100%+F$5)</f>
        <v/>
      </c>
      <c r="K10" s="217">
        <f>J10*(100%+G$5)</f>
        <v/>
      </c>
      <c r="L10" s="217">
        <f>K10*(100%+H$5)</f>
        <v/>
      </c>
      <c r="M10" s="217">
        <f>L10*(100%+I$5)</f>
        <v/>
      </c>
      <c r="N10" s="217">
        <f>M10*(100%+J$5)</f>
        <v/>
      </c>
      <c r="O10" s="217">
        <f>N10*(100%+K$5)</f>
        <v/>
      </c>
      <c r="P10" s="852" t="n"/>
      <c r="Q10" s="852" t="n"/>
      <c r="R10" s="852" t="n"/>
      <c r="S10" s="852" t="n"/>
      <c r="T10" s="852" t="n"/>
      <c r="U10" s="852" t="n"/>
      <c r="V10" s="852" t="n"/>
      <c r="W10" s="852" t="n"/>
      <c r="X10" s="852" t="n"/>
      <c r="Y10" s="852" t="n"/>
      <c r="Z10" s="852" t="n"/>
      <c r="AA10" s="852" t="n"/>
      <c r="AB10" s="852" t="n"/>
      <c r="AC10" s="852" t="n"/>
      <c r="AD10" s="852" t="n"/>
      <c r="AE10" s="852" t="n"/>
      <c r="AF10" s="852" t="n"/>
      <c r="AG10" s="852" t="n"/>
      <c r="AH10" s="852" t="n"/>
      <c r="AI10" s="852" t="n"/>
      <c r="AJ10" s="852" t="n"/>
      <c r="AK10" s="852" t="n"/>
      <c r="AL10" s="852" t="n"/>
      <c r="AM10" s="852" t="n"/>
      <c r="AN10" s="852" t="n"/>
      <c r="AO10" s="852" t="n"/>
      <c r="AP10" s="852" t="n"/>
      <c r="AQ10" s="852" t="n"/>
      <c r="AR10" s="852" t="n"/>
      <c r="AS10" s="852" t="n"/>
      <c r="AT10" s="852" t="n"/>
      <c r="AU10" s="852" t="n"/>
      <c r="AV10" s="852" t="n"/>
      <c r="AW10" s="852" t="n"/>
      <c r="AX10" s="852" t="n"/>
      <c r="AY10" s="852" t="n"/>
    </row>
    <row r="11" ht="42.95" customHeight="1">
      <c r="B11" s="895">
        <f>IFERROR(D11/$D$14,0)</f>
        <v/>
      </c>
      <c r="C11" s="515">
        <f>'Unit Mix Summary'!B5</f>
        <v/>
      </c>
      <c r="D11" s="896">
        <f>'Unit Mix Summary'!E5</f>
        <v/>
      </c>
      <c r="E11" s="217">
        <f>IFERROR('Unit Mix Summary'!H5/'Unit Mix Summary'!E5,0)</f>
        <v/>
      </c>
      <c r="F11" s="217">
        <f>E11*(100%+B$6)</f>
        <v/>
      </c>
      <c r="G11" s="217">
        <f>F11*(100%+C$6)</f>
        <v/>
      </c>
      <c r="H11" s="217">
        <f>G11*(100%+D$6)</f>
        <v/>
      </c>
      <c r="I11" s="217">
        <f>H11*(100%+E$6)</f>
        <v/>
      </c>
      <c r="J11" s="217">
        <f>I11*(100%+F$6)</f>
        <v/>
      </c>
      <c r="K11" s="217">
        <f>J11*(100%+G$6)</f>
        <v/>
      </c>
      <c r="L11" s="217">
        <f>K11*(100%+H$6)</f>
        <v/>
      </c>
      <c r="M11" s="217">
        <f>L11*(100%+I$6)</f>
        <v/>
      </c>
      <c r="N11" s="217">
        <f>M11*(100%+J$6)</f>
        <v/>
      </c>
      <c r="O11" s="217">
        <f>N11*(100%+K$6)</f>
        <v/>
      </c>
      <c r="P11" s="852" t="n"/>
      <c r="Q11" s="852" t="n"/>
      <c r="R11" s="852" t="n"/>
      <c r="S11" s="852" t="n"/>
      <c r="T11" s="852" t="n"/>
      <c r="U11" s="852" t="n"/>
      <c r="V11" s="852" t="n"/>
      <c r="W11" s="852" t="n"/>
      <c r="X11" s="852" t="n"/>
      <c r="Y11" s="852" t="n"/>
      <c r="Z11" s="852" t="n"/>
      <c r="AA11" s="852" t="n"/>
      <c r="AB11" s="852" t="n"/>
      <c r="AC11" s="852" t="n"/>
      <c r="AD11" s="852" t="n"/>
      <c r="AE11" s="852" t="n"/>
      <c r="AF11" s="852" t="n"/>
      <c r="AG11" s="852" t="n"/>
      <c r="AH11" s="852" t="n"/>
      <c r="AI11" s="852" t="n"/>
      <c r="AJ11" s="852" t="n"/>
      <c r="AK11" s="852" t="n"/>
      <c r="AL11" s="852" t="n"/>
      <c r="AM11" s="852" t="n"/>
      <c r="AN11" s="852" t="n"/>
      <c r="AO11" s="852" t="n"/>
      <c r="AP11" s="852" t="n"/>
      <c r="AQ11" s="852" t="n"/>
      <c r="AR11" s="852" t="n"/>
      <c r="AS11" s="852" t="n"/>
      <c r="AT11" s="852" t="n"/>
      <c r="AU11" s="852" t="n"/>
      <c r="AV11" s="852" t="n"/>
      <c r="AW11" s="852" t="n"/>
      <c r="AX11" s="852" t="n"/>
      <c r="AY11" s="852" t="n"/>
    </row>
    <row r="12" ht="35.25" customHeight="1">
      <c r="B12" s="895">
        <f>IFERROR(D12/$D$14,0)</f>
        <v/>
      </c>
      <c r="C12" s="517">
        <f>'Unit Mix Summary'!B6</f>
        <v/>
      </c>
      <c r="D12" s="897">
        <f>'Unit Mix Summary'!E6</f>
        <v/>
      </c>
      <c r="E12" s="519">
        <f>IFERROR('Unit Mix Summary'!H6/'Unit Mix Summary'!E6,0)</f>
        <v/>
      </c>
      <c r="F12" s="519">
        <f>E12*(100%+B$7)</f>
        <v/>
      </c>
      <c r="G12" s="519">
        <f>F12*(100%+C$7)</f>
        <v/>
      </c>
      <c r="H12" s="519">
        <f>G12*(100%+D$7)</f>
        <v/>
      </c>
      <c r="I12" s="519">
        <f>H12*(100%+E$7)</f>
        <v/>
      </c>
      <c r="J12" s="519">
        <f>I12*(100%+F$7)</f>
        <v/>
      </c>
      <c r="K12" s="519">
        <f>J12*(100%+G$7)</f>
        <v/>
      </c>
      <c r="L12" s="519">
        <f>K12*(100%+H$7)</f>
        <v/>
      </c>
      <c r="M12" s="519">
        <f>L12*(100%+I$7)</f>
        <v/>
      </c>
      <c r="N12" s="519">
        <f>M12*(100%+J$7)</f>
        <v/>
      </c>
      <c r="O12" s="519">
        <f>N12*(100%+K$7)</f>
        <v/>
      </c>
      <c r="P12" s="852" t="n"/>
      <c r="Q12" s="852" t="n"/>
      <c r="R12" s="852" t="n"/>
      <c r="S12" s="852" t="n"/>
      <c r="T12" s="852" t="n"/>
      <c r="U12" s="852" t="n"/>
      <c r="V12" s="852" t="n"/>
      <c r="W12" s="852" t="n"/>
      <c r="X12" s="852" t="n"/>
      <c r="Y12" s="852" t="n"/>
      <c r="Z12" s="852" t="n"/>
      <c r="AA12" s="852" t="n"/>
      <c r="AB12" s="852" t="n"/>
      <c r="AC12" s="852" t="n"/>
      <c r="AD12" s="852" t="n"/>
      <c r="AE12" s="852" t="n"/>
      <c r="AF12" s="852" t="n"/>
      <c r="AG12" s="852" t="n"/>
      <c r="AH12" s="852" t="n"/>
      <c r="AI12" s="852" t="n"/>
      <c r="AJ12" s="852" t="n"/>
      <c r="AK12" s="852" t="n"/>
      <c r="AL12" s="852" t="n"/>
      <c r="AM12" s="852" t="n"/>
      <c r="AN12" s="852" t="n"/>
      <c r="AO12" s="852" t="n"/>
      <c r="AP12" s="852" t="n"/>
      <c r="AQ12" s="852" t="n"/>
      <c r="AR12" s="852" t="n"/>
      <c r="AS12" s="852" t="n"/>
      <c r="AT12" s="852" t="n"/>
      <c r="AU12" s="852" t="n"/>
      <c r="AV12" s="852" t="n"/>
      <c r="AW12" s="852" t="n"/>
      <c r="AX12" s="852" t="n"/>
      <c r="AY12" s="852" t="n"/>
    </row>
    <row r="13" ht="15.6" customHeight="1">
      <c r="B13" s="895">
        <f>IFERROR(D13/$D$14,0)</f>
        <v/>
      </c>
      <c r="C13">
        <f>'Unit Mix Summary'!B7</f>
        <v/>
      </c>
      <c r="D13" s="898" t="inlineStr">
        <is>
          <t>$ Change</t>
        </is>
      </c>
      <c r="E13" s="899">
        <f>IFERROR('Unit Mix Summary'!H7/'Unit Mix Summary'!E7,0)</f>
        <v/>
      </c>
      <c r="F13" s="521">
        <f>E13*(100%+B$8)</f>
        <v/>
      </c>
      <c r="G13" s="521">
        <f>F13*(100%+C$8)</f>
        <v/>
      </c>
      <c r="H13" s="521">
        <f>G13*(100%+D$8)</f>
        <v/>
      </c>
      <c r="I13" s="521">
        <f>H13*(100%+E$8)</f>
        <v/>
      </c>
      <c r="J13" s="521">
        <f>I13*(100%+F$8)</f>
        <v/>
      </c>
      <c r="K13" s="521">
        <f>J13*(100%+G$8)</f>
        <v/>
      </c>
      <c r="L13" s="521">
        <f>K13*(100%+H$8)</f>
        <v/>
      </c>
      <c r="M13" s="521">
        <f>L13*(100%+I$8)</f>
        <v/>
      </c>
      <c r="N13" s="521">
        <f>M13*(100%+J$8)</f>
        <v/>
      </c>
      <c r="O13" s="521">
        <f>N13*(100%+K$8)</f>
        <v/>
      </c>
    </row>
    <row r="14" ht="24.6" customHeight="1">
      <c r="B14" s="893">
        <f>SUM(B10:B13)</f>
        <v/>
      </c>
      <c r="C14" t="inlineStr">
        <is>
          <t>Total Weighted Average</t>
        </is>
      </c>
      <c r="D14" s="900">
        <f>SUM(D10:D13)</f>
        <v/>
      </c>
      <c r="E14" s="523">
        <f>SUMPRODUCT($B$10:$B$13,E10:E13)</f>
        <v/>
      </c>
      <c r="F14" s="523">
        <f>SUMPRODUCT($B$10:$B$13,F10:F13)</f>
        <v/>
      </c>
      <c r="G14" s="523">
        <f>SUMPRODUCT($B$10:$B$13,G10:G13)</f>
        <v/>
      </c>
      <c r="H14" s="523">
        <f>SUMPRODUCT($B$10:$B$13,H10:H13)</f>
        <v/>
      </c>
      <c r="I14" s="523">
        <f>SUMPRODUCT($B$10:$B$13,I10:I13)</f>
        <v/>
      </c>
      <c r="J14" s="523">
        <f>SUMPRODUCT($B$10:$B$13,J10:J13)</f>
        <v/>
      </c>
      <c r="K14" s="523">
        <f>SUMPRODUCT($B$10:$B$13,K10:K13)</f>
        <v/>
      </c>
      <c r="L14" s="523">
        <f>SUMPRODUCT($B$10:$B$13,L10:L13)</f>
        <v/>
      </c>
      <c r="M14" s="523">
        <f>SUMPRODUCT($B$10:$B$13,M10:M13)</f>
        <v/>
      </c>
      <c r="N14" s="523">
        <f>SUMPRODUCT($B$10:$B$13,N10:N13)</f>
        <v/>
      </c>
      <c r="O14" s="523">
        <f>SUMPRODUCT($B$10:$B$13,O10:O13)</f>
        <v/>
      </c>
    </row>
    <row r="15">
      <c r="B15" s="398" t="n"/>
      <c r="C15" s="421" t="n">
        <v>3</v>
      </c>
      <c r="D15" s="416" t="inlineStr">
        <is>
          <t>Vacant Lots</t>
        </is>
      </c>
      <c r="E15" s="901">
        <f>'Unit Mix Summary'!D4</f>
        <v/>
      </c>
      <c r="F15" s="901">
        <f>E15-C15</f>
        <v/>
      </c>
      <c r="G15" s="901">
        <f>$F$15</f>
        <v/>
      </c>
      <c r="H15" s="901">
        <f>$F$15</f>
        <v/>
      </c>
      <c r="I15" s="901">
        <f>$F$15</f>
        <v/>
      </c>
      <c r="J15" s="901">
        <f>$F$15</f>
        <v/>
      </c>
      <c r="K15" s="901">
        <f>$F$15</f>
        <v/>
      </c>
      <c r="L15" s="901">
        <f>$F$15</f>
        <v/>
      </c>
      <c r="M15" s="901">
        <f>$F$15</f>
        <v/>
      </c>
      <c r="N15" s="901">
        <f>$F$15</f>
        <v/>
      </c>
      <c r="O15" s="901">
        <f>$F$15</f>
        <v/>
      </c>
    </row>
    <row r="16">
      <c r="B16" s="398" t="n"/>
      <c r="C16" s="421" t="n">
        <v>0</v>
      </c>
      <c r="D16" s="416" t="inlineStr">
        <is>
          <t>Vacant Homes</t>
        </is>
      </c>
      <c r="E16" s="901">
        <f>'Unit Mix Summary'!D5</f>
        <v/>
      </c>
      <c r="F16" s="901">
        <f>E16-$C$16</f>
        <v/>
      </c>
      <c r="G16" s="901">
        <f>$F$16</f>
        <v/>
      </c>
      <c r="H16" s="901">
        <f>$F$16</f>
        <v/>
      </c>
      <c r="I16" s="901">
        <f>$F$16</f>
        <v/>
      </c>
      <c r="J16" s="901">
        <f>$F$16</f>
        <v/>
      </c>
      <c r="K16" s="901">
        <f>$F$16</f>
        <v/>
      </c>
      <c r="L16" s="901">
        <f>$F$16</f>
        <v/>
      </c>
      <c r="M16" s="901">
        <f>$F$16</f>
        <v/>
      </c>
      <c r="N16" s="901">
        <f>$F$16</f>
        <v/>
      </c>
      <c r="O16" s="901">
        <f>$F$16</f>
        <v/>
      </c>
    </row>
    <row r="17">
      <c r="D17" s="525" t="inlineStr">
        <is>
          <t>Vacancy</t>
        </is>
      </c>
      <c r="E17" s="902">
        <f>SUM(E15:E16)/$D$14</f>
        <v/>
      </c>
      <c r="F17" s="902">
        <f>SUM(F15:F16)/$D$14</f>
        <v/>
      </c>
      <c r="G17" s="902">
        <f>SUM(G15:G16)/$D$14</f>
        <v/>
      </c>
      <c r="H17" s="902">
        <f>SUM(H15:H16)/$D$14</f>
        <v/>
      </c>
      <c r="I17" s="902">
        <f>SUM(I15:I16)/$D$14</f>
        <v/>
      </c>
      <c r="J17" s="902">
        <f>SUM(J15:J16)/$D$14</f>
        <v/>
      </c>
      <c r="K17" s="902">
        <f>SUM(K15:K16)/$D$14</f>
        <v/>
      </c>
      <c r="L17" s="902">
        <f>SUM(L15:L16)/$D$14</f>
        <v/>
      </c>
      <c r="M17" s="902">
        <f>SUM(M15:M16)/$D$14</f>
        <v/>
      </c>
      <c r="N17" s="902">
        <f>SUM(N15:N16)/$D$14</f>
        <v/>
      </c>
      <c r="O17" s="902">
        <f>SUM(O15:O16)/$D$14</f>
        <v/>
      </c>
    </row>
    <row r="18">
      <c r="D18" t="inlineStr">
        <is>
          <t>$ Change</t>
        </is>
      </c>
      <c r="E18" s="156" t="n"/>
      <c r="F18" s="527">
        <f>F14-E14</f>
        <v/>
      </c>
      <c r="G18" s="528">
        <f>G14-F14</f>
        <v/>
      </c>
      <c r="H18" s="528">
        <f>H14-G14</f>
        <v/>
      </c>
      <c r="I18" s="529">
        <f>I14-H14</f>
        <v/>
      </c>
      <c r="J18" s="230">
        <f>J14-I14</f>
        <v/>
      </c>
      <c r="K18" s="230">
        <f>K14-J14</f>
        <v/>
      </c>
      <c r="L18" s="230">
        <f>L14-K14</f>
        <v/>
      </c>
      <c r="M18" s="230">
        <f>M14-L14</f>
        <v/>
      </c>
      <c r="N18" s="230">
        <f>N14-M14</f>
        <v/>
      </c>
      <c r="O18" s="230">
        <f>O14-N14</f>
        <v/>
      </c>
    </row>
    <row r="19">
      <c r="D19" t="inlineStr">
        <is>
          <t>GPR</t>
        </is>
      </c>
      <c r="E19" s="248">
        <f>E14*$D$14*12</f>
        <v/>
      </c>
      <c r="F19" s="230">
        <f>F14*$D$14*12</f>
        <v/>
      </c>
      <c r="G19" s="230">
        <f>G14*$D$14*12</f>
        <v/>
      </c>
      <c r="H19" s="230">
        <f>H14*$D$14*12</f>
        <v/>
      </c>
      <c r="I19" s="230">
        <f>I14*$D$14*12</f>
        <v/>
      </c>
      <c r="J19" s="248">
        <f>J14*$D$14*12</f>
        <v/>
      </c>
      <c r="K19" s="248">
        <f>K14*$D$14*12</f>
        <v/>
      </c>
      <c r="L19" s="248">
        <f>L14*$D$14*12</f>
        <v/>
      </c>
      <c r="M19" s="248">
        <f>M14*$D$14*12</f>
        <v/>
      </c>
      <c r="N19" s="248">
        <f>N14*$D$14*12</f>
        <v/>
      </c>
      <c r="O19" s="248">
        <f>O14*$D$14*12</f>
        <v/>
      </c>
    </row>
    <row r="21">
      <c r="G21" s="230" t="n"/>
      <c r="H21" s="230" t="n"/>
      <c r="I21" s="230" t="n"/>
      <c r="J21" s="230" t="n"/>
    </row>
    <row r="22">
      <c r="A22" s="59" t="n"/>
    </row>
    <row r="27">
      <c r="F27" s="230" t="n"/>
    </row>
    <row r="28">
      <c r="F28" s="230" t="n"/>
    </row>
    <row r="29">
      <c r="F29" s="230" t="n"/>
    </row>
    <row r="30">
      <c r="F30" s="230" t="n"/>
    </row>
    <row r="44" ht="15.75" customHeight="1" thickBot="1">
      <c r="A44" s="383" t="n"/>
    </row>
    <row r="45" ht="15.75" customHeight="1" thickBot="1">
      <c r="A45" s="510" t="n"/>
      <c r="B45" s="275" t="n"/>
      <c r="C45" s="275" t="n"/>
      <c r="D45" s="275" t="n"/>
      <c r="E45" s="275" t="n"/>
      <c r="F45" s="275" t="n"/>
      <c r="G45" s="275" t="n"/>
      <c r="H45" s="275" t="n"/>
      <c r="I45" s="275" t="n"/>
      <c r="J45" s="275" t="n"/>
      <c r="K45" s="276" t="n"/>
    </row>
    <row r="46">
      <c r="A46" s="511" t="n"/>
      <c r="B46" s="750" t="n"/>
      <c r="C46" s="750" t="n"/>
      <c r="D46" s="750" t="n"/>
      <c r="E46" s="750" t="n"/>
      <c r="F46" s="750" t="n"/>
      <c r="G46" s="750" t="n"/>
      <c r="H46" s="750" t="n"/>
      <c r="I46" s="750" t="n"/>
      <c r="J46" s="750" t="n"/>
      <c r="K46" s="750" t="n"/>
    </row>
    <row r="47">
      <c r="C47" s="59" t="n"/>
      <c r="D47" s="341" t="n"/>
      <c r="E47" s="171" t="n"/>
      <c r="F47" s="143" t="n"/>
      <c r="G47" s="143" t="n"/>
      <c r="H47" s="143" t="n"/>
      <c r="I47" s="143" t="n"/>
      <c r="J47" s="143" t="n"/>
      <c r="K47" s="143" t="n"/>
      <c r="L47" s="143" t="n"/>
      <c r="M47" s="143" t="n"/>
      <c r="N47" s="143" t="n"/>
      <c r="O47" s="143" t="n"/>
    </row>
    <row r="48" ht="30.95" customHeight="1">
      <c r="C48" s="515" t="n"/>
      <c r="D48" s="516" t="n"/>
      <c r="E48" s="217" t="n"/>
      <c r="F48" s="217" t="n"/>
      <c r="G48" s="217" t="n"/>
      <c r="H48" s="217" t="n"/>
      <c r="I48" s="217" t="n"/>
      <c r="J48" s="217" t="n"/>
      <c r="K48" s="217" t="n"/>
      <c r="L48" s="217" t="n"/>
      <c r="M48" s="217" t="n"/>
      <c r="N48" s="217" t="n"/>
      <c r="O48" s="217" t="n"/>
    </row>
    <row r="49" ht="22.5" customHeight="1">
      <c r="C49" s="695" t="n"/>
      <c r="D49" s="695" t="n"/>
      <c r="E49" s="696" t="n"/>
      <c r="F49" s="696" t="n"/>
      <c r="G49" s="696" t="n"/>
      <c r="H49" s="696" t="n"/>
      <c r="I49" s="696" t="n"/>
      <c r="J49" s="696" t="n"/>
      <c r="K49" s="696" t="n"/>
      <c r="L49" s="696" t="n"/>
      <c r="M49" s="696" t="n"/>
      <c r="N49" s="696" t="n"/>
      <c r="O49" s="696" t="n"/>
    </row>
  </sheetData>
  <pageMargins left="0.7" right="0.7" top="0.75" bottom="0.75" header="0.3" footer="0.3"/>
</worksheet>
</file>

<file path=xl/worksheets/sheet6.xml><?xml version="1.0" encoding="utf-8"?>
<worksheet xmlns="http://schemas.openxmlformats.org/spreadsheetml/2006/main">
  <sheetPr>
    <tabColor theme="4" tint="0.7999816888943144"/>
    <outlinePr summaryBelow="1" summaryRight="1"/>
    <pageSetUpPr/>
  </sheetPr>
  <dimension ref="A2:CG39"/>
  <sheetViews>
    <sheetView workbookViewId="0">
      <selection activeCell="F12" sqref="F12"/>
    </sheetView>
  </sheetViews>
  <sheetFormatPr baseColWidth="8" defaultColWidth="9.42578125" defaultRowHeight="15"/>
  <cols>
    <col width="6" customWidth="1" style="74" min="1" max="1"/>
    <col width="23.28515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4" min="10" max="10"/>
    <col width="9.42578125" customWidth="1" style="74" min="11" max="85"/>
    <col width="9.42578125" customWidth="1" style="4" min="86" max="16384"/>
  </cols>
  <sheetData>
    <row r="1" customFormat="1" s="74"/>
    <row r="2" ht="24.75" customFormat="1" customHeight="1" s="128" thickBot="1">
      <c r="B2" s="167" t="inlineStr">
        <is>
          <t xml:space="preserve">MH/RV Rent Roll </t>
        </is>
      </c>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2" t="inlineStr">
        <is>
          <t>avg rents</t>
        </is>
      </c>
      <c r="J3" s="82" t="inlineStr">
        <is>
          <t>weights</t>
        </is>
      </c>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c r="BZ3" s="82" t="n"/>
      <c r="CA3" s="82" t="n"/>
      <c r="CB3" s="82" t="n"/>
      <c r="CC3" s="82" t="n"/>
      <c r="CD3" s="82" t="n"/>
      <c r="CE3" s="82" t="n"/>
      <c r="CF3" s="82" t="n"/>
      <c r="CG3" s="82" t="n"/>
    </row>
    <row r="4" ht="20.25" customHeight="1">
      <c r="B4" s="215" t="inlineStr">
        <is>
          <t>TOH(Lot Rents only)-vacant lots</t>
        </is>
      </c>
      <c r="C4" s="216">
        <f>COUNTIFS('Rent Roll Input'!$E$3:$E$1002,"Occupied",'Rent Roll Input'!$D$3:$D$1002,"Type 1")</f>
        <v/>
      </c>
      <c r="D4" s="216">
        <f>COUNTIFS('Rent Roll Input'!$E$3:$E$1002,"Vacant",'Rent Roll Input'!$D$3:$D$1002,"Type 1")</f>
        <v/>
      </c>
      <c r="E4" s="216">
        <f>SUM(C4:D4)</f>
        <v/>
      </c>
      <c r="F4" s="217">
        <f>SUMIFS('Rent Roll Input'!$H$3:$H$1002,'Rent Roll Input'!$E$3:$E$1002,"Occupied",'Rent Roll Input'!$D$3:$D$1002,"Type 1")</f>
        <v/>
      </c>
      <c r="G4" s="217">
        <f>SUMIFS('Rent Roll Input'!$H$3:$H$1002,'Rent Roll Input'!$E$3:$E$1002,"Vacant",'Rent Roll Input'!$D$3:$D$1002,"Type 1")</f>
        <v/>
      </c>
      <c r="H4" s="218">
        <f>F4+G4</f>
        <v/>
      </c>
      <c r="I4" s="74">
        <f>IFERROR(H4/E4,0)</f>
        <v/>
      </c>
      <c r="J4" s="74">
        <f>IFERROR(E4/$E$8,0)</f>
        <v/>
      </c>
    </row>
    <row r="5" ht="20.25" customHeight="1">
      <c r="B5" s="215" t="inlineStr">
        <is>
          <t>POH(Lot Rents)</t>
        </is>
      </c>
      <c r="C5" s="216">
        <f>COUNTIFS('Rent Roll Input'!$E$3:$E$1002,"Occupied",'Rent Roll Input'!$D$3:$D$1002,"Type 2")</f>
        <v/>
      </c>
      <c r="D5" s="216">
        <f>COUNTIFS('Rent Roll Input'!$E$3:$E$1002,"Vacant",'Rent Roll Input'!$D$3:$D$1002,"Type 2")</f>
        <v/>
      </c>
      <c r="E5" s="216">
        <f>SUM(C5:D5)</f>
        <v/>
      </c>
      <c r="F5" s="217">
        <f>SUMIFS('Rent Roll Input'!$H$3:$H$1002,'Rent Roll Input'!$E$3:$E$1002,"Occupied",'Rent Roll Input'!$D$3:$D$1002,"Type 2")</f>
        <v/>
      </c>
      <c r="G5" s="217">
        <f>SUMIFS('Rent Roll Input'!$H$3:$H$1002,'Rent Roll Input'!$E$3:$E$1002,"Vacant",'Rent Roll Input'!$D$3:$D$1002,"Type 2")</f>
        <v/>
      </c>
      <c r="H5" s="218">
        <f>F5+G5</f>
        <v/>
      </c>
      <c r="I5" s="74">
        <f>IFERROR(H5/E5,0)</f>
        <v/>
      </c>
      <c r="J5" s="74">
        <f>IFERROR(E5/$E$8,0)</f>
        <v/>
      </c>
    </row>
    <row r="6" ht="20.25" customHeight="1">
      <c r="B6" s="215" t="inlineStr">
        <is>
          <t>LTO(Lot Rents)</t>
        </is>
      </c>
      <c r="C6" s="216">
        <f>COUNTIFS('Rent Roll Input'!$E$3:$E$1002,"Occupied",'Rent Roll Input'!$D$3:$D$1002,"Type 3")</f>
        <v/>
      </c>
      <c r="D6" s="216">
        <f>COUNTIFS('Rent Roll Input'!$E$3:$E$1002,"Vacant",'Rent Roll Input'!$D$3:$D$1002,"Type 3")</f>
        <v/>
      </c>
      <c r="E6" s="216">
        <f>SUM(C6:D6)</f>
        <v/>
      </c>
      <c r="F6" s="217">
        <f>SUMIFS('Rent Roll Input'!$H$3:$H$1002,'Rent Roll Input'!$E$3:$E$1002,"Occupied",'Rent Roll Input'!$D$3:$D$1002,"Type 3")</f>
        <v/>
      </c>
      <c r="G6" s="217">
        <f>SUMIFS('Rent Roll Input'!$H$3:$H$1002,'Rent Roll Input'!$E$3:$E$1002,"Vacant",'Rent Roll Input'!$D$3:$D$1002,"Type 3")</f>
        <v/>
      </c>
      <c r="H6" s="218">
        <f>F6+G6</f>
        <v/>
      </c>
      <c r="I6" s="74">
        <f>IFERROR(H6/E6,0)</f>
        <v/>
      </c>
      <c r="J6" s="74">
        <f>IFERROR(E6/$E$8,0)</f>
        <v/>
      </c>
    </row>
    <row r="7" ht="20.25" customHeight="1">
      <c r="B7" s="215" t="inlineStr">
        <is>
          <t>Flourish (Lot Rents)</t>
        </is>
      </c>
      <c r="C7" s="216">
        <f>COUNTIFS('Rent Roll Input'!$E$3:$E$1002,"Occupied",'Rent Roll Input'!$D$3:$D$1002,"Type 4")</f>
        <v/>
      </c>
      <c r="D7" s="216">
        <f>COUNTIFS('Rent Roll Input'!$E$3:$E$1002,"Vacant",'Rent Roll Input'!$D$3:$D$1002,"Type 4")</f>
        <v/>
      </c>
      <c r="E7" s="216">
        <f>SUM(C7:D7)</f>
        <v/>
      </c>
      <c r="F7" s="217">
        <f>SUMIFS('Rent Roll Input'!$H$3:$H$1002,'Rent Roll Input'!$E$3:$E$1002,"Occupied",'Rent Roll Input'!$D$3:$D$1002,"Type 4")</f>
        <v/>
      </c>
      <c r="G7" s="217">
        <f>SUMIFS('Rent Roll Input'!$H$3:$H$1002,'Rent Roll Input'!$E$3:$E$1002,"Vacant",'Rent Roll Input'!$D$3:$D$1002,"Type 4")</f>
        <v/>
      </c>
      <c r="H7" s="218">
        <f>F7+G7</f>
        <v/>
      </c>
      <c r="I7" s="74">
        <f>IFERROR(H7/E7,0)</f>
        <v/>
      </c>
      <c r="J7" s="74">
        <f>IFERROR(E7/$E$8,0)</f>
        <v/>
      </c>
    </row>
    <row r="8" ht="20.25" customHeight="1">
      <c r="B8" s="673" t="inlineStr">
        <is>
          <t>Total Sites(Lot Rent only)</t>
        </is>
      </c>
      <c r="C8" s="674">
        <f>SUM(C4:C7)</f>
        <v/>
      </c>
      <c r="D8" s="674">
        <f>SUM(D4:D7)</f>
        <v/>
      </c>
      <c r="E8" s="674">
        <f>SUM(E4:E7)</f>
        <v/>
      </c>
      <c r="F8" s="675">
        <f>SUM(F4:F7)</f>
        <v/>
      </c>
      <c r="G8" s="675">
        <f>SUM(G4:G7)</f>
        <v/>
      </c>
      <c r="H8" s="676">
        <f>SUM(H4:H7)</f>
        <v/>
      </c>
      <c r="I8" s="74" t="n"/>
      <c r="J8" s="74" t="n"/>
    </row>
    <row r="9" ht="19.5" customHeight="1">
      <c r="B9" s="90" t="inlineStr">
        <is>
          <t>POH (Home Rents)</t>
        </is>
      </c>
      <c r="C9" s="91">
        <f>COUNTIFS('Rent Roll Input'!$E$3:$E$1002,"Occupied",'Rent Roll Input'!$D$3:$D$1002,"Type 2")</f>
        <v/>
      </c>
      <c r="D9" s="91">
        <f>COUNTIFS('Rent Roll Input'!$E$3:$E$1002,"Vacant",'Rent Roll Input'!$D$3:$D$1002,"Type 2")</f>
        <v/>
      </c>
      <c r="E9" s="91">
        <f>SUM(C9:D9)</f>
        <v/>
      </c>
      <c r="F9" s="92">
        <f>SUMIFS('Rent Roll Input'!$I$3:$I$1002,'Rent Roll Input'!$E$3:$E$1002,"Occupied",'Rent Roll Input'!$D$3:$D$1002,"Type 2")</f>
        <v/>
      </c>
      <c r="G9" s="92">
        <f>SUMIFS('Rent Roll Input'!$I$3:$I$1002,'Rent Roll Input'!$E$3:$E$1002,"Vacant",'Rent Roll Input'!$D$3:$D$1002,"Type 2")</f>
        <v/>
      </c>
      <c r="H9" s="93">
        <f>SUM(F9:G9)</f>
        <v/>
      </c>
      <c r="I9" s="74" t="n"/>
      <c r="J9" s="74" t="n"/>
    </row>
    <row r="10" ht="18" customHeight="1" thickBot="1">
      <c r="B10" s="86" t="inlineStr">
        <is>
          <t>LTO (Home Rents)</t>
        </is>
      </c>
      <c r="C10" s="87">
        <f>COUNTIFS('Rent Roll Input'!$E$3:$E$1002,"Occupied",'Rent Roll Input'!$D$3:$D$1002,"Type 3")</f>
        <v/>
      </c>
      <c r="D10" s="87">
        <f>COUNTIFS('Rent Roll Input'!$E$3:$E$1002,"Vacant",'Rent Roll Input'!$D$3:$D$1002,"Type 3")</f>
        <v/>
      </c>
      <c r="E10" s="87">
        <f>SUM(C10:D10)</f>
        <v/>
      </c>
      <c r="F10" s="88">
        <f>SUMIFS('Rent Roll Input'!$J$3:$J$1002,'Rent Roll Input'!$E$3:$E$1002,"Occupied",'Rent Roll Input'!$D$3:$D$1002,"Type 3")</f>
        <v/>
      </c>
      <c r="G10" s="88">
        <f>SUMIFS('Rent Roll Input'!$J$3:$J$1002,'Rent Roll Input'!$E$3:$E$1002,"Vacant",'Rent Roll Input'!$D$3:$D$1002,"Type 3")</f>
        <v/>
      </c>
      <c r="H10" s="89">
        <f>SUM(F10:G10)</f>
        <v/>
      </c>
      <c r="I10" s="74" t="n"/>
      <c r="J10" s="74" t="n"/>
    </row>
    <row r="11" ht="42.95" customHeight="1" thickBot="1">
      <c r="B11" s="173" t="inlineStr">
        <is>
          <t>Flourish (Home Rents)</t>
        </is>
      </c>
      <c r="C11" s="509">
        <f>COUNTIFS('Rent Roll Input'!$E$3:$E$1002,"Occupied",'Rent Roll Input'!$D$3:$D$1002,"Type 4")</f>
        <v/>
      </c>
      <c r="D11" s="74">
        <f>COUNTIFS('Rent Roll Input'!$E$3:$E$1002,"Vacant",'Rent Roll Input'!$D$3:$D$1002,"Type 4")</f>
        <v/>
      </c>
      <c r="E11" s="74">
        <f>SUM(C11:D11)</f>
        <v/>
      </c>
      <c r="F11" s="74">
        <f>SUMIFS('Rent Roll Input'!$J$3:$J$1002,'Rent Roll Input'!$E$3:$E$1002,"Occupied",'Rent Roll Input'!$D$3:$D$1002,"Type 4")</f>
        <v/>
      </c>
      <c r="G11" s="74">
        <f>SUMIFS('Rent Roll Input'!$J$3:$J$1002,'Rent Roll Input'!$E$3:$E$1002,"Vacant",'Rent Roll Input'!$D$3:$D$1002,"Type 4")</f>
        <v/>
      </c>
      <c r="H11" s="74">
        <f>SUM(F11:G11)</f>
        <v/>
      </c>
      <c r="I11" s="74" t="n"/>
      <c r="J11" s="74" t="n"/>
    </row>
    <row r="12" ht="21.75" customHeight="1">
      <c r="B12" s="90" t="inlineStr">
        <is>
          <t>Total POH (Home Rents)</t>
        </is>
      </c>
      <c r="C12" s="509">
        <f>SUM(C9:C11)</f>
        <v/>
      </c>
      <c r="D12" s="74">
        <f>SUM(D9:D11)</f>
        <v/>
      </c>
      <c r="E12" s="74">
        <f>SUM(E9:E11)</f>
        <v/>
      </c>
      <c r="F12" s="74">
        <f>SUM(F9:F11)</f>
        <v/>
      </c>
      <c r="G12" s="74">
        <f>SUM(G9:G11)</f>
        <v/>
      </c>
      <c r="H12" s="74">
        <f>SUM(H9:H11)</f>
        <v/>
      </c>
      <c r="I12" s="74" t="n"/>
      <c r="J12" s="74" t="n"/>
    </row>
    <row r="13" ht="21" customHeight="1" thickBot="1">
      <c r="B13" s="86" t="inlineStr">
        <is>
          <t>Annual GPR(Lot Rent Only)</t>
        </is>
      </c>
      <c r="C13" s="903">
        <f>H8*12</f>
        <v/>
      </c>
      <c r="D13" s="74" t="n"/>
      <c r="E13" s="74" t="n"/>
      <c r="F13" s="74" t="n"/>
      <c r="G13" s="74" t="n"/>
      <c r="H13" s="74" t="n"/>
      <c r="I13" s="74" t="n"/>
      <c r="J13" s="74" t="n"/>
    </row>
    <row r="14" ht="15.75" customFormat="1" customHeight="1" s="130" thickBot="1">
      <c r="B14" s="86" t="inlineStr">
        <is>
          <t>Avg Lot Rent</t>
        </is>
      </c>
      <c r="C14" s="903">
        <f>SUMPRODUCT(I4:I7,J4:J7)</f>
        <v/>
      </c>
      <c r="F14" s="323" t="n"/>
      <c r="I14" s="337" t="n"/>
      <c r="J14" s="337" t="n"/>
      <c r="K14" s="337" t="n"/>
      <c r="L14" s="337" t="n"/>
      <c r="M14" s="337" t="n"/>
      <c r="N14" s="337" t="n"/>
    </row>
    <row r="15" ht="15.75" customHeight="1" thickBot="1">
      <c r="B15" s="173" t="inlineStr">
        <is>
          <t>Occupancy%</t>
        </is>
      </c>
      <c r="C15" s="904">
        <f>IFERROR(C8/E8,0)</f>
        <v/>
      </c>
      <c r="D15" s="74" t="n"/>
      <c r="E15" s="74" t="n"/>
      <c r="F15" s="74" t="n"/>
      <c r="G15" s="74" t="n"/>
      <c r="H15" s="74" t="n"/>
      <c r="I15" s="337" t="n"/>
      <c r="J15" s="337" t="n"/>
      <c r="K15" s="337" t="n"/>
      <c r="L15" s="337" t="n"/>
      <c r="M15" s="337" t="n"/>
      <c r="N15" s="337" t="n"/>
    </row>
    <row r="16" ht="24" customHeight="1">
      <c r="B16" s="173" t="inlineStr">
        <is>
          <t>POH%</t>
        </is>
      </c>
      <c r="C16" s="904">
        <f>IFERROR(E12/E8,0)</f>
        <v/>
      </c>
      <c r="D16" s="74" t="n"/>
      <c r="E16" s="74" t="n"/>
      <c r="F16" s="74" t="n"/>
      <c r="G16" s="74" t="n"/>
      <c r="H16" s="74" t="n"/>
      <c r="I16" s="337" t="n"/>
      <c r="J16" s="337" t="n"/>
      <c r="K16" s="337" t="n"/>
      <c r="L16" s="337" t="n"/>
      <c r="M16" s="337" t="n"/>
      <c r="N16" s="337" t="n"/>
    </row>
    <row r="17">
      <c r="B17" s="74" t="inlineStr">
        <is>
          <t>Annual HRI (POH)</t>
        </is>
      </c>
      <c r="C17" s="905">
        <f>H9*12</f>
        <v/>
      </c>
      <c r="D17" s="906" t="n"/>
      <c r="E17" s="906" t="n"/>
      <c r="F17" s="906" t="n"/>
      <c r="G17" s="906" t="n"/>
      <c r="H17" s="906" t="n"/>
      <c r="I17" s="337" t="n"/>
      <c r="J17" s="337" t="n"/>
      <c r="K17" s="337" t="n"/>
      <c r="L17" s="337" t="n"/>
      <c r="M17" s="337" t="n"/>
      <c r="N17" s="337" t="n"/>
    </row>
    <row r="18">
      <c r="B18" s="74" t="inlineStr">
        <is>
          <t>Annual LTO HRI</t>
        </is>
      </c>
      <c r="C18" s="905">
        <f>H10*12</f>
        <v/>
      </c>
      <c r="D18" s="906" t="n"/>
      <c r="E18" s="906" t="n"/>
      <c r="F18" s="906" t="n"/>
      <c r="G18" s="906" t="n"/>
      <c r="H18" s="906" t="n"/>
      <c r="I18" s="337" t="n"/>
      <c r="J18" s="337" t="n"/>
      <c r="K18" s="337" t="n"/>
      <c r="L18" s="337" t="n"/>
      <c r="M18" s="337" t="n"/>
      <c r="N18" s="337" t="n"/>
    </row>
    <row r="19">
      <c r="B19" s="74" t="inlineStr">
        <is>
          <t>Avg Home Rent (LTO)</t>
        </is>
      </c>
      <c r="C19" s="905">
        <f>IFERROR(H10/C10,0)</f>
        <v/>
      </c>
      <c r="D19" s="906" t="n"/>
      <c r="E19" s="906" t="n"/>
      <c r="F19" s="906" t="n"/>
      <c r="G19" s="906" t="n"/>
      <c r="H19" s="906" t="n"/>
      <c r="I19" s="337" t="n"/>
      <c r="J19" s="337" t="n"/>
      <c r="K19" s="337" t="n"/>
      <c r="L19" s="337" t="n"/>
      <c r="M19" s="337" t="n"/>
      <c r="N19" s="337" t="n"/>
    </row>
    <row r="20" customFormat="1" s="74">
      <c r="B20" t="inlineStr">
        <is>
          <t>Avg Home Rent (POH)</t>
        </is>
      </c>
      <c r="C20" s="248">
        <f>IFERROR(H9/C9,0)</f>
        <v/>
      </c>
      <c r="D20" s="852" t="n"/>
      <c r="E20" s="852" t="n"/>
      <c r="F20" s="852" t="n"/>
      <c r="G20" s="852" t="n"/>
      <c r="H20" s="852" t="n"/>
      <c r="I20" s="337" t="n"/>
      <c r="J20" s="337" t="n"/>
      <c r="K20" s="337" t="n"/>
      <c r="L20" s="337" t="n"/>
      <c r="M20" s="337" t="n"/>
      <c r="N20" s="337" t="n"/>
    </row>
    <row r="21" customFormat="1" s="74">
      <c r="B21" s="852" t="n"/>
      <c r="C21" s="852" t="n"/>
      <c r="D21" s="852" t="n"/>
      <c r="E21" s="852" t="n"/>
      <c r="F21" s="852" t="n"/>
      <c r="G21" s="852" t="n"/>
      <c r="H21" s="852" t="n"/>
      <c r="I21" s="337" t="n"/>
      <c r="J21" s="337" t="n"/>
      <c r="K21" s="337" t="n"/>
      <c r="L21" s="337" t="n"/>
      <c r="M21" s="337" t="n"/>
      <c r="N21" s="337" t="n"/>
    </row>
    <row r="22" customFormat="1" s="74">
      <c r="B22" s="852" t="n"/>
      <c r="C22" s="852" t="n"/>
      <c r="D22" s="852" t="n"/>
      <c r="E22" s="852" t="n"/>
      <c r="F22" s="852" t="n"/>
      <c r="G22" s="852" t="n"/>
      <c r="H22" s="852" t="n"/>
      <c r="I22" s="337" t="n"/>
      <c r="J22" s="337" t="n"/>
      <c r="K22" s="337" t="n"/>
      <c r="L22" s="337" t="n"/>
      <c r="M22" s="337" t="n"/>
      <c r="N22" s="337" t="n"/>
    </row>
    <row r="23" customFormat="1" s="74">
      <c r="B23" s="852" t="n"/>
      <c r="C23" s="852" t="n"/>
      <c r="D23" s="852" t="n"/>
      <c r="E23" s="852" t="n"/>
      <c r="F23" s="852" t="n"/>
      <c r="G23" s="852" t="n"/>
      <c r="H23" s="852" t="n"/>
      <c r="I23" s="337" t="n"/>
      <c r="J23" s="337" t="n"/>
      <c r="K23" s="337" t="n"/>
      <c r="L23" s="337" t="n"/>
      <c r="M23" s="337" t="n"/>
      <c r="N23" s="337" t="n"/>
    </row>
    <row r="24" customFormat="1" s="74">
      <c r="B24" s="852" t="n"/>
      <c r="C24" s="852" t="n"/>
      <c r="D24" s="852" t="n"/>
      <c r="E24" s="852" t="n"/>
      <c r="F24" s="852" t="n"/>
      <c r="G24" s="852" t="n"/>
      <c r="H24" s="852" t="n"/>
      <c r="I24" s="337" t="n"/>
      <c r="J24" s="337" t="n"/>
      <c r="K24" s="337" t="n"/>
      <c r="L24" s="337" t="n"/>
      <c r="M24" s="337" t="n"/>
      <c r="N24" s="337" t="n"/>
    </row>
    <row r="25" customFormat="1" s="74">
      <c r="I25" s="337" t="n"/>
      <c r="J25" s="337" t="n"/>
      <c r="K25" s="337" t="n"/>
      <c r="L25" s="337" t="n"/>
      <c r="M25" s="337" t="n"/>
      <c r="N25" s="337" t="n"/>
    </row>
    <row r="26" customFormat="1" s="74">
      <c r="I26" s="337" t="n"/>
      <c r="J26" s="337" t="n"/>
      <c r="K26" s="337" t="n"/>
      <c r="L26" s="337" t="n"/>
      <c r="M26" s="337" t="n"/>
      <c r="N26" s="337" t="n"/>
    </row>
    <row r="27" customFormat="1" s="74">
      <c r="I27" s="337" t="n"/>
      <c r="J27" s="337" t="n"/>
      <c r="K27" s="337" t="n"/>
      <c r="L27" s="337" t="n"/>
      <c r="M27" s="337" t="n"/>
      <c r="N27" s="337" t="n"/>
    </row>
    <row r="28" customFormat="1" s="74">
      <c r="I28" s="337" t="n"/>
      <c r="J28" s="337" t="n"/>
      <c r="K28" s="337" t="n"/>
      <c r="L28" s="337" t="n"/>
      <c r="M28" s="337" t="n"/>
      <c r="N28" s="337" t="n"/>
    </row>
    <row r="29" customFormat="1" s="74">
      <c r="I29" s="337" t="n"/>
      <c r="J29" s="337" t="n"/>
      <c r="K29" s="337" t="n"/>
      <c r="L29" s="337" t="n"/>
      <c r="M29" s="337" t="n"/>
      <c r="N29" s="337" t="n"/>
    </row>
    <row r="30" customFormat="1" s="74">
      <c r="I30" s="337" t="n"/>
      <c r="J30" s="337" t="n"/>
      <c r="K30" s="337" t="n"/>
      <c r="L30" s="337" t="n"/>
      <c r="M30" s="337" t="n"/>
      <c r="N30" s="337" t="n"/>
    </row>
    <row r="31" customFormat="1" s="74">
      <c r="I31" s="337" t="n"/>
      <c r="J31" s="337" t="n"/>
      <c r="K31" s="337" t="n"/>
      <c r="L31" s="337" t="n"/>
      <c r="M31" s="337" t="n"/>
      <c r="N31" s="337" t="n"/>
    </row>
    <row r="32" customFormat="1" s="74">
      <c r="I32" s="337" t="n"/>
      <c r="J32" s="337" t="n"/>
      <c r="K32" s="337" t="n"/>
      <c r="L32" s="337" t="n"/>
      <c r="M32" s="337" t="n"/>
      <c r="N32" s="337" t="n"/>
    </row>
    <row r="33" customFormat="1" s="74">
      <c r="I33" s="337" t="n"/>
      <c r="J33" s="337" t="n"/>
      <c r="K33" s="337" t="n"/>
      <c r="L33" s="337" t="n"/>
      <c r="M33" s="337" t="n"/>
      <c r="N33" s="337" t="n"/>
    </row>
    <row r="34" customFormat="1" s="74">
      <c r="I34" s="337" t="n"/>
      <c r="J34" s="337" t="n"/>
      <c r="K34" s="337" t="n"/>
      <c r="L34" s="337" t="n"/>
      <c r="M34" s="337" t="n"/>
      <c r="N34" s="337" t="n"/>
    </row>
    <row r="35" customFormat="1" s="74">
      <c r="I35" s="337" t="n"/>
      <c r="J35" s="337" t="n"/>
      <c r="K35" s="337" t="n"/>
      <c r="L35" s="337" t="n"/>
      <c r="M35" s="337" t="n"/>
      <c r="N35" s="337" t="n"/>
    </row>
    <row r="36" customFormat="1" s="74">
      <c r="I36" s="337" t="n"/>
      <c r="J36" s="337" t="n"/>
      <c r="K36" s="337" t="n"/>
      <c r="L36" s="337" t="n"/>
      <c r="M36" s="337" t="n"/>
      <c r="N36" s="337" t="n"/>
    </row>
    <row r="37" customFormat="1" s="74">
      <c r="I37" s="337" t="n"/>
      <c r="J37" s="337" t="n"/>
      <c r="K37" s="337" t="n"/>
      <c r="L37" s="337" t="n"/>
      <c r="M37" s="337" t="n"/>
      <c r="N37" s="337" t="n"/>
    </row>
    <row r="38" customFormat="1" s="74">
      <c r="I38" s="337" t="n"/>
      <c r="J38" s="337" t="n"/>
      <c r="K38" s="337" t="n"/>
      <c r="L38" s="337" t="n"/>
      <c r="M38" s="337" t="n"/>
      <c r="N38" s="337" t="n"/>
    </row>
    <row r="39" customFormat="1" s="74">
      <c r="I39" s="337" t="n"/>
      <c r="J39" s="337" t="n"/>
      <c r="K39" s="337" t="n"/>
      <c r="L39" s="337" t="n"/>
      <c r="M39" s="337" t="n"/>
      <c r="N39" s="337" t="n"/>
    </row>
    <row r="40" customFormat="1" s="74"/>
    <row r="41" customFormat="1" s="74"/>
    <row r="42" customFormat="1" s="74"/>
    <row r="43" customFormat="1" s="74"/>
    <row r="44" customFormat="1" s="74"/>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sheetData>
  <pageMargins left="0.7" right="0.7" top="0.75" bottom="0.75" header="0.3" footer="0.3"/>
</worksheet>
</file>

<file path=xl/worksheets/sheet7.xml><?xml version="1.0" encoding="utf-8"?>
<worksheet xmlns="http://schemas.openxmlformats.org/spreadsheetml/2006/main">
  <sheetPr>
    <tabColor theme="3" tint="0.7999816888943144"/>
    <outlinePr summaryBelow="1" summaryRight="1"/>
    <pageSetUpPr/>
  </sheetPr>
  <dimension ref="A1:DF278"/>
  <sheetViews>
    <sheetView tabSelected="1" workbookViewId="0">
      <selection activeCell="D13" sqref="D13"/>
    </sheetView>
  </sheetViews>
  <sheetFormatPr baseColWidth="8" defaultColWidth="8.42578125" defaultRowHeight="15"/>
  <cols>
    <col width="46.42578125" customWidth="1" min="1" max="1"/>
    <col width="0.42578125" customWidth="1" min="2" max="2"/>
    <col width="22.5703125" customWidth="1" min="3" max="3"/>
    <col width="22.42578125" customWidth="1" min="4" max="5"/>
    <col width="22.85546875" customWidth="1" min="6" max="6"/>
    <col width="23.42578125" customWidth="1" min="7" max="7"/>
    <col width="22.42578125" customWidth="1" min="8" max="9"/>
    <col width="11.42578125" customWidth="1" min="10" max="10"/>
    <col width="72.42578125" customWidth="1" min="11" max="11"/>
    <col width="10" bestFit="1" customWidth="1" style="59" min="12" max="12"/>
    <col width="34" customWidth="1" min="13" max="13"/>
    <col width="46" customWidth="1" min="14" max="14"/>
    <col width="25" customWidth="1" min="15" max="15"/>
    <col width="18" customWidth="1" min="16" max="16"/>
    <col width="18" customWidth="1" style="59" min="17" max="17"/>
    <col width="36" customWidth="1" style="59" min="18" max="18"/>
    <col width="10" customWidth="1" style="59" min="19" max="19"/>
    <col width="14" customWidth="1" style="59" min="20" max="20"/>
    <col width="8.42578125" customWidth="1" style="59" min="21" max="110"/>
  </cols>
  <sheetData>
    <row r="1" ht="21.75" customFormat="1" customHeight="1" s="3" thickBot="1">
      <c r="A1" s="297" t="inlineStr">
        <is>
          <t>GARY GROUP CAPITAL</t>
        </is>
      </c>
      <c r="B1" s="298" t="n"/>
      <c r="C1" s="298" t="n"/>
      <c r="D1" s="298" t="n"/>
      <c r="E1" s="298" t="n"/>
      <c r="F1" s="298" t="n"/>
      <c r="G1" s="298" t="n"/>
      <c r="H1" s="298" t="n"/>
      <c r="I1" s="298" t="n"/>
      <c r="J1" s="298" t="n"/>
      <c r="K1" s="298" t="n"/>
      <c r="L1" s="298" t="n"/>
      <c r="M1" s="298" t="n"/>
      <c r="N1" s="298" t="n"/>
      <c r="O1" s="298" t="n"/>
      <c r="P1" s="298" t="n"/>
      <c r="Q1" s="59" t="n"/>
      <c r="R1" s="5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row>
    <row r="2" ht="15" customFormat="1" customHeight="1" s="59" thickBot="1">
      <c r="D2" s="168" t="inlineStr">
        <is>
          <t>Months:</t>
        </is>
      </c>
      <c r="E2" s="66">
        <f>'Data Consolidation'!H1</f>
        <v/>
      </c>
      <c r="F2" t="inlineStr">
        <is>
          <t>Broker's Proforma</t>
        </is>
      </c>
      <c r="G2" s="267" t="inlineStr">
        <is>
          <t>ALT NOI</t>
        </is>
      </c>
      <c r="H2" s="334" t="inlineStr">
        <is>
          <t>Lot Rent only NOI</t>
        </is>
      </c>
      <c r="I2" s="334" t="n"/>
      <c r="K2" t="inlineStr">
        <is>
          <t>UW NOI</t>
        </is>
      </c>
      <c r="L2" t="inlineStr">
        <is>
          <t>Per Unit</t>
        </is>
      </c>
      <c r="M2" s="907" t="inlineStr">
        <is>
          <t>Underwritten Date</t>
        </is>
      </c>
      <c r="N2" s="752" t="n"/>
      <c r="P2" s="885" t="n"/>
    </row>
    <row r="3" ht="16.5" customHeight="1" thickBot="1">
      <c r="A3" s="60" t="inlineStr">
        <is>
          <t>Income</t>
        </is>
      </c>
      <c r="B3" s="61">
        <f>'Data Consolidation'!D2</f>
        <v/>
      </c>
      <c r="C3" s="61">
        <f>'Data Consolidation'!E2</f>
        <v/>
      </c>
      <c r="D3" s="62">
        <f>'Data Consolidation'!G2</f>
        <v/>
      </c>
      <c r="E3" s="62">
        <f>'Data Consolidation'!H2</f>
        <v/>
      </c>
      <c r="F3" s="62">
        <f>'Data Consolidation'!F2</f>
        <v/>
      </c>
      <c r="G3" s="105" t="inlineStr">
        <is>
          <t>GGC ProForma</t>
        </is>
      </c>
      <c r="H3" s="105" t="inlineStr">
        <is>
          <t>GGC ProForma</t>
        </is>
      </c>
      <c r="I3" s="105" t="inlineStr">
        <is>
          <t>GGC ProForma</t>
        </is>
      </c>
      <c r="J3" s="113" t="inlineStr">
        <is>
          <t>% of GPR</t>
        </is>
      </c>
      <c r="K3" s="63" t="inlineStr">
        <is>
          <t>Notes</t>
        </is>
      </c>
      <c r="L3" t="inlineStr">
        <is>
          <t>% of GPR</t>
        </is>
      </c>
      <c r="M3" s="908" t="inlineStr">
        <is>
          <t>Property Information</t>
        </is>
      </c>
      <c r="N3" s="909" t="n"/>
      <c r="O3" s="909" t="n"/>
      <c r="P3" s="909" t="n"/>
      <c r="Q3" s="907" t="inlineStr">
        <is>
          <t>WEBSITE</t>
        </is>
      </c>
      <c r="R3" s="687" t="n"/>
    </row>
    <row r="4" ht="19.5" customHeight="1" thickBot="1">
      <c r="A4" s="136" t="inlineStr">
        <is>
          <t>Gross Potential Rent</t>
        </is>
      </c>
      <c r="B4" s="131">
        <f>SUMIFS('Data Consolidation'!$D$3:$D$36,'Data Consolidation'!$A$3:$A$36,"Gross Potential Rent")</f>
        <v/>
      </c>
      <c r="C4" s="131">
        <f>SUMIFS('Data Consolidation'!$E$3:$E$36,'Data Consolidation'!$A$3:$A$36,"Gross Potential Rent")</f>
        <v/>
      </c>
      <c r="D4" s="131">
        <f>SUMIFS('Data Consolidation'!$G$3:$G$36,'Data Consolidation'!$A$3:$A$36,"Gross Potential Rent")</f>
        <v/>
      </c>
      <c r="E4" s="131">
        <f>SUMIFS('Data Consolidation'!$H$3:$H$36,'Data Consolidation'!$A$3:$A$36,"Gross Potential Rent")</f>
        <v/>
      </c>
      <c r="F4" s="131">
        <f>SUMIFS('Data Consolidation'!$F$3:$F$36,'Data Consolidation'!$A$3:$A$36,"Gross Potential Rent")</f>
        <v/>
      </c>
      <c r="G4" s="332">
        <f>'Unit Mix Rent Growth'!H19</f>
        <v/>
      </c>
      <c r="H4" s="332">
        <f>I4</f>
        <v/>
      </c>
      <c r="I4" s="332">
        <f>'Unit Mix Summary'!C11</f>
        <v/>
      </c>
      <c r="J4" s="114">
        <f>K4</f>
        <v/>
      </c>
      <c r="K4" s="159">
        <f>'Unit Mix Summary'!C13</f>
        <v/>
      </c>
      <c r="L4">
        <f>K4/$P$7</f>
        <v/>
      </c>
      <c r="M4" s="885" t="n"/>
      <c r="N4" s="885" t="n"/>
      <c r="O4" s="910" t="inlineStr">
        <is>
          <t>Property Name</t>
        </is>
      </c>
      <c r="P4" s="911">
        <f>IFERROR(IF(ISNUMBER(P9),P9,0),0)</f>
        <v/>
      </c>
      <c r="Q4" s="912" t="inlineStr">
        <is>
          <t>Purchase/Offer Price</t>
        </is>
      </c>
      <c r="R4" s="913">
        <f>IFERROR(IF(ISNUMBER(R9),R9,0),0)</f>
        <v/>
      </c>
      <c r="S4" s="885" t="n"/>
    </row>
    <row r="5" ht="19.5" customHeight="1" thickBot="1">
      <c r="A5" s="137" t="inlineStr">
        <is>
          <t>Less: Vacancy</t>
        </is>
      </c>
      <c r="B5" s="754">
        <f>SUMIFS('Data Consolidation'!$D$3:$D$36,'Data Consolidation'!$A$3:$A$36,"Vacancy")</f>
        <v/>
      </c>
      <c r="C5" s="754">
        <f>SUMIFS('Data Consolidation'!$E$3:$E$36,'Data Consolidation'!$A$3:$A$36,"Vacancy")</f>
        <v/>
      </c>
      <c r="D5" s="754">
        <f>SUMIFS('Data Consolidation'!$G$3:$G$36,'Data Consolidation'!$A$3:$A$36,"Vacancy")</f>
        <v/>
      </c>
      <c r="E5" s="754">
        <f>SUMIFS('Data Consolidation'!$H$3:$H$36,'Data Consolidation'!$A$3:$A$36,"Vacancy")</f>
        <v/>
      </c>
      <c r="F5" s="754">
        <f>SUMIFS('Data Consolidation'!$F$3:$F$36,'Data Consolidation'!$A$3:$A$36,"Vacancy")</f>
        <v/>
      </c>
      <c r="G5" s="754">
        <f>-5%*G4</f>
        <v/>
      </c>
      <c r="H5" s="754">
        <f>I5</f>
        <v/>
      </c>
      <c r="I5" s="754">
        <f>-J5*I4</f>
        <v/>
      </c>
      <c r="J5" s="666">
        <f>-L5*J4</f>
        <v/>
      </c>
      <c r="K5" s="159">
        <f>-L5*K4</f>
        <v/>
      </c>
      <c r="L5">
        <f>100%-P8</f>
        <v/>
      </c>
      <c r="M5" s="885" t="n"/>
      <c r="N5" s="885" t="n"/>
      <c r="O5" s="910" t="inlineStr">
        <is>
          <t>Property Address</t>
        </is>
      </c>
      <c r="P5" s="914">
        <f>P4/N7</f>
        <v/>
      </c>
      <c r="Q5" s="912" t="inlineStr">
        <is>
          <t>Purchase Price Per Site</t>
        </is>
      </c>
      <c r="R5" s="913">
        <f>R4/P7</f>
        <v/>
      </c>
      <c r="S5" s="885" t="n"/>
    </row>
    <row r="6" ht="19.5" customHeight="1" thickBot="1">
      <c r="A6" s="137" t="inlineStr">
        <is>
          <t>Less: Concessions</t>
        </is>
      </c>
      <c r="B6" s="754">
        <f>SUMIFS('Data Consolidation'!$D$3:$D$36,'Data Consolidation'!$A$3:$A$36,"Concessions")</f>
        <v/>
      </c>
      <c r="C6" s="754">
        <f>SUMIFS('Data Consolidation'!$E$3:$E$36,'Data Consolidation'!$A$3:$A$36,"Concessions")</f>
        <v/>
      </c>
      <c r="D6" s="754">
        <f>SUMIFS('Data Consolidation'!$G$3:$G$36,'Data Consolidation'!$A$3:$A$36,"Concessions")</f>
        <v/>
      </c>
      <c r="E6" s="754">
        <f>SUMIFS('Data Consolidation'!$H$3:$H$36,'Data Consolidation'!$A$3:$A$36,"Concessions")</f>
        <v/>
      </c>
      <c r="F6" s="754">
        <f>SUMIFS('Data Consolidation'!$F$3:$F$36,'Data Consolidation'!$A$3:$A$36,"Concessions")</f>
        <v/>
      </c>
      <c r="G6" s="754">
        <f>-J6*$G$4</f>
        <v/>
      </c>
      <c r="H6" s="754">
        <f>I6</f>
        <v/>
      </c>
      <c r="I6" s="754" t="n">
        <v>0</v>
      </c>
      <c r="J6" s="94">
        <f>-L6*J5</f>
        <v/>
      </c>
      <c r="K6" s="159" t="n">
        <v>0</v>
      </c>
      <c r="L6">
        <f>K6/K4</f>
        <v/>
      </c>
      <c r="M6" s="885" t="n"/>
      <c r="N6" s="885" t="n"/>
      <c r="O6" s="910" t="inlineStr">
        <is>
          <t>Property Type</t>
        </is>
      </c>
      <c r="P6" s="915">
        <f>I47/P4</f>
        <v/>
      </c>
      <c r="Q6" s="912" t="inlineStr">
        <is>
          <t>Underwritten CAP rate</t>
        </is>
      </c>
      <c r="R6" s="916">
        <f>K47/R4</f>
        <v/>
      </c>
      <c r="S6" s="885" t="n"/>
    </row>
    <row r="7" ht="19.5" customHeight="1" thickBot="1">
      <c r="A7" s="137" t="inlineStr">
        <is>
          <t>Less: Bad Debt</t>
        </is>
      </c>
      <c r="B7" s="132">
        <f>SUMIFS('Data Consolidation'!$D$3:$D$36,'Data Consolidation'!$A$3:$A$36,"Bad Debt")</f>
        <v/>
      </c>
      <c r="C7" s="132">
        <f>SUMIFS('Data Consolidation'!$E$3:$E$36,'Data Consolidation'!$A$3:$A$36,"Bad Debt")</f>
        <v/>
      </c>
      <c r="D7" s="132">
        <f>SUMIFS('Data Consolidation'!$G$3:$G$36,'Data Consolidation'!$A$3:$A$36,"Bad Debt")</f>
        <v/>
      </c>
      <c r="E7" s="132">
        <f>SUMIFS('Data Consolidation'!$H$3:$H$36,'Data Consolidation'!$A$3:$A$36,"Bad Debt")</f>
        <v/>
      </c>
      <c r="F7" s="132">
        <f>SUMIFS('Data Consolidation'!$F$3:$F$36,'Data Consolidation'!$A$3:$A$36,"Bad Debt")</f>
        <v/>
      </c>
      <c r="G7" s="754">
        <f>-J7*$G$4</f>
        <v/>
      </c>
      <c r="H7" s="754">
        <f>I7</f>
        <v/>
      </c>
      <c r="I7" s="754">
        <f>D7</f>
        <v/>
      </c>
      <c r="J7" s="94" t="n">
        <v>0.03</v>
      </c>
      <c r="K7" s="159">
        <f>-L7*K4</f>
        <v/>
      </c>
      <c r="L7" t="n">
        <v>0.02</v>
      </c>
      <c r="M7" s="885" t="n"/>
      <c r="N7" s="471">
        <f>'Unit Mix Summary'!E8</f>
        <v/>
      </c>
      <c r="O7" s="910" t="inlineStr">
        <is>
          <t xml:space="preserve"># of Units </t>
        </is>
      </c>
      <c r="P7" s="917">
        <f>'Unit Mix Summary'!E8</f>
        <v/>
      </c>
      <c r="Q7" s="912" t="inlineStr">
        <is>
          <t>Stabilized YOC(Y5)</t>
        </is>
      </c>
      <c r="R7" s="918">
        <f>'GGC Pro Forma'!L53/'Sources and Uses'!C18</f>
        <v/>
      </c>
    </row>
    <row r="8" ht="19.5" customHeight="1" thickBot="1">
      <c r="A8" s="491" t="n"/>
      <c r="B8" s="132" t="n"/>
      <c r="C8" s="132" t="n"/>
      <c r="D8" s="132" t="n"/>
      <c r="E8" s="132" t="n"/>
      <c r="F8" s="132" t="n"/>
      <c r="G8" s="492" t="n"/>
      <c r="H8" s="492" t="n"/>
      <c r="I8" s="492" t="n"/>
      <c r="J8" s="493" t="n"/>
      <c r="K8" s="919" t="n"/>
      <c r="L8" s="852" t="n"/>
      <c r="M8" s="885" t="n"/>
      <c r="N8" s="333">
        <f>'Unit Mix Summary'!C15</f>
        <v/>
      </c>
      <c r="O8" s="910" t="inlineStr">
        <is>
          <t>Rent Roll Occupancy</t>
        </is>
      </c>
      <c r="P8" s="920">
        <f>'Unit Mix Summary'!C15</f>
        <v/>
      </c>
      <c r="Q8" s="59" t="inlineStr">
        <is>
          <t>Trash</t>
        </is>
      </c>
      <c r="R8" s="59" t="n"/>
    </row>
    <row r="9" ht="19.5" customHeight="1" thickBot="1">
      <c r="A9" s="120" t="inlineStr">
        <is>
          <t>Net Rental Income</t>
        </is>
      </c>
      <c r="B9" s="100">
        <f>B4-B5-B6-B7</f>
        <v/>
      </c>
      <c r="C9" s="101">
        <f>SUM(C4:C7)</f>
        <v/>
      </c>
      <c r="D9" s="101">
        <f>SUM(D4:D7)</f>
        <v/>
      </c>
      <c r="E9" s="101">
        <f>SUM(E4:E7)</f>
        <v/>
      </c>
      <c r="F9" s="101">
        <f>SUM(F4:F7)</f>
        <v/>
      </c>
      <c r="G9" s="101">
        <f>SUM(G4:G7)</f>
        <v/>
      </c>
      <c r="H9" s="101">
        <f>SUM(H4:H7)</f>
        <v/>
      </c>
      <c r="I9" s="101">
        <f>SUM(I4:I7)</f>
        <v/>
      </c>
      <c r="J9" s="257">
        <f>I9/12</f>
        <v/>
      </c>
      <c r="K9" s="661">
        <f>SUM(K4:K7)</f>
        <v/>
      </c>
      <c r="L9" s="852" t="n"/>
      <c r="M9" s="885" t="n"/>
      <c r="N9" s="885" t="n"/>
      <c r="O9" s="910" t="inlineStr">
        <is>
          <t>Acreage</t>
        </is>
      </c>
      <c r="P9" s="911" t="n"/>
      <c r="Q9" s="921" t="inlineStr">
        <is>
          <t>Asking Price by Seller</t>
        </is>
      </c>
      <c r="R9" s="922" t="n"/>
    </row>
    <row r="10" ht="15.6" customHeight="1" thickBot="1">
      <c r="A10" s="121" t="inlineStr">
        <is>
          <t>YoY % Growth</t>
        </is>
      </c>
      <c r="B10" s="72" t="n"/>
      <c r="C10" s="338">
        <f>(C9-B9)/B9</f>
        <v/>
      </c>
      <c r="D10" s="338">
        <f>(D9-C9)/C9</f>
        <v/>
      </c>
      <c r="E10" s="338">
        <f>(E9-D9)/D9</f>
        <v/>
      </c>
      <c r="F10" s="73" t="n"/>
      <c r="G10" s="329" t="n"/>
      <c r="H10" s="329" t="n"/>
      <c r="I10" s="329" t="n"/>
      <c r="J10" s="662">
        <f>I9/$N$7</f>
        <v/>
      </c>
      <c r="K10" s="661" t="inlineStr">
        <is>
          <t>per unit</t>
        </is>
      </c>
      <c r="L10" s="852" t="n"/>
      <c r="M10" s="885" t="n"/>
      <c r="N10" s="885" t="n"/>
      <c r="O10" s="910" t="inlineStr">
        <is>
          <t>County</t>
        </is>
      </c>
      <c r="P10" s="914">
        <f>P9/N7</f>
        <v/>
      </c>
      <c r="Q10" s="921" t="inlineStr">
        <is>
          <t xml:space="preserve">Asking Price Per Site </t>
        </is>
      </c>
      <c r="R10" s="922">
        <f>R9/P7</f>
        <v/>
      </c>
    </row>
    <row r="11" ht="3" customFormat="1" customHeight="1" s="59" thickBot="1">
      <c r="A11" s="306" t="n"/>
      <c r="B11" s="298" t="n"/>
      <c r="C11" s="298" t="n"/>
      <c r="D11" s="298" t="n"/>
      <c r="E11" s="298" t="n"/>
      <c r="F11" s="298" t="n"/>
      <c r="G11" s="330" t="n"/>
      <c r="H11" s="330" t="n"/>
      <c r="I11" s="330" t="n"/>
      <c r="J11" s="307" t="n"/>
      <c r="K11" s="923" t="n"/>
      <c r="L11" s="852" t="n"/>
    </row>
    <row r="12" ht="23.25" customHeight="1">
      <c r="A12" s="138" t="inlineStr">
        <is>
          <t>Utility Reimbursement</t>
        </is>
      </c>
      <c r="B12" s="132">
        <f>SUMIFS('Data Consolidation'!$D$3:$D$36,'Data Consolidation'!$A$3:$A$36,"Utility Reimbursement")</f>
        <v/>
      </c>
      <c r="C12" s="132">
        <f>SUMIFS('Data Consolidation'!$E$3:$E$36,'Data Consolidation'!$A$3:$A$36,"Utility Reimbursement")</f>
        <v/>
      </c>
      <c r="D12" s="132">
        <f>SUMIFS('Data Consolidation'!$G$3:$G$36,'Data Consolidation'!$A$3:$A$36,"Utility Reimbursement")</f>
        <v/>
      </c>
      <c r="E12" s="132">
        <f>SUMIFS('Data Consolidation'!$H$3:$H$36,'Data Consolidation'!$A$3:$A$36,"Utility Reimbursement")</f>
        <v/>
      </c>
      <c r="F12" s="132">
        <f>SUMIFS('Data Consolidation'!$F$3:$F$36,'Data Consolidation'!$A$3:$A$36,"Utility Reimbursement")</f>
        <v/>
      </c>
      <c r="G12" s="111">
        <f>I12</f>
        <v/>
      </c>
      <c r="H12" s="111">
        <f>I12</f>
        <v/>
      </c>
      <c r="I12" s="111">
        <f>K12</f>
        <v/>
      </c>
      <c r="J12" s="111">
        <f>K12*80%</f>
        <v/>
      </c>
      <c r="K12" s="159">
        <f>D12</f>
        <v/>
      </c>
      <c r="L12">
        <f>K12/$P$7</f>
        <v/>
      </c>
      <c r="M12" s="59" t="n"/>
      <c r="N12" s="59" t="n"/>
      <c r="O12" s="59" t="inlineStr">
        <is>
          <t>Brookings Multifamily cap rate at 6%-7.5%</t>
        </is>
      </c>
      <c r="P12" s="59" t="n"/>
      <c r="Q12" s="885" t="n"/>
      <c r="R12" s="885" t="n"/>
      <c r="S12" s="885" t="n"/>
      <c r="T12" s="885" t="n"/>
    </row>
    <row r="13" ht="42.6" customHeight="1">
      <c r="A13" s="139" t="inlineStr">
        <is>
          <t>Home Rent Income</t>
        </is>
      </c>
      <c r="B13" s="132">
        <f>SUMIFS('Data Consolidation'!$D$3:$D$36,'Data Consolidation'!$A$3:$A$36,"Home Rent Income")</f>
        <v/>
      </c>
      <c r="C13" s="132">
        <f>SUMIFS('Data Consolidation'!$E$3:$E$36,'Data Consolidation'!$A$3:$A$36,"Home Rent Income")</f>
        <v/>
      </c>
      <c r="D13" s="132">
        <f>SUMIFS('Data Consolidation'!$G$3:$G$36,'Data Consolidation'!$A$3:$A$36,"Home Rent Income")</f>
        <v/>
      </c>
      <c r="E13" s="132">
        <f>SUMIFS('Data Consolidation'!$H$3:$H$36,'Data Consolidation'!$A$3:$A$36,"Home Rent Income")</f>
        <v/>
      </c>
      <c r="F13" s="132">
        <f>SUMIFS('Data Consolidation'!$F$3:$F$36,'Data Consolidation'!$A$3:$A$36,"Home Rent Income")</f>
        <v/>
      </c>
      <c r="G13" s="111">
        <f>SUM('Rent Roll Input'!J3:J1002)*12*95%</f>
        <v/>
      </c>
      <c r="H13" s="111" t="n">
        <v>0</v>
      </c>
      <c r="I13" s="111">
        <f>K13</f>
        <v/>
      </c>
      <c r="J13" s="111">
        <f>K13</f>
        <v/>
      </c>
      <c r="K13" s="339">
        <f>SUM('Rent Roll Input'!I3:I1002)*12*95%</f>
        <v/>
      </c>
      <c r="L13">
        <f>K13/$P$7</f>
        <v/>
      </c>
      <c r="M13" s="341" t="inlineStr">
        <is>
          <t>Asset</t>
        </is>
      </c>
      <c r="N13" s="341" t="inlineStr">
        <is>
          <t>NOI</t>
        </is>
      </c>
      <c r="O13" s="341" t="inlineStr">
        <is>
          <t>CAP RATE</t>
        </is>
      </c>
      <c r="P13" s="341" t="inlineStr">
        <is>
          <t>VALUE</t>
        </is>
      </c>
      <c r="Q13" s="341" t="inlineStr">
        <is>
          <t>VALUE/UNIT</t>
        </is>
      </c>
      <c r="R13" s="341" t="inlineStr">
        <is>
          <t>UNIT</t>
        </is>
      </c>
      <c r="S13" s="885" t="n"/>
      <c r="T13" s="885" t="n"/>
    </row>
    <row r="14" ht="21" customHeight="1">
      <c r="A14" s="139" t="inlineStr">
        <is>
          <t>LTO</t>
        </is>
      </c>
      <c r="B14" s="132">
        <f>SUMIFS('Data Consolidation'!$D$3:$D$36,'Data Consolidation'!$A$3:$A$36,"LTO")</f>
        <v/>
      </c>
      <c r="C14" s="132">
        <f>SUMIFS('Data Consolidation'!$E$3:$E$36,'Data Consolidation'!$A$3:$A$36,"LTO")</f>
        <v/>
      </c>
      <c r="D14" s="132">
        <f>SUMIFS('Data Consolidation'!$G$3:$G$36,'Data Consolidation'!$A$3:$A$36,"LTO")</f>
        <v/>
      </c>
      <c r="E14" s="132">
        <f>SUMIFS('Data Consolidation'!$H$3:$H$36,'Data Consolidation'!$A$3:$A$36,"LTO")</f>
        <v/>
      </c>
      <c r="F14" s="132">
        <f>SUMIFS('Data Consolidation'!$F$3:$F$36,'Data Consolidation'!$A$3:$A$36,"LTO")</f>
        <v/>
      </c>
      <c r="G14" s="111">
        <f>I14</f>
        <v/>
      </c>
      <c r="H14" s="111">
        <f>I14</f>
        <v/>
      </c>
      <c r="I14" s="111">
        <f>K14</f>
        <v/>
      </c>
      <c r="J14" s="111">
        <f>K14</f>
        <v/>
      </c>
      <c r="K14" s="159">
        <f>SUM('Rent Roll Input'!J3:J1002)*12*95%</f>
        <v/>
      </c>
      <c r="L14">
        <f>K14/$P$7</f>
        <v/>
      </c>
      <c r="M14" s="284" t="inlineStr">
        <is>
          <t>Lot Rent only NOI</t>
        </is>
      </c>
      <c r="N14" s="755">
        <f>J47</f>
        <v/>
      </c>
      <c r="O14" s="691" t="n">
        <v>0.05</v>
      </c>
      <c r="P14" s="756">
        <f>N14/O14</f>
        <v/>
      </c>
      <c r="Q14" s="756">
        <f>P14/R14</f>
        <v/>
      </c>
      <c r="R14" s="677">
        <f>'Unit Mix Summary'!E8</f>
        <v/>
      </c>
      <c r="S14" s="885" t="n"/>
      <c r="T14" s="885" t="n"/>
    </row>
    <row r="15" ht="21.75" customHeight="1">
      <c r="A15" s="139" t="inlineStr">
        <is>
          <t>Storage Income</t>
        </is>
      </c>
      <c r="B15" s="132">
        <f>SUMIFS('Data Consolidation'!$D$3:$D$36,'Data Consolidation'!$A$3:$A$36,"Parking Income")</f>
        <v/>
      </c>
      <c r="C15" s="132">
        <f>SUMIFS('Data Consolidation'!$E$3:$E$36,'Data Consolidation'!$A$3:$A$36,"Parking Income")</f>
        <v/>
      </c>
      <c r="D15" s="132">
        <f>SUMIFS('Data Consolidation'!$G$3:$G$36,'Data Consolidation'!$A$3:$A$36,"Parking Income")</f>
        <v/>
      </c>
      <c r="E15" s="132">
        <f>SUMIFS('Data Consolidation'!$H$3:$H$36,'Data Consolidation'!$A$3:$A$36,"Parking Income")</f>
        <v/>
      </c>
      <c r="F15" s="132">
        <f>SUMIFS('Data Consolidation'!$F$3:$F$36,'Data Consolidation'!$A$3:$A$36,"Parking Income")</f>
        <v/>
      </c>
      <c r="G15" s="111" t="n">
        <v>0</v>
      </c>
      <c r="H15" s="111">
        <f>I15</f>
        <v/>
      </c>
      <c r="I15" s="111">
        <f>K15</f>
        <v/>
      </c>
      <c r="J15" s="111">
        <f>K15</f>
        <v/>
      </c>
      <c r="K15" s="159">
        <f>G15</f>
        <v/>
      </c>
      <c r="L15">
        <f>K15/$P$7</f>
        <v/>
      </c>
      <c r="M15" s="284" t="inlineStr">
        <is>
          <t>Home Rent only NOI</t>
        </is>
      </c>
      <c r="N15" s="685">
        <f>K47-J47</f>
        <v/>
      </c>
      <c r="O15" s="692" t="n">
        <v>0.2</v>
      </c>
      <c r="P15" s="756">
        <f>N15/O15</f>
        <v/>
      </c>
      <c r="Q15" s="756">
        <f>P15/R15</f>
        <v/>
      </c>
      <c r="R15" s="677">
        <f>'Unit Mix Summary'!E6+'Unit Mix Summary'!E7</f>
        <v/>
      </c>
      <c r="S15" s="885" t="n"/>
      <c r="T15" s="885" t="n"/>
    </row>
    <row r="16" ht="21.75" customHeight="1">
      <c r="A16" s="139" t="inlineStr">
        <is>
          <t>Retail Income</t>
        </is>
      </c>
      <c r="B16" s="132">
        <f>SUMIFS('Data Consolidation'!$D$3:$D$36,'Data Consolidation'!$A$3:$A$36,"Laundry Income")</f>
        <v/>
      </c>
      <c r="C16" s="132">
        <f>SUMIFS('Data Consolidation'!$E$3:$E$36,'Data Consolidation'!$A$3:$A$36,"Retail")</f>
        <v/>
      </c>
      <c r="D16" s="132">
        <f>SUMIFS('Data Consolidation'!$G$3:$G$36,'Data Consolidation'!$A$3:$A$36,"Retail")</f>
        <v/>
      </c>
      <c r="E16" s="132">
        <f>SUMIFS('Data Consolidation'!$H$3:$H$36,'Data Consolidation'!$A$3:$A$36,"Retail")</f>
        <v/>
      </c>
      <c r="F16" s="132">
        <f>SUMIFS('Data Consolidation'!$F$3:$F$36,'Data Consolidation'!$A$3:$A$36,"Retail")</f>
        <v/>
      </c>
      <c r="G16" s="111" t="n">
        <v>0</v>
      </c>
      <c r="H16" s="111" t="n"/>
      <c r="I16" s="111">
        <f>K16</f>
        <v/>
      </c>
      <c r="J16" s="111">
        <f>K16</f>
        <v/>
      </c>
      <c r="K16" s="159">
        <f>G16</f>
        <v/>
      </c>
      <c r="L16">
        <f>K16/$P$7</f>
        <v/>
      </c>
      <c r="M16" s="325" t="inlineStr">
        <is>
          <t>Total</t>
        </is>
      </c>
      <c r="N16" s="326">
        <f>SUM(N14:N15)</f>
        <v/>
      </c>
      <c r="O16" s="692">
        <f>N16/P16</f>
        <v/>
      </c>
      <c r="P16" s="756">
        <f>SUM(P14:P15)</f>
        <v/>
      </c>
      <c r="Q16" s="133" t="n"/>
      <c r="R16" s="133" t="n"/>
      <c r="S16" s="885" t="n"/>
      <c r="T16" s="885" t="n"/>
    </row>
    <row r="17" ht="17.25" customHeight="1">
      <c r="A17" s="139" t="inlineStr">
        <is>
          <t>Other Income</t>
        </is>
      </c>
      <c r="B17" s="132">
        <f>SUMIFS('Data Consolidation'!$D$3:$D$36,'Data Consolidation'!$A$3:$A$36,"Other Income")</f>
        <v/>
      </c>
      <c r="C17" s="132">
        <f>SUMIFS('Data Consolidation'!$E$3:$E$36,'Data Consolidation'!$A$3:$A$36,"Other Income")</f>
        <v/>
      </c>
      <c r="D17" s="132">
        <f>SUMIFS('Data Consolidation'!$G$3:$G$36,'Data Consolidation'!$A$3:$A$36,"Other Income")</f>
        <v/>
      </c>
      <c r="E17" s="132">
        <f>SUMIFS('Data Consolidation'!$H$3:$H$36,'Data Consolidation'!$A$3:$A$36,"Other Income")</f>
        <v/>
      </c>
      <c r="F17" s="132">
        <f>SUMIFS('Data Consolidation'!$F$3:$F$36,'Data Consolidation'!$A$3:$A$36,"Other Income")</f>
        <v/>
      </c>
      <c r="G17" s="111">
        <f>I17</f>
        <v/>
      </c>
      <c r="H17" s="111">
        <f>I17</f>
        <v/>
      </c>
      <c r="I17" s="111">
        <f>AVERAGE(C17,D17)</f>
        <v/>
      </c>
      <c r="J17" s="111">
        <f>K17</f>
        <v/>
      </c>
      <c r="K17" s="159">
        <f>D17</f>
        <v/>
      </c>
      <c r="L17">
        <f>K17/$P$7</f>
        <v/>
      </c>
      <c r="M17" s="59" t="n"/>
      <c r="N17" s="59" t="n"/>
      <c r="O17" s="59" t="n"/>
      <c r="P17" s="59" t="n"/>
    </row>
    <row r="18" ht="3" customHeight="1">
      <c r="A18" s="64" t="inlineStr">
        <is>
          <t>RV Site Rental Income</t>
        </is>
      </c>
      <c r="B18" s="3">
        <f>SUMIFS('Data Consolidation'!$D$3:$D$36,'Data Consolidation'!$A$3:$A$36,"RV Site Rental Income")</f>
        <v/>
      </c>
      <c r="C18" s="3">
        <f>SUMIFS('Data Consolidation'!$E$3:$E$36,'Data Consolidation'!$A$3:$A$36,"RV Site Rental Income")</f>
        <v/>
      </c>
      <c r="D18" s="3">
        <f>SUMIFS('Data Consolidation'!$G$3:$G$36,'Data Consolidation'!$A$3:$A$36,"RV Site Rental Income")</f>
        <v/>
      </c>
      <c r="E18" s="3">
        <f>SUMIFS('Data Consolidation'!$H$3:$H$36,'Data Consolidation'!$A$3:$A$36,"RV Site Rental Income")</f>
        <v/>
      </c>
      <c r="F18" s="3">
        <f>SUMIFS('Data Consolidation'!$F$3:$F$36,'Data Consolidation'!$A$3:$A$36,"RV Site Rental Income")</f>
        <v/>
      </c>
      <c r="G18" s="328">
        <f>I18</f>
        <v/>
      </c>
      <c r="H18" s="328">
        <f>I18</f>
        <v/>
      </c>
      <c r="I18" s="328" t="n">
        <v>0</v>
      </c>
      <c r="J18" s="107">
        <f>I18/$N$7</f>
        <v/>
      </c>
      <c r="K18" s="65" t="n">
        <v>0</v>
      </c>
      <c r="M18" s="59" t="n"/>
      <c r="N18" s="59" t="n"/>
      <c r="O18" s="59" t="n"/>
      <c r="P18" s="59" t="n"/>
    </row>
    <row r="19" ht="24" customHeight="1">
      <c r="A19" s="122" t="inlineStr">
        <is>
          <t>Total Effective Gross Income</t>
        </is>
      </c>
      <c r="B19" s="99">
        <f>B9+B12+B13+B14+B15+B16+B17+B18</f>
        <v/>
      </c>
      <c r="C19" s="99">
        <f>C9+C12+C13+C14+C15+C16+C17+C18</f>
        <v/>
      </c>
      <c r="D19" s="99">
        <f>D9+D12+D13+D14+D15+D16+D17+D18</f>
        <v/>
      </c>
      <c r="E19" s="99">
        <f>E9+E12+E13+E14+E15+E16+E17+E18</f>
        <v/>
      </c>
      <c r="F19" s="99">
        <f>F9+F12+F13+F14+F15+F16+F17+F18</f>
        <v/>
      </c>
      <c r="G19" s="99">
        <f>G9+G12+G13+G14+G15+G16+G17+G18</f>
        <v/>
      </c>
      <c r="H19" s="99">
        <f>H9+H12+H13+H14+H15+H16+H17+H18</f>
        <v/>
      </c>
      <c r="I19" s="99">
        <f>I9+I12+I13+I14+I15+I16+I17+I18</f>
        <v/>
      </c>
      <c r="J19" s="663">
        <f>I19/$N$7</f>
        <v/>
      </c>
      <c r="K19" s="661">
        <f>K9+K12+K13+K14+K15+K16+K17+K18</f>
        <v/>
      </c>
      <c r="L19">
        <f>K19/$P$7</f>
        <v/>
      </c>
      <c r="M19" s="907" t="inlineStr">
        <is>
          <t>Tax Analysis Section</t>
        </is>
      </c>
      <c r="N19" s="924" t="n"/>
      <c r="O19" s="885" t="n"/>
      <c r="P19" s="885" t="n"/>
      <c r="Q19" s="885" t="n"/>
    </row>
    <row r="20" ht="14.25" customHeight="1" thickBot="1">
      <c r="A20" s="123" t="inlineStr">
        <is>
          <t>YoY % Growth</t>
        </is>
      </c>
      <c r="B20" s="234" t="n"/>
      <c r="C20" s="235">
        <f>(C19-B19)/B19</f>
        <v/>
      </c>
      <c r="D20" s="235">
        <f>(D19-C19)/C19</f>
        <v/>
      </c>
      <c r="E20" s="235">
        <f>(E19-D19)/D19</f>
        <v/>
      </c>
      <c r="F20" s="70" t="n"/>
      <c r="G20" s="108" t="n"/>
      <c r="H20" s="108" t="n"/>
      <c r="I20" s="108" t="n"/>
      <c r="J20" s="108" t="n"/>
      <c r="K20" s="103" t="n"/>
      <c r="M20" s="912" t="inlineStr">
        <is>
          <t xml:space="preserve">Assessed Value </t>
        </is>
      </c>
      <c r="N20" s="925">
        <f>IFERROR(P4*75%*O34,0)</f>
        <v/>
      </c>
      <c r="O20" s="885" t="n"/>
      <c r="P20" s="885" t="n"/>
      <c r="Q20" s="885" t="n"/>
    </row>
    <row r="21" ht="17.25" customHeight="1">
      <c r="A21" s="67" t="inlineStr">
        <is>
          <t>Expenses</t>
        </is>
      </c>
      <c r="B21" s="68">
        <f>B3</f>
        <v/>
      </c>
      <c r="C21" s="68">
        <f>C3</f>
        <v/>
      </c>
      <c r="D21" s="169">
        <f>D3</f>
        <v/>
      </c>
      <c r="E21" s="169" t="inlineStr">
        <is>
          <t>Annualization</t>
        </is>
      </c>
      <c r="F21" s="169" t="inlineStr">
        <is>
          <t>Broker's Proforma</t>
        </is>
      </c>
      <c r="G21" s="109" t="inlineStr">
        <is>
          <t>GGC ProForma</t>
        </is>
      </c>
      <c r="H21" s="109" t="inlineStr">
        <is>
          <t>GGC ProForma</t>
        </is>
      </c>
      <c r="I21" s="109" t="inlineStr">
        <is>
          <t>GGC ProForma</t>
        </is>
      </c>
      <c r="J21" s="115" t="inlineStr">
        <is>
          <t>Per Unit</t>
        </is>
      </c>
      <c r="K21" s="69" t="inlineStr">
        <is>
          <t>Notes</t>
        </is>
      </c>
      <c r="M21" s="912" t="inlineStr">
        <is>
          <t>Levy Rate</t>
        </is>
      </c>
      <c r="N21" s="926">
        <f>IFERROR(Q33,0)</f>
        <v/>
      </c>
      <c r="O21" s="885" t="n"/>
      <c r="P21" s="885" t="n"/>
      <c r="Q21" s="885" t="n"/>
    </row>
    <row r="22" ht="19.5" customHeight="1">
      <c r="A22" s="139" t="inlineStr">
        <is>
          <t>RE Taxes</t>
        </is>
      </c>
      <c r="B22" s="132">
        <f>SUMIFS('Data Consolidation'!$D$43:$D$102,'Data Consolidation'!$A$43:$A$102,"RE Taxes")</f>
        <v/>
      </c>
      <c r="C22" s="132">
        <f>SUMIFS('Data Consolidation'!$E$43:$E$102,'Data Consolidation'!$A$43:$A$102,"RE Taxes")</f>
        <v/>
      </c>
      <c r="D22" s="132">
        <f>SUMIFS('Data Consolidation'!$G$43:$G$102,'Data Consolidation'!$A$43:$A$102,"RE Taxes")</f>
        <v/>
      </c>
      <c r="E22" s="132">
        <f>SUMIFS('Data Consolidation'!$H$43:$H$102,'Data Consolidation'!$A$43:$A$102,"RE Taxes")</f>
        <v/>
      </c>
      <c r="F22" s="132">
        <f>SUMIFS('Data Consolidation'!$F$43:$F$102,'Data Consolidation'!$A$43:$A$102,"RE Taxes")</f>
        <v/>
      </c>
      <c r="G22" s="336">
        <f>I22</f>
        <v/>
      </c>
      <c r="H22" s="336">
        <f>I22</f>
        <v/>
      </c>
      <c r="I22" s="336">
        <f>J22*N7</f>
        <v/>
      </c>
      <c r="J22" s="111" t="n">
        <v>400</v>
      </c>
      <c r="K22" s="283">
        <f>P22</f>
        <v/>
      </c>
      <c r="L22">
        <f>K22/$P$7</f>
        <v/>
      </c>
      <c r="M22" s="927" t="inlineStr">
        <is>
          <t>Estimated Tax</t>
        </is>
      </c>
      <c r="N22" s="928">
        <f>N20*N21</f>
        <v/>
      </c>
      <c r="O22" s="885" t="n"/>
      <c r="P22" s="885" t="n"/>
      <c r="Q22" s="885" t="n"/>
    </row>
    <row r="23" ht="15" customHeight="1">
      <c r="A23" s="139" t="inlineStr">
        <is>
          <t>Insurance</t>
        </is>
      </c>
      <c r="B23" s="132">
        <f>SUMIFS('Data Consolidation'!$D$43:$D$102,'Data Consolidation'!$A$43:$A$102,"Insurance")</f>
        <v/>
      </c>
      <c r="C23" s="132">
        <f>SUMIFS('Data Consolidation'!$E$43:$E$102,'Data Consolidation'!$A$43:$A$102,"Insurance")</f>
        <v/>
      </c>
      <c r="D23" s="132">
        <f>SUMIFS('Data Consolidation'!$G$43:$G$102,'Data Consolidation'!$A$43:$A$102,"Insurance")</f>
        <v/>
      </c>
      <c r="E23" s="132">
        <f>SUMIFS('Data Consolidation'!$H$43:$H$102,'Data Consolidation'!$A$43:$A$102,"Insurance")</f>
        <v/>
      </c>
      <c r="F23" s="132">
        <f>SUMIFS('Data Consolidation'!$F$43:$F$102,'Data Consolidation'!$A$43:$A$102,"Insurance")</f>
        <v/>
      </c>
      <c r="G23" s="336">
        <f>I23</f>
        <v/>
      </c>
      <c r="H23" s="111">
        <f>I23</f>
        <v/>
      </c>
      <c r="I23" s="111">
        <f>D23*1.05</f>
        <v/>
      </c>
      <c r="J23" s="111">
        <f>I23/$N$7</f>
        <v/>
      </c>
      <c r="K23" s="283">
        <f>L23*$P$7</f>
        <v/>
      </c>
      <c r="L23" t="n">
        <v>250</v>
      </c>
      <c r="M23" s="59" t="n"/>
      <c r="N23" s="59" t="n"/>
      <c r="O23" s="852" t="n"/>
      <c r="P23" s="852" t="n"/>
      <c r="Q23" s="852" t="n"/>
      <c r="R23" s="852" t="n"/>
    </row>
    <row r="24" ht="16.5" customHeight="1">
      <c r="A24" s="300" t="n"/>
      <c r="B24" s="301" t="n"/>
      <c r="C24" s="301" t="n"/>
      <c r="D24" s="301" t="n"/>
      <c r="E24" s="301" t="n"/>
      <c r="F24" s="302" t="n"/>
      <c r="G24" s="303" t="n"/>
      <c r="H24" s="303" t="n"/>
      <c r="I24" s="303" t="n"/>
      <c r="J24" s="304" t="n"/>
      <c r="K24" s="305" t="n"/>
      <c r="M24" s="907" t="inlineStr">
        <is>
          <t>2024-2025</t>
        </is>
      </c>
      <c r="N24" s="59" t="n"/>
      <c r="O24" s="852" t="n"/>
      <c r="P24" s="852" t="n"/>
      <c r="Q24" s="852" t="n"/>
      <c r="R24" s="852" t="n"/>
      <c r="S24" s="852" t="n"/>
      <c r="T24" s="852" t="n"/>
      <c r="U24" s="852" t="n"/>
      <c r="V24" s="852" t="n"/>
      <c r="W24" s="852" t="n"/>
      <c r="X24" s="852" t="n"/>
      <c r="Y24" s="852" t="n"/>
      <c r="Z24" s="852" t="n"/>
      <c r="AA24" s="852" t="n"/>
    </row>
    <row r="25" ht="19.5" customHeight="1">
      <c r="A25" s="139" t="inlineStr">
        <is>
          <t>Gas/Fuel</t>
        </is>
      </c>
      <c r="B25" s="132">
        <f>SUMIFS('Data Consolidation'!$D$43:$D$102,'Data Consolidation'!$A$43:$A$102,"Gas/Fuel")</f>
        <v/>
      </c>
      <c r="C25" s="132">
        <f>SUMIFS('Data Consolidation'!$E$43:$E$102,'Data Consolidation'!$A$43:$A$102,"Gas/Fuel")</f>
        <v/>
      </c>
      <c r="D25" s="132">
        <f>SUMIFS('Data Consolidation'!$G$43:$G$102,'Data Consolidation'!$A$43:$A$102,"Gas/Fuel")</f>
        <v/>
      </c>
      <c r="E25" s="132">
        <f>SUMIFS('Data Consolidation'!$H$43:$H$102,'Data Consolidation'!$A$43:$A$102,"Gas/Fuel")</f>
        <v/>
      </c>
      <c r="F25" s="132">
        <f>SUMIFS('Data Consolidation'!$F$43:$F$102,'Data Consolidation'!$A$43:$A$102,"Gas/Fuel")</f>
        <v/>
      </c>
      <c r="G25" s="336">
        <f>I25</f>
        <v/>
      </c>
      <c r="H25" s="111">
        <f>I25</f>
        <v/>
      </c>
      <c r="I25" s="111">
        <f>D25*1.03</f>
        <v/>
      </c>
      <c r="J25" s="111">
        <f>I25/$N$7</f>
        <v/>
      </c>
      <c r="K25" s="159">
        <f>D25*1.03</f>
        <v/>
      </c>
      <c r="L25">
        <f>K25/$P$7</f>
        <v/>
      </c>
      <c r="M25" s="929" t="inlineStr">
        <is>
          <t>Parcel</t>
        </is>
      </c>
      <c r="N25" s="929" t="inlineStr">
        <is>
          <t>MV</t>
        </is>
      </c>
      <c r="O25" s="929" t="inlineStr">
        <is>
          <t>Taxable Value</t>
        </is>
      </c>
      <c r="P25" s="929" t="inlineStr">
        <is>
          <t>Taxes</t>
        </is>
      </c>
      <c r="Q25" s="929" t="inlineStr">
        <is>
          <t>Levy%</t>
        </is>
      </c>
      <c r="R25" s="929" t="inlineStr">
        <is>
          <t>Acres</t>
        </is>
      </c>
      <c r="S25" s="852" t="n"/>
      <c r="T25" s="852" t="n"/>
      <c r="U25" s="852" t="n"/>
      <c r="V25" s="852" t="n"/>
      <c r="W25" s="852" t="n"/>
      <c r="X25" s="852" t="n"/>
      <c r="Y25" s="852" t="n"/>
      <c r="Z25" s="852" t="n"/>
      <c r="AA25" s="852" t="n"/>
    </row>
    <row r="26" ht="19.5" customHeight="1">
      <c r="A26" s="139" t="inlineStr">
        <is>
          <t>Electricity</t>
        </is>
      </c>
      <c r="B26" s="132">
        <f>SUMIFS('Data Consolidation'!$D$43:$D$102,'Data Consolidation'!$A$43:$A$102,"Electricity")</f>
        <v/>
      </c>
      <c r="C26" s="132">
        <f>SUMIFS('Data Consolidation'!$E$43:$E$102,'Data Consolidation'!$A$43:$A$102,"Electricity")</f>
        <v/>
      </c>
      <c r="D26" s="132">
        <f>SUMIFS('Data Consolidation'!$G$43:$G$102,'Data Consolidation'!$A$43:$A$102,"Electricity")</f>
        <v/>
      </c>
      <c r="E26" s="132">
        <f>SUMIFS('Data Consolidation'!$H$43:$H$102,'Data Consolidation'!$A$43:$A$102,"Electricity")</f>
        <v/>
      </c>
      <c r="F26" s="132">
        <f>SUMIFS('Data Consolidation'!$F$43:$F$102,'Data Consolidation'!$A$43:$A$102,"Electricity")</f>
        <v/>
      </c>
      <c r="G26" s="336">
        <f>I26</f>
        <v/>
      </c>
      <c r="H26" s="111">
        <f>I26</f>
        <v/>
      </c>
      <c r="I26" s="111">
        <f>D26*1.03</f>
        <v/>
      </c>
      <c r="J26" s="111">
        <f>I26/$N$7</f>
        <v/>
      </c>
      <c r="K26" s="159">
        <f>D26*1.03</f>
        <v/>
      </c>
      <c r="L26">
        <f>K26/$P$7</f>
        <v/>
      </c>
      <c r="M26" s="930" t="n"/>
      <c r="N26" s="931" t="n"/>
      <c r="O26" s="922" t="n"/>
      <c r="P26" s="922" t="n"/>
      <c r="Q26" s="932" t="n"/>
      <c r="R26" s="932" t="n"/>
      <c r="S26" s="852" t="n"/>
      <c r="T26" s="852" t="n"/>
      <c r="U26" s="852" t="n"/>
      <c r="V26" s="852" t="n"/>
      <c r="W26" s="852" t="n"/>
      <c r="X26" s="852" t="n"/>
      <c r="Y26" s="852" t="n"/>
      <c r="Z26" s="852" t="n"/>
      <c r="AA26" s="852" t="n"/>
    </row>
    <row r="27" ht="17.45" customHeight="1">
      <c r="A27" s="139" t="inlineStr">
        <is>
          <t>Water and Sewer</t>
        </is>
      </c>
      <c r="B27" s="132">
        <f>SUMIFS('Data Consolidation'!$D$43:$D$102,'Data Consolidation'!$A$43:$A$102,"Water and Sewer")</f>
        <v/>
      </c>
      <c r="C27" s="132">
        <f>SUMIFS('Data Consolidation'!$E$43:$E$102,'Data Consolidation'!$A$43:$A$102,"Water and Sewer")</f>
        <v/>
      </c>
      <c r="D27" s="132">
        <f>SUMIFS('Data Consolidation'!$G$43:$G$102,'Data Consolidation'!$A$43:$A$102,"Water and Sewer")</f>
        <v/>
      </c>
      <c r="E27" s="132">
        <f>SUMIFS('Data Consolidation'!$H$43:$H$102,'Data Consolidation'!$A$43:$A$102,"Water and Sewer")</f>
        <v/>
      </c>
      <c r="F27" s="132">
        <f>SUMIFS('Data Consolidation'!$F$43:$F$102,'Data Consolidation'!$A$43:$A$102,"Water and Sewer")</f>
        <v/>
      </c>
      <c r="G27" s="336">
        <f>I27</f>
        <v/>
      </c>
      <c r="H27" s="111">
        <f>I27</f>
        <v/>
      </c>
      <c r="I27" s="111">
        <f>D27*1.03</f>
        <v/>
      </c>
      <c r="J27" s="111">
        <f>I27/$N$7</f>
        <v/>
      </c>
      <c r="K27" s="159">
        <f>D27*1.03</f>
        <v/>
      </c>
      <c r="L27">
        <f>K27/$P$7</f>
        <v/>
      </c>
      <c r="M27" s="930" t="n"/>
      <c r="N27" s="931" t="n"/>
      <c r="O27" s="922" t="n"/>
      <c r="P27" s="922" t="n"/>
      <c r="Q27" s="932" t="n"/>
      <c r="R27" s="932" t="n"/>
      <c r="S27" s="852" t="n"/>
      <c r="T27" s="852" t="n"/>
      <c r="U27" s="852" t="n"/>
      <c r="V27" s="852" t="n"/>
      <c r="W27" s="852" t="n"/>
      <c r="X27" s="852" t="n"/>
      <c r="Y27" s="852" t="n"/>
      <c r="Z27" s="852" t="n"/>
      <c r="AA27" s="852" t="n"/>
    </row>
    <row r="28" ht="19.5" customHeight="1">
      <c r="A28" s="139" t="inlineStr">
        <is>
          <t>Trash Removal</t>
        </is>
      </c>
      <c r="B28" s="132">
        <f>SUMIFS('Data Consolidation'!$D$43:$D$102,'Data Consolidation'!$A$43:$A$102,"Trash Removal")</f>
        <v/>
      </c>
      <c r="C28" s="132">
        <f>SUMIFS('Data Consolidation'!$E$43:$E$102,'Data Consolidation'!$A$43:$A$102,"Trash Removal")</f>
        <v/>
      </c>
      <c r="D28" s="132">
        <f>SUMIFS('Data Consolidation'!$G$43:$G$102,'Data Consolidation'!$A$43:$A$102,"Trash Removal")</f>
        <v/>
      </c>
      <c r="E28" s="132">
        <f>SUMIFS('Data Consolidation'!$H$43:$H$102,'Data Consolidation'!$A$43:$A$102,"Trash Removal")</f>
        <v/>
      </c>
      <c r="F28" s="132">
        <f>SUMIFS('Data Consolidation'!$F$43:$F$102,'Data Consolidation'!$A$43:$A$102,"Trash Removal")</f>
        <v/>
      </c>
      <c r="G28" s="336">
        <f>I28</f>
        <v/>
      </c>
      <c r="H28" s="111">
        <f>I28</f>
        <v/>
      </c>
      <c r="I28" s="111">
        <f>D28*1.03</f>
        <v/>
      </c>
      <c r="J28" s="111">
        <f>I28/$N$7</f>
        <v/>
      </c>
      <c r="K28" s="159">
        <f>D28*1.03</f>
        <v/>
      </c>
      <c r="L28">
        <f>K28/$P$7</f>
        <v/>
      </c>
      <c r="M28" s="930" t="n"/>
      <c r="N28" s="931" t="n"/>
      <c r="O28" s="922" t="n"/>
      <c r="P28" s="922" t="n"/>
      <c r="Q28" s="932" t="n"/>
      <c r="R28" s="932" t="n"/>
      <c r="S28" s="852" t="n"/>
      <c r="T28" s="852" t="n"/>
      <c r="U28" s="852" t="n"/>
      <c r="V28" s="852" t="n"/>
      <c r="W28" s="852" t="n"/>
      <c r="X28" s="852" t="n"/>
      <c r="Y28" s="852" t="n"/>
      <c r="Z28" s="852" t="n"/>
      <c r="AA28" s="852" t="n"/>
    </row>
    <row r="29" ht="22.5" customHeight="1">
      <c r="A29" s="170" t="inlineStr">
        <is>
          <t>Total Utilities</t>
        </is>
      </c>
      <c r="B29" s="21">
        <f>SUM(B25:B28)</f>
        <v/>
      </c>
      <c r="C29" s="21">
        <f>SUM(C25:C28)</f>
        <v/>
      </c>
      <c r="D29" s="21">
        <f>SUM(D25:D28)</f>
        <v/>
      </c>
      <c r="E29" s="21">
        <f>SUM(E25:E28)</f>
        <v/>
      </c>
      <c r="F29" s="102">
        <f>SUM(F25:F28)</f>
        <v/>
      </c>
      <c r="G29" s="110">
        <f>SUM(G25:G28)</f>
        <v/>
      </c>
      <c r="H29" s="110">
        <f>SUM(H25:H28)</f>
        <v/>
      </c>
      <c r="I29" s="110">
        <f>SUM(I25:I28)</f>
        <v/>
      </c>
      <c r="J29" s="663">
        <f>I29/$N$7</f>
        <v/>
      </c>
      <c r="K29" s="661">
        <f>SUM(K25:K28)</f>
        <v/>
      </c>
      <c r="L29">
        <f>K29/$P$7</f>
        <v/>
      </c>
      <c r="M29" s="930" t="n"/>
      <c r="N29" s="931" t="n"/>
      <c r="O29" s="922" t="n"/>
      <c r="P29" s="922" t="n"/>
      <c r="Q29" s="932" t="n"/>
      <c r="R29" s="932" t="n"/>
      <c r="S29" s="852" t="n"/>
      <c r="T29" s="852" t="n"/>
      <c r="U29" s="852" t="n"/>
      <c r="V29" s="852" t="n"/>
      <c r="W29" s="852" t="n"/>
      <c r="X29" s="852" t="n"/>
      <c r="Y29" s="852" t="n"/>
      <c r="Z29" s="852" t="n"/>
      <c r="AA29" s="852" t="n"/>
    </row>
    <row r="30" ht="29.25" customHeight="1">
      <c r="A30" s="142" t="inlineStr">
        <is>
          <t>Repair and Maintenance</t>
        </is>
      </c>
      <c r="B30" s="141">
        <f>SUMIFS('Data Consolidation'!$D$43:$D$102,'Data Consolidation'!$A$43:$A$102,"Repair and Maintenance")</f>
        <v/>
      </c>
      <c r="C30" s="708">
        <f>SUMIFS('Data Consolidation'!$E$43:$E$102,'Data Consolidation'!$A$43:$A$102,"Repair and Maintenance")</f>
        <v/>
      </c>
      <c r="D30" s="132">
        <f>SUMIFS('Data Consolidation'!$G$43:$G$102,'Data Consolidation'!$A$43:$A$102,"Repair and Maintenance")</f>
        <v/>
      </c>
      <c r="E30" s="132">
        <f>SUMIFS('Data Consolidation'!$H$43:$H$102,'Data Consolidation'!$A$43:$A$102,"Repair and Maintenance")</f>
        <v/>
      </c>
      <c r="F30" s="132">
        <f>SUMIFS('Data Consolidation'!$F$43:$F$102,'Data Consolidation'!$A$43:$A$102,"Repair and Maintenance")</f>
        <v/>
      </c>
      <c r="G30" s="336">
        <f>I30</f>
        <v/>
      </c>
      <c r="H30" s="111">
        <f>I30</f>
        <v/>
      </c>
      <c r="I30" s="111">
        <f>J30*$N$7</f>
        <v/>
      </c>
      <c r="J30" s="690" t="n">
        <v>150</v>
      </c>
      <c r="K30" s="159">
        <f>L30*$P$7</f>
        <v/>
      </c>
      <c r="L30" s="248" t="n">
        <v>150</v>
      </c>
      <c r="M30" s="930" t="n"/>
      <c r="N30" s="931" t="n"/>
      <c r="O30" s="922" t="n"/>
      <c r="P30" s="922" t="n"/>
      <c r="Q30" s="932" t="n"/>
      <c r="R30" s="932" t="n"/>
    </row>
    <row r="31" ht="24" customHeight="1">
      <c r="A31" s="139" t="inlineStr">
        <is>
          <t>Ground Maintenance</t>
        </is>
      </c>
      <c r="B31" s="132">
        <f>SUMIFS('Data Consolidation'!$D$43:$D$102,'Data Consolidation'!$A$43:$A$102,"Ground Maintenance")</f>
        <v/>
      </c>
      <c r="C31" s="132">
        <f>SUMIFS('Data Consolidation'!$E$43:$E$102,'Data Consolidation'!$A$43:$A$102,"Ground Maintenance")</f>
        <v/>
      </c>
      <c r="D31" s="132">
        <f>SUMIFS('Data Consolidation'!$G$43:$G$102,'Data Consolidation'!$A$43:$A$102,"Ground Maintenance")</f>
        <v/>
      </c>
      <c r="E31" s="132">
        <f>SUMIFS('Data Consolidation'!$H$43:$H$102,'Data Consolidation'!$A$43:$A$102,"Ground Maintenance")</f>
        <v/>
      </c>
      <c r="F31" s="132">
        <f>SUMIFS('Data Consolidation'!$F$43:$F$102,'Data Consolidation'!$A$43:$A$102,"Ground Maintenance")</f>
        <v/>
      </c>
      <c r="G31" s="336">
        <f>I31</f>
        <v/>
      </c>
      <c r="H31" s="111">
        <f>I31</f>
        <v/>
      </c>
      <c r="I31" s="111">
        <f>D31*(100%+3%)</f>
        <v/>
      </c>
      <c r="J31" s="111">
        <f>I31/N7</f>
        <v/>
      </c>
      <c r="K31" s="159">
        <f>L31*$P$7</f>
        <v/>
      </c>
      <c r="L31" t="n">
        <v>200</v>
      </c>
      <c r="M31" s="930" t="n"/>
      <c r="N31" s="931" t="n"/>
      <c r="O31" s="922" t="n"/>
      <c r="P31" s="922" t="n"/>
      <c r="Q31" s="932" t="n"/>
      <c r="R31" s="932" t="n"/>
    </row>
    <row r="32" ht="18" customHeight="1" thickBot="1">
      <c r="A32" s="139" t="inlineStr">
        <is>
          <t>Recreational Amenities</t>
        </is>
      </c>
      <c r="B32" s="132">
        <f>SUMIFS('Data Consolidation'!$D$43:$D$102,'Data Consolidation'!$A$43:$A$102,"Recreational Amenities")</f>
        <v/>
      </c>
      <c r="C32" s="132">
        <f>SUMIFS('Data Consolidation'!$E$43:$E$102,'Data Consolidation'!$A$43:$A$102,"Recreational Amenities")</f>
        <v/>
      </c>
      <c r="D32" s="132">
        <f>SUMIFS('Data Consolidation'!$G$43:$G$102,'Data Consolidation'!$A$43:$A$102,"Recreational Amenities")</f>
        <v/>
      </c>
      <c r="E32" s="132">
        <f>SUMIFS('Data Consolidation'!$H$43:$H$102,'Data Consolidation'!$A$43:$A$102,"Recreational Amenities")</f>
        <v/>
      </c>
      <c r="F32" s="132">
        <f>SUMIFS('Data Consolidation'!$F$43:$F$102,'Data Consolidation'!$A$43:$A$102,"Recreational Amenities")</f>
        <v/>
      </c>
      <c r="G32" s="336">
        <f>I32</f>
        <v/>
      </c>
      <c r="H32" s="111">
        <f>I32</f>
        <v/>
      </c>
      <c r="I32" s="111" t="n">
        <v>0</v>
      </c>
      <c r="J32" s="111">
        <f>I32/N7</f>
        <v/>
      </c>
      <c r="K32" s="269">
        <f>C32*1.05</f>
        <v/>
      </c>
      <c r="L32">
        <f>K32/$P$7</f>
        <v/>
      </c>
      <c r="M32" s="930" t="n"/>
      <c r="N32" s="931" t="n"/>
      <c r="O32" s="922" t="n"/>
      <c r="P32" s="922" t="n"/>
      <c r="Q32" s="932" t="n"/>
      <c r="R32" s="932" t="n"/>
    </row>
    <row r="33" ht="24" customHeight="1" thickBot="1">
      <c r="A33" s="139" t="inlineStr">
        <is>
          <t>Management Fee</t>
        </is>
      </c>
      <c r="B33" s="132">
        <f>SUMIFS('Data Consolidation'!$D$43:$D$102,'Data Consolidation'!$A$43:$A$102,"Management Fee")</f>
        <v/>
      </c>
      <c r="C33" s="132">
        <f>SUMIFS('Data Consolidation'!$E$43:$E$102,'Data Consolidation'!$A$43:$A$102,"Management Fee")</f>
        <v/>
      </c>
      <c r="D33" s="132">
        <f>SUMIFS('Data Consolidation'!$G$43:$G$102,'Data Consolidation'!$A$43:$A$102,"Management Fee")</f>
        <v/>
      </c>
      <c r="E33" s="132">
        <f>SUMIFS('Data Consolidation'!$H$43:$H$102,'Data Consolidation'!$A$43:$A$102,"Management Fee")</f>
        <v/>
      </c>
      <c r="F33" s="132">
        <f>SUMIFS('Data Consolidation'!$F$43:$F$102,'Data Consolidation'!$A$43:$A$102,"Management Fee")</f>
        <v/>
      </c>
      <c r="G33" s="260">
        <f>J33*G19</f>
        <v/>
      </c>
      <c r="H33" s="684">
        <f>J33*H19</f>
        <v/>
      </c>
      <c r="I33" s="260">
        <f>J33*I19</f>
        <v/>
      </c>
      <c r="J33" s="757">
        <f>IF(N7&gt;=200,0.04,0.05)</f>
        <v/>
      </c>
      <c r="K33" s="283">
        <f>L33*K19</f>
        <v/>
      </c>
      <c r="L33" t="n">
        <v>0.05</v>
      </c>
      <c r="M33" s="677" t="n"/>
      <c r="N33" s="925">
        <f>SUM(N26:N32)</f>
        <v/>
      </c>
      <c r="O33" s="925">
        <f>SUM(O26:O32)</f>
        <v/>
      </c>
      <c r="P33" s="933">
        <f>SUM(P26:P32)</f>
        <v/>
      </c>
      <c r="Q33" s="934">
        <f>IFERROR(P33/O33,0)</f>
        <v/>
      </c>
      <c r="R33" s="863" t="n"/>
    </row>
    <row r="34" ht="14.25" customHeight="1">
      <c r="A34" s="140" t="inlineStr">
        <is>
          <t>Management Fee %</t>
        </is>
      </c>
      <c r="B34" s="134">
        <f>B33/B19</f>
        <v/>
      </c>
      <c r="C34" s="134">
        <f>C33/C19</f>
        <v/>
      </c>
      <c r="D34" s="236">
        <f>D33/D19</f>
        <v/>
      </c>
      <c r="E34" s="236">
        <f>E33/E19</f>
        <v/>
      </c>
      <c r="F34" s="258">
        <f>F33/F19</f>
        <v/>
      </c>
      <c r="G34" s="314" t="n"/>
      <c r="H34" s="314" t="n"/>
      <c r="I34" s="314" t="n"/>
      <c r="J34" s="315" t="n"/>
      <c r="K34" s="71" t="n"/>
      <c r="M34" s="59" t="n"/>
      <c r="N34" s="59" t="n"/>
      <c r="O34" s="935">
        <f>IFERROR(O33/N33,0)</f>
        <v/>
      </c>
      <c r="P34" s="852" t="n"/>
      <c r="Q34" s="852" t="n"/>
      <c r="R34" s="852" t="n"/>
    </row>
    <row r="35" ht="23.25" customHeight="1">
      <c r="A35" s="139" t="inlineStr">
        <is>
          <t>Payroll</t>
        </is>
      </c>
      <c r="B35" s="132">
        <f>SUMIFS('Data Consolidation'!$D$43:$D$102,'Data Consolidation'!$A$43:$A$102,"Payroll")</f>
        <v/>
      </c>
      <c r="C35" s="132">
        <f>SUMIFS('Data Consolidation'!$E$43:$E$102,'Data Consolidation'!$A$43:$A$102,"Payroll")</f>
        <v/>
      </c>
      <c r="D35" s="132">
        <f>SUMIFS('Data Consolidation'!$G$43:$G$102,'Data Consolidation'!$A$43:$A$102,"Payroll")</f>
        <v/>
      </c>
      <c r="E35" s="132">
        <f>SUMIFS('Data Consolidation'!$H$43:$H$102,'Data Consolidation'!$A$43:$A$102,"Payroll")</f>
        <v/>
      </c>
      <c r="F35" s="135">
        <f>SUMIFS('Data Consolidation'!$F$43:$F$102,'Data Consolidation'!$A$43:$A$102,"Payroll")</f>
        <v/>
      </c>
      <c r="G35" s="336">
        <f>I35</f>
        <v/>
      </c>
      <c r="H35" s="336">
        <f>I35</f>
        <v/>
      </c>
      <c r="I35" s="336">
        <f>J35*N7</f>
        <v/>
      </c>
      <c r="J35" s="690" t="n">
        <v>600</v>
      </c>
      <c r="K35" s="283">
        <f>L35*$P$7</f>
        <v/>
      </c>
      <c r="L35" t="n">
        <v>425</v>
      </c>
      <c r="M35" s="59" t="n"/>
      <c r="N35" s="59" t="n"/>
      <c r="O35" s="852" t="n"/>
      <c r="P35" s="852" t="n"/>
      <c r="Q35" s="852" t="n"/>
      <c r="R35" s="852" t="n"/>
    </row>
    <row r="36" ht="23.25" customHeight="1">
      <c r="A36" s="139" t="inlineStr">
        <is>
          <t>Employee Allowance</t>
        </is>
      </c>
      <c r="B36" s="132">
        <f>-SUMIFS('Data Consolidation'!$D$3:$D$36,'Data Consolidation'!$A$3:$A$36,"Employee Allowance")</f>
        <v/>
      </c>
      <c r="C36" s="132">
        <f>-SUMIFS('Data Consolidation'!$E$3:$E$36,'Data Consolidation'!$A$3:$A$36,"Employee Allowance")</f>
        <v/>
      </c>
      <c r="D36" s="132">
        <f>-SUMIFS('Data Consolidation'!$G$3:$G$36,'Data Consolidation'!$A$3:$A$36,"Employee Allowance")</f>
        <v/>
      </c>
      <c r="E36" s="132">
        <f>-SUMIFS('Data Consolidation'!$H$3:$H$36,'Data Consolidation'!$A$3:$A$36,"Employee Allowance")</f>
        <v/>
      </c>
      <c r="F36" s="135">
        <f>-SUMIFS('Data Consolidation'!$F$3:$F$36,'Data Consolidation'!$A$3:$A$36,"Employee Allowance")</f>
        <v/>
      </c>
      <c r="G36" s="336">
        <f>I36</f>
        <v/>
      </c>
      <c r="H36" s="111">
        <f>I36</f>
        <v/>
      </c>
      <c r="I36" s="111" t="n">
        <v>0</v>
      </c>
      <c r="J36" s="111">
        <f>I36/$N$7</f>
        <v/>
      </c>
      <c r="K36" s="159">
        <f>C36*1.05</f>
        <v/>
      </c>
      <c r="L36">
        <f>K36/$P$7</f>
        <v/>
      </c>
      <c r="M36" s="59" t="n"/>
      <c r="N36" s="59" t="n"/>
      <c r="O36" s="852" t="n"/>
      <c r="P36" s="852" t="n"/>
      <c r="Q36" s="852" t="n"/>
      <c r="R36" s="852" t="n"/>
    </row>
    <row r="37" ht="26.45" customHeight="1">
      <c r="A37" s="139" t="inlineStr">
        <is>
          <t>General and Administrative</t>
        </is>
      </c>
      <c r="B37" s="132">
        <f>SUMIFS('Data Consolidation'!$D$43:$D$102,'Data Consolidation'!$A$43:$A$102,"G&amp;A")</f>
        <v/>
      </c>
      <c r="C37" s="132">
        <f>SUMIFS('Data Consolidation'!$E$43:$E$102,'Data Consolidation'!$A$43:$A$102,"G&amp;A")</f>
        <v/>
      </c>
      <c r="D37" s="132">
        <f>SUMIFS('Data Consolidation'!$G$43:$G$102,'Data Consolidation'!$A$43:$A$102,"G&amp;A")</f>
        <v/>
      </c>
      <c r="E37" s="132">
        <f>SUMIFS('Data Consolidation'!$H$43:$H$102,'Data Consolidation'!$A$43:$A$102,"G&amp;A")</f>
        <v/>
      </c>
      <c r="F37" s="135">
        <f>SUMIFS('Data Consolidation'!$F$43:$F$102,'Data Consolidation'!$A$43:$A$102,"G&amp;A")</f>
        <v/>
      </c>
      <c r="G37" s="336">
        <f>I37</f>
        <v/>
      </c>
      <c r="H37" s="336">
        <f>I37</f>
        <v/>
      </c>
      <c r="I37" s="111">
        <f>D37*(100%+3%)</f>
        <v/>
      </c>
      <c r="J37" s="111">
        <f>I37/$N$7</f>
        <v/>
      </c>
      <c r="K37" s="159">
        <f>L37*$P$7</f>
        <v/>
      </c>
      <c r="L37" t="n">
        <v>100</v>
      </c>
      <c r="M37" s="59" t="n"/>
      <c r="N37" s="59" t="n"/>
      <c r="O37" s="852" t="n"/>
      <c r="P37" s="852" t="n"/>
      <c r="Q37" s="852" t="n"/>
      <c r="R37" s="852" t="n"/>
    </row>
    <row r="38" hidden="1" ht="20.1" customHeight="1">
      <c r="A38" s="139" t="inlineStr">
        <is>
          <t>Model Units</t>
        </is>
      </c>
      <c r="B38" s="132">
        <f>-SUMIFS('Data Consolidation'!$D$3:$D$36,'Data Consolidation'!$A$3:$A$36,"Model Units")</f>
        <v/>
      </c>
      <c r="C38" s="132">
        <f>-SUMIFS('Data Consolidation'!$E$3:$E$36,'Data Consolidation'!$A$3:$A$36,"Model Units")</f>
        <v/>
      </c>
      <c r="D38" s="132">
        <f>-SUMIFS('Data Consolidation'!$G$3:$G$36,'Data Consolidation'!$A$3:$A$36,"Model Units")</f>
        <v/>
      </c>
      <c r="E38" s="132">
        <f>-SUMIFS('Data Consolidation'!$H$3:$H$36,'Data Consolidation'!$A$3:$A$36,"Model Units")</f>
        <v/>
      </c>
      <c r="F38" s="135">
        <f>-SUMIFS('Data Consolidation'!$F$3:$F$36,'Data Consolidation'!$A$3:$A$36,"Model Units")</f>
        <v/>
      </c>
      <c r="G38" s="336">
        <f>I38</f>
        <v/>
      </c>
      <c r="H38" s="111">
        <f>I38</f>
        <v/>
      </c>
      <c r="I38" s="111" t="n">
        <v>0</v>
      </c>
      <c r="J38" s="111">
        <f>I38/$N$7</f>
        <v/>
      </c>
      <c r="K38" s="159">
        <f>C38*1.05</f>
        <v/>
      </c>
      <c r="L38">
        <f>K38/$P$7</f>
        <v/>
      </c>
      <c r="M38" s="59" t="n"/>
      <c r="N38" s="59" t="n"/>
      <c r="O38" s="852" t="n"/>
      <c r="P38" s="852" t="n"/>
      <c r="Q38" s="852" t="n"/>
      <c r="R38" s="852" t="n"/>
    </row>
    <row r="39" ht="20.25" customHeight="1">
      <c r="A39" s="139" t="inlineStr">
        <is>
          <t>Professional Fees</t>
        </is>
      </c>
      <c r="B39" s="132">
        <f>SUMIFS('Data Consolidation'!$D$43:$D$102,'Data Consolidation'!$A$43:$A$102,"Professional Fees")</f>
        <v/>
      </c>
      <c r="C39" s="132">
        <f>SUMIFS('Data Consolidation'!$E$43:$E$102,'Data Consolidation'!$A$43:$A$102,"Professional Fees")</f>
        <v/>
      </c>
      <c r="D39" s="132">
        <f>SUMIFS('Data Consolidation'!$G$43:$G$102,'Data Consolidation'!$A$43:$A$102,"Professional Fees")</f>
        <v/>
      </c>
      <c r="E39" s="132">
        <f>SUMIFS('Data Consolidation'!$H$43:$H$102,'Data Consolidation'!$A$43:$A$102,"Professional Fees")</f>
        <v/>
      </c>
      <c r="F39" s="135">
        <f>SUMIFS('Data Consolidation'!$F$43:$F$102,'Data Consolidation'!$A$43:$A$102,"Professional Fees")</f>
        <v/>
      </c>
      <c r="G39" s="336">
        <f>I39</f>
        <v/>
      </c>
      <c r="H39" s="111">
        <f>I39</f>
        <v/>
      </c>
      <c r="I39" s="111">
        <f>D39*1.03</f>
        <v/>
      </c>
      <c r="J39" s="111">
        <f>I39/$N$7</f>
        <v/>
      </c>
      <c r="K39" s="159">
        <f>L39*$P$7</f>
        <v/>
      </c>
      <c r="L39" t="n">
        <v>50</v>
      </c>
      <c r="M39" s="59" t="n"/>
      <c r="N39" s="59" t="n"/>
      <c r="O39" s="852" t="n"/>
      <c r="P39" s="852" t="n"/>
      <c r="Q39" s="852" t="n"/>
      <c r="R39" s="852" t="n"/>
    </row>
    <row r="40" ht="20.25" customHeight="1">
      <c r="A40" s="139" t="inlineStr">
        <is>
          <t>Advertising</t>
        </is>
      </c>
      <c r="B40" s="132">
        <f>SUMIFS('Data Consolidation'!$D$43:$D$102,'Data Consolidation'!$A$43:$A$102,"Advertising")</f>
        <v/>
      </c>
      <c r="C40" s="132">
        <f>SUMIFS('Data Consolidation'!$E$43:$E$102,'Data Consolidation'!$A$43:$A$102,"Advertising")</f>
        <v/>
      </c>
      <c r="D40" s="132">
        <f>SUMIFS('Data Consolidation'!$G$43:$G$102,'Data Consolidation'!$A$43:$A$102,"Advertising")</f>
        <v/>
      </c>
      <c r="E40" s="132">
        <f>SUMIFS('Data Consolidation'!$H$43:$H$102,'Data Consolidation'!$A$43:$A$102,"Advertising")</f>
        <v/>
      </c>
      <c r="F40" s="135">
        <f>SUMIFS('Data Consolidation'!$F$43:$F$102,'Data Consolidation'!$A$43:$A$102,"Advertising")</f>
        <v/>
      </c>
      <c r="G40" s="336">
        <f>I40</f>
        <v/>
      </c>
      <c r="H40" s="111">
        <f>I40</f>
        <v/>
      </c>
      <c r="I40" s="111">
        <f>D40*1.03</f>
        <v/>
      </c>
      <c r="J40" s="111">
        <f>I40/$N$7</f>
        <v/>
      </c>
      <c r="K40" s="159">
        <f>L40*$P$7</f>
        <v/>
      </c>
      <c r="L40" t="n">
        <v>0</v>
      </c>
      <c r="M40" s="59" t="n"/>
      <c r="N40" s="59" t="n"/>
      <c r="O40" s="852" t="n"/>
      <c r="P40" s="852" t="n"/>
      <c r="Q40" s="852" t="n"/>
      <c r="R40" s="852" t="n"/>
    </row>
    <row r="41" ht="19.5" customHeight="1" thickBot="1">
      <c r="A41" s="139" t="inlineStr">
        <is>
          <t>Home Rent Expense (MH)</t>
        </is>
      </c>
      <c r="B41" s="132">
        <f>SUMIFS('Data Consolidation'!$D$43:$D$102,'Data Consolidation'!$A$43:$A$102,"Home Rent Expense (MH)")</f>
        <v/>
      </c>
      <c r="C41" s="132">
        <f>SUMIFS('Data Consolidation'!$E$43:$E$102,'Data Consolidation'!$A$43:$A$102,"Home Rent Expense (MH)")</f>
        <v/>
      </c>
      <c r="D41" s="132">
        <f>SUMIFS('Data Consolidation'!$G$43:$G$102,'Data Consolidation'!$A$43:$A$102,"Home Rent Expense (MH)")</f>
        <v/>
      </c>
      <c r="E41" s="132">
        <f>SUMIFS('Data Consolidation'!$H$43:$H$102,'Data Consolidation'!$A$43:$A$102,"Home Rent Expense (MH)")</f>
        <v/>
      </c>
      <c r="F41" s="135">
        <f>SUMIFS('Data Consolidation'!$F$43:$F$102,'Data Consolidation'!$A$43:$A$102,"Home Rent Expense (MH)")</f>
        <v/>
      </c>
      <c r="G41" s="336">
        <f>I41</f>
        <v/>
      </c>
      <c r="H41" s="111" t="n"/>
      <c r="I41" s="111">
        <f>15%*I13</f>
        <v/>
      </c>
      <c r="J41" s="111">
        <f>I41/$N$7</f>
        <v/>
      </c>
      <c r="K41" s="159">
        <f>0.1*(K13+K14)</f>
        <v/>
      </c>
      <c r="L41">
        <f>K41/$P$7</f>
        <v/>
      </c>
      <c r="M41" s="59" t="n"/>
      <c r="N41" s="59" t="n"/>
      <c r="O41" s="852" t="n"/>
      <c r="P41" s="852" t="n"/>
      <c r="Q41" s="852" t="n"/>
      <c r="R41" s="852" t="n"/>
    </row>
    <row r="42" hidden="1" ht="20.1" customHeight="1" thickBot="1">
      <c r="A42" s="139" t="inlineStr">
        <is>
          <t>Other</t>
        </is>
      </c>
      <c r="B42" s="132">
        <f>SUMIFS('Data Consolidation'!$D$43:$D$102,'Data Consolidation'!$A$43:$A$102,"Other")</f>
        <v/>
      </c>
      <c r="C42" s="132">
        <f>SUMIFS('Data Consolidation'!$E$43:$E$102,'Data Consolidation'!$A$43:$A$102,"Other")</f>
        <v/>
      </c>
      <c r="D42" s="132">
        <f>SUMIFS('Data Consolidation'!$G$43:$G$102,'Data Consolidation'!$A$43:$A$102,"Other")</f>
        <v/>
      </c>
      <c r="E42" s="132">
        <f>SUMIFS('Data Consolidation'!$H$43:$H$102,'Data Consolidation'!$A$43:$A$102,"Other")</f>
        <v/>
      </c>
      <c r="F42" s="135">
        <f>SUMIFS('Data Consolidation'!$F$43:$F$102,'Data Consolidation'!$A$43:$A$102,"Other")</f>
        <v/>
      </c>
      <c r="G42" s="336">
        <f>I42</f>
        <v/>
      </c>
      <c r="H42" s="111">
        <f>I42</f>
        <v/>
      </c>
      <c r="I42" s="111" t="n">
        <v>0</v>
      </c>
      <c r="J42" s="111">
        <f>I42/$N$7</f>
        <v/>
      </c>
      <c r="K42" s="159">
        <f>C42*1.05</f>
        <v/>
      </c>
      <c r="L42">
        <f>K42/$P$7</f>
        <v/>
      </c>
      <c r="M42" s="59" t="n"/>
      <c r="N42" s="59" t="n"/>
      <c r="O42" s="852" t="n"/>
      <c r="P42" s="852" t="n"/>
      <c r="Q42" s="852" t="n"/>
      <c r="R42" s="852" t="n"/>
    </row>
    <row r="43" ht="20.25" customHeight="1" thickBot="1">
      <c r="A43" s="139" t="inlineStr">
        <is>
          <t>Cap-Ex Reserve</t>
        </is>
      </c>
      <c r="B43" s="132">
        <f>SUMIFS('Data Consolidation'!$D$43:$D$102,'Data Consolidation'!$A$43:$A$102,"Cap-Ex Reserve")</f>
        <v/>
      </c>
      <c r="C43" s="132">
        <f>SUMIFS('Data Consolidation'!$E$43:$E$102,'Data Consolidation'!$A$43:$A$102,"Cap-Ex Reserve")</f>
        <v/>
      </c>
      <c r="D43" s="132">
        <f>SUMIFS('Data Consolidation'!$G$43:$G$102,'Data Consolidation'!$A$43:$A$102,"Cap-Ex Reserve")</f>
        <v/>
      </c>
      <c r="E43" s="132">
        <f>SUMIFS('Data Consolidation'!$H$43:$H$102,'Data Consolidation'!$A$43:$A$102,"Cap-Ex Reserve")</f>
        <v/>
      </c>
      <c r="F43" s="135">
        <f>SUMIFS('Data Consolidation'!$F$43:$F$102,'Data Consolidation'!$A$43:$A$102,"Cap-Ex Reserve")</f>
        <v/>
      </c>
      <c r="G43" s="336">
        <f>I43</f>
        <v/>
      </c>
      <c r="H43" s="111">
        <f>I43</f>
        <v/>
      </c>
      <c r="I43" s="111">
        <f>J43*$N$7</f>
        <v/>
      </c>
      <c r="J43" s="261" t="n">
        <v>75</v>
      </c>
      <c r="K43" s="159">
        <f>L43*$P$7</f>
        <v/>
      </c>
      <c r="L43" t="n">
        <v>50</v>
      </c>
      <c r="M43" s="59" t="n"/>
      <c r="N43" s="59" t="n"/>
      <c r="O43" s="852" t="n"/>
      <c r="P43" s="852" t="n"/>
      <c r="Q43" s="852" t="n"/>
      <c r="R43" s="852" t="n"/>
    </row>
    <row r="44" ht="21.75" customHeight="1">
      <c r="A44" s="124" t="inlineStr">
        <is>
          <t>Total Expenses</t>
        </is>
      </c>
      <c r="B44" s="118">
        <f>B22+B23+B29+B30+B31+B32+B33+B35+B36+B37+B38+B39+B40+B42+B43+B41</f>
        <v/>
      </c>
      <c r="C44" s="118">
        <f>C22+C23+C29+C30+C31+C32+C33+C35+C36+C37+C38+C39+C40+C42+C43+C41</f>
        <v/>
      </c>
      <c r="D44" s="118">
        <f>D22+D23+D29+D30+D31+D32+D33+D35+D36+D37+D38+D39+D40+D42+D43+D41</f>
        <v/>
      </c>
      <c r="E44" s="118">
        <f>E22+E23+E29+E30+E31+E32+E33+E35+E36+E37+E38+E39+E40+E42+E43+E41</f>
        <v/>
      </c>
      <c r="F44" s="118">
        <f>F22+F23+F29+F30+F31+F32+F33+F35+F36+F37+F38+F39+F40+F42+F43+F41</f>
        <v/>
      </c>
      <c r="G44" s="118">
        <f>G22+G23+G29+G30+G31+G32+G33+G35+G36+G37+G38+G39+G40+G42+G43+G41</f>
        <v/>
      </c>
      <c r="H44" s="118">
        <f>H22+H23+H29+H30+H31+H32+H33+H35+H36+H37+H38+H39+H40+H42+H43+H41</f>
        <v/>
      </c>
      <c r="I44" s="118">
        <f>I22+I23+I29+I30+I31+I32+I33+I35+I36+I37+I38+I39+I40+I42+I43+I41</f>
        <v/>
      </c>
      <c r="J44" s="663">
        <f>I44/$N$7</f>
        <v/>
      </c>
      <c r="K44" s="661">
        <f>K22+K23+K29+K30+K31+K32+K33+K35+K36+K37+K38+K39+K40+K41+K42+K43</f>
        <v/>
      </c>
      <c r="L44">
        <f>K44/$P$7</f>
        <v/>
      </c>
      <c r="M44" s="59" t="n"/>
      <c r="N44" s="59" t="n"/>
      <c r="O44" s="852" t="n"/>
      <c r="P44" s="852" t="n"/>
      <c r="Q44" s="852" t="n"/>
      <c r="R44" s="852" t="n"/>
    </row>
    <row r="45" ht="16.5" customHeight="1" thickBot="1">
      <c r="A45" s="125" t="inlineStr">
        <is>
          <t>Expense Ratio %</t>
        </is>
      </c>
      <c r="B45" s="259">
        <f>B44/B19</f>
        <v/>
      </c>
      <c r="C45" s="259">
        <f>C44/C19</f>
        <v/>
      </c>
      <c r="D45" s="259">
        <f>D44/D19</f>
        <v/>
      </c>
      <c r="E45" s="259">
        <f>E44/E19</f>
        <v/>
      </c>
      <c r="F45" s="259">
        <f>F44/F19</f>
        <v/>
      </c>
      <c r="G45" s="259">
        <f>G44/G19</f>
        <v/>
      </c>
      <c r="H45" s="259">
        <f>H44/H19</f>
        <v/>
      </c>
      <c r="I45" s="259">
        <f>I44/I19</f>
        <v/>
      </c>
      <c r="J45" s="262" t="n"/>
      <c r="K45" s="936" t="n"/>
      <c r="L45" s="852" t="n"/>
      <c r="M45" s="59" t="n"/>
      <c r="N45" s="59" t="n"/>
      <c r="O45" s="852" t="n"/>
      <c r="P45" s="852" t="n"/>
      <c r="Q45" s="852" t="n"/>
      <c r="R45" s="852" t="n"/>
    </row>
    <row r="46" ht="7.5" customHeight="1">
      <c r="A46" s="309" t="n"/>
      <c r="B46" s="298" t="n"/>
      <c r="C46" s="298" t="n"/>
      <c r="D46" s="298" t="n"/>
      <c r="E46" s="298" t="n"/>
      <c r="F46" s="298" t="n"/>
      <c r="G46" s="310" t="n"/>
      <c r="H46" s="310" t="n"/>
      <c r="I46" s="310" t="n"/>
      <c r="J46" s="307" t="n"/>
      <c r="K46" s="308" t="n"/>
      <c r="M46" s="59" t="n"/>
      <c r="N46" s="59" t="n"/>
      <c r="O46" s="852" t="n"/>
      <c r="P46" s="852" t="n"/>
      <c r="Q46" s="852" t="n"/>
      <c r="R46" s="852" t="n"/>
    </row>
    <row r="47" ht="24.75" customHeight="1">
      <c r="A47" s="126" t="inlineStr">
        <is>
          <t>Total Net Operating Income</t>
        </is>
      </c>
      <c r="B47" s="25">
        <f>B19-B44</f>
        <v/>
      </c>
      <c r="C47" s="25">
        <f>C19-C44</f>
        <v/>
      </c>
      <c r="D47" s="25">
        <f>D19-D44</f>
        <v/>
      </c>
      <c r="E47" s="25">
        <f>E19-E44</f>
        <v/>
      </c>
      <c r="F47" s="25">
        <f>F19-F44</f>
        <v/>
      </c>
      <c r="G47" s="106">
        <f>G19-G44</f>
        <v/>
      </c>
      <c r="H47" s="106">
        <f>H19-H44</f>
        <v/>
      </c>
      <c r="I47" s="106">
        <f>I19-I44</f>
        <v/>
      </c>
      <c r="J47" s="119" t="n"/>
      <c r="K47" s="71">
        <f>K19-K44</f>
        <v/>
      </c>
      <c r="L47">
        <f>K47/$P$7</f>
        <v/>
      </c>
      <c r="M47" s="59" t="n"/>
      <c r="N47" s="59" t="n"/>
      <c r="O47" s="852" t="n"/>
      <c r="P47" s="852" t="n"/>
      <c r="Q47" s="852" t="n"/>
      <c r="R47" s="852" t="n"/>
    </row>
    <row r="48" ht="17.25" customHeight="1">
      <c r="A48" s="127" t="inlineStr">
        <is>
          <t>YoY % Growth</t>
        </is>
      </c>
      <c r="B48" s="5" t="n"/>
      <c r="C48" s="117">
        <f>(C47-B47)/B47</f>
        <v/>
      </c>
      <c r="D48" s="235">
        <f>(D47-C47)/C47</f>
        <v/>
      </c>
      <c r="E48" s="235">
        <f>(E47-D47)/D47</f>
        <v/>
      </c>
      <c r="F48" s="117" t="n"/>
      <c r="G48" s="117" t="n"/>
      <c r="H48" s="117" t="n"/>
      <c r="I48" s="117" t="n"/>
      <c r="J48" s="112" t="n"/>
      <c r="K48" s="71" t="n"/>
      <c r="M48" s="59" t="n"/>
      <c r="N48" s="59" t="n"/>
      <c r="O48" s="852" t="n"/>
      <c r="P48" s="852" t="n"/>
      <c r="Q48" s="852" t="n"/>
      <c r="R48" s="852" t="n"/>
    </row>
    <row r="49" ht="9" customHeight="1" thickBot="1">
      <c r="A49" s="311" t="n"/>
      <c r="B49" s="312" t="n"/>
      <c r="C49" s="312" t="n"/>
      <c r="D49" s="312" t="n"/>
      <c r="E49" s="312" t="n"/>
      <c r="F49" s="312" t="n"/>
      <c r="G49" s="306" t="n"/>
      <c r="H49" s="306" t="n"/>
      <c r="I49" s="306" t="n"/>
      <c r="J49" s="306" t="n"/>
      <c r="K49" s="313" t="n"/>
      <c r="M49" s="59" t="n"/>
      <c r="N49" s="59" t="n"/>
      <c r="O49" s="852" t="n"/>
      <c r="P49" s="852" t="n"/>
      <c r="Q49" s="852" t="n"/>
      <c r="R49" s="852" t="n"/>
    </row>
    <row r="50" customFormat="1" s="59">
      <c r="O50" s="852" t="n"/>
      <c r="P50" s="852" t="n"/>
      <c r="Q50" s="852" t="n"/>
      <c r="R50" s="852" t="n"/>
    </row>
    <row r="51" customFormat="1" s="59">
      <c r="G51" s="334" t="n"/>
      <c r="H51" s="758" t="n"/>
      <c r="I51" s="758" t="n"/>
      <c r="O51" s="852" t="n"/>
      <c r="P51" s="852" t="n"/>
      <c r="Q51" s="852" t="n"/>
      <c r="R51" s="852" t="n"/>
    </row>
    <row r="52" customFormat="1" s="59">
      <c r="O52" s="852" t="n"/>
      <c r="P52" s="852" t="n"/>
      <c r="Q52" s="852" t="n"/>
      <c r="R52" s="852" t="n"/>
    </row>
    <row r="53" customFormat="1" s="59">
      <c r="O53" s="852" t="n"/>
      <c r="P53" s="852" t="n"/>
      <c r="Q53" s="852" t="n"/>
      <c r="R53" s="852" t="n"/>
    </row>
    <row r="54" customFormat="1" s="59">
      <c r="O54" s="852" t="n"/>
      <c r="P54" s="852" t="n"/>
      <c r="Q54" s="852" t="n"/>
      <c r="R54" s="852" t="n"/>
    </row>
    <row r="55" customFormat="1" s="59">
      <c r="O55" s="852" t="n"/>
      <c r="P55" s="852" t="n"/>
      <c r="Q55" s="852" t="n"/>
      <c r="R55" s="852" t="n"/>
    </row>
    <row r="56" customFormat="1" s="59">
      <c r="O56" s="852" t="n"/>
      <c r="P56" s="852" t="n"/>
      <c r="Q56" s="852" t="n"/>
      <c r="R56" s="852" t="n"/>
    </row>
    <row r="57" customFormat="1" s="59">
      <c r="O57" s="852" t="n"/>
      <c r="P57" s="852" t="n"/>
      <c r="Q57" s="852" t="n"/>
      <c r="R57" s="852" t="n"/>
    </row>
    <row r="58" customFormat="1" s="59">
      <c r="O58" s="852" t="n"/>
      <c r="P58" s="852" t="n"/>
      <c r="Q58" s="852" t="n"/>
      <c r="R58" s="852" t="n"/>
    </row>
    <row r="59" customFormat="1" s="59">
      <c r="O59" s="852" t="n"/>
      <c r="P59" s="852" t="n"/>
      <c r="Q59" s="852" t="n"/>
      <c r="R59" s="852" t="n"/>
    </row>
    <row r="60" customFormat="1" s="59">
      <c r="O60" s="852" t="n"/>
      <c r="P60" s="852" t="n"/>
      <c r="Q60" s="852" t="n"/>
      <c r="R60" s="852" t="n"/>
    </row>
    <row r="61" customFormat="1" s="59">
      <c r="O61" s="852" t="n"/>
      <c r="P61" s="852" t="n"/>
      <c r="Q61" s="852" t="n"/>
      <c r="R61" s="852" t="n"/>
    </row>
    <row r="62" customFormat="1" s="59">
      <c r="O62" s="852" t="n"/>
      <c r="P62" s="852" t="n"/>
      <c r="Q62" s="852" t="n"/>
      <c r="R62" s="852" t="n"/>
    </row>
    <row r="63" customFormat="1" s="59">
      <c r="O63" s="852" t="n"/>
      <c r="P63" s="852" t="n"/>
      <c r="Q63" s="852" t="n"/>
      <c r="R63" s="852" t="n"/>
    </row>
    <row r="64" customFormat="1" s="59">
      <c r="O64" s="852" t="n"/>
      <c r="P64" s="852" t="n"/>
      <c r="Q64" s="852" t="n"/>
      <c r="R64" s="852" t="n"/>
    </row>
    <row r="65" customFormat="1" s="59">
      <c r="O65" s="852" t="n"/>
      <c r="P65" s="852" t="n"/>
      <c r="Q65" s="852" t="n"/>
      <c r="R65" s="852" t="n"/>
    </row>
    <row r="66" customFormat="1" s="59">
      <c r="O66" s="852" t="n"/>
      <c r="P66" s="852" t="n"/>
      <c r="Q66" s="852" t="n"/>
      <c r="R66" s="852" t="n"/>
    </row>
    <row r="67" customFormat="1" s="59">
      <c r="O67" s="852" t="n"/>
      <c r="P67" s="852" t="n"/>
      <c r="Q67" s="852" t="n"/>
      <c r="R67" s="852" t="n"/>
    </row>
    <row r="68" customFormat="1" s="59">
      <c r="O68" s="852" t="n"/>
      <c r="P68" s="852" t="n"/>
      <c r="Q68" s="852" t="n"/>
      <c r="R68" s="852" t="n"/>
    </row>
    <row r="69" customFormat="1" s="59">
      <c r="O69" s="852" t="n"/>
      <c r="P69" s="852" t="n"/>
      <c r="Q69" s="852" t="n"/>
      <c r="R69" s="852" t="n"/>
    </row>
    <row r="70" customFormat="1" s="59">
      <c r="O70" s="852" t="n"/>
      <c r="P70" s="852" t="n"/>
      <c r="Q70" s="852" t="n"/>
      <c r="R70" s="852" t="n"/>
    </row>
    <row r="71" customFormat="1" s="59">
      <c r="O71" s="852" t="n"/>
      <c r="P71" s="852" t="n"/>
      <c r="Q71" s="852" t="n"/>
      <c r="R71" s="852" t="n"/>
    </row>
    <row r="72" customFormat="1" s="59">
      <c r="O72" s="852" t="n"/>
      <c r="P72" s="852" t="n"/>
      <c r="Q72" s="852" t="n"/>
      <c r="R72" s="852" t="n"/>
    </row>
    <row r="73" customFormat="1" s="59">
      <c r="O73" s="852" t="n"/>
      <c r="P73" s="852" t="n"/>
      <c r="Q73" s="852" t="n"/>
      <c r="R73" s="852" t="n"/>
    </row>
    <row r="74" customFormat="1" s="59">
      <c r="O74" s="852" t="n"/>
      <c r="P74" s="852" t="n"/>
      <c r="Q74" s="852" t="n"/>
      <c r="R74" s="852" t="n"/>
    </row>
    <row r="75" customFormat="1" s="59">
      <c r="O75" s="852" t="n"/>
      <c r="P75" s="852" t="n"/>
      <c r="Q75" s="852" t="n"/>
      <c r="R75" s="852" t="n"/>
    </row>
    <row r="76" customFormat="1" s="59">
      <c r="O76" s="852" t="n"/>
      <c r="P76" s="852" t="n"/>
      <c r="Q76" s="852" t="n"/>
      <c r="R76" s="852" t="n"/>
    </row>
    <row r="77" customFormat="1" s="59">
      <c r="O77" s="852" t="n"/>
      <c r="P77" s="852" t="n"/>
      <c r="Q77" s="852" t="n"/>
      <c r="R77" s="852" t="n"/>
    </row>
    <row r="78" customFormat="1" s="59">
      <c r="O78" s="852" t="n"/>
      <c r="P78" s="852" t="n"/>
      <c r="Q78" s="852" t="n"/>
      <c r="R78" s="852" t="n"/>
    </row>
    <row r="79" customFormat="1" s="59">
      <c r="O79" s="852" t="n"/>
      <c r="P79" s="852" t="n"/>
      <c r="Q79" s="852" t="n"/>
      <c r="R79" s="852" t="n"/>
    </row>
    <row r="80" customFormat="1" s="59">
      <c r="O80" s="852" t="n"/>
      <c r="P80" s="852" t="n"/>
      <c r="Q80" s="852" t="n"/>
      <c r="R80" s="852" t="n"/>
    </row>
    <row r="81" customFormat="1" s="59">
      <c r="O81" s="852" t="n"/>
      <c r="P81" s="852" t="n"/>
      <c r="Q81" s="852" t="n"/>
      <c r="R81" s="852" t="n"/>
    </row>
    <row r="82" customFormat="1" s="59">
      <c r="O82" s="852" t="n"/>
      <c r="P82" s="852" t="n"/>
      <c r="Q82" s="852" t="n"/>
      <c r="R82" s="852" t="n"/>
    </row>
    <row r="83" customFormat="1" s="59">
      <c r="O83" s="852" t="n"/>
      <c r="P83" s="852" t="n"/>
      <c r="Q83" s="852" t="n"/>
      <c r="R83" s="852" t="n"/>
    </row>
    <row r="84" customFormat="1" s="59">
      <c r="O84" s="852" t="n"/>
      <c r="P84" s="852" t="n"/>
      <c r="Q84" s="852" t="n"/>
      <c r="R84" s="852" t="n"/>
    </row>
    <row r="85" customFormat="1" s="59">
      <c r="O85" s="852" t="n"/>
      <c r="P85" s="852" t="n"/>
      <c r="Q85" s="852" t="n"/>
      <c r="R85" s="852" t="n"/>
    </row>
    <row r="86" customFormat="1" s="59">
      <c r="O86" s="852" t="n"/>
      <c r="P86" s="852" t="n"/>
      <c r="Q86" s="852" t="n"/>
      <c r="R86" s="852" t="n"/>
    </row>
    <row r="87" customFormat="1" s="59">
      <c r="O87" s="852" t="n"/>
      <c r="P87" s="852" t="n"/>
      <c r="Q87" s="852" t="n"/>
      <c r="R87" s="852" t="n"/>
    </row>
    <row r="88" customFormat="1" s="59">
      <c r="O88" s="852" t="n"/>
      <c r="P88" s="852" t="n"/>
      <c r="Q88" s="852" t="n"/>
      <c r="R88" s="852" t="n"/>
    </row>
    <row r="89" customFormat="1" s="59">
      <c r="O89" s="852" t="n"/>
      <c r="P89" s="852" t="n"/>
      <c r="Q89" s="852" t="n"/>
      <c r="R89" s="852" t="n"/>
    </row>
    <row r="90" customFormat="1" s="59">
      <c r="O90" s="852" t="n"/>
      <c r="P90" s="852" t="n"/>
      <c r="Q90" s="852" t="n"/>
      <c r="R90" s="852" t="n"/>
    </row>
    <row r="91" customFormat="1" s="59">
      <c r="O91" s="852" t="n"/>
      <c r="P91" s="852" t="n"/>
      <c r="Q91" s="852" t="n"/>
      <c r="R91" s="852" t="n"/>
    </row>
    <row r="92" customFormat="1" s="59">
      <c r="O92" s="852" t="n"/>
      <c r="P92" s="852" t="n"/>
      <c r="Q92" s="852" t="n"/>
      <c r="R92" s="852" t="n"/>
    </row>
    <row r="93" customFormat="1" s="59">
      <c r="O93" s="852" t="n"/>
      <c r="P93" s="852" t="n"/>
      <c r="Q93" s="852" t="n"/>
      <c r="R93" s="852" t="n"/>
    </row>
    <row r="94" customFormat="1" s="59">
      <c r="O94" s="852" t="n"/>
      <c r="P94" s="852" t="n"/>
      <c r="Q94" s="852" t="n"/>
      <c r="R94" s="852" t="n"/>
    </row>
    <row r="95" customFormat="1" s="59">
      <c r="O95" s="852" t="n"/>
      <c r="P95" s="852" t="n"/>
      <c r="Q95" s="852" t="n"/>
      <c r="R95" s="852" t="n"/>
    </row>
    <row r="96" customFormat="1" s="59">
      <c r="O96" s="852" t="n"/>
      <c r="P96" s="852" t="n"/>
      <c r="Q96" s="852" t="n"/>
      <c r="R96" s="852" t="n"/>
    </row>
    <row r="97" customFormat="1" s="59">
      <c r="O97" s="852" t="n"/>
      <c r="P97" s="852" t="n"/>
      <c r="Q97" s="852" t="n"/>
      <c r="R97" s="852" t="n"/>
    </row>
    <row r="98" customFormat="1" s="59">
      <c r="O98" s="852" t="n"/>
      <c r="P98" s="852" t="n"/>
      <c r="Q98" s="852" t="n"/>
      <c r="R98" s="852" t="n"/>
    </row>
    <row r="99" customFormat="1" s="59">
      <c r="O99" s="852" t="n"/>
      <c r="P99" s="852" t="n"/>
      <c r="Q99" s="852" t="n"/>
      <c r="R99" s="852" t="n"/>
    </row>
    <row r="100" customFormat="1" s="59">
      <c r="O100" s="852" t="n"/>
      <c r="P100" s="852" t="n"/>
      <c r="Q100" s="852" t="n"/>
      <c r="R100" s="852" t="n"/>
    </row>
    <row r="101" customFormat="1" s="59">
      <c r="O101" s="852" t="n"/>
      <c r="P101" s="852" t="n"/>
      <c r="Q101" s="852" t="n"/>
      <c r="R101" s="852" t="n"/>
    </row>
    <row r="102" customFormat="1" s="59">
      <c r="O102" s="852" t="n"/>
      <c r="P102" s="852" t="n"/>
      <c r="Q102" s="852" t="n"/>
      <c r="R102" s="852" t="n"/>
    </row>
    <row r="103" customFormat="1" s="59">
      <c r="O103" s="852" t="n"/>
      <c r="P103" s="852" t="n"/>
      <c r="Q103" s="852" t="n"/>
      <c r="R103" s="852" t="n"/>
    </row>
    <row r="104" customFormat="1" s="59">
      <c r="O104" s="852" t="n"/>
      <c r="P104" s="852" t="n"/>
      <c r="Q104" s="852" t="n"/>
      <c r="R104" s="852" t="n"/>
    </row>
    <row r="105" customFormat="1" s="59">
      <c r="O105" s="852" t="n"/>
      <c r="P105" s="852" t="n"/>
      <c r="Q105" s="852" t="n"/>
      <c r="R105" s="852" t="n"/>
    </row>
    <row r="106" customFormat="1" s="59">
      <c r="O106" s="852" t="n"/>
      <c r="P106" s="852" t="n"/>
      <c r="Q106" s="852" t="n"/>
      <c r="R106" s="852" t="n"/>
    </row>
    <row r="107" customFormat="1" s="59">
      <c r="O107" s="852" t="n"/>
      <c r="P107" s="852" t="n"/>
      <c r="Q107" s="852" t="n"/>
      <c r="R107" s="852" t="n"/>
    </row>
    <row r="108" customFormat="1" s="59">
      <c r="O108" s="852" t="n"/>
      <c r="P108" s="852" t="n"/>
      <c r="Q108" s="852" t="n"/>
      <c r="R108" s="852" t="n"/>
    </row>
    <row r="109" customFormat="1" s="59">
      <c r="O109" s="852" t="n"/>
      <c r="P109" s="852" t="n"/>
      <c r="Q109" s="852" t="n"/>
      <c r="R109" s="852" t="n"/>
    </row>
    <row r="110" customFormat="1" s="59">
      <c r="O110" s="852" t="n"/>
      <c r="P110" s="852" t="n"/>
      <c r="Q110" s="852" t="n"/>
      <c r="R110" s="852" t="n"/>
    </row>
    <row r="111" customFormat="1" s="59">
      <c r="O111" s="852" t="n"/>
      <c r="P111" s="852" t="n"/>
      <c r="Q111" s="852" t="n"/>
      <c r="R111" s="852" t="n"/>
    </row>
    <row r="112" customFormat="1" s="59">
      <c r="O112" s="852" t="n"/>
      <c r="P112" s="852" t="n"/>
      <c r="Q112" s="852" t="n"/>
      <c r="R112" s="852" t="n"/>
    </row>
    <row r="113" customFormat="1" s="59">
      <c r="O113" s="852" t="n"/>
      <c r="P113" s="852" t="n"/>
      <c r="Q113" s="852" t="n"/>
      <c r="R113" s="852" t="n"/>
    </row>
    <row r="114" customFormat="1" s="59">
      <c r="O114" s="852" t="n"/>
      <c r="P114" s="852" t="n"/>
      <c r="Q114" s="852" t="n"/>
      <c r="R114" s="852" t="n"/>
    </row>
    <row r="115" customFormat="1" s="59">
      <c r="O115" s="852" t="n"/>
      <c r="P115" s="852" t="n"/>
      <c r="Q115" s="852" t="n"/>
      <c r="R115" s="852" t="n"/>
    </row>
    <row r="116" customFormat="1" s="59">
      <c r="O116" s="852" t="n"/>
      <c r="P116" s="852" t="n"/>
      <c r="Q116" s="852" t="n"/>
      <c r="R116" s="852" t="n"/>
    </row>
    <row r="117" customFormat="1" s="59">
      <c r="O117" s="852" t="n"/>
      <c r="P117" s="852" t="n"/>
      <c r="Q117" s="852" t="n"/>
      <c r="R117" s="852" t="n"/>
    </row>
    <row r="118" customFormat="1" s="59">
      <c r="O118" s="852" t="n"/>
      <c r="P118" s="852" t="n"/>
      <c r="Q118" s="852" t="n"/>
      <c r="R118" s="852" t="n"/>
    </row>
    <row r="119" customFormat="1" s="59">
      <c r="O119" s="852" t="n"/>
      <c r="P119" s="852" t="n"/>
      <c r="Q119" s="852" t="n"/>
      <c r="R119" s="852" t="n"/>
    </row>
    <row r="120" customFormat="1" s="59">
      <c r="O120" s="852" t="n"/>
      <c r="P120" s="852" t="n"/>
      <c r="Q120" s="852" t="n"/>
      <c r="R120" s="852" t="n"/>
    </row>
    <row r="121" customFormat="1" s="59">
      <c r="O121" s="852" t="n"/>
      <c r="P121" s="852" t="n"/>
      <c r="Q121" s="852" t="n"/>
      <c r="R121" s="852" t="n"/>
    </row>
    <row r="122" customFormat="1" s="59">
      <c r="O122" s="852" t="n"/>
      <c r="P122" s="852" t="n"/>
      <c r="Q122" s="852" t="n"/>
      <c r="R122" s="852" t="n"/>
    </row>
    <row r="123" customFormat="1" s="59">
      <c r="O123" s="852" t="n"/>
      <c r="P123" s="852" t="n"/>
      <c r="Q123" s="852" t="n"/>
      <c r="R123" s="852" t="n"/>
    </row>
    <row r="124" customFormat="1" s="59">
      <c r="O124" s="852" t="n"/>
      <c r="P124" s="852" t="n"/>
      <c r="Q124" s="852" t="n"/>
      <c r="R124" s="852" t="n"/>
    </row>
    <row r="125" customFormat="1" s="59">
      <c r="O125" s="852" t="n"/>
      <c r="P125" s="852" t="n"/>
      <c r="Q125" s="852" t="n"/>
      <c r="R125" s="852" t="n"/>
    </row>
    <row r="126" customFormat="1" s="59">
      <c r="O126" s="852" t="n"/>
      <c r="P126" s="852" t="n"/>
      <c r="Q126" s="852" t="n"/>
      <c r="R126" s="852" t="n"/>
    </row>
    <row r="127" customFormat="1" s="59">
      <c r="O127" s="852" t="n"/>
      <c r="P127" s="852" t="n"/>
      <c r="Q127" s="852" t="n"/>
      <c r="R127" s="852" t="n"/>
    </row>
    <row r="128" customFormat="1" s="59">
      <c r="O128" s="852" t="n"/>
      <c r="P128" s="852" t="n"/>
      <c r="Q128" s="852" t="n"/>
      <c r="R128" s="852" t="n"/>
    </row>
    <row r="129" customFormat="1" s="59">
      <c r="O129" s="852" t="n"/>
      <c r="P129" s="852" t="n"/>
      <c r="Q129" s="852" t="n"/>
      <c r="R129" s="852" t="n"/>
    </row>
    <row r="130" customFormat="1" s="59">
      <c r="O130" s="852" t="n"/>
      <c r="P130" s="852" t="n"/>
      <c r="Q130" s="852" t="n"/>
      <c r="R130" s="852" t="n"/>
    </row>
    <row r="131" customFormat="1" s="59">
      <c r="O131" s="852" t="n"/>
      <c r="P131" s="852" t="n"/>
      <c r="Q131" s="852" t="n"/>
      <c r="R131" s="852" t="n"/>
    </row>
    <row r="132" customFormat="1" s="59">
      <c r="O132" s="852" t="n"/>
      <c r="P132" s="852" t="n"/>
      <c r="Q132" s="852" t="n"/>
      <c r="R132" s="852" t="n"/>
    </row>
    <row r="133" customFormat="1" s="59">
      <c r="O133" s="852" t="n"/>
      <c r="P133" s="852" t="n"/>
      <c r="Q133" s="852" t="n"/>
      <c r="R133" s="852" t="n"/>
    </row>
    <row r="134" customFormat="1" s="59">
      <c r="O134" s="852" t="n"/>
      <c r="P134" s="852" t="n"/>
      <c r="Q134" s="852" t="n"/>
      <c r="R134" s="852" t="n"/>
    </row>
    <row r="135" customFormat="1" s="59">
      <c r="O135" s="852" t="n"/>
      <c r="P135" s="852" t="n"/>
      <c r="Q135" s="852" t="n"/>
      <c r="R135" s="852" t="n"/>
    </row>
    <row r="136" customFormat="1" s="59">
      <c r="O136" s="852" t="n"/>
      <c r="P136" s="852" t="n"/>
      <c r="Q136" s="852" t="n"/>
      <c r="R136" s="852" t="n"/>
    </row>
    <row r="137" customFormat="1" s="59">
      <c r="O137" s="852" t="n"/>
      <c r="P137" s="852" t="n"/>
      <c r="Q137" s="852" t="n"/>
      <c r="R137" s="852" t="n"/>
    </row>
    <row r="138" customFormat="1" s="59">
      <c r="O138" s="852" t="n"/>
      <c r="P138" s="852" t="n"/>
      <c r="Q138" s="852" t="n"/>
      <c r="R138" s="852" t="n"/>
    </row>
    <row r="139" customFormat="1" s="59">
      <c r="O139" s="852" t="n"/>
      <c r="P139" s="852" t="n"/>
      <c r="Q139" s="852" t="n"/>
      <c r="R139" s="852" t="n"/>
    </row>
    <row r="140" customFormat="1" s="59">
      <c r="O140" s="852" t="n"/>
      <c r="P140" s="852" t="n"/>
      <c r="Q140" s="852" t="n"/>
      <c r="R140" s="852" t="n"/>
    </row>
    <row r="141" customFormat="1" s="59">
      <c r="O141" s="852" t="n"/>
      <c r="P141" s="852" t="n"/>
      <c r="Q141" s="852" t="n"/>
      <c r="R141" s="852" t="n"/>
    </row>
    <row r="142" customFormat="1" s="59">
      <c r="O142" s="852" t="n"/>
      <c r="P142" s="852" t="n"/>
      <c r="Q142" s="852" t="n"/>
      <c r="R142" s="852" t="n"/>
    </row>
    <row r="143" customFormat="1" s="59">
      <c r="O143" s="852" t="n"/>
      <c r="P143" s="852" t="n"/>
      <c r="Q143" s="852" t="n"/>
      <c r="R143" s="852" t="n"/>
    </row>
    <row r="144" customFormat="1" s="59">
      <c r="O144" s="852" t="n"/>
      <c r="P144" s="852" t="n"/>
      <c r="Q144" s="852" t="n"/>
      <c r="R144" s="852" t="n"/>
    </row>
    <row r="145" customFormat="1" s="59">
      <c r="O145" s="852" t="n"/>
      <c r="P145" s="852" t="n"/>
      <c r="Q145" s="852" t="n"/>
      <c r="R145" s="852" t="n"/>
    </row>
    <row r="146" customFormat="1" s="59">
      <c r="O146" s="852" t="n"/>
      <c r="P146" s="852" t="n"/>
      <c r="Q146" s="852" t="n"/>
      <c r="R146" s="852" t="n"/>
    </row>
    <row r="147" customFormat="1" s="59">
      <c r="O147" s="852" t="n"/>
      <c r="P147" s="852" t="n"/>
      <c r="Q147" s="852" t="n"/>
      <c r="R147" s="852" t="n"/>
    </row>
    <row r="148" customFormat="1" s="59">
      <c r="O148" s="852" t="n"/>
      <c r="P148" s="852" t="n"/>
      <c r="Q148" s="852" t="n"/>
      <c r="R148" s="852" t="n"/>
    </row>
    <row r="149" customFormat="1" s="59">
      <c r="O149" s="852" t="n"/>
      <c r="P149" s="852" t="n"/>
      <c r="Q149" s="852" t="n"/>
      <c r="R149" s="852" t="n"/>
    </row>
    <row r="150" customFormat="1" s="59">
      <c r="O150" s="852" t="n"/>
      <c r="P150" s="852" t="n"/>
      <c r="Q150" s="852" t="n"/>
      <c r="R150" s="852" t="n"/>
    </row>
    <row r="151" customFormat="1" s="59">
      <c r="O151" s="852" t="n"/>
      <c r="P151" s="852" t="n"/>
      <c r="Q151" s="852" t="n"/>
      <c r="R151" s="852" t="n"/>
    </row>
    <row r="152" customFormat="1" s="59">
      <c r="O152" s="852" t="n"/>
      <c r="P152" s="852" t="n"/>
      <c r="Q152" s="852" t="n"/>
      <c r="R152" s="852" t="n"/>
    </row>
    <row r="153" customFormat="1" s="59">
      <c r="O153" s="852" t="n"/>
      <c r="P153" s="852" t="n"/>
      <c r="Q153" s="852" t="n"/>
      <c r="R153" s="852" t="n"/>
    </row>
    <row r="154" customFormat="1" s="59">
      <c r="O154" s="852" t="n"/>
      <c r="P154" s="852" t="n"/>
      <c r="Q154" s="852" t="n"/>
      <c r="R154" s="852" t="n"/>
    </row>
    <row r="155" customFormat="1" s="59">
      <c r="O155" s="852" t="n"/>
      <c r="P155" s="852" t="n"/>
      <c r="Q155" s="852" t="n"/>
      <c r="R155" s="852" t="n"/>
    </row>
    <row r="156" customFormat="1" s="59">
      <c r="O156" s="852" t="n"/>
      <c r="P156" s="852" t="n"/>
      <c r="Q156" s="852" t="n"/>
      <c r="R156" s="852" t="n"/>
    </row>
    <row r="157" customFormat="1" s="59">
      <c r="O157" s="852" t="n"/>
      <c r="P157" s="852" t="n"/>
      <c r="Q157" s="852" t="n"/>
      <c r="R157" s="852" t="n"/>
    </row>
    <row r="158" customFormat="1" s="59">
      <c r="O158" s="852" t="n"/>
      <c r="P158" s="852" t="n"/>
      <c r="Q158" s="852" t="n"/>
      <c r="R158" s="852" t="n"/>
    </row>
    <row r="159" customFormat="1" s="59">
      <c r="O159" s="852" t="n"/>
      <c r="P159" s="852" t="n"/>
      <c r="Q159" s="852" t="n"/>
      <c r="R159" s="852" t="n"/>
    </row>
    <row r="160" customFormat="1" s="59">
      <c r="O160" s="852" t="n"/>
      <c r="P160" s="852" t="n"/>
      <c r="Q160" s="852" t="n"/>
      <c r="R160" s="852" t="n"/>
    </row>
    <row r="161" customFormat="1" s="59">
      <c r="O161" s="852" t="n"/>
      <c r="P161" s="852" t="n"/>
      <c r="Q161" s="852" t="n"/>
      <c r="R161" s="852" t="n"/>
    </row>
    <row r="162" customFormat="1" s="59">
      <c r="O162" s="852" t="n"/>
      <c r="P162" s="852" t="n"/>
      <c r="Q162" s="852" t="n"/>
      <c r="R162" s="852" t="n"/>
    </row>
    <row r="163" customFormat="1" s="59">
      <c r="O163" s="852" t="n"/>
      <c r="P163" s="852" t="n"/>
      <c r="Q163" s="852" t="n"/>
      <c r="R163" s="852" t="n"/>
    </row>
    <row r="164" customFormat="1" s="59">
      <c r="O164" s="852" t="n"/>
      <c r="P164" s="852" t="n"/>
      <c r="Q164" s="852" t="n"/>
      <c r="R164" s="852" t="n"/>
    </row>
    <row r="165" customFormat="1" s="59">
      <c r="O165" s="852" t="n"/>
      <c r="P165" s="852" t="n"/>
      <c r="Q165" s="852" t="n"/>
      <c r="R165" s="852" t="n"/>
    </row>
    <row r="166" customFormat="1" s="59">
      <c r="O166" s="852" t="n"/>
      <c r="P166" s="852" t="n"/>
      <c r="Q166" s="852" t="n"/>
      <c r="R166" s="852" t="n"/>
    </row>
    <row r="167" customFormat="1" s="59">
      <c r="O167" s="852" t="n"/>
      <c r="P167" s="852" t="n"/>
      <c r="Q167" s="852" t="n"/>
      <c r="R167" s="852" t="n"/>
    </row>
    <row r="168" customFormat="1" s="59">
      <c r="O168" s="852" t="n"/>
      <c r="P168" s="852" t="n"/>
      <c r="Q168" s="852" t="n"/>
      <c r="R168" s="852" t="n"/>
    </row>
    <row r="169" customFormat="1" s="59">
      <c r="O169" s="852" t="n"/>
      <c r="P169" s="852" t="n"/>
      <c r="Q169" s="852" t="n"/>
      <c r="R169" s="852" t="n"/>
    </row>
    <row r="170" customFormat="1" s="59">
      <c r="O170" s="852" t="n"/>
      <c r="P170" s="852" t="n"/>
      <c r="Q170" s="852" t="n"/>
      <c r="R170" s="852" t="n"/>
    </row>
    <row r="171" customFormat="1" s="59">
      <c r="O171" s="852" t="n"/>
      <c r="P171" s="852" t="n"/>
      <c r="Q171" s="852" t="n"/>
      <c r="R171" s="852" t="n"/>
    </row>
    <row r="172" customFormat="1" s="59">
      <c r="O172" s="852" t="n"/>
      <c r="P172" s="852" t="n"/>
      <c r="Q172" s="852" t="n"/>
      <c r="R172" s="852" t="n"/>
    </row>
    <row r="173">
      <c r="M173" s="59" t="n"/>
      <c r="N173" s="59" t="n"/>
      <c r="O173" s="852" t="n"/>
      <c r="P173" s="852" t="n"/>
      <c r="Q173" s="852" t="n"/>
      <c r="R173" s="852" t="n"/>
    </row>
    <row r="174">
      <c r="M174" s="59" t="n"/>
      <c r="N174" s="59" t="n"/>
      <c r="O174" s="852" t="n"/>
      <c r="P174" s="852" t="n"/>
      <c r="Q174" s="852" t="n"/>
      <c r="R174" s="852" t="n"/>
    </row>
    <row r="175">
      <c r="M175" s="59" t="n"/>
      <c r="N175" s="59" t="n"/>
      <c r="O175" s="852" t="n"/>
      <c r="P175" s="852" t="n"/>
      <c r="Q175" s="852" t="n"/>
      <c r="R175" s="852" t="n"/>
    </row>
    <row r="176">
      <c r="M176" s="59" t="n"/>
      <c r="N176" s="59" t="n"/>
      <c r="O176" s="852" t="n"/>
      <c r="P176" s="852" t="n"/>
      <c r="Q176" s="852" t="n"/>
      <c r="R176" s="852" t="n"/>
    </row>
    <row r="177">
      <c r="M177" s="59" t="n"/>
      <c r="N177" s="59" t="n"/>
      <c r="O177" s="852" t="n"/>
      <c r="P177" s="852" t="n"/>
      <c r="Q177" s="852" t="n"/>
      <c r="R177" s="852" t="n"/>
    </row>
    <row r="178">
      <c r="M178" s="59" t="n"/>
      <c r="N178" s="59" t="n"/>
      <c r="O178" s="852" t="n"/>
      <c r="P178" s="852" t="n"/>
      <c r="Q178" s="852" t="n"/>
      <c r="R178" s="852" t="n"/>
    </row>
    <row r="179">
      <c r="M179" s="59" t="n"/>
      <c r="N179" s="59" t="n"/>
      <c r="O179" s="852" t="n"/>
      <c r="P179" s="852" t="n"/>
      <c r="Q179" s="852" t="n"/>
      <c r="R179" s="852" t="n"/>
    </row>
    <row r="180">
      <c r="M180" s="59" t="n"/>
      <c r="N180" s="59" t="n"/>
      <c r="O180" s="852" t="n"/>
      <c r="P180" s="852" t="n"/>
      <c r="Q180" s="852" t="n"/>
      <c r="R180" s="852" t="n"/>
    </row>
    <row r="181">
      <c r="M181" s="59" t="n"/>
      <c r="N181" s="59" t="n"/>
      <c r="O181" s="852" t="n"/>
      <c r="P181" s="852" t="n"/>
      <c r="Q181" s="852" t="n"/>
      <c r="R181" s="852" t="n"/>
    </row>
    <row r="182">
      <c r="M182" s="59" t="n"/>
      <c r="N182" s="59" t="n"/>
      <c r="O182" s="852" t="n"/>
      <c r="P182" s="852" t="n"/>
      <c r="Q182" s="852" t="n"/>
      <c r="R182" s="852" t="n"/>
    </row>
    <row r="183">
      <c r="M183" s="59" t="n"/>
      <c r="N183" s="59" t="n"/>
      <c r="O183" s="852" t="n"/>
      <c r="P183" s="852" t="n"/>
      <c r="Q183" s="852" t="n"/>
      <c r="R183" s="852" t="n"/>
    </row>
    <row r="184">
      <c r="M184" s="59" t="n"/>
      <c r="N184" s="59" t="n"/>
      <c r="O184" s="852" t="n"/>
      <c r="P184" s="852" t="n"/>
      <c r="Q184" s="852" t="n"/>
      <c r="R184" s="852" t="n"/>
    </row>
    <row r="185">
      <c r="M185" s="59" t="n"/>
      <c r="N185" s="59" t="n"/>
      <c r="O185" s="852" t="n"/>
      <c r="P185" s="852" t="n"/>
      <c r="Q185" s="852" t="n"/>
      <c r="R185" s="852" t="n"/>
    </row>
    <row r="186">
      <c r="M186" s="59" t="n"/>
      <c r="N186" s="59" t="n"/>
      <c r="O186" s="852" t="n"/>
      <c r="P186" s="852" t="n"/>
      <c r="Q186" s="852" t="n"/>
      <c r="R186" s="852" t="n"/>
    </row>
    <row r="187">
      <c r="M187" s="59" t="n"/>
      <c r="N187" s="59" t="n"/>
      <c r="O187" s="852" t="n"/>
      <c r="P187" s="852" t="n"/>
      <c r="Q187" s="852" t="n"/>
      <c r="R187" s="852" t="n"/>
    </row>
    <row r="188">
      <c r="M188" s="59" t="n"/>
      <c r="N188" s="59" t="n"/>
      <c r="O188" s="852" t="n"/>
      <c r="P188" s="852" t="n"/>
      <c r="Q188" s="852" t="n"/>
      <c r="R188" s="852" t="n"/>
    </row>
    <row r="189">
      <c r="M189" s="59" t="n"/>
      <c r="N189" s="59" t="n"/>
      <c r="O189" s="852" t="n"/>
      <c r="P189" s="852" t="n"/>
      <c r="Q189" s="852" t="n"/>
      <c r="R189" s="852" t="n"/>
    </row>
    <row r="190">
      <c r="M190" s="59" t="n"/>
      <c r="N190" s="59" t="n"/>
      <c r="O190" s="852" t="n"/>
      <c r="P190" s="852" t="n"/>
      <c r="Q190" s="852" t="n"/>
      <c r="R190" s="852" t="n"/>
    </row>
    <row r="191">
      <c r="M191" s="59" t="n"/>
      <c r="N191" s="59" t="n"/>
      <c r="O191" s="852" t="n"/>
      <c r="P191" s="852" t="n"/>
      <c r="Q191" s="852" t="n"/>
      <c r="R191" s="852" t="n"/>
    </row>
    <row r="192">
      <c r="M192" s="59" t="n"/>
      <c r="N192" s="59" t="n"/>
      <c r="O192" s="852" t="n"/>
      <c r="P192" s="852" t="n"/>
      <c r="Q192" s="852" t="n"/>
      <c r="R192" s="852" t="n"/>
    </row>
    <row r="193">
      <c r="M193" s="59" t="n"/>
      <c r="N193" s="59" t="n"/>
      <c r="O193" s="852" t="n"/>
      <c r="P193" s="852" t="n"/>
      <c r="Q193" s="852" t="n"/>
      <c r="R193" s="852" t="n"/>
    </row>
    <row r="194">
      <c r="M194" s="59" t="n"/>
      <c r="N194" s="59" t="n"/>
      <c r="O194" s="852" t="n"/>
      <c r="P194" s="852" t="n"/>
      <c r="Q194" s="852" t="n"/>
      <c r="R194" s="852" t="n"/>
    </row>
    <row r="195">
      <c r="M195" s="59" t="n"/>
      <c r="N195" s="59" t="n"/>
      <c r="O195" s="852" t="n"/>
      <c r="P195" s="852" t="n"/>
      <c r="Q195" s="852" t="n"/>
      <c r="R195" s="852" t="n"/>
    </row>
    <row r="196">
      <c r="M196" s="59" t="n"/>
      <c r="N196" s="59" t="n"/>
      <c r="O196" s="852" t="n"/>
      <c r="P196" s="852" t="n"/>
      <c r="Q196" s="852" t="n"/>
      <c r="R196" s="852" t="n"/>
    </row>
    <row r="197">
      <c r="M197" s="59" t="n"/>
      <c r="N197" s="59" t="n"/>
      <c r="O197" s="852" t="n"/>
      <c r="P197" s="852" t="n"/>
      <c r="Q197" s="852" t="n"/>
      <c r="R197" s="852" t="n"/>
    </row>
    <row r="198">
      <c r="M198" s="59" t="n"/>
      <c r="N198" s="59" t="n"/>
      <c r="O198" s="852" t="n"/>
      <c r="P198" s="852" t="n"/>
      <c r="Q198" s="852" t="n"/>
      <c r="R198" s="852" t="n"/>
    </row>
    <row r="199">
      <c r="M199" s="59" t="n"/>
      <c r="N199" s="59" t="n"/>
      <c r="O199" s="852" t="n"/>
      <c r="P199" s="852" t="n"/>
      <c r="Q199" s="852" t="n"/>
      <c r="R199" s="852" t="n"/>
    </row>
    <row r="200">
      <c r="M200" s="59" t="n"/>
      <c r="N200" s="59" t="n"/>
      <c r="O200" s="852" t="n"/>
      <c r="P200" s="852" t="n"/>
      <c r="Q200" s="852" t="n"/>
      <c r="R200" s="852" t="n"/>
    </row>
    <row r="201">
      <c r="M201" s="59" t="n"/>
      <c r="N201" s="59" t="n"/>
      <c r="O201" s="852" t="n"/>
      <c r="P201" s="852" t="n"/>
      <c r="Q201" s="852" t="n"/>
      <c r="R201" s="852" t="n"/>
    </row>
    <row r="202">
      <c r="M202" s="59" t="n"/>
      <c r="N202" s="59" t="n"/>
      <c r="O202" s="852" t="n"/>
      <c r="P202" s="852" t="n"/>
      <c r="Q202" s="852" t="n"/>
      <c r="R202" s="852" t="n"/>
    </row>
    <row r="203">
      <c r="M203" s="59" t="n"/>
      <c r="N203" s="59" t="n"/>
      <c r="O203" s="852" t="n"/>
      <c r="P203" s="852" t="n"/>
      <c r="Q203" s="852" t="n"/>
      <c r="R203" s="852" t="n"/>
    </row>
    <row r="204">
      <c r="M204" s="59" t="n"/>
      <c r="N204" s="59" t="n"/>
      <c r="O204" s="852" t="n"/>
      <c r="P204" s="852" t="n"/>
      <c r="Q204" s="852" t="n"/>
      <c r="R204" s="852" t="n"/>
    </row>
    <row r="205">
      <c r="M205" s="59" t="n"/>
      <c r="N205" s="59" t="n"/>
      <c r="O205" s="852" t="n"/>
      <c r="P205" s="852" t="n"/>
      <c r="Q205" s="852" t="n"/>
      <c r="R205" s="852" t="n"/>
    </row>
    <row r="206">
      <c r="M206" s="59" t="n"/>
      <c r="N206" s="59" t="n"/>
      <c r="O206" s="852" t="n"/>
      <c r="P206" s="852" t="n"/>
      <c r="Q206" s="852" t="n"/>
      <c r="R206" s="852" t="n"/>
    </row>
    <row r="207">
      <c r="M207" s="59" t="n"/>
      <c r="N207" s="59" t="n"/>
      <c r="O207" s="852" t="n"/>
      <c r="P207" s="852" t="n"/>
      <c r="Q207" s="852" t="n"/>
      <c r="R207" s="852" t="n"/>
    </row>
    <row r="208">
      <c r="M208" s="59" t="n"/>
      <c r="N208" s="59" t="n"/>
      <c r="O208" s="852" t="n"/>
      <c r="P208" s="852" t="n"/>
      <c r="Q208" s="852" t="n"/>
      <c r="R208" s="852" t="n"/>
    </row>
    <row r="209">
      <c r="M209" s="59" t="n"/>
      <c r="N209" s="59" t="n"/>
      <c r="O209" s="852" t="n"/>
      <c r="P209" s="852" t="n"/>
      <c r="Q209" s="852" t="n"/>
      <c r="R209" s="852" t="n"/>
    </row>
    <row r="210">
      <c r="M210" s="59" t="n"/>
      <c r="N210" s="59" t="n"/>
      <c r="O210" s="852" t="n"/>
      <c r="P210" s="852" t="n"/>
      <c r="Q210" s="852" t="n"/>
      <c r="R210" s="852" t="n"/>
    </row>
    <row r="211">
      <c r="M211" s="59" t="n"/>
      <c r="N211" s="59" t="n"/>
      <c r="O211" s="852" t="n"/>
      <c r="P211" s="852" t="n"/>
      <c r="Q211" s="852" t="n"/>
      <c r="R211" s="852" t="n"/>
    </row>
    <row r="212">
      <c r="M212" s="59" t="n"/>
      <c r="N212" s="59" t="n"/>
      <c r="O212" s="852" t="n"/>
      <c r="P212" s="852" t="n"/>
      <c r="Q212" s="852" t="n"/>
      <c r="R212" s="852" t="n"/>
    </row>
    <row r="213">
      <c r="M213" s="59" t="n"/>
      <c r="N213" s="59" t="n"/>
      <c r="O213" s="852" t="n"/>
      <c r="P213" s="852" t="n"/>
      <c r="Q213" s="852" t="n"/>
      <c r="R213" s="852" t="n"/>
    </row>
    <row r="214">
      <c r="M214" s="59" t="n"/>
      <c r="N214" s="59" t="n"/>
      <c r="O214" s="852" t="n"/>
      <c r="P214" s="852" t="n"/>
      <c r="Q214" s="852" t="n"/>
      <c r="R214" s="852" t="n"/>
    </row>
    <row r="215">
      <c r="M215" s="59" t="n"/>
      <c r="N215" s="59" t="n"/>
      <c r="O215" s="852" t="n"/>
      <c r="P215" s="852" t="n"/>
      <c r="Q215" s="852" t="n"/>
      <c r="R215" s="852" t="n"/>
    </row>
    <row r="216">
      <c r="M216" s="59" t="n"/>
      <c r="N216" s="59" t="n"/>
      <c r="O216" s="852" t="n"/>
      <c r="P216" s="852" t="n"/>
      <c r="Q216" s="852" t="n"/>
      <c r="R216" s="852" t="n"/>
    </row>
    <row r="217">
      <c r="M217" s="59" t="n"/>
      <c r="N217" s="59" t="n"/>
      <c r="O217" s="852" t="n"/>
      <c r="P217" s="852" t="n"/>
      <c r="Q217" s="852" t="n"/>
      <c r="R217" s="852" t="n"/>
    </row>
    <row r="218">
      <c r="M218" s="59" t="n"/>
      <c r="N218" s="59" t="n"/>
      <c r="O218" s="852" t="n"/>
      <c r="P218" s="852" t="n"/>
      <c r="Q218" s="852" t="n"/>
      <c r="R218" s="852" t="n"/>
    </row>
    <row r="219">
      <c r="M219" s="59" t="n"/>
      <c r="N219" s="59" t="n"/>
      <c r="O219" s="852" t="n"/>
      <c r="P219" s="852" t="n"/>
      <c r="Q219" s="852" t="n"/>
      <c r="R219" s="852" t="n"/>
    </row>
    <row r="220">
      <c r="M220" s="59" t="n"/>
      <c r="N220" s="59" t="n"/>
      <c r="O220" s="852" t="n"/>
      <c r="P220" s="852" t="n"/>
      <c r="Q220" s="852" t="n"/>
      <c r="R220" s="852" t="n"/>
    </row>
    <row r="221">
      <c r="M221" s="59" t="n"/>
      <c r="N221" s="59" t="n"/>
      <c r="O221" s="852" t="n"/>
      <c r="P221" s="852" t="n"/>
      <c r="Q221" s="852" t="n"/>
      <c r="R221" s="852" t="n"/>
    </row>
    <row r="222">
      <c r="M222" s="59" t="n"/>
      <c r="N222" s="59" t="n"/>
      <c r="O222" s="852" t="n"/>
      <c r="P222" s="852" t="n"/>
      <c r="Q222" s="852" t="n"/>
      <c r="R222" s="852" t="n"/>
    </row>
    <row r="223">
      <c r="M223" s="59" t="n"/>
      <c r="N223" s="59" t="n"/>
      <c r="O223" s="852" t="n"/>
      <c r="P223" s="852" t="n"/>
      <c r="Q223" s="852" t="n"/>
      <c r="R223" s="852" t="n"/>
    </row>
    <row r="224">
      <c r="M224" s="59" t="n"/>
      <c r="N224" s="59" t="n"/>
      <c r="O224" s="852" t="n"/>
      <c r="P224" s="852" t="n"/>
      <c r="Q224" s="852" t="n"/>
      <c r="R224" s="852" t="n"/>
    </row>
    <row r="225">
      <c r="M225" s="59" t="n"/>
      <c r="N225" s="59" t="n"/>
      <c r="O225" s="852" t="n"/>
      <c r="P225" s="852" t="n"/>
      <c r="Q225" s="852" t="n"/>
      <c r="R225" s="852" t="n"/>
    </row>
    <row r="226">
      <c r="M226" s="59" t="n"/>
      <c r="N226" s="59" t="n"/>
      <c r="O226" s="852" t="n"/>
      <c r="P226" s="852" t="n"/>
      <c r="Q226" s="852" t="n"/>
      <c r="R226" s="852" t="n"/>
    </row>
    <row r="227">
      <c r="M227" s="59" t="n"/>
      <c r="N227" s="59" t="n"/>
      <c r="O227" s="852" t="n"/>
      <c r="P227" s="852" t="n"/>
      <c r="Q227" s="852" t="n"/>
      <c r="R227" s="852" t="n"/>
    </row>
    <row r="228">
      <c r="M228" s="59" t="n"/>
      <c r="N228" s="59" t="n"/>
      <c r="O228" s="852" t="n"/>
      <c r="P228" s="852" t="n"/>
      <c r="Q228" s="852" t="n"/>
      <c r="R228" s="852" t="n"/>
    </row>
    <row r="229">
      <c r="M229" s="59" t="n"/>
      <c r="N229" s="59" t="n"/>
      <c r="O229" s="852" t="n"/>
      <c r="P229" s="852" t="n"/>
      <c r="Q229" s="852" t="n"/>
      <c r="R229" s="852" t="n"/>
    </row>
    <row r="230">
      <c r="M230" s="59" t="n"/>
      <c r="N230" s="59" t="n"/>
      <c r="O230" s="852" t="n"/>
      <c r="P230" s="852" t="n"/>
      <c r="Q230" s="852" t="n"/>
      <c r="R230" s="852" t="n"/>
    </row>
    <row r="231">
      <c r="M231" s="59" t="n"/>
      <c r="N231" s="59" t="n"/>
      <c r="O231" s="852" t="n"/>
      <c r="P231" s="852" t="n"/>
      <c r="Q231" s="852" t="n"/>
      <c r="R231" s="852" t="n"/>
    </row>
    <row r="232">
      <c r="M232" s="59" t="n"/>
      <c r="N232" s="59" t="n"/>
      <c r="O232" s="852" t="n"/>
      <c r="P232" s="852" t="n"/>
      <c r="Q232" s="852" t="n"/>
      <c r="R232" s="852" t="n"/>
    </row>
    <row r="233">
      <c r="M233" s="59" t="n"/>
      <c r="N233" s="59" t="n"/>
      <c r="O233" s="852" t="n"/>
      <c r="P233" s="852" t="n"/>
      <c r="Q233" s="852" t="n"/>
      <c r="R233" s="852" t="n"/>
    </row>
    <row r="234">
      <c r="M234" s="59" t="n"/>
      <c r="N234" s="59" t="n"/>
      <c r="O234" s="852" t="n"/>
      <c r="P234" s="852" t="n"/>
      <c r="Q234" s="852" t="n"/>
      <c r="R234" s="852" t="n"/>
    </row>
    <row r="235">
      <c r="M235" s="59" t="n"/>
      <c r="N235" s="59" t="n"/>
      <c r="O235" s="852" t="n"/>
      <c r="P235" s="852" t="n"/>
      <c r="Q235" s="852" t="n"/>
      <c r="R235" s="852" t="n"/>
    </row>
    <row r="236">
      <c r="M236" s="59" t="n"/>
      <c r="N236" s="59" t="n"/>
      <c r="O236" s="852" t="n"/>
      <c r="P236" s="852" t="n"/>
      <c r="Q236" s="852" t="n"/>
      <c r="R236" s="852" t="n"/>
    </row>
    <row r="237">
      <c r="M237" s="59" t="n"/>
      <c r="N237" s="59" t="n"/>
      <c r="O237" s="852" t="n"/>
      <c r="P237" s="852" t="n"/>
      <c r="Q237" s="852" t="n"/>
      <c r="R237" s="852" t="n"/>
    </row>
    <row r="238">
      <c r="M238" s="59" t="n"/>
      <c r="N238" s="59" t="n"/>
      <c r="O238" s="852" t="n"/>
      <c r="P238" s="852" t="n"/>
      <c r="Q238" s="852" t="n"/>
      <c r="R238" s="852" t="n"/>
    </row>
    <row r="239">
      <c r="M239" s="59" t="n"/>
      <c r="N239" s="59" t="n"/>
      <c r="O239" s="852" t="n"/>
      <c r="P239" s="852" t="n"/>
      <c r="Q239" s="852" t="n"/>
      <c r="R239" s="852" t="n"/>
    </row>
    <row r="240">
      <c r="M240" s="59" t="n"/>
      <c r="N240" s="59" t="n"/>
      <c r="O240" s="852" t="n"/>
      <c r="P240" s="852" t="n"/>
      <c r="Q240" s="852" t="n"/>
      <c r="R240" s="852" t="n"/>
    </row>
    <row r="241">
      <c r="M241" s="59" t="n"/>
      <c r="N241" s="59" t="n"/>
      <c r="O241" s="852" t="n"/>
      <c r="P241" s="852" t="n"/>
      <c r="Q241" s="852" t="n"/>
      <c r="R241" s="852" t="n"/>
    </row>
    <row r="242">
      <c r="M242" s="59" t="n"/>
      <c r="N242" s="59" t="n"/>
      <c r="O242" s="852" t="n"/>
      <c r="P242" s="852" t="n"/>
      <c r="Q242" s="852" t="n"/>
      <c r="R242" s="852" t="n"/>
    </row>
    <row r="243">
      <c r="M243" s="59" t="n"/>
      <c r="N243" s="59" t="n"/>
      <c r="O243" s="852" t="n"/>
      <c r="P243" s="852" t="n"/>
      <c r="Q243" s="852" t="n"/>
      <c r="R243" s="852" t="n"/>
    </row>
    <row r="244">
      <c r="M244" s="59" t="n"/>
      <c r="N244" s="59" t="n"/>
      <c r="O244" s="852" t="n"/>
      <c r="P244" s="852" t="n"/>
      <c r="Q244" s="852" t="n"/>
      <c r="R244" s="852" t="n"/>
    </row>
    <row r="245">
      <c r="M245" s="59" t="n"/>
      <c r="N245" s="59" t="n"/>
      <c r="O245" s="852" t="n"/>
      <c r="P245" s="852" t="n"/>
      <c r="Q245" s="852" t="n"/>
      <c r="R245" s="852" t="n"/>
    </row>
    <row r="246">
      <c r="M246" s="59" t="n"/>
      <c r="N246" s="59" t="n"/>
      <c r="O246" s="852" t="n"/>
      <c r="P246" s="852" t="n"/>
      <c r="Q246" s="852" t="n"/>
      <c r="R246" s="852" t="n"/>
    </row>
    <row r="247">
      <c r="M247" s="59" t="n"/>
      <c r="N247" s="59" t="n"/>
      <c r="O247" s="852" t="n"/>
      <c r="P247" s="852" t="n"/>
      <c r="Q247" s="852" t="n"/>
      <c r="R247" s="852" t="n"/>
    </row>
    <row r="248">
      <c r="M248" s="59" t="n"/>
      <c r="N248" s="59" t="n"/>
      <c r="O248" s="852" t="n"/>
      <c r="P248" s="852" t="n"/>
      <c r="Q248" s="852" t="n"/>
      <c r="R248" s="852" t="n"/>
    </row>
    <row r="249">
      <c r="M249" s="59" t="n"/>
      <c r="N249" s="59" t="n"/>
      <c r="O249" s="852" t="n"/>
      <c r="P249" s="852" t="n"/>
      <c r="Q249" s="852" t="n"/>
      <c r="R249" s="852" t="n"/>
    </row>
    <row r="250">
      <c r="M250" s="59" t="n"/>
      <c r="N250" s="59" t="n"/>
      <c r="O250" s="852" t="n"/>
      <c r="P250" s="852" t="n"/>
      <c r="Q250" s="852" t="n"/>
      <c r="R250" s="852" t="n"/>
    </row>
    <row r="251">
      <c r="M251" s="59" t="n"/>
      <c r="N251" s="59" t="n"/>
      <c r="O251" s="852" t="n"/>
      <c r="P251" s="852" t="n"/>
      <c r="Q251" s="852" t="n"/>
      <c r="R251" s="852" t="n"/>
    </row>
    <row r="252">
      <c r="M252" s="59" t="n"/>
      <c r="N252" s="59" t="n"/>
      <c r="O252" s="852" t="n"/>
      <c r="P252" s="852" t="n"/>
      <c r="Q252" s="852" t="n"/>
      <c r="R252" s="852" t="n"/>
    </row>
    <row r="253">
      <c r="M253" s="59" t="n"/>
      <c r="N253" s="59" t="n"/>
      <c r="O253" s="852" t="n"/>
      <c r="P253" s="852" t="n"/>
      <c r="Q253" s="852" t="n"/>
      <c r="R253" s="852" t="n"/>
    </row>
    <row r="254">
      <c r="M254" s="59" t="n"/>
      <c r="N254" s="59" t="n"/>
      <c r="O254" s="852" t="n"/>
      <c r="P254" s="852" t="n"/>
      <c r="Q254" s="852" t="n"/>
      <c r="R254" s="852" t="n"/>
    </row>
    <row r="255">
      <c r="M255" s="59" t="n"/>
      <c r="N255" s="59" t="n"/>
      <c r="O255" s="852" t="n"/>
      <c r="P255" s="852" t="n"/>
      <c r="Q255" s="852" t="n"/>
      <c r="R255" s="852" t="n"/>
    </row>
    <row r="256">
      <c r="M256" s="59" t="n"/>
      <c r="N256" s="59" t="n"/>
      <c r="O256" s="852" t="n"/>
      <c r="P256" s="852" t="n"/>
      <c r="Q256" s="852" t="n"/>
      <c r="R256" s="852" t="n"/>
    </row>
    <row r="257">
      <c r="M257" s="59" t="n"/>
      <c r="N257" s="59" t="n"/>
      <c r="O257" s="852" t="n"/>
      <c r="P257" s="852" t="n"/>
      <c r="Q257" s="852" t="n"/>
      <c r="R257" s="852" t="n"/>
    </row>
    <row r="258">
      <c r="M258" s="59" t="n"/>
      <c r="N258" s="59" t="n"/>
      <c r="O258" s="852" t="n"/>
      <c r="P258" s="852" t="n"/>
      <c r="Q258" s="852" t="n"/>
      <c r="R258" s="852" t="n"/>
    </row>
    <row r="259">
      <c r="M259" s="59" t="n"/>
      <c r="N259" s="59" t="n"/>
      <c r="O259" s="852" t="n"/>
      <c r="P259" s="852" t="n"/>
      <c r="Q259" s="852" t="n"/>
      <c r="R259" s="852" t="n"/>
    </row>
    <row r="260">
      <c r="M260" s="59" t="n"/>
      <c r="N260" s="59" t="n"/>
      <c r="O260" s="852" t="n"/>
      <c r="P260" s="852" t="n"/>
      <c r="Q260" s="852" t="n"/>
      <c r="R260" s="852" t="n"/>
    </row>
    <row r="261">
      <c r="M261" s="59" t="n"/>
      <c r="N261" s="59" t="n"/>
      <c r="O261" s="852" t="n"/>
      <c r="P261" s="852" t="n"/>
      <c r="Q261" s="852" t="n"/>
      <c r="R261" s="852" t="n"/>
    </row>
    <row r="262">
      <c r="M262" s="59" t="n"/>
      <c r="N262" s="59" t="n"/>
      <c r="O262" s="852" t="n"/>
      <c r="P262" s="852" t="n"/>
      <c r="Q262" s="852" t="n"/>
      <c r="R262" s="852" t="n"/>
    </row>
    <row r="263">
      <c r="M263" s="59" t="n"/>
      <c r="N263" s="59" t="n"/>
      <c r="O263" s="852" t="n"/>
      <c r="P263" s="852" t="n"/>
      <c r="Q263" s="852" t="n"/>
      <c r="R263" s="852" t="n"/>
    </row>
    <row r="264">
      <c r="M264" s="59" t="n"/>
      <c r="N264" s="59" t="n"/>
      <c r="O264" s="852" t="n"/>
      <c r="P264" s="852" t="n"/>
      <c r="Q264" s="852" t="n"/>
      <c r="R264" s="852" t="n"/>
    </row>
    <row r="265">
      <c r="M265" s="59" t="n"/>
      <c r="N265" s="59" t="n"/>
      <c r="O265" s="852" t="n"/>
      <c r="P265" s="852" t="n"/>
      <c r="Q265" s="852" t="n"/>
      <c r="R265" s="852" t="n"/>
    </row>
    <row r="266">
      <c r="M266" s="59" t="n"/>
      <c r="N266" s="59" t="n"/>
      <c r="O266" s="852" t="n"/>
      <c r="P266" s="852" t="n"/>
      <c r="Q266" s="852" t="n"/>
      <c r="R266" s="852" t="n"/>
    </row>
    <row r="267">
      <c r="M267" s="59" t="n"/>
      <c r="N267" s="59" t="n"/>
      <c r="O267" s="852" t="n"/>
      <c r="P267" s="852" t="n"/>
      <c r="Q267" s="852" t="n"/>
      <c r="R267" s="852" t="n"/>
    </row>
    <row r="268">
      <c r="M268" s="59" t="n"/>
      <c r="N268" s="59" t="n"/>
      <c r="O268" s="852" t="n"/>
      <c r="P268" s="852" t="n"/>
      <c r="Q268" s="852" t="n"/>
      <c r="R268" s="852" t="n"/>
    </row>
    <row r="269">
      <c r="M269" s="59" t="n"/>
      <c r="N269" s="59" t="n"/>
      <c r="O269" s="852" t="n"/>
      <c r="P269" s="852" t="n"/>
      <c r="Q269" s="852" t="n"/>
      <c r="R269" s="852" t="n"/>
    </row>
    <row r="270">
      <c r="M270" s="59" t="n"/>
      <c r="N270" s="59" t="n"/>
      <c r="O270" s="852" t="n"/>
      <c r="P270" s="852" t="n"/>
      <c r="Q270" s="852" t="n"/>
      <c r="R270" s="852" t="n"/>
    </row>
    <row r="271">
      <c r="M271" s="59" t="n"/>
      <c r="N271" s="59" t="n"/>
      <c r="O271" s="852" t="n"/>
      <c r="P271" s="852" t="n"/>
      <c r="Q271" s="852" t="n"/>
      <c r="R271" s="852" t="n"/>
    </row>
    <row r="272">
      <c r="M272" s="59" t="n"/>
      <c r="N272" s="59" t="n"/>
      <c r="O272" s="852" t="n"/>
      <c r="P272" s="852" t="n"/>
      <c r="Q272" s="852" t="n"/>
      <c r="R272" s="852" t="n"/>
    </row>
    <row r="273">
      <c r="M273" s="59" t="n"/>
      <c r="N273" s="59" t="n"/>
      <c r="O273" s="852" t="n"/>
      <c r="P273" s="852" t="n"/>
      <c r="Q273" s="852" t="n"/>
      <c r="R273" s="852" t="n"/>
    </row>
    <row r="274">
      <c r="M274" s="59" t="n"/>
      <c r="N274" s="59" t="n"/>
      <c r="O274" s="852" t="n"/>
      <c r="P274" s="852" t="n"/>
      <c r="Q274" s="852" t="n"/>
      <c r="R274" s="852" t="n"/>
    </row>
    <row r="275">
      <c r="M275" s="59" t="n"/>
      <c r="N275" s="59" t="n"/>
      <c r="O275" s="852" t="n"/>
      <c r="P275" s="852" t="n"/>
      <c r="Q275" s="852" t="n"/>
      <c r="R275" s="852" t="n"/>
    </row>
    <row r="276">
      <c r="M276" s="59" t="n"/>
      <c r="N276" s="59" t="n"/>
      <c r="O276" s="852" t="n"/>
      <c r="P276" s="852" t="n"/>
      <c r="Q276" s="852" t="n"/>
      <c r="R276" s="852" t="n"/>
    </row>
    <row r="277">
      <c r="M277" s="59" t="n"/>
      <c r="N277" s="59" t="n"/>
      <c r="O277" s="852" t="n"/>
      <c r="P277" s="852" t="n"/>
      <c r="Q277" s="852" t="n"/>
      <c r="R277" s="852" t="n"/>
    </row>
    <row r="278">
      <c r="M278" s="59" t="n"/>
      <c r="N278" s="59" t="n"/>
      <c r="O278" s="852" t="n"/>
      <c r="P278" s="852" t="n"/>
      <c r="Q278" s="852" t="n"/>
      <c r="R278" s="852" t="n"/>
    </row>
  </sheetData>
  <conditionalFormatting sqref="N45">
    <cfRule type="cellIs" priority="1" operator="greaterThan" dxfId="11">
      <formula>0</formula>
    </cfRule>
    <cfRule type="cellIs" priority="2" operator="greaterThan" dxfId="11">
      <formula>0.02</formula>
    </cfRule>
    <cfRule type="cellIs" priority="3" operator="greaterThan" dxfId="11">
      <formula>"&gt;0.05"</formula>
    </cfRule>
  </conditionalFormatting>
  <pageMargins left="0.7" right="0.7" top="0.75" bottom="0.75" header="0.3" footer="0.3"/>
  <pageSetup orientation="landscape" scale="45"/>
</worksheet>
</file>

<file path=xl/worksheets/sheet8.xml><?xml version="1.0" encoding="utf-8"?>
<worksheet xmlns="http://schemas.openxmlformats.org/spreadsheetml/2006/main">
  <sheetPr>
    <tabColor rgb="FF002060"/>
    <outlinePr summaryBelow="1" summaryRight="1"/>
    <pageSetUpPr fitToPage="1"/>
  </sheetPr>
  <dimension ref="A1:CV181"/>
  <sheetViews>
    <sheetView workbookViewId="0">
      <selection activeCell="A1" sqref="A1"/>
    </sheetView>
  </sheetViews>
  <sheetFormatPr baseColWidth="8" defaultColWidth="8.42578125" defaultRowHeight="15"/>
  <cols>
    <col width="1.42578125" customWidth="1" min="1" max="1"/>
    <col width="6.28515625" customWidth="1" min="2" max="2"/>
    <col width="26" bestFit="1" customWidth="1" min="3" max="3"/>
    <col width="12.140625" customWidth="1" min="4" max="4"/>
    <col width="13.42578125" customWidth="1" min="5" max="5"/>
    <col width="17.42578125" customWidth="1" min="6" max="6"/>
    <col width="15.140625" customWidth="1" style="208" min="7" max="7"/>
    <col width="13.42578125" customWidth="1" min="8" max="8"/>
    <col width="15.28515625" customWidth="1" min="9" max="9"/>
    <col width="13.42578125" customWidth="1" min="10" max="11"/>
    <col width="14.5703125" customWidth="1" min="12" max="12"/>
    <col width="13.42578125" customWidth="1" min="13" max="17"/>
    <col width="23.7109375" customWidth="1" style="59" min="18" max="18"/>
    <col width="23.42578125" customWidth="1" min="19" max="19"/>
    <col width="7.42578125" customWidth="1" style="151" min="20" max="20"/>
    <col width="8" customWidth="1" style="151" min="21" max="21"/>
    <col width="8.42578125" customWidth="1" style="151" min="22" max="22"/>
    <col width="7.42578125" customWidth="1" style="151" min="23" max="29"/>
    <col width="22.7109375" bestFit="1" customWidth="1" style="59" min="30" max="30"/>
    <col width="8.42578125" customWidth="1" style="59" min="31" max="100"/>
  </cols>
  <sheetData>
    <row r="1" ht="45.75" customFormat="1" customHeight="1" s="3">
      <c r="A1" s="297" t="inlineStr">
        <is>
          <t>GARY GROUP CAPITAL</t>
        </is>
      </c>
      <c r="B1" s="298" t="n"/>
      <c r="C1" s="298" t="n"/>
      <c r="D1" s="298" t="n"/>
      <c r="E1" s="298" t="n"/>
      <c r="F1" s="298" t="n"/>
      <c r="G1" s="530" t="n"/>
      <c r="H1" s="298" t="inlineStr">
        <is>
          <t xml:space="preserve"> </t>
        </is>
      </c>
      <c r="I1" s="531" t="inlineStr">
        <is>
          <t>First FY Year Post Capex Improvements</t>
        </is>
      </c>
      <c r="J1" s="298" t="n"/>
      <c r="K1" s="298" t="n"/>
      <c r="L1" s="298" t="n"/>
      <c r="M1" s="298" t="n"/>
      <c r="N1" s="298" t="n"/>
      <c r="O1" s="298" t="n"/>
      <c r="P1" s="298" t="n"/>
      <c r="Q1" s="298" t="n"/>
      <c r="R1" s="298" t="n"/>
      <c r="S1" s="298" t="n"/>
      <c r="T1" s="299" t="n"/>
      <c r="U1" s="299" t="n"/>
      <c r="V1" s="299" t="n"/>
      <c r="W1" s="299" t="n"/>
      <c r="X1" s="299" t="n"/>
      <c r="Y1" s="299" t="n"/>
      <c r="Z1" s="299" t="n"/>
      <c r="AA1" s="299" t="n"/>
      <c r="AB1" s="299" t="n"/>
      <c r="AC1" s="29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32">
      <c r="D2" s="725" t="inlineStr">
        <is>
          <t>Avg Monthly Lot Rent</t>
        </is>
      </c>
      <c r="E2" s="759" t="n"/>
      <c r="F2" s="533">
        <f>'Unit Mix Summary'!C12</f>
        <v/>
      </c>
      <c r="G2" s="534" t="n"/>
      <c r="H2" s="650">
        <f>H8/'Unit Mix Summary'!$E$9/12</f>
        <v/>
      </c>
      <c r="I2" s="650">
        <f>I8/'Unit Mix Summary'!$E$9/12</f>
        <v/>
      </c>
      <c r="J2" s="650">
        <f>J8/'Unit Mix Summary'!$E$9/12</f>
        <v/>
      </c>
      <c r="K2" s="650">
        <f>K8/'Unit Mix Summary'!$E$9/12</f>
        <v/>
      </c>
      <c r="L2" s="650">
        <f>L8/'Unit Mix Summary'!$E$9/12</f>
        <v/>
      </c>
      <c r="M2" s="650">
        <f>M8/'Unit Mix Summary'!$E$9/12</f>
        <v/>
      </c>
      <c r="N2" s="650">
        <f>N8/'Unit Mix Summary'!$E$9/12</f>
        <v/>
      </c>
      <c r="O2" s="650">
        <f>O8/'Unit Mix Summary'!$E$9/12</f>
        <v/>
      </c>
      <c r="P2" s="650">
        <f>P8/'Unit Mix Summary'!$E$9/12</f>
        <v/>
      </c>
      <c r="Q2" s="651">
        <f>Q8/'Unit Mix Summary'!$E$9/12</f>
        <v/>
      </c>
      <c r="T2" s="937" t="n"/>
      <c r="U2" s="937" t="n"/>
      <c r="V2" s="937" t="n"/>
      <c r="W2" s="937" t="n"/>
      <c r="X2" s="937" t="n"/>
      <c r="Y2" s="937" t="n"/>
      <c r="Z2" s="937" t="n"/>
      <c r="AA2" s="937" t="n"/>
      <c r="AB2" s="937" t="n"/>
      <c r="AC2" s="937" t="n"/>
    </row>
    <row r="3" customFormat="1" s="532">
      <c r="D3" s="727" t="inlineStr">
        <is>
          <t>Monthly Lot $ Rent Change</t>
        </is>
      </c>
      <c r="E3" s="759" t="n"/>
      <c r="F3" s="536" t="n"/>
      <c r="G3" s="537" t="n"/>
      <c r="H3" s="536">
        <f>+H2-F2</f>
        <v/>
      </c>
      <c r="I3" s="536">
        <f>+I2-H2</f>
        <v/>
      </c>
      <c r="J3" s="536">
        <f>+J2-I2</f>
        <v/>
      </c>
      <c r="K3" s="536">
        <f>+K2-J2</f>
        <v/>
      </c>
      <c r="L3" s="536">
        <f>+L2-K2</f>
        <v/>
      </c>
      <c r="M3" s="536">
        <f>+M2-L2</f>
        <v/>
      </c>
      <c r="N3" s="536">
        <f>+N2-M2</f>
        <v/>
      </c>
      <c r="O3" s="536">
        <f>+O2-N2</f>
        <v/>
      </c>
      <c r="P3" s="536">
        <f>+P2-O2</f>
        <v/>
      </c>
      <c r="Q3" s="538">
        <f>+Q2-P2</f>
        <v/>
      </c>
      <c r="T3" s="937" t="n"/>
      <c r="U3" s="937" t="n"/>
      <c r="V3" s="937" t="n"/>
      <c r="W3" s="937" t="n"/>
      <c r="X3" s="937" t="n"/>
      <c r="Y3" s="937" t="n"/>
      <c r="Z3" s="937" t="n"/>
      <c r="AA3" s="937" t="n"/>
      <c r="AB3" s="937" t="n"/>
      <c r="AC3" s="937" t="n"/>
    </row>
    <row r="4" customFormat="1" s="532">
      <c r="D4" s="727" t="inlineStr">
        <is>
          <t>Monthly Lot % Rent Change</t>
        </is>
      </c>
      <c r="E4" s="759" t="n"/>
      <c r="F4" s="536" t="n"/>
      <c r="G4" s="537" t="n"/>
      <c r="H4" s="760">
        <f>+H$2/F$2-1</f>
        <v/>
      </c>
      <c r="I4" s="760">
        <f>+I$2/H$2-1</f>
        <v/>
      </c>
      <c r="J4" s="760">
        <f>+J$2/I$2-1</f>
        <v/>
      </c>
      <c r="K4" s="760">
        <f>+K$2/J$2-1</f>
        <v/>
      </c>
      <c r="L4" s="760">
        <f>+L$2/K$2-1</f>
        <v/>
      </c>
      <c r="M4" s="760">
        <f>+M$2/L$2-1</f>
        <v/>
      </c>
      <c r="N4" s="760">
        <f>+N$2/M$2-1</f>
        <v/>
      </c>
      <c r="O4" s="760">
        <f>+O$2/N$2-1</f>
        <v/>
      </c>
      <c r="P4" s="760">
        <f>+P$2/O$2-1</f>
        <v/>
      </c>
      <c r="Q4" s="761">
        <f>+Q$2/P$2-1</f>
        <v/>
      </c>
      <c r="T4" s="937" t="n"/>
      <c r="U4" s="937" t="n"/>
      <c r="V4" s="937" t="n"/>
      <c r="W4" s="937" t="n"/>
      <c r="X4" s="937" t="n"/>
      <c r="Y4" s="937" t="n"/>
      <c r="Z4" s="937" t="n"/>
      <c r="AA4" s="937" t="n"/>
      <c r="AB4" s="937" t="n"/>
      <c r="AC4" s="937" t="n"/>
    </row>
    <row r="5" ht="30" customFormat="1" customHeight="1" s="532">
      <c r="D5" s="539" t="n"/>
      <c r="E5" s="539" t="n"/>
      <c r="F5" s="540" t="n"/>
      <c r="G5" s="541" t="n"/>
      <c r="H5" s="542" t="n"/>
      <c r="I5" s="542" t="n"/>
      <c r="J5" s="542" t="n"/>
      <c r="K5" s="542" t="n"/>
      <c r="L5" s="542" t="n"/>
      <c r="M5" s="542" t="n"/>
      <c r="N5" s="542" t="n"/>
      <c r="O5" s="540" t="n"/>
      <c r="P5" s="540" t="n"/>
      <c r="Q5" s="540" t="n"/>
      <c r="T5" s="937" t="n"/>
      <c r="U5" s="937" t="n"/>
      <c r="V5" s="937" t="n"/>
      <c r="W5" s="937" t="n"/>
      <c r="X5" s="937" t="n"/>
      <c r="Y5" s="937" t="n"/>
      <c r="Z5" s="937" t="n"/>
      <c r="AA5" s="937" t="n"/>
      <c r="AB5" s="937" t="n"/>
      <c r="AC5" s="937" t="n"/>
    </row>
    <row r="6" ht="16.5" customFormat="1" customHeight="1" s="59" thickBot="1">
      <c r="C6" s="543" t="n"/>
      <c r="D6" s="544" t="inlineStr">
        <is>
          <t>T12</t>
        </is>
      </c>
      <c r="E6" s="544" t="inlineStr">
        <is>
          <t>T3 Ann</t>
        </is>
      </c>
      <c r="F6" s="545" t="inlineStr">
        <is>
          <t xml:space="preserve">GGC UW </t>
        </is>
      </c>
      <c r="G6" s="546" t="inlineStr">
        <is>
          <t>UW Per Pad</t>
        </is>
      </c>
      <c r="H6" s="547" t="inlineStr">
        <is>
          <t>Year 1</t>
        </is>
      </c>
      <c r="I6" s="548" t="inlineStr">
        <is>
          <t>Year 2</t>
        </is>
      </c>
      <c r="J6" s="548" t="inlineStr">
        <is>
          <t>Year 3</t>
        </is>
      </c>
      <c r="K6" s="549" t="inlineStr">
        <is>
          <t>Year 4</t>
        </is>
      </c>
      <c r="L6" s="548" t="inlineStr">
        <is>
          <t>Year 5</t>
        </is>
      </c>
      <c r="M6" s="548" t="inlineStr">
        <is>
          <t>Year 6</t>
        </is>
      </c>
      <c r="N6" s="549" t="inlineStr">
        <is>
          <t>Year 7</t>
        </is>
      </c>
      <c r="O6" s="548" t="inlineStr">
        <is>
          <t>Year 8</t>
        </is>
      </c>
      <c r="P6" s="548" t="inlineStr">
        <is>
          <t>Year 9</t>
        </is>
      </c>
      <c r="Q6" s="549" t="inlineStr">
        <is>
          <t>Year 10</t>
        </is>
      </c>
      <c r="T6" s="861" t="n"/>
      <c r="U6" s="861" t="n"/>
      <c r="V6" s="861" t="n"/>
      <c r="W6" s="861" t="n"/>
      <c r="X6" s="861" t="n"/>
      <c r="Y6" s="861" t="n"/>
      <c r="Z6" s="861" t="n"/>
      <c r="AA6" s="861" t="n"/>
      <c r="AB6" s="861" t="n"/>
      <c r="AC6" s="861" t="n"/>
    </row>
    <row r="7" ht="12" customHeight="1" thickBot="1">
      <c r="A7" s="59" t="n"/>
      <c r="B7" s="150" t="n"/>
      <c r="C7" s="550" t="inlineStr">
        <is>
          <t>Income</t>
        </is>
      </c>
      <c r="D7" s="59" t="n"/>
      <c r="E7" s="59" t="n"/>
      <c r="F7" s="551" t="n"/>
      <c r="G7" s="551" t="n"/>
      <c r="H7" s="552" t="n"/>
      <c r="I7" s="59" t="n"/>
      <c r="J7" s="59" t="n"/>
      <c r="K7" s="551" t="n"/>
      <c r="L7" s="59" t="n"/>
      <c r="M7" s="59" t="n"/>
      <c r="N7" s="551" t="n"/>
      <c r="O7" s="551" t="n"/>
      <c r="P7" s="551" t="n"/>
      <c r="Q7" s="551" t="n"/>
      <c r="S7" s="632" t="inlineStr">
        <is>
          <t>Key Assumptions</t>
        </is>
      </c>
      <c r="T7" s="633" t="inlineStr">
        <is>
          <t>Year 1</t>
        </is>
      </c>
      <c r="U7" s="634" t="inlineStr">
        <is>
          <t>Year 2</t>
        </is>
      </c>
      <c r="V7" s="634" t="inlineStr">
        <is>
          <t>Year 3</t>
        </is>
      </c>
      <c r="W7" s="634" t="inlineStr">
        <is>
          <t>Year 4</t>
        </is>
      </c>
      <c r="X7" s="634" t="inlineStr">
        <is>
          <t>Year 5</t>
        </is>
      </c>
      <c r="Y7" s="634" t="inlineStr">
        <is>
          <t>Year 6</t>
        </is>
      </c>
      <c r="Z7" s="635" t="inlineStr">
        <is>
          <t>Year 7</t>
        </is>
      </c>
      <c r="AA7" s="634" t="inlineStr">
        <is>
          <t>Year 8</t>
        </is>
      </c>
      <c r="AB7" s="634" t="inlineStr">
        <is>
          <t>Year 9</t>
        </is>
      </c>
      <c r="AC7" s="635" t="inlineStr">
        <is>
          <t>Year 10</t>
        </is>
      </c>
    </row>
    <row r="8" ht="17.25" customHeight="1">
      <c r="A8" s="59" t="n"/>
      <c r="B8" s="59" t="n"/>
      <c r="C8" s="553" t="inlineStr">
        <is>
          <t>Gross Potential Rent</t>
        </is>
      </c>
      <c r="D8" s="608">
        <f>'GGC Underwriting'!D4</f>
        <v/>
      </c>
      <c r="E8" s="608">
        <f>'GGC Underwriting'!E4</f>
        <v/>
      </c>
      <c r="F8" s="554">
        <f>'GGC Underwriting'!I4</f>
        <v/>
      </c>
      <c r="G8" s="629">
        <f>F8/'GGC Underwriting'!$N$7</f>
        <v/>
      </c>
      <c r="H8" s="555">
        <f>'Unit Mix Rent Growth'!F19</f>
        <v/>
      </c>
      <c r="I8" s="156">
        <f>'Unit Mix Rent Growth'!G19</f>
        <v/>
      </c>
      <c r="J8" s="156">
        <f>'Unit Mix Rent Growth'!H19</f>
        <v/>
      </c>
      <c r="K8" s="556">
        <f>'Unit Mix Rent Growth'!I19</f>
        <v/>
      </c>
      <c r="L8" s="156">
        <f>'Unit Mix Rent Growth'!J19</f>
        <v/>
      </c>
      <c r="M8" s="280">
        <f>'Unit Mix Rent Growth'!K19</f>
        <v/>
      </c>
      <c r="N8" s="557">
        <f>'Unit Mix Rent Growth'!L19</f>
        <v/>
      </c>
      <c r="O8" s="557">
        <f>'Unit Mix Rent Growth'!M19</f>
        <v/>
      </c>
      <c r="P8" s="557">
        <f>'Unit Mix Rent Growth'!N19</f>
        <v/>
      </c>
      <c r="Q8" s="557">
        <f>'Unit Mix Rent Growth'!O19</f>
        <v/>
      </c>
      <c r="S8" s="154" t="inlineStr">
        <is>
          <t xml:space="preserve">Net Rental Growth </t>
        </is>
      </c>
      <c r="T8" s="762" t="inlineStr">
        <is>
          <t>see unit mix rent growth tab</t>
        </is>
      </c>
      <c r="AC8" s="763" t="n"/>
    </row>
    <row r="9" ht="18.75" customHeight="1">
      <c r="A9" s="59" t="n"/>
      <c r="B9" s="59" t="n"/>
      <c r="C9" s="553" t="inlineStr">
        <is>
          <t>Less: Vacancy</t>
        </is>
      </c>
      <c r="D9" s="764">
        <f>'GGC Underwriting'!D5</f>
        <v/>
      </c>
      <c r="E9" s="764">
        <f>'GGC Underwriting'!E5</f>
        <v/>
      </c>
      <c r="F9" s="765">
        <f>'GGC Underwriting'!I5</f>
        <v/>
      </c>
      <c r="G9" s="765">
        <f>F9/'GGC Underwriting'!$N$7</f>
        <v/>
      </c>
      <c r="H9" s="766">
        <f>-H8*T9</f>
        <v/>
      </c>
      <c r="I9" s="767">
        <f>-I8*U9</f>
        <v/>
      </c>
      <c r="J9" s="767">
        <f>-J8*V9</f>
        <v/>
      </c>
      <c r="K9" s="768">
        <f>-K8*W9</f>
        <v/>
      </c>
      <c r="L9" s="767">
        <f>-L8*X9</f>
        <v/>
      </c>
      <c r="M9" s="767">
        <f>-M8*Y9</f>
        <v/>
      </c>
      <c r="N9" s="768">
        <f>-N8*Z9</f>
        <v/>
      </c>
      <c r="O9" s="768">
        <f>-O8*AA9</f>
        <v/>
      </c>
      <c r="P9" s="768">
        <f>-P8*AB9</f>
        <v/>
      </c>
      <c r="Q9" s="768">
        <f>-Q8*AC9</f>
        <v/>
      </c>
      <c r="S9" s="153" t="inlineStr">
        <is>
          <t>Min. Residential Vacancy</t>
        </is>
      </c>
      <c r="T9" s="769">
        <f>'Unit Mix Rent Growth'!F17</f>
        <v/>
      </c>
      <c r="U9" s="769">
        <f>'Unit Mix Rent Growth'!G17</f>
        <v/>
      </c>
      <c r="V9" s="769">
        <f>'Unit Mix Rent Growth'!H17</f>
        <v/>
      </c>
      <c r="W9" s="769">
        <f>'Unit Mix Rent Growth'!I17</f>
        <v/>
      </c>
      <c r="X9" s="769">
        <f>'Unit Mix Rent Growth'!J17</f>
        <v/>
      </c>
      <c r="Y9" s="769">
        <f>'Unit Mix Rent Growth'!K17</f>
        <v/>
      </c>
      <c r="Z9" s="769">
        <f>'Unit Mix Rent Growth'!L17</f>
        <v/>
      </c>
      <c r="AA9" s="769">
        <f>'Unit Mix Rent Growth'!M17</f>
        <v/>
      </c>
      <c r="AB9" s="769">
        <f>'Unit Mix Rent Growth'!N17</f>
        <v/>
      </c>
      <c r="AC9" s="770">
        <f>'Unit Mix Rent Growth'!O17</f>
        <v/>
      </c>
    </row>
    <row r="10" ht="18" customHeight="1">
      <c r="A10" s="59" t="n"/>
      <c r="B10" s="59" t="n"/>
      <c r="C10" s="553" t="inlineStr">
        <is>
          <t>Less: Concessions</t>
        </is>
      </c>
      <c r="D10" s="764">
        <f>'GGC Underwriting'!D6</f>
        <v/>
      </c>
      <c r="E10" s="764">
        <f>'GGC Underwriting'!E6</f>
        <v/>
      </c>
      <c r="F10" s="765">
        <f>'GGC Underwriting'!I6</f>
        <v/>
      </c>
      <c r="G10" s="765">
        <f>F10/'GGC Underwriting'!$N$7</f>
        <v/>
      </c>
      <c r="H10" s="766">
        <f>F10+(F10*$T$14)</f>
        <v/>
      </c>
      <c r="I10" s="767">
        <f>H10+(H10*$U$14)</f>
        <v/>
      </c>
      <c r="J10" s="767">
        <f>I10+(I10*$V$14)</f>
        <v/>
      </c>
      <c r="K10" s="768">
        <f>J10+(J10*$W$14)</f>
        <v/>
      </c>
      <c r="L10" s="767">
        <f>K10+(K10*$X$14)</f>
        <v/>
      </c>
      <c r="M10" s="767">
        <f>L10+(L10*$Y$14)</f>
        <v/>
      </c>
      <c r="N10" s="768">
        <f>M10+(M10*$Z$14)</f>
        <v/>
      </c>
      <c r="O10" s="768">
        <f>N10+(N10*$Z$14)</f>
        <v/>
      </c>
      <c r="P10" s="768">
        <f>O10+(O10*$Z$14)</f>
        <v/>
      </c>
      <c r="Q10" s="768">
        <f>P10+(P10*$Z$14)</f>
        <v/>
      </c>
      <c r="S10" s="153" t="inlineStr">
        <is>
          <t xml:space="preserve">Other Income Growth </t>
        </is>
      </c>
      <c r="T10" s="771" t="n">
        <v>0.03</v>
      </c>
      <c r="U10" s="772" t="n">
        <v>0.03</v>
      </c>
      <c r="V10" s="772" t="n">
        <v>0.03</v>
      </c>
      <c r="W10" s="772" t="n">
        <v>0.03</v>
      </c>
      <c r="X10" s="772" t="n">
        <v>0.03</v>
      </c>
      <c r="Y10" s="772" t="n">
        <v>0.03</v>
      </c>
      <c r="Z10" s="772" t="n">
        <v>0.03</v>
      </c>
      <c r="AA10" s="772" t="n">
        <v>0.03</v>
      </c>
      <c r="AB10" s="772" t="n">
        <v>0.03</v>
      </c>
      <c r="AC10" s="773" t="n">
        <v>0.03</v>
      </c>
    </row>
    <row r="11" ht="17.25" customHeight="1">
      <c r="A11" s="59" t="n"/>
      <c r="B11" s="59" t="n"/>
      <c r="C11" s="553" t="inlineStr">
        <is>
          <t>Less: Bad Debt</t>
        </is>
      </c>
      <c r="D11" s="764">
        <f>'GGC Underwriting'!D7</f>
        <v/>
      </c>
      <c r="E11" s="764">
        <f>'GGC Underwriting'!E7</f>
        <v/>
      </c>
      <c r="F11" s="765">
        <f>'GGC Underwriting'!I7</f>
        <v/>
      </c>
      <c r="G11" s="765">
        <f>F11/'GGC Underwriting'!$N$7</f>
        <v/>
      </c>
      <c r="H11" s="766">
        <f>F11+(F11*$T$15)</f>
        <v/>
      </c>
      <c r="I11" s="767">
        <f>H11+(H11*$U$15)</f>
        <v/>
      </c>
      <c r="J11" s="767">
        <f>I11+(I11*$V$15)</f>
        <v/>
      </c>
      <c r="K11" s="768">
        <f>J11+(J11*$W$15)</f>
        <v/>
      </c>
      <c r="L11" s="767">
        <f>K11+(K11*$X$15)</f>
        <v/>
      </c>
      <c r="M11" s="767">
        <f>L11+(L11*$Y$15)</f>
        <v/>
      </c>
      <c r="N11" s="768">
        <f>M11+(M11*$Z$15)</f>
        <v/>
      </c>
      <c r="O11" s="768">
        <f>N11+(N11*$Z$15)</f>
        <v/>
      </c>
      <c r="P11" s="768">
        <f>O11+(O11*$Z$15)</f>
        <v/>
      </c>
      <c r="Q11" s="768">
        <f>P11+(P11*$Z$15)</f>
        <v/>
      </c>
      <c r="S11" s="153" t="inlineStr">
        <is>
          <t>Home Rent Growth</t>
        </is>
      </c>
      <c r="T11" s="771" t="n">
        <v>0.075</v>
      </c>
      <c r="U11" s="772" t="n">
        <v>0.075</v>
      </c>
      <c r="V11" s="772" t="n">
        <v>0.075</v>
      </c>
      <c r="W11" s="772" t="n">
        <v>0.075</v>
      </c>
      <c r="X11" s="772" t="n">
        <v>0.075</v>
      </c>
      <c r="Y11" s="772" t="n">
        <v>0.075</v>
      </c>
      <c r="Z11" s="772" t="n">
        <v>0.075</v>
      </c>
      <c r="AA11" s="772" t="n">
        <v>0.075</v>
      </c>
      <c r="AB11" s="772" t="n">
        <v>0.075</v>
      </c>
      <c r="AC11" s="773" t="n">
        <v>0.075</v>
      </c>
      <c r="AD11" s="383" t="n"/>
    </row>
    <row r="12" ht="17.25" customHeight="1" thickBot="1">
      <c r="A12" s="59" t="n"/>
      <c r="B12" s="59" t="n"/>
      <c r="C12" s="565" t="inlineStr">
        <is>
          <t>Net Rental Income</t>
        </is>
      </c>
      <c r="D12" s="566">
        <f>SUM(D8:D11)</f>
        <v/>
      </c>
      <c r="E12" s="566">
        <f>SUM(E8:E11)</f>
        <v/>
      </c>
      <c r="F12" s="567">
        <f>SUM(F8:F11)</f>
        <v/>
      </c>
      <c r="G12" s="567">
        <f>F12/'GGC Underwriting'!$N$7</f>
        <v/>
      </c>
      <c r="H12" s="568">
        <f>SUM(H8:H11)</f>
        <v/>
      </c>
      <c r="I12" s="566">
        <f>SUM(I8:I11)</f>
        <v/>
      </c>
      <c r="J12" s="566">
        <f>SUM(J8:J11)</f>
        <v/>
      </c>
      <c r="K12" s="567">
        <f>SUM(K8:K11)</f>
        <v/>
      </c>
      <c r="L12" s="566">
        <f>SUM(L8:L11)</f>
        <v/>
      </c>
      <c r="M12" s="148">
        <f>SUM(M8:M11)</f>
        <v/>
      </c>
      <c r="N12" s="569">
        <f>SUM(N8:N11)</f>
        <v/>
      </c>
      <c r="O12" s="569">
        <f>SUM(O8:O11)</f>
        <v/>
      </c>
      <c r="P12" s="569">
        <f>SUM(P8:P11)</f>
        <v/>
      </c>
      <c r="Q12" s="569">
        <f>SUM(Q8:Q11)</f>
        <v/>
      </c>
      <c r="S12" s="152" t="inlineStr">
        <is>
          <t>Lease to Own</t>
        </is>
      </c>
      <c r="T12" s="774" t="n">
        <v>0</v>
      </c>
      <c r="U12" s="774" t="n">
        <v>0</v>
      </c>
      <c r="V12" s="774" t="n">
        <v>0</v>
      </c>
      <c r="W12" s="774" t="n">
        <v>0</v>
      </c>
      <c r="X12" s="774" t="n">
        <v>0</v>
      </c>
      <c r="Y12" s="774" t="n">
        <v>0</v>
      </c>
      <c r="Z12" s="774" t="n">
        <v>0</v>
      </c>
      <c r="AA12" s="774" t="n">
        <v>0</v>
      </c>
      <c r="AB12" s="774" t="n">
        <v>0</v>
      </c>
      <c r="AC12" s="775" t="n">
        <v>0</v>
      </c>
    </row>
    <row r="13" ht="17.25" customHeight="1" thickTop="1">
      <c r="A13" s="59" t="n"/>
      <c r="B13" s="59" t="n"/>
      <c r="C13" s="571" t="inlineStr">
        <is>
          <t>YoY % Growth</t>
        </is>
      </c>
      <c r="D13" s="59" t="n"/>
      <c r="E13" s="59" t="n"/>
      <c r="F13" s="551" t="n"/>
      <c r="G13" s="551" t="n"/>
      <c r="H13" s="552" t="n"/>
      <c r="I13" s="59" t="n"/>
      <c r="J13" s="59" t="n"/>
      <c r="K13" s="551" t="n"/>
      <c r="L13" s="59" t="n"/>
      <c r="M13" s="59" t="n"/>
      <c r="N13" s="551" t="n"/>
      <c r="O13" s="551" t="n"/>
      <c r="P13" s="551" t="n"/>
      <c r="Q13" s="551" t="n"/>
      <c r="S13" s="153" t="inlineStr">
        <is>
          <t>Parking Vacancy</t>
        </is>
      </c>
      <c r="T13" s="771" t="n">
        <v>0.05</v>
      </c>
      <c r="U13" s="772" t="n">
        <v>0.05</v>
      </c>
      <c r="V13" s="772" t="n">
        <v>0.05</v>
      </c>
      <c r="W13" s="772" t="n">
        <v>0.05</v>
      </c>
      <c r="X13" s="772" t="n">
        <v>0.05</v>
      </c>
      <c r="Y13" s="772" t="n">
        <v>0.05</v>
      </c>
      <c r="Z13" s="772" t="n">
        <v>0.05</v>
      </c>
      <c r="AA13" s="772" t="n">
        <v>0.05</v>
      </c>
      <c r="AB13" s="772" t="n">
        <v>0.05</v>
      </c>
      <c r="AC13" s="773" t="n">
        <v>0.05</v>
      </c>
    </row>
    <row r="14" ht="18.75" customHeight="1">
      <c r="A14" s="59" t="n"/>
      <c r="B14" s="59" t="n"/>
      <c r="C14" s="553" t="n"/>
      <c r="D14" s="59" t="n"/>
      <c r="E14" s="59" t="n"/>
      <c r="F14" s="551" t="n"/>
      <c r="G14" s="551" t="n"/>
      <c r="H14" s="552" t="n"/>
      <c r="I14" s="59" t="n"/>
      <c r="J14" s="59" t="n"/>
      <c r="K14" s="551" t="n"/>
      <c r="L14" s="59" t="n"/>
      <c r="M14" s="59" t="n"/>
      <c r="N14" s="551" t="n"/>
      <c r="O14" s="551" t="n"/>
      <c r="P14" s="551" t="n"/>
      <c r="Q14" s="551" t="n"/>
      <c r="S14" s="153" t="inlineStr">
        <is>
          <t>Concessions</t>
        </is>
      </c>
      <c r="T14" s="771" t="n">
        <v>0</v>
      </c>
      <c r="U14" s="772" t="n">
        <v>0</v>
      </c>
      <c r="V14" s="772" t="n">
        <v>0</v>
      </c>
      <c r="W14" s="772" t="n">
        <v>0</v>
      </c>
      <c r="X14" s="772" t="n">
        <v>0</v>
      </c>
      <c r="Y14" s="772" t="n">
        <v>0</v>
      </c>
      <c r="Z14" s="772" t="n">
        <v>0</v>
      </c>
      <c r="AA14" s="772" t="n">
        <v>0</v>
      </c>
      <c r="AB14" s="772" t="n">
        <v>0</v>
      </c>
      <c r="AC14" s="773" t="n">
        <v>0</v>
      </c>
    </row>
    <row r="15" ht="17.25" customHeight="1">
      <c r="A15" s="59" t="n"/>
      <c r="B15" s="59" t="n"/>
      <c r="C15" s="572" t="inlineStr">
        <is>
          <t>Physical Vacancy %</t>
        </is>
      </c>
      <c r="D15" s="157">
        <f>-D9/D8</f>
        <v/>
      </c>
      <c r="E15" s="157">
        <f>-E9/E8</f>
        <v/>
      </c>
      <c r="F15" s="573">
        <f>F9/F8</f>
        <v/>
      </c>
      <c r="G15" s="573" t="n"/>
      <c r="H15" s="574">
        <f>H9/H8</f>
        <v/>
      </c>
      <c r="I15" s="157">
        <f>I9/I8</f>
        <v/>
      </c>
      <c r="J15" s="157">
        <f>J9/J8</f>
        <v/>
      </c>
      <c r="K15" s="573">
        <f>K9/K8</f>
        <v/>
      </c>
      <c r="L15" s="157">
        <f>L9/L8</f>
        <v/>
      </c>
      <c r="M15" s="157">
        <f>M9/M8</f>
        <v/>
      </c>
      <c r="N15" s="573">
        <f>N9/N8</f>
        <v/>
      </c>
      <c r="O15" s="573">
        <f>O9/O8</f>
        <v/>
      </c>
      <c r="P15" s="573">
        <f>P9/P8</f>
        <v/>
      </c>
      <c r="Q15" s="573">
        <f>Q9/Q8</f>
        <v/>
      </c>
      <c r="R15" s="157" t="n"/>
      <c r="S15" s="153" t="inlineStr">
        <is>
          <t>Bad Debt</t>
        </is>
      </c>
      <c r="T15" s="771" t="n">
        <v>0</v>
      </c>
      <c r="U15" s="772" t="n">
        <v>0</v>
      </c>
      <c r="V15" s="772" t="n">
        <v>0</v>
      </c>
      <c r="W15" s="772" t="n">
        <v>0</v>
      </c>
      <c r="X15" s="772" t="n">
        <v>0</v>
      </c>
      <c r="Y15" s="772" t="n">
        <v>0</v>
      </c>
      <c r="Z15" s="772" t="n">
        <v>0</v>
      </c>
      <c r="AA15" s="772" t="n">
        <v>0</v>
      </c>
      <c r="AB15" s="772" t="n">
        <v>0</v>
      </c>
      <c r="AC15" s="773" t="n">
        <v>0</v>
      </c>
      <c r="AD15" s="230" t="n"/>
    </row>
    <row r="16" ht="17.25" customHeight="1">
      <c r="A16" s="59" t="n"/>
      <c r="B16" s="59" t="n"/>
      <c r="C16" s="572" t="inlineStr">
        <is>
          <t>Economic Vacancy %</t>
        </is>
      </c>
      <c r="D16" s="157">
        <f>-(D9+D10+D11)/D8</f>
        <v/>
      </c>
      <c r="E16" s="157">
        <f>-(E9+E10+E11)/E8</f>
        <v/>
      </c>
      <c r="F16" s="573">
        <f>(F9+F10+F11)/F8</f>
        <v/>
      </c>
      <c r="G16" s="573" t="n"/>
      <c r="H16" s="574">
        <f>(H9+H10+H11)/H8</f>
        <v/>
      </c>
      <c r="I16" s="157">
        <f>(I9+I10+I11)/I8</f>
        <v/>
      </c>
      <c r="J16" s="157">
        <f>(J9+J10+J11)/J8</f>
        <v/>
      </c>
      <c r="K16" s="573">
        <f>(K9+K10+K11)/K8</f>
        <v/>
      </c>
      <c r="L16" s="157">
        <f>(L9+L10+L11)/L8</f>
        <v/>
      </c>
      <c r="M16" s="157">
        <f>(M9+M10+M11)/M8</f>
        <v/>
      </c>
      <c r="N16" s="573">
        <f>(N9+N10+N11)/N8</f>
        <v/>
      </c>
      <c r="O16" s="573">
        <f>(O9+O10+O11)/O8</f>
        <v/>
      </c>
      <c r="P16" s="573">
        <f>(P9+P10+P11)/P8</f>
        <v/>
      </c>
      <c r="Q16" s="573">
        <f>(Q9+Q10+Q11)/Q8</f>
        <v/>
      </c>
      <c r="R16" s="157" t="n"/>
      <c r="S16" s="153" t="inlineStr">
        <is>
          <t>Expense Growth</t>
        </is>
      </c>
      <c r="T16" s="771" t="n">
        <v>0.03</v>
      </c>
      <c r="U16" s="772" t="n">
        <v>0.03</v>
      </c>
      <c r="V16" s="772" t="n">
        <v>0.03</v>
      </c>
      <c r="W16" s="772" t="n">
        <v>0.03</v>
      </c>
      <c r="X16" s="772" t="n">
        <v>0.03</v>
      </c>
      <c r="Y16" s="772" t="n">
        <v>0.03</v>
      </c>
      <c r="Z16" s="772" t="n">
        <v>0.03</v>
      </c>
      <c r="AA16" s="772" t="n">
        <v>0.03</v>
      </c>
      <c r="AB16" s="772" t="n">
        <v>0.03</v>
      </c>
      <c r="AC16" s="773" t="n">
        <v>0.03</v>
      </c>
      <c r="AD16" s="334" t="n"/>
    </row>
    <row r="17" ht="10.5" customHeight="1">
      <c r="A17" s="59" t="n"/>
      <c r="B17" s="59" t="n"/>
      <c r="C17" s="575" t="n"/>
      <c r="D17" s="576" t="n"/>
      <c r="E17" s="576" t="n"/>
      <c r="F17" s="577" t="n"/>
      <c r="G17" s="577" t="n"/>
      <c r="H17" s="578" t="n"/>
      <c r="I17" s="579" t="n"/>
      <c r="J17" s="579" t="n"/>
      <c r="K17" s="580" t="n"/>
      <c r="L17" s="579" t="n"/>
      <c r="M17" s="579" t="n"/>
      <c r="N17" s="580" t="n"/>
      <c r="O17" s="580" t="n"/>
      <c r="P17" s="580" t="n"/>
      <c r="Q17" s="580" t="n"/>
      <c r="S17" s="153" t="inlineStr">
        <is>
          <t>RE Tax Growth</t>
        </is>
      </c>
      <c r="T17" s="771" t="n">
        <v>0.03</v>
      </c>
      <c r="U17" s="772" t="n">
        <v>0.03</v>
      </c>
      <c r="V17" s="772" t="n">
        <v>0.03</v>
      </c>
      <c r="W17" s="772" t="n">
        <v>0.03</v>
      </c>
      <c r="X17" s="772" t="n">
        <v>0.03</v>
      </c>
      <c r="Y17" s="772" t="n">
        <v>0.03</v>
      </c>
      <c r="Z17" s="772" t="n">
        <v>0.03</v>
      </c>
      <c r="AA17" s="772" t="n">
        <v>0.03</v>
      </c>
      <c r="AB17" s="772" t="n">
        <v>0.03</v>
      </c>
      <c r="AC17" s="773" t="n">
        <v>0.03</v>
      </c>
      <c r="AD17" s="334" t="n"/>
    </row>
    <row r="18" ht="10.5" customHeight="1" thickBot="1">
      <c r="A18" s="59" t="n"/>
      <c r="B18" s="59" t="n"/>
      <c r="C18" s="553" t="n"/>
      <c r="D18" s="59" t="n"/>
      <c r="E18" s="59" t="n"/>
      <c r="F18" s="551" t="n"/>
      <c r="G18" s="551" t="n"/>
      <c r="H18" s="552" t="n"/>
      <c r="I18" s="59" t="n"/>
      <c r="J18" s="59" t="n"/>
      <c r="K18" s="551" t="n"/>
      <c r="L18" s="59" t="n"/>
      <c r="M18" s="59" t="n"/>
      <c r="N18" s="551" t="n"/>
      <c r="O18" s="551" t="n"/>
      <c r="P18" s="551" t="n"/>
      <c r="Q18" s="551" t="n"/>
      <c r="S18" s="581" t="inlineStr">
        <is>
          <t>Management Fee</t>
        </is>
      </c>
      <c r="T18" s="776" t="n">
        <v>0.03</v>
      </c>
      <c r="U18" s="777" t="n">
        <v>0.03</v>
      </c>
      <c r="V18" s="777" t="n">
        <v>0.03</v>
      </c>
      <c r="W18" s="777" t="n">
        <v>0.03</v>
      </c>
      <c r="X18" s="777" t="n">
        <v>0.03</v>
      </c>
      <c r="Y18" s="777" t="n">
        <v>0.03</v>
      </c>
      <c r="Z18" s="777" t="n">
        <v>0.03</v>
      </c>
      <c r="AA18" s="777" t="n">
        <v>0.03</v>
      </c>
      <c r="AB18" s="777" t="n">
        <v>0.03</v>
      </c>
      <c r="AC18" s="778" t="n">
        <v>0.03</v>
      </c>
    </row>
    <row r="19" ht="21" customHeight="1" thickBot="1">
      <c r="A19" s="59" t="n"/>
      <c r="B19" s="59" t="n"/>
      <c r="C19" s="553" t="inlineStr">
        <is>
          <t>Utility Reimbursement</t>
        </is>
      </c>
      <c r="D19" s="158">
        <f>'GGC Underwriting'!D12</f>
        <v/>
      </c>
      <c r="E19" s="158">
        <f>'GGC Underwriting'!E12</f>
        <v/>
      </c>
      <c r="F19" s="585">
        <f>'GGC Underwriting'!I12</f>
        <v/>
      </c>
      <c r="G19" s="585">
        <f>F19/'GGC Underwriting'!$N$7</f>
        <v/>
      </c>
      <c r="H19" s="555">
        <f>F19+(F19*$T$10)</f>
        <v/>
      </c>
      <c r="I19" s="156">
        <f>H19+(H19*$U$10)</f>
        <v/>
      </c>
      <c r="J19" s="156">
        <f>I19+(I19*$V$10)</f>
        <v/>
      </c>
      <c r="K19" s="556">
        <f>J19+(J19*$W$10)</f>
        <v/>
      </c>
      <c r="L19" s="156">
        <f>K19+(K19*$X$10)</f>
        <v/>
      </c>
      <c r="M19" s="156">
        <f>L19+(L19*$Y$10)</f>
        <v/>
      </c>
      <c r="N19" s="556">
        <f>M19+(M19*$Z$10)</f>
        <v/>
      </c>
      <c r="O19" s="556">
        <f>N19+(N19*$Z$10)</f>
        <v/>
      </c>
      <c r="P19" s="556">
        <f>O19+(O19*$Z$10)</f>
        <v/>
      </c>
      <c r="Q19" s="556">
        <f>P19+(P19*$Z$10)</f>
        <v/>
      </c>
      <c r="S19" s="59" t="n"/>
      <c r="T19" s="861" t="n"/>
      <c r="U19" s="861" t="n"/>
      <c r="V19" s="861" t="n"/>
      <c r="W19" s="861" t="n"/>
      <c r="X19" s="861" t="n"/>
      <c r="Y19" s="861" t="n"/>
      <c r="Z19" s="861" t="n"/>
      <c r="AA19" s="861" t="n"/>
      <c r="AB19" s="861" t="n"/>
      <c r="AC19" s="861" t="n"/>
    </row>
    <row r="20" ht="16.5" customHeight="1" thickBot="1">
      <c r="A20" s="59" t="n"/>
      <c r="B20" s="59" t="n"/>
      <c r="C20" s="553" t="inlineStr">
        <is>
          <t>Home Rent Income</t>
        </is>
      </c>
      <c r="D20" s="158">
        <f>'GGC Underwriting'!D13</f>
        <v/>
      </c>
      <c r="E20" s="158">
        <f>'GGC Underwriting'!E13</f>
        <v/>
      </c>
      <c r="F20" s="585">
        <f>'GGC Underwriting'!I13</f>
        <v/>
      </c>
      <c r="G20" s="585">
        <f>F20/100</f>
        <v/>
      </c>
      <c r="H20" s="555">
        <f>'Unit Mix Rent Growth'!F49</f>
        <v/>
      </c>
      <c r="I20" s="156">
        <f>'Unit Mix Rent Growth'!G49</f>
        <v/>
      </c>
      <c r="J20" s="156">
        <f>'Unit Mix Rent Growth'!H49</f>
        <v/>
      </c>
      <c r="K20" s="556">
        <f>'Unit Mix Rent Growth'!I49</f>
        <v/>
      </c>
      <c r="L20" s="156">
        <f>'Unit Mix Rent Growth'!J49</f>
        <v/>
      </c>
      <c r="M20" s="156">
        <f>'Unit Mix Rent Growth'!K49</f>
        <v/>
      </c>
      <c r="N20" s="556">
        <f>'Unit Mix Rent Growth'!L49</f>
        <v/>
      </c>
      <c r="O20" s="556">
        <f>'Unit Mix Rent Growth'!M49</f>
        <v/>
      </c>
      <c r="P20" s="556">
        <f>'Unit Mix Rent Growth'!N49</f>
        <v/>
      </c>
      <c r="Q20" s="556">
        <f>'Unit Mix Rent Growth'!O49</f>
        <v/>
      </c>
      <c r="S20" s="586" t="inlineStr">
        <is>
          <t xml:space="preserve"> Exit Cap Rate Assumption</t>
        </is>
      </c>
      <c r="T20" s="938" t="n"/>
      <c r="U20" s="938" t="n"/>
      <c r="V20" s="938" t="n"/>
      <c r="W20" s="938" t="n"/>
      <c r="X20" s="779" t="n">
        <v>0.06</v>
      </c>
      <c r="Y20" s="745" t="n"/>
      <c r="Z20" s="746" t="n"/>
      <c r="AA20" s="939" t="n"/>
      <c r="AB20" s="939" t="n"/>
      <c r="AC20" s="939" t="n"/>
    </row>
    <row r="21" ht="16.5" customHeight="1">
      <c r="A21" s="59" t="n"/>
      <c r="B21" s="59" t="n"/>
      <c r="C21" s="553" t="inlineStr">
        <is>
          <t>Lease to Own</t>
        </is>
      </c>
      <c r="D21" s="158">
        <f>'GGC Underwriting'!D14</f>
        <v/>
      </c>
      <c r="E21" s="158">
        <f>'GGC Underwriting'!E14</f>
        <v/>
      </c>
      <c r="F21" s="585">
        <f>'GGC Underwriting'!I14</f>
        <v/>
      </c>
      <c r="G21" s="585">
        <f>F21/100</f>
        <v/>
      </c>
      <c r="H21" s="555">
        <f>(F21+(F21*T12))</f>
        <v/>
      </c>
      <c r="I21" s="156">
        <f>(H21+(H21*U12))</f>
        <v/>
      </c>
      <c r="J21" s="156">
        <f>(I21+(I21*V12))</f>
        <v/>
      </c>
      <c r="K21" s="556">
        <f>(J21+(J21*W12))</f>
        <v/>
      </c>
      <c r="L21" s="156">
        <f>(K21+(K21*X12))</f>
        <v/>
      </c>
      <c r="M21" s="156">
        <f>(L21+(L21*Y12))</f>
        <v/>
      </c>
      <c r="N21" s="556">
        <f>(M21+(M21*Z12))</f>
        <v/>
      </c>
      <c r="O21" s="556">
        <f>(N21+(N21*AD12))</f>
        <v/>
      </c>
      <c r="P21" s="556">
        <f>(O21+(O21*AE12))</f>
        <v/>
      </c>
      <c r="Q21" s="556">
        <f>(P21+(P21*AF12))</f>
        <v/>
      </c>
      <c r="S21" s="59" t="n"/>
      <c r="T21" s="861" t="n"/>
      <c r="U21" s="861" t="n"/>
      <c r="V21" s="861" t="n"/>
      <c r="W21" s="861" t="n"/>
      <c r="X21" s="861" t="n"/>
      <c r="Y21" s="861" t="n"/>
      <c r="Z21" s="861" t="n"/>
      <c r="AA21" s="861" t="n"/>
      <c r="AB21" s="861" t="n"/>
      <c r="AC21" s="861" t="n"/>
    </row>
    <row r="22" ht="16.5" customHeight="1">
      <c r="A22" s="59" t="n"/>
      <c r="B22" s="59" t="n"/>
      <c r="C22" s="553" t="inlineStr">
        <is>
          <t>Storage Income</t>
        </is>
      </c>
      <c r="D22" s="158">
        <f>'GGC Underwriting'!D15</f>
        <v/>
      </c>
      <c r="E22" s="158">
        <f>'GGC Underwriting'!E15</f>
        <v/>
      </c>
      <c r="F22" s="585">
        <f>'GGC Underwriting'!I15</f>
        <v/>
      </c>
      <c r="G22" s="585">
        <f>F22/100</f>
        <v/>
      </c>
      <c r="H22" s="555">
        <f>F22+(F22*$T$10)</f>
        <v/>
      </c>
      <c r="I22" s="156">
        <f>H22+(H22*$U$10)</f>
        <v/>
      </c>
      <c r="J22" s="156">
        <f>I22+(I22*$V$10)</f>
        <v/>
      </c>
      <c r="K22" s="556">
        <f>J22+(J22*$W$10)</f>
        <v/>
      </c>
      <c r="L22" s="156">
        <f>K22+(K22*$X$10)</f>
        <v/>
      </c>
      <c r="M22" s="156">
        <f>L22+(L22*$Y$10)</f>
        <v/>
      </c>
      <c r="N22" s="556">
        <f>M22+(M22*$Z$10)</f>
        <v/>
      </c>
      <c r="O22" s="556">
        <f>N22+(N22*$Z$10)</f>
        <v/>
      </c>
      <c r="P22" s="556">
        <f>O22+(O22*$Z$10)</f>
        <v/>
      </c>
      <c r="Q22" s="556">
        <f>P22+(P22*$Z$10)</f>
        <v/>
      </c>
      <c r="S22" s="59" t="n"/>
      <c r="T22" s="861" t="n"/>
      <c r="U22" s="861" t="n"/>
      <c r="V22" s="861" t="n"/>
      <c r="W22" s="861" t="n"/>
      <c r="X22" s="861" t="n"/>
      <c r="Y22" s="861" t="n"/>
      <c r="Z22" s="861" t="n"/>
      <c r="AA22" s="861" t="n"/>
      <c r="AB22" s="861" t="n"/>
      <c r="AC22" s="861" t="n"/>
    </row>
    <row r="23" ht="16.5" customHeight="1">
      <c r="A23" s="59" t="n"/>
      <c r="B23" s="59" t="n"/>
      <c r="C23" s="553" t="inlineStr">
        <is>
          <t>Laundry Income</t>
        </is>
      </c>
      <c r="D23" s="158">
        <f>'GGC Underwriting'!D16</f>
        <v/>
      </c>
      <c r="E23" s="158">
        <f>'GGC Underwriting'!E16</f>
        <v/>
      </c>
      <c r="F23" s="585">
        <f>'GGC Underwriting'!I16</f>
        <v/>
      </c>
      <c r="G23" s="585">
        <f>F23/100</f>
        <v/>
      </c>
      <c r="H23" s="555">
        <f>F23+(F23*$T$10)</f>
        <v/>
      </c>
      <c r="I23" s="156">
        <f>H23+(H23*$U$10)</f>
        <v/>
      </c>
      <c r="J23" s="156">
        <f>I23+(I23*$V$10)</f>
        <v/>
      </c>
      <c r="K23" s="556">
        <f>J23+(J23*$W$10)</f>
        <v/>
      </c>
      <c r="L23" s="156">
        <f>K23+(K23*$X$10)</f>
        <v/>
      </c>
      <c r="M23" s="156">
        <f>L23+(L23*$Y$10)</f>
        <v/>
      </c>
      <c r="N23" s="556">
        <f>M23+(M23*$Z$10)</f>
        <v/>
      </c>
      <c r="O23" s="556">
        <f>N23+(N23*$Z$10)</f>
        <v/>
      </c>
      <c r="P23" s="556">
        <f>O23+(O23*$Z$10)</f>
        <v/>
      </c>
      <c r="Q23" s="556">
        <f>P23+(P23*$Z$10)</f>
        <v/>
      </c>
      <c r="S23" s="59" t="n"/>
      <c r="T23" s="861" t="n"/>
      <c r="U23" s="861" t="n"/>
      <c r="V23" s="861" t="n"/>
      <c r="W23" s="861" t="n"/>
      <c r="X23" s="861" t="n"/>
      <c r="Y23" s="861" t="n"/>
      <c r="Z23" s="861" t="n"/>
      <c r="AA23" s="861" t="n"/>
      <c r="AB23" s="861" t="n"/>
      <c r="AC23" s="861" t="n"/>
    </row>
    <row r="24" ht="16.5" customHeight="1">
      <c r="A24" s="59" t="n"/>
      <c r="B24" s="59" t="n"/>
      <c r="C24" s="588" t="inlineStr">
        <is>
          <t>Other Income</t>
        </is>
      </c>
      <c r="D24" s="158">
        <f>'GGC Underwriting'!D17</f>
        <v/>
      </c>
      <c r="E24" s="158">
        <f>'GGC Underwriting'!E17</f>
        <v/>
      </c>
      <c r="F24" s="585">
        <f>'GGC Underwriting'!I17</f>
        <v/>
      </c>
      <c r="G24" s="589">
        <f>F24/100</f>
        <v/>
      </c>
      <c r="H24" s="555">
        <f>F24+(F24*$T$10)</f>
        <v/>
      </c>
      <c r="I24" s="156">
        <f>H24+(H24*$U$10)</f>
        <v/>
      </c>
      <c r="J24" s="156">
        <f>I24+(I24*$V$10)</f>
        <v/>
      </c>
      <c r="K24" s="556">
        <f>J24+(J24*$W$10)</f>
        <v/>
      </c>
      <c r="L24" s="156">
        <f>K24+(K24*$X$10)</f>
        <v/>
      </c>
      <c r="M24" s="156">
        <f>L24+(L24*$Y$10)</f>
        <v/>
      </c>
      <c r="N24" s="556">
        <f>M24+(M24*$Z$10)</f>
        <v/>
      </c>
      <c r="O24" s="556">
        <f>N24+(N24*$Z$10)</f>
        <v/>
      </c>
      <c r="P24" s="556">
        <f>O24+(O24*$Z$10)</f>
        <v/>
      </c>
      <c r="Q24" s="556">
        <f>P24+(P24*$Z$10)</f>
        <v/>
      </c>
      <c r="S24" s="59" t="n"/>
      <c r="T24" s="861" t="n"/>
      <c r="U24" s="861" t="n"/>
      <c r="V24" s="861" t="n"/>
      <c r="W24" s="861" t="n"/>
      <c r="X24" s="861" t="n"/>
      <c r="Y24" s="861" t="n"/>
      <c r="Z24" s="861" t="n"/>
      <c r="AA24" s="861" t="n"/>
      <c r="AB24" s="861" t="n"/>
      <c r="AC24" s="861" t="n"/>
    </row>
    <row r="25" ht="16.5" customHeight="1" thickBot="1">
      <c r="A25" s="59" t="n"/>
      <c r="B25" s="59" t="n"/>
      <c r="C25" s="590" t="inlineStr">
        <is>
          <t>Total Effective Gross Income</t>
        </is>
      </c>
      <c r="D25" s="163">
        <f>D12+D19+D20+D21+D22+D23+D24</f>
        <v/>
      </c>
      <c r="E25" s="163">
        <f>E12+E19+E20+E21+E22+E23+E24</f>
        <v/>
      </c>
      <c r="F25" s="591">
        <f>F12+F19+F20+F21+F22+F23+F24</f>
        <v/>
      </c>
      <c r="G25" s="591">
        <f>F25/100</f>
        <v/>
      </c>
      <c r="H25" s="592">
        <f>H12+H19+H20+H21+H22+H23+H24</f>
        <v/>
      </c>
      <c r="I25" s="163">
        <f>I12+I19+I20+I21+I22+I23+I24</f>
        <v/>
      </c>
      <c r="J25" s="163">
        <f>J12+J19+J20+J21+J22+J23+J24</f>
        <v/>
      </c>
      <c r="K25" s="591">
        <f>K12+K19+K20+K21+K22+K23+K24</f>
        <v/>
      </c>
      <c r="L25" s="163">
        <f>L12+L19+L20+L21+L22+L23+L24</f>
        <v/>
      </c>
      <c r="M25" s="163">
        <f>M12+M19+M20+M21+M22+M23+M24</f>
        <v/>
      </c>
      <c r="N25" s="591">
        <f>N12+N19+N20+N21+N22+N23+N24</f>
        <v/>
      </c>
      <c r="O25" s="591">
        <f>O12+O19+O20+O21+O22+O23+O24</f>
        <v/>
      </c>
      <c r="P25" s="591">
        <f>P12+P19+P20+P21+P22+P23+P24</f>
        <v/>
      </c>
      <c r="Q25" s="591">
        <f>Q12+Q19+Q20+Q21+Q22+Q23+Q24</f>
        <v/>
      </c>
      <c r="S25" s="59" t="n"/>
      <c r="T25" s="861" t="n"/>
      <c r="U25" s="861" t="n"/>
      <c r="V25" s="861" t="n"/>
      <c r="W25" s="861" t="n"/>
      <c r="X25" s="861" t="n"/>
      <c r="Y25" s="861" t="n"/>
      <c r="Z25" s="861" t="n"/>
      <c r="AA25" s="861" t="n"/>
      <c r="AB25" s="861" t="n"/>
      <c r="AC25" s="861" t="n"/>
    </row>
    <row r="26" ht="15.75" customHeight="1" thickTop="1">
      <c r="A26" s="59" t="n"/>
      <c r="B26" s="59" t="n"/>
      <c r="C26" s="571" t="inlineStr">
        <is>
          <t>YoY % Growth</t>
        </is>
      </c>
      <c r="D26" s="59" t="n"/>
      <c r="E26" s="59" t="n"/>
      <c r="F26" s="59" t="n"/>
      <c r="G26" s="593" t="n"/>
      <c r="H26" s="59" t="n"/>
      <c r="I26" s="59" t="n"/>
      <c r="J26" s="59" t="n"/>
      <c r="K26" s="551" t="n"/>
      <c r="L26" s="59" t="n"/>
      <c r="M26" s="59" t="n"/>
      <c r="N26" s="551" t="n"/>
      <c r="O26" s="551" t="n"/>
      <c r="P26" s="551" t="n"/>
      <c r="Q26" s="551" t="n"/>
      <c r="S26" s="59" t="n"/>
      <c r="T26" s="861" t="n"/>
      <c r="U26" s="861" t="n"/>
      <c r="V26" s="861" t="n"/>
      <c r="W26" s="861" t="n"/>
      <c r="X26" s="861" t="n"/>
      <c r="Y26" s="861" t="n"/>
      <c r="Z26" s="861" t="n"/>
      <c r="AA26" s="861" t="n"/>
      <c r="AB26" s="861" t="n"/>
      <c r="AC26" s="861" t="n"/>
    </row>
    <row r="27" ht="19.5" customHeight="1">
      <c r="A27" s="59" t="n"/>
      <c r="B27" s="59" t="n"/>
      <c r="C27" s="550" t="inlineStr">
        <is>
          <t>Expenses</t>
        </is>
      </c>
      <c r="D27" s="59" t="n"/>
      <c r="E27" s="59" t="n"/>
      <c r="F27" s="551" t="n"/>
      <c r="G27" s="594" t="inlineStr">
        <is>
          <t>UW Per Pad</t>
        </is>
      </c>
      <c r="H27" s="552" t="n"/>
      <c r="I27" s="267" t="inlineStr">
        <is>
          <t>RE Tax Reassessment</t>
        </is>
      </c>
      <c r="J27" s="59" t="n"/>
      <c r="K27" s="551" t="n"/>
      <c r="L27" s="59" t="n"/>
      <c r="M27" s="59" t="n"/>
      <c r="N27" s="551" t="n"/>
      <c r="O27" s="551" t="n"/>
      <c r="P27" s="551" t="n"/>
      <c r="Q27" s="551" t="n"/>
      <c r="S27" s="59" t="n"/>
      <c r="T27" s="861" t="n"/>
      <c r="U27" s="861" t="n"/>
      <c r="V27" s="861" t="n"/>
      <c r="W27" s="861" t="n"/>
      <c r="X27" s="861" t="n"/>
      <c r="Y27" s="861" t="n"/>
      <c r="Z27" s="861" t="n"/>
      <c r="AA27" s="861" t="n"/>
      <c r="AB27" s="861" t="n"/>
      <c r="AC27" s="861" t="n"/>
    </row>
    <row r="28" ht="17.25" customHeight="1">
      <c r="A28" s="59" t="n"/>
      <c r="B28" s="59" t="n"/>
      <c r="C28" s="553" t="inlineStr">
        <is>
          <t>RE Taxes</t>
        </is>
      </c>
      <c r="D28" s="156">
        <f>'GGC Underwriting'!D22</f>
        <v/>
      </c>
      <c r="E28" s="156">
        <f>'GGC Underwriting'!E22</f>
        <v/>
      </c>
      <c r="F28" s="556">
        <f>'GGC Underwriting'!I22</f>
        <v/>
      </c>
      <c r="G28" s="556">
        <f>F28/100</f>
        <v/>
      </c>
      <c r="H28" s="555">
        <f>D28*1.03</f>
        <v/>
      </c>
      <c r="I28" s="156">
        <f>F28</f>
        <v/>
      </c>
      <c r="J28" s="156">
        <f>I28+(I28*$V$17)</f>
        <v/>
      </c>
      <c r="K28" s="556">
        <f>J28+(J28*$W$17)</f>
        <v/>
      </c>
      <c r="L28" s="156">
        <f>K28+(K28*$X$17)</f>
        <v/>
      </c>
      <c r="M28" s="156">
        <f>L28+(L28*$Y$17)</f>
        <v/>
      </c>
      <c r="N28" s="556">
        <f>M28+(M28*$Z$17)</f>
        <v/>
      </c>
      <c r="O28" s="556">
        <f>N28+(N28*$Z$17)</f>
        <v/>
      </c>
      <c r="P28" s="556">
        <f>O28+(O28*$Z$17)</f>
        <v/>
      </c>
      <c r="Q28" s="556">
        <f>P28+(P28*$Z$17)</f>
        <v/>
      </c>
      <c r="S28" s="59" t="n"/>
      <c r="T28" s="861" t="n"/>
      <c r="U28" s="861" t="n"/>
      <c r="V28" s="861" t="n"/>
      <c r="W28" s="861" t="n"/>
      <c r="X28" s="861" t="n"/>
      <c r="Y28" s="861" t="n"/>
      <c r="Z28" s="861" t="n"/>
      <c r="AA28" s="861" t="n"/>
      <c r="AB28" s="861" t="n"/>
      <c r="AC28" s="861" t="n"/>
    </row>
    <row r="29" ht="17.25" customHeight="1">
      <c r="A29" s="59" t="n"/>
      <c r="B29" s="59" t="n"/>
      <c r="C29" s="588" t="inlineStr">
        <is>
          <t>Insurance</t>
        </is>
      </c>
      <c r="D29" s="156">
        <f>'GGC Underwriting'!D23</f>
        <v/>
      </c>
      <c r="E29" s="156">
        <f>'GGC Underwriting'!E23</f>
        <v/>
      </c>
      <c r="F29" s="556">
        <f>'GGC Underwriting'!I23</f>
        <v/>
      </c>
      <c r="G29" s="141">
        <f>F29/100</f>
        <v/>
      </c>
      <c r="H29" s="595">
        <f>F29+(F29*$T$16)</f>
        <v/>
      </c>
      <c r="I29" s="161">
        <f>H29+(H29*$U$16)</f>
        <v/>
      </c>
      <c r="J29" s="161">
        <f>I29+(I29*$V$16)</f>
        <v/>
      </c>
      <c r="K29" s="141">
        <f>J29+(J29*$W$16)</f>
        <v/>
      </c>
      <c r="L29" s="161">
        <f>K29+(K29*$X$16)</f>
        <v/>
      </c>
      <c r="M29" s="161">
        <f>L29+(L29*$Y$16)</f>
        <v/>
      </c>
      <c r="N29" s="141">
        <f>M29+(M29*$Z$16)</f>
        <v/>
      </c>
      <c r="O29" s="141">
        <f>N29+(N29*$Z$16)</f>
        <v/>
      </c>
      <c r="P29" s="141">
        <f>O29+(O29*$Z$16)</f>
        <v/>
      </c>
      <c r="Q29" s="141">
        <f>P29+(P29*$Z$16)</f>
        <v/>
      </c>
      <c r="S29" s="59" t="n"/>
      <c r="T29" s="861" t="n"/>
      <c r="U29" s="861" t="n"/>
      <c r="V29" s="861" t="n"/>
      <c r="W29" s="861" t="n"/>
      <c r="X29" s="861" t="n"/>
      <c r="Y29" s="861" t="n"/>
      <c r="Z29" s="861" t="n"/>
      <c r="AA29" s="861" t="n"/>
      <c r="AB29" s="861" t="n"/>
      <c r="AC29" s="861" t="n"/>
    </row>
    <row r="30" ht="14.25" customHeight="1">
      <c r="A30" s="59" t="n"/>
      <c r="B30" s="59" t="n"/>
      <c r="C30" s="553" t="n"/>
      <c r="D30" s="59" t="n"/>
      <c r="E30" s="59" t="n"/>
      <c r="F30" s="551" t="n"/>
      <c r="G30" s="551">
        <f>F30/100</f>
        <v/>
      </c>
      <c r="H30" s="552" t="n"/>
      <c r="I30" s="59" t="n"/>
      <c r="J30" s="59" t="n"/>
      <c r="K30" s="551" t="n"/>
      <c r="L30" s="59" t="n"/>
      <c r="M30" s="59" t="n"/>
      <c r="N30" s="551" t="n"/>
      <c r="O30" s="551" t="n"/>
      <c r="P30" s="551" t="n"/>
      <c r="Q30" s="551" t="n"/>
      <c r="S30" s="59" t="n"/>
      <c r="T30" s="861" t="n"/>
      <c r="U30" s="861" t="n"/>
      <c r="V30" s="861" t="n"/>
      <c r="W30" s="861" t="n"/>
      <c r="X30" s="861" t="n"/>
      <c r="Y30" s="861" t="n"/>
      <c r="Z30" s="861" t="n"/>
      <c r="AA30" s="861" t="n"/>
      <c r="AB30" s="861" t="n"/>
      <c r="AC30" s="861" t="n"/>
    </row>
    <row r="31" ht="14.25" customHeight="1">
      <c r="A31" s="59" t="n"/>
      <c r="B31" s="59" t="n"/>
      <c r="C31" s="553" t="inlineStr">
        <is>
          <t>Gas/Fuel</t>
        </is>
      </c>
      <c r="D31" s="156">
        <f>'GGC Underwriting'!D25</f>
        <v/>
      </c>
      <c r="E31" s="156">
        <f>'GGC Underwriting'!E25</f>
        <v/>
      </c>
      <c r="F31" s="556">
        <f>'GGC Underwriting'!I25</f>
        <v/>
      </c>
      <c r="G31" s="556">
        <f>F31/100</f>
        <v/>
      </c>
      <c r="H31" s="555">
        <f>F31+(F31*$T$16)</f>
        <v/>
      </c>
      <c r="I31" s="156">
        <f>H31+(H31*$U$16)</f>
        <v/>
      </c>
      <c r="J31" s="156">
        <f>I31+(I31*$V$16)</f>
        <v/>
      </c>
      <c r="K31" s="556">
        <f>J31+(J31*$W$16)</f>
        <v/>
      </c>
      <c r="L31" s="156">
        <f>K31+(K31*$X$16)</f>
        <v/>
      </c>
      <c r="M31" s="156">
        <f>L31+(L31*$Y$16)</f>
        <v/>
      </c>
      <c r="N31" s="556">
        <f>M31+(M31*$Z$16)</f>
        <v/>
      </c>
      <c r="O31" s="556">
        <f>N31+(N31*$Z$16)</f>
        <v/>
      </c>
      <c r="P31" s="556">
        <f>O31+(O31*$Z$16)</f>
        <v/>
      </c>
      <c r="Q31" s="556">
        <f>P31+(P31*$Z$16)</f>
        <v/>
      </c>
      <c r="S31" s="59" t="n"/>
      <c r="T31" s="861" t="n"/>
      <c r="U31" s="861" t="n"/>
      <c r="V31" s="861" t="n"/>
      <c r="W31" s="861" t="n"/>
      <c r="X31" s="861" t="n"/>
      <c r="Y31" s="861" t="n"/>
      <c r="Z31" s="861" t="n"/>
      <c r="AA31" s="861" t="n"/>
      <c r="AB31" s="861" t="n"/>
      <c r="AC31" s="861" t="n"/>
    </row>
    <row r="32" ht="17.25" customHeight="1">
      <c r="A32" s="59" t="n"/>
      <c r="B32" s="59" t="n"/>
      <c r="C32" s="553" t="inlineStr">
        <is>
          <t>Electricity</t>
        </is>
      </c>
      <c r="D32" s="156">
        <f>'GGC Underwriting'!D26</f>
        <v/>
      </c>
      <c r="E32" s="156">
        <f>'GGC Underwriting'!E26</f>
        <v/>
      </c>
      <c r="F32" s="556">
        <f>'GGC Underwriting'!I26</f>
        <v/>
      </c>
      <c r="G32" s="556">
        <f>F32/100</f>
        <v/>
      </c>
      <c r="H32" s="555">
        <f>F32+(F32*$T$16)</f>
        <v/>
      </c>
      <c r="I32" s="156">
        <f>H32+(H32*$U$16)</f>
        <v/>
      </c>
      <c r="J32" s="156">
        <f>I32+(I32*$V$16)</f>
        <v/>
      </c>
      <c r="K32" s="556">
        <f>J32+(J32*$W$16)</f>
        <v/>
      </c>
      <c r="L32" s="156">
        <f>K32+(K32*$X$16)</f>
        <v/>
      </c>
      <c r="M32" s="156">
        <f>L32+(L32*$Y$16)</f>
        <v/>
      </c>
      <c r="N32" s="556">
        <f>M32+(M32*$Z$16)</f>
        <v/>
      </c>
      <c r="O32" s="556">
        <f>N32+(N32*$Z$16)</f>
        <v/>
      </c>
      <c r="P32" s="556">
        <f>O32+(O32*$Z$16)</f>
        <v/>
      </c>
      <c r="Q32" s="556">
        <f>P32+(P32*$Z$16)</f>
        <v/>
      </c>
      <c r="S32" s="59" t="n"/>
      <c r="T32" s="861" t="n"/>
      <c r="U32" s="861" t="n"/>
      <c r="V32" s="861" t="n"/>
      <c r="W32" s="861" t="n"/>
      <c r="X32" s="861" t="n"/>
      <c r="Y32" s="861" t="n"/>
      <c r="Z32" s="861" t="n"/>
      <c r="AA32" s="861" t="n"/>
      <c r="AB32" s="861" t="n"/>
      <c r="AC32" s="861" t="n"/>
    </row>
    <row r="33" ht="17.25" customHeight="1">
      <c r="A33" s="59" t="n"/>
      <c r="B33" s="59" t="n"/>
      <c r="C33" s="553" t="inlineStr">
        <is>
          <t>Water and Sewer</t>
        </is>
      </c>
      <c r="D33" s="156">
        <f>'GGC Underwriting'!D27</f>
        <v/>
      </c>
      <c r="E33" s="156">
        <f>'GGC Underwriting'!E27</f>
        <v/>
      </c>
      <c r="F33" s="556">
        <f>'GGC Underwriting'!I27</f>
        <v/>
      </c>
      <c r="G33" s="556">
        <f>F33/100</f>
        <v/>
      </c>
      <c r="H33" s="555">
        <f>F33+(F33*$T$16)</f>
        <v/>
      </c>
      <c r="I33" s="156">
        <f>H33+(H33*$U$16)</f>
        <v/>
      </c>
      <c r="J33" s="156">
        <f>I33+(I33*$V$16)</f>
        <v/>
      </c>
      <c r="K33" s="556">
        <f>J33+(J33*$W$16)</f>
        <v/>
      </c>
      <c r="L33" s="156">
        <f>K33+(K33*$X$16)</f>
        <v/>
      </c>
      <c r="M33" s="156">
        <f>L33+(L33*$Y$16)</f>
        <v/>
      </c>
      <c r="N33" s="556">
        <f>M33+(M33*$Z$16)</f>
        <v/>
      </c>
      <c r="O33" s="556">
        <f>N33+(N33*$Z$16)</f>
        <v/>
      </c>
      <c r="P33" s="556">
        <f>O33+(O33*$Z$16)</f>
        <v/>
      </c>
      <c r="Q33" s="556">
        <f>P33+(P33*$Z$16)</f>
        <v/>
      </c>
      <c r="S33" s="59" t="n"/>
      <c r="T33" s="861" t="n"/>
      <c r="U33" s="861" t="n"/>
      <c r="V33" s="861" t="n"/>
      <c r="W33" s="861" t="n"/>
      <c r="X33" s="861" t="n"/>
      <c r="Y33" s="861" t="n"/>
      <c r="Z33" s="861" t="n"/>
      <c r="AA33" s="861" t="n"/>
      <c r="AB33" s="861" t="n"/>
      <c r="AC33" s="861" t="n"/>
    </row>
    <row r="34" ht="17.25" customHeight="1">
      <c r="A34" s="59" t="n"/>
      <c r="B34" s="230" t="n"/>
      <c r="C34" s="553" t="inlineStr">
        <is>
          <t>Trash Removal</t>
        </is>
      </c>
      <c r="D34" s="156">
        <f>'GGC Underwriting'!D28</f>
        <v/>
      </c>
      <c r="E34" s="156">
        <f>'GGC Underwriting'!E28</f>
        <v/>
      </c>
      <c r="F34" s="556">
        <f>'GGC Underwriting'!I28</f>
        <v/>
      </c>
      <c r="G34" s="556">
        <f>F34/100</f>
        <v/>
      </c>
      <c r="H34" s="555">
        <f>F34+(F34*$T$16)</f>
        <v/>
      </c>
      <c r="I34" s="156">
        <f>H34+(H34*$U$16)</f>
        <v/>
      </c>
      <c r="J34" s="156">
        <f>I34+(I34*$V$16)</f>
        <v/>
      </c>
      <c r="K34" s="556">
        <f>J34+(J34*$W$16)</f>
        <v/>
      </c>
      <c r="L34" s="156">
        <f>K34+(K34*$X$16)</f>
        <v/>
      </c>
      <c r="M34" s="156">
        <f>L34+(L34*$Y$16)</f>
        <v/>
      </c>
      <c r="N34" s="556">
        <f>M34+(M34*$Z$16)</f>
        <v/>
      </c>
      <c r="O34" s="556">
        <f>N34+(N34*$Z$16)</f>
        <v/>
      </c>
      <c r="P34" s="556">
        <f>O34+(O34*$Z$16)</f>
        <v/>
      </c>
      <c r="Q34" s="556">
        <f>P34+(P34*$Z$16)</f>
        <v/>
      </c>
      <c r="S34" s="59" t="n"/>
      <c r="T34" s="861" t="n"/>
      <c r="U34" s="861" t="n"/>
      <c r="V34" s="861" t="n"/>
      <c r="W34" s="861" t="n"/>
      <c r="X34" s="861" t="n"/>
      <c r="Y34" s="861" t="n"/>
      <c r="Z34" s="861" t="n"/>
      <c r="AA34" s="861" t="n"/>
      <c r="AB34" s="861" t="n"/>
      <c r="AC34" s="861" t="n"/>
    </row>
    <row r="35" ht="18" customHeight="1" thickBot="1">
      <c r="A35" s="59" t="n"/>
      <c r="B35" s="59" t="n"/>
      <c r="C35" s="590" t="inlineStr">
        <is>
          <t>Total Utilities</t>
        </is>
      </c>
      <c r="D35" s="164">
        <f>D31+D32+D33+D34</f>
        <v/>
      </c>
      <c r="E35" s="164">
        <f>E31+E32+E33+E34</f>
        <v/>
      </c>
      <c r="F35" s="596">
        <f>F31+F32+F33+F34</f>
        <v/>
      </c>
      <c r="G35" s="596">
        <f>F35/100</f>
        <v/>
      </c>
      <c r="H35" s="597">
        <f>H31+H32+H33+H34</f>
        <v/>
      </c>
      <c r="I35" s="164">
        <f>I31+I32+I33+I34</f>
        <v/>
      </c>
      <c r="J35" s="164">
        <f>J31+J32+J33+J34</f>
        <v/>
      </c>
      <c r="K35" s="596">
        <f>K31+K32+K33+K34</f>
        <v/>
      </c>
      <c r="L35" s="164">
        <f>L31+L32+L33+L34</f>
        <v/>
      </c>
      <c r="M35" s="164">
        <f>M31+M32+M33+M34</f>
        <v/>
      </c>
      <c r="N35" s="596">
        <f>N31+N32+N33+N34</f>
        <v/>
      </c>
      <c r="O35" s="596">
        <f>O31+O32+O33+O34</f>
        <v/>
      </c>
      <c r="P35" s="596">
        <f>P31+P32+P33+P34</f>
        <v/>
      </c>
      <c r="Q35" s="596">
        <f>Q31+Q32+Q33+Q34</f>
        <v/>
      </c>
      <c r="S35" s="59" t="n"/>
      <c r="T35" s="861" t="n"/>
      <c r="U35" s="861" t="n"/>
      <c r="V35" s="861" t="n"/>
      <c r="W35" s="861" t="n"/>
      <c r="X35" s="861" t="n"/>
      <c r="Y35" s="861" t="n"/>
      <c r="Z35" s="861" t="n"/>
      <c r="AA35" s="861" t="n"/>
      <c r="AB35" s="861" t="n"/>
      <c r="AC35" s="861" t="n"/>
    </row>
    <row r="36" ht="18.75" customHeight="1" thickTop="1">
      <c r="A36" s="59" t="n"/>
      <c r="B36" s="59" t="n"/>
      <c r="C36" s="553" t="inlineStr">
        <is>
          <t>Repair and Maintenance</t>
        </is>
      </c>
      <c r="D36" s="156">
        <f>'GGC Underwriting'!D30</f>
        <v/>
      </c>
      <c r="E36" s="156">
        <f>'GGC Underwriting'!E30</f>
        <v/>
      </c>
      <c r="F36" s="556">
        <f>'GGC Underwriting'!I30</f>
        <v/>
      </c>
      <c r="G36" s="556">
        <f>F36/100</f>
        <v/>
      </c>
      <c r="H36" s="555">
        <f>F36+(F36*$T$16)</f>
        <v/>
      </c>
      <c r="I36" s="156">
        <f>H36+(H36*$U$16)</f>
        <v/>
      </c>
      <c r="J36" s="156">
        <f>I36+(I36*$V$16)</f>
        <v/>
      </c>
      <c r="K36" s="556">
        <f>J36+(J36*$W$16)</f>
        <v/>
      </c>
      <c r="L36" s="156">
        <f>K36+(K36*$X$16)</f>
        <v/>
      </c>
      <c r="M36" s="156">
        <f>L36+(L36*$Y$16)</f>
        <v/>
      </c>
      <c r="N36" s="556">
        <f>M36+(M36*$Z$16)</f>
        <v/>
      </c>
      <c r="O36" s="556">
        <f>N36+(N36*$Z$16)</f>
        <v/>
      </c>
      <c r="P36" s="556">
        <f>O36+(O36*$Z$16)</f>
        <v/>
      </c>
      <c r="Q36" s="556">
        <f>P36+(P36*$Z$16)</f>
        <v/>
      </c>
      <c r="S36" s="59" t="n"/>
      <c r="T36" s="861" t="n"/>
      <c r="U36" s="861" t="n"/>
      <c r="V36" s="861" t="n"/>
      <c r="W36" s="861" t="n"/>
      <c r="X36" s="861" t="n"/>
      <c r="Y36" s="861" t="n"/>
      <c r="Z36" s="861" t="n"/>
      <c r="AA36" s="861" t="n"/>
      <c r="AB36" s="861" t="n"/>
      <c r="AC36" s="861" t="n"/>
    </row>
    <row r="37" ht="18.75" customHeight="1">
      <c r="A37" s="59" t="n"/>
      <c r="B37" s="59" t="n"/>
      <c r="C37" s="553" t="inlineStr">
        <is>
          <t>Ground Maintenance</t>
        </is>
      </c>
      <c r="D37" s="156">
        <f>'GGC Underwriting'!D31</f>
        <v/>
      </c>
      <c r="E37" s="156">
        <f>'GGC Underwriting'!E31</f>
        <v/>
      </c>
      <c r="F37" s="556">
        <f>'GGC Underwriting'!I31</f>
        <v/>
      </c>
      <c r="G37" s="556">
        <f>F37/100</f>
        <v/>
      </c>
      <c r="H37" s="555">
        <f>F37+(F37*$T$16)</f>
        <v/>
      </c>
      <c r="I37" s="156">
        <f>H37+(H37*$U$16)</f>
        <v/>
      </c>
      <c r="J37" s="156">
        <f>I37+(I37*$V$16)</f>
        <v/>
      </c>
      <c r="K37" s="556">
        <f>J37+(J37*$W$16)</f>
        <v/>
      </c>
      <c r="L37" s="156">
        <f>K37+(K37*$X$16)</f>
        <v/>
      </c>
      <c r="M37" s="156">
        <f>L37+(L37*$Y$16)</f>
        <v/>
      </c>
      <c r="N37" s="556">
        <f>M37+(M37*$Z$16)</f>
        <v/>
      </c>
      <c r="O37" s="556">
        <f>N37+(N37*$Z$16)</f>
        <v/>
      </c>
      <c r="P37" s="556">
        <f>O37+(O37*$Z$16)</f>
        <v/>
      </c>
      <c r="Q37" s="556">
        <f>P37+(P37*$Z$16)</f>
        <v/>
      </c>
      <c r="S37" s="59" t="n"/>
      <c r="T37" s="861" t="n"/>
      <c r="U37" s="861" t="n"/>
      <c r="V37" s="861" t="n"/>
      <c r="W37" s="861" t="n"/>
      <c r="X37" s="861" t="n"/>
      <c r="Y37" s="861" t="n"/>
      <c r="Z37" s="861" t="n"/>
      <c r="AA37" s="861" t="n"/>
      <c r="AB37" s="861" t="n"/>
      <c r="AC37" s="861" t="n"/>
    </row>
    <row r="38" ht="14.25" customHeight="1">
      <c r="A38" s="59" t="n"/>
      <c r="B38" s="59" t="n"/>
      <c r="C38" s="553" t="inlineStr">
        <is>
          <t>Recreational Amenities</t>
        </is>
      </c>
      <c r="D38" s="156">
        <f>'GGC Underwriting'!D32</f>
        <v/>
      </c>
      <c r="E38" s="156">
        <f>'GGC Underwriting'!E32</f>
        <v/>
      </c>
      <c r="F38" s="556">
        <f>'GGC Underwriting'!I32</f>
        <v/>
      </c>
      <c r="G38" s="556">
        <f>F38/100</f>
        <v/>
      </c>
      <c r="H38" s="555">
        <f>F38+(F38*$T$16)</f>
        <v/>
      </c>
      <c r="I38" s="156">
        <f>H38+(H38*$U$16)</f>
        <v/>
      </c>
      <c r="J38" s="156">
        <f>I38+(I38*$V$16)</f>
        <v/>
      </c>
      <c r="K38" s="556">
        <f>J38+(J38*$W$16)</f>
        <v/>
      </c>
      <c r="L38" s="156">
        <f>K38+(K38*$X$16)</f>
        <v/>
      </c>
      <c r="M38" s="156">
        <f>L38+(L38*$Y$16)</f>
        <v/>
      </c>
      <c r="N38" s="556">
        <f>M38+(M38*$Z$16)</f>
        <v/>
      </c>
      <c r="O38" s="556">
        <f>N38+(N38*$Z$16)</f>
        <v/>
      </c>
      <c r="P38" s="556">
        <f>O38+(O38*$Z$16)</f>
        <v/>
      </c>
      <c r="Q38" s="556">
        <f>P38+(P38*$Z$16)</f>
        <v/>
      </c>
      <c r="S38" s="59" t="n"/>
      <c r="T38" s="861" t="n"/>
      <c r="U38" s="861" t="n"/>
      <c r="V38" s="861" t="n"/>
      <c r="W38" s="861" t="n"/>
      <c r="X38" s="861" t="n"/>
      <c r="Y38" s="861" t="n"/>
      <c r="Z38" s="861" t="n"/>
      <c r="AA38" s="861" t="n"/>
      <c r="AB38" s="861" t="n"/>
      <c r="AC38" s="861" t="n"/>
    </row>
    <row r="39" ht="18.75" customHeight="1">
      <c r="A39" s="59" t="n"/>
      <c r="B39" s="59" t="n"/>
      <c r="C39" s="553" t="inlineStr">
        <is>
          <t>Management Fee</t>
        </is>
      </c>
      <c r="D39" s="156">
        <f>'GGC Underwriting'!D33</f>
        <v/>
      </c>
      <c r="E39" s="156">
        <f>'GGC Underwriting'!E33</f>
        <v/>
      </c>
      <c r="F39" s="556">
        <f>'GGC Underwriting'!I33</f>
        <v/>
      </c>
      <c r="G39" s="556">
        <f>F39/100</f>
        <v/>
      </c>
      <c r="H39" s="555">
        <f>H40*H25</f>
        <v/>
      </c>
      <c r="I39" s="156">
        <f>I40*I25</f>
        <v/>
      </c>
      <c r="J39" s="156">
        <f>J40*J25</f>
        <v/>
      </c>
      <c r="K39" s="556">
        <f>K40*K25</f>
        <v/>
      </c>
      <c r="L39" s="156">
        <f>L40*L25</f>
        <v/>
      </c>
      <c r="M39" s="156">
        <f>M40*M25</f>
        <v/>
      </c>
      <c r="N39" s="556">
        <f>N40*N25</f>
        <v/>
      </c>
      <c r="O39" s="556">
        <f>O40*O25</f>
        <v/>
      </c>
      <c r="P39" s="556">
        <f>P40*P25</f>
        <v/>
      </c>
      <c r="Q39" s="556">
        <f>Q40*Q25</f>
        <v/>
      </c>
      <c r="S39" s="59" t="n"/>
      <c r="T39" s="861" t="n"/>
      <c r="U39" s="861" t="n"/>
      <c r="V39" s="861" t="n"/>
      <c r="W39" s="861" t="n"/>
      <c r="X39" s="861" t="n"/>
      <c r="Y39" s="861" t="n"/>
      <c r="Z39" s="861" t="n"/>
      <c r="AA39" s="861" t="n"/>
      <c r="AB39" s="861" t="n"/>
      <c r="AC39" s="861" t="n"/>
    </row>
    <row r="40" ht="15.75" customFormat="1" customHeight="1" s="506">
      <c r="A40" s="383" t="n"/>
      <c r="B40" s="383" t="n"/>
      <c r="C40" s="598" t="inlineStr">
        <is>
          <t>Management Fee %</t>
        </is>
      </c>
      <c r="D40" s="780">
        <f>D39/D25</f>
        <v/>
      </c>
      <c r="E40" s="780">
        <f>E39/E25</f>
        <v/>
      </c>
      <c r="F40" s="781">
        <f>F39/F25</f>
        <v/>
      </c>
      <c r="G40" s="781">
        <f>G39/G25</f>
        <v/>
      </c>
      <c r="H40" s="782">
        <f>F40</f>
        <v/>
      </c>
      <c r="I40" s="780">
        <f>H40</f>
        <v/>
      </c>
      <c r="J40" s="780">
        <f>I40</f>
        <v/>
      </c>
      <c r="K40" s="781">
        <f>J40</f>
        <v/>
      </c>
      <c r="L40" s="780">
        <f>K40</f>
        <v/>
      </c>
      <c r="M40" s="780">
        <f>L40</f>
        <v/>
      </c>
      <c r="N40" s="781">
        <f>M40</f>
        <v/>
      </c>
      <c r="O40" s="781">
        <f>N40</f>
        <v/>
      </c>
      <c r="P40" s="781">
        <f>O40</f>
        <v/>
      </c>
      <c r="Q40" s="781">
        <f>P40</f>
        <v/>
      </c>
      <c r="R40" s="383" t="n"/>
      <c r="S40" s="383" t="n"/>
      <c r="T40" s="940" t="n"/>
      <c r="U40" s="940" t="n"/>
      <c r="V40" s="940" t="n"/>
      <c r="W40" s="940" t="n"/>
      <c r="X40" s="940" t="n"/>
      <c r="Y40" s="940" t="n"/>
      <c r="Z40" s="940" t="n"/>
      <c r="AA40" s="940" t="n"/>
      <c r="AB40" s="940" t="n"/>
      <c r="AC40" s="940" t="n"/>
      <c r="AD40" s="383" t="n"/>
      <c r="AE40" s="383" t="n"/>
      <c r="AF40" s="383" t="n"/>
      <c r="AG40" s="383" t="n"/>
      <c r="AH40" s="383" t="n"/>
      <c r="AI40" s="383" t="n"/>
      <c r="AJ40" s="383" t="n"/>
      <c r="AK40" s="383" t="n"/>
      <c r="AL40" s="383" t="n"/>
      <c r="AM40" s="383" t="n"/>
      <c r="AN40" s="383" t="n"/>
      <c r="AO40" s="383" t="n"/>
      <c r="AP40" s="383" t="n"/>
      <c r="AQ40" s="383" t="n"/>
      <c r="AR40" s="383" t="n"/>
      <c r="AS40" s="383" t="n"/>
      <c r="AT40" s="383" t="n"/>
      <c r="AU40" s="383" t="n"/>
      <c r="AV40" s="383" t="n"/>
      <c r="AW40" s="383" t="n"/>
      <c r="AX40" s="383" t="n"/>
      <c r="AY40" s="383" t="n"/>
      <c r="AZ40" s="383" t="n"/>
      <c r="BA40" s="383" t="n"/>
      <c r="BB40" s="383" t="n"/>
      <c r="BC40" s="383" t="n"/>
      <c r="BD40" s="383" t="n"/>
      <c r="BE40" s="383" t="n"/>
      <c r="BF40" s="383" t="n"/>
      <c r="BG40" s="383" t="n"/>
      <c r="BH40" s="383" t="n"/>
      <c r="BI40" s="383" t="n"/>
      <c r="BJ40" s="383" t="n"/>
      <c r="BK40" s="383" t="n"/>
      <c r="BL40" s="383" t="n"/>
      <c r="BM40" s="383" t="n"/>
      <c r="BN40" s="383" t="n"/>
      <c r="BO40" s="383" t="n"/>
      <c r="BP40" s="383" t="n"/>
      <c r="BQ40" s="383" t="n"/>
      <c r="BR40" s="383" t="n"/>
      <c r="BS40" s="383" t="n"/>
      <c r="BT40" s="383" t="n"/>
      <c r="BU40" s="383" t="n"/>
      <c r="BV40" s="383" t="n"/>
      <c r="BW40" s="383" t="n"/>
      <c r="BX40" s="383" t="n"/>
      <c r="BY40" s="383" t="n"/>
      <c r="BZ40" s="383" t="n"/>
      <c r="CA40" s="383" t="n"/>
      <c r="CB40" s="383" t="n"/>
      <c r="CC40" s="383" t="n"/>
      <c r="CD40" s="383" t="n"/>
      <c r="CE40" s="383" t="n"/>
      <c r="CF40" s="383" t="n"/>
      <c r="CG40" s="383" t="n"/>
      <c r="CH40" s="383" t="n"/>
      <c r="CI40" s="383" t="n"/>
      <c r="CJ40" s="383" t="n"/>
      <c r="CK40" s="383" t="n"/>
      <c r="CL40" s="383" t="n"/>
      <c r="CM40" s="383" t="n"/>
      <c r="CN40" s="383" t="n"/>
      <c r="CO40" s="383" t="n"/>
      <c r="CP40" s="383" t="n"/>
      <c r="CQ40" s="383" t="n"/>
      <c r="CR40" s="383" t="n"/>
      <c r="CS40" s="383" t="n"/>
      <c r="CT40" s="383" t="n"/>
      <c r="CU40" s="383" t="n"/>
      <c r="CV40" s="383" t="n"/>
    </row>
    <row r="41" ht="18.75" customHeight="1">
      <c r="A41" s="59" t="n"/>
      <c r="B41" s="59" t="n"/>
      <c r="C41" s="553" t="inlineStr">
        <is>
          <t>Payroll</t>
        </is>
      </c>
      <c r="D41" s="156">
        <f>'GGC Underwriting'!D35</f>
        <v/>
      </c>
      <c r="E41" s="156">
        <f>'GGC Underwriting'!E35</f>
        <v/>
      </c>
      <c r="F41" s="556">
        <f>'GGC Underwriting'!I35</f>
        <v/>
      </c>
      <c r="G41" s="556">
        <f>F41/100</f>
        <v/>
      </c>
      <c r="H41" s="555">
        <f>F41+(F41*$T$16)</f>
        <v/>
      </c>
      <c r="I41" s="156">
        <f>H41+(H41*$U$16)</f>
        <v/>
      </c>
      <c r="J41" s="156">
        <f>I41+(I41*$V$16)</f>
        <v/>
      </c>
      <c r="K41" s="556">
        <f>J41+(J41*$W$16)</f>
        <v/>
      </c>
      <c r="L41" s="156">
        <f>K41+(K41*$X$16)</f>
        <v/>
      </c>
      <c r="M41" s="156">
        <f>L41+(L41*$Y$16)</f>
        <v/>
      </c>
      <c r="N41" s="556">
        <f>M41+(M41*$Z$16)</f>
        <v/>
      </c>
      <c r="O41" s="556">
        <f>N41+(N41*$Z$16)</f>
        <v/>
      </c>
      <c r="P41" s="556">
        <f>O41+(O41*$Z$16)</f>
        <v/>
      </c>
      <c r="Q41" s="556">
        <f>P41+(P41*$Z$16)</f>
        <v/>
      </c>
      <c r="S41" s="59" t="n"/>
      <c r="T41" s="861" t="n"/>
      <c r="U41" s="861" t="n"/>
      <c r="V41" s="861" t="n"/>
      <c r="W41" s="861" t="n"/>
      <c r="X41" s="861" t="n"/>
      <c r="Y41" s="861" t="n"/>
      <c r="Z41" s="861" t="n"/>
      <c r="AA41" s="861" t="n"/>
      <c r="AB41" s="861" t="n"/>
      <c r="AC41" s="861" t="n"/>
    </row>
    <row r="42" ht="14.25" customHeight="1">
      <c r="A42" s="59" t="n"/>
      <c r="B42" s="59" t="n"/>
      <c r="C42" s="553" t="inlineStr">
        <is>
          <t>Employee Allowance</t>
        </is>
      </c>
      <c r="D42" s="156">
        <f>'GGC Underwriting'!D36</f>
        <v/>
      </c>
      <c r="E42" s="156">
        <f>'GGC Underwriting'!E36</f>
        <v/>
      </c>
      <c r="F42" s="556">
        <f>'GGC Underwriting'!I36</f>
        <v/>
      </c>
      <c r="G42" s="556">
        <f>F42/100</f>
        <v/>
      </c>
      <c r="H42" s="555">
        <f>F42+(F42*$T$16)</f>
        <v/>
      </c>
      <c r="I42" s="156">
        <f>H42+(H42*$U$16)</f>
        <v/>
      </c>
      <c r="J42" s="156">
        <f>I42+(I42*$V$16)</f>
        <v/>
      </c>
      <c r="K42" s="556">
        <f>J42+(J42*$W$16)</f>
        <v/>
      </c>
      <c r="L42" s="156">
        <f>K42+(K42*$X$16)</f>
        <v/>
      </c>
      <c r="M42" s="156">
        <f>L42+(L42*$Y$16)</f>
        <v/>
      </c>
      <c r="N42" s="556">
        <f>M42+(M42*$Z$16)</f>
        <v/>
      </c>
      <c r="O42" s="556">
        <f>N42+(N42*$Z$16)</f>
        <v/>
      </c>
      <c r="P42" s="556">
        <f>O42+(O42*$Z$16)</f>
        <v/>
      </c>
      <c r="Q42" s="556">
        <f>P42+(P42*$Z$16)</f>
        <v/>
      </c>
      <c r="S42" s="59" t="n"/>
      <c r="T42" s="861" t="n"/>
      <c r="U42" s="861" t="n"/>
      <c r="V42" s="861" t="n"/>
      <c r="W42" s="861" t="n"/>
      <c r="X42" s="861" t="n"/>
      <c r="Y42" s="861" t="n"/>
      <c r="Z42" s="861" t="n"/>
      <c r="AA42" s="861" t="n"/>
      <c r="AB42" s="861" t="n"/>
      <c r="AC42" s="861" t="n"/>
    </row>
    <row r="43" ht="18.75" customHeight="1">
      <c r="A43" s="59" t="n"/>
      <c r="B43" s="59" t="n"/>
      <c r="C43" s="553" t="inlineStr">
        <is>
          <t>General and Administrative</t>
        </is>
      </c>
      <c r="D43" s="156">
        <f>'GGC Underwriting'!D37</f>
        <v/>
      </c>
      <c r="E43" s="156">
        <f>'GGC Underwriting'!E37</f>
        <v/>
      </c>
      <c r="F43" s="556">
        <f>'GGC Underwriting'!I37</f>
        <v/>
      </c>
      <c r="G43" s="556">
        <f>F43/100</f>
        <v/>
      </c>
      <c r="H43" s="555">
        <f>F43+(F43*$T$16)</f>
        <v/>
      </c>
      <c r="I43" s="156">
        <f>H43+(H43*$U$16)</f>
        <v/>
      </c>
      <c r="J43" s="156">
        <f>I43+(I43*$V$16)</f>
        <v/>
      </c>
      <c r="K43" s="556">
        <f>J43+(J43*$W$16)</f>
        <v/>
      </c>
      <c r="L43" s="156">
        <f>K43+(K43*$X$16)</f>
        <v/>
      </c>
      <c r="M43" s="156">
        <f>L43+(L43*$Y$16)</f>
        <v/>
      </c>
      <c r="N43" s="556">
        <f>M43+(M43*$Z$16)</f>
        <v/>
      </c>
      <c r="O43" s="556">
        <f>N43+(N43*$Z$16)</f>
        <v/>
      </c>
      <c r="P43" s="556">
        <f>O43+(O43*$Z$16)</f>
        <v/>
      </c>
      <c r="Q43" s="556">
        <f>P43+(P43*$Z$16)</f>
        <v/>
      </c>
      <c r="S43" s="59" t="n"/>
      <c r="T43" s="861" t="n"/>
      <c r="U43" s="861" t="n"/>
      <c r="V43" s="861" t="n"/>
      <c r="W43" s="861" t="n"/>
      <c r="X43" s="861" t="n"/>
      <c r="Y43" s="861" t="n"/>
      <c r="Z43" s="861" t="n"/>
      <c r="AA43" s="861" t="n"/>
      <c r="AB43" s="861" t="n"/>
      <c r="AC43" s="861" t="n"/>
    </row>
    <row r="44" ht="14.25" customHeight="1">
      <c r="A44" s="59" t="n"/>
      <c r="B44" s="59" t="n"/>
      <c r="C44" s="553" t="inlineStr">
        <is>
          <t>Model Units</t>
        </is>
      </c>
      <c r="D44" s="156">
        <f>'GGC Underwriting'!D38</f>
        <v/>
      </c>
      <c r="E44" s="156">
        <f>'GGC Underwriting'!E38</f>
        <v/>
      </c>
      <c r="F44" s="556">
        <f>'GGC Underwriting'!I38</f>
        <v/>
      </c>
      <c r="G44" s="556">
        <f>F44/100</f>
        <v/>
      </c>
      <c r="H44" s="555">
        <f>F44+(F44*$T$16)</f>
        <v/>
      </c>
      <c r="I44" s="156">
        <f>H44+(H44*$U$16)</f>
        <v/>
      </c>
      <c r="J44" s="156">
        <f>I44+(I44*$V$16)</f>
        <v/>
      </c>
      <c r="K44" s="556">
        <f>J44+(J44*$W$16)</f>
        <v/>
      </c>
      <c r="L44" s="156">
        <f>K44+(K44*$X$16)</f>
        <v/>
      </c>
      <c r="M44" s="156">
        <f>L44+(L44*$Y$16)</f>
        <v/>
      </c>
      <c r="N44" s="556">
        <f>M44+(M44*$Z$16)</f>
        <v/>
      </c>
      <c r="O44" s="556">
        <f>N44+(N44*$Z$16)</f>
        <v/>
      </c>
      <c r="P44" s="556">
        <f>O44+(O44*$Z$16)</f>
        <v/>
      </c>
      <c r="Q44" s="556">
        <f>P44+(P44*$Z$16)</f>
        <v/>
      </c>
      <c r="S44" s="59" t="n"/>
      <c r="T44" s="861" t="n"/>
      <c r="U44" s="861" t="n"/>
      <c r="V44" s="861" t="n"/>
      <c r="W44" s="861" t="n"/>
      <c r="X44" s="861" t="n"/>
      <c r="Y44" s="861" t="n"/>
      <c r="Z44" s="861" t="n"/>
      <c r="AA44" s="861" t="n"/>
      <c r="AB44" s="861" t="n"/>
      <c r="AC44" s="861" t="n"/>
    </row>
    <row r="45" ht="18.75" customHeight="1">
      <c r="A45" s="59" t="n"/>
      <c r="B45" s="59" t="n"/>
      <c r="C45" s="553" t="inlineStr">
        <is>
          <t>Professional Fees</t>
        </is>
      </c>
      <c r="D45" s="156">
        <f>'GGC Underwriting'!D39</f>
        <v/>
      </c>
      <c r="E45" s="156">
        <f>'GGC Underwriting'!E39</f>
        <v/>
      </c>
      <c r="F45" s="556">
        <f>'GGC Underwriting'!I39</f>
        <v/>
      </c>
      <c r="G45" s="556">
        <f>F45/100</f>
        <v/>
      </c>
      <c r="H45" s="555">
        <f>F45+(F45*$T$16)</f>
        <v/>
      </c>
      <c r="I45" s="156">
        <f>H45+(H45*$U$16)</f>
        <v/>
      </c>
      <c r="J45" s="156">
        <f>I45+(I45*$V$16)</f>
        <v/>
      </c>
      <c r="K45" s="556">
        <f>J45+(J45*$W$16)</f>
        <v/>
      </c>
      <c r="L45" s="156">
        <f>K45+(K45*$X$16)</f>
        <v/>
      </c>
      <c r="M45" s="156">
        <f>L45+(L45*$Y$16)</f>
        <v/>
      </c>
      <c r="N45" s="556">
        <f>M45+(M45*$Z$16)</f>
        <v/>
      </c>
      <c r="O45" s="556">
        <f>N45+(N45*$Z$16)</f>
        <v/>
      </c>
      <c r="P45" s="556">
        <f>O45+(O45*$Z$16)</f>
        <v/>
      </c>
      <c r="Q45" s="556">
        <f>P45+(P45*$Z$16)</f>
        <v/>
      </c>
      <c r="S45" s="59" t="n"/>
      <c r="T45" s="861" t="n"/>
      <c r="U45" s="861" t="n"/>
      <c r="V45" s="861" t="n"/>
      <c r="W45" s="861" t="n"/>
      <c r="X45" s="861" t="n"/>
      <c r="Y45" s="861" t="n"/>
      <c r="Z45" s="861" t="n"/>
      <c r="AA45" s="861" t="n"/>
      <c r="AB45" s="861" t="n"/>
      <c r="AC45" s="861" t="n"/>
    </row>
    <row r="46" ht="14.25" customHeight="1">
      <c r="A46" s="59" t="n"/>
      <c r="B46" s="59" t="n"/>
      <c r="C46" s="553" t="inlineStr">
        <is>
          <t>Advertising</t>
        </is>
      </c>
      <c r="D46" s="156">
        <f>'GGC Underwriting'!D40</f>
        <v/>
      </c>
      <c r="E46" s="156">
        <f>'GGC Underwriting'!E40</f>
        <v/>
      </c>
      <c r="F46" s="556">
        <f>'GGC Underwriting'!I40</f>
        <v/>
      </c>
      <c r="G46" s="556">
        <f>F46/100</f>
        <v/>
      </c>
      <c r="H46" s="555">
        <f>F46+(F46*$T$16)</f>
        <v/>
      </c>
      <c r="I46" s="156">
        <f>H46+(H46*$U$16)</f>
        <v/>
      </c>
      <c r="J46" s="156">
        <f>I46+(I46*$V$16)</f>
        <v/>
      </c>
      <c r="K46" s="556">
        <f>J46+(J46*$W$16)</f>
        <v/>
      </c>
      <c r="L46" s="156">
        <f>K46+(K46*$X$16)</f>
        <v/>
      </c>
      <c r="M46" s="156">
        <f>L46+(L46*$Y$16)</f>
        <v/>
      </c>
      <c r="N46" s="556">
        <f>M46+(M46*$Z$16)</f>
        <v/>
      </c>
      <c r="O46" s="556">
        <f>N46+(N46*$Z$16)</f>
        <v/>
      </c>
      <c r="P46" s="556">
        <f>O46+(O46*$Z$16)</f>
        <v/>
      </c>
      <c r="Q46" s="556">
        <f>P46+(P46*$Z$16)</f>
        <v/>
      </c>
      <c r="S46" s="59" t="n"/>
      <c r="T46" s="861" t="n"/>
      <c r="U46" s="861" t="n"/>
      <c r="V46" s="861" t="n"/>
      <c r="W46" s="861" t="n"/>
      <c r="X46" s="861" t="n"/>
      <c r="Y46" s="861" t="n"/>
      <c r="Z46" s="861" t="n"/>
      <c r="AA46" s="861" t="n"/>
      <c r="AB46" s="861" t="n"/>
      <c r="AC46" s="861" t="n"/>
    </row>
    <row r="47" ht="18.75" customHeight="1">
      <c r="A47" s="59" t="inlineStr">
        <is>
          <t>Home Rent Exp Ratio</t>
        </is>
      </c>
      <c r="B47" s="686" t="n">
        <v>0.1</v>
      </c>
      <c r="C47" s="553" t="inlineStr">
        <is>
          <t>Home Rent Expense (MH)</t>
        </is>
      </c>
      <c r="D47" s="156">
        <f>'GGC Underwriting'!D41</f>
        <v/>
      </c>
      <c r="E47" s="156">
        <f>'GGC Underwriting'!E41</f>
        <v/>
      </c>
      <c r="F47" s="556">
        <f>'GGC Underwriting'!I41</f>
        <v/>
      </c>
      <c r="G47" s="556">
        <f>F47/100</f>
        <v/>
      </c>
      <c r="H47" s="555">
        <f>$B$47*(H20+H21)</f>
        <v/>
      </c>
      <c r="I47" s="156">
        <f>$B$47*(I20+I21)</f>
        <v/>
      </c>
      <c r="J47" s="156">
        <f>$B$47*(J20+J21)</f>
        <v/>
      </c>
      <c r="K47" s="556">
        <f>$B$47*(K20+K21)</f>
        <v/>
      </c>
      <c r="L47" s="156">
        <f>$B$47*(L20+L21)</f>
        <v/>
      </c>
      <c r="M47" s="156">
        <f>$B$47*(M20+M21)</f>
        <v/>
      </c>
      <c r="N47" s="556">
        <f>$B$47*(N20+N21)</f>
        <v/>
      </c>
      <c r="O47" s="556">
        <f>$B$47*(O20+O21)</f>
        <v/>
      </c>
      <c r="P47" s="556">
        <f>$B$47*(P20+P21)</f>
        <v/>
      </c>
      <c r="Q47" s="556">
        <f>$B$47*(Q20+Q21)</f>
        <v/>
      </c>
      <c r="S47" s="59" t="n"/>
      <c r="T47" s="861" t="n"/>
      <c r="U47" s="861" t="n"/>
      <c r="V47" s="861" t="n"/>
      <c r="W47" s="861" t="n"/>
      <c r="X47" s="861" t="n"/>
      <c r="Y47" s="861" t="n"/>
      <c r="Z47" s="861" t="n"/>
      <c r="AA47" s="861" t="n"/>
      <c r="AB47" s="861" t="n"/>
      <c r="AC47" s="861" t="n"/>
    </row>
    <row r="48" ht="14.25" customHeight="1">
      <c r="A48" s="59" t="n"/>
      <c r="B48" s="59" t="n"/>
      <c r="C48" s="553" t="inlineStr">
        <is>
          <t>Other Expenses</t>
        </is>
      </c>
      <c r="D48" s="156">
        <f>'GGC Underwriting'!D42</f>
        <v/>
      </c>
      <c r="E48" s="156">
        <f>'GGC Underwriting'!E42</f>
        <v/>
      </c>
      <c r="F48" s="556">
        <f>'GGC Underwriting'!I42</f>
        <v/>
      </c>
      <c r="G48" s="556">
        <f>F48/100</f>
        <v/>
      </c>
      <c r="H48" s="555">
        <f>F48+(F48*$T$16)</f>
        <v/>
      </c>
      <c r="I48" s="156">
        <f>H48+(H48*$U$16)</f>
        <v/>
      </c>
      <c r="J48" s="156">
        <f>I48+(I48*$V$16)</f>
        <v/>
      </c>
      <c r="K48" s="556">
        <f>J48+(J48*$W$16)</f>
        <v/>
      </c>
      <c r="L48" s="156">
        <f>K48+(K48*$X$16)</f>
        <v/>
      </c>
      <c r="M48" s="156">
        <f>L48+(L48*$Y$16)</f>
        <v/>
      </c>
      <c r="N48" s="556">
        <f>M48+(M48*$Z$16)</f>
        <v/>
      </c>
      <c r="O48" s="556">
        <f>N48+(N48*$Z$16)</f>
        <v/>
      </c>
      <c r="P48" s="556">
        <f>O48+(O48*$Z$16)</f>
        <v/>
      </c>
      <c r="Q48" s="556">
        <f>P48+(P48*$Z$16)</f>
        <v/>
      </c>
      <c r="S48" s="59" t="n"/>
      <c r="T48" s="861" t="n"/>
      <c r="U48" s="861" t="n"/>
      <c r="V48" s="861" t="n"/>
      <c r="W48" s="861" t="n"/>
      <c r="X48" s="861" t="n"/>
      <c r="Y48" s="861" t="n"/>
      <c r="Z48" s="861" t="n"/>
      <c r="AA48" s="861" t="n"/>
      <c r="AB48" s="861" t="n"/>
      <c r="AC48" s="861" t="n"/>
    </row>
    <row r="49" ht="18.75" customHeight="1">
      <c r="A49" s="59" t="n"/>
      <c r="B49" s="59" t="n"/>
      <c r="C49" s="553" t="inlineStr">
        <is>
          <t>Cap-Ex Reserve</t>
        </is>
      </c>
      <c r="D49" s="156">
        <f>'GGC Underwriting'!D43</f>
        <v/>
      </c>
      <c r="E49" s="156">
        <f>'GGC Underwriting'!E43</f>
        <v/>
      </c>
      <c r="F49" s="556">
        <f>'GGC Underwriting'!I43</f>
        <v/>
      </c>
      <c r="G49" s="556">
        <f>F49/100</f>
        <v/>
      </c>
      <c r="H49" s="555">
        <f>F49+(F49*$T$16)</f>
        <v/>
      </c>
      <c r="I49" s="156">
        <f>H49+(H49*$U$16)</f>
        <v/>
      </c>
      <c r="J49" s="156">
        <f>I49+(I49*$V$16)</f>
        <v/>
      </c>
      <c r="K49" s="556">
        <f>J49+(J49*$W$16)</f>
        <v/>
      </c>
      <c r="L49" s="156">
        <f>K49+(K49*$X$16)</f>
        <v/>
      </c>
      <c r="M49" s="156">
        <f>L49+(L49*$Y$16)</f>
        <v/>
      </c>
      <c r="N49" s="556">
        <f>M49+(M49*$Z$16)</f>
        <v/>
      </c>
      <c r="O49" s="556">
        <f>N49+(N49*$Z$16)</f>
        <v/>
      </c>
      <c r="P49" s="556">
        <f>O49+(O49*$Z$16)</f>
        <v/>
      </c>
      <c r="Q49" s="556">
        <f>P49+(P49*$Z$16)</f>
        <v/>
      </c>
      <c r="S49" s="59" t="n"/>
      <c r="T49" s="861" t="n"/>
      <c r="U49" s="861" t="n"/>
      <c r="V49" s="861" t="n"/>
      <c r="W49" s="861" t="n"/>
      <c r="X49" s="861" t="n"/>
      <c r="Y49" s="861" t="n"/>
      <c r="Z49" s="861" t="n"/>
      <c r="AA49" s="861" t="n"/>
      <c r="AB49" s="861" t="n"/>
      <c r="AC49" s="861" t="n"/>
    </row>
    <row r="50" ht="22.5" customHeight="1" thickBot="1">
      <c r="A50" s="59" t="n"/>
      <c r="B50" s="59" t="n"/>
      <c r="C50" s="603" t="inlineStr">
        <is>
          <t>Total Expenses</t>
        </is>
      </c>
      <c r="D50" s="162">
        <f>D28+D29+D35+D36+D37+D38+D39+D41+D42+D43+D44+D45+D46+D47+D48+D49</f>
        <v/>
      </c>
      <c r="E50" s="162">
        <f>E28+E29+E35+E36+E37+E38+E39+E41+E42+E43+E44+E45+E46+E47+E48+E49</f>
        <v/>
      </c>
      <c r="F50" s="604">
        <f>F28+F29+F35+F36+F37+F38+F39+F41+F42+F43+F44+F45+F46+F47+F48+F49</f>
        <v/>
      </c>
      <c r="G50" s="604">
        <f>F50/100</f>
        <v/>
      </c>
      <c r="H50" s="605">
        <f>H28+H29+H35+H36+H37+H38+H39+H41+H42+H43+H44+H45+H46+H47+H48+H49</f>
        <v/>
      </c>
      <c r="I50" s="162">
        <f>I28+I29+I35+I36+I37+I38+I39+I41+I42+I43+I44+I45+I46+I47+I48+I49</f>
        <v/>
      </c>
      <c r="J50" s="162">
        <f>J28+J29+J35+J36+J37+J38+J39+J41+J42+J43+J44+J45+J46+J47+J48+J49</f>
        <v/>
      </c>
      <c r="K50" s="604">
        <f>K28+K29+K35+K36+K37+K38+K39+K41+K42+K43+K44+K45+K46+K47+K48+K49</f>
        <v/>
      </c>
      <c r="L50" s="162">
        <f>L28+L29+L35+L36+L37+L38+L39+L41+L42+L43+L44+L45+L46+L47+L48+L49</f>
        <v/>
      </c>
      <c r="M50" s="162">
        <f>M28+M29+M35+M36+M37+M38+M39+M41+M42+M43+M44+M45+M46+M47+M48+M49</f>
        <v/>
      </c>
      <c r="N50" s="604">
        <f>N28+N29+N35+N36+N37+N38+N39+N41+N42+N43+N44+N45+N46+N47+N48+N49</f>
        <v/>
      </c>
      <c r="O50" s="604">
        <f>O28+O29+O35+O36+O37+O38+O39+O41+O42+O43+O44+O45+O46+O47+O48+O49</f>
        <v/>
      </c>
      <c r="P50" s="604">
        <f>P28+P29+P35+P36+P37+P38+P39+P41+P42+P43+P44+P45+P46+P47+P48+P49</f>
        <v/>
      </c>
      <c r="Q50" s="604">
        <f>Q28+Q29+Q35+Q36+Q37+Q38+Q39+Q41+Q42+Q43+Q44+Q45+Q46+Q47+Q48+Q49</f>
        <v/>
      </c>
      <c r="S50" s="59" t="n"/>
      <c r="T50" s="861" t="n"/>
      <c r="U50" s="861" t="n"/>
      <c r="V50" s="861" t="n"/>
      <c r="W50" s="861" t="n"/>
      <c r="X50" s="861" t="n"/>
      <c r="Y50" s="861" t="n"/>
      <c r="Z50" s="861" t="n"/>
      <c r="AA50" s="861" t="n"/>
      <c r="AB50" s="861" t="n"/>
      <c r="AC50" s="861" t="n"/>
    </row>
    <row r="51" ht="15" customFormat="1" customHeight="1" s="506">
      <c r="A51" s="383" t="n"/>
      <c r="B51" s="383" t="n"/>
      <c r="C51" s="638" t="inlineStr">
        <is>
          <t>Expense Ratio %</t>
        </is>
      </c>
      <c r="D51" s="783">
        <f>D50/D$25</f>
        <v/>
      </c>
      <c r="E51" s="783">
        <f>E50/E25</f>
        <v/>
      </c>
      <c r="F51" s="783">
        <f>F50/F25</f>
        <v/>
      </c>
      <c r="G51" s="784">
        <f>G50/G25</f>
        <v/>
      </c>
      <c r="H51" s="783">
        <f>H50/H25</f>
        <v/>
      </c>
      <c r="I51" s="783">
        <f>I50/I25</f>
        <v/>
      </c>
      <c r="J51" s="783">
        <f>J50/J25</f>
        <v/>
      </c>
      <c r="K51" s="785">
        <f>K50/K25</f>
        <v/>
      </c>
      <c r="L51" s="783">
        <f>L50/L25</f>
        <v/>
      </c>
      <c r="M51" s="783">
        <f>M50/M25</f>
        <v/>
      </c>
      <c r="N51" s="785">
        <f>N50/N25</f>
        <v/>
      </c>
      <c r="O51" s="785">
        <f>O50/O25</f>
        <v/>
      </c>
      <c r="P51" s="785">
        <f>P50/P25</f>
        <v/>
      </c>
      <c r="Q51" s="785">
        <f>Q50/Q25</f>
        <v/>
      </c>
      <c r="R51" s="383" t="n"/>
      <c r="S51" s="383" t="n"/>
      <c r="T51" s="940" t="n"/>
      <c r="U51" s="940" t="n"/>
      <c r="V51" s="940" t="n"/>
      <c r="W51" s="940" t="n"/>
      <c r="X51" s="940" t="n"/>
      <c r="Y51" s="940" t="n"/>
      <c r="Z51" s="940" t="n"/>
      <c r="AA51" s="940" t="n"/>
      <c r="AB51" s="940" t="n"/>
      <c r="AC51" s="940" t="n"/>
      <c r="AD51" s="383" t="n"/>
      <c r="AE51" s="383" t="n"/>
      <c r="AF51" s="383" t="n"/>
      <c r="AG51" s="383" t="n"/>
      <c r="AH51" s="383" t="n"/>
      <c r="AI51" s="383" t="n"/>
      <c r="AJ51" s="383" t="n"/>
      <c r="AK51" s="383" t="n"/>
      <c r="AL51" s="383" t="n"/>
      <c r="AM51" s="383" t="n"/>
      <c r="AN51" s="383" t="n"/>
      <c r="AO51" s="383" t="n"/>
      <c r="AP51" s="383" t="n"/>
      <c r="AQ51" s="383" t="n"/>
      <c r="AR51" s="383" t="n"/>
      <c r="AS51" s="383" t="n"/>
      <c r="AT51" s="383" t="n"/>
      <c r="AU51" s="383" t="n"/>
      <c r="AV51" s="383" t="n"/>
      <c r="AW51" s="383" t="n"/>
      <c r="AX51" s="383" t="n"/>
      <c r="AY51" s="383" t="n"/>
      <c r="AZ51" s="383" t="n"/>
      <c r="BA51" s="383" t="n"/>
      <c r="BB51" s="383" t="n"/>
      <c r="BC51" s="383" t="n"/>
      <c r="BD51" s="383" t="n"/>
      <c r="BE51" s="383" t="n"/>
      <c r="BF51" s="383" t="n"/>
      <c r="BG51" s="383" t="n"/>
      <c r="BH51" s="383" t="n"/>
      <c r="BI51" s="383" t="n"/>
      <c r="BJ51" s="383" t="n"/>
      <c r="BK51" s="383" t="n"/>
      <c r="BL51" s="383" t="n"/>
      <c r="BM51" s="383" t="n"/>
      <c r="BN51" s="383" t="n"/>
      <c r="BO51" s="383" t="n"/>
      <c r="BP51" s="383" t="n"/>
      <c r="BQ51" s="383" t="n"/>
      <c r="BR51" s="383" t="n"/>
      <c r="BS51" s="383" t="n"/>
      <c r="BT51" s="383" t="n"/>
      <c r="BU51" s="383" t="n"/>
      <c r="BV51" s="383" t="n"/>
      <c r="BW51" s="383" t="n"/>
      <c r="BX51" s="383" t="n"/>
      <c r="BY51" s="383" t="n"/>
      <c r="BZ51" s="383" t="n"/>
      <c r="CA51" s="383" t="n"/>
      <c r="CB51" s="383" t="n"/>
      <c r="CC51" s="383" t="n"/>
      <c r="CD51" s="383" t="n"/>
      <c r="CE51" s="383" t="n"/>
      <c r="CF51" s="383" t="n"/>
      <c r="CG51" s="383" t="n"/>
      <c r="CH51" s="383" t="n"/>
      <c r="CI51" s="383" t="n"/>
      <c r="CJ51" s="383" t="n"/>
      <c r="CK51" s="383" t="n"/>
      <c r="CL51" s="383" t="n"/>
      <c r="CM51" s="383" t="n"/>
      <c r="CN51" s="383" t="n"/>
      <c r="CO51" s="383" t="n"/>
      <c r="CP51" s="383" t="n"/>
      <c r="CQ51" s="383" t="n"/>
      <c r="CR51" s="383" t="n"/>
      <c r="CS51" s="383" t="n"/>
      <c r="CT51" s="383" t="n"/>
      <c r="CU51" s="383" t="n"/>
      <c r="CV51" s="383" t="n"/>
    </row>
    <row r="52" ht="6.75" customHeight="1">
      <c r="A52" s="59" t="n"/>
      <c r="B52" s="59" t="n"/>
      <c r="C52" s="553" t="n"/>
      <c r="D52" s="208" t="n"/>
      <c r="E52" s="208" t="n"/>
      <c r="F52" s="208" t="n"/>
      <c r="G52" s="606" t="n"/>
      <c r="H52" s="208" t="n"/>
      <c r="I52" s="208" t="n"/>
      <c r="J52" s="208" t="n"/>
      <c r="K52" s="607" t="n"/>
      <c r="L52" s="59" t="n"/>
      <c r="M52" s="59" t="n"/>
      <c r="N52" s="551" t="n"/>
      <c r="O52" s="551" t="n"/>
      <c r="P52" s="551" t="n"/>
      <c r="Q52" s="551" t="n"/>
      <c r="S52" s="59" t="n"/>
      <c r="T52" s="861" t="n"/>
      <c r="U52" s="861" t="n"/>
      <c r="V52" s="861" t="n"/>
      <c r="W52" s="861" t="n"/>
      <c r="X52" s="861" t="n"/>
      <c r="Y52" s="861" t="n"/>
      <c r="Z52" s="861" t="n"/>
      <c r="AA52" s="861" t="n"/>
      <c r="AB52" s="861" t="n"/>
      <c r="AC52" s="861" t="n"/>
    </row>
    <row r="53" ht="14.25" customHeight="1">
      <c r="A53" s="59" t="n"/>
      <c r="B53" s="59" t="n"/>
      <c r="C53" s="646" t="inlineStr">
        <is>
          <t>Total Net Operating Income</t>
        </is>
      </c>
      <c r="D53" s="647">
        <f>D25-D50</f>
        <v/>
      </c>
      <c r="E53" s="647">
        <f>E25-E50</f>
        <v/>
      </c>
      <c r="F53" s="647">
        <f>F25-F50</f>
        <v/>
      </c>
      <c r="G53" s="648">
        <f>F53/'GGC Underwriting'!$N$7</f>
        <v/>
      </c>
      <c r="H53" s="647">
        <f>H25-H50</f>
        <v/>
      </c>
      <c r="I53" s="647">
        <f>I25-I50</f>
        <v/>
      </c>
      <c r="J53" s="647">
        <f>J25-J50</f>
        <v/>
      </c>
      <c r="K53" s="649">
        <f>K25-K50</f>
        <v/>
      </c>
      <c r="L53" s="647">
        <f>L25-L50</f>
        <v/>
      </c>
      <c r="M53" s="647">
        <f>M25-M50</f>
        <v/>
      </c>
      <c r="N53" s="649">
        <f>N25-N50</f>
        <v/>
      </c>
      <c r="O53" s="649">
        <f>O25-O50</f>
        <v/>
      </c>
      <c r="P53" s="649">
        <f>P25-P50</f>
        <v/>
      </c>
      <c r="Q53" s="649">
        <f>Q25-Q50</f>
        <v/>
      </c>
      <c r="S53" s="59" t="n"/>
      <c r="T53" s="861" t="n"/>
      <c r="U53" s="861" t="n"/>
      <c r="V53" s="861" t="n"/>
      <c r="W53" s="861" t="n"/>
      <c r="X53" s="861" t="n"/>
      <c r="Y53" s="861" t="n"/>
      <c r="Z53" s="861" t="n"/>
      <c r="AA53" s="861" t="n"/>
      <c r="AB53" s="861" t="n"/>
      <c r="AC53" s="861" t="n"/>
    </row>
    <row r="54" ht="15" customFormat="1" customHeight="1" s="506">
      <c r="A54" s="383" t="n"/>
      <c r="B54" s="383" t="n"/>
      <c r="C54" s="642" t="inlineStr">
        <is>
          <t>NOI Margin</t>
        </is>
      </c>
      <c r="D54" s="786">
        <f>D53/D$25</f>
        <v/>
      </c>
      <c r="E54" s="786">
        <f>E53/E$25</f>
        <v/>
      </c>
      <c r="F54" s="786">
        <f>F53/F$25</f>
        <v/>
      </c>
      <c r="G54" s="787">
        <f>G53/G$25</f>
        <v/>
      </c>
      <c r="H54" s="786">
        <f>H53/H$25</f>
        <v/>
      </c>
      <c r="I54" s="786">
        <f>I53/I$25</f>
        <v/>
      </c>
      <c r="J54" s="786">
        <f>J53/J$25</f>
        <v/>
      </c>
      <c r="K54" s="788">
        <f>K53/K$25</f>
        <v/>
      </c>
      <c r="L54" s="786">
        <f>L53/L$25</f>
        <v/>
      </c>
      <c r="M54" s="786">
        <f>M53/M$25</f>
        <v/>
      </c>
      <c r="N54" s="788">
        <f>N53/N$25</f>
        <v/>
      </c>
      <c r="O54" s="788">
        <f>O53/O$25</f>
        <v/>
      </c>
      <c r="P54" s="788">
        <f>P53/P$25</f>
        <v/>
      </c>
      <c r="Q54" s="788">
        <f>Q53/Q$25</f>
        <v/>
      </c>
      <c r="R54" s="383" t="n"/>
      <c r="S54" s="383" t="n"/>
      <c r="T54" s="940" t="n"/>
      <c r="U54" s="940" t="n"/>
      <c r="V54" s="940" t="n"/>
      <c r="W54" s="940" t="n"/>
      <c r="X54" s="940" t="n"/>
      <c r="Y54" s="940" t="n"/>
      <c r="Z54" s="940" t="n"/>
      <c r="AA54" s="940" t="n"/>
      <c r="AB54" s="940" t="n"/>
      <c r="AC54" s="940" t="n"/>
      <c r="AD54" s="383" t="n"/>
      <c r="AE54" s="383" t="n"/>
      <c r="AF54" s="383" t="n"/>
      <c r="AG54" s="383" t="n"/>
      <c r="AH54" s="383" t="n"/>
      <c r="AI54" s="383" t="n"/>
      <c r="AJ54" s="383" t="n"/>
      <c r="AK54" s="383" t="n"/>
      <c r="AL54" s="383" t="n"/>
      <c r="AM54" s="383" t="n"/>
      <c r="AN54" s="383" t="n"/>
      <c r="AO54" s="383" t="n"/>
      <c r="AP54" s="383" t="n"/>
      <c r="AQ54" s="383" t="n"/>
      <c r="AR54" s="383" t="n"/>
      <c r="AS54" s="383" t="n"/>
      <c r="AT54" s="383" t="n"/>
      <c r="AU54" s="383" t="n"/>
      <c r="AV54" s="383" t="n"/>
      <c r="AW54" s="383" t="n"/>
      <c r="AX54" s="383" t="n"/>
      <c r="AY54" s="383" t="n"/>
      <c r="AZ54" s="383" t="n"/>
      <c r="BA54" s="383" t="n"/>
      <c r="BB54" s="383" t="n"/>
      <c r="BC54" s="383" t="n"/>
      <c r="BD54" s="383" t="n"/>
      <c r="BE54" s="383" t="n"/>
      <c r="BF54" s="383" t="n"/>
      <c r="BG54" s="383" t="n"/>
      <c r="BH54" s="383" t="n"/>
      <c r="BI54" s="383" t="n"/>
      <c r="BJ54" s="383" t="n"/>
      <c r="BK54" s="383" t="n"/>
      <c r="BL54" s="383" t="n"/>
      <c r="BM54" s="383" t="n"/>
      <c r="BN54" s="383" t="n"/>
      <c r="BO54" s="383" t="n"/>
      <c r="BP54" s="383" t="n"/>
      <c r="BQ54" s="383" t="n"/>
      <c r="BR54" s="383" t="n"/>
      <c r="BS54" s="383" t="n"/>
      <c r="BT54" s="383" t="n"/>
      <c r="BU54" s="383" t="n"/>
      <c r="BV54" s="383" t="n"/>
      <c r="BW54" s="383" t="n"/>
      <c r="BX54" s="383" t="n"/>
      <c r="BY54" s="383" t="n"/>
      <c r="BZ54" s="383" t="n"/>
      <c r="CA54" s="383" t="n"/>
      <c r="CB54" s="383" t="n"/>
      <c r="CC54" s="383" t="n"/>
      <c r="CD54" s="383" t="n"/>
      <c r="CE54" s="383" t="n"/>
      <c r="CF54" s="383" t="n"/>
      <c r="CG54" s="383" t="n"/>
      <c r="CH54" s="383" t="n"/>
      <c r="CI54" s="383" t="n"/>
      <c r="CJ54" s="383" t="n"/>
      <c r="CK54" s="383" t="n"/>
      <c r="CL54" s="383" t="n"/>
      <c r="CM54" s="383" t="n"/>
      <c r="CN54" s="383" t="n"/>
      <c r="CO54" s="383" t="n"/>
      <c r="CP54" s="383" t="n"/>
      <c r="CQ54" s="383" t="n"/>
      <c r="CR54" s="383" t="n"/>
      <c r="CS54" s="383" t="n"/>
      <c r="CT54" s="383" t="n"/>
      <c r="CU54" s="383" t="n"/>
      <c r="CV54" s="383" t="n"/>
    </row>
    <row r="55" ht="9.75" customFormat="1" customHeight="1" s="59">
      <c r="G55" s="208" t="n"/>
      <c r="T55" s="861" t="n"/>
      <c r="U55" s="861" t="n"/>
      <c r="V55" s="861" t="n"/>
      <c r="W55" s="861" t="n"/>
      <c r="X55" s="861" t="n"/>
      <c r="Y55" s="861" t="n"/>
      <c r="Z55" s="861" t="n"/>
      <c r="AA55" s="861" t="n"/>
      <c r="AB55" s="861" t="n"/>
      <c r="AC55" s="861" t="n"/>
    </row>
    <row r="56" customFormat="1" s="59">
      <c r="C56" s="654" t="inlineStr">
        <is>
          <t>Lot Rent NOI Only</t>
        </is>
      </c>
      <c r="D56" s="655" t="n"/>
      <c r="E56" s="655" t="n"/>
      <c r="F56" s="655" t="n"/>
      <c r="G56" s="656" t="n"/>
      <c r="H56" s="657">
        <f>H53-H57</f>
        <v/>
      </c>
      <c r="I56" s="657">
        <f>I53-I57</f>
        <v/>
      </c>
      <c r="J56" s="657">
        <f>J53-J57</f>
        <v/>
      </c>
      <c r="K56" s="657">
        <f>K53-K57</f>
        <v/>
      </c>
      <c r="L56" s="657">
        <f>L53-L57</f>
        <v/>
      </c>
      <c r="M56" s="657">
        <f>M53-M57</f>
        <v/>
      </c>
      <c r="N56" s="657">
        <f>N53-N57</f>
        <v/>
      </c>
      <c r="O56" s="657">
        <f>O53-O57</f>
        <v/>
      </c>
      <c r="P56" s="657">
        <f>P53-P57</f>
        <v/>
      </c>
      <c r="Q56" s="658">
        <f>Q53-Q57</f>
        <v/>
      </c>
      <c r="T56" s="861" t="n"/>
      <c r="U56" s="861" t="n"/>
      <c r="V56" s="861" t="n"/>
      <c r="W56" s="861" t="n"/>
      <c r="X56" s="861" t="n"/>
      <c r="Y56" s="861" t="n"/>
      <c r="Z56" s="861" t="n"/>
      <c r="AA56" s="861" t="n"/>
      <c r="AB56" s="861" t="n"/>
      <c r="AC56" s="861" t="n"/>
    </row>
    <row r="57" ht="21.75" customFormat="1" customHeight="1" s="59">
      <c r="C57" s="59" t="inlineStr">
        <is>
          <t>Home Rent NOI</t>
        </is>
      </c>
      <c r="F57" s="608" t="n"/>
      <c r="G57" s="208" t="n"/>
      <c r="H57" s="609">
        <f>(H20+H21)-H47</f>
        <v/>
      </c>
      <c r="I57" s="609">
        <f>(I20+I21)-I47</f>
        <v/>
      </c>
      <c r="J57" s="609">
        <f>(J20+J21)-J47</f>
        <v/>
      </c>
      <c r="K57" s="609">
        <f>(K20+K21)-K47</f>
        <v/>
      </c>
      <c r="L57" s="609">
        <f>(L20+L21)-L47</f>
        <v/>
      </c>
      <c r="M57" s="609">
        <f>(M20+M21)-M47</f>
        <v/>
      </c>
      <c r="N57" s="609">
        <f>(N20+N21)-N47</f>
        <v/>
      </c>
      <c r="O57" s="609">
        <f>(O20+O21)-O47</f>
        <v/>
      </c>
      <c r="P57" s="609">
        <f>(P20+P21)-P47</f>
        <v/>
      </c>
      <c r="Q57" s="609">
        <f>(Q20+Q21)-Q47</f>
        <v/>
      </c>
      <c r="T57" s="861" t="n"/>
      <c r="U57" s="861" t="n"/>
      <c r="V57" s="861" t="n"/>
      <c r="W57" s="861" t="n"/>
      <c r="X57" s="861" t="n"/>
      <c r="Y57" s="861" t="n"/>
      <c r="Z57" s="861" t="n"/>
      <c r="AA57" s="861" t="n"/>
      <c r="AB57" s="861" t="n"/>
      <c r="AC57" s="861" t="n"/>
    </row>
    <row r="58" ht="21.75" customFormat="1" customHeight="1" s="59">
      <c r="E58" s="610" t="inlineStr">
        <is>
          <t>Exit Summaries</t>
        </is>
      </c>
      <c r="G58" s="208" t="n"/>
      <c r="H58" s="611" t="n"/>
      <c r="I58" s="611" t="n"/>
      <c r="J58" s="611" t="n"/>
      <c r="K58" s="611" t="n"/>
      <c r="L58" s="611" t="n"/>
      <c r="M58" s="611" t="n"/>
      <c r="N58" s="612" t="n"/>
      <c r="O58" s="612" t="n"/>
      <c r="P58" s="612" t="n"/>
      <c r="Q58" s="612" t="n"/>
      <c r="T58" s="861" t="n"/>
      <c r="U58" s="861" t="n"/>
      <c r="V58" s="861" t="n"/>
      <c r="W58" s="861" t="n"/>
      <c r="X58" s="861" t="n"/>
      <c r="Y58" s="861" t="n"/>
      <c r="Z58" s="861" t="n"/>
      <c r="AA58" s="861" t="n"/>
      <c r="AB58" s="861" t="n"/>
      <c r="AC58" s="861" t="n"/>
    </row>
    <row r="59" customFormat="1" s="59">
      <c r="G59" s="208" t="n"/>
      <c r="N59" s="789" t="n"/>
      <c r="O59" s="789" t="n"/>
      <c r="P59" s="789" t="n"/>
      <c r="Q59" s="789" t="n"/>
      <c r="T59" s="861" t="n"/>
      <c r="U59" s="861" t="n"/>
      <c r="V59" s="861" t="n"/>
      <c r="W59" s="861" t="n"/>
      <c r="X59" s="861" t="n"/>
      <c r="Y59" s="861" t="n"/>
      <c r="Z59" s="861" t="n"/>
      <c r="AA59" s="861" t="n"/>
      <c r="AB59" s="861" t="n"/>
      <c r="AC59" s="861" t="n"/>
    </row>
    <row r="60" customFormat="1" s="59">
      <c r="E60" s="149" t="inlineStr">
        <is>
          <t>10 YEAR</t>
        </is>
      </c>
      <c r="F60" s="614" t="inlineStr">
        <is>
          <t>Debt Service</t>
        </is>
      </c>
      <c r="G60" s="615" t="n"/>
      <c r="H60" s="790">
        <f>-'Loan Scenario (acquisition)'!M10</f>
        <v/>
      </c>
      <c r="I60" s="790">
        <f>-'Loan Scenario (acquisition)'!N10</f>
        <v/>
      </c>
      <c r="J60" s="790">
        <f>-'Loan Scenario (acquisition)'!O10</f>
        <v/>
      </c>
      <c r="K60" s="790">
        <f>-'Loan Scenario (acquisition)'!P10</f>
        <v/>
      </c>
      <c r="L60" s="790">
        <f>-'Loan Scenario (acquisition)'!Q10</f>
        <v/>
      </c>
      <c r="M60" s="790">
        <f>-'Loan Scenario (acquisition)'!R10</f>
        <v/>
      </c>
      <c r="N60" s="790">
        <f>-'Loan Scenario (acquisition)'!S10</f>
        <v/>
      </c>
      <c r="O60" s="790">
        <f>-'Loan Scenario (acquisition)'!T10</f>
        <v/>
      </c>
      <c r="P60" s="790">
        <f>-'Loan Scenario (acquisition)'!U10</f>
        <v/>
      </c>
      <c r="Q60" s="791">
        <f>-'Loan Scenario (acquisition)'!V10</f>
        <v/>
      </c>
      <c r="T60" s="861" t="n"/>
      <c r="U60" s="861" t="n"/>
      <c r="V60" s="861" t="n"/>
      <c r="W60" s="861" t="n"/>
      <c r="X60" s="861" t="n"/>
      <c r="Y60" s="861" t="n"/>
      <c r="Z60" s="861" t="n"/>
      <c r="AA60" s="861" t="n"/>
      <c r="AB60" s="861" t="n"/>
      <c r="AC60" s="861" t="n"/>
    </row>
    <row r="61" customFormat="1" s="59">
      <c r="F61" s="618" t="inlineStr">
        <is>
          <t>Debt Payoff</t>
        </is>
      </c>
      <c r="G61" s="208" t="n"/>
      <c r="H61" s="792" t="n"/>
      <c r="I61" s="792" t="n"/>
      <c r="J61" s="398" t="n"/>
      <c r="K61" s="792" t="n"/>
      <c r="L61" s="792" t="n"/>
      <c r="M61" s="792" t="n"/>
      <c r="N61" s="792" t="n"/>
      <c r="O61" s="792" t="n"/>
      <c r="P61" s="792" t="n"/>
      <c r="Q61" s="793">
        <f>-'Loan Scenario (acquisition)'!J126</f>
        <v/>
      </c>
      <c r="T61" s="861" t="n"/>
      <c r="U61" s="861" t="n"/>
      <c r="V61" s="861" t="n"/>
      <c r="W61" s="861" t="n"/>
      <c r="X61" s="861" t="n"/>
      <c r="Y61" s="861" t="n"/>
      <c r="Z61" s="861" t="n"/>
      <c r="AA61" s="861" t="n"/>
      <c r="AB61" s="861" t="n"/>
      <c r="AC61" s="861" t="n"/>
    </row>
    <row r="62" customFormat="1" s="59">
      <c r="F62" s="618" t="inlineStr">
        <is>
          <t>Refi Cashout</t>
        </is>
      </c>
      <c r="G62" s="208" t="n"/>
      <c r="H62" s="792" t="n"/>
      <c r="I62" s="792" t="n"/>
      <c r="J62" s="398" t="n"/>
      <c r="K62" s="792" t="n"/>
      <c r="L62" s="792" t="n"/>
      <c r="M62" s="792" t="n"/>
      <c r="N62" s="792" t="n"/>
      <c r="O62" s="792" t="n"/>
      <c r="P62" s="792" t="n"/>
      <c r="Q62" s="793" t="n"/>
      <c r="T62" s="861" t="n"/>
      <c r="U62" s="861" t="n"/>
      <c r="V62" s="861" t="n"/>
      <c r="W62" s="861" t="n"/>
      <c r="X62" s="861" t="n"/>
      <c r="Y62" s="861" t="n"/>
      <c r="Z62" s="861" t="n"/>
      <c r="AA62" s="861" t="n"/>
      <c r="AB62" s="861" t="n"/>
      <c r="AC62" s="861" t="n"/>
    </row>
    <row r="63" customFormat="1" s="59">
      <c r="F63" s="618" t="inlineStr">
        <is>
          <t>New Loan</t>
        </is>
      </c>
      <c r="G63" s="208" t="n"/>
      <c r="H63" s="792" t="n"/>
      <c r="I63" s="792" t="n"/>
      <c r="J63" s="792" t="n"/>
      <c r="K63" s="792" t="n"/>
      <c r="L63" s="792" t="n"/>
      <c r="M63" s="792" t="n"/>
      <c r="N63" s="792" t="n"/>
      <c r="O63" s="792" t="n"/>
      <c r="P63" s="792" t="n"/>
      <c r="Q63" s="793" t="n"/>
      <c r="R63" s="59" t="inlineStr">
        <is>
          <t>Home Exit Cap Rate</t>
        </is>
      </c>
      <c r="S63" s="686" t="n">
        <v>0.12</v>
      </c>
      <c r="T63" s="861" t="n"/>
      <c r="U63" s="861" t="n"/>
      <c r="V63" s="861" t="n"/>
      <c r="W63" s="861" t="n"/>
      <c r="X63" s="861" t="n"/>
      <c r="Y63" s="861" t="n"/>
      <c r="Z63" s="861" t="n"/>
      <c r="AA63" s="861" t="n"/>
      <c r="AB63" s="861" t="n"/>
      <c r="AC63" s="861" t="n"/>
    </row>
    <row r="64" customFormat="1" s="59">
      <c r="F64" s="618" t="inlineStr">
        <is>
          <t>Total Sale - Community</t>
        </is>
      </c>
      <c r="G64" s="208" t="n"/>
      <c r="H64" s="792" t="n"/>
      <c r="I64" s="792" t="n"/>
      <c r="J64" s="398" t="n"/>
      <c r="K64" s="792" t="n"/>
      <c r="L64" s="792" t="n"/>
      <c r="M64" s="792" t="n"/>
      <c r="N64" s="792" t="n"/>
      <c r="O64" s="792" t="n"/>
      <c r="P64" s="792" t="n"/>
      <c r="Q64" s="694">
        <f>(Q56/S64)+(Q57/S63)</f>
        <v/>
      </c>
      <c r="R64" s="59" t="inlineStr">
        <is>
          <t>Lot Exit cap rate:</t>
        </is>
      </c>
      <c r="S64" s="621">
        <f>+$X$20</f>
        <v/>
      </c>
      <c r="T64" s="861" t="n"/>
      <c r="U64" s="861" t="n"/>
      <c r="V64" s="861" t="n"/>
      <c r="W64" s="861" t="n"/>
      <c r="X64" s="861" t="n"/>
      <c r="Y64" s="861" t="n"/>
      <c r="Z64" s="861" t="n"/>
      <c r="AA64" s="861" t="n"/>
      <c r="AB64" s="861" t="n"/>
      <c r="AC64" s="861" t="n"/>
    </row>
    <row r="65" customFormat="1" s="59">
      <c r="F65" s="622" t="inlineStr">
        <is>
          <t>Free Cash Flow</t>
        </is>
      </c>
      <c r="G65" s="623" t="n"/>
      <c r="H65" s="624">
        <f>H53+SUM(H60:H64)</f>
        <v/>
      </c>
      <c r="I65" s="624">
        <f>I53+SUM(I60:I64)</f>
        <v/>
      </c>
      <c r="J65" s="624">
        <f>J53+SUM(J60:J64)</f>
        <v/>
      </c>
      <c r="K65" s="624">
        <f>K53+SUM(K60:K64)</f>
        <v/>
      </c>
      <c r="L65" s="624">
        <f>L53+SUM(L60:L64)</f>
        <v/>
      </c>
      <c r="M65" s="624">
        <f>M53+SUM(M60:M64)</f>
        <v/>
      </c>
      <c r="N65" s="624">
        <f>N53+SUM(N60:N64)</f>
        <v/>
      </c>
      <c r="O65" s="624">
        <f>O53+SUM(O60:O64)</f>
        <v/>
      </c>
      <c r="P65" s="624">
        <f>P53+SUM(P60:P64)</f>
        <v/>
      </c>
      <c r="Q65" s="625">
        <f>Q53+SUM(Q60:Q64)</f>
        <v/>
      </c>
      <c r="T65" s="861" t="n"/>
      <c r="U65" s="861" t="n"/>
      <c r="V65" s="861" t="n"/>
      <c r="W65" s="861" t="n"/>
      <c r="X65" s="861" t="n"/>
      <c r="Y65" s="861" t="n"/>
      <c r="Z65" s="861" t="n"/>
      <c r="AA65" s="861" t="n"/>
      <c r="AB65" s="861" t="n"/>
      <c r="AC65" s="861" t="n"/>
    </row>
    <row r="66" customFormat="1" s="59">
      <c r="F66" s="626" t="inlineStr">
        <is>
          <t>DSCR</t>
        </is>
      </c>
      <c r="G66" s="627" t="n"/>
      <c r="H66" s="794">
        <f>-H$53/H$60</f>
        <v/>
      </c>
      <c r="I66" s="794">
        <f>-I53/I60</f>
        <v/>
      </c>
      <c r="J66" s="794">
        <f>-J53/I60</f>
        <v/>
      </c>
      <c r="K66" s="794">
        <f>-K53/K60</f>
        <v/>
      </c>
      <c r="L66" s="794">
        <f>-L53/L60</f>
        <v/>
      </c>
      <c r="M66" s="794">
        <f>-M53/M60</f>
        <v/>
      </c>
      <c r="N66" s="794">
        <f>-N53/N60</f>
        <v/>
      </c>
      <c r="O66" s="794">
        <f>-O53/O60</f>
        <v/>
      </c>
      <c r="P66" s="794">
        <f>-P53/P60</f>
        <v/>
      </c>
      <c r="Q66" s="794">
        <f>-Q53/Q60</f>
        <v/>
      </c>
      <c r="T66" s="861" t="n"/>
      <c r="U66" s="861" t="n"/>
      <c r="V66" s="861" t="n"/>
      <c r="W66" s="861" t="n"/>
      <c r="X66" s="861" t="n"/>
      <c r="Y66" s="861" t="n"/>
      <c r="Z66" s="861" t="n"/>
      <c r="AA66" s="861" t="n"/>
      <c r="AB66" s="861" t="n"/>
      <c r="AC66" s="861" t="n"/>
    </row>
    <row r="67" customFormat="1" s="59">
      <c r="G67" s="208" t="n"/>
      <c r="H67" s="398" t="n"/>
      <c r="I67" s="398" t="n"/>
      <c r="J67" s="398">
        <f>-J53/J60</f>
        <v/>
      </c>
      <c r="K67" s="398" t="n"/>
      <c r="L67" s="398" t="n"/>
      <c r="M67" s="398" t="n"/>
      <c r="N67" s="398" t="n"/>
      <c r="O67" s="398" t="n"/>
      <c r="P67" s="398" t="n"/>
      <c r="Q67" s="398" t="n"/>
      <c r="T67" s="861" t="n"/>
      <c r="U67" s="861" t="n"/>
      <c r="V67" s="861" t="n"/>
      <c r="W67" s="861" t="n"/>
      <c r="X67" s="861" t="n"/>
      <c r="Y67" s="861" t="n"/>
      <c r="Z67" s="861" t="n"/>
      <c r="AA67" s="861" t="n"/>
      <c r="AB67" s="861" t="n"/>
      <c r="AC67" s="861" t="n"/>
    </row>
    <row r="68" hidden="1" customFormat="1" s="59">
      <c r="E68" s="149" t="n"/>
      <c r="F68" s="614" t="n"/>
      <c r="G68" s="615" t="n"/>
      <c r="H68" s="790" t="n"/>
      <c r="I68" s="790" t="n"/>
      <c r="J68" s="790" t="n"/>
      <c r="K68" s="790" t="n"/>
      <c r="L68" s="790" t="n"/>
      <c r="M68" s="790" t="n"/>
      <c r="N68" s="791" t="n"/>
      <c r="O68" s="792" t="n"/>
      <c r="P68" s="792" t="n"/>
      <c r="Q68" s="792" t="n"/>
      <c r="T68" s="861" t="n"/>
      <c r="U68" s="861" t="n"/>
      <c r="V68" s="861" t="n"/>
      <c r="W68" s="861" t="n"/>
      <c r="X68" s="861" t="n"/>
      <c r="Y68" s="861" t="n"/>
      <c r="Z68" s="861" t="n"/>
      <c r="AA68" s="861" t="n"/>
      <c r="AB68" s="861" t="n"/>
      <c r="AC68" s="861" t="n"/>
    </row>
    <row r="69" hidden="1" ht="15.75" customFormat="1" customHeight="1" s="59">
      <c r="F69" s="618" t="n"/>
      <c r="G69" s="208" t="n"/>
      <c r="H69" s="792" t="n"/>
      <c r="I69" s="792" t="n"/>
      <c r="J69" s="792" t="n"/>
      <c r="K69" s="792" t="n"/>
      <c r="L69" s="792" t="n"/>
      <c r="M69" s="792" t="n"/>
      <c r="N69" s="793" t="n"/>
      <c r="O69" s="792" t="n"/>
      <c r="P69" s="792" t="n"/>
      <c r="Q69" s="792" t="n"/>
      <c r="T69" s="861" t="n"/>
      <c r="U69" s="861" t="n"/>
      <c r="V69" s="861" t="n"/>
      <c r="W69" s="861" t="n"/>
      <c r="X69" s="861" t="n"/>
      <c r="Y69" s="861" t="n"/>
      <c r="Z69" s="861" t="n"/>
      <c r="AA69" s="861" t="n"/>
      <c r="AB69" s="861" t="n"/>
      <c r="AC69" s="861" t="n"/>
    </row>
    <row r="70" hidden="1" customFormat="1" s="59">
      <c r="F70" s="618" t="n"/>
      <c r="G70" s="208" t="n"/>
      <c r="H70" s="792" t="n"/>
      <c r="I70" s="792" t="n"/>
      <c r="J70" s="792" t="n"/>
      <c r="K70" s="792" t="n"/>
      <c r="L70" s="792" t="n"/>
      <c r="M70" s="792" t="n"/>
      <c r="N70" s="793" t="n"/>
      <c r="O70" s="792" t="n"/>
      <c r="P70" s="792" t="n"/>
      <c r="Q70" s="792" t="n"/>
      <c r="T70" s="861" t="n"/>
      <c r="U70" s="861" t="n"/>
      <c r="V70" s="861" t="n"/>
      <c r="W70" s="861" t="n"/>
      <c r="X70" s="861" t="n"/>
      <c r="Y70" s="861" t="n"/>
      <c r="Z70" s="861" t="n"/>
      <c r="AA70" s="861" t="n"/>
      <c r="AB70" s="861" t="n"/>
      <c r="AC70" s="861" t="n"/>
    </row>
    <row r="71" hidden="1" customFormat="1" s="59">
      <c r="F71" s="618" t="n"/>
      <c r="G71" s="208" t="n"/>
      <c r="H71" s="792" t="n"/>
      <c r="I71" s="792" t="n"/>
      <c r="J71" s="792" t="n"/>
      <c r="K71" s="792" t="n"/>
      <c r="L71" s="792" t="n"/>
      <c r="M71" s="792" t="n"/>
      <c r="N71" s="793" t="n"/>
      <c r="O71" s="792" t="n"/>
      <c r="P71" s="792" t="n"/>
      <c r="Q71" s="792" t="n"/>
      <c r="T71" s="861" t="n"/>
      <c r="U71" s="861" t="n"/>
      <c r="V71" s="861" t="n"/>
      <c r="W71" s="861" t="n"/>
      <c r="X71" s="861" t="n"/>
      <c r="Y71" s="861" t="n"/>
      <c r="Z71" s="861" t="n"/>
      <c r="AA71" s="861" t="n"/>
      <c r="AB71" s="861" t="n"/>
      <c r="AC71" s="861" t="n"/>
    </row>
    <row r="72" hidden="1" customFormat="1" s="59">
      <c r="F72" s="618" t="inlineStr">
        <is>
          <t>Total Sale - Community</t>
        </is>
      </c>
      <c r="G72" s="208" t="n"/>
      <c r="H72" s="792" t="n"/>
      <c r="I72" s="792" t="n"/>
      <c r="J72" s="792" t="n"/>
      <c r="K72" s="792" t="n"/>
      <c r="L72" s="792" t="n"/>
      <c r="M72" s="792" t="n"/>
      <c r="N72" s="793" t="n"/>
      <c r="O72" s="792" t="n"/>
      <c r="P72" s="792" t="n"/>
      <c r="Q72" s="792" t="n"/>
      <c r="R72" s="59" t="inlineStr">
        <is>
          <t>Lot Rent Exit cap rate:</t>
        </is>
      </c>
      <c r="S72" s="621">
        <f>+$X$20</f>
        <v/>
      </c>
      <c r="T72" s="861" t="n"/>
      <c r="U72" s="861" t="n"/>
      <c r="V72" s="861" t="n"/>
      <c r="W72" s="861" t="n"/>
      <c r="X72" s="861" t="n"/>
      <c r="Y72" s="861" t="n"/>
      <c r="Z72" s="861" t="n"/>
      <c r="AA72" s="861" t="n"/>
      <c r="AB72" s="861" t="n"/>
      <c r="AC72" s="861" t="n"/>
    </row>
    <row r="73" hidden="1" ht="21" customFormat="1" customHeight="1" s="59">
      <c r="F73" s="622" t="n"/>
      <c r="G73" s="623" t="n"/>
      <c r="H73" s="624" t="n"/>
      <c r="I73" s="624" t="n"/>
      <c r="J73" s="624" t="n"/>
      <c r="K73" s="624" t="n"/>
      <c r="L73" s="624" t="n"/>
      <c r="M73" s="624" t="n"/>
      <c r="N73" s="625" t="n"/>
      <c r="O73" s="630" t="n"/>
      <c r="P73" s="630" t="n"/>
      <c r="Q73" s="630" t="n"/>
      <c r="T73" s="861" t="n"/>
      <c r="U73" s="861" t="n"/>
      <c r="V73" s="861" t="n"/>
      <c r="W73" s="861" t="n"/>
      <c r="X73" s="861" t="n"/>
      <c r="Y73" s="861" t="n"/>
      <c r="Z73" s="861" t="n"/>
      <c r="AA73" s="861" t="n"/>
      <c r="AB73" s="861" t="n"/>
      <c r="AC73" s="861" t="n"/>
    </row>
    <row r="74" hidden="1" customFormat="1" s="59">
      <c r="F74" s="626" t="n"/>
      <c r="G74" s="208" t="n"/>
      <c r="H74" s="794" t="n"/>
      <c r="I74" s="794" t="n"/>
      <c r="J74" s="794" t="n"/>
      <c r="K74" s="794" t="n"/>
      <c r="L74" s="794" t="n"/>
      <c r="M74" s="794" t="n"/>
      <c r="N74" s="794" t="n"/>
      <c r="O74" s="794" t="n"/>
      <c r="P74" s="794" t="n"/>
      <c r="Q74" s="794" t="n"/>
      <c r="T74" s="861" t="n"/>
      <c r="U74" s="861" t="n"/>
      <c r="V74" s="861" t="n"/>
      <c r="W74" s="861" t="n"/>
      <c r="X74" s="861" t="n"/>
      <c r="Y74" s="861" t="n"/>
      <c r="Z74" s="861" t="n"/>
      <c r="AA74" s="861" t="n"/>
      <c r="AB74" s="861" t="n"/>
      <c r="AC74" s="861" t="n"/>
    </row>
    <row r="75" hidden="1" customFormat="1" s="59">
      <c r="G75" s="208" t="n"/>
      <c r="T75" s="861" t="n"/>
      <c r="U75" s="861" t="n"/>
      <c r="V75" s="861" t="n"/>
      <c r="W75" s="861" t="n"/>
      <c r="X75" s="861" t="n"/>
      <c r="Y75" s="861" t="n"/>
      <c r="Z75" s="861" t="n"/>
      <c r="AA75" s="861" t="n"/>
      <c r="AB75" s="861" t="n"/>
      <c r="AC75" s="861" t="n"/>
    </row>
    <row r="76" hidden="1" customFormat="1" s="59">
      <c r="G76" s="208" t="n"/>
      <c r="T76" s="861" t="n"/>
      <c r="U76" s="861" t="n"/>
      <c r="V76" s="861" t="n"/>
      <c r="W76" s="861" t="n"/>
      <c r="X76" s="861" t="n"/>
      <c r="Y76" s="861" t="n"/>
      <c r="Z76" s="861" t="n"/>
      <c r="AA76" s="861" t="n"/>
      <c r="AB76" s="861" t="n"/>
      <c r="AC76" s="861" t="n"/>
    </row>
    <row r="77" customFormat="1" s="59">
      <c r="G77" s="208" t="n"/>
      <c r="T77" s="861" t="n"/>
      <c r="U77" s="861" t="n"/>
      <c r="V77" s="861" t="n"/>
      <c r="W77" s="861" t="n"/>
      <c r="X77" s="861" t="n"/>
      <c r="Y77" s="861" t="n"/>
      <c r="Z77" s="861" t="n"/>
      <c r="AA77" s="861" t="n"/>
      <c r="AB77" s="861" t="n"/>
      <c r="AC77" s="861" t="n"/>
    </row>
    <row r="78" customFormat="1" s="59">
      <c r="G78" s="208" t="n"/>
      <c r="T78" s="861" t="n"/>
      <c r="U78" s="861" t="n"/>
      <c r="V78" s="861" t="n"/>
      <c r="W78" s="861" t="n"/>
      <c r="X78" s="861" t="n"/>
      <c r="Y78" s="861" t="n"/>
      <c r="Z78" s="861" t="n"/>
      <c r="AA78" s="861" t="n"/>
      <c r="AB78" s="861" t="n"/>
      <c r="AC78" s="861" t="n"/>
    </row>
    <row r="79" customFormat="1" s="59">
      <c r="E79" s="149" t="inlineStr">
        <is>
          <t>5 YEAR</t>
        </is>
      </c>
      <c r="F79" s="614" t="inlineStr">
        <is>
          <t>Debt Service</t>
        </is>
      </c>
      <c r="G79" s="615" t="n"/>
      <c r="H79" s="790">
        <f>-'Loan Scenario (acquisition)'!M10</f>
        <v/>
      </c>
      <c r="I79" s="790">
        <f>-'Loan Scenario (acquisition)'!N10</f>
        <v/>
      </c>
      <c r="J79" s="790">
        <f>-'Loan Scenario (acquisition)'!O10</f>
        <v/>
      </c>
      <c r="K79" s="790">
        <f>-'Loan Scenario (acquisition)'!P10</f>
        <v/>
      </c>
      <c r="L79" s="791">
        <f>-'Loan Scenario (acquisition)'!Q10</f>
        <v/>
      </c>
      <c r="T79" s="861" t="n"/>
      <c r="U79" s="861" t="n"/>
      <c r="V79" s="861" t="n"/>
      <c r="W79" s="861" t="n"/>
      <c r="X79" s="861" t="n"/>
      <c r="Y79" s="861" t="n"/>
      <c r="Z79" s="861" t="n"/>
      <c r="AA79" s="861" t="n"/>
      <c r="AB79" s="861" t="n"/>
      <c r="AC79" s="861" t="n"/>
    </row>
    <row r="80" customFormat="1" s="59">
      <c r="F80" s="618" t="inlineStr">
        <is>
          <t>Debt Payoff</t>
        </is>
      </c>
      <c r="G80" s="208" t="n"/>
      <c r="H80" s="792" t="inlineStr">
        <is>
          <t>BRIDGE LOAN -6 MONTHS</t>
        </is>
      </c>
      <c r="I80" s="792" t="n"/>
      <c r="J80" s="398" t="n"/>
      <c r="K80" s="792" t="n"/>
      <c r="L80" s="793">
        <f>-'Loan Scenario (acquisition)'!J66</f>
        <v/>
      </c>
      <c r="T80" s="861" t="n"/>
      <c r="U80" s="861" t="n"/>
      <c r="V80" s="861" t="n"/>
      <c r="W80" s="861" t="n"/>
      <c r="X80" s="861" t="n"/>
      <c r="Y80" s="861" t="n"/>
      <c r="Z80" s="861" t="n"/>
      <c r="AA80" s="861" t="n"/>
      <c r="AB80" s="861" t="n"/>
      <c r="AC80" s="861" t="n"/>
    </row>
    <row r="81" customFormat="1" s="59">
      <c r="F81" s="618" t="inlineStr">
        <is>
          <t>Debt Service</t>
        </is>
      </c>
      <c r="G81" s="208" t="n"/>
      <c r="H81" s="792">
        <f>-'Loan Scenario (acquisition)'!M10</f>
        <v/>
      </c>
      <c r="I81" s="792" t="n"/>
      <c r="J81" s="398" t="n"/>
      <c r="K81" s="792" t="n"/>
      <c r="L81" s="793" t="n"/>
      <c r="T81" s="861" t="n"/>
      <c r="U81" s="861" t="n"/>
      <c r="V81" s="861" t="n"/>
      <c r="W81" s="861" t="n"/>
      <c r="X81" s="861" t="n"/>
      <c r="Y81" s="861" t="n"/>
      <c r="Z81" s="861" t="n"/>
      <c r="AA81" s="861" t="n"/>
      <c r="AB81" s="861" t="n"/>
      <c r="AC81" s="861" t="n"/>
    </row>
    <row r="82" customFormat="1" s="59">
      <c r="F82" s="618" t="inlineStr">
        <is>
          <t>Debt Payoff</t>
        </is>
      </c>
      <c r="G82" s="208" t="n"/>
      <c r="H82" s="792" t="n"/>
      <c r="I82" s="792" t="n"/>
      <c r="J82" s="792" t="n"/>
      <c r="K82" s="792" t="n"/>
      <c r="L82" s="793" t="n"/>
      <c r="M82" s="59" t="inlineStr">
        <is>
          <t>Home Exit</t>
        </is>
      </c>
      <c r="N82" s="686" t="n">
        <v>0.12</v>
      </c>
      <c r="T82" s="861" t="n"/>
      <c r="U82" s="861" t="n"/>
      <c r="V82" s="861" t="n"/>
      <c r="W82" s="861" t="n"/>
      <c r="X82" s="861" t="n"/>
      <c r="Y82" s="861" t="n"/>
      <c r="Z82" s="861" t="n"/>
      <c r="AA82" s="861" t="n"/>
      <c r="AB82" s="861" t="n"/>
      <c r="AC82" s="861" t="n"/>
    </row>
    <row r="83" customFormat="1" s="59">
      <c r="F83" s="618" t="inlineStr">
        <is>
          <t>Refi Cashout</t>
        </is>
      </c>
      <c r="G83" s="208" t="n"/>
      <c r="H83" s="792" t="n"/>
      <c r="I83" s="792" t="n"/>
      <c r="J83" s="398" t="n"/>
      <c r="K83" s="792" t="n"/>
      <c r="L83" s="693">
        <f>(L56/N83)+(L57/N82)</f>
        <v/>
      </c>
      <c r="M83" s="59" t="inlineStr">
        <is>
          <t>Lot Rent Exit cap rate:</t>
        </is>
      </c>
      <c r="N83" s="621">
        <f>S64</f>
        <v/>
      </c>
      <c r="T83" s="861" t="n"/>
      <c r="U83" s="861" t="n"/>
      <c r="V83" s="861" t="n"/>
      <c r="W83" s="861" t="n"/>
      <c r="X83" s="861" t="n"/>
      <c r="Y83" s="861" t="n"/>
      <c r="Z83" s="861" t="n"/>
      <c r="AA83" s="861" t="n"/>
      <c r="AB83" s="861" t="n"/>
      <c r="AC83" s="861" t="n"/>
    </row>
    <row r="84" customFormat="1" s="59">
      <c r="F84" s="622" t="inlineStr">
        <is>
          <t>New Loan</t>
        </is>
      </c>
      <c r="G84" s="623" t="n"/>
      <c r="H84" s="624">
        <f>H53+SUM(H79:H83)</f>
        <v/>
      </c>
      <c r="I84" s="624">
        <f>I53+SUM(I79:I83)</f>
        <v/>
      </c>
      <c r="J84" s="624">
        <f>J53+SUM(J79:J83)</f>
        <v/>
      </c>
      <c r="K84" s="624">
        <f>K53+SUM(K79:K83)</f>
        <v/>
      </c>
      <c r="L84" s="625">
        <f>L53+SUM(L79:L83)</f>
        <v/>
      </c>
      <c r="T84" s="861" t="n"/>
      <c r="U84" s="861" t="n"/>
      <c r="V84" s="861" t="n"/>
      <c r="W84" s="861" t="n"/>
      <c r="X84" s="861" t="n"/>
      <c r="Y84" s="861" t="n"/>
      <c r="Z84" s="861" t="n"/>
      <c r="AA84" s="861" t="n"/>
      <c r="AB84" s="861" t="n"/>
      <c r="AC84" s="861" t="n"/>
    </row>
    <row r="85" customFormat="1" s="59">
      <c r="F85" s="626" t="inlineStr">
        <is>
          <t>Total Sale - Community</t>
        </is>
      </c>
      <c r="G85" s="208" t="n"/>
      <c r="H85" s="794">
        <f>-H$53/H$60</f>
        <v/>
      </c>
      <c r="I85" s="794">
        <f>-I$53/I$60</f>
        <v/>
      </c>
      <c r="J85" s="794">
        <f>-J$53/J$60</f>
        <v/>
      </c>
      <c r="K85" s="794">
        <f>-K$53/K$60</f>
        <v/>
      </c>
      <c r="L85" s="794">
        <f>-L$53/L$60</f>
        <v/>
      </c>
      <c r="T85" s="861" t="n"/>
      <c r="U85" s="861" t="n"/>
      <c r="V85" s="861" t="n"/>
      <c r="W85" s="861" t="n"/>
      <c r="X85" s="861" t="n"/>
      <c r="Y85" s="861" t="n"/>
      <c r="Z85" s="861" t="n"/>
      <c r="AA85" s="861" t="n"/>
      <c r="AB85" s="861" t="n"/>
      <c r="AC85" s="861" t="n"/>
    </row>
    <row r="86" customFormat="1" s="59">
      <c r="F86" t="inlineStr">
        <is>
          <t xml:space="preserve">Free Cash Flow </t>
        </is>
      </c>
      <c r="G86" s="208" t="n"/>
      <c r="H86">
        <f>H53+SUM(H81:H85)</f>
        <v/>
      </c>
      <c r="T86" s="861" t="n"/>
      <c r="U86" s="861" t="n"/>
      <c r="V86" s="861" t="n"/>
      <c r="W86" s="861" t="n"/>
      <c r="X86" s="861" t="n"/>
      <c r="Y86" s="861" t="n"/>
      <c r="Z86" s="861" t="n"/>
      <c r="AA86" s="861" t="n"/>
      <c r="AB86" s="861" t="n"/>
      <c r="AC86" s="861" t="n"/>
    </row>
    <row r="87" customFormat="1" s="59">
      <c r="F87" t="inlineStr">
        <is>
          <t>DSCR</t>
        </is>
      </c>
      <c r="G87" s="208" t="n"/>
      <c r="H87">
        <f>-H53/H81</f>
        <v/>
      </c>
      <c r="T87" s="861" t="n"/>
      <c r="U87" s="861" t="n"/>
      <c r="V87" s="861" t="n"/>
      <c r="W87" s="861" t="n"/>
      <c r="X87" s="861" t="n"/>
      <c r="Y87" s="861" t="n"/>
      <c r="Z87" s="861" t="n"/>
      <c r="AA87" s="861" t="n"/>
      <c r="AB87" s="861" t="n"/>
      <c r="AC87" s="861" t="n"/>
    </row>
    <row r="88" customFormat="1" s="59">
      <c r="G88" s="208" t="n"/>
      <c r="T88" s="861" t="n"/>
      <c r="U88" s="861" t="n"/>
      <c r="V88" s="861" t="n"/>
      <c r="W88" s="861" t="n"/>
      <c r="X88" s="861" t="n"/>
      <c r="Y88" s="861" t="n"/>
      <c r="Z88" s="861" t="n"/>
      <c r="AA88" s="861" t="n"/>
      <c r="AB88" s="861" t="n"/>
      <c r="AC88" s="861" t="n"/>
    </row>
    <row r="89" customFormat="1" s="59">
      <c r="F89" t="inlineStr">
        <is>
          <t>IRR</t>
        </is>
      </c>
      <c r="G89" s="208" t="n"/>
      <c r="H89">
        <f>IRR(G86:Q86)</f>
        <v/>
      </c>
      <c r="T89" s="861" t="n"/>
      <c r="U89" s="861" t="n"/>
      <c r="V89" s="861" t="n"/>
      <c r="W89" s="861" t="n"/>
      <c r="X89" s="861" t="n"/>
      <c r="Y89" s="861" t="n"/>
      <c r="Z89" s="861" t="n"/>
      <c r="AA89" s="861" t="n"/>
      <c r="AB89" s="861" t="n"/>
      <c r="AC89" s="861" t="n"/>
    </row>
    <row r="90" customFormat="1" s="59">
      <c r="G90" s="208" t="n"/>
      <c r="T90" s="861" t="n"/>
      <c r="U90" s="861" t="n"/>
      <c r="V90" s="861" t="n"/>
      <c r="W90" s="861" t="n"/>
      <c r="X90" s="861" t="n"/>
      <c r="Y90" s="861" t="n"/>
      <c r="Z90" s="861" t="n"/>
      <c r="AA90" s="861" t="n"/>
      <c r="AB90" s="861" t="n"/>
      <c r="AC90" s="861" t="n"/>
    </row>
    <row r="91" customFormat="1" s="59">
      <c r="F91" t="inlineStr">
        <is>
          <t>Debt Service</t>
        </is>
      </c>
      <c r="G91" s="208" t="n"/>
      <c r="H91">
        <f>-'Sources and Uses'!$J$5*5%</f>
        <v/>
      </c>
      <c r="T91" s="861" t="n"/>
      <c r="U91" s="861" t="n"/>
      <c r="V91" s="861" t="n"/>
      <c r="W91" s="861" t="n"/>
      <c r="X91" s="861" t="n"/>
      <c r="Y91" s="861" t="n"/>
      <c r="Z91" s="861" t="n"/>
      <c r="AA91" s="861" t="n"/>
      <c r="AB91" s="861" t="n"/>
      <c r="AC91" s="861" t="n"/>
    </row>
    <row r="92" customFormat="1" s="59">
      <c r="F92" t="inlineStr">
        <is>
          <t>Debt Payoff</t>
        </is>
      </c>
      <c r="G92" s="208" t="n"/>
      <c r="T92" s="861" t="n"/>
      <c r="U92" s="861" t="n"/>
      <c r="V92" s="861" t="n"/>
      <c r="W92" s="861" t="n"/>
      <c r="X92" s="861" t="n"/>
      <c r="Y92" s="861" t="n"/>
      <c r="Z92" s="861" t="n"/>
      <c r="AA92" s="861" t="n"/>
      <c r="AB92" s="861" t="n"/>
      <c r="AC92" s="861" t="n"/>
    </row>
    <row r="93" customFormat="1" s="59">
      <c r="F93" t="inlineStr">
        <is>
          <t>Refi Cashout</t>
        </is>
      </c>
      <c r="G93" s="208" t="n"/>
      <c r="T93" s="861" t="n"/>
      <c r="U93" s="861" t="n"/>
      <c r="V93" s="861" t="n"/>
      <c r="W93" s="861" t="n"/>
      <c r="X93" s="861" t="n"/>
      <c r="Y93" s="861" t="n"/>
      <c r="Z93" s="861" t="n"/>
      <c r="AA93" s="861" t="n"/>
      <c r="AB93" s="861" t="n"/>
      <c r="AC93" s="861" t="n"/>
    </row>
    <row r="94" customFormat="1" s="59">
      <c r="F94" t="inlineStr">
        <is>
          <t>New Loan</t>
        </is>
      </c>
      <c r="G94" s="208" t="n"/>
      <c r="T94" s="861" t="n"/>
      <c r="U94" s="861" t="n"/>
      <c r="V94" s="861" t="n"/>
      <c r="W94" s="861" t="n"/>
      <c r="X94" s="861" t="n"/>
      <c r="Y94" s="861" t="n"/>
      <c r="Z94" s="861" t="n"/>
      <c r="AA94" s="861" t="n"/>
      <c r="AB94" s="861" t="n"/>
      <c r="AC94" s="861" t="n"/>
    </row>
    <row r="95" customFormat="1" s="59">
      <c r="F95" t="inlineStr">
        <is>
          <t>Total Sale - Community</t>
        </is>
      </c>
      <c r="G95" s="208" t="n"/>
      <c r="T95" s="861" t="n"/>
      <c r="U95" s="861" t="n"/>
      <c r="V95" s="861" t="n"/>
      <c r="W95" s="861" t="n"/>
      <c r="X95" s="861" t="n"/>
      <c r="Y95" s="861" t="n"/>
      <c r="Z95" s="861" t="n"/>
      <c r="AA95" s="861" t="n"/>
      <c r="AB95" s="861" t="n"/>
      <c r="AC95" s="861" t="n"/>
    </row>
    <row r="96" customFormat="1" s="59">
      <c r="F96" t="inlineStr">
        <is>
          <t xml:space="preserve">Free Cash Flow </t>
        </is>
      </c>
      <c r="G96" s="208" t="n"/>
      <c r="H96">
        <f>H53+SUM(H91:H95)</f>
        <v/>
      </c>
      <c r="T96" s="861" t="n"/>
      <c r="U96" s="861" t="n"/>
      <c r="V96" s="861" t="n"/>
      <c r="W96" s="861" t="n"/>
      <c r="X96" s="861" t="n"/>
      <c r="Y96" s="861" t="n"/>
      <c r="Z96" s="861" t="n"/>
      <c r="AA96" s="861" t="n"/>
      <c r="AB96" s="861" t="n"/>
      <c r="AC96" s="861" t="n"/>
    </row>
    <row r="97" customFormat="1" s="59">
      <c r="F97" t="inlineStr">
        <is>
          <t>DSCR</t>
        </is>
      </c>
      <c r="G97" s="208" t="n"/>
      <c r="H97">
        <f>-H53/H91</f>
        <v/>
      </c>
      <c r="T97" s="861" t="n"/>
      <c r="U97" s="861" t="n"/>
      <c r="V97" s="861" t="n"/>
      <c r="W97" s="861" t="n"/>
      <c r="X97" s="861" t="n"/>
      <c r="Y97" s="861" t="n"/>
      <c r="Z97" s="861" t="n"/>
      <c r="AA97" s="861" t="n"/>
      <c r="AB97" s="861" t="n"/>
      <c r="AC97" s="861" t="n"/>
    </row>
    <row r="98" customFormat="1" s="59">
      <c r="G98" s="208" t="n"/>
      <c r="T98" s="861" t="n"/>
      <c r="U98" s="861" t="n"/>
      <c r="V98" s="861" t="n"/>
      <c r="W98" s="861" t="n"/>
      <c r="X98" s="861" t="n"/>
      <c r="Y98" s="861" t="n"/>
      <c r="Z98" s="861" t="n"/>
      <c r="AA98" s="861" t="n"/>
      <c r="AB98" s="861" t="n"/>
      <c r="AC98" s="861" t="n"/>
    </row>
    <row r="99" customFormat="1" s="59">
      <c r="F99" t="inlineStr">
        <is>
          <t>CoC Return</t>
        </is>
      </c>
      <c r="G99" s="208" t="n"/>
      <c r="T99" s="861" t="n"/>
      <c r="U99" s="861" t="n"/>
      <c r="V99" s="861" t="n"/>
      <c r="W99" s="861" t="n"/>
      <c r="X99" s="861" t="n"/>
      <c r="Y99" s="861" t="n"/>
      <c r="Z99" s="861" t="n"/>
      <c r="AA99" s="861" t="n"/>
      <c r="AB99" s="861" t="n"/>
      <c r="AC99" s="861" t="n"/>
    </row>
    <row r="100" customFormat="1" s="59">
      <c r="F100" t="inlineStr">
        <is>
          <t>IRR</t>
        </is>
      </c>
      <c r="G100" s="208" t="n"/>
      <c r="H100">
        <f>IRR(G96:Q96)</f>
        <v/>
      </c>
      <c r="T100" s="861" t="n"/>
      <c r="U100" s="861" t="n"/>
      <c r="V100" s="861" t="n"/>
      <c r="W100" s="861" t="n"/>
      <c r="X100" s="861" t="n"/>
      <c r="Y100" s="861" t="n"/>
      <c r="Z100" s="861" t="n"/>
      <c r="AA100" s="861" t="n"/>
      <c r="AB100" s="861" t="n"/>
      <c r="AC100" s="861" t="n"/>
    </row>
    <row r="101" customFormat="1" s="59">
      <c r="G101" s="208" t="n"/>
      <c r="T101" s="861" t="n"/>
      <c r="U101" s="861" t="n"/>
      <c r="V101" s="861" t="n"/>
      <c r="W101" s="861" t="n"/>
      <c r="X101" s="861" t="n"/>
      <c r="Y101" s="861" t="n"/>
      <c r="Z101" s="861" t="n"/>
      <c r="AA101" s="861" t="n"/>
      <c r="AB101" s="861" t="n"/>
      <c r="AC101" s="861" t="n"/>
    </row>
    <row r="102" customFormat="1" s="59">
      <c r="G102" s="208" t="n"/>
      <c r="T102" s="861" t="n"/>
      <c r="U102" s="861" t="n"/>
      <c r="V102" s="861" t="n"/>
      <c r="W102" s="861" t="n"/>
      <c r="X102" s="861" t="n"/>
      <c r="Y102" s="861" t="n"/>
      <c r="Z102" s="861" t="n"/>
      <c r="AA102" s="861" t="n"/>
      <c r="AB102" s="861" t="n"/>
      <c r="AC102" s="861" t="n"/>
    </row>
    <row r="103" customFormat="1" s="59">
      <c r="G103" s="208" t="n"/>
      <c r="T103" s="861" t="n"/>
      <c r="U103" s="861" t="n"/>
      <c r="V103" s="861" t="n"/>
      <c r="W103" s="861" t="n"/>
      <c r="X103" s="861" t="n"/>
      <c r="Y103" s="861" t="n"/>
      <c r="Z103" s="861" t="n"/>
      <c r="AA103" s="861" t="n"/>
      <c r="AB103" s="861" t="n"/>
      <c r="AC103" s="861" t="n"/>
    </row>
    <row r="104" customFormat="1" s="59">
      <c r="G104" s="208" t="n"/>
      <c r="T104" s="861" t="n"/>
      <c r="U104" s="861" t="n"/>
      <c r="V104" s="861" t="n"/>
      <c r="W104" s="861" t="n"/>
      <c r="X104" s="861" t="n"/>
      <c r="Y104" s="861" t="n"/>
      <c r="Z104" s="861" t="n"/>
      <c r="AA104" s="861" t="n"/>
      <c r="AB104" s="861" t="n"/>
      <c r="AC104" s="861" t="n"/>
    </row>
    <row r="105" customFormat="1" s="59">
      <c r="G105" s="208" t="n"/>
      <c r="T105" s="861" t="n"/>
      <c r="U105" s="861" t="n"/>
      <c r="V105" s="861" t="n"/>
      <c r="W105" s="861" t="n"/>
      <c r="X105" s="861" t="n"/>
      <c r="Y105" s="861" t="n"/>
      <c r="Z105" s="861" t="n"/>
      <c r="AA105" s="861" t="n"/>
      <c r="AB105" s="861" t="n"/>
      <c r="AC105" s="861" t="n"/>
    </row>
    <row r="106" customFormat="1" s="59">
      <c r="G106" s="208" t="n"/>
      <c r="T106" s="861" t="n"/>
      <c r="U106" s="861" t="n"/>
      <c r="V106" s="861" t="n"/>
      <c r="W106" s="861" t="n"/>
      <c r="X106" s="861" t="n"/>
      <c r="Y106" s="861" t="n"/>
      <c r="Z106" s="861" t="n"/>
      <c r="AA106" s="861" t="n"/>
      <c r="AB106" s="861" t="n"/>
      <c r="AC106" s="861" t="n"/>
    </row>
    <row r="107" customFormat="1" s="59">
      <c r="G107" s="208" t="n"/>
      <c r="T107" s="861" t="n"/>
      <c r="U107" s="861" t="n"/>
      <c r="V107" s="861" t="n"/>
      <c r="W107" s="861" t="n"/>
      <c r="X107" s="861" t="n"/>
      <c r="Y107" s="861" t="n"/>
      <c r="Z107" s="861" t="n"/>
      <c r="AA107" s="861" t="n"/>
      <c r="AB107" s="861" t="n"/>
      <c r="AC107" s="861" t="n"/>
    </row>
    <row r="108" customFormat="1" s="59">
      <c r="G108" s="208" t="n"/>
      <c r="T108" s="861" t="n"/>
      <c r="U108" s="861" t="n"/>
      <c r="V108" s="861" t="n"/>
      <c r="W108" s="861" t="n"/>
      <c r="X108" s="861" t="n"/>
      <c r="Y108" s="861" t="n"/>
      <c r="Z108" s="861" t="n"/>
      <c r="AA108" s="861" t="n"/>
      <c r="AB108" s="861" t="n"/>
      <c r="AC108" s="861" t="n"/>
    </row>
    <row r="109" customFormat="1" s="59">
      <c r="G109" s="208" t="n"/>
      <c r="T109" s="861" t="n"/>
      <c r="U109" s="861" t="n"/>
      <c r="V109" s="861" t="n"/>
      <c r="W109" s="861" t="n"/>
      <c r="X109" s="861" t="n"/>
      <c r="Y109" s="861" t="n"/>
      <c r="Z109" s="861" t="n"/>
      <c r="AA109" s="861" t="n"/>
      <c r="AB109" s="861" t="n"/>
      <c r="AC109" s="861" t="n"/>
    </row>
    <row r="110" customFormat="1" s="59">
      <c r="G110" s="208" t="n"/>
      <c r="T110" s="861" t="n"/>
      <c r="U110" s="861" t="n"/>
      <c r="V110" s="861" t="n"/>
      <c r="W110" s="861" t="n"/>
      <c r="X110" s="861" t="n"/>
      <c r="Y110" s="861" t="n"/>
      <c r="Z110" s="861" t="n"/>
      <c r="AA110" s="861" t="n"/>
      <c r="AB110" s="861" t="n"/>
      <c r="AC110" s="861" t="n"/>
    </row>
    <row r="111" customFormat="1" s="59">
      <c r="G111" s="208" t="n"/>
      <c r="T111" s="861" t="n"/>
      <c r="U111" s="861" t="n"/>
      <c r="V111" s="861" t="n"/>
      <c r="W111" s="861" t="n"/>
      <c r="X111" s="861" t="n"/>
      <c r="Y111" s="861" t="n"/>
      <c r="Z111" s="861" t="n"/>
      <c r="AA111" s="861" t="n"/>
      <c r="AB111" s="861" t="n"/>
      <c r="AC111" s="861" t="n"/>
    </row>
    <row r="112" customFormat="1" s="59">
      <c r="G112" s="208" t="n"/>
      <c r="T112" s="861" t="n"/>
      <c r="U112" s="861" t="n"/>
      <c r="V112" s="861" t="n"/>
      <c r="W112" s="861" t="n"/>
      <c r="X112" s="861" t="n"/>
      <c r="Y112" s="861" t="n"/>
      <c r="Z112" s="861" t="n"/>
      <c r="AA112" s="861" t="n"/>
      <c r="AB112" s="861" t="n"/>
      <c r="AC112" s="861" t="n"/>
    </row>
    <row r="113" customFormat="1" s="59">
      <c r="G113" s="208" t="n"/>
      <c r="T113" s="861" t="n"/>
      <c r="U113" s="861" t="n"/>
      <c r="V113" s="861" t="n"/>
      <c r="W113" s="861" t="n"/>
      <c r="X113" s="861" t="n"/>
      <c r="Y113" s="861" t="n"/>
      <c r="Z113" s="861" t="n"/>
      <c r="AA113" s="861" t="n"/>
      <c r="AB113" s="861" t="n"/>
      <c r="AC113" s="861" t="n"/>
    </row>
    <row r="114" customFormat="1" s="59">
      <c r="G114" s="208" t="n"/>
      <c r="T114" s="861" t="n"/>
      <c r="U114" s="861" t="n"/>
      <c r="V114" s="861" t="n"/>
      <c r="W114" s="861" t="n"/>
      <c r="X114" s="861" t="n"/>
      <c r="Y114" s="861" t="n"/>
      <c r="Z114" s="861" t="n"/>
      <c r="AA114" s="861" t="n"/>
      <c r="AB114" s="861" t="n"/>
      <c r="AC114" s="861" t="n"/>
    </row>
    <row r="115" customFormat="1" s="59">
      <c r="G115" s="208" t="n"/>
      <c r="T115" s="861" t="n"/>
      <c r="U115" s="861" t="n"/>
      <c r="V115" s="861" t="n"/>
      <c r="W115" s="861" t="n"/>
      <c r="X115" s="861" t="n"/>
      <c r="Y115" s="861" t="n"/>
      <c r="Z115" s="861" t="n"/>
      <c r="AA115" s="861" t="n"/>
      <c r="AB115" s="861" t="n"/>
      <c r="AC115" s="861" t="n"/>
    </row>
    <row r="116" customFormat="1" s="59">
      <c r="G116" s="208" t="n"/>
      <c r="T116" s="861" t="n"/>
      <c r="U116" s="861" t="n"/>
      <c r="V116" s="861" t="n"/>
      <c r="W116" s="861" t="n"/>
      <c r="X116" s="861" t="n"/>
      <c r="Y116" s="861" t="n"/>
      <c r="Z116" s="861" t="n"/>
      <c r="AA116" s="861" t="n"/>
      <c r="AB116" s="861" t="n"/>
      <c r="AC116" s="861" t="n"/>
    </row>
    <row r="117" customFormat="1" s="59">
      <c r="G117" s="208" t="n"/>
      <c r="T117" s="861" t="n"/>
      <c r="U117" s="861" t="n"/>
      <c r="V117" s="861" t="n"/>
      <c r="W117" s="861" t="n"/>
      <c r="X117" s="861" t="n"/>
      <c r="Y117" s="861" t="n"/>
      <c r="Z117" s="861" t="n"/>
      <c r="AA117" s="861" t="n"/>
      <c r="AB117" s="861" t="n"/>
      <c r="AC117" s="861" t="n"/>
    </row>
    <row r="118" customFormat="1" s="59">
      <c r="G118" s="208" t="n"/>
      <c r="T118" s="861" t="n"/>
      <c r="U118" s="861" t="n"/>
      <c r="V118" s="861" t="n"/>
      <c r="W118" s="861" t="n"/>
      <c r="X118" s="861" t="n"/>
      <c r="Y118" s="861" t="n"/>
      <c r="Z118" s="861" t="n"/>
      <c r="AA118" s="861" t="n"/>
      <c r="AB118" s="861" t="n"/>
      <c r="AC118" s="861" t="n"/>
    </row>
    <row r="119" customFormat="1" s="59">
      <c r="G119" s="208" t="n"/>
      <c r="T119" s="861" t="n"/>
      <c r="U119" s="861" t="n"/>
      <c r="V119" s="861" t="n"/>
      <c r="W119" s="861" t="n"/>
      <c r="X119" s="861" t="n"/>
      <c r="Y119" s="861" t="n"/>
      <c r="Z119" s="861" t="n"/>
      <c r="AA119" s="861" t="n"/>
      <c r="AB119" s="861" t="n"/>
      <c r="AC119" s="861" t="n"/>
    </row>
    <row r="120" customFormat="1" s="59">
      <c r="G120" s="208" t="n"/>
      <c r="T120" s="861" t="n"/>
      <c r="U120" s="861" t="n"/>
      <c r="V120" s="861" t="n"/>
      <c r="W120" s="861" t="n"/>
      <c r="X120" s="861" t="n"/>
      <c r="Y120" s="861" t="n"/>
      <c r="Z120" s="861" t="n"/>
      <c r="AA120" s="861" t="n"/>
      <c r="AB120" s="861" t="n"/>
      <c r="AC120" s="861" t="n"/>
    </row>
    <row r="121" customFormat="1" s="59">
      <c r="G121" s="208" t="n"/>
      <c r="T121" s="861" t="n"/>
      <c r="U121" s="861" t="n"/>
      <c r="V121" s="861" t="n"/>
      <c r="W121" s="861" t="n"/>
      <c r="X121" s="861" t="n"/>
      <c r="Y121" s="861" t="n"/>
      <c r="Z121" s="861" t="n"/>
      <c r="AA121" s="861" t="n"/>
      <c r="AB121" s="861" t="n"/>
      <c r="AC121" s="861" t="n"/>
    </row>
    <row r="122" customFormat="1" s="59">
      <c r="G122" s="208" t="n"/>
      <c r="T122" s="861" t="n"/>
      <c r="U122" s="861" t="n"/>
      <c r="V122" s="861" t="n"/>
      <c r="W122" s="861" t="n"/>
      <c r="X122" s="861" t="n"/>
      <c r="Y122" s="861" t="n"/>
      <c r="Z122" s="861" t="n"/>
      <c r="AA122" s="861" t="n"/>
      <c r="AB122" s="861" t="n"/>
      <c r="AC122" s="861" t="n"/>
    </row>
    <row r="123" customFormat="1" s="59">
      <c r="G123" s="208" t="n"/>
      <c r="T123" s="861" t="n"/>
      <c r="U123" s="861" t="n"/>
      <c r="V123" s="861" t="n"/>
      <c r="W123" s="861" t="n"/>
      <c r="X123" s="861" t="n"/>
      <c r="Y123" s="861" t="n"/>
      <c r="Z123" s="861" t="n"/>
      <c r="AA123" s="861" t="n"/>
      <c r="AB123" s="861" t="n"/>
      <c r="AC123" s="861" t="n"/>
    </row>
    <row r="124" customFormat="1" s="59">
      <c r="G124" s="208" t="n"/>
      <c r="T124" s="861" t="n"/>
      <c r="U124" s="861" t="n"/>
      <c r="V124" s="861" t="n"/>
      <c r="W124" s="861" t="n"/>
      <c r="X124" s="861" t="n"/>
      <c r="Y124" s="861" t="n"/>
      <c r="Z124" s="861" t="n"/>
      <c r="AA124" s="861" t="n"/>
      <c r="AB124" s="861" t="n"/>
      <c r="AC124" s="861" t="n"/>
    </row>
    <row r="125" customFormat="1" s="59">
      <c r="G125" s="208" t="n"/>
      <c r="T125" s="861" t="n"/>
      <c r="U125" s="861" t="n"/>
      <c r="V125" s="861" t="n"/>
      <c r="W125" s="861" t="n"/>
      <c r="X125" s="861" t="n"/>
      <c r="Y125" s="861" t="n"/>
      <c r="Z125" s="861" t="n"/>
      <c r="AA125" s="861" t="n"/>
      <c r="AB125" s="861" t="n"/>
      <c r="AC125" s="861" t="n"/>
    </row>
    <row r="126" customFormat="1" s="59">
      <c r="G126" s="208" t="n"/>
      <c r="T126" s="861" t="n"/>
      <c r="U126" s="861" t="n"/>
      <c r="V126" s="861" t="n"/>
      <c r="W126" s="861" t="n"/>
      <c r="X126" s="861" t="n"/>
      <c r="Y126" s="861" t="n"/>
      <c r="Z126" s="861" t="n"/>
      <c r="AA126" s="861" t="n"/>
      <c r="AB126" s="861" t="n"/>
      <c r="AC126" s="861" t="n"/>
    </row>
    <row r="127" customFormat="1" s="59">
      <c r="G127" s="208" t="n"/>
      <c r="T127" s="861" t="n"/>
      <c r="U127" s="861" t="n"/>
      <c r="V127" s="861" t="n"/>
      <c r="W127" s="861" t="n"/>
      <c r="X127" s="861" t="n"/>
      <c r="Y127" s="861" t="n"/>
      <c r="Z127" s="861" t="n"/>
      <c r="AA127" s="861" t="n"/>
      <c r="AB127" s="861" t="n"/>
      <c r="AC127" s="861" t="n"/>
    </row>
    <row r="128" customFormat="1" s="59">
      <c r="G128" s="208" t="n"/>
      <c r="T128" s="861" t="n"/>
      <c r="U128" s="861" t="n"/>
      <c r="V128" s="861" t="n"/>
      <c r="W128" s="861" t="n"/>
      <c r="X128" s="861" t="n"/>
      <c r="Y128" s="861" t="n"/>
      <c r="Z128" s="861" t="n"/>
      <c r="AA128" s="861" t="n"/>
      <c r="AB128" s="861" t="n"/>
      <c r="AC128" s="861" t="n"/>
    </row>
    <row r="129" customFormat="1" s="59">
      <c r="G129" s="208" t="n"/>
      <c r="T129" s="861" t="n"/>
      <c r="U129" s="861" t="n"/>
      <c r="V129" s="861" t="n"/>
      <c r="W129" s="861" t="n"/>
      <c r="X129" s="861" t="n"/>
      <c r="Y129" s="861" t="n"/>
      <c r="Z129" s="861" t="n"/>
      <c r="AA129" s="861" t="n"/>
      <c r="AB129" s="861" t="n"/>
      <c r="AC129" s="861" t="n"/>
    </row>
    <row r="130" customFormat="1" s="59">
      <c r="G130" s="208" t="n"/>
      <c r="T130" s="861" t="n"/>
      <c r="U130" s="861" t="n"/>
      <c r="V130" s="861" t="n"/>
      <c r="W130" s="861" t="n"/>
      <c r="X130" s="861" t="n"/>
      <c r="Y130" s="861" t="n"/>
      <c r="Z130" s="861" t="n"/>
      <c r="AA130" s="861" t="n"/>
      <c r="AB130" s="861" t="n"/>
      <c r="AC130" s="861" t="n"/>
    </row>
    <row r="131" customFormat="1" s="59">
      <c r="G131" s="208" t="n"/>
      <c r="T131" s="861" t="n"/>
      <c r="U131" s="861" t="n"/>
      <c r="V131" s="861" t="n"/>
      <c r="W131" s="861" t="n"/>
      <c r="X131" s="861" t="n"/>
      <c r="Y131" s="861" t="n"/>
      <c r="Z131" s="861" t="n"/>
      <c r="AA131" s="861" t="n"/>
      <c r="AB131" s="861" t="n"/>
      <c r="AC131" s="861" t="n"/>
    </row>
    <row r="132" customFormat="1" s="59">
      <c r="G132" s="208" t="n"/>
      <c r="T132" s="861" t="n"/>
      <c r="U132" s="861" t="n"/>
      <c r="V132" s="861" t="n"/>
      <c r="W132" s="861" t="n"/>
      <c r="X132" s="861" t="n"/>
      <c r="Y132" s="861" t="n"/>
      <c r="Z132" s="861" t="n"/>
      <c r="AA132" s="861" t="n"/>
      <c r="AB132" s="861" t="n"/>
      <c r="AC132" s="861" t="n"/>
    </row>
    <row r="133" customFormat="1" s="59">
      <c r="G133" s="208" t="n"/>
      <c r="T133" s="861" t="n"/>
      <c r="U133" s="861" t="n"/>
      <c r="V133" s="861" t="n"/>
      <c r="W133" s="861" t="n"/>
      <c r="X133" s="861" t="n"/>
      <c r="Y133" s="861" t="n"/>
      <c r="Z133" s="861" t="n"/>
      <c r="AA133" s="861" t="n"/>
      <c r="AB133" s="861" t="n"/>
      <c r="AC133" s="861" t="n"/>
    </row>
    <row r="134" customFormat="1" s="59">
      <c r="G134" s="208" t="n"/>
      <c r="T134" s="861" t="n"/>
      <c r="U134" s="861" t="n"/>
      <c r="V134" s="861" t="n"/>
      <c r="W134" s="861" t="n"/>
      <c r="X134" s="861" t="n"/>
      <c r="Y134" s="861" t="n"/>
      <c r="Z134" s="861" t="n"/>
      <c r="AA134" s="861" t="n"/>
      <c r="AB134" s="861" t="n"/>
      <c r="AC134" s="861" t="n"/>
    </row>
    <row r="135" customFormat="1" s="59">
      <c r="G135" s="208" t="n"/>
      <c r="T135" s="861" t="n"/>
      <c r="U135" s="861" t="n"/>
      <c r="V135" s="861" t="n"/>
      <c r="W135" s="861" t="n"/>
      <c r="X135" s="861" t="n"/>
      <c r="Y135" s="861" t="n"/>
      <c r="Z135" s="861" t="n"/>
      <c r="AA135" s="861" t="n"/>
      <c r="AB135" s="861" t="n"/>
      <c r="AC135" s="861" t="n"/>
    </row>
    <row r="136" customFormat="1" s="59">
      <c r="G136" s="208" t="n"/>
      <c r="T136" s="861" t="n"/>
      <c r="U136" s="861" t="n"/>
      <c r="V136" s="861" t="n"/>
      <c r="W136" s="861" t="n"/>
      <c r="X136" s="861" t="n"/>
      <c r="Y136" s="861" t="n"/>
      <c r="Z136" s="861" t="n"/>
      <c r="AA136" s="861" t="n"/>
      <c r="AB136" s="861" t="n"/>
      <c r="AC136" s="861" t="n"/>
    </row>
    <row r="137" customFormat="1" s="59">
      <c r="G137" s="208" t="n"/>
      <c r="T137" s="861" t="n"/>
      <c r="U137" s="861" t="n"/>
      <c r="V137" s="861" t="n"/>
      <c r="W137" s="861" t="n"/>
      <c r="X137" s="861" t="n"/>
      <c r="Y137" s="861" t="n"/>
      <c r="Z137" s="861" t="n"/>
      <c r="AA137" s="861" t="n"/>
      <c r="AB137" s="861" t="n"/>
      <c r="AC137" s="861" t="n"/>
    </row>
    <row r="138" customFormat="1" s="59">
      <c r="G138" s="208" t="n"/>
      <c r="T138" s="861" t="n"/>
      <c r="U138" s="861" t="n"/>
      <c r="V138" s="861" t="n"/>
      <c r="W138" s="861" t="n"/>
      <c r="X138" s="861" t="n"/>
      <c r="Y138" s="861" t="n"/>
      <c r="Z138" s="861" t="n"/>
      <c r="AA138" s="861" t="n"/>
      <c r="AB138" s="861" t="n"/>
      <c r="AC138" s="861" t="n"/>
    </row>
    <row r="139" customFormat="1" s="59">
      <c r="G139" s="208" t="n"/>
      <c r="T139" s="861" t="n"/>
      <c r="U139" s="861" t="n"/>
      <c r="V139" s="861" t="n"/>
      <c r="W139" s="861" t="n"/>
      <c r="X139" s="861" t="n"/>
      <c r="Y139" s="861" t="n"/>
      <c r="Z139" s="861" t="n"/>
      <c r="AA139" s="861" t="n"/>
      <c r="AB139" s="861" t="n"/>
      <c r="AC139" s="861" t="n"/>
    </row>
    <row r="140" customFormat="1" s="59">
      <c r="G140" s="208" t="n"/>
      <c r="T140" s="861" t="n"/>
      <c r="U140" s="861" t="n"/>
      <c r="V140" s="861" t="n"/>
      <c r="W140" s="861" t="n"/>
      <c r="X140" s="861" t="n"/>
      <c r="Y140" s="861" t="n"/>
      <c r="Z140" s="861" t="n"/>
      <c r="AA140" s="861" t="n"/>
      <c r="AB140" s="861" t="n"/>
      <c r="AC140" s="861" t="n"/>
    </row>
    <row r="141" customFormat="1" s="59">
      <c r="G141" s="208" t="n"/>
      <c r="T141" s="861" t="n"/>
      <c r="U141" s="861" t="n"/>
      <c r="V141" s="861" t="n"/>
      <c r="W141" s="861" t="n"/>
      <c r="X141" s="861" t="n"/>
      <c r="Y141" s="861" t="n"/>
      <c r="Z141" s="861" t="n"/>
      <c r="AA141" s="861" t="n"/>
      <c r="AB141" s="861" t="n"/>
      <c r="AC141" s="861" t="n"/>
    </row>
    <row r="142" customFormat="1" s="59">
      <c r="G142" s="208" t="n"/>
      <c r="T142" s="861" t="n"/>
      <c r="U142" s="861" t="n"/>
      <c r="V142" s="861" t="n"/>
      <c r="W142" s="861" t="n"/>
      <c r="X142" s="861" t="n"/>
      <c r="Y142" s="861" t="n"/>
      <c r="Z142" s="861" t="n"/>
      <c r="AA142" s="861" t="n"/>
      <c r="AB142" s="861" t="n"/>
      <c r="AC142" s="861" t="n"/>
    </row>
    <row r="143" customFormat="1" s="59">
      <c r="G143" s="208" t="n"/>
      <c r="T143" s="861" t="n"/>
      <c r="U143" s="861" t="n"/>
      <c r="V143" s="861" t="n"/>
      <c r="W143" s="861" t="n"/>
      <c r="X143" s="861" t="n"/>
      <c r="Y143" s="861" t="n"/>
      <c r="Z143" s="861" t="n"/>
      <c r="AA143" s="861" t="n"/>
      <c r="AB143" s="861" t="n"/>
      <c r="AC143" s="861" t="n"/>
    </row>
    <row r="144" customFormat="1" s="59">
      <c r="G144" s="208" t="n"/>
      <c r="T144" s="861" t="n"/>
      <c r="U144" s="861" t="n"/>
      <c r="V144" s="861" t="n"/>
      <c r="W144" s="861" t="n"/>
      <c r="X144" s="861" t="n"/>
      <c r="Y144" s="861" t="n"/>
      <c r="Z144" s="861" t="n"/>
      <c r="AA144" s="861" t="n"/>
      <c r="AB144" s="861" t="n"/>
      <c r="AC144" s="861" t="n"/>
    </row>
    <row r="145" customFormat="1" s="59">
      <c r="G145" s="208" t="n"/>
      <c r="T145" s="861" t="n"/>
      <c r="U145" s="861" t="n"/>
      <c r="V145" s="861" t="n"/>
      <c r="W145" s="861" t="n"/>
      <c r="X145" s="861" t="n"/>
      <c r="Y145" s="861" t="n"/>
      <c r="Z145" s="861" t="n"/>
      <c r="AA145" s="861" t="n"/>
      <c r="AB145" s="861" t="n"/>
      <c r="AC145" s="861" t="n"/>
    </row>
    <row r="146" customFormat="1" s="59">
      <c r="G146" s="208" t="n"/>
      <c r="T146" s="861" t="n"/>
      <c r="U146" s="861" t="n"/>
      <c r="V146" s="861" t="n"/>
      <c r="W146" s="861" t="n"/>
      <c r="X146" s="861" t="n"/>
      <c r="Y146" s="861" t="n"/>
      <c r="Z146" s="861" t="n"/>
      <c r="AA146" s="861" t="n"/>
      <c r="AB146" s="861" t="n"/>
      <c r="AC146" s="861" t="n"/>
    </row>
    <row r="147" customFormat="1" s="59">
      <c r="G147" s="208" t="n"/>
      <c r="T147" s="861" t="n"/>
      <c r="U147" s="861" t="n"/>
      <c r="V147" s="861" t="n"/>
      <c r="W147" s="861" t="n"/>
      <c r="X147" s="861" t="n"/>
      <c r="Y147" s="861" t="n"/>
      <c r="Z147" s="861" t="n"/>
      <c r="AA147" s="861" t="n"/>
      <c r="AB147" s="861" t="n"/>
      <c r="AC147" s="861" t="n"/>
    </row>
    <row r="148" customFormat="1" s="59">
      <c r="G148" s="208" t="n"/>
      <c r="T148" s="861" t="n"/>
      <c r="U148" s="861" t="n"/>
      <c r="V148" s="861" t="n"/>
      <c r="W148" s="861" t="n"/>
      <c r="X148" s="861" t="n"/>
      <c r="Y148" s="861" t="n"/>
      <c r="Z148" s="861" t="n"/>
      <c r="AA148" s="861" t="n"/>
      <c r="AB148" s="861" t="n"/>
      <c r="AC148" s="861" t="n"/>
    </row>
    <row r="149" customFormat="1" s="59">
      <c r="G149" s="208" t="n"/>
      <c r="T149" s="861" t="n"/>
      <c r="U149" s="861" t="n"/>
      <c r="V149" s="861" t="n"/>
      <c r="W149" s="861" t="n"/>
      <c r="X149" s="861" t="n"/>
      <c r="Y149" s="861" t="n"/>
      <c r="Z149" s="861" t="n"/>
      <c r="AA149" s="861" t="n"/>
      <c r="AB149" s="861" t="n"/>
      <c r="AC149" s="861" t="n"/>
    </row>
    <row r="150" customFormat="1" s="59">
      <c r="G150" s="208" t="n"/>
      <c r="T150" s="861" t="n"/>
      <c r="U150" s="861" t="n"/>
      <c r="V150" s="861" t="n"/>
      <c r="W150" s="861" t="n"/>
      <c r="X150" s="861" t="n"/>
      <c r="Y150" s="861" t="n"/>
      <c r="Z150" s="861" t="n"/>
      <c r="AA150" s="861" t="n"/>
      <c r="AB150" s="861" t="n"/>
      <c r="AC150" s="861" t="n"/>
    </row>
    <row r="151" customFormat="1" s="59">
      <c r="G151" s="208" t="n"/>
      <c r="T151" s="861" t="n"/>
      <c r="U151" s="861" t="n"/>
      <c r="V151" s="861" t="n"/>
      <c r="W151" s="861" t="n"/>
      <c r="X151" s="861" t="n"/>
      <c r="Y151" s="861" t="n"/>
      <c r="Z151" s="861" t="n"/>
      <c r="AA151" s="861" t="n"/>
      <c r="AB151" s="861" t="n"/>
      <c r="AC151" s="861" t="n"/>
    </row>
    <row r="152" customFormat="1" s="59">
      <c r="G152" s="208" t="n"/>
      <c r="T152" s="861" t="n"/>
      <c r="U152" s="861" t="n"/>
      <c r="V152" s="861" t="n"/>
      <c r="W152" s="861" t="n"/>
      <c r="X152" s="861" t="n"/>
      <c r="Y152" s="861" t="n"/>
      <c r="Z152" s="861" t="n"/>
      <c r="AA152" s="861" t="n"/>
      <c r="AB152" s="861" t="n"/>
      <c r="AC152" s="861" t="n"/>
    </row>
    <row r="153" customFormat="1" s="59">
      <c r="G153" s="208" t="n"/>
      <c r="T153" s="861" t="n"/>
      <c r="U153" s="861" t="n"/>
      <c r="V153" s="861" t="n"/>
      <c r="W153" s="861" t="n"/>
      <c r="X153" s="861" t="n"/>
      <c r="Y153" s="861" t="n"/>
      <c r="Z153" s="861" t="n"/>
      <c r="AA153" s="861" t="n"/>
      <c r="AB153" s="861" t="n"/>
      <c r="AC153" s="861" t="n"/>
    </row>
    <row r="154" customFormat="1" s="59">
      <c r="G154" s="208" t="n"/>
      <c r="T154" s="861" t="n"/>
      <c r="U154" s="861" t="n"/>
      <c r="V154" s="861" t="n"/>
      <c r="W154" s="861" t="n"/>
      <c r="X154" s="861" t="n"/>
      <c r="Y154" s="861" t="n"/>
      <c r="Z154" s="861" t="n"/>
      <c r="AA154" s="861" t="n"/>
      <c r="AB154" s="861" t="n"/>
      <c r="AC154" s="861" t="n"/>
    </row>
    <row r="155" customFormat="1" s="59">
      <c r="G155" s="208" t="n"/>
      <c r="T155" s="861" t="n"/>
      <c r="U155" s="861" t="n"/>
      <c r="V155" s="861" t="n"/>
      <c r="W155" s="861" t="n"/>
      <c r="X155" s="861" t="n"/>
      <c r="Y155" s="861" t="n"/>
      <c r="Z155" s="861" t="n"/>
      <c r="AA155" s="861" t="n"/>
      <c r="AB155" s="861" t="n"/>
      <c r="AC155" s="861" t="n"/>
    </row>
    <row r="156" customFormat="1" s="59">
      <c r="G156" s="208" t="n"/>
      <c r="T156" s="861" t="n"/>
      <c r="U156" s="861" t="n"/>
      <c r="V156" s="861" t="n"/>
      <c r="W156" s="861" t="n"/>
      <c r="X156" s="861" t="n"/>
      <c r="Y156" s="861" t="n"/>
      <c r="Z156" s="861" t="n"/>
      <c r="AA156" s="861" t="n"/>
      <c r="AB156" s="861" t="n"/>
      <c r="AC156" s="861" t="n"/>
    </row>
    <row r="157" customFormat="1" s="59">
      <c r="G157" s="208" t="n"/>
      <c r="T157" s="861" t="n"/>
      <c r="U157" s="861" t="n"/>
      <c r="V157" s="861" t="n"/>
      <c r="W157" s="861" t="n"/>
      <c r="X157" s="861" t="n"/>
      <c r="Y157" s="861" t="n"/>
      <c r="Z157" s="861" t="n"/>
      <c r="AA157" s="861" t="n"/>
      <c r="AB157" s="861" t="n"/>
      <c r="AC157" s="861" t="n"/>
    </row>
    <row r="158" customFormat="1" s="59">
      <c r="G158" s="208" t="n"/>
      <c r="T158" s="861" t="n"/>
      <c r="U158" s="861" t="n"/>
      <c r="V158" s="861" t="n"/>
      <c r="W158" s="861" t="n"/>
      <c r="X158" s="861" t="n"/>
      <c r="Y158" s="861" t="n"/>
      <c r="Z158" s="861" t="n"/>
      <c r="AA158" s="861" t="n"/>
      <c r="AB158" s="861" t="n"/>
      <c r="AC158" s="861" t="n"/>
    </row>
    <row r="159" customFormat="1" s="59">
      <c r="G159" s="208" t="n"/>
      <c r="T159" s="861" t="n"/>
      <c r="U159" s="861" t="n"/>
      <c r="V159" s="861" t="n"/>
      <c r="W159" s="861" t="n"/>
      <c r="X159" s="861" t="n"/>
      <c r="Y159" s="861" t="n"/>
      <c r="Z159" s="861" t="n"/>
      <c r="AA159" s="861" t="n"/>
      <c r="AB159" s="861" t="n"/>
      <c r="AC159" s="861" t="n"/>
    </row>
    <row r="160" customFormat="1" s="59">
      <c r="G160" s="208" t="n"/>
      <c r="T160" s="861" t="n"/>
      <c r="U160" s="861" t="n"/>
      <c r="V160" s="861" t="n"/>
      <c r="W160" s="861" t="n"/>
      <c r="X160" s="861" t="n"/>
      <c r="Y160" s="861" t="n"/>
      <c r="Z160" s="861" t="n"/>
      <c r="AA160" s="861" t="n"/>
      <c r="AB160" s="861" t="n"/>
      <c r="AC160" s="861" t="n"/>
    </row>
    <row r="161" customFormat="1" s="59">
      <c r="G161" s="208" t="n"/>
      <c r="T161" s="861" t="n"/>
      <c r="U161" s="861" t="n"/>
      <c r="V161" s="861" t="n"/>
      <c r="W161" s="861" t="n"/>
      <c r="X161" s="861" t="n"/>
      <c r="Y161" s="861" t="n"/>
      <c r="Z161" s="861" t="n"/>
      <c r="AA161" s="861" t="n"/>
      <c r="AB161" s="861" t="n"/>
      <c r="AC161" s="861" t="n"/>
    </row>
    <row r="162" customFormat="1" s="59">
      <c r="G162" s="208" t="n"/>
      <c r="T162" s="861" t="n"/>
      <c r="U162" s="861" t="n"/>
      <c r="V162" s="861" t="n"/>
      <c r="W162" s="861" t="n"/>
      <c r="X162" s="861" t="n"/>
      <c r="Y162" s="861" t="n"/>
      <c r="Z162" s="861" t="n"/>
      <c r="AA162" s="861" t="n"/>
      <c r="AB162" s="861" t="n"/>
      <c r="AC162" s="861" t="n"/>
    </row>
    <row r="163" customFormat="1" s="59">
      <c r="G163" s="208" t="n"/>
      <c r="T163" s="861" t="n"/>
      <c r="U163" s="861" t="n"/>
      <c r="V163" s="861" t="n"/>
      <c r="W163" s="861" t="n"/>
      <c r="X163" s="861" t="n"/>
      <c r="Y163" s="861" t="n"/>
      <c r="Z163" s="861" t="n"/>
      <c r="AA163" s="861" t="n"/>
      <c r="AB163" s="861" t="n"/>
      <c r="AC163" s="861" t="n"/>
    </row>
    <row r="164" customFormat="1" s="59">
      <c r="G164" s="208" t="n"/>
      <c r="T164" s="861" t="n"/>
      <c r="U164" s="861" t="n"/>
      <c r="V164" s="861" t="n"/>
      <c r="W164" s="861" t="n"/>
      <c r="X164" s="861" t="n"/>
      <c r="Y164" s="861" t="n"/>
      <c r="Z164" s="861" t="n"/>
      <c r="AA164" s="861" t="n"/>
      <c r="AB164" s="861" t="n"/>
      <c r="AC164" s="861" t="n"/>
    </row>
    <row r="165" customFormat="1" s="59">
      <c r="G165" s="208" t="n"/>
      <c r="T165" s="861" t="n"/>
      <c r="U165" s="861" t="n"/>
      <c r="V165" s="861" t="n"/>
      <c r="W165" s="861" t="n"/>
      <c r="X165" s="861" t="n"/>
      <c r="Y165" s="861" t="n"/>
      <c r="Z165" s="861" t="n"/>
      <c r="AA165" s="861" t="n"/>
      <c r="AB165" s="861" t="n"/>
      <c r="AC165" s="861" t="n"/>
    </row>
    <row r="166" customFormat="1" s="59">
      <c r="G166" s="208" t="n"/>
      <c r="T166" s="861" t="n"/>
      <c r="U166" s="861" t="n"/>
      <c r="V166" s="861" t="n"/>
      <c r="W166" s="861" t="n"/>
      <c r="X166" s="861" t="n"/>
      <c r="Y166" s="861" t="n"/>
      <c r="Z166" s="861" t="n"/>
      <c r="AA166" s="861" t="n"/>
      <c r="AB166" s="861" t="n"/>
      <c r="AC166" s="861" t="n"/>
    </row>
    <row r="167" customFormat="1" s="59">
      <c r="G167" s="208" t="n"/>
      <c r="T167" s="861" t="n"/>
      <c r="U167" s="861" t="n"/>
      <c r="V167" s="861" t="n"/>
      <c r="W167" s="861" t="n"/>
      <c r="X167" s="861" t="n"/>
      <c r="Y167" s="861" t="n"/>
      <c r="Z167" s="861" t="n"/>
      <c r="AA167" s="861" t="n"/>
      <c r="AB167" s="861" t="n"/>
      <c r="AC167" s="861" t="n"/>
    </row>
    <row r="168" customFormat="1" s="59">
      <c r="G168" s="208" t="n"/>
      <c r="T168" s="861" t="n"/>
      <c r="U168" s="861" t="n"/>
      <c r="V168" s="861" t="n"/>
      <c r="W168" s="861" t="n"/>
      <c r="X168" s="861" t="n"/>
      <c r="Y168" s="861" t="n"/>
      <c r="Z168" s="861" t="n"/>
      <c r="AA168" s="861" t="n"/>
      <c r="AB168" s="861" t="n"/>
      <c r="AC168" s="861" t="n"/>
    </row>
    <row r="169" customFormat="1" s="59">
      <c r="G169" s="208" t="n"/>
      <c r="T169" s="861" t="n"/>
      <c r="U169" s="861" t="n"/>
      <c r="V169" s="861" t="n"/>
      <c r="W169" s="861" t="n"/>
      <c r="X169" s="861" t="n"/>
      <c r="Y169" s="861" t="n"/>
      <c r="Z169" s="861" t="n"/>
      <c r="AA169" s="861" t="n"/>
      <c r="AB169" s="861" t="n"/>
      <c r="AC169" s="861" t="n"/>
    </row>
    <row r="170" customFormat="1" s="59">
      <c r="G170" s="208" t="n"/>
      <c r="T170" s="861" t="n"/>
      <c r="U170" s="861" t="n"/>
      <c r="V170" s="861" t="n"/>
      <c r="W170" s="861" t="n"/>
      <c r="X170" s="861" t="n"/>
      <c r="Y170" s="861" t="n"/>
      <c r="Z170" s="861" t="n"/>
      <c r="AA170" s="861" t="n"/>
      <c r="AB170" s="861" t="n"/>
      <c r="AC170" s="861" t="n"/>
    </row>
    <row r="171" customFormat="1" s="59">
      <c r="G171" s="208" t="n"/>
      <c r="T171" s="861" t="n"/>
      <c r="U171" s="861" t="n"/>
      <c r="V171" s="861" t="n"/>
      <c r="W171" s="861" t="n"/>
      <c r="X171" s="861" t="n"/>
      <c r="Y171" s="861" t="n"/>
      <c r="Z171" s="861" t="n"/>
      <c r="AA171" s="861" t="n"/>
      <c r="AB171" s="861" t="n"/>
      <c r="AC171" s="861" t="n"/>
    </row>
    <row r="172" customFormat="1" s="59">
      <c r="G172" s="208" t="n"/>
      <c r="T172" s="861" t="n"/>
      <c r="U172" s="861" t="n"/>
      <c r="V172" s="861" t="n"/>
      <c r="W172" s="861" t="n"/>
      <c r="X172" s="861" t="n"/>
      <c r="Y172" s="861" t="n"/>
      <c r="Z172" s="861" t="n"/>
      <c r="AA172" s="861" t="n"/>
      <c r="AB172" s="861" t="n"/>
      <c r="AC172" s="861" t="n"/>
    </row>
    <row r="173" customFormat="1" s="59">
      <c r="G173" s="208" t="n"/>
      <c r="T173" s="861" t="n"/>
      <c r="U173" s="861" t="n"/>
      <c r="V173" s="861" t="n"/>
      <c r="W173" s="861" t="n"/>
      <c r="X173" s="861" t="n"/>
      <c r="Y173" s="861" t="n"/>
      <c r="Z173" s="861" t="n"/>
      <c r="AA173" s="861" t="n"/>
      <c r="AB173" s="861" t="n"/>
      <c r="AC173" s="861" t="n"/>
    </row>
    <row r="174" customFormat="1" s="59">
      <c r="G174" s="208" t="n"/>
      <c r="T174" s="861" t="n"/>
      <c r="U174" s="861" t="n"/>
      <c r="V174" s="861" t="n"/>
      <c r="W174" s="861" t="n"/>
      <c r="X174" s="861" t="n"/>
      <c r="Y174" s="861" t="n"/>
      <c r="Z174" s="861" t="n"/>
      <c r="AA174" s="861" t="n"/>
      <c r="AB174" s="861" t="n"/>
      <c r="AC174" s="861" t="n"/>
    </row>
    <row r="175" customFormat="1" s="59">
      <c r="G175" s="208" t="n"/>
      <c r="T175" s="861" t="n"/>
      <c r="U175" s="861" t="n"/>
      <c r="V175" s="861" t="n"/>
      <c r="W175" s="861" t="n"/>
      <c r="X175" s="861" t="n"/>
      <c r="Y175" s="861" t="n"/>
      <c r="Z175" s="861" t="n"/>
      <c r="AA175" s="861" t="n"/>
      <c r="AB175" s="861" t="n"/>
      <c r="AC175" s="861" t="n"/>
    </row>
    <row r="176" customFormat="1" s="59">
      <c r="G176" s="208" t="n"/>
      <c r="T176" s="861" t="n"/>
      <c r="U176" s="861" t="n"/>
      <c r="V176" s="861" t="n"/>
      <c r="W176" s="861" t="n"/>
      <c r="X176" s="861" t="n"/>
      <c r="Y176" s="861" t="n"/>
      <c r="Z176" s="861" t="n"/>
      <c r="AA176" s="861" t="n"/>
      <c r="AB176" s="861" t="n"/>
      <c r="AC176" s="861" t="n"/>
    </row>
    <row r="177" customFormat="1" s="59">
      <c r="G177" s="208" t="n"/>
      <c r="T177" s="861" t="n"/>
      <c r="U177" s="861" t="n"/>
      <c r="V177" s="861" t="n"/>
      <c r="W177" s="861" t="n"/>
      <c r="X177" s="861" t="n"/>
      <c r="Y177" s="861" t="n"/>
      <c r="Z177" s="861" t="n"/>
      <c r="AA177" s="861" t="n"/>
      <c r="AB177" s="861" t="n"/>
      <c r="AC177" s="861" t="n"/>
    </row>
    <row r="178" customFormat="1" s="59">
      <c r="G178" s="208" t="n"/>
      <c r="T178" s="861" t="n"/>
      <c r="U178" s="861" t="n"/>
      <c r="V178" s="861" t="n"/>
      <c r="W178" s="861" t="n"/>
      <c r="X178" s="861" t="n"/>
      <c r="Y178" s="861" t="n"/>
      <c r="Z178" s="861" t="n"/>
      <c r="AA178" s="861" t="n"/>
      <c r="AB178" s="861" t="n"/>
      <c r="AC178" s="861" t="n"/>
    </row>
    <row r="179" customFormat="1" s="59">
      <c r="G179" s="208" t="n"/>
      <c r="T179" s="861" t="n"/>
      <c r="U179" s="861" t="n"/>
      <c r="V179" s="861" t="n"/>
      <c r="W179" s="861" t="n"/>
      <c r="X179" s="861" t="n"/>
      <c r="Y179" s="861" t="n"/>
      <c r="Z179" s="861" t="n"/>
      <c r="AA179" s="861" t="n"/>
      <c r="AB179" s="861" t="n"/>
      <c r="AC179" s="861" t="n"/>
    </row>
    <row r="180" customFormat="1" s="59">
      <c r="G180" s="208" t="n"/>
      <c r="T180" s="861" t="n"/>
      <c r="U180" s="861" t="n"/>
      <c r="V180" s="861" t="n"/>
      <c r="W180" s="861" t="n"/>
      <c r="X180" s="861" t="n"/>
      <c r="Y180" s="861" t="n"/>
      <c r="Z180" s="861" t="n"/>
      <c r="AA180" s="861" t="n"/>
      <c r="AB180" s="861" t="n"/>
      <c r="AC180" s="861" t="n"/>
    </row>
    <row r="181">
      <c r="T181" s="852" t="n"/>
      <c r="U181" s="852" t="n"/>
      <c r="V181" s="852" t="n"/>
      <c r="W181" s="852" t="n"/>
      <c r="X181" s="852" t="n"/>
      <c r="Y181" s="852" t="n"/>
      <c r="Z181" s="852" t="n"/>
      <c r="AA181" s="852" t="n"/>
      <c r="AB181" s="852" t="n"/>
      <c r="AC181" s="852" t="n"/>
    </row>
  </sheetData>
  <mergeCells count="5">
    <mergeCell ref="X20:Z20"/>
    <mergeCell ref="D2:E2"/>
    <mergeCell ref="T8:AC8"/>
    <mergeCell ref="D4:E4"/>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C1:N22"/>
  <sheetViews>
    <sheetView workbookViewId="0">
      <selection activeCell="A1" sqref="A1"/>
    </sheetView>
  </sheetViews>
  <sheetFormatPr baseColWidth="8" defaultRowHeight="15"/>
  <cols>
    <col width="4.140625" customWidth="1" min="1" max="1"/>
    <col width="13" customWidth="1" min="2" max="2"/>
    <col width="23.28515625" customWidth="1" min="3" max="3"/>
    <col width="14.140625" customWidth="1" min="6" max="6"/>
    <col width="3.42578125" customWidth="1" min="7" max="7"/>
    <col width="1" customWidth="1" style="3" min="11" max="11"/>
    <col width="37.140625" customWidth="1" min="13" max="13"/>
    <col width="8.7109375" customWidth="1" min="14" max="14"/>
  </cols>
  <sheetData>
    <row r="1">
      <c r="M1" s="150" t="inlineStr">
        <is>
          <t>Summary/Output</t>
        </is>
      </c>
    </row>
    <row r="3" ht="21" customHeight="1">
      <c r="C3" s="735" t="inlineStr">
        <is>
          <t>Investor Return Summary</t>
        </is>
      </c>
    </row>
    <row r="4" ht="20.45" customHeight="1">
      <c r="C4" s="250" t="inlineStr">
        <is>
          <t>10  Year Return Summary</t>
        </is>
      </c>
      <c r="M4" s="507" t="inlineStr">
        <is>
          <t>Send LOI?</t>
        </is>
      </c>
      <c r="N4" t="inlineStr">
        <is>
          <t>No</t>
        </is>
      </c>
    </row>
    <row r="5" ht="18.6" customHeight="1">
      <c r="C5" s="474" t="inlineStr">
        <is>
          <t>Deal Level</t>
        </is>
      </c>
      <c r="D5" s="475" t="inlineStr">
        <is>
          <t>Exit Cap Rate 100 bps over in-going</t>
        </is>
      </c>
      <c r="E5" s="476" t="n"/>
      <c r="F5" s="476" t="n"/>
      <c r="G5" s="476" t="n"/>
      <c r="M5" s="508" t="inlineStr">
        <is>
          <t>Reason if No</t>
        </is>
      </c>
    </row>
    <row r="6" ht="18.6" customHeight="1">
      <c r="C6" s="477" t="inlineStr">
        <is>
          <t>IRR</t>
        </is>
      </c>
      <c r="D6" s="478" t="n"/>
      <c r="E6" s="478" t="n"/>
      <c r="F6" s="795">
        <f>'Waterfall (10-yr-S1)'!D30</f>
        <v/>
      </c>
      <c r="G6" s="478" t="n"/>
    </row>
    <row r="7" ht="17.45" customHeight="1">
      <c r="C7" s="477" t="inlineStr">
        <is>
          <t>Equity Multiple</t>
        </is>
      </c>
      <c r="D7" s="478" t="n"/>
      <c r="E7" s="478" t="n"/>
      <c r="F7" s="480">
        <f>'Waterfall (10-yr-S1)'!D31</f>
        <v/>
      </c>
      <c r="G7" s="478" t="inlineStr">
        <is>
          <t>x</t>
        </is>
      </c>
    </row>
    <row r="8" ht="15.95" customHeight="1">
      <c r="C8" s="477" t="inlineStr">
        <is>
          <t>Cash on Cash Avg Y1-Y9</t>
        </is>
      </c>
      <c r="D8" s="478" t="n"/>
      <c r="E8" s="478" t="n"/>
      <c r="F8" s="795">
        <f>IFERROR(AVERAGE('Waterfall (10-yr-S1)'!G30:O30)/ABS('Waterfall (10-yr-S1)'!F28),0)</f>
        <v/>
      </c>
      <c r="G8" s="478" t="n"/>
      <c r="H8" s="481" t="n"/>
      <c r="I8" s="482" t="n"/>
    </row>
    <row r="9" hidden="1" ht="15" customHeight="1" thickTop="1">
      <c r="C9" s="485" t="n"/>
      <c r="D9" s="485" t="n"/>
      <c r="E9" s="485" t="n"/>
      <c r="F9" s="485" t="n"/>
      <c r="G9" s="485" t="n"/>
    </row>
    <row r="10" hidden="1" ht="18.6" customHeight="1">
      <c r="C10" s="250" t="n"/>
    </row>
    <row r="11" hidden="1" ht="21.6" customHeight="1">
      <c r="C11" s="474" t="n"/>
      <c r="D11" s="476" t="n"/>
      <c r="E11" s="476" t="n"/>
      <c r="F11" s="476" t="n"/>
      <c r="G11" s="486" t="n"/>
    </row>
    <row r="12" hidden="1" ht="17.1" customHeight="1">
      <c r="C12" s="483" t="n"/>
      <c r="F12" s="796" t="n"/>
    </row>
    <row r="13" hidden="1" ht="18" customHeight="1">
      <c r="C13" s="483" t="n"/>
      <c r="F13" s="488" t="n"/>
    </row>
    <row r="14" hidden="1" ht="17.45" customHeight="1">
      <c r="C14" s="483" t="n"/>
      <c r="F14" s="797" t="n"/>
    </row>
    <row r="15" ht="15.75" customHeight="1" thickBot="1"/>
    <row r="16" ht="16.5" customHeight="1" thickTop="1">
      <c r="C16" s="489" t="n"/>
      <c r="D16" s="485" t="n"/>
      <c r="E16" s="485" t="n"/>
      <c r="F16" s="485" t="n"/>
      <c r="G16" s="485" t="n"/>
    </row>
    <row r="17" ht="18.75" customHeight="1">
      <c r="C17" s="250" t="inlineStr">
        <is>
          <t>5 Year Return Summary</t>
        </is>
      </c>
      <c r="D17" s="476" t="n"/>
      <c r="E17" s="476" t="n"/>
      <c r="F17" s="476" t="n"/>
      <c r="G17" s="486" t="n"/>
    </row>
    <row r="18" ht="15.75" customHeight="1">
      <c r="C18" s="474" t="inlineStr">
        <is>
          <t>Deal Level</t>
        </is>
      </c>
      <c r="D18" s="475" t="inlineStr">
        <is>
          <t>Exit Cap Rate 100 bps over in-going</t>
        </is>
      </c>
      <c r="F18" s="490" t="n"/>
    </row>
    <row r="19" ht="15.75" customHeight="1">
      <c r="C19" s="477" t="inlineStr">
        <is>
          <t>IRR</t>
        </is>
      </c>
      <c r="D19" s="478" t="n"/>
      <c r="E19" s="478" t="n"/>
      <c r="F19" s="795">
        <f>'Waterfall (5-yr) '!D30</f>
        <v/>
      </c>
    </row>
    <row r="20" ht="15.75" customHeight="1">
      <c r="C20" s="477" t="inlineStr">
        <is>
          <t>Equity Multiple</t>
        </is>
      </c>
      <c r="D20" s="478" t="n"/>
      <c r="E20" s="478" t="n"/>
      <c r="F20" s="480">
        <f>'Waterfall (5-yr) '!D31</f>
        <v/>
      </c>
      <c r="G20" t="inlineStr">
        <is>
          <t>x</t>
        </is>
      </c>
    </row>
    <row r="21" ht="15.75" customHeight="1">
      <c r="C21" s="477" t="inlineStr">
        <is>
          <t>Cash on Cash Avg Y1-Y4</t>
        </is>
      </c>
      <c r="D21" s="478" t="n"/>
      <c r="E21" s="478" t="n"/>
      <c r="F21" s="795">
        <f>IFERROR(AVERAGE('Waterfall (5-yr-S1)'!G30:J30)/ABS('Waterfall (5-yr-S1)'!F28),0)</f>
        <v/>
      </c>
    </row>
    <row r="22">
      <c r="C22" s="503" t="n"/>
    </row>
  </sheetData>
  <mergeCells count="1">
    <mergeCell ref="C3:G3"/>
  </mergeCells>
  <dataValidations disablePrompts="1"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workbookViewId="0">
      <selection activeCell="A1" sqref="A1"/>
    </sheetView>
  </sheetViews>
  <sheetFormatPr baseColWidth="8" defaultColWidth="0" defaultRowHeight="15" customHeight="1" zeroHeight="1" outlineLevelRow="1"/>
  <cols>
    <col width="1.140625" customWidth="1" style="342" min="1" max="1"/>
    <col width="29.5703125" customWidth="1" style="342" min="2" max="2"/>
    <col width="13.85546875" customWidth="1" style="342" min="3" max="3"/>
    <col width="16.140625" bestFit="1" customWidth="1" style="342" min="4" max="4"/>
    <col width="21.85546875" customWidth="1" style="342" min="5" max="5"/>
    <col width="12.42578125" bestFit="1" customWidth="1" style="343" min="6" max="7"/>
    <col width="15.42578125" customWidth="1" style="343" min="8" max="16"/>
    <col width="9.140625" customWidth="1" style="342" min="17" max="23"/>
    <col hidden="1" width="13" customWidth="1" style="342" min="24" max="32"/>
    <col hidden="1" width="9.140625" customWidth="1" style="342" min="33" max="16384"/>
  </cols>
  <sheetData>
    <row r="1" ht="6.75" customHeight="1"/>
    <row r="2" ht="18.75" customHeight="1">
      <c r="B2" s="344" t="inlineStr">
        <is>
          <t>PARTNERSHIP LEVEL RETURNS - EQUITY WATERFALL (IRR &amp; EQUITY MULTIPLE HURDLES)</t>
        </is>
      </c>
      <c r="C2" s="345" t="n"/>
      <c r="D2" s="345" t="n"/>
      <c r="E2" s="345" t="n"/>
      <c r="F2" s="346" t="n"/>
      <c r="G2" s="346" t="n"/>
      <c r="H2" s="346" t="n"/>
      <c r="I2" s="346" t="n"/>
      <c r="J2" s="346" t="n"/>
      <c r="K2" s="346" t="n"/>
      <c r="L2" s="346" t="n"/>
      <c r="M2" s="346" t="n"/>
      <c r="N2" s="346" t="n"/>
      <c r="O2" s="346" t="n"/>
      <c r="P2" s="346" t="n"/>
    </row>
    <row r="3" ht="5.1" customHeight="1">
      <c r="B3" s="146" t="n"/>
      <c r="C3" s="74" t="n"/>
      <c r="D3" s="74" t="n"/>
      <c r="E3" s="74" t="n"/>
      <c r="F3" s="347" t="n"/>
      <c r="G3" s="347" t="n"/>
      <c r="H3" s="347" t="n"/>
      <c r="I3" s="347" t="n"/>
      <c r="J3" s="347" t="n"/>
      <c r="K3" s="347" t="n"/>
      <c r="L3" s="347" t="n"/>
      <c r="M3" s="347" t="n"/>
      <c r="N3" s="347" t="n"/>
      <c r="O3" s="347" t="n"/>
      <c r="P3" s="347" t="n"/>
    </row>
    <row r="4" ht="15.75" customHeight="1">
      <c r="B4" s="146" t="inlineStr">
        <is>
          <t>Promote Hurdle Method</t>
        </is>
      </c>
      <c r="C4" s="74" t="n"/>
      <c r="D4" s="348" t="inlineStr">
        <is>
          <t>IRR</t>
        </is>
      </c>
      <c r="E4" s="349" t="inlineStr">
        <is>
          <t>GP Catch Up?</t>
        </is>
      </c>
      <c r="F4" s="350" t="n"/>
      <c r="G4" s="350" t="n"/>
      <c r="H4" s="350" t="n"/>
      <c r="I4" s="350" t="n"/>
      <c r="J4" s="347" t="n"/>
      <c r="K4" s="347" t="n"/>
      <c r="L4" s="347" t="n"/>
      <c r="M4" s="347" t="n"/>
      <c r="N4" s="347" t="n"/>
      <c r="O4" s="347" t="n"/>
      <c r="P4" s="347" t="n"/>
    </row>
    <row r="5" ht="15.75" customHeight="1">
      <c r="B5" s="146" t="inlineStr">
        <is>
          <t># of Tiers</t>
        </is>
      </c>
      <c r="C5" s="74" t="n"/>
      <c r="D5" s="348" t="inlineStr">
        <is>
          <t>3-Tier</t>
        </is>
      </c>
      <c r="E5" s="349" t="n"/>
      <c r="F5" s="350" t="n"/>
      <c r="G5" s="350" t="n"/>
      <c r="H5" s="350" t="n"/>
      <c r="I5" s="350" t="n"/>
      <c r="J5" s="347" t="n"/>
      <c r="K5" s="347" t="n"/>
      <c r="L5" s="347" t="n"/>
      <c r="M5" s="347" t="n"/>
      <c r="N5" s="347" t="n"/>
      <c r="O5" s="347" t="n"/>
      <c r="P5" s="347" t="n"/>
    </row>
    <row r="6" ht="15.75" customHeight="1">
      <c r="A6" s="342">
        <f>AND(E6="Yes", H15&lt;Equity_Share_GP)</f>
        <v/>
      </c>
      <c r="B6" s="146" t="inlineStr">
        <is>
          <t>Return of Capital</t>
        </is>
      </c>
      <c r="C6" s="74" t="n"/>
      <c r="D6" s="351">
        <f>IF(H15&lt;Equity_Share_GP,"LP 1st","Pari Passu")</f>
        <v/>
      </c>
      <c r="E6" s="352" t="inlineStr">
        <is>
          <t>Yes</t>
        </is>
      </c>
      <c r="F6" s="350" t="n"/>
      <c r="G6" s="350" t="n"/>
      <c r="H6" s="350" t="n"/>
      <c r="I6" s="350" t="n"/>
      <c r="J6" s="347" t="n"/>
      <c r="K6" s="347" t="n"/>
      <c r="L6" s="347" t="n"/>
      <c r="M6" s="347" t="n"/>
      <c r="N6" s="347" t="n"/>
      <c r="O6" s="347" t="n"/>
      <c r="P6" s="347" t="n"/>
    </row>
    <row r="7" ht="5.1" customHeight="1">
      <c r="B7" s="59" t="n"/>
      <c r="C7" s="59" t="n"/>
      <c r="D7" s="353" t="n"/>
      <c r="F7" s="150" t="n"/>
      <c r="G7" s="150" t="n"/>
      <c r="H7" s="150" t="n"/>
      <c r="I7" s="150" t="n"/>
      <c r="J7" s="208" t="n"/>
      <c r="K7" s="208" t="n"/>
      <c r="L7" s="208" t="n"/>
      <c r="M7" s="347" t="n"/>
      <c r="N7" s="347" t="n"/>
      <c r="O7" s="347" t="n"/>
      <c r="P7" s="347" t="n"/>
    </row>
    <row r="8" ht="16.5" customHeight="1" thickBot="1">
      <c r="B8" s="354" t="inlineStr">
        <is>
          <t>Equity Contributions</t>
        </is>
      </c>
      <c r="C8" s="355" t="inlineStr">
        <is>
          <t>%</t>
        </is>
      </c>
      <c r="D8" s="355" t="inlineStr">
        <is>
          <t>Amount</t>
        </is>
      </c>
      <c r="F8" s="356" t="n"/>
      <c r="G8" s="150" t="n"/>
      <c r="H8" s="150" t="n"/>
      <c r="I8" s="150" t="n"/>
      <c r="J8" s="208" t="n"/>
      <c r="K8" s="208" t="n"/>
      <c r="L8" s="208" t="n"/>
      <c r="M8" s="347" t="n"/>
      <c r="N8" s="347" t="n"/>
      <c r="O8" s="347" t="n"/>
      <c r="P8" s="347" t="n"/>
    </row>
    <row r="9">
      <c r="B9" s="59" t="inlineStr">
        <is>
          <t>General Partner (GP)</t>
        </is>
      </c>
      <c r="C9" s="798">
        <f>'Sources and Uses'!E8</f>
        <v/>
      </c>
      <c r="D9" s="358">
        <f>Equity_Share_GP*Total_Equity</f>
        <v/>
      </c>
      <c r="E9" s="59" t="n"/>
      <c r="F9" s="359" t="n"/>
      <c r="G9" s="360" t="n"/>
      <c r="H9" s="208" t="n"/>
      <c r="I9" s="208" t="n"/>
      <c r="J9" s="208" t="n"/>
      <c r="K9" s="361" t="inlineStr">
        <is>
          <t>Error Check:</t>
        </is>
      </c>
      <c r="L9" s="362">
        <f>IF(ROUND(L11,0)=ROUND(L10,0),"OK","Error")</f>
        <v/>
      </c>
      <c r="M9" s="208" t="n"/>
      <c r="N9" s="208" t="n"/>
      <c r="O9" s="208" t="n"/>
      <c r="P9" s="208" t="n"/>
    </row>
    <row r="10">
      <c r="B10" s="59" t="inlineStr">
        <is>
          <t>Limited Partner (LP)</t>
        </is>
      </c>
      <c r="C10" s="799">
        <f>1-C9</f>
        <v/>
      </c>
      <c r="D10" s="364">
        <f>Total_Equity*Equity_Share_LP</f>
        <v/>
      </c>
      <c r="E10" s="59" t="n"/>
      <c r="F10" s="359" t="n"/>
      <c r="G10" s="360" t="n"/>
      <c r="H10" s="208" t="n"/>
      <c r="I10" s="208" t="n"/>
      <c r="J10" s="208" t="n"/>
      <c r="K10" s="365" t="inlineStr">
        <is>
          <t>Profit Dist.:</t>
        </is>
      </c>
      <c r="L10" s="800">
        <f>(D29+D41)/1000000</f>
        <v/>
      </c>
      <c r="M10" s="208" t="n"/>
      <c r="N10" s="208" t="n"/>
      <c r="O10" s="208" t="n"/>
      <c r="P10" s="208" t="n"/>
    </row>
    <row r="11" ht="15.75" customHeight="1" thickBot="1">
      <c r="B11" s="59" t="inlineStr">
        <is>
          <t>Total Equity</t>
        </is>
      </c>
      <c r="C11" s="801" t="n"/>
      <c r="D11" s="358">
        <f>-SUMIF(F51:M51,"&lt;0")</f>
        <v/>
      </c>
      <c r="E11" s="59" t="n"/>
      <c r="F11" s="359" t="n"/>
      <c r="G11" s="360" t="n"/>
      <c r="H11" s="208" t="n"/>
      <c r="I11" s="208" t="n"/>
      <c r="J11" s="208" t="n"/>
      <c r="K11" s="368" t="inlineStr">
        <is>
          <t>Net BTCF:</t>
        </is>
      </c>
      <c r="L11" s="802">
        <f>SUM(F47:M47)/1000000</f>
        <v/>
      </c>
      <c r="M11" s="208" t="n"/>
      <c r="N11" s="208" t="n"/>
      <c r="O11" s="208" t="n"/>
      <c r="P11" s="208" t="n"/>
    </row>
    <row r="12" ht="5.1" customHeight="1">
      <c r="B12" s="59" t="n"/>
      <c r="C12" s="801" t="n"/>
      <c r="D12" s="803" t="n"/>
      <c r="E12" s="59" t="n"/>
      <c r="F12" s="359" t="n"/>
      <c r="G12" s="360" t="n"/>
      <c r="H12" s="208" t="n"/>
      <c r="I12" s="208" t="n"/>
      <c r="J12" s="208" t="n"/>
      <c r="K12" s="208" t="n"/>
      <c r="L12" s="208" t="n"/>
      <c r="M12" s="208" t="n"/>
      <c r="N12" s="208" t="n"/>
      <c r="O12" s="208" t="n"/>
      <c r="P12" s="208" t="n"/>
    </row>
    <row r="13">
      <c r="B13" s="371" t="inlineStr">
        <is>
          <t>Hurdle Rate Method Used:</t>
        </is>
      </c>
      <c r="C13" s="372">
        <f>IF(D4="IRR","IRR",IF(D4="Equity Multiple","Equity Multiple",IF(D4&lt;&gt;"IRR + EMx","",IF(D71&lt;D179,"IRR","Equity Multiple"))))</f>
        <v/>
      </c>
      <c r="D13" s="373" t="n"/>
      <c r="E13" s="374" t="n"/>
      <c r="F13" s="736" t="inlineStr">
        <is>
          <t>Promote Structure Incentive Breakdown</t>
        </is>
      </c>
      <c r="H13" s="737" t="inlineStr">
        <is>
          <t>Distribution as %</t>
        </is>
      </c>
      <c r="J13" s="375" t="n"/>
      <c r="K13" s="375" t="n"/>
      <c r="L13" s="375" t="n"/>
      <c r="M13" s="375" t="n"/>
      <c r="N13" s="375" t="n"/>
      <c r="O13" s="375" t="n"/>
      <c r="P13" s="375" t="n"/>
    </row>
    <row r="14" ht="15.75" customHeight="1">
      <c r="B14" s="354">
        <f>IF(D4="Equity Multiple","Partnership Distribution Assumptions (Equity Multiple Hurdles)",IF(D4="IRR","Partnership Distribution Assumptions (IRR Hurdles)","Partnership Distribution Assumptions (Max of IRR or Emx Hurdles)"))</f>
        <v/>
      </c>
      <c r="C14" s="374" t="n"/>
      <c r="D14" s="373" t="n"/>
      <c r="E14" s="374" t="n"/>
      <c r="H14" s="355" t="inlineStr">
        <is>
          <t>GP %</t>
        </is>
      </c>
      <c r="I14" s="376" t="inlineStr">
        <is>
          <t>LP %</t>
        </is>
      </c>
      <c r="J14" s="376" t="inlineStr">
        <is>
          <t>Notes</t>
        </is>
      </c>
      <c r="K14" s="375" t="n"/>
      <c r="L14" s="375" t="n"/>
      <c r="M14" s="375" t="n"/>
      <c r="N14" s="375" t="n"/>
      <c r="O14" s="375" t="n"/>
      <c r="P14" s="375" t="n"/>
    </row>
    <row r="15">
      <c r="B15" s="59" t="inlineStr">
        <is>
          <t>Tier 1 (Pref + Return of Capital)</t>
        </is>
      </c>
      <c r="C15" s="377" t="inlineStr">
        <is>
          <t>Equity Multiple</t>
        </is>
      </c>
      <c r="D15" s="378" t="inlineStr">
        <is>
          <t>IRR</t>
        </is>
      </c>
      <c r="E15" s="804">
        <f>IF($D$4="Equity Multiple",C16,D16)</f>
        <v/>
      </c>
      <c r="F15" s="805" t="inlineStr">
        <is>
          <t>GP Promote</t>
        </is>
      </c>
      <c r="G15" s="806" t="n"/>
      <c r="H15" s="807">
        <f>Equity_Share_GP</f>
        <v/>
      </c>
      <c r="I15" s="801">
        <f>1-H15</f>
        <v/>
      </c>
      <c r="J15" s="383">
        <f>IF(I15=Equity_Share_LP,"Pref prorata to LP/GP, then Pro rata return of capital",IF(CU?,"Return of capital and Pref NOT pro rata + GP Catch Up","Return of capital and Pref NOT pro rata"))</f>
        <v/>
      </c>
      <c r="K15" s="383" t="n"/>
      <c r="L15" s="383" t="n"/>
      <c r="M15" s="383" t="n"/>
      <c r="N15" s="383" t="n"/>
      <c r="O15" s="383" t="n"/>
      <c r="P15" s="383" t="n"/>
    </row>
    <row r="16">
      <c r="B16" s="59" t="inlineStr">
        <is>
          <t>Tier 2 (Promote)</t>
        </is>
      </c>
      <c r="C16" s="808" t="n">
        <v>1</v>
      </c>
      <c r="D16" s="809" t="n">
        <v>0.08</v>
      </c>
      <c r="E16" s="810">
        <f>IF($D$4="Equity Multiple",IF(B277&lt;3,"",C17),IF(B277&lt;3,"",D17))</f>
        <v/>
      </c>
      <c r="F16" s="807" t="n">
        <v>0.25</v>
      </c>
      <c r="G16" s="801" t="n"/>
      <c r="H16" s="811">
        <f>1-(Equity_Share_LP*(1-F16))</f>
        <v/>
      </c>
      <c r="I16" s="801">
        <f>1-H16</f>
        <v/>
      </c>
      <c r="J16" s="383">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83" t="n"/>
      <c r="L16" s="383" t="n"/>
      <c r="M16" s="383" t="n"/>
      <c r="N16" s="383" t="n"/>
      <c r="O16" s="383" t="n"/>
      <c r="P16" s="383" t="n"/>
    </row>
    <row r="17">
      <c r="B17" s="59">
        <f>IF(B277&lt;3,"NOT USED","Tier 3 (Promote)")</f>
        <v/>
      </c>
      <c r="C17" s="808" t="n">
        <v>1.5</v>
      </c>
      <c r="D17" s="809" t="n">
        <v>0.12</v>
      </c>
      <c r="E17" s="810">
        <f>IF($D$4="Equity Multiple",IF(B277&lt;4,"",C18),IF(B277&lt;4,"",D18))</f>
        <v/>
      </c>
      <c r="F17" s="807" t="n">
        <v>0.4</v>
      </c>
      <c r="G17" s="801" t="n"/>
      <c r="H17" s="811">
        <f>1-(Equity_Share_LP*(1-F17))</f>
        <v/>
      </c>
      <c r="I17" s="801">
        <f>1-H17</f>
        <v/>
      </c>
      <c r="J17" s="383">
        <f>TEXT(I16,"0.0%")&amp;"/"&amp;TEXT(H16,"0.0%")&amp;" to "&amp;(IF(D4="IRR",TEXT(E16,"0.0%"),TEXT(E16,"0.0X")))&amp;", then "&amp;TEXT(I17,"0.0%")&amp;"/"&amp;TEXT(H17,"0.0%")&amp;" to "&amp;(IF(D4="IRR",TEXT(E17,"0.0%"),TEXT(E17,"0.0X")))</f>
        <v/>
      </c>
      <c r="K17" s="383" t="n"/>
      <c r="L17" s="383" t="n"/>
      <c r="M17" s="383" t="n"/>
      <c r="N17" s="383" t="n"/>
      <c r="O17" s="383" t="n"/>
      <c r="P17" s="383" t="n"/>
    </row>
    <row r="18">
      <c r="B18" s="59">
        <f>IF(B277&lt;4,"NOT USED","Tier 4 (Promote)")</f>
        <v/>
      </c>
      <c r="C18" s="808" t="n">
        <v>2</v>
      </c>
      <c r="D18" s="809" t="n">
        <v>0.15</v>
      </c>
      <c r="E18" s="810">
        <f>IF($D$4="Equity Multiple",IF(B277&lt;5,"",C19),IF(B277&lt;5,"",D19))</f>
        <v/>
      </c>
      <c r="F18" s="807" t="n">
        <v>0.4</v>
      </c>
      <c r="G18" s="801" t="n"/>
      <c r="H18" s="811">
        <f>1-(Equity_Share_LP*(1-F18))</f>
        <v/>
      </c>
      <c r="I18" s="801">
        <f>1-H18</f>
        <v/>
      </c>
      <c r="J18" s="383">
        <f>TEXT(I17,"0.0%")&amp;"/"&amp;TEXT(H17,"0.0%")&amp;" to "&amp;(IF(D4="IRR",TEXT(E17,"0.0%"),TEXT(E17,"0.0X")))&amp;", then "&amp;TEXT(I18,"0.0%")&amp;"/"&amp;TEXT(H18,"0.0%")&amp;" thereafter"</f>
        <v/>
      </c>
      <c r="K18" s="383" t="n"/>
      <c r="L18" s="383" t="n"/>
      <c r="M18" s="383" t="n"/>
      <c r="N18" s="383" t="n"/>
      <c r="O18" s="383" t="n"/>
      <c r="P18" s="383" t="n"/>
    </row>
    <row r="19">
      <c r="B19" s="59">
        <f>IF(B277&lt;5,"NOT USED","Tier 5 (Promote)")</f>
        <v/>
      </c>
      <c r="C19" s="808" t="n">
        <v>2.5</v>
      </c>
      <c r="D19" s="809" t="n">
        <v>0.18</v>
      </c>
      <c r="E19" s="810" t="n"/>
      <c r="F19" s="807" t="n">
        <v>0.5</v>
      </c>
      <c r="G19" s="801" t="n"/>
      <c r="H19" s="811">
        <f>1-(Equity_Share_LP*(1-F19))</f>
        <v/>
      </c>
      <c r="I19" s="801">
        <f>1-H19</f>
        <v/>
      </c>
      <c r="J19" s="383">
        <f>TEXT(I18,"0.0%")&amp;"/"&amp;TEXT(H18,"0.0%")&amp;" to "&amp;(IF(D6="IRR",TEXT(E18,"0.0%"),TEXT(E18,"0.0X")))&amp;", then "&amp;TEXT(I19,"0.0%")&amp;"/"&amp;TEXT(H19,"0.0%")&amp;" thereafter"</f>
        <v/>
      </c>
      <c r="K19" s="383" t="n"/>
      <c r="L19" s="383" t="n"/>
      <c r="M19" s="383" t="n"/>
      <c r="N19" s="383" t="n"/>
      <c r="O19" s="383" t="n"/>
      <c r="P19" s="383" t="n"/>
    </row>
    <row r="20" ht="5.1" customHeight="1">
      <c r="B20" s="59" t="n"/>
      <c r="C20" s="59" t="n"/>
      <c r="D20" s="812" t="n"/>
      <c r="E20" s="810" t="n"/>
      <c r="F20" s="360" t="n"/>
      <c r="G20" s="389" t="n"/>
      <c r="H20" s="390" t="n"/>
      <c r="I20" s="390" t="n"/>
      <c r="J20" s="208" t="n"/>
      <c r="K20" s="208" t="n"/>
      <c r="L20" s="208" t="n"/>
      <c r="M20" s="208" t="n"/>
      <c r="N20" s="208" t="n"/>
      <c r="O20" s="208" t="n"/>
      <c r="P20" s="208" t="n"/>
    </row>
    <row r="21" ht="15.75" customHeight="1">
      <c r="B21" s="354" t="inlineStr">
        <is>
          <t>Summary of Partnership-Level Returns</t>
        </is>
      </c>
      <c r="C21" s="374" t="n"/>
      <c r="D21" s="813" t="inlineStr">
        <is>
          <t>Analysis Period</t>
        </is>
      </c>
      <c r="E21" s="814">
        <f>MAX(F21:M21)</f>
        <v/>
      </c>
      <c r="F21" s="815" t="n">
        <v>0</v>
      </c>
      <c r="G21" s="815">
        <f>IF(G47="","",F21+1)</f>
        <v/>
      </c>
      <c r="H21" s="815">
        <f>IF(H47="","",G21+1)</f>
        <v/>
      </c>
      <c r="I21" s="815">
        <f>IF(I47="","",H21+1)</f>
        <v/>
      </c>
      <c r="J21" s="815">
        <f>IF(J47="","",I21+1)</f>
        <v/>
      </c>
      <c r="K21" s="815">
        <f>IF(K47="","",J21+1)</f>
        <v/>
      </c>
      <c r="L21" s="815">
        <f>IF(L47="","",K21+1)</f>
        <v/>
      </c>
      <c r="M21" s="815">
        <f>IF(M47="","",L21+1)</f>
        <v/>
      </c>
      <c r="N21" s="815">
        <f>IF(N47="","",M21+1)</f>
        <v/>
      </c>
      <c r="O21" s="815">
        <f>IF(O47="","",N21+1)</f>
        <v/>
      </c>
      <c r="P21" s="815">
        <f>IF(P47="","",O21+1)</f>
        <v/>
      </c>
    </row>
    <row r="22">
      <c r="B22" s="394" t="inlineStr">
        <is>
          <t>Limited Partner (LP) Returns</t>
        </is>
      </c>
      <c r="C22" s="59" t="n"/>
      <c r="D22" s="812" t="n"/>
      <c r="E22" s="810" t="n"/>
      <c r="F22" s="395" t="n"/>
      <c r="G22" s="396" t="n"/>
      <c r="H22" s="397" t="n"/>
      <c r="I22" s="397" t="n"/>
      <c r="J22" s="398" t="n"/>
      <c r="K22" s="398" t="n"/>
      <c r="L22" s="398" t="n"/>
      <c r="M22" s="398" t="n"/>
      <c r="N22" s="398" t="n"/>
      <c r="O22" s="398" t="n"/>
      <c r="P22" s="398" t="n"/>
    </row>
    <row r="23">
      <c r="B23" s="399" t="n"/>
      <c r="C23" s="400" t="inlineStr">
        <is>
          <t>Check</t>
        </is>
      </c>
      <c r="D23" s="401" t="n"/>
      <c r="E23" s="810" t="n"/>
      <c r="F23" s="358" t="n"/>
      <c r="G23" s="358" t="n"/>
      <c r="H23" s="358" t="n"/>
      <c r="I23" s="358" t="n"/>
      <c r="J23" s="358" t="n"/>
      <c r="K23" s="358" t="n"/>
      <c r="L23" s="358" t="n"/>
      <c r="M23" s="358" t="n"/>
      <c r="N23" s="358" t="n"/>
      <c r="O23" s="358" t="n"/>
      <c r="P23" s="358" t="n"/>
    </row>
    <row r="24">
      <c r="B24" s="399" t="inlineStr">
        <is>
          <t>Preferred Return</t>
        </is>
      </c>
      <c r="C24" s="402">
        <f>IF(ROUND(D24,0)=ROUND(SUM(F24:P24),0),"OK","ERROR")</f>
        <v/>
      </c>
      <c r="D24" s="130">
        <f>(C13="IRR")*(SUM(F97:P97)-D25)+(C13="Equity Multiple")*(SUM(F205:P205)-D25)</f>
        <v/>
      </c>
      <c r="E24" s="810" t="n"/>
      <c r="F24" s="358">
        <f>IF(F21="","",MIN($D24-SUM($E24:E24),F27))</f>
        <v/>
      </c>
      <c r="G24" s="358">
        <f>IF(G21="","",MIN($D24-SUM($E24:F24),G27))</f>
        <v/>
      </c>
      <c r="H24" s="358">
        <f>IF(H21="","",MIN($D24-SUM($E24:G24),H27))</f>
        <v/>
      </c>
      <c r="I24" s="358">
        <f>IF(I21="","",MIN($D24-SUM($E24:H24),I27))</f>
        <v/>
      </c>
      <c r="J24" s="358">
        <f>IF(J21="","",MIN($D24-SUM($E24:I24),J27))</f>
        <v/>
      </c>
      <c r="K24" s="358">
        <f>IF(K21="","",MIN($D24-SUM($E24:J24),K27))</f>
        <v/>
      </c>
      <c r="L24" s="358">
        <f>IF(L21="","",MIN($D24-SUM($E24:K24),L27))</f>
        <v/>
      </c>
      <c r="M24" s="358">
        <f>IF(M21="","",MIN($D24-SUM($E24:L24),M27))</f>
        <v/>
      </c>
      <c r="N24" s="358">
        <f>IF(N21="","",MIN($D24-SUM($E24:M24),N27))</f>
        <v/>
      </c>
      <c r="O24" s="358">
        <f>IF(O21="","",MIN($D24-SUM($E24:N24),O27))</f>
        <v/>
      </c>
      <c r="P24" s="358">
        <f>IF(P21="","",MIN($D24-SUM($E24:O24),P27))</f>
        <v/>
      </c>
    </row>
    <row r="25">
      <c r="B25" s="399" t="inlineStr">
        <is>
          <t>Return of Capital</t>
        </is>
      </c>
      <c r="C25" s="402">
        <f>IF(ROUND(D25,0)=ROUND(SUM(F25:P25),0),"OK","ERROR")</f>
        <v/>
      </c>
      <c r="D25" s="401">
        <f>MIN(D28,D27)</f>
        <v/>
      </c>
      <c r="E25" s="810" t="n"/>
      <c r="F25" s="358">
        <f>IF(F21="","",MIN($D25-SUM($E25:E25),F27-F24))</f>
        <v/>
      </c>
      <c r="G25" s="358">
        <f>IF(G21="","",MIN($D25-SUM($E25:F25),G27-G24))</f>
        <v/>
      </c>
      <c r="H25" s="358">
        <f>IF(H21="","",MIN($D25-SUM($E25:G25),H27-H24))</f>
        <v/>
      </c>
      <c r="I25" s="358">
        <f>IF(I21="","",MIN($D25-SUM($E25:H25),I27-I24))</f>
        <v/>
      </c>
      <c r="J25" s="358">
        <f>IF(J21="","",MIN($D25-SUM($E25:I25),J27-J24))</f>
        <v/>
      </c>
      <c r="K25" s="358">
        <f>IF(K21="","",MIN($D25-SUM($E25:J25),K27-K24))</f>
        <v/>
      </c>
      <c r="L25" s="358">
        <f>IF(L21="","",MIN($D25-SUM($E25:K25),L27-L24))</f>
        <v/>
      </c>
      <c r="M25" s="358">
        <f>IF(M21="","",MIN($D25-SUM($E25:L25),M27-M24))</f>
        <v/>
      </c>
      <c r="N25" s="358">
        <f>IF(N21="","",MIN($D25-SUM($E25:M25),N27-N24))</f>
        <v/>
      </c>
      <c r="O25" s="358">
        <f>IF(O21="","",MIN($D25-SUM($E25:N25),O27-O24))</f>
        <v/>
      </c>
      <c r="P25" s="358">
        <f>IF(P21="","",MIN($D25-SUM($E25:O25),P27-P24))</f>
        <v/>
      </c>
    </row>
    <row r="26" ht="17.25" customHeight="1">
      <c r="B26" s="399" t="inlineStr">
        <is>
          <t>Excess Cash Flow</t>
        </is>
      </c>
      <c r="C26" s="402">
        <f>IF(ROUND(D26,0)=ROUND(SUM(F26:P26),0),"OK","ERROR")</f>
        <v/>
      </c>
      <c r="D26" s="403">
        <f>D27-D25-D24</f>
        <v/>
      </c>
      <c r="E26" s="810" t="n"/>
      <c r="F26" s="404">
        <f>IF(F21="","",F27-F25-F24)</f>
        <v/>
      </c>
      <c r="G26" s="404">
        <f>IF(G21="","",G27-G25-G24)</f>
        <v/>
      </c>
      <c r="H26" s="404">
        <f>IF(H21="","",H27-H25-H24)</f>
        <v/>
      </c>
      <c r="I26" s="404">
        <f>IF(I21="","",I27-I25-I24)</f>
        <v/>
      </c>
      <c r="J26" s="404">
        <f>IF(J21="","",J27-J25-J24)</f>
        <v/>
      </c>
      <c r="K26" s="404">
        <f>IF(K21="","",K27-K25-K24)</f>
        <v/>
      </c>
      <c r="L26" s="404">
        <f>IF(L21="","",L27-L25-L24)</f>
        <v/>
      </c>
      <c r="M26" s="404">
        <f>IF(M21="","",M27-M25-M24)</f>
        <v/>
      </c>
      <c r="N26" s="404">
        <f>IF(N21="","",N27-N25-N24)</f>
        <v/>
      </c>
      <c r="O26" s="404">
        <f>IF(O21="","",O27-O25-O24)</f>
        <v/>
      </c>
      <c r="P26" s="404">
        <f>IF(P21="","",P27-P25-P24)</f>
        <v/>
      </c>
    </row>
    <row r="27">
      <c r="B27" s="399" t="inlineStr">
        <is>
          <t>Total LP Distributions</t>
        </is>
      </c>
      <c r="C27" s="405" t="n"/>
      <c r="D27" s="401">
        <f>SUM(F27:P27)</f>
        <v/>
      </c>
      <c r="E27" s="810" t="n"/>
      <c r="F27" s="358">
        <f>IF(F$21="","",($C$13="IRR")*F68+($C$13="Equity Multiple")*F176)</f>
        <v/>
      </c>
      <c r="G27" s="358">
        <f>IF(G$21="","",($C$13="IRR")*G68+($C$13="Equity Multiple")*G176)</f>
        <v/>
      </c>
      <c r="H27" s="358">
        <f>IF(H$21="","",($C$13="IRR")*H68+($C$13="Equity Multiple")*H176)</f>
        <v/>
      </c>
      <c r="I27" s="358">
        <f>IF(I$21="","",($C$13="IRR")*I68+($C$13="Equity Multiple")*I176)</f>
        <v/>
      </c>
      <c r="J27" s="358">
        <f>IF(J$21="","",($C$13="IRR")*J68+($C$13="Equity Multiple")*J176)</f>
        <v/>
      </c>
      <c r="K27" s="358">
        <f>IF(K$21="","",($C$13="IRR")*K68+($C$13="Equity Multiple")*K176)</f>
        <v/>
      </c>
      <c r="L27" s="358">
        <f>IF(L$21="","",($C$13="IRR")*L68+($C$13="Equity Multiple")*L176)</f>
        <v/>
      </c>
      <c r="M27" s="358">
        <f>IF(M$21="","",($C$13="IRR")*M68+($C$13="Equity Multiple")*M176)</f>
        <v/>
      </c>
      <c r="N27" s="358">
        <f>IF(N$21="","",($C$13="IRR")*N68+($C$13="Equity Multiple")*N176)</f>
        <v/>
      </c>
      <c r="O27" s="358">
        <f>IF(O$21="","",($C$13="IRR")*O68+($C$13="Equity Multiple")*O176)</f>
        <v/>
      </c>
      <c r="P27" s="358">
        <f>IF(P$21="","",($C$13="IRR")*P68+($C$13="Equity Multiple")*P176)</f>
        <v/>
      </c>
    </row>
    <row r="28">
      <c r="B28" s="399" t="inlineStr">
        <is>
          <t>Total LP Contributions</t>
        </is>
      </c>
      <c r="C28" s="405" t="n"/>
      <c r="D28" s="401">
        <f>SUM(F28:P28)</f>
        <v/>
      </c>
      <c r="E28" s="810" t="n"/>
      <c r="F28" s="358">
        <f>F96</f>
        <v/>
      </c>
      <c r="G28" s="358">
        <f>G96</f>
        <v/>
      </c>
      <c r="H28" s="358">
        <f>H96</f>
        <v/>
      </c>
      <c r="I28" s="358">
        <f>I96</f>
        <v/>
      </c>
      <c r="J28" s="358">
        <f>J96</f>
        <v/>
      </c>
      <c r="K28" s="358">
        <f>K96</f>
        <v/>
      </c>
      <c r="L28" s="358">
        <f>L96</f>
        <v/>
      </c>
      <c r="M28" s="358">
        <f>M96</f>
        <v/>
      </c>
      <c r="N28" s="358">
        <f>N96</f>
        <v/>
      </c>
      <c r="O28" s="358">
        <f>O96</f>
        <v/>
      </c>
      <c r="P28" s="358">
        <f>P96</f>
        <v/>
      </c>
    </row>
    <row r="29">
      <c r="B29" s="399" t="inlineStr">
        <is>
          <t>Total LP Profit</t>
        </is>
      </c>
      <c r="C29" s="405" t="n"/>
      <c r="D29" s="401">
        <f>D27-D28</f>
        <v/>
      </c>
      <c r="E29" s="810" t="n"/>
      <c r="F29" s="406" t="n"/>
      <c r="G29" s="358" t="n"/>
      <c r="H29" s="407" t="n"/>
      <c r="I29" s="407" t="n"/>
      <c r="J29" s="407" t="n"/>
      <c r="K29" s="407" t="n"/>
      <c r="L29" s="407" t="n"/>
      <c r="M29" s="407" t="n"/>
      <c r="N29" s="407" t="n"/>
      <c r="O29" s="407" t="n"/>
      <c r="P29" s="407" t="n"/>
    </row>
    <row r="30">
      <c r="B30" s="408" t="inlineStr">
        <is>
          <t>LP IRR</t>
        </is>
      </c>
      <c r="C30" s="409" t="n"/>
      <c r="D30" s="410">
        <f>IRR(F30:P30)</f>
        <v/>
      </c>
      <c r="E30" s="810" t="n"/>
      <c r="F30" s="358">
        <f>IF(F21="","",(-F28)+F27)</f>
        <v/>
      </c>
      <c r="G30" s="358">
        <f>IF(G21="","",(-G28)+G27)</f>
        <v/>
      </c>
      <c r="H30" s="358">
        <f>IF(H21="","",(-H28)+H27)</f>
        <v/>
      </c>
      <c r="I30" s="358">
        <f>IF(I21="","",(-I28)+I27)</f>
        <v/>
      </c>
      <c r="J30" s="358">
        <f>IF(J21="","",(-J28)+J27)</f>
        <v/>
      </c>
      <c r="K30" s="358">
        <f>IF(K21="","",(-K28)+K27)</f>
        <v/>
      </c>
      <c r="L30" s="358">
        <f>IF(L21="","",(-L28)+L27)</f>
        <v/>
      </c>
      <c r="M30" s="358">
        <f>IF(M21="","",(-M28)+M27)</f>
        <v/>
      </c>
      <c r="N30" s="358">
        <f>IF(N21="","",(-N28)+N27)</f>
        <v/>
      </c>
      <c r="O30" s="358">
        <f>IF(O21="","",(-O28)+O27)</f>
        <v/>
      </c>
      <c r="P30" s="358">
        <f>IF(P21="","",(-P28)+P27)</f>
        <v/>
      </c>
    </row>
    <row r="31">
      <c r="B31" s="408" t="inlineStr">
        <is>
          <t>LP Equity Multiple</t>
        </is>
      </c>
      <c r="C31" s="409" t="n"/>
      <c r="D31" s="816">
        <f>D27/D28</f>
        <v/>
      </c>
      <c r="E31" s="810" t="n"/>
      <c r="F31" s="406" t="n"/>
      <c r="G31" s="817">
        <f>IF($D$4="IRR", G30/G93,G30/G201)</f>
        <v/>
      </c>
      <c r="H31" s="817">
        <f>IF($D$4="IRR", H30/H93,H30/H201)</f>
        <v/>
      </c>
      <c r="I31" s="817">
        <f>IF($D$4="IRR", I30/I93,I30/I201)</f>
        <v/>
      </c>
      <c r="J31" s="817">
        <f>IF($D$4="IRR", J30/J93,J30/J201)</f>
        <v/>
      </c>
      <c r="K31" s="817">
        <f>IF($D$4="IRR", K30/K93,K30/K201)</f>
        <v/>
      </c>
      <c r="L31" s="817">
        <f>IF($D$4="IRR", L30/L93,L30/L201)</f>
        <v/>
      </c>
      <c r="M31" s="817">
        <f>IF($D$4="IRR", M30/M93,M30/M201)</f>
        <v/>
      </c>
      <c r="N31" s="817">
        <f>IF($D$4="IRR", N30/N93,N30/N201)</f>
        <v/>
      </c>
      <c r="O31" s="817">
        <f>IF($D$4="IRR", O30/O93,O30/O201)</f>
        <v/>
      </c>
      <c r="P31" s="817">
        <f>IF($D$4="IRR", P30/P93,P30/P201)</f>
        <v/>
      </c>
    </row>
    <row r="32" ht="5.1" customHeight="1">
      <c r="B32" s="399" t="n"/>
      <c r="C32" s="405" t="n"/>
      <c r="D32" s="812" t="n"/>
      <c r="E32" s="810" t="n"/>
      <c r="F32" s="406" t="n"/>
      <c r="G32" s="358" t="n"/>
      <c r="H32" s="407" t="n"/>
      <c r="I32" s="407" t="n"/>
      <c r="J32" s="407" t="n"/>
      <c r="K32" s="407" t="n"/>
      <c r="L32" s="407" t="n"/>
      <c r="M32" s="407" t="n"/>
      <c r="N32" s="407" t="n"/>
      <c r="O32" s="407" t="n"/>
      <c r="P32" s="407" t="n"/>
    </row>
    <row r="33">
      <c r="B33" s="394" t="inlineStr">
        <is>
          <t>GP Returns</t>
        </is>
      </c>
      <c r="C33" s="405" t="n"/>
      <c r="D33" s="812" t="n"/>
      <c r="E33" s="810" t="n"/>
      <c r="F33" s="406" t="n"/>
      <c r="G33" s="358" t="n"/>
      <c r="H33" s="407" t="n"/>
      <c r="I33" s="407" t="n"/>
      <c r="J33" s="407" t="n"/>
      <c r="K33" s="407" t="n"/>
      <c r="L33" s="407" t="n"/>
      <c r="M33" s="407" t="n"/>
      <c r="N33" s="407" t="n"/>
      <c r="O33" s="407" t="n"/>
      <c r="P33" s="407" t="n"/>
    </row>
    <row r="34">
      <c r="B34" s="399" t="inlineStr">
        <is>
          <t>Preferred Return</t>
        </is>
      </c>
      <c r="C34" s="402">
        <f>IF(ROUND(D34,0)=ROUND(SUM(F34:P34),0),"OK","ERROR")</f>
        <v/>
      </c>
      <c r="D34" s="472">
        <f>(C13="IRR")*(SUM(F105:P105)-D35)+(C13="Equity Multiple")*(SUM(F213:P213)-D35)</f>
        <v/>
      </c>
      <c r="E34" s="810" t="n"/>
      <c r="F34" s="358">
        <f>IF(F21="","",MIN($D34-SUM($E34:E34),F38))</f>
        <v/>
      </c>
      <c r="G34" s="358">
        <f>IF(G21="","",MIN($D34-SUM($E34:F34),G38))</f>
        <v/>
      </c>
      <c r="H34" s="358">
        <f>IF(H21="","",MIN($D34-SUM($E34:G34),H38))</f>
        <v/>
      </c>
      <c r="I34" s="358">
        <f>IF(I21="","",MIN($D34-SUM($E34:H34),I38))</f>
        <v/>
      </c>
      <c r="J34" s="358">
        <f>IF(J21="","",MIN($D34-SUM($E34:I34),J38))</f>
        <v/>
      </c>
      <c r="K34" s="358">
        <f>IF(K21="","",MIN($D34-SUM($E34:J34),K38))</f>
        <v/>
      </c>
      <c r="L34" s="358">
        <f>IF(L21="","",MIN($D34-SUM($E34:K34),L38))</f>
        <v/>
      </c>
      <c r="M34" s="358">
        <f>IF(M21="","",MIN($D34-SUM($E34:L34),M38))</f>
        <v/>
      </c>
      <c r="N34" s="358">
        <f>IF(N21="","",MIN($D34-SUM($E34:M34),N38))</f>
        <v/>
      </c>
      <c r="O34" s="358">
        <f>IF(O21="","",MIN($D34-SUM($E34:N34),O38))</f>
        <v/>
      </c>
      <c r="P34" s="358">
        <f>IF(P21="","",MIN($D34-SUM($E34:O34),P38))</f>
        <v/>
      </c>
    </row>
    <row r="35">
      <c r="B35" s="399" t="inlineStr">
        <is>
          <t>Return of Capital</t>
        </is>
      </c>
      <c r="C35" s="402">
        <f>IF(ROUND(D35,0)=ROUND(SUM(F35:P35),0),"OK","ERROR")</f>
        <v/>
      </c>
      <c r="D35" s="358">
        <f>MIN(D38,D40)</f>
        <v/>
      </c>
      <c r="E35" s="810" t="n"/>
      <c r="F35" s="358">
        <f>IF(F21="","",MIN($D35-SUM($E35:E35),F38-F34))</f>
        <v/>
      </c>
      <c r="G35" s="358">
        <f>IF(G21="","",MIN($D35-SUM($E35:F35),G38-G34))</f>
        <v/>
      </c>
      <c r="H35" s="358">
        <f>IF(H21="","",MIN($D35-SUM($E35:G35),H38-H34))</f>
        <v/>
      </c>
      <c r="I35" s="358">
        <f>IF(I21="","",MIN($D35-SUM($E35:H35),I38-I34))</f>
        <v/>
      </c>
      <c r="J35" s="358">
        <f>IF(J21="","",MIN($D35-SUM($E35:I35),J38-J34))</f>
        <v/>
      </c>
      <c r="K35" s="358">
        <f>IF(K21="","",MIN($D35-SUM($E35:J35),K38-K34))</f>
        <v/>
      </c>
      <c r="L35" s="358">
        <f>IF(L21="","",MIN($D35-SUM($E35:K35),L38-L34))</f>
        <v/>
      </c>
      <c r="M35" s="358">
        <f>IF(M21="","",MIN($D35-SUM($E35:L35),M38-M34))</f>
        <v/>
      </c>
      <c r="N35" s="358">
        <f>IF(N21="","",MIN($D35-SUM($E35:M35),N38-N34))</f>
        <v/>
      </c>
      <c r="O35" s="358">
        <f>IF(O21="","",MIN($D35-SUM($E35:N35),O38-O34))</f>
        <v/>
      </c>
      <c r="P35" s="358">
        <f>IF(P21="","",MIN($D35-SUM($E35:O35),P38-P34))</f>
        <v/>
      </c>
    </row>
    <row r="36">
      <c r="B36" s="399" t="inlineStr">
        <is>
          <t>Promote</t>
        </is>
      </c>
      <c r="C36" s="402">
        <f>IF(ROUND(D36,0)=ROUND(SUM(F36:P36),0),"OK","ERROR")</f>
        <v/>
      </c>
      <c r="D36" s="358">
        <f>D38-D35-D37-D34</f>
        <v/>
      </c>
      <c r="E36" s="810" t="n"/>
      <c r="F36" s="358">
        <f>IF(F21="","",F38-F37-F35-F34)</f>
        <v/>
      </c>
      <c r="G36" s="358">
        <f>IF(G21="","",G38-G37-G35-G34)</f>
        <v/>
      </c>
      <c r="H36" s="358">
        <f>IF(H21="","",H38-H37-H35-H34)</f>
        <v/>
      </c>
      <c r="I36" s="358">
        <f>IF(I21="","",I38-I37-I35-I34)</f>
        <v/>
      </c>
      <c r="J36" s="358">
        <f>IF(J21="","",J38-J37-J35-J34)</f>
        <v/>
      </c>
      <c r="K36" s="358">
        <f>IF(K21="","",K38-K37-K35-K34)</f>
        <v/>
      </c>
      <c r="L36" s="358">
        <f>IF(L21="","",L38-L37-L35-L34)</f>
        <v/>
      </c>
      <c r="M36" s="358">
        <f>IF(M21="","",M38-M37-M35-M34)</f>
        <v/>
      </c>
      <c r="N36" s="358">
        <f>IF(N21="","",N38-N37-N35-N34)</f>
        <v/>
      </c>
      <c r="O36" s="358">
        <f>IF(O21="","",O38-O37-O35-O34)</f>
        <v/>
      </c>
      <c r="P36" s="358">
        <f>IF(P21="","",P38-P37-P35-P34)</f>
        <v/>
      </c>
    </row>
    <row r="37" ht="17.25" customHeight="1">
      <c r="B37" s="399" t="inlineStr">
        <is>
          <t>Excess Cash Flow</t>
        </is>
      </c>
      <c r="C37" s="402">
        <f>IF(ROUND(D37,0)=ROUND(SUM(F37:P37),0),"OK","ERROR")</f>
        <v/>
      </c>
      <c r="D37" s="404">
        <f>D26/Equity_Share_LP*Equity_Share_GP</f>
        <v/>
      </c>
      <c r="E37" s="810" t="n"/>
      <c r="F37" s="404">
        <f>IF(F21="","",F26/Equity_Share_LP*Equity_Share_GP)</f>
        <v/>
      </c>
      <c r="G37" s="404">
        <f>IF(G21="","",G26/Equity_Share_LP*Equity_Share_GP)</f>
        <v/>
      </c>
      <c r="H37" s="404">
        <f>IF(H21="","",H26/Equity_Share_LP*Equity_Share_GP)</f>
        <v/>
      </c>
      <c r="I37" s="404">
        <f>IF(I21="","",I26/Equity_Share_LP*Equity_Share_GP)</f>
        <v/>
      </c>
      <c r="J37" s="404">
        <f>IF(J21="","",J26/Equity_Share_LP*Equity_Share_GP)</f>
        <v/>
      </c>
      <c r="K37" s="404">
        <f>IF(K21="","",K26/Equity_Share_LP*Equity_Share_GP)</f>
        <v/>
      </c>
      <c r="L37" s="404">
        <f>IF(L21="","",L26/Equity_Share_LP*Equity_Share_GP)</f>
        <v/>
      </c>
      <c r="M37" s="404">
        <f>IF(M21="","",M26/Equity_Share_LP*Equity_Share_GP)</f>
        <v/>
      </c>
      <c r="N37" s="404">
        <f>IF(N21="","",N26/Equity_Share_LP*Equity_Share_GP)</f>
        <v/>
      </c>
      <c r="O37" s="404">
        <f>IF(O21="","",O26/Equity_Share_LP*Equity_Share_GP)</f>
        <v/>
      </c>
      <c r="P37" s="404">
        <f>IF(P21="","",P26/Equity_Share_LP*Equity_Share_GP)</f>
        <v/>
      </c>
    </row>
    <row r="38">
      <c r="B38" s="399" t="inlineStr">
        <is>
          <t>Total GP Distributions</t>
        </is>
      </c>
      <c r="C38" s="405" t="n"/>
      <c r="D38" s="358">
        <f>SUM(F38:P38)</f>
        <v/>
      </c>
      <c r="E38" s="810" t="n"/>
      <c r="F38" s="358">
        <f>IF(F$21="","",($C$13="IRR")*F75+($C$13="Equity Multiple")*F183)</f>
        <v/>
      </c>
      <c r="G38" s="358">
        <f>IF(G$21="","",($C$13="IRR")*G75+($C$13="Equity Multiple")*G183)</f>
        <v/>
      </c>
      <c r="H38" s="358">
        <f>IF(H$21="","",($C$13="IRR")*H75+($C$13="Equity Multiple")*H183)</f>
        <v/>
      </c>
      <c r="I38" s="358">
        <f>IF(I$21="","",($C$13="IRR")*I75+($C$13="Equity Multiple")*I183)</f>
        <v/>
      </c>
      <c r="J38" s="358">
        <f>IF(J$21="","",($C$13="IRR")*J75+($C$13="Equity Multiple")*J183)</f>
        <v/>
      </c>
      <c r="K38" s="358">
        <f>IF(K$21="","",($C$13="IRR")*K75+($C$13="Equity Multiple")*K183)</f>
        <v/>
      </c>
      <c r="L38" s="358">
        <f>IF(L$21="","",($C$13="IRR")*L75+($C$13="Equity Multiple")*L183)</f>
        <v/>
      </c>
      <c r="M38" s="358">
        <f>IF(M$21="","",($C$13="IRR")*M75+($C$13="Equity Multiple")*M183)</f>
        <v/>
      </c>
      <c r="N38" s="358">
        <f>IF(N$21="","",($C$13="IRR")*N75+($C$13="Equity Multiple")*N183)</f>
        <v/>
      </c>
      <c r="O38" s="358">
        <f>IF(O$21="","",($C$13="IRR")*O75+($C$13="Equity Multiple")*O183)</f>
        <v/>
      </c>
      <c r="P38" s="358">
        <f>IF(P$21="","",($C$13="IRR")*P75+($C$13="Equity Multiple")*P183)</f>
        <v/>
      </c>
    </row>
    <row r="39">
      <c r="B39" s="399" t="inlineStr">
        <is>
          <t>Total GP Fees</t>
        </is>
      </c>
      <c r="C39" s="405" t="n"/>
      <c r="D39" s="358">
        <f>SUM(F39:P39)</f>
        <v/>
      </c>
      <c r="E39" s="810" t="n"/>
      <c r="F39" s="358">
        <f>IF(F21="","",SUM(F48:F49))</f>
        <v/>
      </c>
      <c r="G39" s="358">
        <f>IF(G21="","",SUM(G48:G49))</f>
        <v/>
      </c>
      <c r="H39" s="358">
        <f>IF(H21="","",SUM(H48:H49))</f>
        <v/>
      </c>
      <c r="I39" s="358">
        <f>IF(I21="","",SUM(I48:I49))</f>
        <v/>
      </c>
      <c r="J39" s="358">
        <f>IF(J21="","",SUM(J48:J49))</f>
        <v/>
      </c>
      <c r="K39" s="358">
        <f>IF(K21="","",SUM(K48:K49))</f>
        <v/>
      </c>
      <c r="L39" s="358">
        <f>IF(L21="","",SUM(L48:L49))</f>
        <v/>
      </c>
      <c r="M39" s="358">
        <f>IF(M21="","",SUM(M48:M49))</f>
        <v/>
      </c>
      <c r="N39" s="358">
        <f>IF(N21="","",SUM(N48:N49))</f>
        <v/>
      </c>
      <c r="O39" s="358">
        <f>IF(O21="","",SUM(O48:O49))</f>
        <v/>
      </c>
      <c r="P39" s="358">
        <f>IF(P21="","",SUM(P48:P49))</f>
        <v/>
      </c>
    </row>
    <row r="40">
      <c r="B40" s="399" t="inlineStr">
        <is>
          <t>Total GP Contributions</t>
        </is>
      </c>
      <c r="C40" s="405" t="n"/>
      <c r="D40" s="358">
        <f>SUM(F40:P40)</f>
        <v/>
      </c>
      <c r="E40" s="810" t="n"/>
      <c r="F40" s="358">
        <f>F104</f>
        <v/>
      </c>
      <c r="G40" s="358">
        <f>G104</f>
        <v/>
      </c>
      <c r="H40" s="358">
        <f>H104</f>
        <v/>
      </c>
      <c r="I40" s="358">
        <f>I104</f>
        <v/>
      </c>
      <c r="J40" s="358">
        <f>J104</f>
        <v/>
      </c>
      <c r="K40" s="358">
        <f>K104</f>
        <v/>
      </c>
      <c r="L40" s="358">
        <f>L104</f>
        <v/>
      </c>
      <c r="M40" s="358">
        <f>M104</f>
        <v/>
      </c>
      <c r="N40" s="358">
        <f>N104</f>
        <v/>
      </c>
      <c r="O40" s="358">
        <f>O104</f>
        <v/>
      </c>
      <c r="P40" s="358">
        <f>P104</f>
        <v/>
      </c>
    </row>
    <row r="41">
      <c r="B41" s="399" t="inlineStr">
        <is>
          <t>Total GP Profit (Including Fees)</t>
        </is>
      </c>
      <c r="C41" s="405" t="n"/>
      <c r="D41" s="358">
        <f>+D38+D39-D40</f>
        <v/>
      </c>
      <c r="E41" s="810" t="n"/>
      <c r="F41" s="406" t="n"/>
      <c r="G41" s="358" t="n"/>
      <c r="H41" s="407" t="n"/>
      <c r="I41" s="407" t="n"/>
      <c r="J41" s="407" t="n"/>
      <c r="K41" s="407" t="n"/>
      <c r="L41" s="407" t="n"/>
      <c r="M41" s="407" t="n"/>
      <c r="N41" s="407" t="n"/>
      <c r="O41" s="407" t="n"/>
      <c r="P41" s="407" t="n"/>
    </row>
    <row r="42">
      <c r="B42" s="399" t="inlineStr">
        <is>
          <t>GP IRR</t>
        </is>
      </c>
      <c r="C42" s="405" t="n"/>
      <c r="D42" s="413">
        <f>IFERROR(IRR(F42:P42),"NA")</f>
        <v/>
      </c>
      <c r="E42" s="810" t="n"/>
      <c r="F42" s="358">
        <f>IF(F21="","",(-F40)+F38+F39)</f>
        <v/>
      </c>
      <c r="G42" s="358">
        <f>IF(G21="","",(-G40)+G38+G39)</f>
        <v/>
      </c>
      <c r="H42" s="358">
        <f>IF(H21="","",(-H40)+H38+H39)</f>
        <v/>
      </c>
      <c r="I42" s="358">
        <f>IF(I21="","",(-I40)+I38+I39)</f>
        <v/>
      </c>
      <c r="J42" s="358">
        <f>IF(J21="","",(-J40)+J38+J39)</f>
        <v/>
      </c>
      <c r="K42" s="358">
        <f>IF(K21="","",(-K40)+K38+K39)</f>
        <v/>
      </c>
      <c r="L42" s="358">
        <f>IF(L21="","",(-L40)+L38+L39)</f>
        <v/>
      </c>
      <c r="M42" s="358">
        <f>IF(M21="","",(-M40)+M38+M39)</f>
        <v/>
      </c>
      <c r="N42" s="358">
        <f>IF(N21="","",(-N40)+N38+N39)</f>
        <v/>
      </c>
      <c r="O42" s="358">
        <f>IF(O21="","",(-O40)+O38+O39)</f>
        <v/>
      </c>
      <c r="P42" s="358">
        <f>IF(P21="","",(-P40)+P38+P39)</f>
        <v/>
      </c>
    </row>
    <row r="43">
      <c r="B43" s="399" t="inlineStr">
        <is>
          <t>GP Equity Multiple</t>
        </is>
      </c>
      <c r="C43" s="405" t="n"/>
      <c r="D43" s="818">
        <f>IFERROR(D38/D40,"NA")</f>
        <v/>
      </c>
      <c r="E43" s="810" t="n"/>
      <c r="F43" s="395" t="n"/>
      <c r="G43" s="396" t="n"/>
      <c r="H43" s="397" t="n"/>
      <c r="I43" s="397" t="n"/>
      <c r="J43" s="398" t="n"/>
      <c r="K43" s="398" t="n"/>
      <c r="L43" s="398" t="n"/>
      <c r="M43" s="398" t="n"/>
      <c r="N43" s="398" t="n"/>
      <c r="O43" s="398" t="n"/>
      <c r="P43" s="398" t="n"/>
    </row>
    <row r="44" ht="5.1" customHeight="1">
      <c r="B44" s="415" t="n"/>
      <c r="C44" s="416" t="n"/>
      <c r="D44" s="819" t="n"/>
      <c r="E44" s="59" t="n"/>
      <c r="F44" s="398" t="n"/>
      <c r="G44" s="398" t="n"/>
      <c r="H44" s="398" t="n"/>
      <c r="I44" s="398" t="n"/>
      <c r="J44" s="398" t="n"/>
      <c r="K44" s="398" t="n"/>
      <c r="L44" s="398" t="n"/>
      <c r="M44" s="398" t="n"/>
      <c r="N44" s="398" t="n"/>
      <c r="O44" s="398" t="n"/>
      <c r="P44" s="398" t="n"/>
    </row>
    <row r="45" ht="15.75" customHeight="1">
      <c r="B45" s="354" t="inlineStr">
        <is>
          <t>Property-Level Cash and GP Fees</t>
        </is>
      </c>
      <c r="C45" s="374" t="n"/>
      <c r="D45" s="374" t="n"/>
      <c r="E45" s="375" t="n"/>
      <c r="F45" s="373" t="inlineStr">
        <is>
          <t>Year 0</t>
        </is>
      </c>
      <c r="G45" s="815">
        <f>G$21</f>
        <v/>
      </c>
      <c r="H45" s="815">
        <f>H$21</f>
        <v/>
      </c>
      <c r="I45" s="815">
        <f>I$21</f>
        <v/>
      </c>
      <c r="J45" s="815">
        <f>J$21</f>
        <v/>
      </c>
      <c r="K45" s="815">
        <f>K$21</f>
        <v/>
      </c>
      <c r="L45" s="815">
        <f>L$21</f>
        <v/>
      </c>
      <c r="M45" s="815">
        <f>M$21</f>
        <v/>
      </c>
      <c r="N45" s="815">
        <f>N$21</f>
        <v/>
      </c>
      <c r="O45" s="815">
        <f>O$21</f>
        <v/>
      </c>
      <c r="P45" s="815">
        <f>P$21</f>
        <v/>
      </c>
      <c r="Q45" s="418" t="n"/>
      <c r="R45" s="418" t="n"/>
      <c r="S45" s="418" t="n"/>
    </row>
    <row r="46">
      <c r="B46" s="59" t="n"/>
      <c r="C46" s="59" t="n"/>
      <c r="D46" s="59" t="n"/>
      <c r="E46" s="398" t="inlineStr">
        <is>
          <t>Year Ending</t>
        </is>
      </c>
      <c r="F46" s="820" t="n">
        <v>45657</v>
      </c>
      <c r="G46" s="821">
        <f>IF(G45="","",EOMONTH(F46,12))</f>
        <v/>
      </c>
      <c r="H46" s="821">
        <f>IF(H45="","",EOMONTH(G46,12))</f>
        <v/>
      </c>
      <c r="I46" s="821">
        <f>IF(I45="","",EOMONTH(H46,12))</f>
        <v/>
      </c>
      <c r="J46" s="821">
        <f>IF(J45="","",EOMONTH(I46,12))</f>
        <v/>
      </c>
      <c r="K46" s="821">
        <f>IF(K45="","",EOMONTH(J46,12))</f>
        <v/>
      </c>
      <c r="L46" s="821">
        <f>IF(L45="","",EOMONTH(K46,12))</f>
        <v/>
      </c>
      <c r="M46" s="821">
        <f>IF(M45="","",EOMONTH(L46,12))</f>
        <v/>
      </c>
      <c r="N46" s="821">
        <f>IF(N45="","",EOMONTH(M46,12))</f>
        <v/>
      </c>
      <c r="O46" s="821">
        <f>IF(O45="","",EOMONTH(N46,12))</f>
        <v/>
      </c>
      <c r="P46" s="821">
        <f>IF(P45="","",EOMONTH(O46,12))</f>
        <v/>
      </c>
      <c r="Q46" s="418" t="n"/>
      <c r="R46" s="418" t="n"/>
      <c r="S46" s="418" t="n"/>
    </row>
    <row r="47">
      <c r="B47" s="130" t="inlineStr">
        <is>
          <t>Net Property-Level Cash Flow</t>
        </is>
      </c>
      <c r="C47" s="59" t="n"/>
      <c r="D47" s="59" t="n"/>
      <c r="E47" s="421" t="n"/>
      <c r="F47" s="422">
        <f>-'Sources and Uses'!C7-'Sources and Uses'!C8+'Sources and Uses'!C15</f>
        <v/>
      </c>
      <c r="G47" s="422">
        <f>'GGC Pro Forma'!H65</f>
        <v/>
      </c>
      <c r="H47" s="422">
        <f>'GGC Pro Forma'!I65</f>
        <v/>
      </c>
      <c r="I47" s="422">
        <f>'GGC Pro Forma'!J65</f>
        <v/>
      </c>
      <c r="J47" s="422">
        <f>'GGC Pro Forma'!K65</f>
        <v/>
      </c>
      <c r="K47" s="422">
        <f>'GGC Pro Forma'!L65</f>
        <v/>
      </c>
      <c r="L47" s="422">
        <f>'GGC Pro Forma'!M65</f>
        <v/>
      </c>
      <c r="M47" s="422">
        <f>'GGC Pro Forma'!N65</f>
        <v/>
      </c>
      <c r="N47" s="422">
        <f>'GGC Pro Forma'!O65</f>
        <v/>
      </c>
      <c r="O47" s="422">
        <f>'GGC Pro Forma'!P65</f>
        <v/>
      </c>
      <c r="P47" s="422">
        <f>'GGC Pro Forma'!Q65</f>
        <v/>
      </c>
    </row>
    <row r="48">
      <c r="B48" s="423" t="inlineStr">
        <is>
          <t>Asset Management Fees</t>
        </is>
      </c>
      <c r="C48" s="59" t="n"/>
      <c r="D48" s="59" t="n"/>
      <c r="E48" s="421" t="n"/>
      <c r="F48" s="422" t="n">
        <v>0</v>
      </c>
      <c r="G48" s="422" t="n">
        <v>0</v>
      </c>
      <c r="H48" s="422" t="n">
        <v>0</v>
      </c>
      <c r="I48" s="422" t="n">
        <v>0</v>
      </c>
      <c r="J48" s="422" t="n">
        <v>0</v>
      </c>
      <c r="K48" s="422" t="n">
        <v>0</v>
      </c>
      <c r="L48" s="422" t="n">
        <v>0</v>
      </c>
      <c r="M48" s="422" t="n">
        <v>0</v>
      </c>
      <c r="N48" s="422" t="n">
        <v>0</v>
      </c>
      <c r="O48" s="422" t="n">
        <v>0</v>
      </c>
      <c r="P48" s="422" t="n">
        <v>0</v>
      </c>
    </row>
    <row r="49">
      <c r="B49" s="423" t="inlineStr">
        <is>
          <t>Acquisition/Disposition Fees</t>
        </is>
      </c>
      <c r="C49" s="59" t="n"/>
      <c r="D49" s="59" t="n"/>
      <c r="E49" s="421" t="n"/>
      <c r="F49" s="422">
        <f>'Sources and Uses'!C15</f>
        <v/>
      </c>
      <c r="G49" s="422" t="n">
        <v>0</v>
      </c>
      <c r="H49" s="422" t="n">
        <v>0</v>
      </c>
      <c r="I49" s="422" t="n">
        <v>0</v>
      </c>
      <c r="J49" s="422" t="n">
        <v>0</v>
      </c>
      <c r="K49" s="422" t="n">
        <v>0</v>
      </c>
      <c r="L49" s="422" t="n">
        <v>0</v>
      </c>
      <c r="M49" s="422">
        <f>'[2]GGC Pro Forma'!Y57*1%</f>
        <v/>
      </c>
      <c r="N49" s="422">
        <f>'[2]GGC Pro Forma'!Z57*1%</f>
        <v/>
      </c>
      <c r="O49" s="422">
        <f>'[2]GGC Pro Forma'!AA57*1%</f>
        <v/>
      </c>
      <c r="P49" s="422" t="n">
        <v>0</v>
      </c>
    </row>
    <row r="50">
      <c r="B50" s="423" t="n"/>
      <c r="C50" s="59" t="n"/>
      <c r="D50" s="59" t="n"/>
      <c r="E50" s="421" t="n"/>
      <c r="F50" s="422" t="n"/>
      <c r="G50" s="422" t="n"/>
      <c r="H50" s="422" t="n"/>
      <c r="I50" s="422" t="n"/>
      <c r="J50" s="422" t="n"/>
      <c r="K50" s="422" t="n"/>
      <c r="L50" s="422" t="n"/>
      <c r="M50" s="422" t="n"/>
      <c r="N50" s="422" t="n"/>
      <c r="O50" s="422" t="n"/>
      <c r="P50" s="422" t="n"/>
    </row>
    <row r="51">
      <c r="B51" s="130" t="inlineStr">
        <is>
          <t>Adjusted Net Property-Level Cash Flow</t>
        </is>
      </c>
      <c r="C51" s="59" t="n"/>
      <c r="D51" s="59" t="n"/>
      <c r="E51" s="421" t="n"/>
      <c r="F51" s="424">
        <f>IF(F45="","",F47-F48-F49)</f>
        <v/>
      </c>
      <c r="G51" s="424">
        <f>IF(G45="","",G47-G48-G49)</f>
        <v/>
      </c>
      <c r="H51" s="424">
        <f>IF(H45="","",H47-H48-H49)</f>
        <v/>
      </c>
      <c r="I51" s="424">
        <f>IF(I45="","",I47-I48-I49)</f>
        <v/>
      </c>
      <c r="J51" s="424">
        <f>IF(J45="","",J47-J48-J49)</f>
        <v/>
      </c>
      <c r="K51" s="424">
        <f>IF(K45="","",K47-K48-K49)</f>
        <v/>
      </c>
      <c r="L51" s="424">
        <f>IF(L45="","",L47-L48-L49)</f>
        <v/>
      </c>
      <c r="M51" s="424">
        <f>IF(M45="","",M47-M48-M49)</f>
        <v/>
      </c>
      <c r="N51" s="424">
        <f>IF(N45="","",N47-N48-N49)</f>
        <v/>
      </c>
      <c r="O51" s="424">
        <f>IF(O45="","",O47-O48-O49)</f>
        <v/>
      </c>
      <c r="P51" s="424">
        <f>IF(P45="","",P47-P48-P49)</f>
        <v/>
      </c>
    </row>
    <row r="52">
      <c r="B52" s="59" t="inlineStr">
        <is>
          <t>Levered IRR</t>
        </is>
      </c>
      <c r="C52" s="59" t="n"/>
      <c r="D52" s="59" t="n"/>
      <c r="E52" s="59" t="n"/>
      <c r="F52" s="397">
        <f>IRR(F51:P51)</f>
        <v/>
      </c>
      <c r="G52" s="398" t="n"/>
      <c r="H52" s="398" t="n"/>
      <c r="I52" s="398" t="n"/>
      <c r="J52" s="398" t="n"/>
      <c r="K52" s="398" t="n"/>
      <c r="L52" s="398" t="n"/>
      <c r="M52" s="398" t="n"/>
      <c r="N52" s="398" t="n"/>
      <c r="O52" s="398" t="n"/>
      <c r="P52" s="398" t="n"/>
    </row>
    <row r="53">
      <c r="B53" s="59" t="inlineStr">
        <is>
          <t>Equity Multiple</t>
        </is>
      </c>
      <c r="C53" s="59" t="n"/>
      <c r="D53" s="59" t="n"/>
      <c r="E53" s="59" t="n"/>
      <c r="F53" s="822">
        <f>SUMIF(F51:P51,"&gt;0")/-SUMIF(F51:P51,"&lt;0")</f>
        <v/>
      </c>
      <c r="G53" s="398" t="n"/>
      <c r="H53" s="398" t="n"/>
      <c r="I53" s="398" t="n"/>
      <c r="J53" s="398" t="n"/>
      <c r="K53" s="398" t="n"/>
      <c r="L53" s="398" t="n"/>
      <c r="M53" s="398" t="n"/>
      <c r="N53" s="398" t="n"/>
      <c r="O53" s="398" t="n"/>
      <c r="P53" s="398" t="n"/>
    </row>
    <row r="54" ht="5.1" customHeight="1">
      <c r="B54" s="59" t="n"/>
      <c r="C54" s="59" t="n"/>
      <c r="D54" s="59" t="n"/>
      <c r="E54" s="398" t="n"/>
      <c r="F54" s="426" t="n"/>
      <c r="G54" s="398" t="n"/>
      <c r="H54" s="398" t="n"/>
      <c r="I54" s="398" t="n"/>
      <c r="J54" s="398" t="n"/>
      <c r="K54" s="398" t="n"/>
      <c r="L54" s="398" t="n"/>
      <c r="M54" s="398" t="n"/>
      <c r="N54" s="398" t="n"/>
      <c r="O54" s="398" t="n"/>
      <c r="P54" s="398" t="n"/>
    </row>
    <row r="56" outlineLevel="1" ht="18.75" customHeight="1">
      <c r="B56" s="427" t="inlineStr">
        <is>
          <t>PARTNERSHIP LEVEL RETURNS - IRR EQUITY WATERFALL</t>
        </is>
      </c>
      <c r="C56" s="428" t="n"/>
      <c r="D56" s="428" t="n"/>
      <c r="E56" s="428" t="n"/>
      <c r="F56" s="429" t="n"/>
      <c r="G56" s="429" t="n"/>
      <c r="H56" s="429" t="n"/>
      <c r="I56" s="429" t="n"/>
      <c r="J56" s="429" t="n"/>
      <c r="K56" s="429" t="n"/>
      <c r="L56" s="429" t="n"/>
      <c r="M56" s="429" t="n"/>
      <c r="N56" s="429" t="n"/>
      <c r="O56" s="429" t="n"/>
      <c r="P56" s="429" t="n"/>
    </row>
    <row r="57" outlineLevel="1" ht="15" customHeight="1">
      <c r="B57" s="208" t="n"/>
      <c r="C57" s="208" t="n"/>
      <c r="D57" s="664">
        <f>$D$4</f>
        <v/>
      </c>
      <c r="E57" s="208" t="n"/>
      <c r="F57" s="208" t="n"/>
      <c r="G57" s="208" t="n"/>
      <c r="H57" s="208" t="n"/>
      <c r="I57" s="208" t="n"/>
      <c r="J57" s="208" t="n"/>
      <c r="K57" s="208" t="n"/>
      <c r="L57" s="208" t="n"/>
      <c r="M57" s="208" t="n"/>
      <c r="N57" s="208" t="n"/>
      <c r="O57" s="208" t="n"/>
      <c r="P57" s="208" t="n"/>
    </row>
    <row r="58" outlineLevel="1">
      <c r="B58" s="430" t="n"/>
      <c r="C58" s="430" t="n"/>
      <c r="D58" s="431" t="n"/>
      <c r="E58" s="430" t="n"/>
      <c r="F58" s="738" t="inlineStr">
        <is>
          <t>Promote Structure Incentive Breakdown</t>
        </is>
      </c>
      <c r="H58" s="739" t="inlineStr">
        <is>
          <t>Distribution as %</t>
        </is>
      </c>
      <c r="J58" s="432" t="n"/>
      <c r="K58" s="432" t="n"/>
      <c r="L58" s="432" t="n"/>
      <c r="M58" s="432" t="n"/>
      <c r="N58" s="432" t="n"/>
      <c r="O58" s="432" t="n"/>
      <c r="P58" s="432" t="n"/>
    </row>
    <row r="59" outlineLevel="1" ht="15.75" customHeight="1">
      <c r="B59" s="433">
        <f>IF(D57="Equity Multiple","Partnership Distribution Assumptions (Equity Multiple Hurdles)","Partnership Distribution Assumptions (IRR Hurdles)")</f>
        <v/>
      </c>
      <c r="C59" s="430" t="n"/>
      <c r="D59" s="431" t="n"/>
      <c r="E59" s="430" t="n"/>
      <c r="H59" s="434" t="inlineStr">
        <is>
          <t>GP %</t>
        </is>
      </c>
      <c r="I59" s="435" t="inlineStr">
        <is>
          <t>LP %</t>
        </is>
      </c>
      <c r="J59" s="435" t="inlineStr">
        <is>
          <t>Notes</t>
        </is>
      </c>
      <c r="K59" s="432" t="n"/>
      <c r="L59" s="432" t="n"/>
      <c r="M59" s="432" t="n"/>
      <c r="N59" s="432" t="n"/>
      <c r="O59" s="432" t="n"/>
      <c r="P59" s="432" t="n"/>
    </row>
    <row r="60" outlineLevel="1">
      <c r="B60" s="59">
        <f>B15</f>
        <v/>
      </c>
      <c r="C60" s="377" t="n"/>
      <c r="D60" s="378" t="n"/>
      <c r="E60" s="804">
        <f>D61</f>
        <v/>
      </c>
      <c r="F60" s="805" t="inlineStr">
        <is>
          <t>GP Promote</t>
        </is>
      </c>
      <c r="G60" s="806" t="n"/>
      <c r="H60" s="823">
        <f>H15</f>
        <v/>
      </c>
      <c r="I60" s="801">
        <f>1-H60</f>
        <v/>
      </c>
      <c r="J60" s="383">
        <f>IF(I60=Equity_Share_LP,"Pref prorata to LP/GP, then Pro rata return of capital",IF(CU?,"Return of capital and Pref NOT pro rata + GP Catch Up","Return of capital and Pref NOT pro rata"))</f>
        <v/>
      </c>
      <c r="K60" s="383" t="n"/>
      <c r="L60" s="383" t="n"/>
      <c r="M60" s="383" t="n"/>
      <c r="N60" s="383" t="n"/>
      <c r="O60" s="383" t="n"/>
      <c r="P60" s="383" t="n"/>
    </row>
    <row r="61" outlineLevel="1">
      <c r="B61" s="59">
        <f>B16</f>
        <v/>
      </c>
      <c r="C61" s="808" t="n"/>
      <c r="D61" s="824">
        <f>D16</f>
        <v/>
      </c>
      <c r="E61" s="810">
        <f>IF($B$277&lt;3,9.99,D62)</f>
        <v/>
      </c>
      <c r="F61" s="823">
        <f>F16</f>
        <v/>
      </c>
      <c r="G61" s="801" t="n"/>
      <c r="H61" s="811">
        <f>H16</f>
        <v/>
      </c>
      <c r="I61" s="801">
        <f>1-H61</f>
        <v/>
      </c>
      <c r="J61" s="383">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83" t="n"/>
      <c r="L61" s="383" t="n"/>
      <c r="M61" s="383" t="n"/>
      <c r="N61" s="383" t="n"/>
      <c r="O61" s="383" t="n"/>
      <c r="P61" s="383" t="n"/>
    </row>
    <row r="62" outlineLevel="1">
      <c r="B62" s="59">
        <f>B17</f>
        <v/>
      </c>
      <c r="C62" s="808" t="n"/>
      <c r="D62" s="824">
        <f>D17</f>
        <v/>
      </c>
      <c r="E62" s="810">
        <f>IF($B$277&lt;4,9.99,D63)</f>
        <v/>
      </c>
      <c r="F62" s="823">
        <f>F17</f>
        <v/>
      </c>
      <c r="G62" s="801" t="n"/>
      <c r="H62" s="811">
        <f>H17</f>
        <v/>
      </c>
      <c r="I62" s="801">
        <f>1-H62</f>
        <v/>
      </c>
      <c r="J62" s="383">
        <f>TEXT(I61,"0.0%")&amp;"/"&amp;TEXT(H61,"0.0%")&amp;" to "&amp;(IF(D57="IRR",TEXT(E61,"0.0%"),TEXT(E61,"0.0X")))&amp;", then "&amp;TEXT(I62,"0.0%")&amp;"/"&amp;TEXT(H62,"0.0%")&amp;" to "&amp;(IF(D57="IRR",TEXT(E62,"0.0%"),TEXT(E62,"0.0X")))</f>
        <v/>
      </c>
      <c r="K62" s="383" t="n"/>
      <c r="L62" s="383" t="n"/>
      <c r="M62" s="383" t="n"/>
      <c r="N62" s="383" t="n"/>
      <c r="O62" s="383" t="n"/>
      <c r="P62" s="383" t="n"/>
    </row>
    <row r="63" outlineLevel="1">
      <c r="B63" s="59">
        <f>B18</f>
        <v/>
      </c>
      <c r="C63" s="808" t="n"/>
      <c r="D63" s="824">
        <f>D18</f>
        <v/>
      </c>
      <c r="E63" s="810">
        <f>IF($B$277&lt;5,9.99,D64)</f>
        <v/>
      </c>
      <c r="F63" s="823">
        <f>F18</f>
        <v/>
      </c>
      <c r="G63" s="801" t="n"/>
      <c r="H63" s="811">
        <f>H18</f>
        <v/>
      </c>
      <c r="I63" s="801">
        <f>1-H63</f>
        <v/>
      </c>
      <c r="J63" s="438">
        <f>TEXT(I62,"0.0%")&amp;"/"&amp;TEXT(H62,"0.0%")&amp;" to "&amp;(IF(D58="IRR",TEXT(E62,"0.0%"),TEXT(E62,"0.0X")))&amp;", then "&amp;TEXT(I63,"0.0%")&amp;"/"&amp;TEXT(H63,"0.0%")&amp;" to "&amp;(IF(D58="IRR",TEXT(E63,"0.0%"),TEXT(E63,"0.0X")))</f>
        <v/>
      </c>
      <c r="K63" s="438" t="n"/>
      <c r="L63" s="438" t="n"/>
      <c r="M63" s="438" t="n"/>
      <c r="N63" s="438" t="n"/>
      <c r="O63" s="438" t="n"/>
      <c r="P63" s="438" t="n"/>
    </row>
    <row r="64" outlineLevel="1">
      <c r="B64" s="59">
        <f>B19</f>
        <v/>
      </c>
      <c r="C64" s="808" t="n"/>
      <c r="D64" s="824">
        <f>D19</f>
        <v/>
      </c>
      <c r="E64" s="810" t="n"/>
      <c r="F64" s="823">
        <f>F19</f>
        <v/>
      </c>
      <c r="G64" s="801" t="n"/>
      <c r="H64" s="811">
        <f>H19</f>
        <v/>
      </c>
      <c r="I64" s="801">
        <f>1-H64</f>
        <v/>
      </c>
      <c r="J64" s="383">
        <f>TEXT(I63,"0.0%")&amp;"/"&amp;TEXT(H63,"0.0%")&amp;" to "&amp;(IF(D59="IRR",TEXT(E63,"0.0%"),TEXT(E63,"0.0X")))&amp;", then "&amp;TEXT(I64,"0.0%")&amp;"/"&amp;TEXT(H64,"0.0%")&amp;" to "&amp;(IF(D59="IRR",TEXT(E64,"0.0%"),TEXT(E64,"0.0X")))</f>
        <v/>
      </c>
      <c r="K64" s="383" t="n"/>
      <c r="L64" s="383" t="n"/>
      <c r="M64" s="383" t="n"/>
      <c r="N64" s="383" t="n"/>
      <c r="O64" s="383" t="n"/>
      <c r="P64" s="383" t="n"/>
    </row>
    <row r="65" outlineLevel="1">
      <c r="B65" s="59" t="n"/>
      <c r="C65" s="59" t="n"/>
      <c r="D65" s="812" t="n"/>
      <c r="E65" s="810" t="n"/>
      <c r="F65" s="360" t="n"/>
      <c r="G65" s="389" t="n"/>
      <c r="H65" s="390" t="n"/>
      <c r="I65" s="390" t="n"/>
      <c r="J65" s="208" t="n"/>
      <c r="K65" s="208" t="n"/>
      <c r="L65" s="208" t="n"/>
      <c r="M65" s="208" t="n"/>
      <c r="N65" s="208" t="n"/>
      <c r="O65" s="208" t="n"/>
      <c r="P65" s="208" t="n"/>
    </row>
    <row r="66" outlineLevel="1" ht="15.75" customHeight="1">
      <c r="B66" s="433" t="inlineStr">
        <is>
          <t>Summary of Partnership-Level Returns</t>
        </is>
      </c>
      <c r="C66" s="430" t="n"/>
      <c r="D66" s="825" t="n"/>
      <c r="E66" s="826" t="n"/>
      <c r="F66" s="827" t="n">
        <v>0</v>
      </c>
      <c r="G66" s="827">
        <f>IF(G84="","",F66+1)</f>
        <v/>
      </c>
      <c r="H66" s="827">
        <f>IF(H84="","",G66+1)</f>
        <v/>
      </c>
      <c r="I66" s="827">
        <f>IF(I84="","",H66+1)</f>
        <v/>
      </c>
      <c r="J66" s="827">
        <f>IF(J84="","",I66+1)</f>
        <v/>
      </c>
      <c r="K66" s="827">
        <f>IF(K84="","",J66+1)</f>
        <v/>
      </c>
      <c r="L66" s="827">
        <f>IF(L84="","",K66+1)</f>
        <v/>
      </c>
      <c r="M66" s="827">
        <f>IF(M84="","",L66+1)</f>
        <v/>
      </c>
      <c r="N66" s="827">
        <f>IF(N84="","",M66+1)</f>
        <v/>
      </c>
      <c r="O66" s="827">
        <f>IF(O84="","",N66+1)</f>
        <v/>
      </c>
      <c r="P66" s="827">
        <f>IF(P84="","",O66+1)</f>
        <v/>
      </c>
    </row>
    <row r="67" outlineLevel="1">
      <c r="B67" s="394" t="inlineStr">
        <is>
          <t>Limited Partner (LP) Returns</t>
        </is>
      </c>
      <c r="C67" s="59" t="n"/>
      <c r="D67" s="812" t="n"/>
      <c r="E67" s="810" t="n"/>
      <c r="F67" s="395" t="n"/>
      <c r="G67" s="396" t="n"/>
      <c r="H67" s="397" t="n"/>
      <c r="I67" s="397" t="n"/>
      <c r="J67" s="398" t="n"/>
      <c r="K67" s="398" t="n"/>
      <c r="L67" s="398" t="n"/>
      <c r="M67" s="398" t="n"/>
      <c r="N67" s="398" t="n"/>
      <c r="O67" s="398" t="n"/>
      <c r="P67" s="398" t="n"/>
    </row>
    <row r="68" outlineLevel="1">
      <c r="B68" s="399" t="inlineStr">
        <is>
          <t>Total LP Distributions</t>
        </is>
      </c>
      <c r="C68" s="59" t="n"/>
      <c r="D68" s="401">
        <f>SUM(F68:P68)</f>
        <v/>
      </c>
      <c r="E68" s="810" t="n"/>
      <c r="F68" s="358">
        <f>IF(F66="","",F100+F122+F137+F152+F159)</f>
        <v/>
      </c>
      <c r="G68" s="358">
        <f>IF(G66="","",G100+G122+G137+G152+G159)</f>
        <v/>
      </c>
      <c r="H68" s="358">
        <f>IF(H66="","",H100+H122+H137+H152+H159)</f>
        <v/>
      </c>
      <c r="I68" s="358">
        <f>IF(I66="","",I100+I122+I137+I152+I159)</f>
        <v/>
      </c>
      <c r="J68" s="358">
        <f>IF(J66="","",J100+J122+J137+J152+J159)</f>
        <v/>
      </c>
      <c r="K68" s="358">
        <f>IF(K66="","",K100+K122+K137+K152+K159)</f>
        <v/>
      </c>
      <c r="L68" s="358">
        <f>IF(L66="","",L100+L122+L137+L152+L159)</f>
        <v/>
      </c>
      <c r="M68" s="358">
        <f>IF(M66="","",M100+M122+M137+M152+M159)</f>
        <v/>
      </c>
      <c r="N68" s="358">
        <f>IF(N66="","",N100+N122+N137+N152+N159)</f>
        <v/>
      </c>
      <c r="O68" s="358">
        <f>IF(O66="","",O100+O122+O137+O152+O159)</f>
        <v/>
      </c>
      <c r="P68" s="358">
        <f>IF(P66="","",P100+P122+P137+P152+P159)</f>
        <v/>
      </c>
    </row>
    <row r="69" outlineLevel="1">
      <c r="B69" s="399" t="inlineStr">
        <is>
          <t>Total LP Contributions</t>
        </is>
      </c>
      <c r="C69" s="59" t="n"/>
      <c r="D69" s="401">
        <f>SUM(F69:P69)</f>
        <v/>
      </c>
      <c r="E69" s="810" t="n"/>
      <c r="F69" s="358">
        <f>F96</f>
        <v/>
      </c>
      <c r="G69" s="358">
        <f>G96</f>
        <v/>
      </c>
      <c r="H69" s="358">
        <f>H96</f>
        <v/>
      </c>
      <c r="I69" s="358">
        <f>I96</f>
        <v/>
      </c>
      <c r="J69" s="358">
        <f>J96</f>
        <v/>
      </c>
      <c r="K69" s="358">
        <f>K96</f>
        <v/>
      </c>
      <c r="L69" s="358">
        <f>L96</f>
        <v/>
      </c>
      <c r="M69" s="358">
        <f>M96</f>
        <v/>
      </c>
      <c r="N69" s="358">
        <f>N96</f>
        <v/>
      </c>
      <c r="O69" s="358">
        <f>O96</f>
        <v/>
      </c>
      <c r="P69" s="358">
        <f>P96</f>
        <v/>
      </c>
    </row>
    <row r="70" outlineLevel="1">
      <c r="B70" s="399" t="inlineStr">
        <is>
          <t>Total LP Profit</t>
        </is>
      </c>
      <c r="C70" s="59" t="n"/>
      <c r="D70" s="401">
        <f>D68-D69</f>
        <v/>
      </c>
      <c r="E70" s="810" t="n"/>
      <c r="F70" s="406" t="n"/>
      <c r="G70" s="358" t="n"/>
      <c r="H70" s="407" t="n"/>
      <c r="I70" s="407" t="n"/>
      <c r="J70" s="407" t="n"/>
      <c r="K70" s="407" t="n"/>
      <c r="L70" s="407" t="n"/>
      <c r="M70" s="407" t="n"/>
      <c r="N70" s="407" t="n"/>
      <c r="O70" s="407" t="n"/>
      <c r="P70" s="407" t="n"/>
    </row>
    <row r="71" outlineLevel="1">
      <c r="B71" s="399" t="inlineStr">
        <is>
          <t>LP IRR</t>
        </is>
      </c>
      <c r="C71" s="59" t="n"/>
      <c r="D71" s="442">
        <f>IRR(F71:P71)</f>
        <v/>
      </c>
      <c r="E71" s="810" t="n"/>
      <c r="F71" s="358">
        <f>IF(F66="","",(-F69)+F68)</f>
        <v/>
      </c>
      <c r="G71" s="358">
        <f>IF(G66="","",(-G69)+G68)</f>
        <v/>
      </c>
      <c r="H71" s="358">
        <f>IF(H66="","",(-H69)+H68)</f>
        <v/>
      </c>
      <c r="I71" s="358">
        <f>IF(I66="","",(-I69)+I68)</f>
        <v/>
      </c>
      <c r="J71" s="358">
        <f>IF(J66="","",(-J69)+J68)</f>
        <v/>
      </c>
      <c r="K71" s="358">
        <f>IF(K66="","",(-K69)+K68)</f>
        <v/>
      </c>
      <c r="L71" s="358">
        <f>IF(L66="","",(-L69)+L68)</f>
        <v/>
      </c>
      <c r="M71" s="358">
        <f>IF(M66="","",(-M69)+M68)</f>
        <v/>
      </c>
      <c r="N71" s="358">
        <f>IF(N66="","",(-N69)+N68)</f>
        <v/>
      </c>
      <c r="O71" s="358">
        <f>IF(O66="","",(-O69)+O68)</f>
        <v/>
      </c>
      <c r="P71" s="358">
        <f>IF(P66="","",(-P69)+P68)</f>
        <v/>
      </c>
    </row>
    <row r="72" outlineLevel="1">
      <c r="B72" s="399" t="inlineStr">
        <is>
          <t>LP Equity Multiple</t>
        </is>
      </c>
      <c r="C72" s="59" t="n"/>
      <c r="D72" s="828">
        <f>D68/D69</f>
        <v/>
      </c>
      <c r="E72" s="810" t="n"/>
      <c r="F72" s="406" t="n"/>
      <c r="G72" s="358" t="n"/>
      <c r="H72" s="407" t="n"/>
      <c r="I72" s="407" t="n"/>
      <c r="J72" s="407" t="n"/>
      <c r="K72" s="407" t="n"/>
      <c r="L72" s="407" t="n"/>
      <c r="M72" s="407" t="n"/>
      <c r="N72" s="407" t="n"/>
      <c r="O72" s="407" t="n"/>
      <c r="P72" s="407" t="n"/>
    </row>
    <row r="73" outlineLevel="1">
      <c r="B73" s="399" t="n"/>
      <c r="C73" s="59" t="n"/>
      <c r="D73" s="812" t="n"/>
      <c r="E73" s="810" t="n"/>
      <c r="F73" s="406" t="n"/>
      <c r="G73" s="358" t="n"/>
      <c r="H73" s="407" t="n"/>
      <c r="I73" s="407" t="n"/>
      <c r="J73" s="407" t="n"/>
      <c r="K73" s="407" t="n"/>
      <c r="L73" s="407" t="n"/>
      <c r="M73" s="407" t="n"/>
      <c r="N73" s="407" t="n"/>
      <c r="O73" s="407" t="n"/>
      <c r="P73" s="407" t="n"/>
    </row>
    <row r="74" outlineLevel="1">
      <c r="B74" s="394" t="inlineStr">
        <is>
          <t>GP Returns</t>
        </is>
      </c>
      <c r="C74" s="59" t="n"/>
      <c r="D74" s="812" t="n"/>
      <c r="E74" s="810" t="n"/>
      <c r="F74" s="406" t="n"/>
      <c r="G74" s="358" t="n"/>
      <c r="H74" s="407" t="n"/>
      <c r="I74" s="407" t="n"/>
      <c r="J74" s="407" t="n"/>
      <c r="K74" s="407" t="n"/>
      <c r="L74" s="407" t="n"/>
      <c r="M74" s="407" t="n"/>
      <c r="N74" s="407" t="n"/>
      <c r="O74" s="407" t="n"/>
      <c r="P74" s="407" t="n"/>
    </row>
    <row r="75" outlineLevel="1">
      <c r="B75" s="399" t="inlineStr">
        <is>
          <t>Total GP Distributions</t>
        </is>
      </c>
      <c r="C75" s="59" t="n"/>
      <c r="D75" s="358">
        <f>SUM(F75:P75)</f>
        <v/>
      </c>
      <c r="E75" s="810" t="n"/>
      <c r="F75" s="358">
        <f>IF(F66="","",F105+F123+F138+F153+F160)</f>
        <v/>
      </c>
      <c r="G75" s="358">
        <f>IF(G66="","",G105+G123+G138+G153+G160)</f>
        <v/>
      </c>
      <c r="H75" s="358">
        <f>IF(H66="","",H105+H123+H138+H153+H160)</f>
        <v/>
      </c>
      <c r="I75" s="358">
        <f>IF(I66="","",I105+I123+I138+I153+I160)</f>
        <v/>
      </c>
      <c r="J75" s="358">
        <f>IF(J66="","",J105+J123+J138+J153+J160)</f>
        <v/>
      </c>
      <c r="K75" s="358">
        <f>IF(K66="","",K105+K123+K138+K153+K160)</f>
        <v/>
      </c>
      <c r="L75" s="358">
        <f>IF(L66="","",L105+L123+L138+L153+L160)</f>
        <v/>
      </c>
      <c r="M75" s="358">
        <f>IF(M66="","",M105+M123+M138+M153+M160)</f>
        <v/>
      </c>
      <c r="N75" s="358">
        <f>IF(N66="","",N105+N123+N138+N153+N160)</f>
        <v/>
      </c>
      <c r="O75" s="358">
        <f>IF(O66="","",O105+O123+O138+O153+O160)</f>
        <v/>
      </c>
      <c r="P75" s="358">
        <f>IF(P66="","",P105+P123+P138+P153+P160)</f>
        <v/>
      </c>
    </row>
    <row r="76" outlineLevel="1">
      <c r="B76" s="399" t="inlineStr">
        <is>
          <t>Total GP Fees</t>
        </is>
      </c>
      <c r="C76" s="59" t="n"/>
      <c r="D76" s="358">
        <f>SUM(F76:P76)</f>
        <v/>
      </c>
      <c r="E76" s="810" t="n"/>
      <c r="F76" s="358">
        <f>IF(F66="","",SUM(F85:F86))</f>
        <v/>
      </c>
      <c r="G76" s="358">
        <f>IF(G66="","",SUM(G85:G86))</f>
        <v/>
      </c>
      <c r="H76" s="358">
        <f>IF(H66="","",SUM(H85:H86))</f>
        <v/>
      </c>
      <c r="I76" s="358">
        <f>IF(I66="","",SUM(I85:I86))</f>
        <v/>
      </c>
      <c r="J76" s="358">
        <f>IF(J66="","",SUM(J85:J86))</f>
        <v/>
      </c>
      <c r="K76" s="358">
        <f>IF(K66="","",SUM(K85:K86))</f>
        <v/>
      </c>
      <c r="L76" s="358">
        <f>IF(L66="","",SUM(L85:L86))</f>
        <v/>
      </c>
      <c r="M76" s="358">
        <f>IF(M66="","",SUM(M85:M86))</f>
        <v/>
      </c>
      <c r="N76" s="358">
        <f>IF(N66="","",SUM(N85:N86))</f>
        <v/>
      </c>
      <c r="O76" s="358">
        <f>IF(O66="","",SUM(O85:O86))</f>
        <v/>
      </c>
      <c r="P76" s="358">
        <f>IF(P66="","",SUM(P85:P86))</f>
        <v/>
      </c>
    </row>
    <row r="77" outlineLevel="1">
      <c r="B77" s="399" t="inlineStr">
        <is>
          <t>Total GP Contributions</t>
        </is>
      </c>
      <c r="C77" s="59" t="n"/>
      <c r="D77" s="358">
        <f>SUM(F77:P77)</f>
        <v/>
      </c>
      <c r="E77" s="810" t="n"/>
      <c r="F77" s="358">
        <f>IF(F66="","",-(MIN(F87,0)+F96))</f>
        <v/>
      </c>
      <c r="G77" s="358">
        <f>IF(G66="","",-(MIN(G87,0)+G96))</f>
        <v/>
      </c>
      <c r="H77" s="358">
        <f>IF(H66="","",-(MIN(H87,0)+H96))</f>
        <v/>
      </c>
      <c r="I77" s="358">
        <f>IF(I66="","",-(MIN(I87,0)+I96))</f>
        <v/>
      </c>
      <c r="J77" s="358">
        <f>IF(J66="","",-(MIN(J87,0)+J96))</f>
        <v/>
      </c>
      <c r="K77" s="358">
        <f>IF(K66="","",-(MIN(K87,0)+K96))</f>
        <v/>
      </c>
      <c r="L77" s="358">
        <f>IF(L66="","",-(MIN(L87,0)+L96))</f>
        <v/>
      </c>
      <c r="M77" s="358">
        <f>IF(M66="","",-(MIN(M87,0)+M96))</f>
        <v/>
      </c>
      <c r="N77" s="358">
        <f>IF(N66="","",-(MIN(N87,0)+N96))</f>
        <v/>
      </c>
      <c r="O77" s="358">
        <f>IF(O66="","",-(MIN(O87,0)+O96))</f>
        <v/>
      </c>
      <c r="P77" s="358">
        <f>IF(P66="","",-(MIN(P87,0)+P96))</f>
        <v/>
      </c>
    </row>
    <row r="78" outlineLevel="1">
      <c r="B78" s="399" t="inlineStr">
        <is>
          <t>Total GP Profit</t>
        </is>
      </c>
      <c r="C78" s="59" t="n"/>
      <c r="D78" s="358">
        <f>+D75+D76-D77</f>
        <v/>
      </c>
      <c r="E78" s="810" t="n"/>
      <c r="F78" s="406" t="n"/>
      <c r="G78" s="358" t="n"/>
      <c r="H78" s="407" t="n"/>
      <c r="I78" s="407" t="n"/>
      <c r="J78" s="407" t="n"/>
      <c r="K78" s="407" t="n"/>
      <c r="L78" s="407" t="n"/>
      <c r="M78" s="407" t="n"/>
      <c r="N78" s="407" t="n"/>
      <c r="O78" s="407" t="n"/>
      <c r="P78" s="407" t="n"/>
    </row>
    <row r="79" outlineLevel="1">
      <c r="B79" s="399" t="inlineStr">
        <is>
          <t>GP IRR</t>
        </is>
      </c>
      <c r="C79" s="59" t="n"/>
      <c r="D79" s="413">
        <f>IFERROR(IRR(F79:P79),"NA")</f>
        <v/>
      </c>
      <c r="E79" s="810" t="n"/>
      <c r="F79" s="358">
        <f>IF(F66="","",(-F77)+F75+F76)</f>
        <v/>
      </c>
      <c r="G79" s="358">
        <f>IF(G66="","",(-G77)+G75+G76)</f>
        <v/>
      </c>
      <c r="H79" s="358">
        <f>IF(H66="","",(-H77)+H75+H76)</f>
        <v/>
      </c>
      <c r="I79" s="358">
        <f>IF(I66="","",(-I77)+I75+I76)</f>
        <v/>
      </c>
      <c r="J79" s="358">
        <f>IF(J66="","",(-J77)+J75+J76)</f>
        <v/>
      </c>
      <c r="K79" s="358">
        <f>IF(K66="","",(-K77)+K75+K76)</f>
        <v/>
      </c>
      <c r="L79" s="358">
        <f>IF(L66="","",(-L77)+L75+L76)</f>
        <v/>
      </c>
      <c r="M79" s="358">
        <f>IF(M66="","",(-M77)+M75+M76)</f>
        <v/>
      </c>
      <c r="N79" s="358">
        <f>IF(N66="","",(-N77)+N75+N76)</f>
        <v/>
      </c>
      <c r="O79" s="358">
        <f>IF(O66="","",(-O77)+O75+O76)</f>
        <v/>
      </c>
      <c r="P79" s="358">
        <f>IF(P66="","",(-P77)+P75+P76)</f>
        <v/>
      </c>
    </row>
    <row r="80" outlineLevel="1">
      <c r="B80" s="399" t="inlineStr">
        <is>
          <t>GP Equity Multiple</t>
        </is>
      </c>
      <c r="C80" s="59" t="n"/>
      <c r="D80" s="818">
        <f>IFERROR(D75/D77,"NA")</f>
        <v/>
      </c>
      <c r="E80" s="810" t="n"/>
      <c r="F80" s="395" t="n"/>
      <c r="G80" s="396" t="n"/>
      <c r="H80" s="397" t="n"/>
      <c r="I80" s="397" t="n"/>
      <c r="J80" s="398" t="n"/>
      <c r="K80" s="398" t="n"/>
      <c r="L80" s="398" t="n"/>
      <c r="M80" s="398" t="n"/>
      <c r="N80" s="398" t="n"/>
      <c r="O80" s="398" t="n"/>
      <c r="P80" s="398" t="n"/>
    </row>
    <row r="81" outlineLevel="1">
      <c r="B81" s="415" t="n"/>
      <c r="C81" s="416" t="n"/>
      <c r="D81" s="819" t="n"/>
      <c r="E81" s="59" t="n"/>
      <c r="F81" s="398" t="n"/>
      <c r="G81" s="398" t="n"/>
      <c r="H81" s="398" t="n"/>
      <c r="I81" s="398" t="n"/>
      <c r="J81" s="398" t="n"/>
      <c r="K81" s="398" t="n"/>
      <c r="L81" s="398" t="n"/>
      <c r="M81" s="398" t="n"/>
      <c r="N81" s="398" t="n"/>
      <c r="O81" s="398" t="n"/>
      <c r="P81" s="398" t="n"/>
    </row>
    <row r="82" outlineLevel="1" ht="15.75" customHeight="1">
      <c r="B82" s="433" t="inlineStr">
        <is>
          <t>Property-Level Cash and GP Fees</t>
        </is>
      </c>
      <c r="C82" s="430" t="n"/>
      <c r="D82" s="430" t="n"/>
      <c r="E82" s="432" t="n"/>
      <c r="F82" s="431" t="inlineStr">
        <is>
          <t>Year 0</t>
        </is>
      </c>
      <c r="G82" s="827">
        <f>G$21</f>
        <v/>
      </c>
      <c r="H82" s="827">
        <f>H$21</f>
        <v/>
      </c>
      <c r="I82" s="827">
        <f>I$21</f>
        <v/>
      </c>
      <c r="J82" s="827">
        <f>J$21</f>
        <v/>
      </c>
      <c r="K82" s="827">
        <f>K$21</f>
        <v/>
      </c>
      <c r="L82" s="827">
        <f>L$21</f>
        <v/>
      </c>
      <c r="M82" s="827">
        <f>M$21</f>
        <v/>
      </c>
      <c r="N82" s="827">
        <f>N$21</f>
        <v/>
      </c>
      <c r="O82" s="827">
        <f>O$21</f>
        <v/>
      </c>
      <c r="P82" s="827">
        <f>P$21</f>
        <v/>
      </c>
    </row>
    <row r="83" outlineLevel="1">
      <c r="B83" s="59" t="n"/>
      <c r="C83" s="59" t="n"/>
      <c r="D83" s="59" t="n"/>
      <c r="E83" s="398" t="inlineStr">
        <is>
          <t>Year Ending</t>
        </is>
      </c>
      <c r="F83" s="829">
        <f>IF(F46="","",F46)</f>
        <v/>
      </c>
      <c r="G83" s="830">
        <f>IF(G46="","",G46)</f>
        <v/>
      </c>
      <c r="H83" s="830">
        <f>IF(H46="","",H46)</f>
        <v/>
      </c>
      <c r="I83" s="830">
        <f>IF(I46="","",I46)</f>
        <v/>
      </c>
      <c r="J83" s="830">
        <f>IF(J46="","",J46)</f>
        <v/>
      </c>
      <c r="K83" s="830">
        <f>IF(K46="","",K46)</f>
        <v/>
      </c>
      <c r="L83" s="830">
        <f>IF(L46="","",L46)</f>
        <v/>
      </c>
      <c r="M83" s="830">
        <f>IF(M46="","",M46)</f>
        <v/>
      </c>
      <c r="N83" s="830">
        <f>IF(N46="","",N46)</f>
        <v/>
      </c>
      <c r="O83" s="830">
        <f>IF(O46="","",O46)</f>
        <v/>
      </c>
      <c r="P83" s="830">
        <f>IF(P46="","",P46)</f>
        <v/>
      </c>
    </row>
    <row r="84" outlineLevel="1">
      <c r="B84" s="130" t="inlineStr">
        <is>
          <t>Net Property-Level Cash Flow</t>
        </is>
      </c>
      <c r="C84" s="59" t="n"/>
      <c r="D84" s="59" t="n"/>
      <c r="E84" s="421" t="n"/>
      <c r="F84" s="446">
        <f>IF(F47="","",F47)</f>
        <v/>
      </c>
      <c r="G84" s="446">
        <f>IF(G47="","",G47)</f>
        <v/>
      </c>
      <c r="H84" s="446">
        <f>IF(H47="","",H47)</f>
        <v/>
      </c>
      <c r="I84" s="446">
        <f>IF(I47="","",I47)</f>
        <v/>
      </c>
      <c r="J84" s="446">
        <f>IF(J47="","",J47)</f>
        <v/>
      </c>
      <c r="K84" s="446">
        <f>IF(K47="","",K47)</f>
        <v/>
      </c>
      <c r="L84" s="446">
        <f>IF(L47="","",L47)</f>
        <v/>
      </c>
      <c r="M84" s="446">
        <f>IF(M47="","",M47)</f>
        <v/>
      </c>
      <c r="N84" s="446">
        <f>IF(N47="","",N47)</f>
        <v/>
      </c>
      <c r="O84" s="446">
        <f>IF(O47="","",O47)</f>
        <v/>
      </c>
      <c r="P84" s="446">
        <f>IF(P47="","",P47)</f>
        <v/>
      </c>
    </row>
    <row r="85" outlineLevel="1">
      <c r="B85" s="447">
        <f>IF(B48="","",B48)</f>
        <v/>
      </c>
      <c r="C85" s="59" t="n"/>
      <c r="D85" s="59" t="n"/>
      <c r="E85" s="421" t="n"/>
      <c r="F85" s="446">
        <f>IF(F48="","",F48)</f>
        <v/>
      </c>
      <c r="G85" s="446">
        <f>IF(G48="","",G48)</f>
        <v/>
      </c>
      <c r="H85" s="446">
        <f>IF(H48="","",H48)</f>
        <v/>
      </c>
      <c r="I85" s="446">
        <f>IF(I48="","",I48)</f>
        <v/>
      </c>
      <c r="J85" s="446">
        <f>IF(J48="","",J48)</f>
        <v/>
      </c>
      <c r="K85" s="446">
        <f>IF(K48="","",K48)</f>
        <v/>
      </c>
      <c r="L85" s="446">
        <f>IF(L48="","",L48)</f>
        <v/>
      </c>
      <c r="M85" s="446">
        <f>IF(M48="","",M48)</f>
        <v/>
      </c>
      <c r="N85" s="446">
        <f>IF(N48="","",N48)</f>
        <v/>
      </c>
      <c r="O85" s="446">
        <f>IF(O48="","",O48)</f>
        <v/>
      </c>
      <c r="P85" s="446">
        <f>IF(P48="","",P48)</f>
        <v/>
      </c>
    </row>
    <row r="86" outlineLevel="1">
      <c r="B86" s="447">
        <f>IF(B49="","",B49)</f>
        <v/>
      </c>
      <c r="C86" s="59" t="n"/>
      <c r="D86" s="59" t="n"/>
      <c r="E86" s="421" t="n"/>
      <c r="F86" s="446">
        <f>IF(F49="","",F49)</f>
        <v/>
      </c>
      <c r="G86" s="446">
        <f>IF(G49="","",G49)</f>
        <v/>
      </c>
      <c r="H86" s="446">
        <f>IF(H49="","",H49)</f>
        <v/>
      </c>
      <c r="I86" s="446">
        <f>IF(I49="","",I49)</f>
        <v/>
      </c>
      <c r="J86" s="446">
        <f>IF(J49="","",J49)</f>
        <v/>
      </c>
      <c r="K86" s="446">
        <f>IF(K49="","",K49)</f>
        <v/>
      </c>
      <c r="L86" s="446">
        <f>IF(L49="","",L49)</f>
        <v/>
      </c>
      <c r="M86" s="446">
        <f>IF(M49="","",M49)</f>
        <v/>
      </c>
      <c r="N86" s="446">
        <f>IF(N49="","",N49)</f>
        <v/>
      </c>
      <c r="O86" s="446">
        <f>IF(O49="","",O49)</f>
        <v/>
      </c>
      <c r="P86" s="446">
        <f>IF(P49="","",P49)</f>
        <v/>
      </c>
    </row>
    <row r="87" outlineLevel="1">
      <c r="B87" s="130" t="inlineStr">
        <is>
          <t>Adjusted Net Property-Level Cash Flow</t>
        </is>
      </c>
      <c r="C87" s="59" t="n"/>
      <c r="D87" s="59" t="n"/>
      <c r="E87" s="421" t="n"/>
      <c r="F87" s="424">
        <f>IF(F82="","",F84-F85-F86)</f>
        <v/>
      </c>
      <c r="G87" s="424">
        <f>IF(G82="","",G84-G85-G86)</f>
        <v/>
      </c>
      <c r="H87" s="424">
        <f>IF(H82="","",H84-H85-H86)</f>
        <v/>
      </c>
      <c r="I87" s="424">
        <f>IF(I82="","",I84-I85-I86)</f>
        <v/>
      </c>
      <c r="J87" s="424">
        <f>IF(J82="","",J84-J85-J86)</f>
        <v/>
      </c>
      <c r="K87" s="424">
        <f>IF(K82="","",K84-K85-K86)</f>
        <v/>
      </c>
      <c r="L87" s="424">
        <f>IF(L82="","",L84-L85-L86)</f>
        <v/>
      </c>
      <c r="M87" s="424">
        <f>IF(M82="","",M84-M85-M86)</f>
        <v/>
      </c>
      <c r="N87" s="424">
        <f>IF(N82="","",N84-N85-N86)</f>
        <v/>
      </c>
      <c r="O87" s="424">
        <f>IF(O82="","",O84-O85-O86)</f>
        <v/>
      </c>
      <c r="P87" s="424">
        <f>IF(P82="","",P84-P85-P86)</f>
        <v/>
      </c>
    </row>
    <row r="88" outlineLevel="1">
      <c r="B88" s="59" t="inlineStr">
        <is>
          <t>Levered IRR</t>
        </is>
      </c>
      <c r="C88" s="59" t="n"/>
      <c r="D88" s="59" t="n"/>
      <c r="E88" s="59" t="n"/>
      <c r="F88" s="397">
        <f>IRR(F87:M87)</f>
        <v/>
      </c>
      <c r="G88" s="398" t="n"/>
      <c r="H88" s="398" t="n"/>
      <c r="I88" s="398" t="n"/>
      <c r="J88" s="398" t="n"/>
      <c r="K88" s="398" t="n"/>
      <c r="L88" s="398" t="n"/>
      <c r="M88" s="398" t="n"/>
      <c r="N88" s="398" t="n"/>
      <c r="O88" s="398" t="n"/>
      <c r="P88" s="398" t="n"/>
    </row>
    <row r="89" outlineLevel="1">
      <c r="B89" s="59" t="inlineStr">
        <is>
          <t>Equity Multiple</t>
        </is>
      </c>
      <c r="C89" s="59" t="n"/>
      <c r="D89" s="59" t="n"/>
      <c r="E89" s="59" t="n"/>
      <c r="F89" s="822">
        <f>SUMIF(F87:M87,"&gt;0")/-SUMIF(F87:M87,"&lt;0")</f>
        <v/>
      </c>
      <c r="G89" s="398" t="n"/>
      <c r="H89" s="398" t="n"/>
      <c r="I89" s="398" t="n"/>
      <c r="J89" s="398" t="n"/>
      <c r="K89" s="398" t="n"/>
      <c r="L89" s="398" t="n"/>
      <c r="M89" s="398" t="n"/>
      <c r="N89" s="398" t="n"/>
      <c r="O89" s="398" t="n"/>
      <c r="P89" s="398" t="n"/>
    </row>
    <row r="90" outlineLevel="1">
      <c r="B90" s="59" t="n"/>
      <c r="C90" s="59" t="n"/>
      <c r="D90" s="59" t="n"/>
      <c r="E90" s="398" t="n"/>
      <c r="F90" s="426" t="n"/>
      <c r="G90" s="398" t="n"/>
      <c r="H90" s="398" t="n"/>
      <c r="I90" s="398" t="n"/>
      <c r="J90" s="398" t="n"/>
      <c r="K90" s="398" t="n"/>
      <c r="L90" s="398" t="n"/>
      <c r="M90" s="398" t="n"/>
      <c r="N90" s="398" t="n"/>
      <c r="O90" s="398" t="n"/>
      <c r="P90" s="398" t="n"/>
    </row>
    <row r="91" outlineLevel="1" ht="15.75" customHeight="1">
      <c r="B91" s="433" t="inlineStr">
        <is>
          <t>Tier 1 - Preferred Return + Return of Capital</t>
        </is>
      </c>
      <c r="C91" s="430" t="n"/>
      <c r="D91" s="430" t="n"/>
      <c r="E91" s="430" t="n"/>
      <c r="F91" s="431" t="n"/>
      <c r="G91" s="448" t="n"/>
      <c r="H91" s="431" t="n"/>
      <c r="I91" s="431" t="n"/>
      <c r="J91" s="431" t="n"/>
      <c r="K91" s="431" t="n"/>
      <c r="L91" s="431" t="n"/>
      <c r="M91" s="431" t="n"/>
      <c r="N91" s="431" t="n"/>
      <c r="O91" s="431" t="n"/>
      <c r="P91" s="431" t="n"/>
    </row>
    <row r="92" outlineLevel="1">
      <c r="B92" s="449" t="inlineStr">
        <is>
          <t>Return Threshold - Up to:</t>
        </is>
      </c>
      <c r="C92" s="831">
        <f>E60</f>
        <v/>
      </c>
      <c r="D92" s="430" t="n"/>
      <c r="E92" s="430" t="n"/>
      <c r="F92" s="431" t="inlineStr">
        <is>
          <t>Year 0</t>
        </is>
      </c>
      <c r="G92" s="827">
        <f>G$21</f>
        <v/>
      </c>
      <c r="H92" s="827">
        <f>H$21</f>
        <v/>
      </c>
      <c r="I92" s="827">
        <f>I$21</f>
        <v/>
      </c>
      <c r="J92" s="827">
        <f>J$21</f>
        <v/>
      </c>
      <c r="K92" s="827">
        <f>K$21</f>
        <v/>
      </c>
      <c r="L92" s="827">
        <f>L$21</f>
        <v/>
      </c>
      <c r="M92" s="827">
        <f>M$21</f>
        <v/>
      </c>
      <c r="N92" s="827">
        <f>N$21</f>
        <v/>
      </c>
      <c r="O92" s="827">
        <f>O$21</f>
        <v/>
      </c>
      <c r="P92" s="827">
        <f>P$21</f>
        <v/>
      </c>
    </row>
    <row r="93" outlineLevel="1">
      <c r="B93" s="59" t="inlineStr">
        <is>
          <t>Beginning Balance (LP Capital Account)</t>
        </is>
      </c>
      <c r="C93" s="59" t="n"/>
      <c r="D93" s="59" t="n"/>
      <c r="E93" s="59" t="n"/>
      <c r="F93" s="407">
        <f>IF(F92="","",E98)</f>
        <v/>
      </c>
      <c r="G93" s="407">
        <f>IF(G92="","",F98)</f>
        <v/>
      </c>
      <c r="H93" s="407">
        <f>IF(H92="","",G98)</f>
        <v/>
      </c>
      <c r="I93" s="407">
        <f>IF(I92="","",H98)</f>
        <v/>
      </c>
      <c r="J93" s="407">
        <f>IF(J92="","",I98)</f>
        <v/>
      </c>
      <c r="K93" s="407">
        <f>IF(K92="","",J98)</f>
        <v/>
      </c>
      <c r="L93" s="407">
        <f>IF(L92="","",K98)</f>
        <v/>
      </c>
      <c r="M93" s="407">
        <f>IF(M92="","",L98)</f>
        <v/>
      </c>
      <c r="N93" s="407">
        <f>IF(N92="","",M98)</f>
        <v/>
      </c>
      <c r="O93" s="407">
        <f>IF(O92="","",N98)</f>
        <v/>
      </c>
      <c r="P93" s="407">
        <f>IF(P92="","",O98)</f>
        <v/>
      </c>
    </row>
    <row r="94" outlineLevel="1">
      <c r="B94" s="59" t="inlineStr">
        <is>
          <t>LP Return of Capital</t>
        </is>
      </c>
      <c r="C94" s="59" t="n"/>
      <c r="D94" s="59" t="n"/>
      <c r="E94" s="59" t="n"/>
      <c r="F94" s="451">
        <f>IF(ROUND(SUM(G94:M94),0)=ROUND(SUM(F96:M96),0),"All Capital Returned","Capital Not Returned")</f>
        <v/>
      </c>
      <c r="G94" s="407">
        <f>IF(G92="","",G100-G95)</f>
        <v/>
      </c>
      <c r="H94" s="407">
        <f>IF(H92="","",H100-H95)</f>
        <v/>
      </c>
      <c r="I94" s="407">
        <f>IF(I92="","",I100-I95)</f>
        <v/>
      </c>
      <c r="J94" s="407">
        <f>IF(J92="","",J100-J95)</f>
        <v/>
      </c>
      <c r="K94" s="407">
        <f>IF(K92="","",K100-K95)</f>
        <v/>
      </c>
      <c r="L94" s="407">
        <f>IF(L92="","",L100-L95)</f>
        <v/>
      </c>
      <c r="M94" s="407">
        <f>IF(M92="","",M100-M95)</f>
        <v/>
      </c>
      <c r="N94" s="407">
        <f>IF(N92="","",N100-N95)</f>
        <v/>
      </c>
      <c r="O94" s="407">
        <f>IF(O92="","",O100-O95)</f>
        <v/>
      </c>
      <c r="P94" s="407">
        <f>IF(P92="","",P100-P95)</f>
        <v/>
      </c>
    </row>
    <row r="95" outlineLevel="1">
      <c r="B95" s="59" t="inlineStr">
        <is>
          <t>Req'd Return by LP to hit Hurdle 1</t>
        </is>
      </c>
      <c r="C95" s="59" t="n"/>
      <c r="D95" s="59" t="n"/>
      <c r="E95" s="59" t="n"/>
      <c r="F95" s="407">
        <f>IF(F92="","",IF($D$57="Equity Multiple",E96*$C92-E96,F93*Preferred_Return))</f>
        <v/>
      </c>
      <c r="G95" s="407">
        <f>IF(G92="","",IF($D$57="Equity Multiple",F96*$C92-F96,G93*Preferred_Return))</f>
        <v/>
      </c>
      <c r="H95" s="407">
        <f>IF(H92="","",IF($D$57="Equity Multiple",G96*$C92-G96,H93*Preferred_Return))</f>
        <v/>
      </c>
      <c r="I95" s="407">
        <f>IF(I92="","",IF($D$57="Equity Multiple",H96*$C92-H96,I93*Preferred_Return))</f>
        <v/>
      </c>
      <c r="J95" s="407">
        <f>IF(J92="","",IF($D$57="Equity Multiple",I96*$C92-I96,J93*Preferred_Return))</f>
        <v/>
      </c>
      <c r="K95" s="407">
        <f>IF(K92="","",IF($D$57="Equity Multiple",J96*$C92-J96,K93*Preferred_Return))</f>
        <v/>
      </c>
      <c r="L95" s="407">
        <f>IF(L92="","",IF($D$57="Equity Multiple",K96*$C92-K96,L93*Preferred_Return))</f>
        <v/>
      </c>
      <c r="M95" s="407">
        <f>IF(M92="","",IF($D$57="Equity Multiple",L96*$C92-L96,M93*Preferred_Return))</f>
        <v/>
      </c>
      <c r="N95" s="407">
        <f>IF(N92="","",IF($D$57="Equity Multiple",M96*$C92-M96,N93*Preferred_Return))</f>
        <v/>
      </c>
      <c r="O95" s="407">
        <f>IF(O92="","",IF($D$57="Equity Multiple",N96*$C92-N96,O93*Preferred_Return))</f>
        <v/>
      </c>
      <c r="P95" s="407">
        <f>IF(P92="","",IF($D$57="Equity Multiple",O96*$C92-O96,P93*Preferred_Return))</f>
        <v/>
      </c>
    </row>
    <row r="96" outlineLevel="1">
      <c r="B96" s="59" t="inlineStr">
        <is>
          <t>Contributions from LP</t>
        </is>
      </c>
      <c r="C96" s="59" t="n"/>
      <c r="D96" s="59" t="n"/>
      <c r="E96" s="59" t="n"/>
      <c r="F96" s="407">
        <f>IF(F92="","",-MIN(0,F87*Equity_Share_LP))</f>
        <v/>
      </c>
      <c r="G96" s="407">
        <f>IF(G92="","",-MIN(0,G87*Equity_Share_LP))</f>
        <v/>
      </c>
      <c r="H96" s="407">
        <f>IF(H92="","",-MIN(0,H87*Equity_Share_LP))</f>
        <v/>
      </c>
      <c r="I96" s="407">
        <f>IF(I92="","",-MIN(0,I87*Equity_Share_LP))</f>
        <v/>
      </c>
      <c r="J96" s="407">
        <f>IF(J92="","",-MIN(0,J87*Equity_Share_LP))</f>
        <v/>
      </c>
      <c r="K96" s="407">
        <f>IF(K92="","",-MIN(0,K87*Equity_Share_LP))</f>
        <v/>
      </c>
      <c r="L96" s="407">
        <f>IF(L92="","",-MIN(0,L87*Equity_Share_LP))</f>
        <v/>
      </c>
      <c r="M96" s="407">
        <f>IF(M92="","",-MIN(0,M87*Equity_Share_LP))</f>
        <v/>
      </c>
      <c r="N96" s="407">
        <f>IF(N92="","",-MIN(0,N87*Equity_Share_LP))</f>
        <v/>
      </c>
      <c r="O96" s="407">
        <f>IF(O92="","",-MIN(0,O87*Equity_Share_LP))</f>
        <v/>
      </c>
      <c r="P96" s="407">
        <f>IF(P92="","",-MIN(0,P87*Equity_Share_LP))</f>
        <v/>
      </c>
    </row>
    <row r="97" outlineLevel="1">
      <c r="B97" s="59" t="inlineStr">
        <is>
          <t>Distributions to LP (Hurdle 1)</t>
        </is>
      </c>
      <c r="C97" s="59" t="n"/>
      <c r="D97" s="59" t="n"/>
      <c r="E97" s="59" t="n"/>
      <c r="F97" s="358">
        <f>IF(F92="","",MIN(F93+F95,MAX(F87,0)*$I$15))</f>
        <v/>
      </c>
      <c r="G97" s="358">
        <f>IF(G92="","",MIN(G93+G95,MAX(G87,0)*$I$15))</f>
        <v/>
      </c>
      <c r="H97" s="358">
        <f>IF(H92="","",MIN(H93+H95,MAX(H87,0)*$I$15))</f>
        <v/>
      </c>
      <c r="I97" s="358">
        <f>IF(I92="","",MIN(I93+I95,MAX(I87,0)*$I$15))</f>
        <v/>
      </c>
      <c r="J97" s="358">
        <f>IF(J92="","",MIN(J93+J95,MAX(J87,0)*$I$15))</f>
        <v/>
      </c>
      <c r="K97" s="358">
        <f>IF(K92="","",MIN(K93+K95,MAX(K87,0)*$I$15))</f>
        <v/>
      </c>
      <c r="L97" s="358">
        <f>IF(L92="","",MIN(L93+L95,MAX(L87,0)*$I$15))</f>
        <v/>
      </c>
      <c r="M97" s="358">
        <f>IF(M92="","",MIN(M93+M95,MAX(M87,0)*$I$15))</f>
        <v/>
      </c>
      <c r="N97" s="358">
        <f>IF(N92="","",MIN(N93+N95,MAX(N87,0)*$I$15))</f>
        <v/>
      </c>
      <c r="O97" s="358">
        <f>IF(O92="","",MIN(O93+O95,MAX(O87,0)*$I$15))</f>
        <v/>
      </c>
      <c r="P97" s="358">
        <f>IF(P92="","",MIN(P93+P95,MAX(P87,0)*$I$15))</f>
        <v/>
      </c>
    </row>
    <row r="98" outlineLevel="1">
      <c r="B98" s="59" t="inlineStr">
        <is>
          <t>Ending Balance (LP Capital Account)</t>
        </is>
      </c>
      <c r="C98" s="59" t="n"/>
      <c r="D98" s="59" t="n"/>
      <c r="E98" s="59" t="n"/>
      <c r="F98" s="407">
        <f>IF(F92="","",F93+F95+F96-F97)</f>
        <v/>
      </c>
      <c r="G98" s="407">
        <f>IF(G92="","",G93+G95+G96-G97)</f>
        <v/>
      </c>
      <c r="H98" s="407">
        <f>IF(H92="","",H93+H95+H96-H97)</f>
        <v/>
      </c>
      <c r="I98" s="407">
        <f>IF(I92="","",I93+I95+I96-I97)</f>
        <v/>
      </c>
      <c r="J98" s="407">
        <f>IF(J92="","",J93+J95+J96-J97)</f>
        <v/>
      </c>
      <c r="K98" s="407">
        <f>IF(K92="","",K93+K95+K96-K97)</f>
        <v/>
      </c>
      <c r="L98" s="407">
        <f>IF(L92="","",L93+L95+L96-L97)</f>
        <v/>
      </c>
      <c r="M98" s="407">
        <f>IF(M92="","",M93+M95+M96-M97)</f>
        <v/>
      </c>
      <c r="N98" s="407">
        <f>IF(N92="","",N93+N95+N96-N97)</f>
        <v/>
      </c>
      <c r="O98" s="407">
        <f>IF(O92="","",O93+O95+O96-O97)</f>
        <v/>
      </c>
      <c r="P98" s="407">
        <f>IF(P92="","",P93+P95+P96-P97)</f>
        <v/>
      </c>
    </row>
    <row r="99" outlineLevel="1">
      <c r="B99" s="452">
        <f>IF(D57="Equity Multiple", "LP EMx Check","LP IRR Check")</f>
        <v/>
      </c>
      <c r="C99" s="59" t="n"/>
      <c r="D99" s="59" t="n"/>
      <c r="E99" s="453">
        <f>IF($D$57="IRR",IRR(F99:P99),SUMIF(F99:P99,"&gt;0")/-SUMIF(F99:P99,"&lt;0"))</f>
        <v/>
      </c>
      <c r="F99" s="407">
        <f>IF(F92="","",-F96+F97)</f>
        <v/>
      </c>
      <c r="G99" s="407">
        <f>IF(G92="","",-G96+G97)</f>
        <v/>
      </c>
      <c r="H99" s="407">
        <f>IF(H92="","",-H96+H97)</f>
        <v/>
      </c>
      <c r="I99" s="407">
        <f>IF(I92="","",-I96+I97)</f>
        <v/>
      </c>
      <c r="J99" s="407">
        <f>IF(J92="","",-J96+J97)</f>
        <v/>
      </c>
      <c r="K99" s="407">
        <f>IF(K92="","",-K96+K97)</f>
        <v/>
      </c>
      <c r="L99" s="407">
        <f>IF(L92="","",-L96+L97)</f>
        <v/>
      </c>
      <c r="M99" s="407">
        <f>IF(M92="","",-M96+M97)</f>
        <v/>
      </c>
      <c r="N99" s="407">
        <f>IF(N92="","",-N96+N97)</f>
        <v/>
      </c>
      <c r="O99" s="407">
        <f>IF(O92="","",-O96+O97)</f>
        <v/>
      </c>
      <c r="P99" s="407">
        <f>IF(P92="","",-P96+P97)</f>
        <v/>
      </c>
    </row>
    <row r="100" outlineLevel="1">
      <c r="B100" s="59" t="inlineStr">
        <is>
          <t>Distribution to LP</t>
        </is>
      </c>
      <c r="C100" s="59" t="n"/>
      <c r="D100" s="59" t="n"/>
      <c r="E100" s="59" t="n"/>
      <c r="F100" s="407">
        <f>IF(F92="","",MIN(F93+F95,MAX(F87,0)*$I$15))</f>
        <v/>
      </c>
      <c r="G100" s="407">
        <f>IF(G92="","",MIN(G93+G95,MAX(G87,0)*$I$15))</f>
        <v/>
      </c>
      <c r="H100" s="407">
        <f>IF(H92="","",MIN(H93+H95,MAX(H87,0)*$I$15))</f>
        <v/>
      </c>
      <c r="I100" s="407">
        <f>IF(I92="","",MIN(I93+I95,MAX(I87,0)*$I$15))</f>
        <v/>
      </c>
      <c r="J100" s="407">
        <f>IF(J92="","",MIN(J93+J95,MAX(J87,0)*$I$15))</f>
        <v/>
      </c>
      <c r="K100" s="407">
        <f>IF(K92="","",MIN(K93+K95,MAX(K87,0)*$I$15))</f>
        <v/>
      </c>
      <c r="L100" s="407">
        <f>IF(L92="","",MIN(L93+L95,MAX(L87,0)*$I$15))</f>
        <v/>
      </c>
      <c r="M100" s="407">
        <f>IF(M92="","",MIN(M93+M95,MAX(M87,0)*$I$15))</f>
        <v/>
      </c>
      <c r="N100" s="407">
        <f>IF(N92="","",MIN(N93+N95,MAX(N87,0)*$I$15))</f>
        <v/>
      </c>
      <c r="O100" s="407">
        <f>IF(O92="","",MIN(O93+O95,MAX(O87,0)*$I$15))</f>
        <v/>
      </c>
      <c r="P100" s="407">
        <f>IF(P92="","",MIN(P93+P95,MAX(P87,0)*$I$15))</f>
        <v/>
      </c>
    </row>
    <row r="101" outlineLevel="1">
      <c r="B101" s="59" t="n"/>
      <c r="C101" s="59" t="n"/>
      <c r="D101" s="59" t="n"/>
      <c r="E101" s="59" t="n"/>
      <c r="F101" s="407" t="n"/>
      <c r="G101" s="407" t="n"/>
      <c r="H101" s="407" t="n"/>
      <c r="I101" s="407" t="n"/>
      <c r="J101" s="407" t="n"/>
      <c r="K101" s="407" t="n"/>
      <c r="L101" s="407" t="n"/>
      <c r="M101" s="407" t="n"/>
      <c r="N101" s="407" t="n"/>
      <c r="O101" s="407" t="n"/>
      <c r="P101" s="407" t="n"/>
    </row>
    <row r="102" outlineLevel="1">
      <c r="B102" s="59" t="inlineStr">
        <is>
          <t>Beginning Balance (GP Capital Account)</t>
        </is>
      </c>
      <c r="C102" s="59" t="n"/>
      <c r="D102" s="59" t="n"/>
      <c r="E102" s="59" t="n"/>
      <c r="F102" s="407">
        <f>IF(F92="","",E106)</f>
        <v/>
      </c>
      <c r="G102" s="407">
        <f>IF(G92="","",F106)</f>
        <v/>
      </c>
      <c r="H102" s="407">
        <f>IF(H92="","",G106)</f>
        <v/>
      </c>
      <c r="I102" s="407">
        <f>IF(I92="","",H106)</f>
        <v/>
      </c>
      <c r="J102" s="407">
        <f>IF(J92="","",I106)</f>
        <v/>
      </c>
      <c r="K102" s="407">
        <f>IF(K92="","",J106)</f>
        <v/>
      </c>
      <c r="L102" s="407">
        <f>IF(L92="","",K106)</f>
        <v/>
      </c>
      <c r="M102" s="407">
        <f>IF(M92="","",L106)</f>
        <v/>
      </c>
      <c r="N102" s="407">
        <f>IF(N92="","",M106)</f>
        <v/>
      </c>
      <c r="O102" s="407">
        <f>IF(O92="","",N106)</f>
        <v/>
      </c>
      <c r="P102" s="407">
        <f>IF(P92="","",O106)</f>
        <v/>
      </c>
    </row>
    <row r="103" outlineLevel="1">
      <c r="B103" s="59" t="inlineStr">
        <is>
          <t>Req'd Return by GP (Pref)</t>
        </is>
      </c>
      <c r="C103" s="59" t="n"/>
      <c r="D103" s="59" t="n"/>
      <c r="E103" s="59" t="n"/>
      <c r="F103" s="407">
        <f>IF(F92="","",IF($D$57="Equity Multiple",E104*$C92-E104,F102*Preferred_Return))</f>
        <v/>
      </c>
      <c r="G103" s="407">
        <f>IF(G102="","",IF($D$57="Equity Multiple",F104*$C92-F104,G102*Preferred_Return))</f>
        <v/>
      </c>
      <c r="H103" s="407">
        <f>IF(H102="","",IF($D$57="Equity Multiple",G104*$C92-G104,H102*Preferred_Return))</f>
        <v/>
      </c>
      <c r="I103" s="407">
        <f>IF(I102="","",IF($D$57="Equity Multiple",H104*$C92-H104,I102*Preferred_Return))</f>
        <v/>
      </c>
      <c r="J103" s="407">
        <f>IF(J102="","",IF($D$57="Equity Multiple",I104*$C92-I104,J102*Preferred_Return))</f>
        <v/>
      </c>
      <c r="K103" s="407">
        <f>IF(K102="","",IF($D$57="Equity Multiple",J104*$C92-J104,K102*Preferred_Return))</f>
        <v/>
      </c>
      <c r="L103" s="407">
        <f>IF(L102="","",IF($D$57="Equity Multiple",K104*$C92-K104,L102*Preferred_Return))</f>
        <v/>
      </c>
      <c r="M103" s="407">
        <f>IF(M102="","",IF($D$57="Equity Multiple",L104*$C92-L104,M102*Preferred_Return))</f>
        <v/>
      </c>
      <c r="N103" s="407">
        <f>IF(N102="","",IF($D$57="Equity Multiple",M104*$C92-M104,N102*Preferred_Return))</f>
        <v/>
      </c>
      <c r="O103" s="407">
        <f>IF(O102="","",IF($D$57="Equity Multiple",N104*$C92-N104,O102*Preferred_Return))</f>
        <v/>
      </c>
      <c r="P103" s="407">
        <f>IF(P102="","",IF($D$57="Equity Multiple",O104*$C92-O104,P102*Preferred_Return))</f>
        <v/>
      </c>
    </row>
    <row r="104" outlineLevel="1">
      <c r="B104" s="59" t="inlineStr">
        <is>
          <t>Contributions from GP</t>
        </is>
      </c>
      <c r="C104" s="59" t="n"/>
      <c r="D104" s="59" t="n"/>
      <c r="E104" s="59" t="n"/>
      <c r="F104" s="407">
        <f>IF(F92="","",-MIN(0,F87*Equity_Share_GP))</f>
        <v/>
      </c>
      <c r="G104" s="407">
        <f>IF(G92="","",-MIN(0,G87*Equity_Share_GP))</f>
        <v/>
      </c>
      <c r="H104" s="407">
        <f>IF(H92="","",-MIN(0,H87*Equity_Share_GP))</f>
        <v/>
      </c>
      <c r="I104" s="407">
        <f>IF(I92="","",-MIN(0,I87*Equity_Share_GP))</f>
        <v/>
      </c>
      <c r="J104" s="407">
        <f>IF(J92="","",-MIN(0,J87*Equity_Share_GP))</f>
        <v/>
      </c>
      <c r="K104" s="407">
        <f>IF(K92="","",-MIN(0,K87*Equity_Share_GP))</f>
        <v/>
      </c>
      <c r="L104" s="407">
        <f>IF(L92="","",-MIN(0,L87*Equity_Share_GP))</f>
        <v/>
      </c>
      <c r="M104" s="407">
        <f>IF(M92="","",-MIN(0,M87*Equity_Share_GP))</f>
        <v/>
      </c>
      <c r="N104" s="407">
        <f>IF(N92="","",-MIN(0,N87*Equity_Share_GP))</f>
        <v/>
      </c>
      <c r="O104" s="407">
        <f>IF(O92="","",-MIN(0,O87*Equity_Share_GP))</f>
        <v/>
      </c>
      <c r="P104" s="407">
        <f>IF(P92="","",-MIN(0,P87*Equity_Share_GP))</f>
        <v/>
      </c>
    </row>
    <row r="105" outlineLevel="1">
      <c r="B105" s="59" t="inlineStr">
        <is>
          <t>Distribution to GP</t>
        </is>
      </c>
      <c r="C105" s="59" t="n"/>
      <c r="D105" s="59" t="n"/>
      <c r="E105" s="59" t="n"/>
      <c r="F105" s="407">
        <f>IF(F92="","",IF(CU?,MAX(MIN(F87-F100,F102+F103+F104),0),F97/$I$15*$H$15))</f>
        <v/>
      </c>
      <c r="G105" s="358">
        <f>IF(G92="","",IF(CU?,MAX(MIN(G87-G100,G102+G103+G104),0),G97/$I$15*$H$15))</f>
        <v/>
      </c>
      <c r="H105" s="358">
        <f>IF(H92="","",IF(CU?,MAX(MIN(H87-H100,H102+H103+H104),0),H97/$I$15*$H$15))</f>
        <v/>
      </c>
      <c r="I105" s="358">
        <f>IF(I92="","",IF(CU?,MAX(MIN(I87-I100,I102+I103+I104),0),I97/$I$15*$H$15))</f>
        <v/>
      </c>
      <c r="J105" s="358">
        <f>IF(J92="","",IF(CU?,MAX(MIN(J87-J100,J102+J103+J104),0),J97/$I$15*$H$15))</f>
        <v/>
      </c>
      <c r="K105" s="358">
        <f>IF(K92="","",IF(CU?,MAX(MIN(K87-K100,K102+K103+K104),0),K97/$I$15*$H$15))</f>
        <v/>
      </c>
      <c r="L105" s="358">
        <f>IF(L92="","",IF(CU?,MAX(MIN(L87-L100,L102+L103+L104),0),L97/$I$15*$H$15))</f>
        <v/>
      </c>
      <c r="M105" s="358">
        <f>IF(M92="","",IF(CU?,MAX(MIN(M87-M100,M102+M103+M104),0),M97/$I$15*$H$15))</f>
        <v/>
      </c>
      <c r="N105" s="358">
        <f>IF(N92="","",IF(CU?,MAX(MIN(N87-N100,N102+N103+N104),0),N97/$I$15*$H$15))</f>
        <v/>
      </c>
      <c r="O105" s="358">
        <f>IF(O92="","",IF(CU?,MAX(MIN(O87-O100,O102+O103+O104),0),O97/$I$15*$H$15))</f>
        <v/>
      </c>
      <c r="P105" s="358">
        <f>IF(P92="","",IF(CU?,MAX(MIN(P87-P100,P102+P103+P104),0),P97/$I$15*$H$15))</f>
        <v/>
      </c>
    </row>
    <row r="106" outlineLevel="1">
      <c r="B106" s="59" t="inlineStr">
        <is>
          <t>Ending Balance (GP Capital Account)</t>
        </is>
      </c>
      <c r="C106" s="59" t="n"/>
      <c r="D106" s="59" t="n"/>
      <c r="E106" s="59" t="n"/>
      <c r="F106" s="407">
        <f>IF(F92="","",F102+F103+F104-F105)</f>
        <v/>
      </c>
      <c r="G106" s="358">
        <f>IF(G92="","",G102+G103+G104-G105)</f>
        <v/>
      </c>
      <c r="H106" s="358">
        <f>IF(H92="","",H102+H103+H104-H105)</f>
        <v/>
      </c>
      <c r="I106" s="358">
        <f>IF(I92="","",I102+I103+I104-I105)</f>
        <v/>
      </c>
      <c r="J106" s="358">
        <f>IF(J92="","",J102+J103+J104-J105)</f>
        <v/>
      </c>
      <c r="K106" s="358">
        <f>IF(K92="","",K102+K103+K104-K105)</f>
        <v/>
      </c>
      <c r="L106" s="358">
        <f>IF(L92="","",L102+L103+L104-L105)</f>
        <v/>
      </c>
      <c r="M106" s="358">
        <f>IF(M92="","",M102+M103+M104-M105)</f>
        <v/>
      </c>
      <c r="N106" s="358">
        <f>IF(N92="","",N102+N103+N104-N105)</f>
        <v/>
      </c>
      <c r="O106" s="358">
        <f>IF(O92="","",O102+O103+O104-O105)</f>
        <v/>
      </c>
      <c r="P106" s="358">
        <f>IF(P92="","",P102+P103+P104-P105)</f>
        <v/>
      </c>
    </row>
    <row r="107" outlineLevel="1">
      <c r="B107" s="452">
        <f>IF(D57="Equity Multiple", "GP EMx Check","GP IRR Check")</f>
        <v/>
      </c>
      <c r="C107" s="59" t="n"/>
      <c r="D107" s="59" t="n"/>
      <c r="E107" s="453">
        <f>IF($D$57="IRR",IFERROR(IRR(F107:P107),"NA"),SUMIF(F107:P107,"&gt;0")/-SUMIF(F107:P107,"&lt;0"))</f>
        <v/>
      </c>
      <c r="F107" s="407">
        <f>IF(F92="","",-F104+F105)</f>
        <v/>
      </c>
      <c r="G107" s="358">
        <f>IF(G92="","",-G104+G105)</f>
        <v/>
      </c>
      <c r="H107" s="358">
        <f>IF(H92="","",-H104+H105)</f>
        <v/>
      </c>
      <c r="I107" s="358">
        <f>IF(I92="","",-I104+I105)</f>
        <v/>
      </c>
      <c r="J107" s="358">
        <f>IF(J92="","",-J104+J105)</f>
        <v/>
      </c>
      <c r="K107" s="358">
        <f>IF(K92="","",-K104+K105)</f>
        <v/>
      </c>
      <c r="L107" s="358">
        <f>IF(L92="","",-L104+L105)</f>
        <v/>
      </c>
      <c r="M107" s="358">
        <f>IF(M92="","",-M104+M105)</f>
        <v/>
      </c>
      <c r="N107" s="358">
        <f>IF(N92="","",-N104+N105)</f>
        <v/>
      </c>
      <c r="O107" s="358">
        <f>IF(O92="","",-O104+O105)</f>
        <v/>
      </c>
      <c r="P107" s="358">
        <f>IF(P92="","",-P104+P105)</f>
        <v/>
      </c>
    </row>
    <row r="108" outlineLevel="1">
      <c r="B108" s="59" t="n"/>
      <c r="C108" s="59" t="n"/>
      <c r="D108" s="59" t="n"/>
      <c r="E108" s="59" t="n"/>
      <c r="F108" s="407" t="n"/>
      <c r="G108" s="358" t="n"/>
      <c r="H108" s="358" t="n"/>
      <c r="I108" s="358" t="n"/>
      <c r="J108" s="358" t="n"/>
      <c r="K108" s="358" t="n"/>
      <c r="L108" s="358" t="n"/>
      <c r="M108" s="358" t="n"/>
      <c r="N108" s="358" t="n"/>
      <c r="O108" s="358" t="n"/>
      <c r="P108" s="358" t="n"/>
    </row>
    <row r="109" outlineLevel="1">
      <c r="B109" s="59">
        <f>"Total Distributions ("&amp;B91&amp;")"</f>
        <v/>
      </c>
      <c r="C109" s="59" t="n"/>
      <c r="D109" s="59" t="n"/>
      <c r="E109" s="59" t="n"/>
      <c r="F109" s="407">
        <f>IF(F92="","",F105+F100)</f>
        <v/>
      </c>
      <c r="G109" s="407">
        <f>IF(G92="","",G105+G100)</f>
        <v/>
      </c>
      <c r="H109" s="407">
        <f>IF(H92="","",H105+H100)</f>
        <v/>
      </c>
      <c r="I109" s="407">
        <f>IF(I92="","",I105+I100)</f>
        <v/>
      </c>
      <c r="J109" s="407">
        <f>IF(J92="","",J105+J100)</f>
        <v/>
      </c>
      <c r="K109" s="407">
        <f>IF(K92="","",K105+K100)</f>
        <v/>
      </c>
      <c r="L109" s="407">
        <f>IF(L92="","",L105+L100)</f>
        <v/>
      </c>
      <c r="M109" s="407">
        <f>IF(M92="","",M105+M100)</f>
        <v/>
      </c>
      <c r="N109" s="407">
        <f>IF(N92="","",N105+N100)</f>
        <v/>
      </c>
      <c r="O109" s="407">
        <f>IF(O92="","",O105+O100)</f>
        <v/>
      </c>
      <c r="P109" s="407">
        <f>IF(P92="","",P105+P100)</f>
        <v/>
      </c>
    </row>
    <row r="110" outlineLevel="1">
      <c r="B110" s="59" t="inlineStr">
        <is>
          <t>Cash Flow Remaining</t>
        </is>
      </c>
      <c r="C110" s="59" t="n"/>
      <c r="D110" s="59" t="n"/>
      <c r="E110" s="59" t="n"/>
      <c r="F110" s="407">
        <f>IF(F92="","",MAX(F87-F109,0))</f>
        <v/>
      </c>
      <c r="G110" s="407">
        <f>IF(G92="","",MAX(G87-G109,0))</f>
        <v/>
      </c>
      <c r="H110" s="407">
        <f>IF(H92="","",MAX(H87-H109,0))</f>
        <v/>
      </c>
      <c r="I110" s="407">
        <f>IF(I92="","",MAX(I87-I109,0))</f>
        <v/>
      </c>
      <c r="J110" s="407">
        <f>IF(J92="","",MAX(J87-J109,0))</f>
        <v/>
      </c>
      <c r="K110" s="407">
        <f>IF(K92="","",MAX(K87-K109,0))</f>
        <v/>
      </c>
      <c r="L110" s="407">
        <f>IF(L92="","",MAX(L87-L109,0))</f>
        <v/>
      </c>
      <c r="M110" s="407">
        <f>IF(M92="","",MAX(M87-M109,0))</f>
        <v/>
      </c>
      <c r="N110" s="407">
        <f>IF(N92="","",MAX(N87-N109,0))</f>
        <v/>
      </c>
      <c r="O110" s="407">
        <f>IF(O92="","",MAX(O87-O109,0))</f>
        <v/>
      </c>
      <c r="P110" s="407">
        <f>IF(P92="","",MAX(P87-P109,0))</f>
        <v/>
      </c>
    </row>
    <row r="111" outlineLevel="1">
      <c r="B111" s="59" t="n"/>
      <c r="C111" s="59" t="n"/>
      <c r="D111" s="59" t="n"/>
      <c r="E111" s="59" t="n"/>
      <c r="F111" s="398" t="n"/>
      <c r="G111" s="398" t="n"/>
      <c r="H111" s="398" t="n"/>
      <c r="I111" s="398" t="n"/>
      <c r="J111" s="398" t="n"/>
      <c r="K111" s="398" t="n"/>
      <c r="L111" s="398" t="n"/>
      <c r="M111" s="398" t="n"/>
      <c r="N111" s="398" t="n"/>
      <c r="O111" s="398" t="n"/>
      <c r="P111" s="398" t="n"/>
    </row>
    <row r="112" outlineLevel="1" ht="15.75" customHeight="1">
      <c r="B112" s="433" t="inlineStr">
        <is>
          <t>Tier 2</t>
        </is>
      </c>
      <c r="C112" s="430" t="n"/>
      <c r="D112" s="430" t="n"/>
      <c r="E112" s="430" t="n"/>
      <c r="F112" s="431" t="inlineStr">
        <is>
          <t>Year 0</t>
        </is>
      </c>
      <c r="G112" s="827">
        <f>G$21</f>
        <v/>
      </c>
      <c r="H112" s="827">
        <f>H$21</f>
        <v/>
      </c>
      <c r="I112" s="827">
        <f>I$21</f>
        <v/>
      </c>
      <c r="J112" s="827">
        <f>J$21</f>
        <v/>
      </c>
      <c r="K112" s="827">
        <f>K$21</f>
        <v/>
      </c>
      <c r="L112" s="827">
        <f>L$21</f>
        <v/>
      </c>
      <c r="M112" s="827">
        <f>M$21</f>
        <v/>
      </c>
      <c r="N112" s="827">
        <f>N$21</f>
        <v/>
      </c>
      <c r="O112" s="827">
        <f>O$21</f>
        <v/>
      </c>
      <c r="P112" s="827">
        <f>P$21</f>
        <v/>
      </c>
    </row>
    <row r="113" outlineLevel="1">
      <c r="B113" s="454" t="inlineStr">
        <is>
          <t>Return Threshold - Up to:</t>
        </is>
      </c>
      <c r="C113" s="832">
        <f>E61</f>
        <v/>
      </c>
      <c r="D113" s="59" t="n"/>
      <c r="E113" s="59" t="n"/>
      <c r="F113" s="398" t="n"/>
      <c r="G113" s="833" t="n"/>
      <c r="H113" s="833" t="n"/>
      <c r="I113" s="833" t="n"/>
      <c r="J113" s="833" t="n"/>
      <c r="K113" s="833" t="n"/>
      <c r="L113" s="833" t="n"/>
      <c r="M113" s="833" t="n"/>
      <c r="N113" s="833" t="n"/>
      <c r="O113" s="833" t="n"/>
      <c r="P113" s="833" t="n"/>
    </row>
    <row r="114" outlineLevel="1">
      <c r="B114" s="59" t="inlineStr">
        <is>
          <t>Beginning Balance (LP Capital Account)</t>
        </is>
      </c>
      <c r="C114" s="59" t="n"/>
      <c r="D114" s="59" t="n"/>
      <c r="E114" s="59" t="n"/>
      <c r="F114" s="407">
        <f>IF(F112="","",E119)</f>
        <v/>
      </c>
      <c r="G114" s="407">
        <f>IF(G112="","",F119)</f>
        <v/>
      </c>
      <c r="H114" s="407">
        <f>IF(H112="","",G119)</f>
        <v/>
      </c>
      <c r="I114" s="407">
        <f>IF(I112="","",H119)</f>
        <v/>
      </c>
      <c r="J114" s="407">
        <f>IF(J112="","",I119)</f>
        <v/>
      </c>
      <c r="K114" s="407">
        <f>IF(K112="","",J119)</f>
        <v/>
      </c>
      <c r="L114" s="407">
        <f>IF(L112="","",K119)</f>
        <v/>
      </c>
      <c r="M114" s="407">
        <f>IF(M112="","",L119)</f>
        <v/>
      </c>
      <c r="N114" s="407">
        <f>IF(N112="","",M119)</f>
        <v/>
      </c>
      <c r="O114" s="407">
        <f>IF(O112="","",N119)</f>
        <v/>
      </c>
      <c r="P114" s="407">
        <f>IF(P112="","",O119)</f>
        <v/>
      </c>
    </row>
    <row r="115" outlineLevel="1">
      <c r="B115" s="59" t="inlineStr">
        <is>
          <t>Req'd Return by LP to hit Hurdle 2</t>
        </is>
      </c>
      <c r="C115" s="59" t="n"/>
      <c r="D115" s="59" t="n"/>
      <c r="E115" s="59" t="n"/>
      <c r="F115" s="407">
        <f>IF(F112="","",IF($D$57="Equity Multiple",E116*$C113-E116,F114*$C113))</f>
        <v/>
      </c>
      <c r="G115" s="407">
        <f>IF(G112="","",IF($D$57="Equity Multiple",F116*$C113-F116,G114*$C113))</f>
        <v/>
      </c>
      <c r="H115" s="407">
        <f>IF(H112="","",IF($D$57="Equity Multiple",G116*$C113-G116,H114*$C113))</f>
        <v/>
      </c>
      <c r="I115" s="407">
        <f>IF(I112="","",IF($D$57="Equity Multiple",H116*$C113-H116,I114*$C113))</f>
        <v/>
      </c>
      <c r="J115" s="407">
        <f>IF(J112="","",IF($D$57="Equity Multiple",I116*$C113-I116,J114*$C113))</f>
        <v/>
      </c>
      <c r="K115" s="407">
        <f>IF(K112="","",IF($D$57="Equity Multiple",J116*$C113-J116,K114*$C113))</f>
        <v/>
      </c>
      <c r="L115" s="407">
        <f>IF(L112="","",IF($D$57="Equity Multiple",K116*$C113-K116,L114*$C113))</f>
        <v/>
      </c>
      <c r="M115" s="407">
        <f>IF(M112="","",IF($D$57="Equity Multiple",L116*$C113-L116,M114*$C113))</f>
        <v/>
      </c>
      <c r="N115" s="407">
        <f>IF(N112="","",IF($D$57="Equity Multiple",M116*$C113-M116,N114*$C113))</f>
        <v/>
      </c>
      <c r="O115" s="407">
        <f>IF(O112="","",IF($D$57="Equity Multiple",N116*$C113-N116,O114*$C113))</f>
        <v/>
      </c>
      <c r="P115" s="407">
        <f>IF(P112="","",IF($D$57="Equity Multiple",O116*$C113-O116,P114*$C113))</f>
        <v/>
      </c>
    </row>
    <row r="116" outlineLevel="1">
      <c r="B116" s="59" t="inlineStr">
        <is>
          <t>Contributions from LP</t>
        </is>
      </c>
      <c r="C116" s="59" t="n"/>
      <c r="D116" s="59" t="n"/>
      <c r="E116" s="59" t="n"/>
      <c r="F116" s="407">
        <f>IF(F112="","",-MIN(0,F$51*Equity_Share_LP))</f>
        <v/>
      </c>
      <c r="G116" s="407">
        <f>IF(G112="","",-MIN(0,G$51*Equity_Share_LP))</f>
        <v/>
      </c>
      <c r="H116" s="407">
        <f>IF(H112="","",-MIN(0,H$51*Equity_Share_LP))</f>
        <v/>
      </c>
      <c r="I116" s="407">
        <f>IF(I112="","",-MIN(0,I$51*Equity_Share_LP))</f>
        <v/>
      </c>
      <c r="J116" s="407">
        <f>IF(J112="","",-MIN(0,J$51*Equity_Share_LP))</f>
        <v/>
      </c>
      <c r="K116" s="407">
        <f>IF(K112="","",-MIN(0,K$51*Equity_Share_LP))</f>
        <v/>
      </c>
      <c r="L116" s="407">
        <f>IF(L112="","",-MIN(0,L$51*Equity_Share_LP))</f>
        <v/>
      </c>
      <c r="M116" s="407">
        <f>IF(M112="","",-MIN(0,M$51*Equity_Share_LP))</f>
        <v/>
      </c>
      <c r="N116" s="407">
        <f>IF(N112="","",-MIN(0,N$51*Equity_Share_LP))</f>
        <v/>
      </c>
      <c r="O116" s="407">
        <f>IF(O112="","",-MIN(0,O$51*Equity_Share_LP))</f>
        <v/>
      </c>
      <c r="P116" s="407">
        <f>IF(P112="","",-MIN(0,P$51*Equity_Share_LP))</f>
        <v/>
      </c>
    </row>
    <row r="117" outlineLevel="1">
      <c r="B117" s="59" t="inlineStr">
        <is>
          <t>Prior Distributions</t>
        </is>
      </c>
      <c r="C117" s="59" t="n"/>
      <c r="D117" s="59" t="n"/>
      <c r="E117" s="59" t="n"/>
      <c r="F117" s="407">
        <f>F100</f>
        <v/>
      </c>
      <c r="G117" s="407">
        <f>G100</f>
        <v/>
      </c>
      <c r="H117" s="407">
        <f>H100</f>
        <v/>
      </c>
      <c r="I117" s="407">
        <f>I100</f>
        <v/>
      </c>
      <c r="J117" s="407">
        <f>J100</f>
        <v/>
      </c>
      <c r="K117" s="407">
        <f>K100</f>
        <v/>
      </c>
      <c r="L117" s="407">
        <f>L100</f>
        <v/>
      </c>
      <c r="M117" s="407">
        <f>M100</f>
        <v/>
      </c>
      <c r="N117" s="407">
        <f>N100</f>
        <v/>
      </c>
      <c r="O117" s="407">
        <f>O100</f>
        <v/>
      </c>
      <c r="P117" s="407">
        <f>P100</f>
        <v/>
      </c>
    </row>
    <row r="118" outlineLevel="1">
      <c r="B118" s="59">
        <f>"Distributions to LP "&amp;B112</f>
        <v/>
      </c>
      <c r="C118" s="59" t="n"/>
      <c r="D118" s="59" t="n"/>
      <c r="E118" s="59" t="n"/>
      <c r="F118" s="407">
        <f>IF(F112="","",MIN(F114+F115-F117,F110*$I$16))</f>
        <v/>
      </c>
      <c r="G118" s="407">
        <f>IF(G112="","",MIN(G114+G115-G117,G110*$I$16))</f>
        <v/>
      </c>
      <c r="H118" s="407">
        <f>IF(H112="","",MIN(H114+H115-H117,H110*$I$16))</f>
        <v/>
      </c>
      <c r="I118" s="407">
        <f>IF(I112="","",MIN(I114+I115-I117,I110*$I$16))</f>
        <v/>
      </c>
      <c r="J118" s="407">
        <f>IF(J112="","",MIN(J114+J115-J117,J110*$I$16))</f>
        <v/>
      </c>
      <c r="K118" s="407">
        <f>IF(K112="","",MIN(K114+K115-K117,K110*$I$16))</f>
        <v/>
      </c>
      <c r="L118" s="407">
        <f>IF(L112="","",MIN(L114+L115-L117,L110*$I$16))</f>
        <v/>
      </c>
      <c r="M118" s="407">
        <f>IF(M112="","",MIN(M114+M115-M117,M110*$I$16))</f>
        <v/>
      </c>
      <c r="N118" s="407">
        <f>IF(N112="","",MIN(N114+N115-N117,N110*$I$16))</f>
        <v/>
      </c>
      <c r="O118" s="407">
        <f>IF(O112="","",MIN(O114+O115-O117,O110*$I$16))</f>
        <v/>
      </c>
      <c r="P118" s="407">
        <f>IF(P112="","",MIN(P114+P115-P117,P110*$I$16))</f>
        <v/>
      </c>
    </row>
    <row r="119" outlineLevel="1">
      <c r="B119" s="59" t="inlineStr">
        <is>
          <t>Ending Balance (LP Capital Account)</t>
        </is>
      </c>
      <c r="C119" s="59" t="n"/>
      <c r="D119" s="59" t="n"/>
      <c r="E119" s="59" t="n"/>
      <c r="F119" s="407">
        <f>IF(F112="","",F114+F115+F116-F117-F118)</f>
        <v/>
      </c>
      <c r="G119" s="407">
        <f>IF(G112="","",G114+G115+G116-G117-G118)</f>
        <v/>
      </c>
      <c r="H119" s="407">
        <f>IF(H112="","",H114+H115+H116-H117-H118)</f>
        <v/>
      </c>
      <c r="I119" s="407">
        <f>IF(I112="","",I114+I115+I116-I117-I118)</f>
        <v/>
      </c>
      <c r="J119" s="407">
        <f>IF(J112="","",J114+J115+J116-J117-J118)</f>
        <v/>
      </c>
      <c r="K119" s="407">
        <f>IF(K112="","",K114+K115+K116-K117-K118)</f>
        <v/>
      </c>
      <c r="L119" s="407">
        <f>IF(L112="","",L114+L115+L116-L117-L118)</f>
        <v/>
      </c>
      <c r="M119" s="407">
        <f>IF(M112="","",M114+M115+M116-M117-M118)</f>
        <v/>
      </c>
      <c r="N119" s="407">
        <f>IF(N112="","",N114+N115+N116-N117-N118)</f>
        <v/>
      </c>
      <c r="O119" s="407">
        <f>IF(O112="","",O114+O115+O116-O117-O118)</f>
        <v/>
      </c>
      <c r="P119" s="407">
        <f>IF(P112="","",P114+P115+P116-P117-P118)</f>
        <v/>
      </c>
    </row>
    <row r="120" outlineLevel="1">
      <c r="B120" s="834">
        <f>C113</f>
        <v/>
      </c>
      <c r="C120" s="59" t="n"/>
      <c r="D120" s="59" t="n"/>
      <c r="E120" s="453">
        <f>IF($D$57="IRR",IRR(F120:P120),SUMIF(F120:P120,"&gt;0")/-SUMIF(F120:P120,"&lt;0"))</f>
        <v/>
      </c>
      <c r="F120" s="407">
        <f>IF(F112="","",-F116+F117+F118)</f>
        <v/>
      </c>
      <c r="G120" s="407">
        <f>IF(G112="","",-G116+G117+G118)</f>
        <v/>
      </c>
      <c r="H120" s="407">
        <f>IF(H112="","",-H116+H117+H118)</f>
        <v/>
      </c>
      <c r="I120" s="407">
        <f>IF(I112="","",-I116+I117+I118)</f>
        <v/>
      </c>
      <c r="J120" s="407">
        <f>IF(J112="","",-J116+J117+J118)</f>
        <v/>
      </c>
      <c r="K120" s="407">
        <f>IF(K112="","",-K116+K117+K118)</f>
        <v/>
      </c>
      <c r="L120" s="407">
        <f>IF(L112="","",-L116+L117+L118)</f>
        <v/>
      </c>
      <c r="M120" s="407">
        <f>IF(M112="","",-M116+M117+M118)</f>
        <v/>
      </c>
      <c r="N120" s="407">
        <f>IF(N112="","",-N116+N117+N118)</f>
        <v/>
      </c>
      <c r="O120" s="407">
        <f>IF(O112="","",-O116+O117+O118)</f>
        <v/>
      </c>
      <c r="P120" s="407">
        <f>IF(P112="","",-P116+P117+P118)</f>
        <v/>
      </c>
    </row>
    <row r="121" outlineLevel="1">
      <c r="B121" s="74" t="n"/>
      <c r="C121" s="74" t="n"/>
      <c r="D121" s="74" t="n"/>
      <c r="E121" s="74" t="n"/>
      <c r="F121" s="458" t="n"/>
      <c r="G121" s="458" t="n"/>
      <c r="H121" s="458" t="n"/>
      <c r="I121" s="458" t="n"/>
      <c r="J121" s="458" t="n"/>
      <c r="K121" s="458" t="n"/>
      <c r="L121" s="458" t="n"/>
      <c r="M121" s="458" t="n"/>
      <c r="N121" s="458" t="n"/>
      <c r="O121" s="458" t="n"/>
      <c r="P121" s="458" t="n"/>
    </row>
    <row r="122" outlineLevel="1">
      <c r="B122" s="59" t="inlineStr">
        <is>
          <t>Distribution to LP</t>
        </is>
      </c>
      <c r="C122" s="59" t="n"/>
      <c r="D122" s="59" t="n"/>
      <c r="E122" s="59" t="n"/>
      <c r="F122" s="407">
        <f>IF(F112="","",F118)</f>
        <v/>
      </c>
      <c r="G122" s="407">
        <f>IF(G112="","",G118)</f>
        <v/>
      </c>
      <c r="H122" s="407">
        <f>IF(H112="","",H118)</f>
        <v/>
      </c>
      <c r="I122" s="407">
        <f>IF(I112="","",I118)</f>
        <v/>
      </c>
      <c r="J122" s="407">
        <f>IF(J112="","",J118)</f>
        <v/>
      </c>
      <c r="K122" s="407">
        <f>IF(K112="","",K118)</f>
        <v/>
      </c>
      <c r="L122" s="407">
        <f>IF(L112="","",L118)</f>
        <v/>
      </c>
      <c r="M122" s="407">
        <f>IF(M112="","",M118)</f>
        <v/>
      </c>
      <c r="N122" s="407">
        <f>IF(N112="","",N118)</f>
        <v/>
      </c>
      <c r="O122" s="407">
        <f>IF(O112="","",O118)</f>
        <v/>
      </c>
      <c r="P122" s="407">
        <f>IF(P112="","",P118)</f>
        <v/>
      </c>
    </row>
    <row r="123" outlineLevel="1">
      <c r="B123" s="59" t="inlineStr">
        <is>
          <t>Distribution to GP</t>
        </is>
      </c>
      <c r="C123" s="59" t="n"/>
      <c r="D123" s="59" t="n"/>
      <c r="E123" s="59" t="n"/>
      <c r="F123" s="407">
        <f>IF(F112="","",F122/$I$16*$H$16)</f>
        <v/>
      </c>
      <c r="G123" s="407">
        <f>IF(G112="","",G122/$I$16*$H$16)</f>
        <v/>
      </c>
      <c r="H123" s="407">
        <f>IF(H112="","",H122/$I$16*$H$16)</f>
        <v/>
      </c>
      <c r="I123" s="407">
        <f>IF(I112="","",I122/$I$16*$H$16)</f>
        <v/>
      </c>
      <c r="J123" s="407">
        <f>IF(J112="","",J122/$I$16*$H$16)</f>
        <v/>
      </c>
      <c r="K123" s="407">
        <f>IF(K112="","",K122/$I$16*$H$16)</f>
        <v/>
      </c>
      <c r="L123" s="407">
        <f>IF(L112="","",L122/$I$16*$H$16)</f>
        <v/>
      </c>
      <c r="M123" s="407">
        <f>IF(M112="","",M122/$I$16*$H$16)</f>
        <v/>
      </c>
      <c r="N123" s="407">
        <f>IF(N112="","",N122/$I$16*$H$16)</f>
        <v/>
      </c>
      <c r="O123" s="407">
        <f>IF(O112="","",O122/$I$16*$H$16)</f>
        <v/>
      </c>
      <c r="P123" s="407">
        <f>IF(P112="","",P122/$I$16*$H$16)</f>
        <v/>
      </c>
    </row>
    <row r="124" outlineLevel="1">
      <c r="B124" s="59">
        <f>"Total Distributions ("&amp;B112&amp;")"</f>
        <v/>
      </c>
      <c r="C124" s="59" t="n"/>
      <c r="D124" s="59" t="n"/>
      <c r="E124" s="59" t="n"/>
      <c r="F124" s="407">
        <f>IF(F112="","",F122+F123)</f>
        <v/>
      </c>
      <c r="G124" s="407">
        <f>IF(G112="","",G122+G123)</f>
        <v/>
      </c>
      <c r="H124" s="407">
        <f>IF(H112="","",H122+H123)</f>
        <v/>
      </c>
      <c r="I124" s="407">
        <f>IF(I112="","",I122+I123)</f>
        <v/>
      </c>
      <c r="J124" s="407">
        <f>IF(J112="","",J122+J123)</f>
        <v/>
      </c>
      <c r="K124" s="407">
        <f>IF(K112="","",K122+K123)</f>
        <v/>
      </c>
      <c r="L124" s="407">
        <f>IF(L112="","",L122+L123)</f>
        <v/>
      </c>
      <c r="M124" s="407">
        <f>IF(M112="","",M122+M123)</f>
        <v/>
      </c>
      <c r="N124" s="407">
        <f>IF(N112="","",N122+N123)</f>
        <v/>
      </c>
      <c r="O124" s="407">
        <f>IF(O112="","",O122+O123)</f>
        <v/>
      </c>
      <c r="P124" s="407">
        <f>IF(P112="","",P122+P123)</f>
        <v/>
      </c>
    </row>
    <row r="125" outlineLevel="1">
      <c r="B125" s="59" t="inlineStr">
        <is>
          <t>Cash Flow Remaining</t>
        </is>
      </c>
      <c r="C125" s="59" t="n"/>
      <c r="D125" s="59" t="n"/>
      <c r="E125" s="59" t="n"/>
      <c r="F125" s="407">
        <f>IF(F112="","",MAX(F$51-F109-F124,0))</f>
        <v/>
      </c>
      <c r="G125" s="407">
        <f>IF(G112="","",MAX(G$51-G109-G124,0))</f>
        <v/>
      </c>
      <c r="H125" s="407">
        <f>IF(H112="","",MAX(H$51-H109-H124,0))</f>
        <v/>
      </c>
      <c r="I125" s="407">
        <f>IF(I112="","",MAX(I$51-I109-I124,0))</f>
        <v/>
      </c>
      <c r="J125" s="407">
        <f>IF(J112="","",MAX(J$51-J109-J124,0))</f>
        <v/>
      </c>
      <c r="K125" s="407">
        <f>IF(K112="","",MAX(K$51-K109-K124,0))</f>
        <v/>
      </c>
      <c r="L125" s="407">
        <f>IF(L112="","",MAX(L$51-L109-L124,0))</f>
        <v/>
      </c>
      <c r="M125" s="407">
        <f>IF(M112="","",MAX(M$51-M109-M124,0))</f>
        <v/>
      </c>
      <c r="N125" s="407">
        <f>IF(N112="","",MAX(N$51-N109-N124,0))</f>
        <v/>
      </c>
      <c r="O125" s="407">
        <f>IF(O112="","",MAX(O$51-O109-O124,0))</f>
        <v/>
      </c>
      <c r="P125" s="407">
        <f>IF(P112="","",MAX(P$51-P109-P124,0))</f>
        <v/>
      </c>
    </row>
    <row r="126" outlineLevel="1">
      <c r="B126" s="59" t="n"/>
      <c r="C126" s="59" t="n"/>
      <c r="D126" s="59" t="n"/>
      <c r="E126" s="59" t="n"/>
      <c r="F126" s="398" t="n"/>
      <c r="G126" s="398" t="n"/>
      <c r="H126" s="398" t="n"/>
      <c r="I126" s="398" t="n"/>
      <c r="J126" s="398" t="n"/>
      <c r="K126" s="398" t="n"/>
      <c r="L126" s="398" t="n"/>
      <c r="M126" s="398" t="n"/>
      <c r="N126" s="398" t="n"/>
      <c r="O126" s="398" t="n"/>
      <c r="P126" s="398" t="n"/>
    </row>
    <row r="127" outlineLevel="1" ht="15.75" customHeight="1">
      <c r="B127" s="433" t="inlineStr">
        <is>
          <t>Tier 3</t>
        </is>
      </c>
      <c r="C127" s="430" t="n"/>
      <c r="D127" s="430" t="n"/>
      <c r="E127" s="430" t="n"/>
      <c r="F127" s="431" t="inlineStr">
        <is>
          <t>Year 0</t>
        </is>
      </c>
      <c r="G127" s="827">
        <f>G$21</f>
        <v/>
      </c>
      <c r="H127" s="827">
        <f>H$21</f>
        <v/>
      </c>
      <c r="I127" s="827">
        <f>I$21</f>
        <v/>
      </c>
      <c r="J127" s="827">
        <f>J$21</f>
        <v/>
      </c>
      <c r="K127" s="827">
        <f>K$21</f>
        <v/>
      </c>
      <c r="L127" s="827">
        <f>L$21</f>
        <v/>
      </c>
      <c r="M127" s="827">
        <f>M$21</f>
        <v/>
      </c>
      <c r="N127" s="827">
        <f>N$21</f>
        <v/>
      </c>
      <c r="O127" s="827">
        <f>O$21</f>
        <v/>
      </c>
      <c r="P127" s="827">
        <f>P$21</f>
        <v/>
      </c>
    </row>
    <row r="128" outlineLevel="1">
      <c r="B128" s="454" t="inlineStr">
        <is>
          <t>Return Threshold - Up to:</t>
        </is>
      </c>
      <c r="C128" s="832">
        <f>E62</f>
        <v/>
      </c>
      <c r="D128" s="59" t="n"/>
      <c r="E128" s="59" t="n"/>
      <c r="F128" s="398" t="n"/>
      <c r="G128" s="833" t="n"/>
      <c r="H128" s="833" t="n"/>
      <c r="I128" s="833" t="n"/>
      <c r="J128" s="833" t="n"/>
      <c r="K128" s="833" t="n"/>
      <c r="L128" s="833" t="n"/>
      <c r="M128" s="833" t="n"/>
      <c r="N128" s="833" t="n"/>
      <c r="O128" s="833" t="n"/>
      <c r="P128" s="833" t="n"/>
    </row>
    <row r="129" outlineLevel="1">
      <c r="B129" s="59" t="inlineStr">
        <is>
          <t>Beginning Balance (LP Capital Account)</t>
        </is>
      </c>
      <c r="C129" s="59" t="n"/>
      <c r="D129" s="59" t="n"/>
      <c r="E129" s="59" t="n"/>
      <c r="F129" s="407">
        <f>IF(F127="","",E134)</f>
        <v/>
      </c>
      <c r="G129" s="407">
        <f>IF(G127="","",F134)</f>
        <v/>
      </c>
      <c r="H129" s="407">
        <f>IF(H127="","",G134)</f>
        <v/>
      </c>
      <c r="I129" s="407">
        <f>IF(I127="","",H134)</f>
        <v/>
      </c>
      <c r="J129" s="407">
        <f>IF(J127="","",I134)</f>
        <v/>
      </c>
      <c r="K129" s="407">
        <f>IF(K127="","",J134)</f>
        <v/>
      </c>
      <c r="L129" s="407">
        <f>IF(L127="","",K134)</f>
        <v/>
      </c>
      <c r="M129" s="407">
        <f>IF(M127="","",L134)</f>
        <v/>
      </c>
      <c r="N129" s="407">
        <f>IF(N127="","",M134)</f>
        <v/>
      </c>
      <c r="O129" s="407">
        <f>IF(O127="","",N134)</f>
        <v/>
      </c>
      <c r="P129" s="407">
        <f>IF(P127="","",O134)</f>
        <v/>
      </c>
    </row>
    <row r="130" outlineLevel="1">
      <c r="B130" s="59" t="inlineStr">
        <is>
          <t>Req'd Return by LP to hit Hurdle 3</t>
        </is>
      </c>
      <c r="C130" s="59" t="n"/>
      <c r="D130" s="59" t="n"/>
      <c r="E130" s="59" t="n"/>
      <c r="F130" s="407">
        <f>IF(F127="","",IF($D$57="Equity Multiple",E131*$C128-E131,F129*$C128))</f>
        <v/>
      </c>
      <c r="G130" s="407">
        <f>IF(G127="","",IF($D$57="Equity Multiple",F131*$C128-F131,G129*$C128))</f>
        <v/>
      </c>
      <c r="H130" s="407">
        <f>IF(H127="","",IF($D$57="Equity Multiple",G131*$C128-G131,H129*$C128))</f>
        <v/>
      </c>
      <c r="I130" s="407">
        <f>IF(I127="","",IF($D$57="Equity Multiple",H131*$C128-H131,I129*$C128))</f>
        <v/>
      </c>
      <c r="J130" s="407">
        <f>IF(J127="","",IF($D$57="Equity Multiple",I131*$C128-I131,J129*$C128))</f>
        <v/>
      </c>
      <c r="K130" s="407">
        <f>IF(K127="","",IF($D$57="Equity Multiple",J131*$C128-J131,K129*$C128))</f>
        <v/>
      </c>
      <c r="L130" s="407">
        <f>IF(L127="","",IF($D$57="Equity Multiple",K131*$C128-K131,L129*$C128))</f>
        <v/>
      </c>
      <c r="M130" s="407">
        <f>IF(M127="","",IF($D$57="Equity Multiple",L131*$C128-L131,M129*$C128))</f>
        <v/>
      </c>
      <c r="N130" s="407">
        <f>IF(N127="","",IF($D$57="Equity Multiple",M131*$C128-M131,N129*$C128))</f>
        <v/>
      </c>
      <c r="O130" s="407">
        <f>IF(O127="","",IF($D$57="Equity Multiple",N131*$C128-N131,O129*$C128))</f>
        <v/>
      </c>
      <c r="P130" s="407">
        <f>IF(P127="","",IF($D$57="Equity Multiple",O131*$C128-O131,P129*$C128))</f>
        <v/>
      </c>
    </row>
    <row r="131" outlineLevel="1">
      <c r="B131" s="59" t="inlineStr">
        <is>
          <t>Contributions from LP</t>
        </is>
      </c>
      <c r="C131" s="59" t="n"/>
      <c r="D131" s="59" t="n"/>
      <c r="E131" s="59" t="n"/>
      <c r="F131" s="407">
        <f>IF(F127="","",-MIN(0,F$51*Equity_Share_LP))</f>
        <v/>
      </c>
      <c r="G131" s="407">
        <f>IF(G127="","",-MIN(0,G$51*Equity_Share_LP))</f>
        <v/>
      </c>
      <c r="H131" s="407">
        <f>IF(H127="","",-MIN(0,H$51*Equity_Share_LP))</f>
        <v/>
      </c>
      <c r="I131" s="407">
        <f>IF(I127="","",-MIN(0,I$51*Equity_Share_LP))</f>
        <v/>
      </c>
      <c r="J131" s="407">
        <f>IF(J127="","",-MIN(0,J$51*Equity_Share_LP))</f>
        <v/>
      </c>
      <c r="K131" s="407">
        <f>IF(K127="","",-MIN(0,K$51*Equity_Share_LP))</f>
        <v/>
      </c>
      <c r="L131" s="407">
        <f>IF(L127="","",-MIN(0,L$51*Equity_Share_LP))</f>
        <v/>
      </c>
      <c r="M131" s="407">
        <f>IF(M127="","",-MIN(0,M$51*Equity_Share_LP))</f>
        <v/>
      </c>
      <c r="N131" s="407">
        <f>IF(N127="","",-MIN(0,N$51*Equity_Share_LP))</f>
        <v/>
      </c>
      <c r="O131" s="407">
        <f>IF(O127="","",-MIN(0,O$51*Equity_Share_LP))</f>
        <v/>
      </c>
      <c r="P131" s="407">
        <f>IF(P127="","",-MIN(0,P$51*Equity_Share_LP))</f>
        <v/>
      </c>
    </row>
    <row r="132" outlineLevel="1">
      <c r="B132" s="59" t="inlineStr">
        <is>
          <t>Prior Distributions</t>
        </is>
      </c>
      <c r="C132" s="59" t="n"/>
      <c r="D132" s="59" t="n"/>
      <c r="E132" s="59" t="n"/>
      <c r="F132" s="407">
        <f>IF(F127="","",F122+F100)</f>
        <v/>
      </c>
      <c r="G132" s="407">
        <f>IF(G127="","",G122+G100)</f>
        <v/>
      </c>
      <c r="H132" s="407">
        <f>IF(H127="","",H122+H100)</f>
        <v/>
      </c>
      <c r="I132" s="407">
        <f>IF(I127="","",I122+I100)</f>
        <v/>
      </c>
      <c r="J132" s="407">
        <f>IF(J127="","",J122+J100)</f>
        <v/>
      </c>
      <c r="K132" s="407">
        <f>IF(K127="","",K122+K100)</f>
        <v/>
      </c>
      <c r="L132" s="407">
        <f>IF(L127="","",L122+L100)</f>
        <v/>
      </c>
      <c r="M132" s="407">
        <f>IF(M127="","",M122+M100)</f>
        <v/>
      </c>
      <c r="N132" s="407">
        <f>IF(N127="","",N122+N100)</f>
        <v/>
      </c>
      <c r="O132" s="407">
        <f>IF(O127="","",O122+O100)</f>
        <v/>
      </c>
      <c r="P132" s="407">
        <f>IF(P127="","",P122+P100)</f>
        <v/>
      </c>
    </row>
    <row r="133" outlineLevel="1">
      <c r="B133" s="59">
        <f>"Distributions to LP "&amp;B127</f>
        <v/>
      </c>
      <c r="C133" s="59" t="n"/>
      <c r="D133" s="59" t="n"/>
      <c r="E133" s="59" t="n"/>
      <c r="F133" s="407">
        <f>IF(F127="","",MIN(F129+F130-F132,F125*$I$17))</f>
        <v/>
      </c>
      <c r="G133" s="407">
        <f>IF(G127="","",MIN(G129+G130-G132,G125*$I$17))</f>
        <v/>
      </c>
      <c r="H133" s="407">
        <f>IF(H127="","",MIN(H129+H130-H132,H125*$I$17))</f>
        <v/>
      </c>
      <c r="I133" s="407">
        <f>IF(I127="","",MIN(I129+I130-I132,I125*$I$17))</f>
        <v/>
      </c>
      <c r="J133" s="407">
        <f>IF(J127="","",MIN(J129+J130-J132,J125*$I$17))</f>
        <v/>
      </c>
      <c r="K133" s="407">
        <f>IF(K127="","",MIN(K129+K130-K132,K125*$I$17))</f>
        <v/>
      </c>
      <c r="L133" s="407">
        <f>IF(L127="","",MIN(L129+L130-L132,L125*$I$17))</f>
        <v/>
      </c>
      <c r="M133" s="407">
        <f>IF(M127="","",MIN(M129+M130-M132,M125*$I$17))</f>
        <v/>
      </c>
      <c r="N133" s="407">
        <f>IF(N127="","",MIN(N129+N130-N132,N125*$I$17))</f>
        <v/>
      </c>
      <c r="O133" s="407">
        <f>IF(O127="","",MIN(O129+O130-O132,O125*$I$17))</f>
        <v/>
      </c>
      <c r="P133" s="407">
        <f>IF(P127="","",MIN(P129+P130-P132,P125*$I$17))</f>
        <v/>
      </c>
    </row>
    <row r="134" outlineLevel="1">
      <c r="B134" s="59" t="inlineStr">
        <is>
          <t>Ending Balance (LP Capital Account)</t>
        </is>
      </c>
      <c r="C134" s="59" t="n"/>
      <c r="D134" s="59" t="n"/>
      <c r="E134" s="59" t="n"/>
      <c r="F134" s="407">
        <f>IF(F127="","",F129+F130+F131-F132-F133)</f>
        <v/>
      </c>
      <c r="G134" s="407">
        <f>IF(G127="","",G129+G130+G131-G132-G133)</f>
        <v/>
      </c>
      <c r="H134" s="407">
        <f>IF(H127="","",H129+H130+H131-H132-H133)</f>
        <v/>
      </c>
      <c r="I134" s="407">
        <f>IF(I127="","",I129+I130+I131-I132-I133)</f>
        <v/>
      </c>
      <c r="J134" s="407">
        <f>IF(J127="","",J129+J130+J131-J132-J133)</f>
        <v/>
      </c>
      <c r="K134" s="407">
        <f>IF(K127="","",K129+K130+K131-K132-K133)</f>
        <v/>
      </c>
      <c r="L134" s="407">
        <f>IF(L127="","",L129+L130+L131-L132-L133)</f>
        <v/>
      </c>
      <c r="M134" s="407">
        <f>IF(M127="","",M129+M130+M131-M132-M133)</f>
        <v/>
      </c>
      <c r="N134" s="407">
        <f>IF(N127="","",N129+N130+N131-N132-N133)</f>
        <v/>
      </c>
      <c r="O134" s="407">
        <f>IF(O127="","",O129+O130+O131-O132-O133)</f>
        <v/>
      </c>
      <c r="P134" s="407">
        <f>IF(P127="","",P129+P130+P131-P132-P133)</f>
        <v/>
      </c>
    </row>
    <row r="135" outlineLevel="1">
      <c r="B135" s="834">
        <f>C128</f>
        <v/>
      </c>
      <c r="C135" s="59" t="n"/>
      <c r="D135" s="59" t="n"/>
      <c r="E135" s="453">
        <f>IF($D$57="IRR",IRR(F135:P135),SUMIF(F135:P135,"&gt;0")/-SUMIF(F135:P135,"&lt;0"))</f>
        <v/>
      </c>
      <c r="F135" s="407">
        <f>IF(F127="","",-F131+F132+F133)</f>
        <v/>
      </c>
      <c r="G135" s="407">
        <f>IF(G127="","",-G131+G132+G133)</f>
        <v/>
      </c>
      <c r="H135" s="407">
        <f>IF(H127="","",-H131+H132+H133)</f>
        <v/>
      </c>
      <c r="I135" s="407">
        <f>IF(I127="","",-I131+I132+I133)</f>
        <v/>
      </c>
      <c r="J135" s="407">
        <f>IF(J127="","",-J131+J132+J133)</f>
        <v/>
      </c>
      <c r="K135" s="407">
        <f>IF(K127="","",-K131+K132+K133)</f>
        <v/>
      </c>
      <c r="L135" s="407">
        <f>IF(L127="","",-L131+L132+L133)</f>
        <v/>
      </c>
      <c r="M135" s="407">
        <f>IF(M127="","",-M131+M132+M133)</f>
        <v/>
      </c>
      <c r="N135" s="407">
        <f>IF(N127="","",-N131+N132+N133)</f>
        <v/>
      </c>
      <c r="O135" s="407">
        <f>IF(O127="","",-O131+O132+O133)</f>
        <v/>
      </c>
      <c r="P135" s="407">
        <f>IF(P127="","",-P131+P132+P133)</f>
        <v/>
      </c>
    </row>
    <row r="136" outlineLevel="1">
      <c r="B136" s="74" t="n"/>
      <c r="C136" s="74" t="n"/>
      <c r="D136" s="74" t="n"/>
      <c r="E136" s="74" t="n"/>
      <c r="F136" s="458" t="n"/>
      <c r="G136" s="458" t="n"/>
      <c r="H136" s="458" t="n"/>
      <c r="I136" s="458" t="n"/>
      <c r="J136" s="458" t="n"/>
      <c r="K136" s="458" t="n"/>
      <c r="L136" s="458" t="n"/>
      <c r="M136" s="458" t="n"/>
      <c r="N136" s="458" t="n"/>
      <c r="O136" s="458" t="n"/>
      <c r="P136" s="458" t="n"/>
    </row>
    <row r="137" outlineLevel="1">
      <c r="B137" s="59" t="inlineStr">
        <is>
          <t>Distribution to LP</t>
        </is>
      </c>
      <c r="C137" s="59" t="n"/>
      <c r="D137" s="59" t="n"/>
      <c r="E137" s="59" t="n"/>
      <c r="F137" s="407">
        <f>IF(F127="","",F133)</f>
        <v/>
      </c>
      <c r="G137" s="407">
        <f>IF(G127="","",G133)</f>
        <v/>
      </c>
      <c r="H137" s="407">
        <f>IF(H127="","",H133)</f>
        <v/>
      </c>
      <c r="I137" s="407">
        <f>IF(I127="","",I133)</f>
        <v/>
      </c>
      <c r="J137" s="407">
        <f>IF(J127="","",J133)</f>
        <v/>
      </c>
      <c r="K137" s="407">
        <f>IF(K127="","",K133)</f>
        <v/>
      </c>
      <c r="L137" s="407">
        <f>IF(L127="","",L133)</f>
        <v/>
      </c>
      <c r="M137" s="407">
        <f>IF(M127="","",M133)</f>
        <v/>
      </c>
      <c r="N137" s="407">
        <f>IF(N127="","",N133)</f>
        <v/>
      </c>
      <c r="O137" s="407">
        <f>IF(O127="","",O133)</f>
        <v/>
      </c>
      <c r="P137" s="407">
        <f>IF(P127="","",P133)</f>
        <v/>
      </c>
    </row>
    <row r="138" outlineLevel="1">
      <c r="B138" s="59" t="inlineStr">
        <is>
          <t>Distribution to GP</t>
        </is>
      </c>
      <c r="C138" s="59" t="n"/>
      <c r="D138" s="59" t="n"/>
      <c r="E138" s="59" t="n"/>
      <c r="F138" s="407">
        <f>IF(F127="","",F137/$I$17*$H$17)</f>
        <v/>
      </c>
      <c r="G138" s="407">
        <f>IF(G127="","",G137/$I$17*$H$17)</f>
        <v/>
      </c>
      <c r="H138" s="407">
        <f>IF(H127="","",H137/$I$17*$H$17)</f>
        <v/>
      </c>
      <c r="I138" s="407">
        <f>IF(I127="","",I137/$I$17*$H$17)</f>
        <v/>
      </c>
      <c r="J138" s="407">
        <f>IF(J127="","",J137/$I$17*$H$17)</f>
        <v/>
      </c>
      <c r="K138" s="407">
        <f>IF(K127="","",K137/$I$17*$H$17)</f>
        <v/>
      </c>
      <c r="L138" s="407">
        <f>IF(L127="","",L137/$I$17*$H$17)</f>
        <v/>
      </c>
      <c r="M138" s="407">
        <f>IF(M127="","",M137/$I$17*$H$17)</f>
        <v/>
      </c>
      <c r="N138" s="407">
        <f>IF(N127="","",N137/$I$17*$H$17)</f>
        <v/>
      </c>
      <c r="O138" s="407">
        <f>IF(O127="","",O137/$I$17*$H$17)</f>
        <v/>
      </c>
      <c r="P138" s="407">
        <f>IF(P127="","",P137/$I$17*$H$17)</f>
        <v/>
      </c>
    </row>
    <row r="139" outlineLevel="1">
      <c r="B139" s="59">
        <f>"Total Distributions ("&amp;B127&amp;")"</f>
        <v/>
      </c>
      <c r="C139" s="59" t="n"/>
      <c r="D139" s="59" t="n"/>
      <c r="E139" s="59" t="n"/>
      <c r="F139" s="407">
        <f>IF(F127="","",F137+F138)</f>
        <v/>
      </c>
      <c r="G139" s="407">
        <f>IF(G127="","",G137+G138)</f>
        <v/>
      </c>
      <c r="H139" s="407">
        <f>IF(H127="","",H137+H138)</f>
        <v/>
      </c>
      <c r="I139" s="407">
        <f>IF(I127="","",I137+I138)</f>
        <v/>
      </c>
      <c r="J139" s="407">
        <f>IF(J127="","",J137+J138)</f>
        <v/>
      </c>
      <c r="K139" s="407">
        <f>IF(K127="","",K137+K138)</f>
        <v/>
      </c>
      <c r="L139" s="407">
        <f>IF(L127="","",L137+L138)</f>
        <v/>
      </c>
      <c r="M139" s="407">
        <f>IF(M127="","",M137+M138)</f>
        <v/>
      </c>
      <c r="N139" s="407">
        <f>IF(N127="","",N137+N138)</f>
        <v/>
      </c>
      <c r="O139" s="407">
        <f>IF(O127="","",O137+O138)</f>
        <v/>
      </c>
      <c r="P139" s="407">
        <f>IF(P127="","",P137+P138)</f>
        <v/>
      </c>
    </row>
    <row r="140" outlineLevel="1">
      <c r="B140" s="59" t="inlineStr">
        <is>
          <t>Cash Flow Remaining</t>
        </is>
      </c>
      <c r="C140" s="59" t="n"/>
      <c r="D140" s="59" t="n"/>
      <c r="E140" s="59" t="n"/>
      <c r="F140" s="407">
        <f>IF(F127="","",MAX(F$51-F109-F124-F139,0))</f>
        <v/>
      </c>
      <c r="G140" s="407">
        <f>IF(G127="","",MAX(G$51-G109-G124-G139,0))</f>
        <v/>
      </c>
      <c r="H140" s="407">
        <f>IF(H127="","",MAX(H$51-H109-H124-H139,0))</f>
        <v/>
      </c>
      <c r="I140" s="407">
        <f>IF(I127="","",MAX(I$51-I109-I124-I139,0))</f>
        <v/>
      </c>
      <c r="J140" s="407">
        <f>IF(J127="","",MAX(J$51-J109-J124-J139,0))</f>
        <v/>
      </c>
      <c r="K140" s="407">
        <f>IF(K127="","",MAX(K$51-K109-K124-K139,0))</f>
        <v/>
      </c>
      <c r="L140" s="407">
        <f>IF(L127="","",MAX(L$51-L109-L124-L139,0))</f>
        <v/>
      </c>
      <c r="M140" s="407">
        <f>IF(M127="","",MAX(M$51-M109-M124-M139,0))</f>
        <v/>
      </c>
      <c r="N140" s="407">
        <f>IF(N127="","",MAX(N$51-N109-N124-N139,0))</f>
        <v/>
      </c>
      <c r="O140" s="407">
        <f>IF(O127="","",MAX(O$51-O109-O124-O139,0))</f>
        <v/>
      </c>
      <c r="P140" s="407">
        <f>IF(P127="","",MAX(P$51-P109-P124-P139,0))</f>
        <v/>
      </c>
    </row>
    <row r="141" outlineLevel="1">
      <c r="B141" s="59" t="n"/>
      <c r="C141" s="59" t="n"/>
      <c r="D141" s="59" t="n"/>
      <c r="E141" s="59" t="n"/>
      <c r="F141" s="398" t="n"/>
      <c r="G141" s="398" t="n"/>
      <c r="H141" s="398" t="n"/>
      <c r="I141" s="398" t="n"/>
      <c r="J141" s="398" t="n"/>
      <c r="K141" s="398" t="n"/>
      <c r="L141" s="398" t="n"/>
      <c r="M141" s="398" t="n"/>
      <c r="N141" s="398" t="n"/>
      <c r="O141" s="398" t="n"/>
      <c r="P141" s="398" t="n"/>
    </row>
    <row r="142" outlineLevel="1" ht="15.75" customHeight="1">
      <c r="B142" s="433" t="inlineStr">
        <is>
          <t>Tier 4</t>
        </is>
      </c>
      <c r="C142" s="430" t="n"/>
      <c r="D142" s="430" t="n"/>
      <c r="E142" s="430" t="n"/>
      <c r="F142" s="431" t="inlineStr">
        <is>
          <t>Year 0</t>
        </is>
      </c>
      <c r="G142" s="827">
        <f>G$21</f>
        <v/>
      </c>
      <c r="H142" s="827">
        <f>H$21</f>
        <v/>
      </c>
      <c r="I142" s="827">
        <f>I$21</f>
        <v/>
      </c>
      <c r="J142" s="827">
        <f>J$21</f>
        <v/>
      </c>
      <c r="K142" s="827">
        <f>K$21</f>
        <v/>
      </c>
      <c r="L142" s="827">
        <f>L$21</f>
        <v/>
      </c>
      <c r="M142" s="827">
        <f>M$21</f>
        <v/>
      </c>
      <c r="N142" s="827">
        <f>N$21</f>
        <v/>
      </c>
      <c r="O142" s="827">
        <f>O$21</f>
        <v/>
      </c>
      <c r="P142" s="827">
        <f>P$21</f>
        <v/>
      </c>
    </row>
    <row r="143" outlineLevel="1">
      <c r="B143" s="454" t="inlineStr">
        <is>
          <t>Return Threshold - Up to:</t>
        </is>
      </c>
      <c r="C143" s="832">
        <f>E63</f>
        <v/>
      </c>
      <c r="D143" s="59" t="n"/>
      <c r="E143" s="59" t="n"/>
      <c r="F143" s="398" t="n"/>
      <c r="G143" s="833" t="n"/>
      <c r="H143" s="833" t="n"/>
      <c r="I143" s="833" t="n"/>
      <c r="J143" s="833" t="n"/>
      <c r="K143" s="833" t="n"/>
      <c r="L143" s="833" t="n"/>
      <c r="M143" s="833" t="n"/>
      <c r="N143" s="833" t="n"/>
      <c r="O143" s="833" t="n"/>
      <c r="P143" s="833" t="n"/>
    </row>
    <row r="144" outlineLevel="1">
      <c r="B144" s="59" t="inlineStr">
        <is>
          <t>Beginning Balance (LP Capital Account)</t>
        </is>
      </c>
      <c r="C144" s="59" t="n"/>
      <c r="D144" s="59" t="n"/>
      <c r="E144" s="59" t="n"/>
      <c r="F144" s="407">
        <f>IF(F142="","",E149)</f>
        <v/>
      </c>
      <c r="G144" s="407">
        <f>IF(G142="","",F149)</f>
        <v/>
      </c>
      <c r="H144" s="407">
        <f>IF(H142="","",G149)</f>
        <v/>
      </c>
      <c r="I144" s="407">
        <f>IF(I142="","",H149)</f>
        <v/>
      </c>
      <c r="J144" s="407">
        <f>IF(J142="","",I149)</f>
        <v/>
      </c>
      <c r="K144" s="407">
        <f>IF(K142="","",J149)</f>
        <v/>
      </c>
      <c r="L144" s="407">
        <f>IF(L142="","",K149)</f>
        <v/>
      </c>
      <c r="M144" s="407">
        <f>IF(M142="","",L149)</f>
        <v/>
      </c>
      <c r="N144" s="407">
        <f>IF(N142="","",M149)</f>
        <v/>
      </c>
      <c r="O144" s="407">
        <f>IF(O142="","",N149)</f>
        <v/>
      </c>
      <c r="P144" s="407">
        <f>IF(P142="","",O149)</f>
        <v/>
      </c>
    </row>
    <row r="145" outlineLevel="1">
      <c r="B145" s="59" t="inlineStr">
        <is>
          <t>Req'd Return by LP to hit Hurdle 4</t>
        </is>
      </c>
      <c r="C145" s="59" t="n"/>
      <c r="D145" s="59" t="n"/>
      <c r="E145" s="59" t="n"/>
      <c r="F145" s="407">
        <f>IF(F142="","",IF($D$57="Equity Multiple",E146*$C143-E146,F144*$C143))</f>
        <v/>
      </c>
      <c r="G145" s="407">
        <f>IF(G142="","",IF($D$57="Equity Multiple",F146*$C143-F146,G144*$C143))</f>
        <v/>
      </c>
      <c r="H145" s="407">
        <f>IF(H142="","",IF($D$57="Equity Multiple",G146*$C143-G146,H144*$C143))</f>
        <v/>
      </c>
      <c r="I145" s="407">
        <f>IF(I142="","",IF($D$57="Equity Multiple",H146*$C143-H146,I144*$C143))</f>
        <v/>
      </c>
      <c r="J145" s="407">
        <f>IF(J142="","",IF($D$57="Equity Multiple",I146*$C143-I146,J144*$C143))</f>
        <v/>
      </c>
      <c r="K145" s="407">
        <f>IF(K142="","",IF($D$57="Equity Multiple",J146*$C143-J146,K144*$C143))</f>
        <v/>
      </c>
      <c r="L145" s="407">
        <f>IF(L142="","",IF($D$57="Equity Multiple",K146*$C143-K146,L144*$C143))</f>
        <v/>
      </c>
      <c r="M145" s="407">
        <f>IF(M142="","",IF($D$57="Equity Multiple",L146*$C143-L146,M144*$C143))</f>
        <v/>
      </c>
      <c r="N145" s="407">
        <f>IF(N142="","",IF($D$57="Equity Multiple",M146*$C143-M146,N144*$C143))</f>
        <v/>
      </c>
      <c r="O145" s="407">
        <f>IF(O142="","",IF($D$57="Equity Multiple",N146*$C143-N146,O144*$C143))</f>
        <v/>
      </c>
      <c r="P145" s="407">
        <f>IF(P142="","",IF($D$57="Equity Multiple",O146*$C143-O146,P144*$C143))</f>
        <v/>
      </c>
    </row>
    <row r="146" outlineLevel="1">
      <c r="B146" s="59" t="inlineStr">
        <is>
          <t>Contributions from LP</t>
        </is>
      </c>
      <c r="C146" s="59" t="n"/>
      <c r="D146" s="59" t="n"/>
      <c r="E146" s="59" t="n"/>
      <c r="F146" s="407">
        <f>IF(F142="","",-MIN(0,F$51*Equity_Share_LP))</f>
        <v/>
      </c>
      <c r="G146" s="407">
        <f>IF(G142="","",-MIN(0,G$51*Equity_Share_LP))</f>
        <v/>
      </c>
      <c r="H146" s="407">
        <f>IF(H142="","",-MIN(0,H$51*Equity_Share_LP))</f>
        <v/>
      </c>
      <c r="I146" s="407">
        <f>IF(I142="","",-MIN(0,I$51*Equity_Share_LP))</f>
        <v/>
      </c>
      <c r="J146" s="407">
        <f>IF(J142="","",-MIN(0,J$51*Equity_Share_LP))</f>
        <v/>
      </c>
      <c r="K146" s="407">
        <f>IF(K142="","",-MIN(0,K$51*Equity_Share_LP))</f>
        <v/>
      </c>
      <c r="L146" s="407">
        <f>IF(L142="","",-MIN(0,L$51*Equity_Share_LP))</f>
        <v/>
      </c>
      <c r="M146" s="407">
        <f>IF(M142="","",-MIN(0,M$51*Equity_Share_LP))</f>
        <v/>
      </c>
      <c r="N146" s="407">
        <f>IF(N142="","",-MIN(0,N$51*Equity_Share_LP))</f>
        <v/>
      </c>
      <c r="O146" s="407">
        <f>IF(O142="","",-MIN(0,O$51*Equity_Share_LP))</f>
        <v/>
      </c>
      <c r="P146" s="407">
        <f>IF(P142="","",-MIN(0,P$51*Equity_Share_LP))</f>
        <v/>
      </c>
    </row>
    <row r="147" outlineLevel="1">
      <c r="B147" s="59" t="inlineStr">
        <is>
          <t>Prior Distributions</t>
        </is>
      </c>
      <c r="C147" s="59" t="n"/>
      <c r="D147" s="59" t="n"/>
      <c r="E147" s="59" t="n"/>
      <c r="F147" s="407">
        <f>IF(F142="","",F122+F100+F137)</f>
        <v/>
      </c>
      <c r="G147" s="407">
        <f>IF(G142="","",G122+G100+G137)</f>
        <v/>
      </c>
      <c r="H147" s="407">
        <f>IF(H142="","",H122+H100+H137)</f>
        <v/>
      </c>
      <c r="I147" s="407">
        <f>IF(I142="","",I122+I100+I137)</f>
        <v/>
      </c>
      <c r="J147" s="407">
        <f>IF(J142="","",J122+J100+J137)</f>
        <v/>
      </c>
      <c r="K147" s="407">
        <f>IF(K142="","",K122+K100+K137)</f>
        <v/>
      </c>
      <c r="L147" s="407">
        <f>IF(L142="","",L122+L100+L137)</f>
        <v/>
      </c>
      <c r="M147" s="407">
        <f>IF(M142="","",M122+M100+M137)</f>
        <v/>
      </c>
      <c r="N147" s="407">
        <f>IF(N142="","",N122+N100+N137)</f>
        <v/>
      </c>
      <c r="O147" s="407">
        <f>IF(O142="","",O122+O100+O137)</f>
        <v/>
      </c>
      <c r="P147" s="407">
        <f>IF(P142="","",P122+P100+P137)</f>
        <v/>
      </c>
    </row>
    <row r="148" outlineLevel="1">
      <c r="B148" s="59">
        <f>"Distributions to LP "&amp;B142</f>
        <v/>
      </c>
      <c r="C148" s="59" t="n"/>
      <c r="D148" s="59" t="n"/>
      <c r="E148" s="59" t="n"/>
      <c r="F148" s="407">
        <f>IF(F142="","",MIN(F144+F145-F147,F140*$I$18))</f>
        <v/>
      </c>
      <c r="G148" s="407">
        <f>IF(G142="","",MIN(G144+G145-G147,G140*$I$18))</f>
        <v/>
      </c>
      <c r="H148" s="407">
        <f>IF(H142="","",MIN(H144+H145-H147,H140*$I$18))</f>
        <v/>
      </c>
      <c r="I148" s="407">
        <f>IF(I142="","",MIN(I144+I145-I147,I140*$I$18))</f>
        <v/>
      </c>
      <c r="J148" s="407">
        <f>IF(J142="","",MIN(J144+J145-J147,J140*$I$18))</f>
        <v/>
      </c>
      <c r="K148" s="407">
        <f>IF(K142="","",MIN(K144+K145-K147,K140*$I$18))</f>
        <v/>
      </c>
      <c r="L148" s="407">
        <f>IF(L142="","",MIN(L144+L145-L147,L140*$I$18))</f>
        <v/>
      </c>
      <c r="M148" s="407">
        <f>IF(M142="","",MIN(M144+M145-M147,M140*$I$18))</f>
        <v/>
      </c>
      <c r="N148" s="407">
        <f>IF(N142="","",MIN(N144+N145-N147,N140*$I$18))</f>
        <v/>
      </c>
      <c r="O148" s="407">
        <f>IF(O142="","",MIN(O144+O145-O147,O140*$I$18))</f>
        <v/>
      </c>
      <c r="P148" s="407">
        <f>IF(P142="","",MIN(P144+P145-P147,P140*$I$18))</f>
        <v/>
      </c>
    </row>
    <row r="149" outlineLevel="1">
      <c r="B149" s="59" t="inlineStr">
        <is>
          <t>Ending Balance (LP Capital Account)</t>
        </is>
      </c>
      <c r="C149" s="59" t="n"/>
      <c r="D149" s="59" t="n"/>
      <c r="E149" s="59" t="n"/>
      <c r="F149" s="407">
        <f>IF(F142="","",F144+F145+F146-F147-F148)</f>
        <v/>
      </c>
      <c r="G149" s="407">
        <f>IF(G142="","",G144+G145+G146-G147-G148)</f>
        <v/>
      </c>
      <c r="H149" s="407">
        <f>IF(H142="","",H144+H145+H146-H147-H148)</f>
        <v/>
      </c>
      <c r="I149" s="407">
        <f>IF(I142="","",I144+I145+I146-I147-I148)</f>
        <v/>
      </c>
      <c r="J149" s="407">
        <f>IF(J142="","",J144+J145+J146-J147-J148)</f>
        <v/>
      </c>
      <c r="K149" s="407">
        <f>IF(K142="","",K144+K145+K146-K147-K148)</f>
        <v/>
      </c>
      <c r="L149" s="407">
        <f>IF(L142="","",L144+L145+L146-L147-L148)</f>
        <v/>
      </c>
      <c r="M149" s="407">
        <f>IF(M142="","",M144+M145+M146-M147-M148)</f>
        <v/>
      </c>
      <c r="N149" s="407">
        <f>IF(N142="","",N144+N145+N146-N147-N148)</f>
        <v/>
      </c>
      <c r="O149" s="407">
        <f>IF(O142="","",O144+O145+O146-O147-O148)</f>
        <v/>
      </c>
      <c r="P149" s="407">
        <f>IF(P142="","",P144+P145+P146-P147-P148)</f>
        <v/>
      </c>
    </row>
    <row r="150" outlineLevel="1">
      <c r="B150" s="834">
        <f>C143</f>
        <v/>
      </c>
      <c r="C150" s="59" t="n"/>
      <c r="D150" s="59" t="n"/>
      <c r="E150" s="453">
        <f>IF($D$57="IRR",IRR(F150:P150),SUMIF(F150:P150,"&gt;0")/-SUMIF(F150:P150,"&lt;0"))</f>
        <v/>
      </c>
      <c r="F150" s="407">
        <f>IF(F142="","",-F146+F147+F148)</f>
        <v/>
      </c>
      <c r="G150" s="407">
        <f>IF(G142="","",-G146+G147+G148)</f>
        <v/>
      </c>
      <c r="H150" s="407">
        <f>IF(H142="","",-H146+H147+H148)</f>
        <v/>
      </c>
      <c r="I150" s="407">
        <f>IF(I142="","",-I146+I147+I148)</f>
        <v/>
      </c>
      <c r="J150" s="407">
        <f>IF(J142="","",-J146+J147+J148)</f>
        <v/>
      </c>
      <c r="K150" s="407">
        <f>IF(K142="","",-K146+K147+K148)</f>
        <v/>
      </c>
      <c r="L150" s="407">
        <f>IF(L142="","",-L146+L147+L148)</f>
        <v/>
      </c>
      <c r="M150" s="407">
        <f>IF(M142="","",-M146+M147+M148)</f>
        <v/>
      </c>
      <c r="N150" s="407">
        <f>IF(N142="","",-N146+N147+N148)</f>
        <v/>
      </c>
      <c r="O150" s="407">
        <f>IF(O142="","",-O146+O147+O148)</f>
        <v/>
      </c>
      <c r="P150" s="407">
        <f>IF(P142="","",-P146+P147+P148)</f>
        <v/>
      </c>
    </row>
    <row r="151" outlineLevel="1">
      <c r="B151" s="74" t="n"/>
      <c r="C151" s="74" t="n"/>
      <c r="D151" s="74" t="n"/>
      <c r="E151" s="74" t="n"/>
      <c r="F151" s="458" t="n"/>
      <c r="G151" s="458" t="n"/>
      <c r="H151" s="458" t="n"/>
      <c r="I151" s="458" t="n"/>
      <c r="J151" s="458" t="n"/>
      <c r="K151" s="458" t="n"/>
      <c r="L151" s="458" t="n"/>
      <c r="M151" s="458" t="n"/>
      <c r="N151" s="458" t="n"/>
      <c r="O151" s="458" t="n"/>
      <c r="P151" s="458" t="n"/>
    </row>
    <row r="152" outlineLevel="1">
      <c r="B152" s="59" t="inlineStr">
        <is>
          <t>Distribution to LP</t>
        </is>
      </c>
      <c r="C152" s="59" t="n"/>
      <c r="D152" s="59" t="n"/>
      <c r="E152" s="59" t="n"/>
      <c r="F152" s="407">
        <f>IF(F142="","",F148)</f>
        <v/>
      </c>
      <c r="G152" s="407">
        <f>IF(G142="","",G148)</f>
        <v/>
      </c>
      <c r="H152" s="407">
        <f>IF(H142="","",H148)</f>
        <v/>
      </c>
      <c r="I152" s="407">
        <f>IF(I142="","",I148)</f>
        <v/>
      </c>
      <c r="J152" s="407">
        <f>IF(J142="","",J148)</f>
        <v/>
      </c>
      <c r="K152" s="407">
        <f>IF(K142="","",K148)</f>
        <v/>
      </c>
      <c r="L152" s="407">
        <f>IF(L142="","",L148)</f>
        <v/>
      </c>
      <c r="M152" s="407">
        <f>IF(M142="","",M148)</f>
        <v/>
      </c>
      <c r="N152" s="407">
        <f>IF(N142="","",N148)</f>
        <v/>
      </c>
      <c r="O152" s="407">
        <f>IF(O142="","",O148)</f>
        <v/>
      </c>
      <c r="P152" s="407">
        <f>IF(P142="","",P148)</f>
        <v/>
      </c>
    </row>
    <row r="153" outlineLevel="1">
      <c r="B153" s="59" t="inlineStr">
        <is>
          <t>Distribution to GP</t>
        </is>
      </c>
      <c r="C153" s="59" t="n"/>
      <c r="D153" s="59" t="n"/>
      <c r="E153" s="59" t="n"/>
      <c r="F153" s="407">
        <f>IF(F142="","",F152/$I$18*$H$18)</f>
        <v/>
      </c>
      <c r="G153" s="407">
        <f>IF(G142="","",G152/$I$18*$H$18)</f>
        <v/>
      </c>
      <c r="H153" s="407">
        <f>IF(H142="","",H152/$I$18*$H$18)</f>
        <v/>
      </c>
      <c r="I153" s="407">
        <f>IF(I142="","",I152/$I$18*$H$18)</f>
        <v/>
      </c>
      <c r="J153" s="407">
        <f>IF(J142="","",J152/$I$18*$H$18)</f>
        <v/>
      </c>
      <c r="K153" s="407">
        <f>IF(K142="","",K152/$I$18*$H$18)</f>
        <v/>
      </c>
      <c r="L153" s="407">
        <f>IF(L142="","",L152/$I$18*$H$18)</f>
        <v/>
      </c>
      <c r="M153" s="407">
        <f>IF(M142="","",M152/$I$18*$H$18)</f>
        <v/>
      </c>
      <c r="N153" s="407">
        <f>IF(N142="","",N152/$I$18*$H$18)</f>
        <v/>
      </c>
      <c r="O153" s="407">
        <f>IF(O142="","",O152/$I$18*$H$18)</f>
        <v/>
      </c>
      <c r="P153" s="407">
        <f>IF(P142="","",P152/$I$18*$H$18)</f>
        <v/>
      </c>
    </row>
    <row r="154" outlineLevel="1">
      <c r="B154" s="59">
        <f>"Total Distributions ("&amp;B142&amp;")"</f>
        <v/>
      </c>
      <c r="C154" s="59" t="n"/>
      <c r="D154" s="59" t="n"/>
      <c r="E154" s="59" t="n"/>
      <c r="F154" s="407">
        <f>IF(F142="","",F152+F153)</f>
        <v/>
      </c>
      <c r="G154" s="407">
        <f>IF(G142="","",G152+G153)</f>
        <v/>
      </c>
      <c r="H154" s="407">
        <f>IF(H142="","",H152+H153)</f>
        <v/>
      </c>
      <c r="I154" s="407">
        <f>IF(I142="","",I152+I153)</f>
        <v/>
      </c>
      <c r="J154" s="407">
        <f>IF(J142="","",J152+J153)</f>
        <v/>
      </c>
      <c r="K154" s="407">
        <f>IF(K142="","",K152+K153)</f>
        <v/>
      </c>
      <c r="L154" s="407">
        <f>IF(L142="","",L152+L153)</f>
        <v/>
      </c>
      <c r="M154" s="407">
        <f>IF(M142="","",M152+M153)</f>
        <v/>
      </c>
      <c r="N154" s="407">
        <f>IF(N142="","",N152+N153)</f>
        <v/>
      </c>
      <c r="O154" s="407">
        <f>IF(O142="","",O152+O153)</f>
        <v/>
      </c>
      <c r="P154" s="407">
        <f>IF(P142="","",P152+P153)</f>
        <v/>
      </c>
    </row>
    <row r="155" outlineLevel="1">
      <c r="B155" s="59" t="inlineStr">
        <is>
          <t>Cash Flow Remaining</t>
        </is>
      </c>
      <c r="C155" s="59" t="n"/>
      <c r="D155" s="59" t="n"/>
      <c r="E155" s="59" t="n"/>
      <c r="F155" s="407">
        <f>IF(F142="","",MAX(F$51-F109-F124-F139-F154,0))</f>
        <v/>
      </c>
      <c r="G155" s="407">
        <f>IF(G142="","",MAX(G$51-G109-G124-G139-G154,0))</f>
        <v/>
      </c>
      <c r="H155" s="407">
        <f>IF(H142="","",MAX(H$51-H109-H124-H139-H154,0))</f>
        <v/>
      </c>
      <c r="I155" s="407">
        <f>IF(I142="","",MAX(I$51-I109-I124-I139-I154,0))</f>
        <v/>
      </c>
      <c r="J155" s="407">
        <f>IF(J142="","",MAX(J$51-J109-J124-J139-J154,0))</f>
        <v/>
      </c>
      <c r="K155" s="407">
        <f>IF(K142="","",MAX(K$51-K109-K124-K139-K154,0))</f>
        <v/>
      </c>
      <c r="L155" s="407">
        <f>IF(L142="","",MAX(L$51-L109-L124-L139-L154,0))</f>
        <v/>
      </c>
      <c r="M155" s="407">
        <f>IF(M142="","",MAX(M$51-M109-M124-M139-M154,0))</f>
        <v/>
      </c>
      <c r="N155" s="407">
        <f>IF(N142="","",MAX(N$51-N109-N124-N139-N154,0))</f>
        <v/>
      </c>
      <c r="O155" s="407">
        <f>IF(O142="","",MAX(O$51-O109-O124-O139-O154,0))</f>
        <v/>
      </c>
      <c r="P155" s="407">
        <f>IF(P142="","",MAX(P$51-P109-P124-P139-P154,0))</f>
        <v/>
      </c>
    </row>
    <row r="156" outlineLevel="1">
      <c r="B156" s="59" t="n"/>
      <c r="C156" s="59" t="n"/>
      <c r="D156" s="59" t="n"/>
      <c r="E156" s="59" t="n"/>
      <c r="F156" s="398" t="n"/>
      <c r="G156" s="398" t="n"/>
      <c r="H156" s="398" t="n"/>
      <c r="I156" s="398" t="n"/>
      <c r="J156" s="398" t="n"/>
      <c r="K156" s="398" t="n"/>
      <c r="L156" s="398" t="n"/>
      <c r="M156" s="398" t="n"/>
      <c r="N156" s="398" t="n"/>
      <c r="O156" s="398" t="n"/>
      <c r="P156" s="398" t="n"/>
    </row>
    <row r="157" outlineLevel="1" ht="15.75" customHeight="1">
      <c r="B157" s="433" t="inlineStr">
        <is>
          <t>Tier 5</t>
        </is>
      </c>
      <c r="C157" s="430" t="n"/>
      <c r="D157" s="430" t="n"/>
      <c r="E157" s="430" t="n"/>
      <c r="F157" s="431" t="inlineStr">
        <is>
          <t>Year 0</t>
        </is>
      </c>
      <c r="G157" s="827">
        <f>G$21</f>
        <v/>
      </c>
      <c r="H157" s="827">
        <f>H$21</f>
        <v/>
      </c>
      <c r="I157" s="827">
        <f>I$21</f>
        <v/>
      </c>
      <c r="J157" s="827">
        <f>J$21</f>
        <v/>
      </c>
      <c r="K157" s="827">
        <f>K$21</f>
        <v/>
      </c>
      <c r="L157" s="827">
        <f>L$21</f>
        <v/>
      </c>
      <c r="M157" s="827">
        <f>M$21</f>
        <v/>
      </c>
      <c r="N157" s="827">
        <f>N$21</f>
        <v/>
      </c>
      <c r="O157" s="827">
        <f>O$21</f>
        <v/>
      </c>
      <c r="P157" s="827">
        <f>P$21</f>
        <v/>
      </c>
    </row>
    <row r="158" outlineLevel="1">
      <c r="B158" s="454" t="inlineStr">
        <is>
          <t>Return Threshold - Greater than:</t>
        </is>
      </c>
      <c r="C158" s="832">
        <f>C143</f>
        <v/>
      </c>
      <c r="D158" s="59" t="n"/>
      <c r="E158" s="59" t="n"/>
      <c r="F158" s="398" t="n"/>
      <c r="G158" s="833" t="n"/>
      <c r="H158" s="833" t="n"/>
      <c r="I158" s="833" t="n"/>
      <c r="J158" s="833" t="n"/>
      <c r="K158" s="833" t="n"/>
      <c r="L158" s="833" t="n"/>
      <c r="M158" s="833" t="n"/>
      <c r="N158" s="833" t="n"/>
      <c r="O158" s="833" t="n"/>
      <c r="P158" s="833" t="n"/>
    </row>
    <row r="159" outlineLevel="1">
      <c r="B159" s="59" t="inlineStr">
        <is>
          <t>Distribution to LP</t>
        </is>
      </c>
      <c r="C159" s="59" t="n"/>
      <c r="D159" s="59" t="n"/>
      <c r="E159" s="59" t="n"/>
      <c r="F159" s="407">
        <f>IF(F157="","",F155*$I$19)</f>
        <v/>
      </c>
      <c r="G159" s="407">
        <f>IF(G157="","",G155*$I$19)</f>
        <v/>
      </c>
      <c r="H159" s="407">
        <f>IF(H157="","",H155*$I$19)</f>
        <v/>
      </c>
      <c r="I159" s="407">
        <f>IF(I157="","",I155*$I$19)</f>
        <v/>
      </c>
      <c r="J159" s="407">
        <f>IF(J157="","",J155*$I$19)</f>
        <v/>
      </c>
      <c r="K159" s="407">
        <f>IF(K157="","",K155*$I$19)</f>
        <v/>
      </c>
      <c r="L159" s="407">
        <f>IF(L157="","",L155*$I$19)</f>
        <v/>
      </c>
      <c r="M159" s="407">
        <f>IF(M157="","",M155*$I$19)</f>
        <v/>
      </c>
      <c r="N159" s="407">
        <f>IF(N157="","",N155*$I$19)</f>
        <v/>
      </c>
      <c r="O159" s="407">
        <f>IF(O157="","",O155*$I$19)</f>
        <v/>
      </c>
      <c r="P159" s="407">
        <f>IF(P157="","",P155*$I$19)</f>
        <v/>
      </c>
    </row>
    <row r="160" outlineLevel="1">
      <c r="B160" s="59" t="inlineStr">
        <is>
          <t>Distribution to GP</t>
        </is>
      </c>
      <c r="C160" s="59" t="n"/>
      <c r="D160" s="59" t="n"/>
      <c r="E160" s="59" t="n"/>
      <c r="F160" s="407">
        <f>IF(F157="","",F155-F159)</f>
        <v/>
      </c>
      <c r="G160" s="407">
        <f>IF(G157="","",G155-G159)</f>
        <v/>
      </c>
      <c r="H160" s="407">
        <f>IF(H157="","",H155-H159)</f>
        <v/>
      </c>
      <c r="I160" s="407">
        <f>IF(I157="","",I155-I159)</f>
        <v/>
      </c>
      <c r="J160" s="407">
        <f>IF(J157="","",J155-J159)</f>
        <v/>
      </c>
      <c r="K160" s="407">
        <f>IF(K157="","",K155-K159)</f>
        <v/>
      </c>
      <c r="L160" s="407">
        <f>IF(L157="","",L155-L159)</f>
        <v/>
      </c>
      <c r="M160" s="407">
        <f>IF(M157="","",M155-M159)</f>
        <v/>
      </c>
      <c r="N160" s="407">
        <f>IF(N157="","",N155-N159)</f>
        <v/>
      </c>
      <c r="O160" s="407">
        <f>IF(O157="","",O155-O159)</f>
        <v/>
      </c>
      <c r="P160" s="407">
        <f>IF(P157="","",P155-P159)</f>
        <v/>
      </c>
    </row>
    <row r="161" outlineLevel="1">
      <c r="B161" s="59">
        <f>"Total Distributions ("&amp;B157&amp;")"</f>
        <v/>
      </c>
      <c r="C161" s="59" t="n"/>
      <c r="D161" s="59" t="n"/>
      <c r="E161" s="59" t="n"/>
      <c r="F161" s="407">
        <f>IF(F157="","",F159+F160)</f>
        <v/>
      </c>
      <c r="G161" s="407">
        <f>IF(G157="","",G159+G160)</f>
        <v/>
      </c>
      <c r="H161" s="407">
        <f>IF(H157="","",H159+H160)</f>
        <v/>
      </c>
      <c r="I161" s="407">
        <f>IF(I157="","",I159+I160)</f>
        <v/>
      </c>
      <c r="J161" s="407">
        <f>IF(J157="","",J159+J160)</f>
        <v/>
      </c>
      <c r="K161" s="407">
        <f>IF(K157="","",K159+K160)</f>
        <v/>
      </c>
      <c r="L161" s="407">
        <f>IF(L157="","",L159+L160)</f>
        <v/>
      </c>
      <c r="M161" s="407">
        <f>IF(M157="","",M159+M160)</f>
        <v/>
      </c>
      <c r="N161" s="407">
        <f>IF(N157="","",N159+N160)</f>
        <v/>
      </c>
      <c r="O161" s="407">
        <f>IF(O157="","",O159+O160)</f>
        <v/>
      </c>
      <c r="P161" s="407">
        <f>IF(P157="","",P159+P160)</f>
        <v/>
      </c>
    </row>
    <row r="162" outlineLevel="1">
      <c r="B162" s="59" t="inlineStr">
        <is>
          <t>Cash Flow Remaining</t>
        </is>
      </c>
      <c r="C162" s="59" t="n"/>
      <c r="D162" s="59" t="n"/>
      <c r="E162" s="59" t="n"/>
      <c r="F162" s="407">
        <f>IF(F157="","",F155-F161)</f>
        <v/>
      </c>
      <c r="G162" s="407">
        <f>IF(G157="","",G155-G161)</f>
        <v/>
      </c>
      <c r="H162" s="407">
        <f>IF(H157="","",H155-H161)</f>
        <v/>
      </c>
      <c r="I162" s="407">
        <f>IF(I157="","",I155-I161)</f>
        <v/>
      </c>
      <c r="J162" s="407">
        <f>IF(J157="","",J155-J161)</f>
        <v/>
      </c>
      <c r="K162" s="407">
        <f>IF(K157="","",K155-K161)</f>
        <v/>
      </c>
      <c r="L162" s="407">
        <f>IF(L157="","",L155-L161)</f>
        <v/>
      </c>
      <c r="M162" s="407">
        <f>IF(M157="","",M155-M161)</f>
        <v/>
      </c>
      <c r="N162" s="407">
        <f>IF(N157="","",N155-N161)</f>
        <v/>
      </c>
      <c r="O162" s="407">
        <f>IF(O157="","",O155-O161)</f>
        <v/>
      </c>
      <c r="P162" s="407">
        <f>IF(P157="","",P155-P161)</f>
        <v/>
      </c>
    </row>
    <row r="163" outlineLevel="1">
      <c r="F163" s="150" t="n"/>
      <c r="G163" s="150" t="n"/>
      <c r="H163" s="150" t="n"/>
      <c r="I163" s="150" t="n"/>
      <c r="J163" s="150" t="n"/>
      <c r="K163" s="150" t="n"/>
      <c r="L163" s="150" t="n"/>
      <c r="M163" s="150" t="n"/>
      <c r="N163" s="150" t="n"/>
      <c r="O163" s="150" t="n"/>
      <c r="P163" s="150" t="n"/>
    </row>
    <row r="164" outlineLevel="1" ht="18.75" customHeight="1">
      <c r="B164" s="427" t="inlineStr">
        <is>
          <t>PARTNERSHIP LEVEL RETURNS - EMx EQUITY WATERFALL</t>
        </is>
      </c>
      <c r="C164" s="428" t="n"/>
      <c r="D164" s="428" t="n"/>
      <c r="E164" s="428" t="n"/>
      <c r="F164" s="429" t="n"/>
      <c r="G164" s="429" t="n"/>
      <c r="H164" s="429" t="n"/>
      <c r="I164" s="429" t="n"/>
      <c r="J164" s="429" t="n"/>
      <c r="K164" s="429" t="n"/>
      <c r="L164" s="429" t="n"/>
      <c r="M164" s="429" t="n"/>
      <c r="N164" s="429" t="n"/>
      <c r="O164" s="429" t="n"/>
      <c r="P164" s="429" t="n"/>
    </row>
    <row r="165" outlineLevel="1" ht="5.1" customHeight="1">
      <c r="B165" s="208" t="n"/>
      <c r="C165" s="208" t="n"/>
      <c r="D165" s="347" t="inlineStr">
        <is>
          <t>Equity Multiple</t>
        </is>
      </c>
      <c r="E165" s="208" t="n"/>
      <c r="F165" s="208" t="n"/>
      <c r="G165" s="208" t="n"/>
      <c r="H165" s="208" t="n"/>
      <c r="I165" s="208" t="n"/>
      <c r="J165" s="208" t="n"/>
      <c r="K165" s="208" t="n"/>
      <c r="L165" s="208" t="n"/>
      <c r="M165" s="208" t="n"/>
      <c r="N165" s="208" t="n"/>
      <c r="O165" s="208" t="n"/>
      <c r="P165" s="208" t="n"/>
    </row>
    <row r="166" outlineLevel="1">
      <c r="B166" s="430" t="n"/>
      <c r="C166" s="430" t="n"/>
      <c r="D166" s="431" t="n"/>
      <c r="E166" s="430" t="n"/>
      <c r="F166" s="738" t="inlineStr">
        <is>
          <t>Promote Structure Incentive Breakdown</t>
        </is>
      </c>
      <c r="H166" s="739" t="inlineStr">
        <is>
          <t>Distribution as %</t>
        </is>
      </c>
      <c r="J166" s="432" t="n"/>
      <c r="K166" s="432" t="n"/>
      <c r="L166" s="432" t="n"/>
      <c r="M166" s="432" t="n"/>
      <c r="N166" s="432" t="n"/>
      <c r="O166" s="432" t="n"/>
      <c r="P166" s="432" t="n"/>
    </row>
    <row r="167" outlineLevel="1" ht="15.75" customHeight="1">
      <c r="B167" s="433">
        <f>IF(D165="Equity Multiple","Partnership Distribution Assumptions (Equity Multiple Hurdles)","Partnership Distribution Assumptions (IRR Hurdles)")</f>
        <v/>
      </c>
      <c r="C167" s="430" t="n"/>
      <c r="D167" s="431" t="n"/>
      <c r="E167" s="430" t="n"/>
      <c r="H167" s="434" t="inlineStr">
        <is>
          <t>GP %</t>
        </is>
      </c>
      <c r="I167" s="435" t="inlineStr">
        <is>
          <t>LP %</t>
        </is>
      </c>
      <c r="J167" s="435" t="inlineStr">
        <is>
          <t>Notes</t>
        </is>
      </c>
      <c r="K167" s="432" t="n"/>
      <c r="L167" s="432" t="n"/>
      <c r="M167" s="432" t="n"/>
      <c r="N167" s="432" t="n"/>
      <c r="O167" s="432" t="n"/>
      <c r="P167" s="432" t="n"/>
    </row>
    <row r="168" outlineLevel="1">
      <c r="B168" s="59">
        <f>B15</f>
        <v/>
      </c>
      <c r="C168" s="377" t="inlineStr">
        <is>
          <t>Equity Multiple</t>
        </is>
      </c>
      <c r="D168" s="378" t="n"/>
      <c r="E168" s="835">
        <f>C169</f>
        <v/>
      </c>
      <c r="F168" s="805" t="n"/>
      <c r="G168" s="806" t="n"/>
      <c r="H168" s="823">
        <f>IF(H15="","",H15)</f>
        <v/>
      </c>
      <c r="I168" s="801">
        <f>1-H168</f>
        <v/>
      </c>
      <c r="J168" s="383">
        <f>IF(I168=Equity_Share_LP,"Pref prorata to LP/GP, then Pro rata return of capital",IF(CU?,"Return of capital and Pref NOT pro rata + GP Catch Up","Return of capital and Pref NOT pro rata"))</f>
        <v/>
      </c>
      <c r="K168" s="383" t="n"/>
      <c r="L168" s="383" t="n"/>
      <c r="M168" s="383" t="n"/>
      <c r="N168" s="383" t="n"/>
      <c r="O168" s="383" t="n"/>
      <c r="P168" s="383" t="n"/>
    </row>
    <row r="169" outlineLevel="1">
      <c r="B169" s="59">
        <f>B16</f>
        <v/>
      </c>
      <c r="C169" s="836">
        <f>C16</f>
        <v/>
      </c>
      <c r="D169" s="809" t="n"/>
      <c r="E169" s="835">
        <f>IF($B$277&lt;3,99,C170)</f>
        <v/>
      </c>
      <c r="F169" s="807" t="n"/>
      <c r="G169" s="801" t="n"/>
      <c r="H169" s="823">
        <f>IF(H16="","",H16)</f>
        <v/>
      </c>
      <c r="I169" s="801">
        <f>1-H169</f>
        <v/>
      </c>
      <c r="J169" s="383">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83" t="n"/>
      <c r="L169" s="383" t="n"/>
      <c r="M169" s="383" t="n"/>
      <c r="N169" s="383" t="n"/>
      <c r="O169" s="383" t="n"/>
      <c r="P169" s="383" t="n"/>
    </row>
    <row r="170" outlineLevel="1">
      <c r="B170" s="59">
        <f>B17</f>
        <v/>
      </c>
      <c r="C170" s="836">
        <f>C17</f>
        <v/>
      </c>
      <c r="D170" s="809" t="n"/>
      <c r="E170" s="835">
        <f>IF($B$277&lt;4,99,C171)</f>
        <v/>
      </c>
      <c r="F170" s="807" t="n"/>
      <c r="G170" s="801" t="n"/>
      <c r="H170" s="823">
        <f>IF(H17="","",H17)</f>
        <v/>
      </c>
      <c r="I170" s="801">
        <f>1-H170</f>
        <v/>
      </c>
      <c r="J170" s="383">
        <f>TEXT(I169,"0.0%")&amp;"/"&amp;TEXT(H169,"0.0%")&amp;" to "&amp;(IF(D165="IRR",TEXT(E169,"0.0%"),TEXT(E169,"0.0X")))&amp;", then "&amp;TEXT(I170,"0.0%")&amp;"/"&amp;TEXT(H170,"0.0%")&amp;" to "&amp;(IF(D165="IRR",TEXT(E170,"0.0%"),TEXT(E170,"0.0X")))</f>
        <v/>
      </c>
      <c r="K170" s="383" t="n"/>
      <c r="L170" s="383" t="n"/>
      <c r="M170" s="383" t="n"/>
      <c r="N170" s="383" t="n"/>
      <c r="O170" s="383" t="n"/>
      <c r="P170" s="383" t="n"/>
    </row>
    <row r="171" outlineLevel="1">
      <c r="B171" s="59">
        <f>B18</f>
        <v/>
      </c>
      <c r="C171" s="836">
        <f>C18</f>
        <v/>
      </c>
      <c r="D171" s="809" t="n"/>
      <c r="E171" s="835">
        <f>IF($B$277&lt;5,99,C172)</f>
        <v/>
      </c>
      <c r="F171" s="807" t="n"/>
      <c r="G171" s="801" t="n"/>
      <c r="H171" s="823">
        <f>IF(H18="","",H18)</f>
        <v/>
      </c>
      <c r="I171" s="801">
        <f>1-H171</f>
        <v/>
      </c>
      <c r="J171" s="438">
        <f>TEXT(I170,"0.0%")&amp;"/"&amp;TEXT(H170,"0.0%")&amp;" to "&amp;(IF(D166="IRR",TEXT(E170,"0.0%"),TEXT(E170,"0.0X")))&amp;", then "&amp;TEXT(I171,"0.0%")&amp;"/"&amp;TEXT(H171,"0.0%")&amp;" to "&amp;(IF(D166="IRR",TEXT(E171,"0.0%"),TEXT(E171,"0.0X")))</f>
        <v/>
      </c>
      <c r="K171" s="438" t="n"/>
      <c r="L171" s="438" t="n"/>
      <c r="M171" s="438" t="n"/>
      <c r="N171" s="438" t="n"/>
      <c r="O171" s="438" t="n"/>
      <c r="P171" s="438" t="n"/>
    </row>
    <row r="172" outlineLevel="1">
      <c r="B172" s="59">
        <f>B19</f>
        <v/>
      </c>
      <c r="C172" s="836">
        <f>C19</f>
        <v/>
      </c>
      <c r="D172" s="809" t="n"/>
      <c r="E172" s="810" t="n"/>
      <c r="F172" s="807" t="n"/>
      <c r="G172" s="801" t="n"/>
      <c r="H172" s="823">
        <f>IF(H19="","",H19)</f>
        <v/>
      </c>
      <c r="I172" s="801">
        <f>1-H172</f>
        <v/>
      </c>
      <c r="J172" s="383">
        <f>TEXT(I171,"0.0%")&amp;"/"&amp;TEXT(H171,"0.0%")&amp;" to "&amp;(IF(D167="IRR",TEXT(E171,"0.0%"),TEXT(E171,"0.0X")))&amp;", then "&amp;TEXT(I172,"0.0%")&amp;"/"&amp;TEXT(H172,"0.0%")&amp;" to "&amp;(IF(D167="IRR",TEXT(E172,"0.0%"),TEXT(E172,"0.0X")))</f>
        <v/>
      </c>
      <c r="K172" s="383" t="n"/>
      <c r="L172" s="383" t="n"/>
      <c r="M172" s="383" t="n"/>
      <c r="N172" s="383" t="n"/>
      <c r="O172" s="383" t="n"/>
      <c r="P172" s="383" t="n"/>
    </row>
    <row r="173" outlineLevel="1">
      <c r="B173" s="59" t="n"/>
      <c r="C173" s="59" t="n"/>
      <c r="D173" s="812" t="n"/>
      <c r="E173" s="810" t="n"/>
      <c r="F173" s="360" t="n"/>
      <c r="G173" s="389" t="n"/>
      <c r="H173" s="390" t="n"/>
      <c r="I173" s="390" t="n"/>
      <c r="J173" s="208" t="n"/>
      <c r="K173" s="208" t="n"/>
      <c r="L173" s="208" t="n"/>
      <c r="M173" s="208" t="n"/>
      <c r="N173" s="208" t="n"/>
      <c r="O173" s="208" t="n"/>
      <c r="P173" s="208" t="n"/>
    </row>
    <row r="174" outlineLevel="1" ht="15.75" customHeight="1">
      <c r="B174" s="433" t="inlineStr">
        <is>
          <t>Summary of Partnership-Level Returns</t>
        </is>
      </c>
      <c r="C174" s="430" t="n"/>
      <c r="D174" s="825" t="n"/>
      <c r="E174" s="826" t="n"/>
      <c r="F174" s="827" t="n">
        <v>0</v>
      </c>
      <c r="G174" s="827">
        <f>IF(G192="","",F174+1)</f>
        <v/>
      </c>
      <c r="H174" s="827">
        <f>IF(H192="","",G174+1)</f>
        <v/>
      </c>
      <c r="I174" s="827">
        <f>IF(I192="","",H174+1)</f>
        <v/>
      </c>
      <c r="J174" s="827">
        <f>IF(J192="","",I174+1)</f>
        <v/>
      </c>
      <c r="K174" s="827">
        <f>IF(K192="","",J174+1)</f>
        <v/>
      </c>
      <c r="L174" s="827">
        <f>IF(L192="","",K174+1)</f>
        <v/>
      </c>
      <c r="M174" s="827">
        <f>IF(M192="","",L174+1)</f>
        <v/>
      </c>
      <c r="N174" s="827">
        <f>IF(N192="","",M174+1)</f>
        <v/>
      </c>
      <c r="O174" s="827">
        <f>IF(O192="","",N174+1)</f>
        <v/>
      </c>
      <c r="P174" s="827">
        <f>IF(P192="","",O174+1)</f>
        <v/>
      </c>
    </row>
    <row r="175" outlineLevel="1">
      <c r="B175" s="394" t="inlineStr">
        <is>
          <t>Limited Partner (LP) Returns</t>
        </is>
      </c>
      <c r="C175" s="59" t="n"/>
      <c r="D175" s="812" t="n"/>
      <c r="E175" s="810" t="n"/>
      <c r="F175" s="395" t="n"/>
      <c r="G175" s="396" t="n"/>
      <c r="H175" s="397" t="n"/>
      <c r="I175" s="397" t="n"/>
      <c r="J175" s="398" t="n"/>
      <c r="K175" s="398" t="n"/>
      <c r="L175" s="398" t="n"/>
      <c r="M175" s="398" t="n"/>
      <c r="N175" s="398" t="n"/>
      <c r="O175" s="398" t="n"/>
      <c r="P175" s="398" t="n"/>
    </row>
    <row r="176" outlineLevel="1">
      <c r="B176" s="399" t="inlineStr">
        <is>
          <t>Total LP Distributions</t>
        </is>
      </c>
      <c r="C176" s="59" t="n"/>
      <c r="D176" s="401">
        <f>SUM(F176:P176)</f>
        <v/>
      </c>
      <c r="E176" s="810" t="n"/>
      <c r="F176" s="358">
        <f>IF(F174="","",F208+F230+F245+F260+F267)</f>
        <v/>
      </c>
      <c r="G176" s="358">
        <f>IF(G174="","",G208+G230+G245+G260+G267)</f>
        <v/>
      </c>
      <c r="H176" s="358">
        <f>IF(H174="","",H208+H230+H245+H260+H267)</f>
        <v/>
      </c>
      <c r="I176" s="358">
        <f>IF(I174="","",I208+I230+I245+I260+I267)</f>
        <v/>
      </c>
      <c r="J176" s="358">
        <f>IF(J174="","",J208+J230+J245+J260+J267)</f>
        <v/>
      </c>
      <c r="K176" s="358">
        <f>IF(K174="","",K208+K230+K245+K260+K267)</f>
        <v/>
      </c>
      <c r="L176" s="358">
        <f>IF(L174="","",L208+L230+L245+L260+L267)</f>
        <v/>
      </c>
      <c r="M176" s="358">
        <f>IF(M174="","",M208+M230+M245+M260+M267)</f>
        <v/>
      </c>
      <c r="N176" s="358">
        <f>IF(N174="","",N208+N230+N245+N260+N267)</f>
        <v/>
      </c>
      <c r="O176" s="358">
        <f>IF(O174="","",O208+O230+O245+O260+O267)</f>
        <v/>
      </c>
      <c r="P176" s="358">
        <f>IF(P174="","",P208+P230+P245+P260+P267)</f>
        <v/>
      </c>
    </row>
    <row r="177" outlineLevel="1">
      <c r="B177" s="399" t="inlineStr">
        <is>
          <t>Total LP Contributions</t>
        </is>
      </c>
      <c r="C177" s="59" t="n"/>
      <c r="D177" s="401">
        <f>SUM(F177:P177)</f>
        <v/>
      </c>
      <c r="E177" s="810" t="n"/>
      <c r="F177" s="358">
        <f>F204</f>
        <v/>
      </c>
      <c r="G177" s="358">
        <f>G204</f>
        <v/>
      </c>
      <c r="H177" s="358">
        <f>H204</f>
        <v/>
      </c>
      <c r="I177" s="358">
        <f>I204</f>
        <v/>
      </c>
      <c r="J177" s="358">
        <f>J204</f>
        <v/>
      </c>
      <c r="K177" s="358">
        <f>K204</f>
        <v/>
      </c>
      <c r="L177" s="358">
        <f>L204</f>
        <v/>
      </c>
      <c r="M177" s="358">
        <f>M204</f>
        <v/>
      </c>
      <c r="N177" s="358">
        <f>N204</f>
        <v/>
      </c>
      <c r="O177" s="358">
        <f>O204</f>
        <v/>
      </c>
      <c r="P177" s="358">
        <f>P204</f>
        <v/>
      </c>
    </row>
    <row r="178" outlineLevel="1">
      <c r="B178" s="399" t="inlineStr">
        <is>
          <t>Total LP Profit</t>
        </is>
      </c>
      <c r="C178" s="59" t="n"/>
      <c r="D178" s="401">
        <f>D176-D177</f>
        <v/>
      </c>
      <c r="E178" s="810" t="n"/>
      <c r="F178" s="406" t="n"/>
      <c r="G178" s="358" t="n"/>
      <c r="H178" s="407" t="n"/>
      <c r="I178" s="407" t="n"/>
      <c r="J178" s="407" t="n"/>
      <c r="K178" s="407" t="n"/>
      <c r="L178" s="407" t="n"/>
      <c r="M178" s="407" t="n"/>
      <c r="N178" s="407" t="n"/>
      <c r="O178" s="407" t="n"/>
      <c r="P178" s="407" t="n"/>
    </row>
    <row r="179" outlineLevel="1">
      <c r="B179" s="399" t="inlineStr">
        <is>
          <t>LP IRR</t>
        </is>
      </c>
      <c r="C179" s="59" t="n"/>
      <c r="D179" s="442">
        <f>IRR(F179:P179)</f>
        <v/>
      </c>
      <c r="E179" s="810" t="n"/>
      <c r="F179" s="358">
        <f>IF(F174="","",(-F177)+F176)</f>
        <v/>
      </c>
      <c r="G179" s="358">
        <f>IF(G174="","",(-G177)+G176)</f>
        <v/>
      </c>
      <c r="H179" s="358">
        <f>IF(H174="","",(-H177)+H176)</f>
        <v/>
      </c>
      <c r="I179" s="358">
        <f>IF(I174="","",(-I177)+I176)</f>
        <v/>
      </c>
      <c r="J179" s="358">
        <f>IF(J174="","",(-J177)+J176)</f>
        <v/>
      </c>
      <c r="K179" s="358">
        <f>IF(K174="","",(-K177)+K176)</f>
        <v/>
      </c>
      <c r="L179" s="358">
        <f>IF(L174="","",(-L177)+L176)</f>
        <v/>
      </c>
      <c r="M179" s="358">
        <f>IF(M174="","",(-M177)+M176)</f>
        <v/>
      </c>
      <c r="N179" s="358">
        <f>IF(N174="","",(-N177)+N176)</f>
        <v/>
      </c>
      <c r="O179" s="358">
        <f>IF(O174="","",(-O177)+O176)</f>
        <v/>
      </c>
      <c r="P179" s="358">
        <f>IF(P174="","",(-P177)+P176)</f>
        <v/>
      </c>
    </row>
    <row r="180" outlineLevel="1">
      <c r="B180" s="399" t="inlineStr">
        <is>
          <t>LP Equity Multiple</t>
        </is>
      </c>
      <c r="C180" s="59" t="n"/>
      <c r="D180" s="828">
        <f>D176/D177</f>
        <v/>
      </c>
      <c r="E180" s="810" t="n"/>
      <c r="F180" s="406" t="n"/>
      <c r="G180" s="358" t="n"/>
      <c r="H180" s="407" t="n"/>
      <c r="I180" s="407" t="n"/>
      <c r="J180" s="407" t="n"/>
      <c r="K180" s="407" t="n"/>
      <c r="L180" s="407" t="n"/>
      <c r="M180" s="407" t="n"/>
      <c r="N180" s="407" t="n"/>
      <c r="O180" s="407" t="n"/>
      <c r="P180" s="407" t="n"/>
    </row>
    <row r="181" outlineLevel="1">
      <c r="B181" s="399" t="n"/>
      <c r="C181" s="59" t="n"/>
      <c r="D181" s="812" t="n"/>
      <c r="E181" s="810" t="n"/>
      <c r="F181" s="406" t="n"/>
      <c r="G181" s="358" t="n"/>
      <c r="H181" s="407" t="n"/>
      <c r="I181" s="407" t="n"/>
      <c r="J181" s="407" t="n"/>
      <c r="K181" s="407" t="n"/>
      <c r="L181" s="407" t="n"/>
      <c r="M181" s="407" t="n"/>
      <c r="N181" s="407" t="n"/>
      <c r="O181" s="407" t="n"/>
      <c r="P181" s="407" t="n"/>
    </row>
    <row r="182" outlineLevel="1">
      <c r="B182" s="394" t="inlineStr">
        <is>
          <t>GP Returns</t>
        </is>
      </c>
      <c r="C182" s="59" t="n"/>
      <c r="D182" s="812" t="n"/>
      <c r="E182" s="810" t="n"/>
      <c r="F182" s="406" t="n"/>
      <c r="G182" s="358" t="n"/>
      <c r="H182" s="407" t="n"/>
      <c r="I182" s="407" t="n"/>
      <c r="J182" s="407" t="n"/>
      <c r="K182" s="407" t="n"/>
      <c r="L182" s="407" t="n"/>
      <c r="M182" s="407" t="n"/>
      <c r="N182" s="407" t="n"/>
      <c r="O182" s="407" t="n"/>
      <c r="P182" s="407" t="n"/>
    </row>
    <row r="183" outlineLevel="1">
      <c r="B183" s="399" t="inlineStr">
        <is>
          <t>Total GP Distributions</t>
        </is>
      </c>
      <c r="C183" s="59" t="n"/>
      <c r="D183" s="358">
        <f>SUM(F183:P183)</f>
        <v/>
      </c>
      <c r="E183" s="810" t="n"/>
      <c r="F183" s="358">
        <f>IF(F174="","",F213+F231+F246+F261+F268)</f>
        <v/>
      </c>
      <c r="G183" s="358">
        <f>IF(G174="","",G213+G231+G246+G261+G268)</f>
        <v/>
      </c>
      <c r="H183" s="358">
        <f>IF(H174="","",H213+H231+H246+H261+H268)</f>
        <v/>
      </c>
      <c r="I183" s="358">
        <f>IF(I174="","",I213+I231+I246+I261+I268)</f>
        <v/>
      </c>
      <c r="J183" s="358">
        <f>IF(J174="","",J213+J231+J246+J261+J268)</f>
        <v/>
      </c>
      <c r="K183" s="358">
        <f>IF(K174="","",K213+K231+K246+K261+K268)</f>
        <v/>
      </c>
      <c r="L183" s="358">
        <f>IF(L174="","",L213+L231+L246+L261+L268)</f>
        <v/>
      </c>
      <c r="M183" s="358">
        <f>IF(M174="","",M213+M231+M246+M261+M268)</f>
        <v/>
      </c>
      <c r="N183" s="358">
        <f>IF(N174="","",N213+N231+N246+N261+N268)</f>
        <v/>
      </c>
      <c r="O183" s="358">
        <f>IF(O174="","",O213+O231+O246+O261+O268)</f>
        <v/>
      </c>
      <c r="P183" s="358">
        <f>IF(P174="","",P213+P231+P246+P261+P268)</f>
        <v/>
      </c>
    </row>
    <row r="184" outlineLevel="1">
      <c r="B184" s="399" t="inlineStr">
        <is>
          <t>Total GP Fees</t>
        </is>
      </c>
      <c r="C184" s="59" t="n"/>
      <c r="D184" s="358">
        <f>SUM(F184:P184)</f>
        <v/>
      </c>
      <c r="E184" s="810" t="n"/>
      <c r="F184" s="358">
        <f>IF(F174="","",SUM(F193:F194))</f>
        <v/>
      </c>
      <c r="G184" s="358">
        <f>IF(G174="","",SUM(G193:G194))</f>
        <v/>
      </c>
      <c r="H184" s="358">
        <f>IF(H174="","",SUM(H193:H194))</f>
        <v/>
      </c>
      <c r="I184" s="358">
        <f>IF(I174="","",SUM(I193:I194))</f>
        <v/>
      </c>
      <c r="J184" s="358">
        <f>IF(J174="","",SUM(J193:J194))</f>
        <v/>
      </c>
      <c r="K184" s="358">
        <f>IF(K174="","",SUM(K193:K194))</f>
        <v/>
      </c>
      <c r="L184" s="358">
        <f>IF(L174="","",SUM(L193:L194))</f>
        <v/>
      </c>
      <c r="M184" s="358">
        <f>IF(M174="","",SUM(M193:M194))</f>
        <v/>
      </c>
      <c r="N184" s="358">
        <f>IF(N174="","",SUM(N193:N194))</f>
        <v/>
      </c>
      <c r="O184" s="358">
        <f>IF(O174="","",SUM(O193:O194))</f>
        <v/>
      </c>
      <c r="P184" s="358">
        <f>IF(P174="","",SUM(P193:P194))</f>
        <v/>
      </c>
    </row>
    <row r="185" outlineLevel="1">
      <c r="B185" s="399" t="inlineStr">
        <is>
          <t>Total GP Contributions</t>
        </is>
      </c>
      <c r="C185" s="59" t="n"/>
      <c r="D185" s="358">
        <f>SUM(F185:P185)</f>
        <v/>
      </c>
      <c r="E185" s="810" t="n"/>
      <c r="F185" s="358">
        <f>IF(F174="","",-(MIN(F195,0)+F204))</f>
        <v/>
      </c>
      <c r="G185" s="358">
        <f>IF(G174="","",-(MIN(G195,0)+G204))</f>
        <v/>
      </c>
      <c r="H185" s="358">
        <f>IF(H174="","",-(MIN(H195,0)+H204))</f>
        <v/>
      </c>
      <c r="I185" s="358">
        <f>IF(I174="","",-(MIN(I195,0)+I204))</f>
        <v/>
      </c>
      <c r="J185" s="358">
        <f>IF(J174="","",-(MIN(J195,0)+J204))</f>
        <v/>
      </c>
      <c r="K185" s="358">
        <f>IF(K174="","",-(MIN(K195,0)+K204))</f>
        <v/>
      </c>
      <c r="L185" s="358">
        <f>IF(L174="","",-(MIN(L195,0)+L204))</f>
        <v/>
      </c>
      <c r="M185" s="358">
        <f>IF(M174="","",-(MIN(M195,0)+M204))</f>
        <v/>
      </c>
      <c r="N185" s="358">
        <f>IF(N174="","",-(MIN(N195,0)+N204))</f>
        <v/>
      </c>
      <c r="O185" s="358">
        <f>IF(O174="","",-(MIN(O195,0)+O204))</f>
        <v/>
      </c>
      <c r="P185" s="358">
        <f>IF(P174="","",-(MIN(P195,0)+P204))</f>
        <v/>
      </c>
    </row>
    <row r="186" outlineLevel="1">
      <c r="B186" s="399" t="inlineStr">
        <is>
          <t>Total GP Profit</t>
        </is>
      </c>
      <c r="C186" s="59" t="n"/>
      <c r="D186" s="358">
        <f>+D183+D184-D185</f>
        <v/>
      </c>
      <c r="E186" s="810" t="n"/>
      <c r="F186" s="406" t="n"/>
      <c r="G186" s="358" t="n"/>
      <c r="H186" s="407" t="n"/>
      <c r="I186" s="407" t="n"/>
      <c r="J186" s="407" t="n"/>
      <c r="K186" s="407" t="n"/>
      <c r="L186" s="407" t="n"/>
      <c r="M186" s="407" t="n"/>
      <c r="N186" s="407" t="n"/>
      <c r="O186" s="407" t="n"/>
      <c r="P186" s="407" t="n"/>
    </row>
    <row r="187" outlineLevel="1">
      <c r="B187" s="399" t="inlineStr">
        <is>
          <t>GP IRR</t>
        </is>
      </c>
      <c r="C187" s="59" t="n"/>
      <c r="D187" s="413">
        <f>IFERROR(IRR(F187:P187),"NA")</f>
        <v/>
      </c>
      <c r="E187" s="810" t="n"/>
      <c r="F187" s="358">
        <f>IF(F174="","",(-F185)+F183+F184)</f>
        <v/>
      </c>
      <c r="G187" s="358">
        <f>IF(G174="","",(-G185)+G183+G184)</f>
        <v/>
      </c>
      <c r="H187" s="358">
        <f>IF(H174="","",(-H185)+H183+H184)</f>
        <v/>
      </c>
      <c r="I187" s="358">
        <f>IF(I174="","",(-I185)+I183+I184)</f>
        <v/>
      </c>
      <c r="J187" s="358">
        <f>IF(J174="","",(-J185)+J183+J184)</f>
        <v/>
      </c>
      <c r="K187" s="358">
        <f>IF(K174="","",(-K185)+K183+K184)</f>
        <v/>
      </c>
      <c r="L187" s="358">
        <f>IF(L174="","",(-L185)+L183+L184)</f>
        <v/>
      </c>
      <c r="M187" s="358">
        <f>IF(M174="","",(-M185)+M183+M184)</f>
        <v/>
      </c>
      <c r="N187" s="358">
        <f>IF(N174="","",(-N185)+N183+N184)</f>
        <v/>
      </c>
      <c r="O187" s="358">
        <f>IF(O174="","",(-O185)+O183+O184)</f>
        <v/>
      </c>
      <c r="P187" s="358">
        <f>IF(P174="","",(-P185)+P183+P184)</f>
        <v/>
      </c>
    </row>
    <row r="188" outlineLevel="1">
      <c r="B188" s="399" t="inlineStr">
        <is>
          <t>GP Equity Multiple</t>
        </is>
      </c>
      <c r="C188" s="59" t="n"/>
      <c r="D188" s="818">
        <f>IFERROR(D183/D185,"NA")</f>
        <v/>
      </c>
      <c r="E188" s="810" t="n"/>
      <c r="F188" s="395" t="n"/>
      <c r="G188" s="396" t="n"/>
      <c r="H188" s="397" t="n"/>
      <c r="I188" s="397" t="n"/>
      <c r="J188" s="398" t="n"/>
      <c r="K188" s="398" t="n"/>
      <c r="L188" s="398" t="n"/>
      <c r="M188" s="398" t="n"/>
      <c r="N188" s="398" t="n"/>
      <c r="O188" s="398" t="n"/>
      <c r="P188" s="398" t="n"/>
    </row>
    <row r="189" outlineLevel="1">
      <c r="B189" s="415" t="n"/>
      <c r="C189" s="416" t="n"/>
      <c r="D189" s="819" t="n"/>
      <c r="E189" s="59" t="n"/>
      <c r="F189" s="398" t="n"/>
      <c r="G189" s="398" t="n"/>
      <c r="H189" s="398" t="n"/>
      <c r="I189" s="398" t="n"/>
      <c r="J189" s="398" t="n"/>
      <c r="K189" s="398" t="n"/>
      <c r="L189" s="398" t="n"/>
      <c r="M189" s="398" t="n"/>
      <c r="N189" s="398" t="n"/>
      <c r="O189" s="398" t="n"/>
      <c r="P189" s="398" t="n"/>
    </row>
    <row r="190" outlineLevel="1" ht="15.75" customHeight="1">
      <c r="B190" s="433" t="inlineStr">
        <is>
          <t>Property-Level Cash and GP Fees</t>
        </is>
      </c>
      <c r="C190" s="430" t="n"/>
      <c r="D190" s="430" t="n"/>
      <c r="E190" s="432" t="n"/>
      <c r="F190" s="431" t="inlineStr">
        <is>
          <t>Year 0</t>
        </is>
      </c>
      <c r="G190" s="827">
        <f>G$21</f>
        <v/>
      </c>
      <c r="H190" s="827">
        <f>H$21</f>
        <v/>
      </c>
      <c r="I190" s="827">
        <f>I$21</f>
        <v/>
      </c>
      <c r="J190" s="827">
        <f>J$21</f>
        <v/>
      </c>
      <c r="K190" s="827">
        <f>K$21</f>
        <v/>
      </c>
      <c r="L190" s="827">
        <f>L$21</f>
        <v/>
      </c>
      <c r="M190" s="827">
        <f>M$21</f>
        <v/>
      </c>
      <c r="N190" s="827">
        <f>N$21</f>
        <v/>
      </c>
      <c r="O190" s="827">
        <f>O$21</f>
        <v/>
      </c>
      <c r="P190" s="827">
        <f>P$21</f>
        <v/>
      </c>
    </row>
    <row r="191" outlineLevel="1">
      <c r="B191" s="461" t="n"/>
      <c r="C191" s="461" t="n"/>
      <c r="D191" s="461" t="n"/>
      <c r="E191" s="462" t="inlineStr">
        <is>
          <t>Year Ending</t>
        </is>
      </c>
      <c r="F191" s="829">
        <f>IF(F46="","",F46)</f>
        <v/>
      </c>
      <c r="G191" s="830">
        <f>IF(G46="","",G46)</f>
        <v/>
      </c>
      <c r="H191" s="830">
        <f>IF(H46="","",H46)</f>
        <v/>
      </c>
      <c r="I191" s="830">
        <f>IF(I46="","",I46)</f>
        <v/>
      </c>
      <c r="J191" s="830">
        <f>IF(J46="","",J46)</f>
        <v/>
      </c>
      <c r="K191" s="830">
        <f>IF(K46="","",K46)</f>
        <v/>
      </c>
      <c r="L191" s="830">
        <f>IF(L46="","",L46)</f>
        <v/>
      </c>
      <c r="M191" s="830">
        <f>IF(M46="","",M46)</f>
        <v/>
      </c>
      <c r="N191" s="830">
        <f>IF(N46="","",N46)</f>
        <v/>
      </c>
      <c r="O191" s="830">
        <f>IF(O46="","",O46)</f>
        <v/>
      </c>
      <c r="P191" s="830">
        <f>IF(P46="","",P46)</f>
        <v/>
      </c>
    </row>
    <row r="192" outlineLevel="1">
      <c r="B192" s="461" t="inlineStr">
        <is>
          <t>Net Property-Level Cash Flow</t>
        </is>
      </c>
      <c r="C192" s="461" t="n"/>
      <c r="D192" s="461" t="n"/>
      <c r="E192" s="463" t="n"/>
      <c r="F192" s="446">
        <f>IF(F47="","",F47)</f>
        <v/>
      </c>
      <c r="G192" s="446">
        <f>IF(G47="","",G47)</f>
        <v/>
      </c>
      <c r="H192" s="446">
        <f>IF(H47="","",H47)</f>
        <v/>
      </c>
      <c r="I192" s="446">
        <f>IF(I47="","",I47)</f>
        <v/>
      </c>
      <c r="J192" s="446">
        <f>IF(J47="","",J47)</f>
        <v/>
      </c>
      <c r="K192" s="446">
        <f>IF(K47="","",K47)</f>
        <v/>
      </c>
      <c r="L192" s="446">
        <f>IF(L47="","",L47)</f>
        <v/>
      </c>
      <c r="M192" s="446">
        <f>IF(M47="","",M47)</f>
        <v/>
      </c>
      <c r="N192" s="446">
        <f>IF(N47="","",N47)</f>
        <v/>
      </c>
      <c r="O192" s="446">
        <f>IF(O47="","",O47)</f>
        <v/>
      </c>
      <c r="P192" s="446">
        <f>IF(P47="","",P47)</f>
        <v/>
      </c>
    </row>
    <row r="193" outlineLevel="1">
      <c r="B193" s="447">
        <f>IF(B48="","",B48)</f>
        <v/>
      </c>
      <c r="C193" s="461" t="n"/>
      <c r="D193" s="461" t="n"/>
      <c r="E193" s="463" t="n"/>
      <c r="F193" s="446">
        <f>IF(F48="","",F48)</f>
        <v/>
      </c>
      <c r="G193" s="446">
        <f>IF(G48="","",G48)</f>
        <v/>
      </c>
      <c r="H193" s="446">
        <f>IF(H48="","",H48)</f>
        <v/>
      </c>
      <c r="I193" s="446">
        <f>IF(I48="","",I48)</f>
        <v/>
      </c>
      <c r="J193" s="446">
        <f>IF(J48="","",J48)</f>
        <v/>
      </c>
      <c r="K193" s="446">
        <f>IF(K48="","",K48)</f>
        <v/>
      </c>
      <c r="L193" s="446">
        <f>IF(L48="","",L48)</f>
        <v/>
      </c>
      <c r="M193" s="446">
        <f>IF(M48="","",M48)</f>
        <v/>
      </c>
      <c r="N193" s="446">
        <f>IF(N48="","",N48)</f>
        <v/>
      </c>
      <c r="O193" s="446">
        <f>IF(O48="","",O48)</f>
        <v/>
      </c>
      <c r="P193" s="446">
        <f>IF(P48="","",P48)</f>
        <v/>
      </c>
    </row>
    <row r="194" outlineLevel="1">
      <c r="B194" s="447">
        <f>IF(B49="","",B49)</f>
        <v/>
      </c>
      <c r="C194" s="461" t="n"/>
      <c r="D194" s="461" t="n"/>
      <c r="E194" s="463" t="n"/>
      <c r="F194" s="446">
        <f>IF(F49="","",F49)</f>
        <v/>
      </c>
      <c r="G194" s="446">
        <f>IF(G49="","",G49)</f>
        <v/>
      </c>
      <c r="H194" s="446">
        <f>IF(H49="","",H49)</f>
        <v/>
      </c>
      <c r="I194" s="446">
        <f>IF(I49="","",I49)</f>
        <v/>
      </c>
      <c r="J194" s="446">
        <f>IF(J49="","",J49)</f>
        <v/>
      </c>
      <c r="K194" s="446">
        <f>IF(K49="","",K49)</f>
        <v/>
      </c>
      <c r="L194" s="446">
        <f>IF(L49="","",L49)</f>
        <v/>
      </c>
      <c r="M194" s="446">
        <f>IF(M49="","",M49)</f>
        <v/>
      </c>
      <c r="N194" s="446">
        <f>IF(N49="","",N49)</f>
        <v/>
      </c>
      <c r="O194" s="446">
        <f>IF(O49="","",O49)</f>
        <v/>
      </c>
      <c r="P194" s="446">
        <f>IF(P49="","",P49)</f>
        <v/>
      </c>
    </row>
    <row r="195" outlineLevel="1">
      <c r="B195" s="130" t="inlineStr">
        <is>
          <t>Adjusted Net Property-Level Cash Flow</t>
        </is>
      </c>
      <c r="C195" s="59" t="n"/>
      <c r="D195" s="59" t="n"/>
      <c r="E195" s="421" t="n"/>
      <c r="F195" s="424">
        <f>IF(F190="","",F192-F193-F194)</f>
        <v/>
      </c>
      <c r="G195" s="424">
        <f>IF(G190="","",G192-G193-G194)</f>
        <v/>
      </c>
      <c r="H195" s="424">
        <f>IF(H190="","",H192-H193-H194)</f>
        <v/>
      </c>
      <c r="I195" s="424">
        <f>IF(I190="","",I192-I193-I194)</f>
        <v/>
      </c>
      <c r="J195" s="424">
        <f>IF(J190="","",J192-J193-J194)</f>
        <v/>
      </c>
      <c r="K195" s="424">
        <f>IF(K190="","",K192-K193-K194)</f>
        <v/>
      </c>
      <c r="L195" s="424">
        <f>IF(L190="","",L192-L193-L194)</f>
        <v/>
      </c>
      <c r="M195" s="424">
        <f>IF(M190="","",M192-M193-M194)</f>
        <v/>
      </c>
      <c r="N195" s="424">
        <f>IF(N190="","",N192-N193-N194)</f>
        <v/>
      </c>
      <c r="O195" s="424">
        <f>IF(O190="","",O192-O193-O194)</f>
        <v/>
      </c>
      <c r="P195" s="424">
        <f>IF(P190="","",P192-P193-P194)</f>
        <v/>
      </c>
    </row>
    <row r="196" outlineLevel="1">
      <c r="B196" s="59" t="inlineStr">
        <is>
          <t>Levered IRR</t>
        </is>
      </c>
      <c r="C196" s="59" t="n"/>
      <c r="D196" s="59" t="n"/>
      <c r="E196" s="59" t="n"/>
      <c r="F196" s="397">
        <f>IRR(F195:M195)</f>
        <v/>
      </c>
      <c r="G196" s="398" t="n"/>
      <c r="H196" s="398" t="n"/>
      <c r="I196" s="398" t="n"/>
      <c r="J196" s="398" t="n"/>
      <c r="K196" s="398" t="n"/>
      <c r="L196" s="398" t="n"/>
      <c r="M196" s="398" t="n"/>
      <c r="N196" s="398" t="n"/>
      <c r="O196" s="398" t="n"/>
      <c r="P196" s="398" t="n"/>
    </row>
    <row r="197" outlineLevel="1">
      <c r="B197" s="59" t="inlineStr">
        <is>
          <t>Equity Multiple</t>
        </is>
      </c>
      <c r="C197" s="59" t="n"/>
      <c r="D197" s="59" t="n"/>
      <c r="E197" s="59" t="n"/>
      <c r="F197" s="822">
        <f>SUMIF(F195:M195,"&gt;0")/-SUMIF(F195:M195,"&lt;0")</f>
        <v/>
      </c>
      <c r="G197" s="398" t="n"/>
      <c r="H197" s="398" t="n"/>
      <c r="I197" s="398" t="n"/>
      <c r="J197" s="398" t="n"/>
      <c r="K197" s="398" t="n"/>
      <c r="L197" s="398" t="n"/>
      <c r="M197" s="398" t="n"/>
      <c r="N197" s="398" t="n"/>
      <c r="O197" s="398" t="n"/>
      <c r="P197" s="398" t="n"/>
    </row>
    <row r="198" outlineLevel="1">
      <c r="B198" s="59" t="n"/>
      <c r="C198" s="59" t="n"/>
      <c r="D198" s="59" t="n"/>
      <c r="E198" s="398" t="n"/>
      <c r="F198" s="426" t="n"/>
      <c r="G198" s="398" t="n"/>
      <c r="H198" s="398" t="n"/>
      <c r="I198" s="398" t="n"/>
      <c r="J198" s="398" t="n"/>
      <c r="K198" s="398" t="n"/>
      <c r="L198" s="398" t="n"/>
      <c r="M198" s="398" t="n"/>
      <c r="N198" s="398" t="n"/>
      <c r="O198" s="398" t="n"/>
      <c r="P198" s="398" t="n"/>
    </row>
    <row r="199" outlineLevel="1" ht="15.75" customHeight="1">
      <c r="B199" s="433" t="inlineStr">
        <is>
          <t>Tier 1 - Preferred Return + Return of Capital</t>
        </is>
      </c>
      <c r="C199" s="430" t="n"/>
      <c r="D199" s="430" t="n"/>
      <c r="E199" s="430" t="n"/>
      <c r="F199" s="431" t="n"/>
      <c r="G199" s="431" t="n"/>
      <c r="H199" s="431" t="n"/>
      <c r="I199" s="431" t="n"/>
      <c r="J199" s="431" t="n"/>
      <c r="K199" s="431" t="n"/>
      <c r="L199" s="431" t="n"/>
      <c r="M199" s="431" t="n"/>
      <c r="N199" s="431" t="n"/>
      <c r="O199" s="431" t="n"/>
      <c r="P199" s="431" t="n"/>
    </row>
    <row r="200" outlineLevel="1">
      <c r="B200" s="449" t="inlineStr">
        <is>
          <t>Return Threshold - Up to:</t>
        </is>
      </c>
      <c r="C200" s="837">
        <f>E168</f>
        <v/>
      </c>
      <c r="D200" s="430" t="n"/>
      <c r="E200" s="430" t="n"/>
      <c r="F200" s="431" t="inlineStr">
        <is>
          <t>Year 0</t>
        </is>
      </c>
      <c r="G200" s="827">
        <f>G$21</f>
        <v/>
      </c>
      <c r="H200" s="827">
        <f>H$21</f>
        <v/>
      </c>
      <c r="I200" s="827">
        <f>I$21</f>
        <v/>
      </c>
      <c r="J200" s="827">
        <f>J$21</f>
        <v/>
      </c>
      <c r="K200" s="827">
        <f>K$21</f>
        <v/>
      </c>
      <c r="L200" s="827">
        <f>L$21</f>
        <v/>
      </c>
      <c r="M200" s="827">
        <f>M$21</f>
        <v/>
      </c>
      <c r="N200" s="827">
        <f>N$21</f>
        <v/>
      </c>
      <c r="O200" s="827">
        <f>O$21</f>
        <v/>
      </c>
      <c r="P200" s="827">
        <f>P$21</f>
        <v/>
      </c>
    </row>
    <row r="201" outlineLevel="1">
      <c r="B201" s="59" t="inlineStr">
        <is>
          <t>Beginning Balance (LP Capital Account)</t>
        </is>
      </c>
      <c r="C201" s="59" t="n"/>
      <c r="D201" s="59" t="n"/>
      <c r="E201" s="59" t="n"/>
      <c r="F201" s="407">
        <f>IF(F200="","",E206)</f>
        <v/>
      </c>
      <c r="G201" s="407">
        <f>IF(G200="","",F206)</f>
        <v/>
      </c>
      <c r="H201" s="407">
        <f>IF(H200="","",G206)</f>
        <v/>
      </c>
      <c r="I201" s="407">
        <f>IF(I200="","",H206)</f>
        <v/>
      </c>
      <c r="J201" s="407">
        <f>IF(J200="","",I206)</f>
        <v/>
      </c>
      <c r="K201" s="407">
        <f>IF(K200="","",J206)</f>
        <v/>
      </c>
      <c r="L201" s="407">
        <f>IF(L200="","",K206)</f>
        <v/>
      </c>
      <c r="M201" s="407">
        <f>IF(M200="","",L206)</f>
        <v/>
      </c>
      <c r="N201" s="407">
        <f>IF(N200="","",M206)</f>
        <v/>
      </c>
      <c r="O201" s="407">
        <f>IF(O200="","",N206)</f>
        <v/>
      </c>
      <c r="P201" s="407">
        <f>IF(P200="","",O206)</f>
        <v/>
      </c>
    </row>
    <row r="202" outlineLevel="1">
      <c r="B202" s="59" t="inlineStr">
        <is>
          <t>LP Return of Capital</t>
        </is>
      </c>
      <c r="C202" s="59" t="n"/>
      <c r="D202" s="59" t="n"/>
      <c r="E202" s="59" t="n"/>
      <c r="F202" s="451">
        <f>IF(ROUND(SUM(G202:M202),0)=ROUND(SUM(F204:M204),0),"All Capital Returned","Capital Not Returned")</f>
        <v/>
      </c>
      <c r="G202" s="407">
        <f>IF(G200="","",G208-G203)</f>
        <v/>
      </c>
      <c r="H202" s="407">
        <f>IF(H200="","",H208-H203)</f>
        <v/>
      </c>
      <c r="I202" s="407">
        <f>IF(I200="","",I208-I203)</f>
        <v/>
      </c>
      <c r="J202" s="407">
        <f>IF(J200="","",J208-J203)</f>
        <v/>
      </c>
      <c r="K202" s="407">
        <f>IF(K200="","",K208-K203)</f>
        <v/>
      </c>
      <c r="L202" s="407">
        <f>IF(L200="","",L208-L203)</f>
        <v/>
      </c>
      <c r="M202" s="407">
        <f>IF(M200="","",M208-M203)</f>
        <v/>
      </c>
      <c r="N202" s="407">
        <f>IF(N200="","",N208-N203)</f>
        <v/>
      </c>
      <c r="O202" s="407">
        <f>IF(O200="","",O208-O203)</f>
        <v/>
      </c>
      <c r="P202" s="407">
        <f>IF(P200="","",P208-P203)</f>
        <v/>
      </c>
    </row>
    <row r="203" outlineLevel="1">
      <c r="B203" s="59" t="inlineStr">
        <is>
          <t>Req'd Return by LP to hit Hurdle 1</t>
        </is>
      </c>
      <c r="C203" s="59" t="n"/>
      <c r="D203" s="59" t="n"/>
      <c r="E203" s="59" t="n"/>
      <c r="F203" s="407">
        <f>IF(F200="","",IF($D$165="Equity Multiple",E204*$C200-E204,F201*Preferred_Return))</f>
        <v/>
      </c>
      <c r="G203" s="407">
        <f>IF(G200="","",IF($D$165="Equity Multiple",F204*$C200-F204,G201*Preferred_Return))</f>
        <v/>
      </c>
      <c r="H203" s="407">
        <f>IF(H200="","",IF($D$165="Equity Multiple",G204*$C200-G204,H201*Preferred_Return))</f>
        <v/>
      </c>
      <c r="I203" s="407">
        <f>IF(I200="","",IF($D$165="Equity Multiple",H204*$C200-H204,I201*Preferred_Return))</f>
        <v/>
      </c>
      <c r="J203" s="407">
        <f>IF(J200="","",IF($D$165="Equity Multiple",I204*$C200-I204,J201*Preferred_Return))</f>
        <v/>
      </c>
      <c r="K203" s="407">
        <f>IF(K200="","",IF($D$165="Equity Multiple",J204*$C200-J204,K201*Preferred_Return))</f>
        <v/>
      </c>
      <c r="L203" s="407">
        <f>IF(L200="","",IF($D$165="Equity Multiple",K204*$C200-K204,L201*Preferred_Return))</f>
        <v/>
      </c>
      <c r="M203" s="407">
        <f>IF(M200="","",IF($D$165="Equity Multiple",L204*$C200-L204,M201*Preferred_Return))</f>
        <v/>
      </c>
      <c r="N203" s="407">
        <f>IF(N200="","",IF($D$165="Equity Multiple",M204*$C200-M204,N201*Preferred_Return))</f>
        <v/>
      </c>
      <c r="O203" s="407">
        <f>IF(O200="","",IF($D$165="Equity Multiple",N204*$C200-N204,O201*Preferred_Return))</f>
        <v/>
      </c>
      <c r="P203" s="407">
        <f>IF(P200="","",IF($D$165="Equity Multiple",O204*$C200-O204,P201*Preferred_Return))</f>
        <v/>
      </c>
    </row>
    <row r="204" outlineLevel="1">
      <c r="B204" s="59" t="inlineStr">
        <is>
          <t>Contributions from LP</t>
        </is>
      </c>
      <c r="C204" s="59" t="n"/>
      <c r="D204" s="59" t="n"/>
      <c r="E204" s="59" t="n"/>
      <c r="F204" s="407">
        <f>IF(F200="","",-MIN(0,F195*Equity_Share_LP))</f>
        <v/>
      </c>
      <c r="G204" s="407">
        <f>IF(G200="","",-MIN(0,G195*Equity_Share_LP))</f>
        <v/>
      </c>
      <c r="H204" s="407">
        <f>IF(H200="","",-MIN(0,H195*Equity_Share_LP))</f>
        <v/>
      </c>
      <c r="I204" s="407">
        <f>IF(I200="","",-MIN(0,I195*Equity_Share_LP))</f>
        <v/>
      </c>
      <c r="J204" s="407">
        <f>IF(J200="","",-MIN(0,J195*Equity_Share_LP))</f>
        <v/>
      </c>
      <c r="K204" s="407">
        <f>IF(K200="","",-MIN(0,K195*Equity_Share_LP))</f>
        <v/>
      </c>
      <c r="L204" s="407">
        <f>IF(L200="","",-MIN(0,L195*Equity_Share_LP))</f>
        <v/>
      </c>
      <c r="M204" s="407">
        <f>IF(M200="","",-MIN(0,M195*Equity_Share_LP))</f>
        <v/>
      </c>
      <c r="N204" s="407">
        <f>IF(N200="","",-MIN(0,N195*Equity_Share_LP))</f>
        <v/>
      </c>
      <c r="O204" s="407">
        <f>IF(O200="","",-MIN(0,O195*Equity_Share_LP))</f>
        <v/>
      </c>
      <c r="P204" s="407">
        <f>IF(P200="","",-MIN(0,P195*Equity_Share_LP))</f>
        <v/>
      </c>
    </row>
    <row r="205" outlineLevel="1">
      <c r="B205" s="59" t="inlineStr">
        <is>
          <t>Distributions to LP (Hurdle 1)</t>
        </is>
      </c>
      <c r="C205" s="59" t="n"/>
      <c r="D205" s="59" t="n"/>
      <c r="E205" s="59" t="n"/>
      <c r="F205" s="358">
        <f>IF(F200="","",MIN(F201+F203,MAX(F195,0)*$I$15))</f>
        <v/>
      </c>
      <c r="G205" s="358">
        <f>IF(G200="","",MIN(G201+G203,MAX(G195,0)*$I$15))</f>
        <v/>
      </c>
      <c r="H205" s="358">
        <f>IF(H200="","",MIN(H201+H203,MAX(H195,0)*$I$15))</f>
        <v/>
      </c>
      <c r="I205" s="358">
        <f>IF(I200="","",MIN(I201+I203,MAX(I195,0)*$I$15))</f>
        <v/>
      </c>
      <c r="J205" s="358">
        <f>IF(J200="","",MIN(J201+J203,MAX(J195,0)*$I$15))</f>
        <v/>
      </c>
      <c r="K205" s="358">
        <f>IF(K200="","",MIN(K201+K203,MAX(K195,0)*$I$15))</f>
        <v/>
      </c>
      <c r="L205" s="358">
        <f>IF(L200="","",MIN(L201+L203,MAX(L195,0)*$I$15))</f>
        <v/>
      </c>
      <c r="M205" s="358">
        <f>IF(M200="","",MIN(M201+M203,MAX(M195,0)*$I$15))</f>
        <v/>
      </c>
      <c r="N205" s="358">
        <f>IF(N200="","",MIN(N201+N203,MAX(N195,0)*$I$15))</f>
        <v/>
      </c>
      <c r="O205" s="358">
        <f>IF(O200="","",MIN(O201+O203,MAX(O195,0)*$I$15))</f>
        <v/>
      </c>
      <c r="P205" s="358">
        <f>IF(P200="","",MIN(P201+P203,MAX(P195,0)*$I$15))</f>
        <v/>
      </c>
    </row>
    <row r="206" outlineLevel="1">
      <c r="B206" s="59" t="inlineStr">
        <is>
          <t>Ending Balance (LP Capital Account)</t>
        </is>
      </c>
      <c r="C206" s="59" t="n"/>
      <c r="D206" s="59" t="n"/>
      <c r="E206" s="59" t="n"/>
      <c r="F206" s="407">
        <f>IF(F200="","",F201+F203+F204-F205)</f>
        <v/>
      </c>
      <c r="G206" s="407">
        <f>IF(G200="","",G201+G203+G204-G205)</f>
        <v/>
      </c>
      <c r="H206" s="407">
        <f>IF(H200="","",H201+H203+H204-H205)</f>
        <v/>
      </c>
      <c r="I206" s="407">
        <f>IF(I200="","",I201+I203+I204-I205)</f>
        <v/>
      </c>
      <c r="J206" s="407">
        <f>IF(J200="","",J201+J203+J204-J205)</f>
        <v/>
      </c>
      <c r="K206" s="407">
        <f>IF(K200="","",K201+K203+K204-K205)</f>
        <v/>
      </c>
      <c r="L206" s="407">
        <f>IF(L200="","",L201+L203+L204-L205)</f>
        <v/>
      </c>
      <c r="M206" s="407">
        <f>IF(M200="","",M201+M203+M204-M205)</f>
        <v/>
      </c>
      <c r="N206" s="407">
        <f>IF(N200="","",N201+N203+N204-N205)</f>
        <v/>
      </c>
      <c r="O206" s="407">
        <f>IF(O200="","",O201+O203+O204-O205)</f>
        <v/>
      </c>
      <c r="P206" s="407">
        <f>IF(P200="","",P201+P203+P204-P205)</f>
        <v/>
      </c>
    </row>
    <row r="207" outlineLevel="1">
      <c r="B207" s="452">
        <f>IF(D165="Equity Multiple", "LP EMx Check","LP IRR Check")</f>
        <v/>
      </c>
      <c r="C207" s="59" t="n"/>
      <c r="D207" s="59" t="n"/>
      <c r="E207" s="838">
        <f>IF($D$165="IRR",IRR(F207:P207),SUMIF(F207:P207,"&gt;0")/-SUMIF(F207:P207,"&lt;0"))</f>
        <v/>
      </c>
      <c r="F207" s="407">
        <f>IF(F200="","",-F204+F205)</f>
        <v/>
      </c>
      <c r="G207" s="407">
        <f>IF(G200="","",-G204+G205)</f>
        <v/>
      </c>
      <c r="H207" s="407">
        <f>IF(H200="","",-H204+H205)</f>
        <v/>
      </c>
      <c r="I207" s="407">
        <f>IF(I200="","",-I204+I205)</f>
        <v/>
      </c>
      <c r="J207" s="407">
        <f>IF(J200="","",-J204+J205)</f>
        <v/>
      </c>
      <c r="K207" s="407">
        <f>IF(K200="","",-K204+K205)</f>
        <v/>
      </c>
      <c r="L207" s="407">
        <f>IF(L200="","",-L204+L205)</f>
        <v/>
      </c>
      <c r="M207" s="407">
        <f>IF(M200="","",-M204+M205)</f>
        <v/>
      </c>
      <c r="N207" s="407">
        <f>IF(N200="","",-N204+N205)</f>
        <v/>
      </c>
      <c r="O207" s="407">
        <f>IF(O200="","",-O204+O205)</f>
        <v/>
      </c>
      <c r="P207" s="407">
        <f>IF(P200="","",-P204+P205)</f>
        <v/>
      </c>
    </row>
    <row r="208" outlineLevel="1">
      <c r="B208" s="59" t="inlineStr">
        <is>
          <t>Distribution to LP</t>
        </is>
      </c>
      <c r="C208" s="59" t="n"/>
      <c r="D208" s="59" t="n"/>
      <c r="E208" s="59" t="n"/>
      <c r="F208" s="407">
        <f>IF(F200="","",MIN(F201+F203,MAX(F195,0)*$I$15))</f>
        <v/>
      </c>
      <c r="G208" s="407">
        <f>IF(G200="","",MIN(G201+G203,MAX(G195,0)*$I$15))</f>
        <v/>
      </c>
      <c r="H208" s="407">
        <f>IF(H200="","",MIN(H201+H203,MAX(H195,0)*$I$15))</f>
        <v/>
      </c>
      <c r="I208" s="407">
        <f>IF(I200="","",MIN(I201+I203,MAX(I195,0)*$I$15))</f>
        <v/>
      </c>
      <c r="J208" s="407">
        <f>IF(J200="","",MIN(J201+J203,MAX(J195,0)*$I$15))</f>
        <v/>
      </c>
      <c r="K208" s="407">
        <f>IF(K200="","",MIN(K201+K203,MAX(K195,0)*$I$15))</f>
        <v/>
      </c>
      <c r="L208" s="407">
        <f>IF(L200="","",MIN(L201+L203,MAX(L195,0)*$I$15))</f>
        <v/>
      </c>
      <c r="M208" s="407">
        <f>IF(M200="","",MIN(M201+M203,MAX(M195,0)*$I$15))</f>
        <v/>
      </c>
      <c r="N208" s="407">
        <f>IF(N200="","",MIN(N201+N203,MAX(N195,0)*$I$15))</f>
        <v/>
      </c>
      <c r="O208" s="407">
        <f>IF(O200="","",MIN(O201+O203,MAX(O195,0)*$I$15))</f>
        <v/>
      </c>
      <c r="P208" s="407">
        <f>IF(P200="","",MIN(P201+P203,MAX(P195,0)*$I$15))</f>
        <v/>
      </c>
    </row>
    <row r="209" outlineLevel="1">
      <c r="B209" s="59" t="n"/>
      <c r="C209" s="59" t="n"/>
      <c r="D209" s="59" t="n"/>
      <c r="E209" s="59" t="n"/>
      <c r="F209" s="407" t="n"/>
      <c r="G209" s="407" t="n"/>
      <c r="H209" s="407" t="n"/>
      <c r="I209" s="407" t="n"/>
      <c r="J209" s="407" t="n"/>
      <c r="K209" s="407" t="n"/>
      <c r="L209" s="407" t="n"/>
      <c r="M209" s="407" t="n"/>
      <c r="N209" s="407" t="n"/>
      <c r="O209" s="407" t="n"/>
      <c r="P209" s="407" t="n"/>
    </row>
    <row r="210" outlineLevel="1">
      <c r="B210" s="59" t="inlineStr">
        <is>
          <t>Beginning Balance (GP Capital Account)</t>
        </is>
      </c>
      <c r="C210" s="59" t="n"/>
      <c r="D210" s="59" t="n"/>
      <c r="E210" s="59" t="n"/>
      <c r="F210" s="407">
        <f>IF(F200="","",E214)</f>
        <v/>
      </c>
      <c r="G210" s="407">
        <f>IF(G200="","",F214)</f>
        <v/>
      </c>
      <c r="H210" s="407">
        <f>IF(H200="","",G214)</f>
        <v/>
      </c>
      <c r="I210" s="407">
        <f>IF(I200="","",H214)</f>
        <v/>
      </c>
      <c r="J210" s="407">
        <f>IF(J200="","",I214)</f>
        <v/>
      </c>
      <c r="K210" s="407">
        <f>IF(K200="","",J214)</f>
        <v/>
      </c>
      <c r="L210" s="407">
        <f>IF(L200="","",K214)</f>
        <v/>
      </c>
      <c r="M210" s="407">
        <f>IF(M200="","",L214)</f>
        <v/>
      </c>
      <c r="N210" s="407">
        <f>IF(N200="","",M214)</f>
        <v/>
      </c>
      <c r="O210" s="407">
        <f>IF(O200="","",N214)</f>
        <v/>
      </c>
      <c r="P210" s="407">
        <f>IF(P200="","",O214)</f>
        <v/>
      </c>
    </row>
    <row r="211" outlineLevel="1">
      <c r="B211" s="59" t="inlineStr">
        <is>
          <t>Req'd Return by GP (Pref)</t>
        </is>
      </c>
      <c r="C211" s="59" t="n"/>
      <c r="D211" s="59" t="n"/>
      <c r="E211" s="59" t="n"/>
      <c r="F211" s="407">
        <f>IF(F200="","",IF($D$165="Equity Multiple",E212*$C200-E212,F210*Preferred_Return))</f>
        <v/>
      </c>
      <c r="G211" s="407">
        <f>IF(G200="","",IF($D$165="Equity Multiple",F212*$C200-F212,G210*Preferred_Return))</f>
        <v/>
      </c>
      <c r="H211" s="407">
        <f>IF(H200="","",IF($D$165="Equity Multiple",G212*$C200-G212,H210*Preferred_Return))</f>
        <v/>
      </c>
      <c r="I211" s="407">
        <f>IF(I200="","",IF($D$165="Equity Multiple",H212*$C200-H212,I210*Preferred_Return))</f>
        <v/>
      </c>
      <c r="J211" s="407">
        <f>IF(J200="","",IF($D$165="Equity Multiple",I212*$C200-I212,J210*Preferred_Return))</f>
        <v/>
      </c>
      <c r="K211" s="407">
        <f>IF(K200="","",IF($D$165="Equity Multiple",J212*$C200-J212,K210*Preferred_Return))</f>
        <v/>
      </c>
      <c r="L211" s="407">
        <f>IF(L200="","",IF($D$165="Equity Multiple",K212*$C200-K212,L210*Preferred_Return))</f>
        <v/>
      </c>
      <c r="M211" s="407">
        <f>IF(M200="","",IF($D$165="Equity Multiple",L212*$C200-L212,M210*Preferred_Return))</f>
        <v/>
      </c>
      <c r="N211" s="407">
        <f>IF(N200="","",IF($D$165="Equity Multiple",M212*$C200-M212,N210*Preferred_Return))</f>
        <v/>
      </c>
      <c r="O211" s="407">
        <f>IF(O200="","",IF($D$165="Equity Multiple",N212*$C200-N212,O210*Preferred_Return))</f>
        <v/>
      </c>
      <c r="P211" s="407">
        <f>IF(P200="","",IF($D$165="Equity Multiple",O212*$C200-O212,P210*Preferred_Return))</f>
        <v/>
      </c>
    </row>
    <row r="212" outlineLevel="1">
      <c r="B212" s="59" t="inlineStr">
        <is>
          <t>Contributions from GP</t>
        </is>
      </c>
      <c r="C212" s="59" t="n"/>
      <c r="D212" s="59" t="n"/>
      <c r="E212" s="59" t="n"/>
      <c r="F212" s="407">
        <f>IF(F200="","",-MIN(0,F195*Equity_Share_GP))</f>
        <v/>
      </c>
      <c r="G212" s="407">
        <f>IF(G200="","",-MIN(0,G195*Equity_Share_GP))</f>
        <v/>
      </c>
      <c r="H212" s="407">
        <f>IF(H200="","",-MIN(0,H195*Equity_Share_GP))</f>
        <v/>
      </c>
      <c r="I212" s="407">
        <f>IF(I200="","",-MIN(0,I195*Equity_Share_GP))</f>
        <v/>
      </c>
      <c r="J212" s="407">
        <f>IF(J200="","",-MIN(0,J195*Equity_Share_GP))</f>
        <v/>
      </c>
      <c r="K212" s="407">
        <f>IF(K200="","",-MIN(0,K195*Equity_Share_GP))</f>
        <v/>
      </c>
      <c r="L212" s="407">
        <f>IF(L200="","",-MIN(0,L195*Equity_Share_GP))</f>
        <v/>
      </c>
      <c r="M212" s="407">
        <f>IF(M200="","",-MIN(0,M195*Equity_Share_GP))</f>
        <v/>
      </c>
      <c r="N212" s="407">
        <f>IF(N200="","",-MIN(0,N195*Equity_Share_GP))</f>
        <v/>
      </c>
      <c r="O212" s="407">
        <f>IF(O200="","",-MIN(0,O195*Equity_Share_GP))</f>
        <v/>
      </c>
      <c r="P212" s="407">
        <f>IF(P200="","",-MIN(0,P195*Equity_Share_GP))</f>
        <v/>
      </c>
    </row>
    <row r="213" outlineLevel="1">
      <c r="B213" s="59" t="inlineStr">
        <is>
          <t>Distribution to GP</t>
        </is>
      </c>
      <c r="C213" s="59" t="n"/>
      <c r="D213" s="59" t="n"/>
      <c r="E213" s="59" t="n"/>
      <c r="F213" s="407">
        <f>IF(F200="","",IF(CU?,MAX(MIN(F195-F208,F210+F211+F212),0),F205/$I$15*$H$15))</f>
        <v/>
      </c>
      <c r="G213" s="358">
        <f>IF(G200="","",IF(CU?,MAX(MIN(G195-G208,G210+G211+G212),0),G205/$I$15*$H$15))</f>
        <v/>
      </c>
      <c r="H213" s="358">
        <f>IF(H200="","",IF(CU?,MAX(MIN(H195-H208,H210+H211+H212),0),H205/$I$15*$H$15))</f>
        <v/>
      </c>
      <c r="I213" s="358">
        <f>IF(I200="","",IF(CU?,MAX(MIN(I195-I208,I210+I211+I212),0),I205/$I$15*$H$15))</f>
        <v/>
      </c>
      <c r="J213" s="358">
        <f>IF(J200="","",IF(CU?,MAX(MIN(J195-J208,J210+J211+J212),0),J205/$I$15*$H$15))</f>
        <v/>
      </c>
      <c r="K213" s="358">
        <f>IF(K200="","",IF(CU?,MAX(MIN(K195-K208,K210+K211+K212),0),K205/$I$15*$H$15))</f>
        <v/>
      </c>
      <c r="L213" s="358">
        <f>IF(L200="","",IF(CU?,MAX(MIN(L195-L208,L210+L211+L212),0),L205/$I$15*$H$15))</f>
        <v/>
      </c>
      <c r="M213" s="358">
        <f>IF(M200="","",IF(CU?,MAX(MIN(M195-M208,M210+M211+M212),0),M205/$I$15*$H$15))</f>
        <v/>
      </c>
      <c r="N213" s="358">
        <f>IF(N200="","",IF(CU?,MAX(MIN(N195-N208,N210+N211+N212),0),N205/$I$15*$H$15))</f>
        <v/>
      </c>
      <c r="O213" s="358">
        <f>IF(O200="","",IF(CU?,MAX(MIN(O195-O208,O210+O211+O212),0),O205/$I$15*$H$15))</f>
        <v/>
      </c>
      <c r="P213" s="358">
        <f>IF(P200="","",IF(CU?,MAX(MIN(P195-P208,P210+P211+P212),0),P205/$I$15*$H$15))</f>
        <v/>
      </c>
    </row>
    <row r="214" outlineLevel="1">
      <c r="B214" s="59" t="inlineStr">
        <is>
          <t>Ending Balance (GP Capital Account)</t>
        </is>
      </c>
      <c r="C214" s="59" t="n"/>
      <c r="D214" s="59" t="n"/>
      <c r="E214" s="59" t="n"/>
      <c r="F214" s="407">
        <f>IF(F200="","",F210+F211+F212-F213)</f>
        <v/>
      </c>
      <c r="G214" s="358">
        <f>IF(G200="","",G210+G211+G212-G213)</f>
        <v/>
      </c>
      <c r="H214" s="358">
        <f>IF(H200="","",H210+H211+H212-H213)</f>
        <v/>
      </c>
      <c r="I214" s="358">
        <f>IF(I200="","",I210+I211+I212-I213)</f>
        <v/>
      </c>
      <c r="J214" s="358">
        <f>IF(J200="","",J210+J211+J212-J213)</f>
        <v/>
      </c>
      <c r="K214" s="358">
        <f>IF(K200="","",K210+K211+K212-K213)</f>
        <v/>
      </c>
      <c r="L214" s="358">
        <f>IF(L200="","",L210+L211+L212-L213)</f>
        <v/>
      </c>
      <c r="M214" s="358">
        <f>IF(M200="","",M210+M211+M212-M213)</f>
        <v/>
      </c>
      <c r="N214" s="358">
        <f>IF(N200="","",N210+N211+N212-N213)</f>
        <v/>
      </c>
      <c r="O214" s="358">
        <f>IF(O200="","",O210+O211+O212-O213)</f>
        <v/>
      </c>
      <c r="P214" s="358">
        <f>IF(P200="","",P210+P211+P212-P213)</f>
        <v/>
      </c>
    </row>
    <row r="215" outlineLevel="1">
      <c r="B215" s="452">
        <f>IF(D165="Equity Multiple", "GP EMx Check","GP IRR Check")</f>
        <v/>
      </c>
      <c r="C215" s="59" t="n"/>
      <c r="D215" s="59" t="n"/>
      <c r="E215" s="838">
        <f>IF($D$165="IRR",IFERROR(IRR(F215:P215),"NA"),SUMIF(F215:P215,"&gt;0")/-SUMIF(F215:P215,"&lt;0"))</f>
        <v/>
      </c>
      <c r="F215" s="407">
        <f>IF(F200="","",-F212+F213)</f>
        <v/>
      </c>
      <c r="G215" s="358">
        <f>IF(G200="","",-G212+G213)</f>
        <v/>
      </c>
      <c r="H215" s="358">
        <f>IF(H200="","",-H212+H213)</f>
        <v/>
      </c>
      <c r="I215" s="358">
        <f>IF(I200="","",-I212+I213)</f>
        <v/>
      </c>
      <c r="J215" s="358">
        <f>IF(J200="","",-J212+J213)</f>
        <v/>
      </c>
      <c r="K215" s="358">
        <f>IF(K200="","",-K212+K213)</f>
        <v/>
      </c>
      <c r="L215" s="358">
        <f>IF(L200="","",-L212+L213)</f>
        <v/>
      </c>
      <c r="M215" s="358">
        <f>IF(M200="","",-M212+M213)</f>
        <v/>
      </c>
      <c r="N215" s="358">
        <f>IF(N200="","",-N212+N213)</f>
        <v/>
      </c>
      <c r="O215" s="358">
        <f>IF(O200="","",-O212+O213)</f>
        <v/>
      </c>
      <c r="P215" s="358">
        <f>IF(P200="","",-P212+P213)</f>
        <v/>
      </c>
    </row>
    <row r="216" outlineLevel="1">
      <c r="B216" s="59" t="n"/>
      <c r="C216" s="59" t="n"/>
      <c r="D216" s="59" t="n"/>
      <c r="E216" s="59" t="n"/>
      <c r="F216" s="407" t="n"/>
      <c r="G216" s="358" t="n"/>
      <c r="H216" s="358" t="n"/>
      <c r="I216" s="358" t="n"/>
      <c r="J216" s="358" t="n"/>
      <c r="K216" s="358" t="n"/>
      <c r="L216" s="358" t="n"/>
      <c r="M216" s="358" t="n"/>
      <c r="N216" s="358" t="n"/>
      <c r="O216" s="358" t="n"/>
      <c r="P216" s="358" t="n"/>
    </row>
    <row r="217" outlineLevel="1">
      <c r="B217" s="59">
        <f>"Total Distributions ("&amp;B199&amp;")"</f>
        <v/>
      </c>
      <c r="C217" s="59" t="n"/>
      <c r="D217" s="59" t="n"/>
      <c r="E217" s="59" t="n"/>
      <c r="F217" s="407">
        <f>IF(F200="","",F213+F208)</f>
        <v/>
      </c>
      <c r="G217" s="407">
        <f>IF(G200="","",G213+G208)</f>
        <v/>
      </c>
      <c r="H217" s="407">
        <f>IF(H200="","",H213+H208)</f>
        <v/>
      </c>
      <c r="I217" s="407">
        <f>IF(I200="","",I213+I208)</f>
        <v/>
      </c>
      <c r="J217" s="407">
        <f>IF(J200="","",J213+J208)</f>
        <v/>
      </c>
      <c r="K217" s="407">
        <f>IF(K200="","",K213+K208)</f>
        <v/>
      </c>
      <c r="L217" s="407">
        <f>IF(L200="","",L213+L208)</f>
        <v/>
      </c>
      <c r="M217" s="407">
        <f>IF(M200="","",M213+M208)</f>
        <v/>
      </c>
      <c r="N217" s="407">
        <f>IF(N200="","",N213+N208)</f>
        <v/>
      </c>
      <c r="O217" s="407">
        <f>IF(O200="","",O213+O208)</f>
        <v/>
      </c>
      <c r="P217" s="407">
        <f>IF(P200="","",P213+P208)</f>
        <v/>
      </c>
    </row>
    <row r="218" outlineLevel="1">
      <c r="B218" s="59" t="inlineStr">
        <is>
          <t>Cash Flow Remaining</t>
        </is>
      </c>
      <c r="C218" s="59" t="n"/>
      <c r="D218" s="59" t="n"/>
      <c r="E218" s="59" t="n"/>
      <c r="F218" s="407">
        <f>IF(F200="","",MAX(F195-F217,0))</f>
        <v/>
      </c>
      <c r="G218" s="407">
        <f>IF(G200="","",MAX(G195-G217,0))</f>
        <v/>
      </c>
      <c r="H218" s="407">
        <f>IF(H200="","",MAX(H195-H217,0))</f>
        <v/>
      </c>
      <c r="I218" s="407">
        <f>IF(I200="","",MAX(I195-I217,0))</f>
        <v/>
      </c>
      <c r="J218" s="407">
        <f>IF(J200="","",MAX(J195-J217,0))</f>
        <v/>
      </c>
      <c r="K218" s="407">
        <f>IF(K200="","",MAX(K195-K217,0))</f>
        <v/>
      </c>
      <c r="L218" s="407">
        <f>IF(L200="","",MAX(L195-L217,0))</f>
        <v/>
      </c>
      <c r="M218" s="407">
        <f>IF(M200="","",MAX(M195-M217,0))</f>
        <v/>
      </c>
      <c r="N218" s="407">
        <f>IF(N200="","",MAX(N195-N217,0))</f>
        <v/>
      </c>
      <c r="O218" s="407">
        <f>IF(O200="","",MAX(O195-O217,0))</f>
        <v/>
      </c>
      <c r="P218" s="407">
        <f>IF(P200="","",MAX(P195-P217,0))</f>
        <v/>
      </c>
    </row>
    <row r="219" outlineLevel="1">
      <c r="B219" s="59" t="n"/>
      <c r="C219" s="59" t="n"/>
      <c r="D219" s="59" t="n"/>
      <c r="E219" s="59" t="n"/>
      <c r="F219" s="398" t="n"/>
      <c r="G219" s="398" t="n"/>
      <c r="H219" s="398" t="n"/>
      <c r="I219" s="398" t="n"/>
      <c r="J219" s="398" t="n"/>
      <c r="K219" s="398" t="n"/>
      <c r="L219" s="398" t="n"/>
      <c r="M219" s="398" t="n"/>
      <c r="N219" s="398" t="n"/>
      <c r="O219" s="398" t="n"/>
      <c r="P219" s="398" t="n"/>
    </row>
    <row r="220" outlineLevel="1" ht="15.75" customHeight="1">
      <c r="B220" s="433" t="inlineStr">
        <is>
          <t>Tier 2</t>
        </is>
      </c>
      <c r="C220" s="430" t="n"/>
      <c r="D220" s="430" t="n"/>
      <c r="E220" s="430" t="n"/>
      <c r="F220" s="431" t="inlineStr">
        <is>
          <t>Year 0</t>
        </is>
      </c>
      <c r="G220" s="827">
        <f>G$21</f>
        <v/>
      </c>
      <c r="H220" s="827">
        <f>H$21</f>
        <v/>
      </c>
      <c r="I220" s="827">
        <f>I$21</f>
        <v/>
      </c>
      <c r="J220" s="827">
        <f>J$21</f>
        <v/>
      </c>
      <c r="K220" s="827">
        <f>K$21</f>
        <v/>
      </c>
      <c r="L220" s="827">
        <f>L$21</f>
        <v/>
      </c>
      <c r="M220" s="827">
        <f>M$21</f>
        <v/>
      </c>
      <c r="N220" s="827">
        <f>N$21</f>
        <v/>
      </c>
      <c r="O220" s="827">
        <f>O$21</f>
        <v/>
      </c>
      <c r="P220" s="827">
        <f>P$21</f>
        <v/>
      </c>
    </row>
    <row r="221" outlineLevel="1">
      <c r="B221" s="454" t="inlineStr">
        <is>
          <t>Return Threshold - Up to:</t>
        </is>
      </c>
      <c r="C221" s="839">
        <f>E169</f>
        <v/>
      </c>
      <c r="D221" s="59" t="n"/>
      <c r="E221" s="59" t="n"/>
      <c r="F221" s="398" t="n"/>
      <c r="G221" s="833" t="n"/>
      <c r="H221" s="833" t="n"/>
      <c r="I221" s="833" t="n"/>
      <c r="J221" s="833" t="n"/>
      <c r="K221" s="833" t="n"/>
      <c r="L221" s="833" t="n"/>
      <c r="M221" s="833" t="n"/>
      <c r="N221" s="833" t="n"/>
      <c r="O221" s="833" t="n"/>
      <c r="P221" s="833" t="n"/>
    </row>
    <row r="222" outlineLevel="1">
      <c r="B222" s="59" t="inlineStr">
        <is>
          <t>Beginning Balance (LP Capital Account)</t>
        </is>
      </c>
      <c r="C222" s="59" t="n"/>
      <c r="D222" s="59" t="n"/>
      <c r="E222" s="59" t="n"/>
      <c r="F222" s="407">
        <f>IF(F220="","",E227)</f>
        <v/>
      </c>
      <c r="G222" s="407">
        <f>IF(G220="","",F227)</f>
        <v/>
      </c>
      <c r="H222" s="407">
        <f>IF(H220="","",G227)</f>
        <v/>
      </c>
      <c r="I222" s="407">
        <f>IF(I220="","",H227)</f>
        <v/>
      </c>
      <c r="J222" s="407">
        <f>IF(J220="","",I227)</f>
        <v/>
      </c>
      <c r="K222" s="407">
        <f>IF(K220="","",J227)</f>
        <v/>
      </c>
      <c r="L222" s="407">
        <f>IF(L220="","",K227)</f>
        <v/>
      </c>
      <c r="M222" s="407">
        <f>IF(M220="","",L227)</f>
        <v/>
      </c>
      <c r="N222" s="407">
        <f>IF(N220="","",M227)</f>
        <v/>
      </c>
      <c r="O222" s="407">
        <f>IF(O220="","",N227)</f>
        <v/>
      </c>
      <c r="P222" s="407">
        <f>IF(P220="","",O227)</f>
        <v/>
      </c>
    </row>
    <row r="223" outlineLevel="1">
      <c r="B223" s="59" t="inlineStr">
        <is>
          <t>Req'd Return by LP to hit Hurdle 2</t>
        </is>
      </c>
      <c r="C223" s="59" t="n"/>
      <c r="D223" s="59" t="n"/>
      <c r="E223" s="59" t="n"/>
      <c r="F223" s="407">
        <f>IF(F220="","",IF($D$165="Equity Multiple",E224*$C221-E224,F222*$C221))</f>
        <v/>
      </c>
      <c r="G223" s="407">
        <f>IF(G220="","",IF($D$165="Equity Multiple",F224*$C221-F224,G222*$C221))</f>
        <v/>
      </c>
      <c r="H223" s="407">
        <f>IF(H220="","",IF($D$165="Equity Multiple",G224*$C221-G224,H222*$C221))</f>
        <v/>
      </c>
      <c r="I223" s="407">
        <f>IF(I220="","",IF($D$165="Equity Multiple",H224*$C221-H224,I222*$C221))</f>
        <v/>
      </c>
      <c r="J223" s="407">
        <f>IF(J220="","",IF($D$165="Equity Multiple",I224*$C221-I224,J222*$C221))</f>
        <v/>
      </c>
      <c r="K223" s="407">
        <f>IF(K220="","",IF($D$165="Equity Multiple",J224*$C221-J224,K222*$C221))</f>
        <v/>
      </c>
      <c r="L223" s="407">
        <f>IF(L220="","",IF($D$165="Equity Multiple",K224*$C221-K224,L222*$C221))</f>
        <v/>
      </c>
      <c r="M223" s="407">
        <f>IF(M220="","",IF($D$165="Equity Multiple",L224*$C221-L224,M222*$C221))</f>
        <v/>
      </c>
      <c r="N223" s="407">
        <f>IF(N220="","",IF($D$165="Equity Multiple",M224*$C221-M224,N222*$C221))</f>
        <v/>
      </c>
      <c r="O223" s="407">
        <f>IF(O220="","",IF($D$165="Equity Multiple",N224*$C221-N224,O222*$C221))</f>
        <v/>
      </c>
      <c r="P223" s="407">
        <f>IF(P220="","",IF($D$165="Equity Multiple",O224*$C221-O224,P222*$C221))</f>
        <v/>
      </c>
    </row>
    <row r="224" outlineLevel="1">
      <c r="B224" s="59" t="inlineStr">
        <is>
          <t>Contributions from LP</t>
        </is>
      </c>
      <c r="C224" s="59" t="n"/>
      <c r="D224" s="59" t="n"/>
      <c r="E224" s="59" t="n"/>
      <c r="F224" s="407">
        <f>IF(F220="","",-MIN(0,F$51*Equity_Share_LP))</f>
        <v/>
      </c>
      <c r="G224" s="407">
        <f>IF(G220="","",-MIN(0,G$51*Equity_Share_LP))</f>
        <v/>
      </c>
      <c r="H224" s="407">
        <f>IF(H220="","",-MIN(0,H$51*Equity_Share_LP))</f>
        <v/>
      </c>
      <c r="I224" s="407">
        <f>IF(I220="","",-MIN(0,I$51*Equity_Share_LP))</f>
        <v/>
      </c>
      <c r="J224" s="407">
        <f>IF(J220="","",-MIN(0,J$51*Equity_Share_LP))</f>
        <v/>
      </c>
      <c r="K224" s="407">
        <f>IF(K220="","",-MIN(0,K$51*Equity_Share_LP))</f>
        <v/>
      </c>
      <c r="L224" s="407">
        <f>IF(L220="","",-MIN(0,L$51*Equity_Share_LP))</f>
        <v/>
      </c>
      <c r="M224" s="407">
        <f>IF(M220="","",-MIN(0,M$51*Equity_Share_LP))</f>
        <v/>
      </c>
      <c r="N224" s="407">
        <f>IF(N220="","",-MIN(0,N$51*Equity_Share_LP))</f>
        <v/>
      </c>
      <c r="O224" s="407">
        <f>IF(O220="","",-MIN(0,O$51*Equity_Share_LP))</f>
        <v/>
      </c>
      <c r="P224" s="407">
        <f>IF(P220="","",-MIN(0,P$51*Equity_Share_LP))</f>
        <v/>
      </c>
    </row>
    <row r="225" outlineLevel="1">
      <c r="B225" s="59" t="inlineStr">
        <is>
          <t>Prior Distributions</t>
        </is>
      </c>
      <c r="C225" s="59" t="n"/>
      <c r="D225" s="59" t="n"/>
      <c r="E225" s="59" t="n"/>
      <c r="F225" s="407">
        <f>F208</f>
        <v/>
      </c>
      <c r="G225" s="407">
        <f>G208</f>
        <v/>
      </c>
      <c r="H225" s="407">
        <f>H208</f>
        <v/>
      </c>
      <c r="I225" s="407">
        <f>I208</f>
        <v/>
      </c>
      <c r="J225" s="407">
        <f>J208</f>
        <v/>
      </c>
      <c r="K225" s="407">
        <f>K208</f>
        <v/>
      </c>
      <c r="L225" s="407">
        <f>L208</f>
        <v/>
      </c>
      <c r="M225" s="407">
        <f>M208</f>
        <v/>
      </c>
      <c r="N225" s="407">
        <f>N208</f>
        <v/>
      </c>
      <c r="O225" s="407">
        <f>O208</f>
        <v/>
      </c>
      <c r="P225" s="407">
        <f>P208</f>
        <v/>
      </c>
    </row>
    <row r="226" outlineLevel="1">
      <c r="B226" s="59">
        <f>"Distributions to LP "&amp;B220</f>
        <v/>
      </c>
      <c r="C226" s="59" t="n"/>
      <c r="D226" s="59" t="n"/>
      <c r="E226" s="59" t="n"/>
      <c r="F226" s="407">
        <f>IF(F220="","",MIN(F222+F223-F225,F218*$I$16))</f>
        <v/>
      </c>
      <c r="G226" s="407">
        <f>IF(G220="","",MIN(G222+G223-G225,G218*$I$16))</f>
        <v/>
      </c>
      <c r="H226" s="407">
        <f>IF(H220="","",MIN(H222+H223-H225,H218*$I$16))</f>
        <v/>
      </c>
      <c r="I226" s="407">
        <f>IF(I220="","",MIN(I222+I223-I225,I218*$I$16))</f>
        <v/>
      </c>
      <c r="J226" s="407">
        <f>IF(J220="","",MIN(J222+J223-J225,J218*$I$16))</f>
        <v/>
      </c>
      <c r="K226" s="407">
        <f>IF(K220="","",MIN(K222+K223-K225,K218*$I$16))</f>
        <v/>
      </c>
      <c r="L226" s="407">
        <f>IF(L220="","",MIN(L222+L223-L225,L218*$I$16))</f>
        <v/>
      </c>
      <c r="M226" s="407">
        <f>IF(M220="","",MIN(M222+M223-M225,M218*$I$16))</f>
        <v/>
      </c>
      <c r="N226" s="407">
        <f>IF(N220="","",MIN(N222+N223-N225,N218*$I$16))</f>
        <v/>
      </c>
      <c r="O226" s="407">
        <f>IF(O220="","",MIN(O222+O223-O225,O218*$I$16))</f>
        <v/>
      </c>
      <c r="P226" s="407">
        <f>IF(P220="","",MIN(P222+P223-P225,P218*$I$16))</f>
        <v/>
      </c>
    </row>
    <row r="227" outlineLevel="1">
      <c r="B227" s="59" t="inlineStr">
        <is>
          <t>Ending Balance (LP Capital Account)</t>
        </is>
      </c>
      <c r="C227" s="59" t="n"/>
      <c r="D227" s="59" t="n"/>
      <c r="E227" s="59" t="n"/>
      <c r="F227" s="407">
        <f>IF(F220="","",F222+F223+F224-F225-F226)</f>
        <v/>
      </c>
      <c r="G227" s="407">
        <f>IF(G220="","",G222+G223+G224-G225-G226)</f>
        <v/>
      </c>
      <c r="H227" s="407">
        <f>IF(H220="","",H222+H223+H224-H225-H226)</f>
        <v/>
      </c>
      <c r="I227" s="407">
        <f>IF(I220="","",I222+I223+I224-I225-I226)</f>
        <v/>
      </c>
      <c r="J227" s="407">
        <f>IF(J220="","",J222+J223+J224-J225-J226)</f>
        <v/>
      </c>
      <c r="K227" s="407">
        <f>IF(K220="","",K222+K223+K224-K225-K226)</f>
        <v/>
      </c>
      <c r="L227" s="407">
        <f>IF(L220="","",L222+L223+L224-L225-L226)</f>
        <v/>
      </c>
      <c r="M227" s="407">
        <f>IF(M220="","",M222+M223+M224-M225-M226)</f>
        <v/>
      </c>
      <c r="N227" s="407">
        <f>IF(N220="","",N222+N223+N224-N225-N226)</f>
        <v/>
      </c>
      <c r="O227" s="407">
        <f>IF(O220="","",O222+O223+O224-O225-O226)</f>
        <v/>
      </c>
      <c r="P227" s="407">
        <f>IF(P220="","",P222+P223+P224-P225-P226)</f>
        <v/>
      </c>
    </row>
    <row r="228" outlineLevel="1">
      <c r="B228" s="834">
        <f>C221</f>
        <v/>
      </c>
      <c r="C228" s="59" t="n"/>
      <c r="D228" s="59" t="n"/>
      <c r="E228" s="838">
        <f>IF($D$165="IRR",IRR(F228:P228),SUMIF(F228:P228,"&gt;0")/-SUMIF(F228:P228,"&lt;0"))</f>
        <v/>
      </c>
      <c r="F228" s="407">
        <f>IF(F220="","",-F224+F225+F226)</f>
        <v/>
      </c>
      <c r="G228" s="407">
        <f>IF(G220="","",-G224+G225+G226)</f>
        <v/>
      </c>
      <c r="H228" s="407">
        <f>IF(H220="","",-H224+H225+H226)</f>
        <v/>
      </c>
      <c r="I228" s="407">
        <f>IF(I220="","",-I224+I225+I226)</f>
        <v/>
      </c>
      <c r="J228" s="407">
        <f>IF(J220="","",-J224+J225+J226)</f>
        <v/>
      </c>
      <c r="K228" s="407">
        <f>IF(K220="","",-K224+K225+K226)</f>
        <v/>
      </c>
      <c r="L228" s="407">
        <f>IF(L220="","",-L224+L225+L226)</f>
        <v/>
      </c>
      <c r="M228" s="407">
        <f>IF(M220="","",-M224+M225+M226)</f>
        <v/>
      </c>
      <c r="N228" s="407">
        <f>IF(N220="","",-N224+N225+N226)</f>
        <v/>
      </c>
      <c r="O228" s="407">
        <f>IF(O220="","",-O224+O225+O226)</f>
        <v/>
      </c>
      <c r="P228" s="407">
        <f>IF(P220="","",-P224+P225+P226)</f>
        <v/>
      </c>
    </row>
    <row r="229" outlineLevel="1">
      <c r="B229" s="74" t="n"/>
      <c r="C229" s="74" t="n"/>
      <c r="D229" s="74" t="n"/>
      <c r="E229" s="74" t="n"/>
      <c r="F229" s="458" t="n"/>
      <c r="G229" s="458" t="n"/>
      <c r="H229" s="458" t="n"/>
      <c r="I229" s="458" t="n"/>
      <c r="J229" s="458" t="n"/>
      <c r="K229" s="458" t="n"/>
      <c r="L229" s="458" t="n"/>
      <c r="M229" s="458" t="n"/>
      <c r="N229" s="458" t="n"/>
      <c r="O229" s="458" t="n"/>
      <c r="P229" s="458" t="n"/>
    </row>
    <row r="230" outlineLevel="1">
      <c r="B230" s="59" t="inlineStr">
        <is>
          <t>Distribution to LP</t>
        </is>
      </c>
      <c r="C230" s="59" t="n"/>
      <c r="D230" s="59" t="n"/>
      <c r="E230" s="59" t="n"/>
      <c r="F230" s="407">
        <f>IF(F220="","",F226)</f>
        <v/>
      </c>
      <c r="G230" s="407">
        <f>IF(G220="","",G226)</f>
        <v/>
      </c>
      <c r="H230" s="407">
        <f>IF(H220="","",H226)</f>
        <v/>
      </c>
      <c r="I230" s="407">
        <f>IF(I220="","",I226)</f>
        <v/>
      </c>
      <c r="J230" s="407">
        <f>IF(J220="","",J226)</f>
        <v/>
      </c>
      <c r="K230" s="407">
        <f>IF(K220="","",K226)</f>
        <v/>
      </c>
      <c r="L230" s="407">
        <f>IF(L220="","",L226)</f>
        <v/>
      </c>
      <c r="M230" s="407">
        <f>IF(M220="","",M226)</f>
        <v/>
      </c>
      <c r="N230" s="407">
        <f>IF(N220="","",N226)</f>
        <v/>
      </c>
      <c r="O230" s="407">
        <f>IF(O220="","",O226)</f>
        <v/>
      </c>
      <c r="P230" s="407">
        <f>IF(P220="","",P226)</f>
        <v/>
      </c>
    </row>
    <row r="231" outlineLevel="1">
      <c r="B231" s="59" t="inlineStr">
        <is>
          <t>Distribution to GP</t>
        </is>
      </c>
      <c r="C231" s="59" t="n"/>
      <c r="D231" s="59" t="n"/>
      <c r="E231" s="59" t="n"/>
      <c r="F231" s="407">
        <f>IF(F220="","",F230/$I$16*$H$16)</f>
        <v/>
      </c>
      <c r="G231" s="407">
        <f>IF(G220="","",G230/$I$16*$H$16)</f>
        <v/>
      </c>
      <c r="H231" s="407">
        <f>IF(H220="","",H230/$I$16*$H$16)</f>
        <v/>
      </c>
      <c r="I231" s="407">
        <f>IF(I220="","",I230/$I$16*$H$16)</f>
        <v/>
      </c>
      <c r="J231" s="407">
        <f>IF(J220="","",J230/$I$16*$H$16)</f>
        <v/>
      </c>
      <c r="K231" s="407">
        <f>IF(K220="","",K230/$I$16*$H$16)</f>
        <v/>
      </c>
      <c r="L231" s="407">
        <f>IF(L220="","",L230/$I$16*$H$16)</f>
        <v/>
      </c>
      <c r="M231" s="407">
        <f>IF(M220="","",M230/$I$16*$H$16)</f>
        <v/>
      </c>
      <c r="N231" s="407">
        <f>IF(N220="","",N230/$I$16*$H$16)</f>
        <v/>
      </c>
      <c r="O231" s="407">
        <f>IF(O220="","",O230/$I$16*$H$16)</f>
        <v/>
      </c>
      <c r="P231" s="407">
        <f>IF(P220="","",P230/$I$16*$H$16)</f>
        <v/>
      </c>
    </row>
    <row r="232" outlineLevel="1">
      <c r="B232" s="59">
        <f>"Total Distributions ("&amp;B220&amp;")"</f>
        <v/>
      </c>
      <c r="C232" s="59" t="n"/>
      <c r="D232" s="59" t="n"/>
      <c r="E232" s="59" t="n"/>
      <c r="F232" s="407">
        <f>IF(F220="","",F230+F231)</f>
        <v/>
      </c>
      <c r="G232" s="407">
        <f>IF(G220="","",G230+G231)</f>
        <v/>
      </c>
      <c r="H232" s="407">
        <f>IF(H220="","",H230+H231)</f>
        <v/>
      </c>
      <c r="I232" s="407">
        <f>IF(I220="","",I230+I231)</f>
        <v/>
      </c>
      <c r="J232" s="407">
        <f>IF(J220="","",J230+J231)</f>
        <v/>
      </c>
      <c r="K232" s="407">
        <f>IF(K220="","",K230+K231)</f>
        <v/>
      </c>
      <c r="L232" s="407">
        <f>IF(L220="","",L230+L231)</f>
        <v/>
      </c>
      <c r="M232" s="407">
        <f>IF(M220="","",M230+M231)</f>
        <v/>
      </c>
      <c r="N232" s="407">
        <f>IF(N220="","",N230+N231)</f>
        <v/>
      </c>
      <c r="O232" s="407">
        <f>IF(O220="","",O230+O231)</f>
        <v/>
      </c>
      <c r="P232" s="407">
        <f>IF(P220="","",P230+P231)</f>
        <v/>
      </c>
    </row>
    <row r="233" outlineLevel="1">
      <c r="B233" s="59" t="inlineStr">
        <is>
          <t>Cash Flow Remaining</t>
        </is>
      </c>
      <c r="C233" s="59" t="n"/>
      <c r="D233" s="59" t="n"/>
      <c r="E233" s="59" t="n"/>
      <c r="F233" s="407">
        <f>IF(F220="","",MAX(F$51-F217-F232,0))</f>
        <v/>
      </c>
      <c r="G233" s="407">
        <f>IF(G220="","",MAX(G$51-G217-G232,0))</f>
        <v/>
      </c>
      <c r="H233" s="407">
        <f>IF(H220="","",MAX(H$51-H217-H232,0))</f>
        <v/>
      </c>
      <c r="I233" s="407">
        <f>IF(I220="","",MAX(I$51-I217-I232,0))</f>
        <v/>
      </c>
      <c r="J233" s="407">
        <f>IF(J220="","",MAX(J$51-J217-J232,0))</f>
        <v/>
      </c>
      <c r="K233" s="407">
        <f>IF(K220="","",MAX(K$51-K217-K232,0))</f>
        <v/>
      </c>
      <c r="L233" s="407">
        <f>IF(L220="","",MAX(L$51-L217-L232,0))</f>
        <v/>
      </c>
      <c r="M233" s="407">
        <f>IF(M220="","",MAX(M$51-M217-M232,0))</f>
        <v/>
      </c>
      <c r="N233" s="407">
        <f>IF(N220="","",MAX(N$51-N217-N232,0))</f>
        <v/>
      </c>
      <c r="O233" s="407">
        <f>IF(O220="","",MAX(O$51-O217-O232,0))</f>
        <v/>
      </c>
      <c r="P233" s="407">
        <f>IF(P220="","",MAX(P$51-P217-P232,0))</f>
        <v/>
      </c>
    </row>
    <row r="234" outlineLevel="1">
      <c r="B234" s="59" t="n"/>
      <c r="C234" s="59" t="n"/>
      <c r="D234" s="59" t="n"/>
      <c r="E234" s="59" t="n"/>
      <c r="F234" s="398" t="n"/>
      <c r="G234" s="398" t="n"/>
      <c r="H234" s="398" t="n"/>
      <c r="I234" s="398" t="n"/>
      <c r="J234" s="398" t="n"/>
      <c r="K234" s="398" t="n"/>
      <c r="L234" s="398" t="n"/>
      <c r="M234" s="398" t="n"/>
      <c r="N234" s="398" t="n"/>
      <c r="O234" s="398" t="n"/>
      <c r="P234" s="398" t="n"/>
    </row>
    <row r="235" outlineLevel="1" ht="15.75" customHeight="1">
      <c r="B235" s="433" t="inlineStr">
        <is>
          <t>Tier 3</t>
        </is>
      </c>
      <c r="C235" s="430" t="n"/>
      <c r="D235" s="430" t="n"/>
      <c r="E235" s="430" t="n"/>
      <c r="F235" s="431" t="inlineStr">
        <is>
          <t>Year 0</t>
        </is>
      </c>
      <c r="G235" s="827">
        <f>G$21</f>
        <v/>
      </c>
      <c r="H235" s="827">
        <f>H$21</f>
        <v/>
      </c>
      <c r="I235" s="827">
        <f>I$21</f>
        <v/>
      </c>
      <c r="J235" s="827">
        <f>J$21</f>
        <v/>
      </c>
      <c r="K235" s="827">
        <f>K$21</f>
        <v/>
      </c>
      <c r="L235" s="827">
        <f>L$21</f>
        <v/>
      </c>
      <c r="M235" s="827">
        <f>M$21</f>
        <v/>
      </c>
      <c r="N235" s="827">
        <f>N$21</f>
        <v/>
      </c>
      <c r="O235" s="827">
        <f>O$21</f>
        <v/>
      </c>
      <c r="P235" s="827">
        <f>P$21</f>
        <v/>
      </c>
    </row>
    <row r="236" outlineLevel="1">
      <c r="B236" s="454" t="inlineStr">
        <is>
          <t>Return Threshold - Up to:</t>
        </is>
      </c>
      <c r="C236" s="839">
        <f>E170</f>
        <v/>
      </c>
      <c r="D236" s="59" t="n"/>
      <c r="E236" s="59" t="n"/>
      <c r="F236" s="398" t="n"/>
      <c r="G236" s="833" t="n"/>
      <c r="H236" s="833" t="n"/>
      <c r="I236" s="833" t="n"/>
      <c r="J236" s="833" t="n"/>
      <c r="K236" s="833" t="n"/>
      <c r="L236" s="833" t="n"/>
      <c r="M236" s="833" t="n"/>
      <c r="N236" s="833" t="n"/>
      <c r="O236" s="833" t="n"/>
      <c r="P236" s="833" t="n"/>
    </row>
    <row r="237" outlineLevel="1">
      <c r="B237" s="59" t="inlineStr">
        <is>
          <t>Beginning Balance (LP Capital Account)</t>
        </is>
      </c>
      <c r="C237" s="59" t="n"/>
      <c r="D237" s="59" t="n"/>
      <c r="E237" s="59" t="n"/>
      <c r="F237" s="407">
        <f>IF(F235="","",E242)</f>
        <v/>
      </c>
      <c r="G237" s="407">
        <f>IF(G235="","",F242)</f>
        <v/>
      </c>
      <c r="H237" s="407">
        <f>IF(H235="","",G242)</f>
        <v/>
      </c>
      <c r="I237" s="407">
        <f>IF(I235="","",H242)</f>
        <v/>
      </c>
      <c r="J237" s="407">
        <f>IF(J235="","",I242)</f>
        <v/>
      </c>
      <c r="K237" s="407">
        <f>IF(K235="","",J242)</f>
        <v/>
      </c>
      <c r="L237" s="407">
        <f>IF(L235="","",K242)</f>
        <v/>
      </c>
      <c r="M237" s="407">
        <f>IF(M235="","",L242)</f>
        <v/>
      </c>
      <c r="N237" s="407">
        <f>IF(N235="","",M242)</f>
        <v/>
      </c>
      <c r="O237" s="407">
        <f>IF(O235="","",N242)</f>
        <v/>
      </c>
      <c r="P237" s="407">
        <f>IF(P235="","",O242)</f>
        <v/>
      </c>
    </row>
    <row r="238" outlineLevel="1">
      <c r="B238" s="59" t="inlineStr">
        <is>
          <t>Req'd Return by LP to hit Hurdle 3</t>
        </is>
      </c>
      <c r="C238" s="59" t="n"/>
      <c r="D238" s="59" t="n"/>
      <c r="E238" s="59" t="n"/>
      <c r="F238" s="407">
        <f>IF(F235="","",IF($D$165="Equity Multiple",E239*$C236-E239,F237*$C236))</f>
        <v/>
      </c>
      <c r="G238" s="407">
        <f>IF(G235="","",IF($D$165="Equity Multiple",F239*$C236-F239,G237*$C236))</f>
        <v/>
      </c>
      <c r="H238" s="407">
        <f>IF(H235="","",IF($D$165="Equity Multiple",G239*$C236-G239,H237*$C236))</f>
        <v/>
      </c>
      <c r="I238" s="407">
        <f>IF(I235="","",IF($D$165="Equity Multiple",H239*$C236-H239,I237*$C236))</f>
        <v/>
      </c>
      <c r="J238" s="407">
        <f>IF(J235="","",IF($D$165="Equity Multiple",I239*$C236-I239,J237*$C236))</f>
        <v/>
      </c>
      <c r="K238" s="407">
        <f>IF(K235="","",IF($D$165="Equity Multiple",J239*$C236-J239,K237*$C236))</f>
        <v/>
      </c>
      <c r="L238" s="407">
        <f>IF(L235="","",IF($D$165="Equity Multiple",K239*$C236-K239,L237*$C236))</f>
        <v/>
      </c>
      <c r="M238" s="407">
        <f>IF(M235="","",IF($D$165="Equity Multiple",L239*$C236-L239,M237*$C236))</f>
        <v/>
      </c>
      <c r="N238" s="407">
        <f>IF(N235="","",IF($D$165="Equity Multiple",M239*$C236-M239,N237*$C236))</f>
        <v/>
      </c>
      <c r="O238" s="407">
        <f>IF(O235="","",IF($D$165="Equity Multiple",N239*$C236-N239,O237*$C236))</f>
        <v/>
      </c>
      <c r="P238" s="407">
        <f>IF(P235="","",IF($D$165="Equity Multiple",O239*$C236-O239,P237*$C236))</f>
        <v/>
      </c>
    </row>
    <row r="239" outlineLevel="1">
      <c r="B239" s="59" t="inlineStr">
        <is>
          <t>Contributions from LP</t>
        </is>
      </c>
      <c r="C239" s="59" t="n"/>
      <c r="D239" s="59" t="n"/>
      <c r="E239" s="59" t="n"/>
      <c r="F239" s="407">
        <f>IF(F235="","",-MIN(0,F$51*Equity_Share_LP))</f>
        <v/>
      </c>
      <c r="G239" s="407">
        <f>IF(G235="","",-MIN(0,G$51*Equity_Share_LP))</f>
        <v/>
      </c>
      <c r="H239" s="407">
        <f>IF(H235="","",-MIN(0,H$51*Equity_Share_LP))</f>
        <v/>
      </c>
      <c r="I239" s="407">
        <f>IF(I235="","",-MIN(0,I$51*Equity_Share_LP))</f>
        <v/>
      </c>
      <c r="J239" s="407">
        <f>IF(J235="","",-MIN(0,J$51*Equity_Share_LP))</f>
        <v/>
      </c>
      <c r="K239" s="407">
        <f>IF(K235="","",-MIN(0,K$51*Equity_Share_LP))</f>
        <v/>
      </c>
      <c r="L239" s="407">
        <f>IF(L235="","",-MIN(0,L$51*Equity_Share_LP))</f>
        <v/>
      </c>
      <c r="M239" s="407">
        <f>IF(M235="","",-MIN(0,M$51*Equity_Share_LP))</f>
        <v/>
      </c>
      <c r="N239" s="407">
        <f>IF(N235="","",-MIN(0,N$51*Equity_Share_LP))</f>
        <v/>
      </c>
      <c r="O239" s="407">
        <f>IF(O235="","",-MIN(0,O$51*Equity_Share_LP))</f>
        <v/>
      </c>
      <c r="P239" s="407">
        <f>IF(P235="","",-MIN(0,P$51*Equity_Share_LP))</f>
        <v/>
      </c>
    </row>
    <row r="240" outlineLevel="1">
      <c r="B240" s="59" t="inlineStr">
        <is>
          <t>Prior Distributions</t>
        </is>
      </c>
      <c r="C240" s="59" t="n"/>
      <c r="D240" s="59" t="n"/>
      <c r="E240" s="59" t="n"/>
      <c r="F240" s="407">
        <f>IF(F235="","",F230+F208)</f>
        <v/>
      </c>
      <c r="G240" s="407">
        <f>IF(G235="","",G230+G208)</f>
        <v/>
      </c>
      <c r="H240" s="407">
        <f>IF(H235="","",H230+H208)</f>
        <v/>
      </c>
      <c r="I240" s="407">
        <f>IF(I235="","",I230+I208)</f>
        <v/>
      </c>
      <c r="J240" s="407">
        <f>IF(J235="","",J230+J208)</f>
        <v/>
      </c>
      <c r="K240" s="407">
        <f>IF(K235="","",K230+K208)</f>
        <v/>
      </c>
      <c r="L240" s="407">
        <f>IF(L235="","",L230+L208)</f>
        <v/>
      </c>
      <c r="M240" s="407">
        <f>IF(M235="","",M230+M208)</f>
        <v/>
      </c>
      <c r="N240" s="407">
        <f>IF(N235="","",N230+N208)</f>
        <v/>
      </c>
      <c r="O240" s="407">
        <f>IF(O235="","",O230+O208)</f>
        <v/>
      </c>
      <c r="P240" s="407">
        <f>IF(P235="","",P230+P208)</f>
        <v/>
      </c>
    </row>
    <row r="241" outlineLevel="1">
      <c r="B241" s="59">
        <f>"Distributions to LP "&amp;B235</f>
        <v/>
      </c>
      <c r="C241" s="59" t="n"/>
      <c r="D241" s="59" t="n"/>
      <c r="E241" s="59" t="n"/>
      <c r="F241" s="407">
        <f>IF(F235="","",MIN(F237+F238-F240,F233*$I$17))</f>
        <v/>
      </c>
      <c r="G241" s="407">
        <f>IF(G235="","",MIN(G237+G238-G240,G233*$I$17))</f>
        <v/>
      </c>
      <c r="H241" s="407">
        <f>IF(H235="","",MIN(H237+H238-H240,H233*$I$17))</f>
        <v/>
      </c>
      <c r="I241" s="407">
        <f>IF(I235="","",MIN(I237+I238-I240,I233*$I$17))</f>
        <v/>
      </c>
      <c r="J241" s="407">
        <f>IF(J235="","",MIN(J237+J238-J240,J233*$I$17))</f>
        <v/>
      </c>
      <c r="K241" s="407">
        <f>IF(K235="","",MIN(K237+K238-K240,K233*$I$17))</f>
        <v/>
      </c>
      <c r="L241" s="407">
        <f>IF(L235="","",MIN(L237+L238-L240,L233*$I$17))</f>
        <v/>
      </c>
      <c r="M241" s="407">
        <f>IF(M235="","",MIN(M237+M238-M240,M233*$I$17))</f>
        <v/>
      </c>
      <c r="N241" s="407">
        <f>IF(N235="","",MIN(N237+N238-N240,N233*$I$17))</f>
        <v/>
      </c>
      <c r="O241" s="407">
        <f>IF(O235="","",MIN(O237+O238-O240,O233*$I$17))</f>
        <v/>
      </c>
      <c r="P241" s="407">
        <f>IF(P235="","",MIN(P237+P238-P240,P233*$I$17))</f>
        <v/>
      </c>
    </row>
    <row r="242" outlineLevel="1">
      <c r="B242" s="59" t="inlineStr">
        <is>
          <t>Ending Balance (LP Capital Account)</t>
        </is>
      </c>
      <c r="C242" s="59" t="n"/>
      <c r="D242" s="59" t="n"/>
      <c r="E242" s="59" t="n"/>
      <c r="F242" s="407">
        <f>IF(F235="","",F237+F238+F239-F240-F241)</f>
        <v/>
      </c>
      <c r="G242" s="407">
        <f>IF(G235="","",G237+G238+G239-G240-G241)</f>
        <v/>
      </c>
      <c r="H242" s="407">
        <f>IF(H235="","",H237+H238+H239-H240-H241)</f>
        <v/>
      </c>
      <c r="I242" s="407">
        <f>IF(I235="","",I237+I238+I239-I240-I241)</f>
        <v/>
      </c>
      <c r="J242" s="407">
        <f>IF(J235="","",J237+J238+J239-J240-J241)</f>
        <v/>
      </c>
      <c r="K242" s="407">
        <f>IF(K235="","",K237+K238+K239-K240-K241)</f>
        <v/>
      </c>
      <c r="L242" s="407">
        <f>IF(L235="","",L237+L238+L239-L240-L241)</f>
        <v/>
      </c>
      <c r="M242" s="407">
        <f>IF(M235="","",M237+M238+M239-M240-M241)</f>
        <v/>
      </c>
      <c r="N242" s="407">
        <f>IF(N235="","",N237+N238+N239-N240-N241)</f>
        <v/>
      </c>
      <c r="O242" s="407">
        <f>IF(O235="","",O237+O238+O239-O240-O241)</f>
        <v/>
      </c>
      <c r="P242" s="407">
        <f>IF(P235="","",P237+P238+P239-P240-P241)</f>
        <v/>
      </c>
    </row>
    <row r="243" outlineLevel="1">
      <c r="B243" s="834">
        <f>C236</f>
        <v/>
      </c>
      <c r="C243" s="59" t="n"/>
      <c r="D243" s="59" t="n"/>
      <c r="E243" s="838">
        <f>IF($D$165="IRR",IRR(F243:P243),SUMIF(F243:P243,"&gt;0")/-SUMIF(F243:P243,"&lt;0"))</f>
        <v/>
      </c>
      <c r="F243" s="407">
        <f>IF(F235="","",-F239+F240+F241)</f>
        <v/>
      </c>
      <c r="G243" s="407">
        <f>IF(G235="","",-G239+G240+G241)</f>
        <v/>
      </c>
      <c r="H243" s="407">
        <f>IF(H235="","",-H239+H240+H241)</f>
        <v/>
      </c>
      <c r="I243" s="407">
        <f>IF(I235="","",-I239+I240+I241)</f>
        <v/>
      </c>
      <c r="J243" s="407">
        <f>IF(J235="","",-J239+J240+J241)</f>
        <v/>
      </c>
      <c r="K243" s="407">
        <f>IF(K235="","",-K239+K240+K241)</f>
        <v/>
      </c>
      <c r="L243" s="407">
        <f>IF(L235="","",-L239+L240+L241)</f>
        <v/>
      </c>
      <c r="M243" s="407">
        <f>IF(M235="","",-M239+M240+M241)</f>
        <v/>
      </c>
      <c r="N243" s="407">
        <f>IF(N235="","",-N239+N240+N241)</f>
        <v/>
      </c>
      <c r="O243" s="407">
        <f>IF(O235="","",-O239+O240+O241)</f>
        <v/>
      </c>
      <c r="P243" s="407">
        <f>IF(P235="","",-P239+P240+P241)</f>
        <v/>
      </c>
    </row>
    <row r="244" outlineLevel="1">
      <c r="B244" s="74" t="n"/>
      <c r="C244" s="74" t="n"/>
      <c r="D244" s="74" t="n"/>
      <c r="E244" s="74" t="n"/>
      <c r="F244" s="458" t="n"/>
      <c r="G244" s="458" t="n"/>
      <c r="H244" s="458" t="n"/>
      <c r="I244" s="458" t="n"/>
      <c r="J244" s="458" t="n"/>
      <c r="K244" s="458" t="n"/>
      <c r="L244" s="458" t="n"/>
      <c r="M244" s="458" t="n"/>
      <c r="N244" s="458" t="n"/>
      <c r="O244" s="458" t="n"/>
      <c r="P244" s="458" t="n"/>
    </row>
    <row r="245" outlineLevel="1">
      <c r="B245" s="59" t="inlineStr">
        <is>
          <t>Distribution to LP</t>
        </is>
      </c>
      <c r="C245" s="59" t="n"/>
      <c r="D245" s="59" t="n"/>
      <c r="E245" s="59" t="n"/>
      <c r="F245" s="407">
        <f>IF(F235="","",F241)</f>
        <v/>
      </c>
      <c r="G245" s="407">
        <f>IF(G235="","",G241)</f>
        <v/>
      </c>
      <c r="H245" s="407">
        <f>IF(H235="","",H241)</f>
        <v/>
      </c>
      <c r="I245" s="407">
        <f>IF(I235="","",I241)</f>
        <v/>
      </c>
      <c r="J245" s="407">
        <f>IF(J235="","",J241)</f>
        <v/>
      </c>
      <c r="K245" s="407">
        <f>IF(K235="","",K241)</f>
        <v/>
      </c>
      <c r="L245" s="407">
        <f>IF(L235="","",L241)</f>
        <v/>
      </c>
      <c r="M245" s="407">
        <f>IF(M235="","",M241)</f>
        <v/>
      </c>
      <c r="N245" s="407">
        <f>IF(N235="","",N241)</f>
        <v/>
      </c>
      <c r="O245" s="407">
        <f>IF(O235="","",O241)</f>
        <v/>
      </c>
      <c r="P245" s="407">
        <f>IF(P235="","",P241)</f>
        <v/>
      </c>
    </row>
    <row r="246" outlineLevel="1">
      <c r="B246" s="59" t="inlineStr">
        <is>
          <t>Distribution to GP</t>
        </is>
      </c>
      <c r="C246" s="59" t="n"/>
      <c r="D246" s="59" t="n"/>
      <c r="E246" s="59" t="n"/>
      <c r="F246" s="407">
        <f>IF(F235="","",F245/$I$17*$H$17)</f>
        <v/>
      </c>
      <c r="G246" s="407">
        <f>IF(G235="","",G245/$I$17*$H$17)</f>
        <v/>
      </c>
      <c r="H246" s="407">
        <f>IF(H235="","",H245/$I$17*$H$17)</f>
        <v/>
      </c>
      <c r="I246" s="407">
        <f>IF(I235="","",I245/$I$17*$H$17)</f>
        <v/>
      </c>
      <c r="J246" s="407">
        <f>IF(J235="","",J245/$I$17*$H$17)</f>
        <v/>
      </c>
      <c r="K246" s="407">
        <f>IF(K235="","",K245/$I$17*$H$17)</f>
        <v/>
      </c>
      <c r="L246" s="407">
        <f>IF(L235="","",L245/$I$17*$H$17)</f>
        <v/>
      </c>
      <c r="M246" s="407">
        <f>IF(M235="","",M245/$I$17*$H$17)</f>
        <v/>
      </c>
      <c r="N246" s="407">
        <f>IF(N235="","",N245/$I$17*$H$17)</f>
        <v/>
      </c>
      <c r="O246" s="407">
        <f>IF(O235="","",O245/$I$17*$H$17)</f>
        <v/>
      </c>
      <c r="P246" s="407">
        <f>IF(P235="","",P245/$I$17*$H$17)</f>
        <v/>
      </c>
    </row>
    <row r="247" outlineLevel="1">
      <c r="B247" s="59">
        <f>"Total Distributions ("&amp;B235&amp;")"</f>
        <v/>
      </c>
      <c r="C247" s="59" t="n"/>
      <c r="D247" s="59" t="n"/>
      <c r="E247" s="59" t="n"/>
      <c r="F247" s="407">
        <f>IF(F235="","",F245+F246)</f>
        <v/>
      </c>
      <c r="G247" s="407">
        <f>IF(G235="","",G245+G246)</f>
        <v/>
      </c>
      <c r="H247" s="407">
        <f>IF(H235="","",H245+H246)</f>
        <v/>
      </c>
      <c r="I247" s="407">
        <f>IF(I235="","",I245+I246)</f>
        <v/>
      </c>
      <c r="J247" s="407">
        <f>IF(J235="","",J245+J246)</f>
        <v/>
      </c>
      <c r="K247" s="407">
        <f>IF(K235="","",K245+K246)</f>
        <v/>
      </c>
      <c r="L247" s="407">
        <f>IF(L235="","",L245+L246)</f>
        <v/>
      </c>
      <c r="M247" s="407">
        <f>IF(M235="","",M245+M246)</f>
        <v/>
      </c>
      <c r="N247" s="407">
        <f>IF(N235="","",N245+N246)</f>
        <v/>
      </c>
      <c r="O247" s="407">
        <f>IF(O235="","",O245+O246)</f>
        <v/>
      </c>
      <c r="P247" s="407">
        <f>IF(P235="","",P245+P246)</f>
        <v/>
      </c>
    </row>
    <row r="248" outlineLevel="1">
      <c r="B248" s="59" t="inlineStr">
        <is>
          <t>Cash Flow Remaining</t>
        </is>
      </c>
      <c r="C248" s="59" t="n"/>
      <c r="D248" s="59" t="n"/>
      <c r="E248" s="59" t="n"/>
      <c r="F248" s="407">
        <f>IF(F235="","",MAX(F$51-F217-F232-F247,0))</f>
        <v/>
      </c>
      <c r="G248" s="407">
        <f>IF(G235="","",MAX(G$51-G217-G232-G247,0))</f>
        <v/>
      </c>
      <c r="H248" s="407">
        <f>IF(H235="","",MAX(H$51-H217-H232-H247,0))</f>
        <v/>
      </c>
      <c r="I248" s="407">
        <f>IF(I235="","",MAX(I$51-I217-I232-I247,0))</f>
        <v/>
      </c>
      <c r="J248" s="407">
        <f>IF(J235="","",MAX(J$51-J217-J232-J247,0))</f>
        <v/>
      </c>
      <c r="K248" s="407">
        <f>IF(K235="","",MAX(K$51-K217-K232-K247,0))</f>
        <v/>
      </c>
      <c r="L248" s="407">
        <f>IF(L235="","",MAX(L$51-L217-L232-L247,0))</f>
        <v/>
      </c>
      <c r="M248" s="407">
        <f>IF(M235="","",MAX(M$51-M217-M232-M247,0))</f>
        <v/>
      </c>
      <c r="N248" s="407">
        <f>IF(N235="","",MAX(N$51-N217-N232-N247,0))</f>
        <v/>
      </c>
      <c r="O248" s="407">
        <f>IF(O235="","",MAX(O$51-O217-O232-O247,0))</f>
        <v/>
      </c>
      <c r="P248" s="407">
        <f>IF(P235="","",MAX(P$51-P217-P232-P247,0))</f>
        <v/>
      </c>
    </row>
    <row r="249" outlineLevel="1">
      <c r="B249" s="59" t="n"/>
      <c r="C249" s="59" t="n"/>
      <c r="D249" s="59" t="n"/>
      <c r="E249" s="59" t="n"/>
      <c r="F249" s="398" t="n"/>
      <c r="G249" s="398" t="n"/>
      <c r="H249" s="398" t="n"/>
      <c r="I249" s="398" t="n"/>
      <c r="J249" s="398" t="n"/>
      <c r="K249" s="398" t="n"/>
      <c r="L249" s="398" t="n"/>
      <c r="M249" s="398" t="n"/>
      <c r="N249" s="398" t="n"/>
      <c r="O249" s="398" t="n"/>
      <c r="P249" s="398" t="n"/>
    </row>
    <row r="250" outlineLevel="1" ht="15.75" customHeight="1">
      <c r="B250" s="433" t="inlineStr">
        <is>
          <t>Tier 4</t>
        </is>
      </c>
      <c r="C250" s="430" t="n"/>
      <c r="D250" s="430" t="n"/>
      <c r="E250" s="430" t="n"/>
      <c r="F250" s="431" t="inlineStr">
        <is>
          <t>Year 0</t>
        </is>
      </c>
      <c r="G250" s="827">
        <f>G$21</f>
        <v/>
      </c>
      <c r="H250" s="827">
        <f>H$21</f>
        <v/>
      </c>
      <c r="I250" s="827">
        <f>I$21</f>
        <v/>
      </c>
      <c r="J250" s="827">
        <f>J$21</f>
        <v/>
      </c>
      <c r="K250" s="827">
        <f>K$21</f>
        <v/>
      </c>
      <c r="L250" s="827">
        <f>L$21</f>
        <v/>
      </c>
      <c r="M250" s="827">
        <f>M$21</f>
        <v/>
      </c>
      <c r="N250" s="827">
        <f>N$21</f>
        <v/>
      </c>
      <c r="O250" s="827">
        <f>O$21</f>
        <v/>
      </c>
      <c r="P250" s="827">
        <f>P$21</f>
        <v/>
      </c>
    </row>
    <row r="251" outlineLevel="1">
      <c r="B251" s="454" t="inlineStr">
        <is>
          <t>Return Threshold - Up to:</t>
        </is>
      </c>
      <c r="C251" s="839">
        <f>E171</f>
        <v/>
      </c>
      <c r="D251" s="59" t="n"/>
      <c r="E251" s="59" t="n"/>
      <c r="F251" s="398" t="n"/>
      <c r="G251" s="833" t="n"/>
      <c r="H251" s="833" t="n"/>
      <c r="I251" s="833" t="n"/>
      <c r="J251" s="833" t="n"/>
      <c r="K251" s="833" t="n"/>
      <c r="L251" s="833" t="n"/>
      <c r="M251" s="833" t="n"/>
      <c r="N251" s="833" t="n"/>
      <c r="O251" s="833" t="n"/>
      <c r="P251" s="833" t="n"/>
    </row>
    <row r="252" outlineLevel="1">
      <c r="B252" s="59" t="inlineStr">
        <is>
          <t>Beginning Balance (LP Capital Account)</t>
        </is>
      </c>
      <c r="C252" s="59" t="n"/>
      <c r="D252" s="59" t="n"/>
      <c r="E252" s="59" t="n"/>
      <c r="F252" s="407">
        <f>IF(F250="","",E257)</f>
        <v/>
      </c>
      <c r="G252" s="407">
        <f>IF(G250="","",F257)</f>
        <v/>
      </c>
      <c r="H252" s="407">
        <f>IF(H250="","",G257)</f>
        <v/>
      </c>
      <c r="I252" s="407">
        <f>IF(I250="","",H257)</f>
        <v/>
      </c>
      <c r="J252" s="407">
        <f>IF(J250="","",I257)</f>
        <v/>
      </c>
      <c r="K252" s="407">
        <f>IF(K250="","",J257)</f>
        <v/>
      </c>
      <c r="L252" s="407">
        <f>IF(L250="","",K257)</f>
        <v/>
      </c>
      <c r="M252" s="407">
        <f>IF(M250="","",L257)</f>
        <v/>
      </c>
      <c r="N252" s="407">
        <f>IF(N250="","",M257)</f>
        <v/>
      </c>
      <c r="O252" s="407">
        <f>IF(O250="","",N257)</f>
        <v/>
      </c>
      <c r="P252" s="407">
        <f>IF(P250="","",O257)</f>
        <v/>
      </c>
    </row>
    <row r="253" outlineLevel="1">
      <c r="B253" s="59" t="inlineStr">
        <is>
          <t>Req'd Return by LP to hit Hurdle 4</t>
        </is>
      </c>
      <c r="C253" s="59" t="n"/>
      <c r="D253" s="59" t="n"/>
      <c r="E253" s="59" t="n"/>
      <c r="F253" s="407">
        <f>IF(F250="","",IF($D$165="Equity Multiple",E254*$C251-E254,F252*$C251))</f>
        <v/>
      </c>
      <c r="G253" s="407">
        <f>IF(G250="","",IF($D$165="Equity Multiple",F254*$C251-F254,G252*$C251))</f>
        <v/>
      </c>
      <c r="H253" s="407">
        <f>IF(H250="","",IF($D$165="Equity Multiple",G254*$C251-G254,H252*$C251))</f>
        <v/>
      </c>
      <c r="I253" s="407">
        <f>IF(I250="","",IF($D$165="Equity Multiple",H254*$C251-H254,I252*$C251))</f>
        <v/>
      </c>
      <c r="J253" s="407">
        <f>IF(J250="","",IF($D$165="Equity Multiple",I254*$C251-I254,J252*$C251))</f>
        <v/>
      </c>
      <c r="K253" s="407">
        <f>IF(K250="","",IF($D$165="Equity Multiple",J254*$C251-J254,K252*$C251))</f>
        <v/>
      </c>
      <c r="L253" s="407">
        <f>IF(L250="","",IF($D$165="Equity Multiple",K254*$C251-K254,L252*$C251))</f>
        <v/>
      </c>
      <c r="M253" s="407">
        <f>IF(M250="","",IF($D$165="Equity Multiple",L254*$C251-L254,M252*$C251))</f>
        <v/>
      </c>
      <c r="N253" s="407">
        <f>IF(N250="","",IF($D$165="Equity Multiple",M254*$C251-M254,N252*$C251))</f>
        <v/>
      </c>
      <c r="O253" s="407">
        <f>IF(O250="","",IF($D$165="Equity Multiple",N254*$C251-N254,O252*$C251))</f>
        <v/>
      </c>
      <c r="P253" s="407">
        <f>IF(P250="","",IF($D$165="Equity Multiple",O254*$C251-O254,P252*$C251))</f>
        <v/>
      </c>
    </row>
    <row r="254" outlineLevel="1">
      <c r="B254" s="59" t="inlineStr">
        <is>
          <t>Contributions from LP</t>
        </is>
      </c>
      <c r="C254" s="59" t="n"/>
      <c r="D254" s="59" t="n"/>
      <c r="E254" s="59" t="n"/>
      <c r="F254" s="407">
        <f>IF(F250="","",-MIN(0,F$51*Equity_Share_LP))</f>
        <v/>
      </c>
      <c r="G254" s="407">
        <f>IF(G250="","",-MIN(0,G$51*Equity_Share_LP))</f>
        <v/>
      </c>
      <c r="H254" s="407">
        <f>IF(H250="","",-MIN(0,H$51*Equity_Share_LP))</f>
        <v/>
      </c>
      <c r="I254" s="407">
        <f>IF(I250="","",-MIN(0,I$51*Equity_Share_LP))</f>
        <v/>
      </c>
      <c r="J254" s="407">
        <f>IF(J250="","",-MIN(0,J$51*Equity_Share_LP))</f>
        <v/>
      </c>
      <c r="K254" s="407">
        <f>IF(K250="","",-MIN(0,K$51*Equity_Share_LP))</f>
        <v/>
      </c>
      <c r="L254" s="407">
        <f>IF(L250="","",-MIN(0,L$51*Equity_Share_LP))</f>
        <v/>
      </c>
      <c r="M254" s="407">
        <f>IF(M250="","",-MIN(0,M$51*Equity_Share_LP))</f>
        <v/>
      </c>
      <c r="N254" s="407">
        <f>IF(N250="","",-MIN(0,N$51*Equity_Share_LP))</f>
        <v/>
      </c>
      <c r="O254" s="407">
        <f>IF(O250="","",-MIN(0,O$51*Equity_Share_LP))</f>
        <v/>
      </c>
      <c r="P254" s="407">
        <f>IF(P250="","",-MIN(0,P$51*Equity_Share_LP))</f>
        <v/>
      </c>
    </row>
    <row r="255" outlineLevel="1">
      <c r="B255" s="59" t="inlineStr">
        <is>
          <t>Prior Distributions</t>
        </is>
      </c>
      <c r="C255" s="59" t="n"/>
      <c r="D255" s="59" t="n"/>
      <c r="E255" s="59" t="n"/>
      <c r="F255" s="407">
        <f>IF(F250="","",F230+F208+F245)</f>
        <v/>
      </c>
      <c r="G255" s="407">
        <f>IF(G250="","",G230+G208+G245)</f>
        <v/>
      </c>
      <c r="H255" s="407">
        <f>IF(H250="","",H230+H208+H245)</f>
        <v/>
      </c>
      <c r="I255" s="407">
        <f>IF(I250="","",I230+I208+I245)</f>
        <v/>
      </c>
      <c r="J255" s="407">
        <f>IF(J250="","",J230+J208+J245)</f>
        <v/>
      </c>
      <c r="K255" s="407">
        <f>IF(K250="","",K230+K208+K245)</f>
        <v/>
      </c>
      <c r="L255" s="407">
        <f>IF(L250="","",L230+L208+L245)</f>
        <v/>
      </c>
      <c r="M255" s="407">
        <f>IF(M250="","",M230+M208+M245)</f>
        <v/>
      </c>
      <c r="N255" s="407">
        <f>IF(N250="","",N230+N208+N245)</f>
        <v/>
      </c>
      <c r="O255" s="407">
        <f>IF(O250="","",O230+O208+O245)</f>
        <v/>
      </c>
      <c r="P255" s="407">
        <f>IF(P250="","",P230+P208+P245)</f>
        <v/>
      </c>
    </row>
    <row r="256" outlineLevel="1">
      <c r="B256" s="59">
        <f>"Distributions to LP "&amp;B250</f>
        <v/>
      </c>
      <c r="C256" s="59" t="n"/>
      <c r="D256" s="59" t="n"/>
      <c r="E256" s="59" t="n"/>
      <c r="F256" s="407">
        <f>IF(F250="","",MIN(F252+F253-F255,F248*$I$18))</f>
        <v/>
      </c>
      <c r="G256" s="407">
        <f>IF(G250="","",MIN(G252+G253-G255,G248*$I$18))</f>
        <v/>
      </c>
      <c r="H256" s="407">
        <f>IF(H250="","",MIN(H252+H253-H255,H248*$I$18))</f>
        <v/>
      </c>
      <c r="I256" s="407">
        <f>IF(I250="","",MIN(I252+I253-I255,I248*$I$18))</f>
        <v/>
      </c>
      <c r="J256" s="407">
        <f>IF(J250="","",MIN(J252+J253-J255,J248*$I$18))</f>
        <v/>
      </c>
      <c r="K256" s="407">
        <f>IF(K250="","",MIN(K252+K253-K255,K248*$I$18))</f>
        <v/>
      </c>
      <c r="L256" s="407">
        <f>IF(L250="","",MIN(L252+L253-L255,L248*$I$18))</f>
        <v/>
      </c>
      <c r="M256" s="407">
        <f>IF(M250="","",MIN(M252+M253-M255,M248*$I$18))</f>
        <v/>
      </c>
      <c r="N256" s="407">
        <f>IF(N250="","",MIN(N252+N253-N255,N248*$I$18))</f>
        <v/>
      </c>
      <c r="O256" s="407">
        <f>IF(O250="","",MIN(O252+O253-O255,O248*$I$18))</f>
        <v/>
      </c>
      <c r="P256" s="407">
        <f>IF(P250="","",MIN(P252+P253-P255,P248*$I$18))</f>
        <v/>
      </c>
    </row>
    <row r="257" outlineLevel="1">
      <c r="B257" s="59" t="inlineStr">
        <is>
          <t>Ending Balance (LP Capital Account)</t>
        </is>
      </c>
      <c r="C257" s="59" t="n"/>
      <c r="D257" s="59" t="n"/>
      <c r="E257" s="59" t="n"/>
      <c r="F257" s="407">
        <f>IF(F250="","",F252+F253+F254-F255-F256)</f>
        <v/>
      </c>
      <c r="G257" s="407">
        <f>IF(G250="","",G252+G253+G254-G255-G256)</f>
        <v/>
      </c>
      <c r="H257" s="407">
        <f>IF(H250="","",H252+H253+H254-H255-H256)</f>
        <v/>
      </c>
      <c r="I257" s="407">
        <f>IF(I250="","",I252+I253+I254-I255-I256)</f>
        <v/>
      </c>
      <c r="J257" s="407">
        <f>IF(J250="","",J252+J253+J254-J255-J256)</f>
        <v/>
      </c>
      <c r="K257" s="407">
        <f>IF(K250="","",K252+K253+K254-K255-K256)</f>
        <v/>
      </c>
      <c r="L257" s="407">
        <f>IF(L250="","",L252+L253+L254-L255-L256)</f>
        <v/>
      </c>
      <c r="M257" s="407">
        <f>IF(M250="","",M252+M253+M254-M255-M256)</f>
        <v/>
      </c>
      <c r="N257" s="407">
        <f>IF(N250="","",N252+N253+N254-N255-N256)</f>
        <v/>
      </c>
      <c r="O257" s="407">
        <f>IF(O250="","",O252+O253+O254-O255-O256)</f>
        <v/>
      </c>
      <c r="P257" s="407">
        <f>IF(P250="","",P252+P253+P254-P255-P256)</f>
        <v/>
      </c>
    </row>
    <row r="258" outlineLevel="1">
      <c r="B258" s="834">
        <f>C251</f>
        <v/>
      </c>
      <c r="C258" s="59" t="n"/>
      <c r="D258" s="59" t="n"/>
      <c r="E258" s="838">
        <f>IF($D$165="IRR",IRR(F258:P258),SUMIF(F258:P258,"&gt;0")/-SUMIF(F258:P258,"&lt;0"))</f>
        <v/>
      </c>
      <c r="F258" s="407">
        <f>IF(F250="","",-F254+F255+F256)</f>
        <v/>
      </c>
      <c r="G258" s="407">
        <f>IF(G250="","",-G254+G255+G256)</f>
        <v/>
      </c>
      <c r="H258" s="407">
        <f>IF(H250="","",-H254+H255+H256)</f>
        <v/>
      </c>
      <c r="I258" s="407">
        <f>IF(I250="","",-I254+I255+I256)</f>
        <v/>
      </c>
      <c r="J258" s="407">
        <f>IF(J250="","",-J254+J255+J256)</f>
        <v/>
      </c>
      <c r="K258" s="407">
        <f>IF(K250="","",-K254+K255+K256)</f>
        <v/>
      </c>
      <c r="L258" s="407">
        <f>IF(L250="","",-L254+L255+L256)</f>
        <v/>
      </c>
      <c r="M258" s="407">
        <f>IF(M250="","",-M254+M255+M256)</f>
        <v/>
      </c>
      <c r="N258" s="407">
        <f>IF(N250="","",-N254+N255+N256)</f>
        <v/>
      </c>
      <c r="O258" s="407">
        <f>IF(O250="","",-O254+O255+O256)</f>
        <v/>
      </c>
      <c r="P258" s="407">
        <f>IF(P250="","",-P254+P255+P256)</f>
        <v/>
      </c>
    </row>
    <row r="259" outlineLevel="1">
      <c r="B259" s="74" t="n"/>
      <c r="C259" s="74" t="n"/>
      <c r="D259" s="74" t="n"/>
      <c r="E259" s="74" t="n"/>
      <c r="F259" s="458" t="n"/>
      <c r="G259" s="458" t="n"/>
      <c r="H259" s="458" t="n"/>
      <c r="I259" s="458" t="n"/>
      <c r="J259" s="458" t="n"/>
      <c r="K259" s="458" t="n"/>
      <c r="L259" s="458" t="n"/>
      <c r="M259" s="458" t="n"/>
      <c r="N259" s="458" t="n"/>
      <c r="O259" s="458" t="n"/>
      <c r="P259" s="458" t="n"/>
    </row>
    <row r="260" outlineLevel="1">
      <c r="B260" s="59" t="inlineStr">
        <is>
          <t>Distribution to LP</t>
        </is>
      </c>
      <c r="C260" s="59" t="n"/>
      <c r="D260" s="59" t="n"/>
      <c r="E260" s="59" t="n"/>
      <c r="F260" s="407">
        <f>IF(F250="","",F256)</f>
        <v/>
      </c>
      <c r="G260" s="407">
        <f>IF(G250="","",G256)</f>
        <v/>
      </c>
      <c r="H260" s="407">
        <f>IF(H250="","",H256)</f>
        <v/>
      </c>
      <c r="I260" s="407">
        <f>IF(I250="","",I256)</f>
        <v/>
      </c>
      <c r="J260" s="407">
        <f>IF(J250="","",J256)</f>
        <v/>
      </c>
      <c r="K260" s="407">
        <f>IF(K250="","",K256)</f>
        <v/>
      </c>
      <c r="L260" s="407">
        <f>IF(L250="","",L256)</f>
        <v/>
      </c>
      <c r="M260" s="407">
        <f>IF(M250="","",M256)</f>
        <v/>
      </c>
      <c r="N260" s="407">
        <f>IF(N250="","",N256)</f>
        <v/>
      </c>
      <c r="O260" s="407">
        <f>IF(O250="","",O256)</f>
        <v/>
      </c>
      <c r="P260" s="407">
        <f>IF(P250="","",P256)</f>
        <v/>
      </c>
    </row>
    <row r="261" outlineLevel="1">
      <c r="B261" s="59" t="inlineStr">
        <is>
          <t>Distribution to GP</t>
        </is>
      </c>
      <c r="C261" s="59" t="n"/>
      <c r="D261" s="59" t="n"/>
      <c r="E261" s="59" t="n"/>
      <c r="F261" s="407">
        <f>IF(F250="","",F260/$I$18*$H$18)</f>
        <v/>
      </c>
      <c r="G261" s="407">
        <f>IF(G250="","",G260/$I$18*$H$18)</f>
        <v/>
      </c>
      <c r="H261" s="407">
        <f>IF(H250="","",H260/$I$18*$H$18)</f>
        <v/>
      </c>
      <c r="I261" s="407">
        <f>IF(I250="","",I260/$I$18*$H$18)</f>
        <v/>
      </c>
      <c r="J261" s="407">
        <f>IF(J250="","",J260/$I$18*$H$18)</f>
        <v/>
      </c>
      <c r="K261" s="407">
        <f>IF(K250="","",K260/$I$18*$H$18)</f>
        <v/>
      </c>
      <c r="L261" s="407">
        <f>IF(L250="","",L260/$I$18*$H$18)</f>
        <v/>
      </c>
      <c r="M261" s="407">
        <f>IF(M250="","",M260/$I$18*$H$18)</f>
        <v/>
      </c>
      <c r="N261" s="407">
        <f>IF(N250="","",N260/$I$18*$H$18)</f>
        <v/>
      </c>
      <c r="O261" s="407">
        <f>IF(O250="","",O260/$I$18*$H$18)</f>
        <v/>
      </c>
      <c r="P261" s="407">
        <f>IF(P250="","",P260/$I$18*$H$18)</f>
        <v/>
      </c>
    </row>
    <row r="262" outlineLevel="1">
      <c r="B262" s="59">
        <f>"Total Distributions ("&amp;B250&amp;")"</f>
        <v/>
      </c>
      <c r="C262" s="59" t="n"/>
      <c r="D262" s="59" t="n"/>
      <c r="E262" s="59" t="n"/>
      <c r="F262" s="407">
        <f>IF(F250="","",F260+F261)</f>
        <v/>
      </c>
      <c r="G262" s="407">
        <f>IF(G250="","",G260+G261)</f>
        <v/>
      </c>
      <c r="H262" s="407">
        <f>IF(H250="","",H260+H261)</f>
        <v/>
      </c>
      <c r="I262" s="407">
        <f>IF(I250="","",I260+I261)</f>
        <v/>
      </c>
      <c r="J262" s="407">
        <f>IF(J250="","",J260+J261)</f>
        <v/>
      </c>
      <c r="K262" s="407">
        <f>IF(K250="","",K260+K261)</f>
        <v/>
      </c>
      <c r="L262" s="407">
        <f>IF(L250="","",L260+L261)</f>
        <v/>
      </c>
      <c r="M262" s="407">
        <f>IF(M250="","",M260+M261)</f>
        <v/>
      </c>
      <c r="N262" s="407">
        <f>IF(N250="","",N260+N261)</f>
        <v/>
      </c>
      <c r="O262" s="407">
        <f>IF(O250="","",O260+O261)</f>
        <v/>
      </c>
      <c r="P262" s="407">
        <f>IF(P250="","",P260+P261)</f>
        <v/>
      </c>
    </row>
    <row r="263" outlineLevel="1">
      <c r="B263" s="59" t="inlineStr">
        <is>
          <t>Cash Flow Remaining</t>
        </is>
      </c>
      <c r="C263" s="59" t="n"/>
      <c r="D263" s="59" t="n"/>
      <c r="E263" s="59" t="n"/>
      <c r="F263" s="407">
        <f>IF(F250="","",MAX(F$51-F217-F232-F247-F262,0))</f>
        <v/>
      </c>
      <c r="G263" s="407">
        <f>IF(G250="","",MAX(G$51-G217-G232-G247-G262,0))</f>
        <v/>
      </c>
      <c r="H263" s="407">
        <f>IF(H250="","",MAX(H$51-H217-H232-H247-H262,0))</f>
        <v/>
      </c>
      <c r="I263" s="407">
        <f>IF(I250="","",MAX(I$51-I217-I232-I247-I262,0))</f>
        <v/>
      </c>
      <c r="J263" s="407">
        <f>IF(J250="","",MAX(J$51-J217-J232-J247-J262,0))</f>
        <v/>
      </c>
      <c r="K263" s="407">
        <f>IF(K250="","",MAX(K$51-K217-K232-K247-K262,0))</f>
        <v/>
      </c>
      <c r="L263" s="407">
        <f>IF(L250="","",MAX(L$51-L217-L232-L247-L262,0))</f>
        <v/>
      </c>
      <c r="M263" s="407">
        <f>IF(M250="","",MAX(M$51-M217-M232-M247-M262,0))</f>
        <v/>
      </c>
      <c r="N263" s="407">
        <f>IF(N250="","",MAX(N$51-N217-N232-N247-N262,0))</f>
        <v/>
      </c>
      <c r="O263" s="407">
        <f>IF(O250="","",MAX(O$51-O217-O232-O247-O262,0))</f>
        <v/>
      </c>
      <c r="P263" s="407">
        <f>IF(P250="","",MAX(P$51-P217-P232-P247-P262,0))</f>
        <v/>
      </c>
    </row>
    <row r="264" outlineLevel="1">
      <c r="B264" s="59" t="n"/>
      <c r="C264" s="59" t="n"/>
      <c r="D264" s="59" t="n"/>
      <c r="E264" s="59" t="n"/>
      <c r="F264" s="398" t="n"/>
      <c r="G264" s="398" t="n"/>
      <c r="H264" s="398" t="n"/>
      <c r="I264" s="398" t="n"/>
      <c r="J264" s="398" t="n"/>
      <c r="K264" s="398" t="n"/>
      <c r="L264" s="398" t="n"/>
      <c r="M264" s="398" t="n"/>
      <c r="N264" s="398" t="n"/>
      <c r="O264" s="398" t="n"/>
      <c r="P264" s="398" t="n"/>
    </row>
    <row r="265" outlineLevel="1" ht="15.75" customHeight="1">
      <c r="B265" s="433" t="inlineStr">
        <is>
          <t>Tier 5</t>
        </is>
      </c>
      <c r="C265" s="430" t="n"/>
      <c r="D265" s="430" t="n"/>
      <c r="E265" s="430" t="n"/>
      <c r="F265" s="431" t="inlineStr">
        <is>
          <t>Year 0</t>
        </is>
      </c>
      <c r="G265" s="827">
        <f>G$21</f>
        <v/>
      </c>
      <c r="H265" s="827">
        <f>H$21</f>
        <v/>
      </c>
      <c r="I265" s="827">
        <f>I$21</f>
        <v/>
      </c>
      <c r="J265" s="827">
        <f>J$21</f>
        <v/>
      </c>
      <c r="K265" s="827">
        <f>K$21</f>
        <v/>
      </c>
      <c r="L265" s="827">
        <f>L$21</f>
        <v/>
      </c>
      <c r="M265" s="827">
        <f>M$21</f>
        <v/>
      </c>
      <c r="N265" s="827">
        <f>N$21</f>
        <v/>
      </c>
      <c r="O265" s="827">
        <f>O$21</f>
        <v/>
      </c>
      <c r="P265" s="827">
        <f>P$21</f>
        <v/>
      </c>
    </row>
    <row r="266" outlineLevel="1">
      <c r="B266" s="454" t="inlineStr">
        <is>
          <t>Return Threshold - Greater than:</t>
        </is>
      </c>
      <c r="C266" s="839">
        <f>C251</f>
        <v/>
      </c>
      <c r="D266" s="59" t="n"/>
      <c r="E266" s="59" t="n"/>
      <c r="F266" s="398" t="n"/>
      <c r="G266" s="833" t="n"/>
      <c r="H266" s="833" t="n"/>
      <c r="I266" s="833" t="n"/>
      <c r="J266" s="833" t="n"/>
      <c r="K266" s="833" t="n"/>
      <c r="L266" s="833" t="n"/>
      <c r="M266" s="833" t="n"/>
      <c r="N266" s="833" t="n"/>
      <c r="O266" s="833" t="n"/>
      <c r="P266" s="833" t="n"/>
    </row>
    <row r="267" outlineLevel="1">
      <c r="B267" s="59" t="inlineStr">
        <is>
          <t>Distribution to LP</t>
        </is>
      </c>
      <c r="C267" s="59" t="n"/>
      <c r="D267" s="59" t="n"/>
      <c r="E267" s="59" t="n"/>
      <c r="F267" s="407">
        <f>IF(F265="","",F263*$I$19)</f>
        <v/>
      </c>
      <c r="G267" s="407">
        <f>IF(G265="","",G263*$I$19)</f>
        <v/>
      </c>
      <c r="H267" s="407">
        <f>IF(H265="","",H263*$I$19)</f>
        <v/>
      </c>
      <c r="I267" s="407">
        <f>IF(I265="","",I263*$I$19)</f>
        <v/>
      </c>
      <c r="J267" s="407">
        <f>IF(J265="","",J263*$I$19)</f>
        <v/>
      </c>
      <c r="K267" s="407">
        <f>IF(K265="","",K263*$I$19)</f>
        <v/>
      </c>
      <c r="L267" s="407">
        <f>IF(L265="","",L263*$I$19)</f>
        <v/>
      </c>
      <c r="M267" s="407">
        <f>IF(M265="","",M263*$I$19)</f>
        <v/>
      </c>
      <c r="N267" s="407">
        <f>IF(N265="","",N263*$I$19)</f>
        <v/>
      </c>
      <c r="O267" s="407">
        <f>IF(O265="","",O263*$I$19)</f>
        <v/>
      </c>
      <c r="P267" s="407">
        <f>IF(P265="","",P263*$I$19)</f>
        <v/>
      </c>
    </row>
    <row r="268" outlineLevel="1">
      <c r="B268" s="59" t="inlineStr">
        <is>
          <t>Distribution to GP</t>
        </is>
      </c>
      <c r="C268" s="59" t="n"/>
      <c r="D268" s="59" t="n"/>
      <c r="E268" s="59" t="n"/>
      <c r="F268" s="407">
        <f>IF(F265="","",F263-F267)</f>
        <v/>
      </c>
      <c r="G268" s="407">
        <f>IF(G265="","",G263-G267)</f>
        <v/>
      </c>
      <c r="H268" s="407">
        <f>IF(H265="","",H263-H267)</f>
        <v/>
      </c>
      <c r="I268" s="407">
        <f>IF(I265="","",I263-I267)</f>
        <v/>
      </c>
      <c r="J268" s="407">
        <f>IF(J265="","",J263-J267)</f>
        <v/>
      </c>
      <c r="K268" s="407">
        <f>IF(K265="","",K263-K267)</f>
        <v/>
      </c>
      <c r="L268" s="407">
        <f>IF(L265="","",L263-L267)</f>
        <v/>
      </c>
      <c r="M268" s="407">
        <f>IF(M265="","",M263-M267)</f>
        <v/>
      </c>
      <c r="N268" s="407">
        <f>IF(N265="","",N263-N267)</f>
        <v/>
      </c>
      <c r="O268" s="407">
        <f>IF(O265="","",O263-O267)</f>
        <v/>
      </c>
      <c r="P268" s="407">
        <f>IF(P265="","",P263-P267)</f>
        <v/>
      </c>
    </row>
    <row r="269" outlineLevel="1">
      <c r="B269" s="59">
        <f>"Total Distributions ("&amp;B265&amp;")"</f>
        <v/>
      </c>
      <c r="C269" s="59" t="n"/>
      <c r="D269" s="59" t="n"/>
      <c r="E269" s="59" t="n"/>
      <c r="F269" s="407">
        <f>IF(F265="","",F267+F268)</f>
        <v/>
      </c>
      <c r="G269" s="407">
        <f>IF(G265="","",G267+G268)</f>
        <v/>
      </c>
      <c r="H269" s="407">
        <f>IF(H265="","",H267+H268)</f>
        <v/>
      </c>
      <c r="I269" s="407">
        <f>IF(I265="","",I267+I268)</f>
        <v/>
      </c>
      <c r="J269" s="407">
        <f>IF(J265="","",J267+J268)</f>
        <v/>
      </c>
      <c r="K269" s="407">
        <f>IF(K265="","",K267+K268)</f>
        <v/>
      </c>
      <c r="L269" s="407">
        <f>IF(L265="","",L267+L268)</f>
        <v/>
      </c>
      <c r="M269" s="407">
        <f>IF(M265="","",M267+M268)</f>
        <v/>
      </c>
      <c r="N269" s="407">
        <f>IF(N265="","",N267+N268)</f>
        <v/>
      </c>
      <c r="O269" s="407">
        <f>IF(O265="","",O267+O268)</f>
        <v/>
      </c>
      <c r="P269" s="407">
        <f>IF(P265="","",P267+P268)</f>
        <v/>
      </c>
    </row>
    <row r="270" outlineLevel="1">
      <c r="B270" s="59" t="inlineStr">
        <is>
          <t>Cash Flow Remaining</t>
        </is>
      </c>
      <c r="C270" s="59" t="n"/>
      <c r="D270" s="59" t="n"/>
      <c r="E270" s="59" t="n"/>
      <c r="F270" s="407">
        <f>IF(F265="","",F263-F269)</f>
        <v/>
      </c>
      <c r="G270" s="407">
        <f>IF(G265="","",G263-G269)</f>
        <v/>
      </c>
      <c r="H270" s="407">
        <f>IF(H265="","",H263-H269)</f>
        <v/>
      </c>
      <c r="I270" s="407">
        <f>IF(I265="","",I263-I269)</f>
        <v/>
      </c>
      <c r="J270" s="407">
        <f>IF(J265="","",J263-J269)</f>
        <v/>
      </c>
      <c r="K270" s="407">
        <f>IF(K265="","",K263-K269)</f>
        <v/>
      </c>
      <c r="L270" s="407">
        <f>IF(L265="","",L263-L269)</f>
        <v/>
      </c>
      <c r="M270" s="407">
        <f>IF(M265="","",M263-M269)</f>
        <v/>
      </c>
      <c r="N270" s="407">
        <f>IF(N265="","",N263-N269)</f>
        <v/>
      </c>
      <c r="O270" s="407">
        <f>IF(O265="","",O263-O269)</f>
        <v/>
      </c>
      <c r="P270" s="407">
        <f>IF(P265="","",P263-P269)</f>
        <v/>
      </c>
    </row>
    <row r="273">
      <c r="B273" s="467" t="inlineStr">
        <is>
          <t>2-Tier</t>
        </is>
      </c>
      <c r="C273" s="468" t="n"/>
    </row>
    <row r="274">
      <c r="B274" s="467" t="inlineStr">
        <is>
          <t>3-Tier</t>
        </is>
      </c>
      <c r="C274" s="468" t="n"/>
    </row>
    <row r="275">
      <c r="B275" s="467" t="inlineStr">
        <is>
          <t>4-Tier</t>
        </is>
      </c>
      <c r="C275" s="468" t="n"/>
    </row>
    <row r="276">
      <c r="B276" s="467" t="inlineStr">
        <is>
          <t>5-Tier</t>
        </is>
      </c>
      <c r="C276" s="468" t="n"/>
    </row>
    <row r="277">
      <c r="B277" s="342">
        <f>MATCH(D5,B273:B276)+1</f>
        <v/>
      </c>
    </row>
  </sheetData>
  <mergeCells count="6">
    <mergeCell ref="F166:G167"/>
    <mergeCell ref="H166:I166"/>
    <mergeCell ref="F58:G59"/>
    <mergeCell ref="H58:I58"/>
    <mergeCell ref="H13:I13"/>
    <mergeCell ref="F13:G14"/>
  </mergeCells>
  <conditionalFormatting sqref="C15:C19">
    <cfRule type="expression" priority="3" dxfId="4">
      <formula>$D$4="IRR"</formula>
    </cfRule>
  </conditionalFormatting>
  <conditionalFormatting sqref="D15:D19">
    <cfRule type="expression" priority="5" dxfId="3">
      <formula>$D$4="Equity Multiple"</formula>
    </cfRule>
  </conditionalFormatting>
  <conditionalFormatting sqref="E4:E6">
    <cfRule type="expression" priority="1" dxfId="0">
      <formula>$H$15&gt;=$C$9</formula>
    </cfRule>
  </conditionalFormatting>
  <conditionalFormatting sqref="E15:E18">
    <cfRule type="expression" priority="4" dxfId="1">
      <formula>$D$4="Equity Multiple"</formula>
    </cfRule>
  </conditionalFormatting>
  <conditionalFormatting sqref="E15:E19 J15:P19">
    <cfRule type="expression" priority="2" dxfId="0">
      <formula>$D$4="IRR + Emx"</formula>
    </cfRule>
  </conditionalFormatting>
  <conditionalFormatting sqref="L9">
    <cfRule type="expression" priority="6" dxfId="5">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s>
  <sheetFormatPr baseColWidth="8" defaultColWidth="0" defaultRowHeight="0" customHeight="1" zeroHeight="1" outlineLevelRow="1"/>
  <cols>
    <col width="1.140625" customWidth="1" style="342" min="1" max="1"/>
    <col width="29.5703125" customWidth="1" style="342" min="2" max="2"/>
    <col width="13.85546875" customWidth="1" style="342" min="3" max="3"/>
    <col width="16.140625" bestFit="1" customWidth="1" style="342" min="4" max="4"/>
    <col width="21.85546875" customWidth="1" style="342" min="5" max="5"/>
    <col width="12.42578125" bestFit="1" customWidth="1" style="343" min="6" max="7"/>
    <col width="15.42578125" customWidth="1" style="343" min="8" max="11"/>
    <col width="9.140625" customWidth="1" style="342" min="12" max="18"/>
    <col hidden="1" width="13" customWidth="1" style="342" min="19" max="32"/>
    <col hidden="1" width="9.140625" customWidth="1" style="342" min="33" max="16384"/>
  </cols>
  <sheetData>
    <row r="1" ht="6.75" customHeight="1"/>
    <row r="2" ht="18.75" customHeight="1">
      <c r="B2" s="344" t="inlineStr">
        <is>
          <t>PARTNERSHIP LEVEL RETURNS - EQUITY WATERFALL (IRR &amp; EQUITY MULTIPLE HURDLES)</t>
        </is>
      </c>
      <c r="C2" s="345" t="n"/>
      <c r="D2" s="345" t="n"/>
      <c r="E2" s="345" t="n"/>
      <c r="F2" s="346" t="n"/>
      <c r="G2" s="346" t="n"/>
      <c r="H2" s="346" t="n"/>
      <c r="I2" s="346" t="n"/>
      <c r="J2" s="346" t="n"/>
      <c r="K2" s="346" t="n"/>
    </row>
    <row r="3" ht="5.1" customHeight="1">
      <c r="B3" s="146" t="n"/>
      <c r="C3" s="74" t="n"/>
      <c r="D3" s="74" t="n"/>
      <c r="E3" s="74" t="n"/>
      <c r="F3" s="347" t="n"/>
      <c r="G3" s="347" t="n"/>
      <c r="H3" s="347" t="n"/>
      <c r="I3" s="347" t="n"/>
      <c r="J3" s="347" t="n"/>
      <c r="K3" s="347" t="n"/>
    </row>
    <row r="4" ht="15.75" customHeight="1">
      <c r="B4" s="146" t="inlineStr">
        <is>
          <t>Promote Hurdle Method</t>
        </is>
      </c>
      <c r="C4" s="74" t="n"/>
      <c r="D4" s="348" t="inlineStr">
        <is>
          <t>IRR</t>
        </is>
      </c>
      <c r="E4" s="349" t="inlineStr">
        <is>
          <t>GP Catch Up?</t>
        </is>
      </c>
      <c r="F4" s="350" t="n"/>
      <c r="G4" s="350" t="n"/>
      <c r="H4" s="350" t="n"/>
      <c r="I4" s="350" t="n"/>
      <c r="J4" s="347" t="n"/>
      <c r="K4" s="347" t="n"/>
    </row>
    <row r="5" ht="15.75" customHeight="1">
      <c r="B5" s="146" t="inlineStr">
        <is>
          <t># of Tiers</t>
        </is>
      </c>
      <c r="C5" s="74" t="n"/>
      <c r="D5" s="348" t="inlineStr">
        <is>
          <t>3-Tier</t>
        </is>
      </c>
      <c r="E5" s="349" t="n"/>
      <c r="F5" s="350" t="n"/>
      <c r="G5" s="350" t="n"/>
      <c r="H5" s="350" t="n"/>
      <c r="I5" s="350" t="n"/>
      <c r="J5" s="347" t="n"/>
      <c r="K5" s="347" t="n"/>
    </row>
    <row r="6" ht="15.75" customHeight="1">
      <c r="A6" s="342">
        <f>AND(E6="Yes", H15&lt;Equity_Share_GP)</f>
        <v/>
      </c>
      <c r="B6" s="146" t="inlineStr">
        <is>
          <t>Return of Capital</t>
        </is>
      </c>
      <c r="C6" s="74" t="n"/>
      <c r="D6" s="351">
        <f>IF(H15&lt;Equity_Share_GP,"LP 1st","Pari Passu")</f>
        <v/>
      </c>
      <c r="E6" s="352" t="inlineStr">
        <is>
          <t>Yes</t>
        </is>
      </c>
      <c r="F6" s="350" t="n"/>
      <c r="G6" s="350" t="n"/>
      <c r="H6" s="350" t="n"/>
      <c r="I6" s="350" t="n"/>
      <c r="J6" s="347" t="n"/>
      <c r="K6" s="347" t="n"/>
    </row>
    <row r="7" ht="5.1" customHeight="1">
      <c r="B7" s="59" t="n"/>
      <c r="C7" s="59" t="n"/>
      <c r="D7" s="353" t="n"/>
      <c r="F7" s="150" t="n"/>
      <c r="G7" s="150" t="n"/>
      <c r="H7" s="150" t="n"/>
      <c r="I7" s="150" t="n"/>
      <c r="J7" s="208" t="n"/>
      <c r="K7" s="208" t="n"/>
    </row>
    <row r="8" ht="16.5" customHeight="1" thickBot="1">
      <c r="B8" s="354" t="inlineStr">
        <is>
          <t>Equity Contributions</t>
        </is>
      </c>
      <c r="C8" s="355" t="inlineStr">
        <is>
          <t>%</t>
        </is>
      </c>
      <c r="D8" s="355" t="inlineStr">
        <is>
          <t>Amount</t>
        </is>
      </c>
      <c r="F8" s="356" t="n"/>
      <c r="G8" s="150" t="n"/>
      <c r="H8" s="150" t="n"/>
      <c r="I8" s="150" t="n"/>
      <c r="J8" s="208" t="n"/>
      <c r="K8" s="208" t="n"/>
    </row>
    <row r="9" ht="15" customHeight="1">
      <c r="B9" s="59" t="inlineStr">
        <is>
          <t>General Partner (GP)</t>
        </is>
      </c>
      <c r="C9" s="798">
        <f>'Sources and Uses'!E8</f>
        <v/>
      </c>
      <c r="D9" s="358">
        <f>Equity_Share_GP*Total_Equity</f>
        <v/>
      </c>
      <c r="E9" s="59" t="n"/>
      <c r="F9" s="359" t="n"/>
      <c r="G9" s="360" t="n"/>
      <c r="H9" s="208" t="n"/>
      <c r="I9" s="208" t="n"/>
      <c r="J9" s="208" t="n"/>
      <c r="K9" s="361" t="inlineStr">
        <is>
          <t>Error Check:</t>
        </is>
      </c>
    </row>
    <row r="10" ht="15" customHeight="1">
      <c r="B10" s="59" t="inlineStr">
        <is>
          <t>Limited Partner (LP)</t>
        </is>
      </c>
      <c r="C10" s="799">
        <f>1-C9</f>
        <v/>
      </c>
      <c r="D10" s="364">
        <f>Total_Equity*Equity_Share_LP</f>
        <v/>
      </c>
      <c r="E10" s="59" t="n"/>
      <c r="F10" s="359" t="n"/>
      <c r="G10" s="360" t="n"/>
      <c r="H10" s="208" t="n"/>
      <c r="I10" s="208" t="n"/>
      <c r="J10" s="208" t="n"/>
      <c r="K10" s="365" t="inlineStr">
        <is>
          <t>Profit Dist.:</t>
        </is>
      </c>
    </row>
    <row r="11" ht="15.75" customHeight="1" thickBot="1">
      <c r="B11" s="59" t="inlineStr">
        <is>
          <t>Total Equity</t>
        </is>
      </c>
      <c r="C11" s="801" t="n"/>
      <c r="D11" s="358">
        <f>-SUMIF(F51:K51,"&lt;0")</f>
        <v/>
      </c>
      <c r="E11" s="59" t="n"/>
      <c r="F11" s="359" t="n"/>
      <c r="G11" s="360" t="n"/>
      <c r="H11" s="208" t="n"/>
      <c r="I11" s="208" t="n"/>
      <c r="J11" s="208" t="n"/>
      <c r="K11" s="368" t="inlineStr">
        <is>
          <t>Net BTCF:</t>
        </is>
      </c>
    </row>
    <row r="12" ht="5.1" customHeight="1">
      <c r="B12" s="59" t="n"/>
      <c r="C12" s="801" t="n"/>
      <c r="D12" s="803" t="n"/>
      <c r="E12" s="59" t="n"/>
      <c r="F12" s="359" t="n"/>
      <c r="G12" s="360" t="n"/>
      <c r="H12" s="208" t="n"/>
      <c r="I12" s="208" t="n"/>
      <c r="J12" s="208" t="n"/>
      <c r="K12" s="208" t="n"/>
    </row>
    <row r="13" ht="15" customHeight="1">
      <c r="B13" s="371" t="inlineStr">
        <is>
          <t>Hurdle Rate Method Used:</t>
        </is>
      </c>
      <c r="C13" s="372">
        <f>IF(D4="IRR","IRR",IF(D4="Equity Multiple","Equity Multiple",IF(D4&lt;&gt;"IRR + EMx","",IF(D71&lt;D179,"IRR","Equity Multiple"))))</f>
        <v/>
      </c>
      <c r="D13" s="373" t="n"/>
      <c r="E13" s="374" t="n"/>
      <c r="F13" s="736" t="inlineStr">
        <is>
          <t>Promote Structure Incentive Breakdown</t>
        </is>
      </c>
      <c r="H13" s="737" t="inlineStr">
        <is>
          <t>Distribution as %</t>
        </is>
      </c>
      <c r="J13" s="375" t="n"/>
      <c r="K13" s="375" t="n"/>
    </row>
    <row r="14" ht="15.75" customHeight="1">
      <c r="B14" s="354">
        <f>IF(D4="Equity Multiple","Partnership Distribution Assumptions (Equity Multiple Hurdles)",IF(D4="IRR","Partnership Distribution Assumptions (IRR Hurdles)","Partnership Distribution Assumptions (Max of IRR or Emx Hurdles)"))</f>
        <v/>
      </c>
      <c r="C14" s="374" t="n"/>
      <c r="D14" s="373" t="n"/>
      <c r="E14" s="374" t="n"/>
      <c r="H14" s="355" t="inlineStr">
        <is>
          <t>GP %</t>
        </is>
      </c>
      <c r="I14" s="376" t="inlineStr">
        <is>
          <t>LP %</t>
        </is>
      </c>
      <c r="J14" s="376" t="inlineStr">
        <is>
          <t>Notes</t>
        </is>
      </c>
      <c r="K14" s="375" t="n"/>
    </row>
    <row r="15" ht="15" customHeight="1">
      <c r="B15" s="59" t="inlineStr">
        <is>
          <t>Tier 1 (Pref + Return of Capital)</t>
        </is>
      </c>
      <c r="C15" s="377" t="inlineStr">
        <is>
          <t>Equity Multiple</t>
        </is>
      </c>
      <c r="D15" s="378" t="inlineStr">
        <is>
          <t>IRR</t>
        </is>
      </c>
      <c r="E15" s="804">
        <f>IF($D$4="Equity Multiple",C16,D16)</f>
        <v/>
      </c>
      <c r="F15" s="805" t="inlineStr">
        <is>
          <t>GP Promote</t>
        </is>
      </c>
      <c r="G15" s="806" t="n"/>
      <c r="H15" s="807">
        <f>Equity_Share_GP</f>
        <v/>
      </c>
      <c r="I15" s="801">
        <f>1-H15</f>
        <v/>
      </c>
      <c r="J15" s="383">
        <f>IF(I15=Equity_Share_LP,"Pref prorata to LP/GP, then Pro rata return of capital",IF(CU?,"Return of capital and Pref NOT pro rata + GP Catch Up","Return of capital and Pref NOT pro rata"))</f>
        <v/>
      </c>
      <c r="K15" s="383" t="n"/>
    </row>
    <row r="16" ht="15" customHeight="1">
      <c r="B16" s="59" t="inlineStr">
        <is>
          <t>Tier 2 (Promote)</t>
        </is>
      </c>
      <c r="C16" s="808" t="n">
        <v>1</v>
      </c>
      <c r="D16" s="809" t="n">
        <v>0.08</v>
      </c>
      <c r="E16" s="810">
        <f>IF($D$4="Equity Multiple",IF(B277&lt;3,"",C17),IF(B277&lt;3,"",D17))</f>
        <v/>
      </c>
      <c r="F16" s="807" t="n">
        <v>0.25</v>
      </c>
      <c r="G16" s="801" t="n"/>
      <c r="H16" s="811">
        <f>1-(Equity_Share_LP*(1-F16))</f>
        <v/>
      </c>
      <c r="I16" s="801">
        <f>1-H16</f>
        <v/>
      </c>
      <c r="J16" s="383">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83" t="n"/>
    </row>
    <row r="17" ht="15" customHeight="1">
      <c r="B17" s="59">
        <f>IF(B277&lt;3,"NOT USED","Tier 3 (Promote)")</f>
        <v/>
      </c>
      <c r="C17" s="808" t="n">
        <v>1.5</v>
      </c>
      <c r="D17" s="809" t="n">
        <v>0.12</v>
      </c>
      <c r="E17" s="810">
        <f>IF($D$4="Equity Multiple",IF(B277&lt;4,"",C18),IF(B277&lt;4,"",D18))</f>
        <v/>
      </c>
      <c r="F17" s="807" t="n">
        <v>0.4</v>
      </c>
      <c r="G17" s="801" t="n"/>
      <c r="H17" s="811">
        <f>1-(Equity_Share_LP*(1-F17))</f>
        <v/>
      </c>
      <c r="I17" s="801">
        <f>1-H17</f>
        <v/>
      </c>
      <c r="J17" s="383">
        <f>TEXT(I16,"0.0%")&amp;"/"&amp;TEXT(H16,"0.0%")&amp;" to "&amp;(IF(D4="IRR",TEXT(E16,"0.0%"),TEXT(E16,"0.0X")))&amp;", then "&amp;TEXT(I17,"0.0%")&amp;"/"&amp;TEXT(H17,"0.0%")&amp;" to "&amp;(IF(D4="IRR",TEXT(E17,"0.0%"),TEXT(E17,"0.0X")))</f>
        <v/>
      </c>
      <c r="K17" s="383" t="n"/>
    </row>
    <row r="18" ht="15" customHeight="1">
      <c r="B18" s="59">
        <f>IF(B277&lt;4,"NOT USED","Tier 4 (Promote)")</f>
        <v/>
      </c>
      <c r="C18" s="808" t="n">
        <v>2</v>
      </c>
      <c r="D18" s="809" t="n">
        <v>0.15</v>
      </c>
      <c r="E18" s="810">
        <f>IF($D$4="Equity Multiple",IF(B277&lt;5,"",C19),IF(B277&lt;5,"",D19))</f>
        <v/>
      </c>
      <c r="F18" s="807" t="n">
        <v>0.4</v>
      </c>
      <c r="G18" s="801" t="n"/>
      <c r="H18" s="811">
        <f>1-(Equity_Share_LP*(1-F18))</f>
        <v/>
      </c>
      <c r="I18" s="801">
        <f>1-H18</f>
        <v/>
      </c>
      <c r="J18" s="383">
        <f>TEXT(I17,"0.0%")&amp;"/"&amp;TEXT(H17,"0.0%")&amp;" to "&amp;(IF(D4="IRR",TEXT(E17,"0.0%"),TEXT(E17,"0.0X")))&amp;", then "&amp;TEXT(I18,"0.0%")&amp;"/"&amp;TEXT(H18,"0.0%")&amp;" thereafter"</f>
        <v/>
      </c>
      <c r="K18" s="383" t="n"/>
    </row>
    <row r="19" ht="15" customHeight="1">
      <c r="B19" s="59">
        <f>IF(B277&lt;5,"NOT USED","Tier 5 (Promote)")</f>
        <v/>
      </c>
      <c r="C19" s="808" t="n">
        <v>2.5</v>
      </c>
      <c r="D19" s="809" t="n">
        <v>0.18</v>
      </c>
      <c r="E19" s="810" t="n"/>
      <c r="F19" s="807" t="n">
        <v>0.5</v>
      </c>
      <c r="G19" s="801" t="n"/>
      <c r="H19" s="811">
        <f>1-(Equity_Share_LP*(1-F19))</f>
        <v/>
      </c>
      <c r="I19" s="801">
        <f>1-H19</f>
        <v/>
      </c>
      <c r="J19" s="383">
        <f>TEXT(I18,"0.0%")&amp;"/"&amp;TEXT(H18,"0.0%")&amp;" to "&amp;(IF(D6="IRR",TEXT(E18,"0.0%"),TEXT(E18,"0.0X")))&amp;", then "&amp;TEXT(I19,"0.0%")&amp;"/"&amp;TEXT(H19,"0.0%")&amp;" thereafter"</f>
        <v/>
      </c>
      <c r="K19" s="383" t="n"/>
    </row>
    <row r="20" ht="5.1" customHeight="1">
      <c r="B20" s="59" t="n"/>
      <c r="C20" s="59" t="n"/>
      <c r="D20" s="812" t="n"/>
      <c r="E20" s="810" t="n"/>
      <c r="F20" s="360" t="n"/>
      <c r="G20" s="389" t="n"/>
      <c r="H20" s="390" t="n"/>
      <c r="I20" s="390" t="n"/>
      <c r="J20" s="208" t="n"/>
      <c r="K20" s="208" t="n"/>
    </row>
    <row r="21" ht="15.75" customHeight="1">
      <c r="B21" s="354" t="inlineStr">
        <is>
          <t>Summary of Partnership-Level Returns</t>
        </is>
      </c>
      <c r="C21" s="374" t="n"/>
      <c r="D21" s="813" t="inlineStr">
        <is>
          <t>Analysis Period</t>
        </is>
      </c>
      <c r="E21" s="814">
        <f>MAX(F21:K21)</f>
        <v/>
      </c>
      <c r="F21" s="815" t="n">
        <v>0</v>
      </c>
      <c r="G21" s="815">
        <f>IF(G47="","",F21+1)</f>
        <v/>
      </c>
      <c r="H21" s="815">
        <f>IF(H47="","",G21+1)</f>
        <v/>
      </c>
      <c r="I21" s="815">
        <f>IF(I47="","",H21+1)</f>
        <v/>
      </c>
      <c r="J21" s="815">
        <f>IF(J47="","",I21+1)</f>
        <v/>
      </c>
      <c r="K21" s="815">
        <f>IF(K47="","",J21+1)</f>
        <v/>
      </c>
    </row>
    <row r="22" ht="15" customHeight="1">
      <c r="B22" s="394" t="inlineStr">
        <is>
          <t>Limited Partner (LP) Returns</t>
        </is>
      </c>
      <c r="C22" s="59" t="n"/>
      <c r="D22" s="812" t="n"/>
      <c r="E22" s="810" t="n"/>
      <c r="F22" s="395" t="n"/>
      <c r="G22" s="396" t="n"/>
      <c r="H22" s="397" t="n"/>
      <c r="I22" s="397" t="n"/>
      <c r="J22" s="398" t="n"/>
      <c r="K22" s="398" t="n"/>
    </row>
    <row r="23" ht="15" customHeight="1">
      <c r="B23" s="399" t="n"/>
      <c r="C23" s="400" t="inlineStr">
        <is>
          <t>Check</t>
        </is>
      </c>
      <c r="D23" s="401" t="n"/>
      <c r="E23" s="810" t="n"/>
      <c r="F23" s="358" t="n"/>
      <c r="G23" s="358" t="n"/>
      <c r="H23" s="358" t="n"/>
      <c r="I23" s="358" t="n"/>
      <c r="J23" s="358" t="n"/>
      <c r="K23" s="358" t="n"/>
    </row>
    <row r="24" ht="15" customHeight="1">
      <c r="B24" s="399" t="inlineStr">
        <is>
          <t>Preferred Return</t>
        </is>
      </c>
      <c r="C24" s="402">
        <f>IF(ROUND(D24,0)=ROUND(SUM(F24:K24),0),"OK","ERROR")</f>
        <v/>
      </c>
      <c r="D24" s="130">
        <f>(C13="IRR")*(SUM(F97:K97)-D25)+(C13="Equity Multiple")*(SUM(F205:K205)-D25)</f>
        <v/>
      </c>
      <c r="E24" s="810" t="n"/>
      <c r="F24" s="358">
        <f>IF(F21="","",MIN($D24-SUM($E24:E24),F27))</f>
        <v/>
      </c>
      <c r="G24" s="358">
        <f>IF(G21="","",MIN($D24-SUM($E24:F24),G27))</f>
        <v/>
      </c>
      <c r="H24" s="358">
        <f>IF(H21="","",MIN($D24-SUM($E24:G24),H27))</f>
        <v/>
      </c>
      <c r="I24" s="358">
        <f>IF(I21="","",MIN($D24-SUM($E24:H24),I27))</f>
        <v/>
      </c>
      <c r="J24" s="358">
        <f>IF(J21="","",MIN($D24-SUM($E24:I24),J27))</f>
        <v/>
      </c>
      <c r="K24" s="358">
        <f>IF(K21="","",MIN($D24-SUM($E24:J24),K27))</f>
        <v/>
      </c>
    </row>
    <row r="25" ht="15" customHeight="1">
      <c r="B25" s="399" t="inlineStr">
        <is>
          <t>Return of Capital</t>
        </is>
      </c>
      <c r="C25" s="402">
        <f>IF(ROUND(D25,0)=ROUND(SUM(F25:K25),0),"OK","ERROR")</f>
        <v/>
      </c>
      <c r="D25" s="401">
        <f>MIN(D28,D27)</f>
        <v/>
      </c>
      <c r="E25" s="810" t="n"/>
      <c r="F25" s="358">
        <f>IF(F21="","",MIN($D25-SUM($E25:E25),F27-F24))</f>
        <v/>
      </c>
      <c r="G25" s="358">
        <f>IF(G21="","",MIN($D25-SUM($E25:F25),G27-G24))</f>
        <v/>
      </c>
      <c r="H25" s="358">
        <f>IF(H21="","",MIN($D25-SUM($E25:G25),H27-H24))</f>
        <v/>
      </c>
      <c r="I25" s="358">
        <f>IF(I21="","",MIN($D25-SUM($E25:H25),I27-I24))</f>
        <v/>
      </c>
      <c r="J25" s="358">
        <f>IF(J21="","",MIN($D25-SUM($E25:I25),J27-J24))</f>
        <v/>
      </c>
      <c r="K25" s="358">
        <f>IF(K21="","",MIN($D25-SUM($E25:J25),K27-K24))</f>
        <v/>
      </c>
    </row>
    <row r="26" ht="17.25" customHeight="1">
      <c r="B26" s="399" t="inlineStr">
        <is>
          <t>Excess Cash Flow</t>
        </is>
      </c>
      <c r="C26" s="402">
        <f>IF(ROUND(D26,0)=ROUND(SUM(F26:K26),0),"OK","ERROR")</f>
        <v/>
      </c>
      <c r="D26" s="403">
        <f>D27-D25-D24</f>
        <v/>
      </c>
      <c r="E26" s="810" t="n"/>
      <c r="F26" s="404">
        <f>IF(F21="","",F27-F25-F24)</f>
        <v/>
      </c>
      <c r="G26" s="404">
        <f>IF(G21="","",G27-G25-G24)</f>
        <v/>
      </c>
      <c r="H26" s="404">
        <f>IF(H21="","",H27-H25-H24)</f>
        <v/>
      </c>
      <c r="I26" s="404">
        <f>IF(I21="","",I27-I25-I24)</f>
        <v/>
      </c>
      <c r="J26" s="404">
        <f>IF(J21="","",J27-J25-J24)</f>
        <v/>
      </c>
      <c r="K26" s="404">
        <f>IF(K21="","",K27-K25-K24)</f>
        <v/>
      </c>
    </row>
    <row r="27" ht="15" customHeight="1">
      <c r="B27" s="399" t="inlineStr">
        <is>
          <t>Total LP Distributions</t>
        </is>
      </c>
      <c r="C27" s="405" t="n"/>
      <c r="D27" s="401">
        <f>SUM(F27:K27)</f>
        <v/>
      </c>
      <c r="E27" s="810" t="n"/>
      <c r="F27" s="358">
        <f>IF(F$21="","",($C$13="IRR")*F68+($C$13="Equity Multiple")*F176)</f>
        <v/>
      </c>
      <c r="G27" s="358">
        <f>IF(G$21="","",($C$13="IRR")*G68+($C$13="Equity Multiple")*G176)</f>
        <v/>
      </c>
      <c r="H27" s="358">
        <f>IF(H$21="","",($C$13="IRR")*H68+($C$13="Equity Multiple")*H176)</f>
        <v/>
      </c>
      <c r="I27" s="358">
        <f>IF(I$21="","",($C$13="IRR")*I68+($C$13="Equity Multiple")*I176)</f>
        <v/>
      </c>
      <c r="J27" s="358">
        <f>IF(J$21="","",($C$13="IRR")*J68+($C$13="Equity Multiple")*J176)</f>
        <v/>
      </c>
      <c r="K27" s="358">
        <f>IF(K$21="","",($C$13="IRR")*K68+($C$13="Equity Multiple")*K176)</f>
        <v/>
      </c>
    </row>
    <row r="28" ht="15" customHeight="1">
      <c r="B28" s="399" t="inlineStr">
        <is>
          <t>Total LP Contributions</t>
        </is>
      </c>
      <c r="C28" s="405" t="n"/>
      <c r="D28" s="401">
        <f>SUM(F28:K28)</f>
        <v/>
      </c>
      <c r="E28" s="810" t="n"/>
      <c r="F28" s="358">
        <f>F96</f>
        <v/>
      </c>
      <c r="G28" s="358">
        <f>G96</f>
        <v/>
      </c>
      <c r="H28" s="358">
        <f>H96</f>
        <v/>
      </c>
      <c r="I28" s="358">
        <f>I96</f>
        <v/>
      </c>
      <c r="J28" s="358">
        <f>J96</f>
        <v/>
      </c>
      <c r="K28" s="358">
        <f>K96</f>
        <v/>
      </c>
    </row>
    <row r="29" ht="15" customHeight="1">
      <c r="B29" s="399" t="inlineStr">
        <is>
          <t>Total LP Profit</t>
        </is>
      </c>
      <c r="C29" s="405" t="n"/>
      <c r="D29" s="401">
        <f>D27-D28</f>
        <v/>
      </c>
      <c r="E29" s="810" t="n"/>
      <c r="F29" s="406" t="n"/>
      <c r="G29" s="358" t="n"/>
      <c r="H29" s="407" t="n"/>
      <c r="I29" s="407" t="n"/>
      <c r="J29" s="407" t="n"/>
      <c r="K29" s="407" t="n"/>
    </row>
    <row r="30" ht="15" customHeight="1">
      <c r="B30" s="408" t="inlineStr">
        <is>
          <t>LP IRR</t>
        </is>
      </c>
      <c r="C30" s="409" t="n"/>
      <c r="D30" s="410">
        <f>IRR(F30:K30)</f>
        <v/>
      </c>
      <c r="E30" s="810" t="n"/>
      <c r="F30" s="358">
        <f>IF(F21="","",(-F28)+F27)</f>
        <v/>
      </c>
      <c r="G30" s="358">
        <f>IF(G21="","",(-G28)+G27)</f>
        <v/>
      </c>
      <c r="H30" s="358">
        <f>IF(H21="","",(-H28)+H27)</f>
        <v/>
      </c>
      <c r="I30" s="358">
        <f>IF(I21="","",(-I28)+I27)</f>
        <v/>
      </c>
      <c r="J30" s="358">
        <f>IF(J21="","",(-J28)+J27)</f>
        <v/>
      </c>
      <c r="K30" s="358">
        <f>IF(K21="","",(-K28)+K27)</f>
        <v/>
      </c>
    </row>
    <row r="31" ht="15" customHeight="1">
      <c r="B31" s="408" t="inlineStr">
        <is>
          <t>LP Equity Multiple</t>
        </is>
      </c>
      <c r="C31" s="409" t="n"/>
      <c r="D31" s="816">
        <f>D27/D28</f>
        <v/>
      </c>
      <c r="E31" s="810" t="n"/>
      <c r="F31" s="406" t="n"/>
      <c r="G31" s="817">
        <f>IF($D$4="IRR", G30/G93,G30/G201)</f>
        <v/>
      </c>
      <c r="H31" s="817">
        <f>IF($D$4="IRR", H30/H93,H30/H201)</f>
        <v/>
      </c>
      <c r="I31" s="817">
        <f>IF($D$4="IRR", I30/I93,I30/I201)</f>
        <v/>
      </c>
      <c r="J31" s="817">
        <f>IF($D$4="IRR", J30/J93,J30/J201)</f>
        <v/>
      </c>
      <c r="K31" s="817">
        <f>IF($D$4="IRR", K30/K93,K30/K201)</f>
        <v/>
      </c>
    </row>
    <row r="32" ht="5.1" customHeight="1">
      <c r="B32" s="399" t="n"/>
      <c r="C32" s="405" t="n"/>
      <c r="D32" s="812" t="n"/>
      <c r="E32" s="810" t="n"/>
      <c r="F32" s="406" t="n"/>
      <c r="G32" s="358" t="n"/>
      <c r="H32" s="407" t="n"/>
      <c r="I32" s="407" t="n"/>
      <c r="J32" s="407" t="n"/>
      <c r="K32" s="407" t="n"/>
    </row>
    <row r="33" ht="15" customHeight="1">
      <c r="B33" s="394" t="inlineStr">
        <is>
          <t>GP Returns</t>
        </is>
      </c>
      <c r="C33" s="405" t="n"/>
      <c r="D33" s="812" t="n"/>
      <c r="E33" s="810" t="n"/>
      <c r="F33" s="406" t="n"/>
      <c r="G33" s="358" t="n"/>
      <c r="H33" s="407" t="n"/>
      <c r="I33" s="407" t="n"/>
      <c r="J33" s="407" t="n"/>
      <c r="K33" s="407" t="n"/>
    </row>
    <row r="34" ht="15" customHeight="1">
      <c r="B34" s="399" t="inlineStr">
        <is>
          <t>Preferred Return</t>
        </is>
      </c>
      <c r="C34" s="402">
        <f>IF(ROUND(D34,0)=ROUND(SUM(F34:K34),0),"OK","ERROR")</f>
        <v/>
      </c>
      <c r="D34" s="472">
        <f>(C13="IRR")*(SUM(F105:K105)-D35)+(C13="Equity Multiple")*(SUM(F213:K213)-D35)</f>
        <v/>
      </c>
      <c r="E34" s="810" t="n"/>
      <c r="F34" s="358">
        <f>IF(F21="","",MIN($D34-SUM($E34:E34),F38))</f>
        <v/>
      </c>
      <c r="G34" s="358">
        <f>IF(G21="","",MIN($D34-SUM($E34:F34),G38))</f>
        <v/>
      </c>
      <c r="H34" s="358">
        <f>IF(H21="","",MIN($D34-SUM($E34:G34),H38))</f>
        <v/>
      </c>
      <c r="I34" s="358">
        <f>IF(I21="","",MIN($D34-SUM($E34:H34),I38))</f>
        <v/>
      </c>
      <c r="J34" s="358">
        <f>IF(J21="","",MIN($D34-SUM($E34:I34),J38))</f>
        <v/>
      </c>
      <c r="K34" s="358">
        <f>IF(K21="","",MIN($D34-SUM($E34:J34),K38))</f>
        <v/>
      </c>
    </row>
    <row r="35" ht="15" customHeight="1">
      <c r="B35" s="399" t="inlineStr">
        <is>
          <t>Return of Capital</t>
        </is>
      </c>
      <c r="C35" s="402">
        <f>IF(ROUND(D35,0)=ROUND(SUM(F35:K35),0),"OK","ERROR")</f>
        <v/>
      </c>
      <c r="D35" s="358">
        <f>MIN(D38,D40)</f>
        <v/>
      </c>
      <c r="E35" s="810" t="n"/>
      <c r="F35" s="358">
        <f>IF(F21="","",MIN($D35-SUM($E35:E35),F38-F34))</f>
        <v/>
      </c>
      <c r="G35" s="358">
        <f>IF(G21="","",MIN($D35-SUM($E35:F35),G38-G34))</f>
        <v/>
      </c>
      <c r="H35" s="358">
        <f>IF(H21="","",MIN($D35-SUM($E35:G35),H38-H34))</f>
        <v/>
      </c>
      <c r="I35" s="358">
        <f>IF(I21="","",MIN($D35-SUM($E35:H35),I38-I34))</f>
        <v/>
      </c>
      <c r="J35" s="358">
        <f>IF(J21="","",MIN($D35-SUM($E35:I35),J38-J34))</f>
        <v/>
      </c>
      <c r="K35" s="358">
        <f>IF(K21="","",MIN($D35-SUM($E35:J35),K38-K34))</f>
        <v/>
      </c>
    </row>
    <row r="36" ht="15" customHeight="1">
      <c r="B36" s="399" t="inlineStr">
        <is>
          <t>Promote</t>
        </is>
      </c>
      <c r="C36" s="402">
        <f>IF(ROUND(D36,0)=ROUND(SUM(F36:K36),0),"OK","ERROR")</f>
        <v/>
      </c>
      <c r="D36" s="358">
        <f>D38-D35-D37-D34</f>
        <v/>
      </c>
      <c r="E36" s="810" t="n"/>
      <c r="F36" s="358">
        <f>IF(F21="","",F38-F37-F35-F34)</f>
        <v/>
      </c>
      <c r="G36" s="358">
        <f>IF(G21="","",G38-G37-G35-G34)</f>
        <v/>
      </c>
      <c r="H36" s="358">
        <f>IF(H21="","",H38-H37-H35-H34)</f>
        <v/>
      </c>
      <c r="I36" s="358">
        <f>IF(I21="","",I38-I37-I35-I34)</f>
        <v/>
      </c>
      <c r="J36" s="358">
        <f>IF(J21="","",J38-J37-J35-J34)</f>
        <v/>
      </c>
      <c r="K36" s="358">
        <f>IF(K21="","",K38-K37-K35-K34)</f>
        <v/>
      </c>
    </row>
    <row r="37" ht="17.25" customHeight="1">
      <c r="B37" s="399" t="inlineStr">
        <is>
          <t>Excess Cash Flow</t>
        </is>
      </c>
      <c r="C37" s="402">
        <f>IF(ROUND(D37,0)=ROUND(SUM(F37:K37),0),"OK","ERROR")</f>
        <v/>
      </c>
      <c r="D37" s="404">
        <f>D26/Equity_Share_LP*Equity_Share_GP</f>
        <v/>
      </c>
      <c r="E37" s="810" t="n"/>
      <c r="F37" s="404">
        <f>IF(F21="","",F26/Equity_Share_LP*Equity_Share_GP)</f>
        <v/>
      </c>
      <c r="G37" s="404">
        <f>IF(G21="","",G26/Equity_Share_LP*Equity_Share_GP)</f>
        <v/>
      </c>
      <c r="H37" s="404">
        <f>IF(H21="","",H26/Equity_Share_LP*Equity_Share_GP)</f>
        <v/>
      </c>
      <c r="I37" s="404">
        <f>IF(I21="","",I26/Equity_Share_LP*Equity_Share_GP)</f>
        <v/>
      </c>
      <c r="J37" s="404">
        <f>IF(J21="","",J26/Equity_Share_LP*Equity_Share_GP)</f>
        <v/>
      </c>
      <c r="K37" s="404">
        <f>IF(K21="","",K26/Equity_Share_LP*Equity_Share_GP)</f>
        <v/>
      </c>
    </row>
    <row r="38" ht="15" customHeight="1">
      <c r="B38" s="399" t="inlineStr">
        <is>
          <t>Total GP Distributions</t>
        </is>
      </c>
      <c r="C38" s="405" t="n"/>
      <c r="D38" s="358">
        <f>SUM(F38:K38)</f>
        <v/>
      </c>
      <c r="E38" s="810" t="n"/>
      <c r="F38" s="358">
        <f>IF(F$21="","",($C$13="IRR")*F75+($C$13="Equity Multiple")*F183)</f>
        <v/>
      </c>
      <c r="G38" s="358">
        <f>IF(G$21="","",($C$13="IRR")*G75+($C$13="Equity Multiple")*G183)</f>
        <v/>
      </c>
      <c r="H38" s="358">
        <f>IF(H$21="","",($C$13="IRR")*H75+($C$13="Equity Multiple")*H183)</f>
        <v/>
      </c>
      <c r="I38" s="358">
        <f>IF(I$21="","",($C$13="IRR")*I75+($C$13="Equity Multiple")*I183)</f>
        <v/>
      </c>
      <c r="J38" s="358">
        <f>IF(J$21="","",($C$13="IRR")*J75+($C$13="Equity Multiple")*J183)</f>
        <v/>
      </c>
      <c r="K38" s="358">
        <f>IF(K$21="","",($C$13="IRR")*K75+($C$13="Equity Multiple")*K183)</f>
        <v/>
      </c>
    </row>
    <row r="39" ht="15" customHeight="1">
      <c r="B39" s="399" t="inlineStr">
        <is>
          <t>Total GP Fees</t>
        </is>
      </c>
      <c r="C39" s="405" t="n"/>
      <c r="D39" s="358">
        <f>SUM(F39:K39)</f>
        <v/>
      </c>
      <c r="E39" s="810" t="n"/>
      <c r="F39" s="358">
        <f>IF(F21="","",SUM(F48:F49))</f>
        <v/>
      </c>
      <c r="G39" s="358">
        <f>IF(G21="","",SUM(G48:G49))</f>
        <v/>
      </c>
      <c r="H39" s="358">
        <f>IF(H21="","",SUM(H48:H49))</f>
        <v/>
      </c>
      <c r="I39" s="358">
        <f>IF(I21="","",SUM(I48:I49))</f>
        <v/>
      </c>
      <c r="J39" s="358">
        <f>IF(J21="","",SUM(J48:J49))</f>
        <v/>
      </c>
      <c r="K39" s="358">
        <f>IF(K21="","",SUM(K48:K49))</f>
        <v/>
      </c>
    </row>
    <row r="40" ht="15" customHeight="1">
      <c r="B40" s="399" t="inlineStr">
        <is>
          <t>Total GP Contributions</t>
        </is>
      </c>
      <c r="C40" s="405" t="n"/>
      <c r="D40" s="358">
        <f>SUM(F40:K40)</f>
        <v/>
      </c>
      <c r="E40" s="810" t="n"/>
      <c r="F40" s="358">
        <f>F104</f>
        <v/>
      </c>
      <c r="G40" s="358">
        <f>G104</f>
        <v/>
      </c>
      <c r="H40" s="358">
        <f>H104</f>
        <v/>
      </c>
      <c r="I40" s="358">
        <f>I104</f>
        <v/>
      </c>
      <c r="J40" s="358">
        <f>J104</f>
        <v/>
      </c>
      <c r="K40" s="358">
        <f>K104</f>
        <v/>
      </c>
    </row>
    <row r="41" ht="15" customHeight="1">
      <c r="B41" s="399" t="inlineStr">
        <is>
          <t>Total GP Profit (Including Fees)</t>
        </is>
      </c>
      <c r="C41" s="405" t="n"/>
      <c r="D41" s="358">
        <f>+D38+D39-D40</f>
        <v/>
      </c>
      <c r="E41" s="810" t="n"/>
      <c r="F41" s="406" t="n"/>
      <c r="G41" s="358" t="n"/>
      <c r="H41" s="407" t="n"/>
      <c r="I41" s="407" t="n"/>
      <c r="J41" s="407" t="n"/>
      <c r="K41" s="407" t="n"/>
    </row>
    <row r="42" ht="15" customHeight="1">
      <c r="B42" s="399" t="inlineStr">
        <is>
          <t>GP IRR</t>
        </is>
      </c>
      <c r="C42" s="405" t="n"/>
      <c r="D42" s="413">
        <f>IFERROR(IRR(F42:K42),"NA")</f>
        <v/>
      </c>
      <c r="E42" s="810" t="n"/>
      <c r="F42" s="358">
        <f>IF(F21="","",(-F40)+F38+F39)</f>
        <v/>
      </c>
      <c r="G42" s="358">
        <f>IF(G21="","",(-G40)+G38+G39)</f>
        <v/>
      </c>
      <c r="H42" s="358">
        <f>IF(H21="","",(-H40)+H38+H39)</f>
        <v/>
      </c>
      <c r="I42" s="358">
        <f>IF(I21="","",(-I40)+I38+I39)</f>
        <v/>
      </c>
      <c r="J42" s="358">
        <f>IF(J21="","",(-J40)+J38+J39)</f>
        <v/>
      </c>
      <c r="K42" s="358">
        <f>IF(K21="","",(-K40)+K38+K39)</f>
        <v/>
      </c>
    </row>
    <row r="43" ht="15" customHeight="1">
      <c r="B43" s="399" t="inlineStr">
        <is>
          <t>GP Equity Multiple</t>
        </is>
      </c>
      <c r="C43" s="405" t="n"/>
      <c r="D43" s="818">
        <f>IFERROR(D38/D40,"NA")</f>
        <v/>
      </c>
      <c r="E43" s="810" t="n"/>
      <c r="F43" s="395" t="n"/>
      <c r="G43" s="396" t="n"/>
      <c r="H43" s="397" t="n"/>
      <c r="I43" s="397" t="n"/>
      <c r="J43" s="398" t="n"/>
      <c r="K43" s="398" t="n"/>
    </row>
    <row r="44" ht="5.1" customHeight="1">
      <c r="B44" s="415" t="n"/>
      <c r="C44" s="416" t="n"/>
      <c r="D44" s="819" t="n"/>
      <c r="E44" s="59" t="n"/>
      <c r="F44" s="398" t="n"/>
      <c r="G44" s="398" t="n"/>
      <c r="H44" s="398" t="n"/>
      <c r="I44" s="398" t="n"/>
      <c r="J44" s="398" t="n"/>
      <c r="K44" s="398" t="n"/>
    </row>
    <row r="45" ht="15.75" customHeight="1">
      <c r="B45" s="354" t="inlineStr">
        <is>
          <t>Property-Level Cash and GP Fees</t>
        </is>
      </c>
      <c r="C45" s="374" t="n"/>
      <c r="D45" s="374" t="n"/>
      <c r="E45" s="375" t="n"/>
      <c r="F45" s="373" t="inlineStr">
        <is>
          <t>Year 0</t>
        </is>
      </c>
      <c r="G45" s="815">
        <f>G$21</f>
        <v/>
      </c>
      <c r="H45" s="815">
        <f>H$21</f>
        <v/>
      </c>
      <c r="I45" s="815">
        <f>I$21</f>
        <v/>
      </c>
      <c r="J45" s="815">
        <f>J$21</f>
        <v/>
      </c>
      <c r="K45" s="815">
        <f>K$21</f>
        <v/>
      </c>
      <c r="L45" s="418" t="n"/>
      <c r="M45" s="418" t="n"/>
      <c r="N45" s="418" t="n"/>
    </row>
    <row r="46" ht="15" customHeight="1">
      <c r="B46" s="59" t="n"/>
      <c r="C46" s="59" t="n"/>
      <c r="D46" s="59" t="n"/>
      <c r="E46" s="398" t="inlineStr">
        <is>
          <t>Year Ending</t>
        </is>
      </c>
      <c r="F46" s="820" t="n">
        <v>45657</v>
      </c>
      <c r="G46" s="821">
        <f>IF(G45="","",EOMONTH(F46,12))</f>
        <v/>
      </c>
      <c r="H46" s="821">
        <f>IF(H45="","",EOMONTH(G46,12))</f>
        <v/>
      </c>
      <c r="I46" s="821">
        <f>IF(I45="","",EOMONTH(H46,12))</f>
        <v/>
      </c>
      <c r="J46" s="821">
        <f>IF(J45="","",EOMONTH(I46,12))</f>
        <v/>
      </c>
      <c r="K46" s="821">
        <f>IF(K45="","",EOMONTH(J46,12))</f>
        <v/>
      </c>
      <c r="L46" s="418" t="n"/>
      <c r="M46" s="418" t="n"/>
      <c r="N46" s="418" t="n"/>
    </row>
    <row r="47" ht="15" customHeight="1">
      <c r="B47" s="130" t="inlineStr">
        <is>
          <t>Net Property-Level Cash Flow</t>
        </is>
      </c>
      <c r="C47" s="59" t="n"/>
      <c r="D47" s="59" t="n"/>
      <c r="E47" s="421" t="n"/>
      <c r="F47" s="422">
        <f>-'Sources and Uses'!C7-'Sources and Uses'!C8+'Sources and Uses'!C15</f>
        <v/>
      </c>
      <c r="G47" s="422">
        <f>'GGC Pro Forma'!H84</f>
        <v/>
      </c>
      <c r="H47" s="422">
        <f>'GGC Pro Forma'!I84</f>
        <v/>
      </c>
      <c r="I47" s="422">
        <f>'GGC Pro Forma'!J84</f>
        <v/>
      </c>
      <c r="J47" s="422">
        <f>'GGC Pro Forma'!K84</f>
        <v/>
      </c>
      <c r="K47" s="422">
        <f>'GGC Pro Forma'!L84</f>
        <v/>
      </c>
    </row>
    <row r="48" ht="15" customHeight="1">
      <c r="B48" s="423" t="inlineStr">
        <is>
          <t>Asset Management Fees</t>
        </is>
      </c>
      <c r="C48" s="59" t="n"/>
      <c r="D48" s="59" t="n"/>
      <c r="E48" s="421" t="n"/>
      <c r="F48" s="422" t="n">
        <v>0</v>
      </c>
      <c r="G48" s="422" t="n">
        <v>0</v>
      </c>
      <c r="H48" s="422" t="n">
        <v>0</v>
      </c>
      <c r="I48" s="422" t="n">
        <v>0</v>
      </c>
      <c r="J48" s="422" t="n">
        <v>0</v>
      </c>
      <c r="K48" s="422" t="n">
        <v>0</v>
      </c>
    </row>
    <row r="49" ht="15" customHeight="1">
      <c r="B49" s="423" t="inlineStr">
        <is>
          <t>Acquisition/Disposition Fees</t>
        </is>
      </c>
      <c r="C49" s="59" t="n"/>
      <c r="D49" s="59" t="n"/>
      <c r="E49" s="421" t="n"/>
      <c r="F49" s="422">
        <f>'Sources and Uses'!C15</f>
        <v/>
      </c>
      <c r="G49" s="422" t="n">
        <v>0</v>
      </c>
      <c r="H49" s="422" t="n">
        <v>0</v>
      </c>
      <c r="I49" s="422" t="n">
        <v>0</v>
      </c>
      <c r="J49" s="422" t="n">
        <v>0</v>
      </c>
      <c r="K49" s="422" t="n">
        <v>0</v>
      </c>
    </row>
    <row r="50" ht="15" customHeight="1">
      <c r="B50" s="423" t="n"/>
      <c r="C50" s="59" t="n"/>
      <c r="D50" s="59" t="n"/>
      <c r="E50" s="421" t="n"/>
      <c r="F50" s="422" t="n"/>
      <c r="G50" s="422" t="n"/>
      <c r="H50" s="422" t="n"/>
      <c r="I50" s="422" t="n"/>
      <c r="J50" s="422" t="n"/>
      <c r="K50" s="422" t="n"/>
    </row>
    <row r="51" ht="15" customHeight="1">
      <c r="B51" s="130" t="inlineStr">
        <is>
          <t>Adjusted Net Property-Level Cash Flow</t>
        </is>
      </c>
      <c r="C51" s="59" t="n"/>
      <c r="D51" s="59" t="n"/>
      <c r="E51" s="421" t="n"/>
      <c r="F51" s="424">
        <f>IF(F45="","",F47-F48-F49)</f>
        <v/>
      </c>
      <c r="G51" s="424">
        <f>IF(G45="","",G47-G48-G49)</f>
        <v/>
      </c>
      <c r="H51" s="424">
        <f>IF(H45="","",H47-H48-H49)</f>
        <v/>
      </c>
      <c r="I51" s="424">
        <f>IF(I45="","",I47-I48-I49)</f>
        <v/>
      </c>
      <c r="J51" s="424">
        <f>IF(J45="","",J47-J48-J49)</f>
        <v/>
      </c>
      <c r="K51" s="424">
        <f>IF(K45="","",K47-K48-K49)</f>
        <v/>
      </c>
    </row>
    <row r="52" ht="15" customHeight="1">
      <c r="B52" s="59" t="inlineStr">
        <is>
          <t>Levered IRR</t>
        </is>
      </c>
      <c r="C52" s="59" t="n"/>
      <c r="D52" s="59" t="n"/>
      <c r="E52" s="59" t="n"/>
      <c r="F52" s="397">
        <f>IRR(F51:K51)</f>
        <v/>
      </c>
      <c r="G52" s="398" t="n"/>
      <c r="H52" s="398" t="n"/>
      <c r="I52" s="398" t="n"/>
      <c r="J52" s="398" t="n"/>
      <c r="K52" s="398" t="n"/>
    </row>
    <row r="53" ht="15" customHeight="1">
      <c r="B53" s="59" t="inlineStr">
        <is>
          <t>Equity Multiple</t>
        </is>
      </c>
      <c r="C53" s="59" t="n"/>
      <c r="D53" s="59" t="n"/>
      <c r="E53" s="59" t="n"/>
      <c r="F53" s="822">
        <f>SUMIF(F51:K51,"&gt;0")/-SUMIF(F51:K51,"&lt;0")</f>
        <v/>
      </c>
      <c r="G53" s="398" t="n"/>
      <c r="H53" s="398" t="n"/>
      <c r="I53" s="398" t="n"/>
      <c r="J53" s="398" t="n"/>
      <c r="K53" s="398" t="n"/>
    </row>
    <row r="54" ht="5.1" customHeight="1">
      <c r="B54" s="59" t="n"/>
      <c r="C54" s="59" t="n"/>
      <c r="D54" s="59" t="n"/>
      <c r="E54" s="398" t="n"/>
      <c r="F54" s="426" t="n"/>
      <c r="G54" s="398" t="n"/>
      <c r="H54" s="398" t="n"/>
      <c r="I54" s="398" t="n"/>
      <c r="J54" s="398" t="n"/>
      <c r="K54" s="398" t="n"/>
    </row>
    <row r="55" ht="15" customHeight="1"/>
    <row r="56" outlineLevel="1" ht="18.75" customHeight="1">
      <c r="B56" s="427" t="inlineStr">
        <is>
          <t>PARTNERSHIP LEVEL RETURNS - IRR EQUITY WATERFALL</t>
        </is>
      </c>
      <c r="C56" s="428" t="n"/>
      <c r="D56" s="428" t="n"/>
      <c r="E56" s="428" t="n"/>
      <c r="F56" s="429" t="n"/>
      <c r="G56" s="429" t="n"/>
      <c r="H56" s="429" t="n"/>
      <c r="I56" s="429" t="n"/>
      <c r="J56" s="429" t="n"/>
      <c r="K56" s="429" t="n"/>
    </row>
    <row r="57" outlineLevel="1" ht="15" customHeight="1">
      <c r="B57" s="208" t="n"/>
      <c r="C57" s="208" t="n"/>
      <c r="D57" s="664">
        <f>$D$4</f>
        <v/>
      </c>
      <c r="E57" s="208" t="n"/>
      <c r="F57" s="208" t="n"/>
      <c r="G57" s="208" t="n"/>
      <c r="H57" s="208" t="n"/>
      <c r="I57" s="208" t="n"/>
      <c r="J57" s="208" t="n"/>
      <c r="K57" s="208" t="n"/>
    </row>
    <row r="58" outlineLevel="1" ht="15" customHeight="1">
      <c r="B58" s="430" t="n"/>
      <c r="C58" s="430" t="n"/>
      <c r="D58" s="431" t="n"/>
      <c r="E58" s="430" t="n"/>
      <c r="F58" s="738" t="inlineStr">
        <is>
          <t>Promote Structure Incentive Breakdown</t>
        </is>
      </c>
      <c r="H58" s="739" t="inlineStr">
        <is>
          <t>Distribution as %</t>
        </is>
      </c>
      <c r="J58" s="432" t="n"/>
      <c r="K58" s="432" t="n"/>
    </row>
    <row r="59" outlineLevel="1" ht="15.75" customHeight="1">
      <c r="B59" s="433">
        <f>IF(D57="Equity Multiple","Partnership Distribution Assumptions (Equity Multiple Hurdles)","Partnership Distribution Assumptions (IRR Hurdles)")</f>
        <v/>
      </c>
      <c r="C59" s="430" t="n"/>
      <c r="D59" s="431" t="n"/>
      <c r="E59" s="430" t="n"/>
      <c r="H59" s="434" t="inlineStr">
        <is>
          <t>GP %</t>
        </is>
      </c>
      <c r="I59" s="435" t="inlineStr">
        <is>
          <t>LP %</t>
        </is>
      </c>
      <c r="J59" s="435" t="inlineStr">
        <is>
          <t>Notes</t>
        </is>
      </c>
      <c r="K59" s="432" t="n"/>
    </row>
    <row r="60" outlineLevel="1" ht="15" customHeight="1">
      <c r="B60" s="59">
        <f>B15</f>
        <v/>
      </c>
      <c r="C60" s="377" t="n"/>
      <c r="D60" s="378" t="n"/>
      <c r="E60" s="804">
        <f>D61</f>
        <v/>
      </c>
      <c r="F60" s="805" t="inlineStr">
        <is>
          <t>GP Promote</t>
        </is>
      </c>
      <c r="G60" s="806" t="n"/>
      <c r="H60" s="823">
        <f>H15</f>
        <v/>
      </c>
      <c r="I60" s="801">
        <f>1-H60</f>
        <v/>
      </c>
      <c r="J60" s="383">
        <f>IF(I60=Equity_Share_LP,"Pref prorata to LP/GP, then Pro rata return of capital",IF(CU?,"Return of capital and Pref NOT pro rata + GP Catch Up","Return of capital and Pref NOT pro rata"))</f>
        <v/>
      </c>
      <c r="K60" s="383" t="n"/>
    </row>
    <row r="61" outlineLevel="1" ht="15" customHeight="1">
      <c r="B61" s="59">
        <f>B16</f>
        <v/>
      </c>
      <c r="C61" s="808" t="n"/>
      <c r="D61" s="824">
        <f>D16</f>
        <v/>
      </c>
      <c r="E61" s="810">
        <f>IF($B$277&lt;3,9.99,D62)</f>
        <v/>
      </c>
      <c r="F61" s="823">
        <f>F16</f>
        <v/>
      </c>
      <c r="G61" s="801" t="n"/>
      <c r="H61" s="811">
        <f>H16</f>
        <v/>
      </c>
      <c r="I61" s="801">
        <f>1-H61</f>
        <v/>
      </c>
      <c r="J61" s="383">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83" t="n"/>
    </row>
    <row r="62" outlineLevel="1" ht="15" customHeight="1">
      <c r="B62" s="59">
        <f>B17</f>
        <v/>
      </c>
      <c r="C62" s="808" t="n"/>
      <c r="D62" s="824">
        <f>D17</f>
        <v/>
      </c>
      <c r="E62" s="810">
        <f>IF($B$277&lt;4,9.99,D63)</f>
        <v/>
      </c>
      <c r="F62" s="823">
        <f>F17</f>
        <v/>
      </c>
      <c r="G62" s="801" t="n"/>
      <c r="H62" s="811">
        <f>H17</f>
        <v/>
      </c>
      <c r="I62" s="801">
        <f>1-H62</f>
        <v/>
      </c>
      <c r="J62" s="383">
        <f>TEXT(I61,"0.0%")&amp;"/"&amp;TEXT(H61,"0.0%")&amp;" to "&amp;(IF(D57="IRR",TEXT(E61,"0.0%"),TEXT(E61,"0.0X")))&amp;", then "&amp;TEXT(I62,"0.0%")&amp;"/"&amp;TEXT(H62,"0.0%")&amp;" to "&amp;(IF(D57="IRR",TEXT(E62,"0.0%"),TEXT(E62,"0.0X")))</f>
        <v/>
      </c>
      <c r="K62" s="383" t="n"/>
    </row>
    <row r="63" outlineLevel="1" ht="15" customHeight="1">
      <c r="B63" s="59">
        <f>B18</f>
        <v/>
      </c>
      <c r="C63" s="808" t="n"/>
      <c r="D63" s="824">
        <f>D18</f>
        <v/>
      </c>
      <c r="E63" s="810">
        <f>IF($B$277&lt;5,9.99,D64)</f>
        <v/>
      </c>
      <c r="F63" s="823">
        <f>F18</f>
        <v/>
      </c>
      <c r="G63" s="801" t="n"/>
      <c r="H63" s="811">
        <f>H18</f>
        <v/>
      </c>
      <c r="I63" s="801">
        <f>1-H63</f>
        <v/>
      </c>
      <c r="J63" s="438">
        <f>TEXT(I62,"0.0%")&amp;"/"&amp;TEXT(H62,"0.0%")&amp;" to "&amp;(IF(D58="IRR",TEXT(E62,"0.0%"),TEXT(E62,"0.0X")))&amp;", then "&amp;TEXT(I63,"0.0%")&amp;"/"&amp;TEXT(H63,"0.0%")&amp;" to "&amp;(IF(D58="IRR",TEXT(E63,"0.0%"),TEXT(E63,"0.0X")))</f>
        <v/>
      </c>
      <c r="K63" s="438" t="n"/>
    </row>
    <row r="64" outlineLevel="1" ht="15" customHeight="1">
      <c r="B64" s="59">
        <f>B19</f>
        <v/>
      </c>
      <c r="C64" s="808" t="n"/>
      <c r="D64" s="824">
        <f>D19</f>
        <v/>
      </c>
      <c r="E64" s="810" t="n"/>
      <c r="F64" s="823">
        <f>F19</f>
        <v/>
      </c>
      <c r="G64" s="801" t="n"/>
      <c r="H64" s="811">
        <f>H19</f>
        <v/>
      </c>
      <c r="I64" s="801">
        <f>1-H64</f>
        <v/>
      </c>
      <c r="J64" s="383">
        <f>TEXT(I63,"0.0%")&amp;"/"&amp;TEXT(H63,"0.0%")&amp;" to "&amp;(IF(D59="IRR",TEXT(E63,"0.0%"),TEXT(E63,"0.0X")))&amp;", then "&amp;TEXT(I64,"0.0%")&amp;"/"&amp;TEXT(H64,"0.0%")&amp;" to "&amp;(IF(D59="IRR",TEXT(E64,"0.0%"),TEXT(E64,"0.0X")))</f>
        <v/>
      </c>
      <c r="K64" s="383" t="n"/>
    </row>
    <row r="65" outlineLevel="1" ht="15" customHeight="1">
      <c r="B65" s="59" t="n"/>
      <c r="C65" s="59" t="n"/>
      <c r="D65" s="812" t="n"/>
      <c r="E65" s="810" t="n"/>
      <c r="F65" s="360" t="n"/>
      <c r="G65" s="389" t="n"/>
      <c r="H65" s="390" t="n"/>
      <c r="I65" s="390" t="n"/>
      <c r="J65" s="208" t="n"/>
      <c r="K65" s="208" t="n"/>
    </row>
    <row r="66" outlineLevel="1" ht="15.75" customHeight="1">
      <c r="B66" s="433" t="inlineStr">
        <is>
          <t>Summary of Partnership-Level Returns</t>
        </is>
      </c>
      <c r="C66" s="430" t="n"/>
      <c r="D66" s="825" t="n"/>
      <c r="E66" s="826" t="n"/>
      <c r="F66" s="827" t="n">
        <v>0</v>
      </c>
      <c r="G66" s="827">
        <f>IF(G84="","",F66+1)</f>
        <v/>
      </c>
      <c r="H66" s="827">
        <f>IF(H84="","",G66+1)</f>
        <v/>
      </c>
      <c r="I66" s="827">
        <f>IF(I84="","",H66+1)</f>
        <v/>
      </c>
      <c r="J66" s="827">
        <f>IF(J84="","",I66+1)</f>
        <v/>
      </c>
      <c r="K66" s="827">
        <f>IF(K84="","",J66+1)</f>
        <v/>
      </c>
    </row>
    <row r="67" outlineLevel="1" ht="15" customHeight="1">
      <c r="B67" s="394" t="inlineStr">
        <is>
          <t>Limited Partner (LP) Returns</t>
        </is>
      </c>
      <c r="C67" s="59" t="n"/>
      <c r="D67" s="812" t="n"/>
      <c r="E67" s="810" t="n"/>
      <c r="F67" s="395" t="n"/>
      <c r="G67" s="396" t="n"/>
      <c r="H67" s="397" t="n"/>
      <c r="I67" s="397" t="n"/>
      <c r="J67" s="398" t="n"/>
      <c r="K67" s="398" t="n"/>
    </row>
    <row r="68" outlineLevel="1" ht="15" customHeight="1">
      <c r="B68" s="399" t="inlineStr">
        <is>
          <t>Total LP Distributions</t>
        </is>
      </c>
      <c r="C68" s="59" t="n"/>
      <c r="D68" s="401">
        <f>SUM(F68:K68)</f>
        <v/>
      </c>
      <c r="E68" s="810" t="n"/>
      <c r="F68" s="358">
        <f>IF(F66="","",F100+F122+F137+F152+F159)</f>
        <v/>
      </c>
      <c r="G68" s="358">
        <f>IF(G66="","",G100+G122+G137+G152+G159)</f>
        <v/>
      </c>
      <c r="H68" s="358">
        <f>IF(H66="","",H100+H122+H137+H152+H159)</f>
        <v/>
      </c>
      <c r="I68" s="358">
        <f>IF(I66="","",I100+I122+I137+I152+I159)</f>
        <v/>
      </c>
      <c r="J68" s="358">
        <f>IF(J66="","",J100+J122+J137+J152+J159)</f>
        <v/>
      </c>
      <c r="K68" s="358">
        <f>IF(K66="","",K100+K122+K137+K152+K159)</f>
        <v/>
      </c>
    </row>
    <row r="69" outlineLevel="1" ht="15" customHeight="1">
      <c r="B69" s="399" t="inlineStr">
        <is>
          <t>Total LP Contributions</t>
        </is>
      </c>
      <c r="C69" s="59" t="n"/>
      <c r="D69" s="401">
        <f>SUM(F69:K69)</f>
        <v/>
      </c>
      <c r="E69" s="810" t="n"/>
      <c r="F69" s="358">
        <f>F96</f>
        <v/>
      </c>
      <c r="G69" s="358">
        <f>G96</f>
        <v/>
      </c>
      <c r="H69" s="358">
        <f>H96</f>
        <v/>
      </c>
      <c r="I69" s="358">
        <f>I96</f>
        <v/>
      </c>
      <c r="J69" s="358">
        <f>J96</f>
        <v/>
      </c>
      <c r="K69" s="358">
        <f>K96</f>
        <v/>
      </c>
    </row>
    <row r="70" outlineLevel="1" ht="15" customHeight="1">
      <c r="B70" s="399" t="inlineStr">
        <is>
          <t>Total LP Profit</t>
        </is>
      </c>
      <c r="C70" s="59" t="n"/>
      <c r="D70" s="401">
        <f>D68-D69</f>
        <v/>
      </c>
      <c r="E70" s="810" t="n"/>
      <c r="F70" s="406" t="n"/>
      <c r="G70" s="358" t="n"/>
      <c r="H70" s="407" t="n"/>
      <c r="I70" s="407" t="n"/>
      <c r="J70" s="407" t="n"/>
      <c r="K70" s="407" t="n"/>
    </row>
    <row r="71" outlineLevel="1" ht="15" customHeight="1">
      <c r="B71" s="399" t="inlineStr">
        <is>
          <t>LP IRR</t>
        </is>
      </c>
      <c r="C71" s="59" t="n"/>
      <c r="D71" s="442">
        <f>IRR(F71:K71)</f>
        <v/>
      </c>
      <c r="E71" s="810" t="n"/>
      <c r="F71" s="358">
        <f>IF(F66="","",(-F69)+F68)</f>
        <v/>
      </c>
      <c r="G71" s="358">
        <f>IF(G66="","",(-G69)+G68)</f>
        <v/>
      </c>
      <c r="H71" s="358">
        <f>IF(H66="","",(-H69)+H68)</f>
        <v/>
      </c>
      <c r="I71" s="358">
        <f>IF(I66="","",(-I69)+I68)</f>
        <v/>
      </c>
      <c r="J71" s="358">
        <f>IF(J66="","",(-J69)+J68)</f>
        <v/>
      </c>
      <c r="K71" s="358">
        <f>IF(K66="","",(-K69)+K68)</f>
        <v/>
      </c>
    </row>
    <row r="72" outlineLevel="1" ht="15" customHeight="1">
      <c r="B72" s="399" t="inlineStr">
        <is>
          <t>LP Equity Multiple</t>
        </is>
      </c>
      <c r="C72" s="59" t="n"/>
      <c r="D72" s="828">
        <f>D68/D69</f>
        <v/>
      </c>
      <c r="E72" s="810" t="n"/>
      <c r="F72" s="406" t="n"/>
      <c r="G72" s="358" t="n"/>
      <c r="H72" s="407" t="n"/>
      <c r="I72" s="407" t="n"/>
      <c r="J72" s="407" t="n"/>
      <c r="K72" s="407" t="n"/>
    </row>
    <row r="73" outlineLevel="1" ht="15" customHeight="1">
      <c r="B73" s="399" t="n"/>
      <c r="C73" s="59" t="n"/>
      <c r="D73" s="812" t="n"/>
      <c r="E73" s="810" t="n"/>
      <c r="F73" s="406" t="n"/>
      <c r="G73" s="358" t="n"/>
      <c r="H73" s="407" t="n"/>
      <c r="I73" s="407" t="n"/>
      <c r="J73" s="407" t="n"/>
      <c r="K73" s="407" t="n"/>
    </row>
    <row r="74" outlineLevel="1" ht="15" customHeight="1">
      <c r="B74" s="394" t="inlineStr">
        <is>
          <t>GP Returns</t>
        </is>
      </c>
      <c r="C74" s="59" t="n"/>
      <c r="D74" s="812" t="n"/>
      <c r="E74" s="810" t="n"/>
      <c r="F74" s="406" t="n"/>
      <c r="G74" s="358" t="n"/>
      <c r="H74" s="407" t="n"/>
      <c r="I74" s="407" t="n"/>
      <c r="J74" s="407" t="n"/>
      <c r="K74" s="407" t="n"/>
    </row>
    <row r="75" outlineLevel="1" ht="15" customHeight="1">
      <c r="B75" s="399" t="inlineStr">
        <is>
          <t>Total GP Distributions</t>
        </is>
      </c>
      <c r="C75" s="59" t="n"/>
      <c r="D75" s="358">
        <f>SUM(F75:K75)</f>
        <v/>
      </c>
      <c r="E75" s="810" t="n"/>
      <c r="F75" s="358">
        <f>IF(F66="","",F105+F123+F138+F153+F160)</f>
        <v/>
      </c>
      <c r="G75" s="358">
        <f>IF(G66="","",G105+G123+G138+G153+G160)</f>
        <v/>
      </c>
      <c r="H75" s="358">
        <f>IF(H66="","",H105+H123+H138+H153+H160)</f>
        <v/>
      </c>
      <c r="I75" s="358">
        <f>IF(I66="","",I105+I123+I138+I153+I160)</f>
        <v/>
      </c>
      <c r="J75" s="358">
        <f>IF(J66="","",J105+J123+J138+J153+J160)</f>
        <v/>
      </c>
      <c r="K75" s="358">
        <f>IF(K66="","",K105+K123+K138+K153+K160)</f>
        <v/>
      </c>
    </row>
    <row r="76" outlineLevel="1" ht="15" customHeight="1">
      <c r="B76" s="399" t="inlineStr">
        <is>
          <t>Total GP Fees</t>
        </is>
      </c>
      <c r="C76" s="59" t="n"/>
      <c r="D76" s="358">
        <f>SUM(F76:K76)</f>
        <v/>
      </c>
      <c r="E76" s="810" t="n"/>
      <c r="F76" s="358">
        <f>IF(F66="","",SUM(F85:F86))</f>
        <v/>
      </c>
      <c r="G76" s="358">
        <f>IF(G66="","",SUM(G85:G86))</f>
        <v/>
      </c>
      <c r="H76" s="358">
        <f>IF(H66="","",SUM(H85:H86))</f>
        <v/>
      </c>
      <c r="I76" s="358">
        <f>IF(I66="","",SUM(I85:I86))</f>
        <v/>
      </c>
      <c r="J76" s="358">
        <f>IF(J66="","",SUM(J85:J86))</f>
        <v/>
      </c>
      <c r="K76" s="358">
        <f>IF(K66="","",SUM(K85:K86))</f>
        <v/>
      </c>
    </row>
    <row r="77" outlineLevel="1" ht="15" customHeight="1">
      <c r="B77" s="399" t="inlineStr">
        <is>
          <t>Total GP Contributions</t>
        </is>
      </c>
      <c r="C77" s="59" t="n"/>
      <c r="D77" s="358">
        <f>SUM(F77:K77)</f>
        <v/>
      </c>
      <c r="E77" s="810" t="n"/>
      <c r="F77" s="358">
        <f>IF(F66="","",-(MIN(F87,0)+F96))</f>
        <v/>
      </c>
      <c r="G77" s="358">
        <f>IF(G66="","",-(MIN(G87,0)+G96))</f>
        <v/>
      </c>
      <c r="H77" s="358">
        <f>IF(H66="","",-(MIN(H87,0)+H96))</f>
        <v/>
      </c>
      <c r="I77" s="358">
        <f>IF(I66="","",-(MIN(I87,0)+I96))</f>
        <v/>
      </c>
      <c r="J77" s="358">
        <f>IF(J66="","",-(MIN(J87,0)+J96))</f>
        <v/>
      </c>
      <c r="K77" s="358">
        <f>IF(K66="","",-(MIN(K87,0)+K96))</f>
        <v/>
      </c>
    </row>
    <row r="78" outlineLevel="1" ht="15" customHeight="1">
      <c r="B78" s="399" t="inlineStr">
        <is>
          <t>Total GP Profit</t>
        </is>
      </c>
      <c r="C78" s="59" t="n"/>
      <c r="D78" s="358">
        <f>+D75+D76-D77</f>
        <v/>
      </c>
      <c r="E78" s="810" t="n"/>
      <c r="F78" s="406" t="n"/>
      <c r="G78" s="358" t="n"/>
      <c r="H78" s="407" t="n"/>
      <c r="I78" s="407" t="n"/>
      <c r="J78" s="407" t="n"/>
      <c r="K78" s="407" t="n"/>
    </row>
    <row r="79" outlineLevel="1" ht="15" customHeight="1">
      <c r="B79" s="399" t="inlineStr">
        <is>
          <t>GP IRR</t>
        </is>
      </c>
      <c r="C79" s="59" t="n"/>
      <c r="D79" s="413">
        <f>IFERROR(IRR(F79:K79),"NA")</f>
        <v/>
      </c>
      <c r="E79" s="810" t="n"/>
      <c r="F79" s="358">
        <f>IF(F66="","",(-F77)+F75+F76)</f>
        <v/>
      </c>
      <c r="G79" s="358">
        <f>IF(G66="","",(-G77)+G75+G76)</f>
        <v/>
      </c>
      <c r="H79" s="358">
        <f>IF(H66="","",(-H77)+H75+H76)</f>
        <v/>
      </c>
      <c r="I79" s="358">
        <f>IF(I66="","",(-I77)+I75+I76)</f>
        <v/>
      </c>
      <c r="J79" s="358">
        <f>IF(J66="","",(-J77)+J75+J76)</f>
        <v/>
      </c>
      <c r="K79" s="358">
        <f>IF(K66="","",(-K77)+K75+K76)</f>
        <v/>
      </c>
    </row>
    <row r="80" outlineLevel="1" ht="15" customHeight="1">
      <c r="B80" s="399" t="inlineStr">
        <is>
          <t>GP Equity Multiple</t>
        </is>
      </c>
      <c r="C80" s="59" t="n"/>
      <c r="D80" s="818">
        <f>IFERROR(D75/D77,"NA")</f>
        <v/>
      </c>
      <c r="E80" s="810" t="n"/>
      <c r="F80" s="395" t="n"/>
      <c r="G80" s="396" t="n"/>
      <c r="H80" s="397" t="n"/>
      <c r="I80" s="397" t="n"/>
      <c r="J80" s="398" t="n"/>
      <c r="K80" s="398" t="n"/>
    </row>
    <row r="81" outlineLevel="1" ht="15" customHeight="1">
      <c r="B81" s="415" t="n"/>
      <c r="C81" s="416" t="n"/>
      <c r="D81" s="819" t="n"/>
      <c r="E81" s="59" t="n"/>
      <c r="F81" s="398" t="n"/>
      <c r="G81" s="398" t="n"/>
      <c r="H81" s="398" t="n"/>
      <c r="I81" s="398" t="n"/>
      <c r="J81" s="398" t="n"/>
      <c r="K81" s="398" t="n"/>
    </row>
    <row r="82" outlineLevel="1" ht="15.75" customHeight="1">
      <c r="B82" s="433" t="inlineStr">
        <is>
          <t>Property-Level Cash and GP Fees</t>
        </is>
      </c>
      <c r="C82" s="430" t="n"/>
      <c r="D82" s="430" t="n"/>
      <c r="E82" s="432" t="n"/>
      <c r="F82" s="431" t="inlineStr">
        <is>
          <t>Year 0</t>
        </is>
      </c>
      <c r="G82" s="827">
        <f>G$21</f>
        <v/>
      </c>
      <c r="H82" s="827">
        <f>H$21</f>
        <v/>
      </c>
      <c r="I82" s="827">
        <f>I$21</f>
        <v/>
      </c>
      <c r="J82" s="827">
        <f>J$21</f>
        <v/>
      </c>
      <c r="K82" s="827">
        <f>K$21</f>
        <v/>
      </c>
    </row>
    <row r="83" outlineLevel="1" ht="15" customHeight="1">
      <c r="B83" s="59" t="n"/>
      <c r="C83" s="59" t="n"/>
      <c r="D83" s="59" t="n"/>
      <c r="E83" s="398" t="inlineStr">
        <is>
          <t>Year Ending</t>
        </is>
      </c>
      <c r="F83" s="829">
        <f>IF(F46="","",F46)</f>
        <v/>
      </c>
      <c r="G83" s="830">
        <f>IF(G46="","",G46)</f>
        <v/>
      </c>
      <c r="H83" s="830">
        <f>IF(H46="","",H46)</f>
        <v/>
      </c>
      <c r="I83" s="830">
        <f>IF(I46="","",I46)</f>
        <v/>
      </c>
      <c r="J83" s="830">
        <f>IF(J46="","",J46)</f>
        <v/>
      </c>
      <c r="K83" s="830">
        <f>IF(K46="","",K46)</f>
        <v/>
      </c>
    </row>
    <row r="84" outlineLevel="1" ht="15" customHeight="1">
      <c r="B84" s="130" t="inlineStr">
        <is>
          <t>Net Property-Level Cash Flow</t>
        </is>
      </c>
      <c r="C84" s="59" t="n"/>
      <c r="D84" s="59" t="n"/>
      <c r="E84" s="421" t="n"/>
      <c r="F84" s="446">
        <f>IF(F47="","",F47)</f>
        <v/>
      </c>
      <c r="G84" s="446">
        <f>IF(G47="","",G47)</f>
        <v/>
      </c>
      <c r="H84" s="446">
        <f>IF(H47="","",H47)</f>
        <v/>
      </c>
      <c r="I84" s="446">
        <f>IF(I47="","",I47)</f>
        <v/>
      </c>
      <c r="J84" s="446">
        <f>IF(J47="","",J47)</f>
        <v/>
      </c>
      <c r="K84" s="446">
        <f>IF(K47="","",K47)</f>
        <v/>
      </c>
    </row>
    <row r="85" outlineLevel="1" ht="15" customHeight="1">
      <c r="B85" s="447">
        <f>IF(B48="","",B48)</f>
        <v/>
      </c>
      <c r="C85" s="59" t="n"/>
      <c r="D85" s="59" t="n"/>
      <c r="E85" s="421" t="n"/>
      <c r="F85" s="446">
        <f>IF(F48="","",F48)</f>
        <v/>
      </c>
      <c r="G85" s="446">
        <f>IF(G48="","",G48)</f>
        <v/>
      </c>
      <c r="H85" s="446">
        <f>IF(H48="","",H48)</f>
        <v/>
      </c>
      <c r="I85" s="446">
        <f>IF(I48="","",I48)</f>
        <v/>
      </c>
      <c r="J85" s="446">
        <f>IF(J48="","",J48)</f>
        <v/>
      </c>
      <c r="K85" s="446">
        <f>IF(K48="","",K48)</f>
        <v/>
      </c>
    </row>
    <row r="86" outlineLevel="1" ht="15" customHeight="1">
      <c r="B86" s="447">
        <f>IF(B49="","",B49)</f>
        <v/>
      </c>
      <c r="C86" s="59" t="n"/>
      <c r="D86" s="59" t="n"/>
      <c r="E86" s="421" t="n"/>
      <c r="F86" s="446">
        <f>IF(F49="","",F49)</f>
        <v/>
      </c>
      <c r="G86" s="446">
        <f>IF(G49="","",G49)</f>
        <v/>
      </c>
      <c r="H86" s="446">
        <f>IF(H49="","",H49)</f>
        <v/>
      </c>
      <c r="I86" s="446">
        <f>IF(I49="","",I49)</f>
        <v/>
      </c>
      <c r="J86" s="446">
        <f>IF(J49="","",J49)</f>
        <v/>
      </c>
      <c r="K86" s="446">
        <f>IF(K49="","",K49)</f>
        <v/>
      </c>
    </row>
    <row r="87" outlineLevel="1" ht="15" customHeight="1">
      <c r="B87" s="130" t="inlineStr">
        <is>
          <t>Adjusted Net Property-Level Cash Flow</t>
        </is>
      </c>
      <c r="C87" s="59" t="n"/>
      <c r="D87" s="59" t="n"/>
      <c r="E87" s="421" t="n"/>
      <c r="F87" s="424">
        <f>IF(F82="","",F84-F85-F86)</f>
        <v/>
      </c>
      <c r="G87" s="424">
        <f>IF(G82="","",G84-G85-G86)</f>
        <v/>
      </c>
      <c r="H87" s="424">
        <f>IF(H82="","",H84-H85-H86)</f>
        <v/>
      </c>
      <c r="I87" s="424">
        <f>IF(I82="","",I84-I85-I86)</f>
        <v/>
      </c>
      <c r="J87" s="424">
        <f>IF(J82="","",J84-J85-J86)</f>
        <v/>
      </c>
      <c r="K87" s="424">
        <f>IF(K82="","",K84-K85-K86)</f>
        <v/>
      </c>
    </row>
    <row r="88" outlineLevel="1" ht="15" customHeight="1">
      <c r="B88" s="59" t="inlineStr">
        <is>
          <t>Levered IRR</t>
        </is>
      </c>
      <c r="C88" s="59" t="n"/>
      <c r="D88" s="59" t="n"/>
      <c r="E88" s="59" t="n"/>
      <c r="F88" s="397">
        <f>IRR(F87:K87)</f>
        <v/>
      </c>
      <c r="G88" s="398" t="n"/>
      <c r="H88" s="398" t="n"/>
      <c r="I88" s="398" t="n"/>
      <c r="J88" s="398" t="n"/>
      <c r="K88" s="398" t="n"/>
    </row>
    <row r="89" outlineLevel="1" ht="15" customHeight="1">
      <c r="B89" s="59" t="inlineStr">
        <is>
          <t>Equity Multiple</t>
        </is>
      </c>
      <c r="C89" s="59" t="n"/>
      <c r="D89" s="59" t="n"/>
      <c r="E89" s="59" t="n"/>
      <c r="F89" s="822">
        <f>SUMIF(F87:K87,"&gt;0")/-SUMIF(F87:K87,"&lt;0")</f>
        <v/>
      </c>
      <c r="G89" s="398" t="n"/>
      <c r="H89" s="398" t="n"/>
      <c r="I89" s="398" t="n"/>
      <c r="J89" s="398" t="n"/>
      <c r="K89" s="398" t="n"/>
    </row>
    <row r="90" outlineLevel="1" ht="15" customHeight="1">
      <c r="B90" s="59" t="n"/>
      <c r="C90" s="59" t="n"/>
      <c r="D90" s="59" t="n"/>
      <c r="E90" s="398" t="n"/>
      <c r="F90" s="426" t="n"/>
      <c r="G90" s="398" t="n"/>
      <c r="H90" s="398" t="n"/>
      <c r="I90" s="398" t="n"/>
      <c r="J90" s="398" t="n"/>
      <c r="K90" s="398" t="n"/>
    </row>
    <row r="91" outlineLevel="1" ht="15.75" customHeight="1">
      <c r="B91" s="433" t="inlineStr">
        <is>
          <t>Tier 1 - Preferred Return + Return of Capital</t>
        </is>
      </c>
      <c r="C91" s="430" t="n"/>
      <c r="D91" s="430" t="n"/>
      <c r="E91" s="430" t="n"/>
      <c r="F91" s="431" t="n"/>
      <c r="G91" s="448" t="n"/>
      <c r="H91" s="431" t="n"/>
      <c r="I91" s="431" t="n"/>
      <c r="J91" s="431" t="n"/>
      <c r="K91" s="431" t="n"/>
    </row>
    <row r="92" outlineLevel="1" ht="15" customHeight="1">
      <c r="B92" s="449" t="inlineStr">
        <is>
          <t>Return Threshold - Up to:</t>
        </is>
      </c>
      <c r="C92" s="831">
        <f>E60</f>
        <v/>
      </c>
      <c r="D92" s="430" t="n"/>
      <c r="E92" s="430" t="n"/>
      <c r="F92" s="431" t="inlineStr">
        <is>
          <t>Year 0</t>
        </is>
      </c>
      <c r="G92" s="827">
        <f>G$21</f>
        <v/>
      </c>
      <c r="H92" s="827">
        <f>H$21</f>
        <v/>
      </c>
      <c r="I92" s="827">
        <f>I$21</f>
        <v/>
      </c>
      <c r="J92" s="827">
        <f>J$21</f>
        <v/>
      </c>
      <c r="K92" s="827">
        <f>K$21</f>
        <v/>
      </c>
    </row>
    <row r="93" outlineLevel="1" ht="15" customHeight="1">
      <c r="B93" s="59" t="inlineStr">
        <is>
          <t>Beginning Balance (LP Capital Account)</t>
        </is>
      </c>
      <c r="C93" s="59" t="n"/>
      <c r="D93" s="59" t="n"/>
      <c r="E93" s="59" t="n"/>
      <c r="F93" s="407">
        <f>IF(F92="","",E98)</f>
        <v/>
      </c>
      <c r="G93" s="407">
        <f>IF(G92="","",F98)</f>
        <v/>
      </c>
      <c r="H93" s="407">
        <f>IF(H92="","",G98)</f>
        <v/>
      </c>
      <c r="I93" s="407">
        <f>IF(I92="","",H98)</f>
        <v/>
      </c>
      <c r="J93" s="407">
        <f>IF(J92="","",I98)</f>
        <v/>
      </c>
      <c r="K93" s="407">
        <f>IF(K92="","",J98)</f>
        <v/>
      </c>
    </row>
    <row r="94" outlineLevel="1" ht="15" customHeight="1">
      <c r="B94" s="59" t="inlineStr">
        <is>
          <t>LP Return of Capital</t>
        </is>
      </c>
      <c r="C94" s="59" t="n"/>
      <c r="D94" s="59" t="n"/>
      <c r="E94" s="59" t="n"/>
      <c r="F94" s="451">
        <f>IF(ROUND(SUM(G94:K94),0)=ROUND(SUM(F96:K96),0),"All Capital Returned","Capital Not Returned")</f>
        <v/>
      </c>
      <c r="G94" s="407">
        <f>IF(G92="","",G100-G95)</f>
        <v/>
      </c>
      <c r="H94" s="407">
        <f>IF(H92="","",H100-H95)</f>
        <v/>
      </c>
      <c r="I94" s="407">
        <f>IF(I92="","",I100-I95)</f>
        <v/>
      </c>
      <c r="J94" s="407">
        <f>IF(J92="","",J100-J95)</f>
        <v/>
      </c>
      <c r="K94" s="407">
        <f>IF(K92="","",K100-K95)</f>
        <v/>
      </c>
    </row>
    <row r="95" outlineLevel="1" ht="15" customHeight="1">
      <c r="B95" s="59" t="inlineStr">
        <is>
          <t>Req'd Return by LP to hit Hurdle 1</t>
        </is>
      </c>
      <c r="C95" s="59" t="n"/>
      <c r="D95" s="59" t="n"/>
      <c r="E95" s="59" t="n"/>
      <c r="F95" s="407">
        <f>IF(F92="","",IF($D$57="Equity Multiple",E96*$C92-E96,F93*Preferred_Return))</f>
        <v/>
      </c>
      <c r="G95" s="407">
        <f>IF(G92="","",IF($D$57="Equity Multiple",F96*$C92-F96,G93*Preferred_Return))</f>
        <v/>
      </c>
      <c r="H95" s="407">
        <f>IF(H92="","",IF($D$57="Equity Multiple",G96*$C92-G96,H93*Preferred_Return))</f>
        <v/>
      </c>
      <c r="I95" s="407">
        <f>IF(I92="","",IF($D$57="Equity Multiple",H96*$C92-H96,I93*Preferred_Return))</f>
        <v/>
      </c>
      <c r="J95" s="407">
        <f>IF(J92="","",IF($D$57="Equity Multiple",I96*$C92-I96,J93*Preferred_Return))</f>
        <v/>
      </c>
      <c r="K95" s="407">
        <f>IF(K92="","",IF($D$57="Equity Multiple",J96*$C92-J96,K93*Preferred_Return))</f>
        <v/>
      </c>
    </row>
    <row r="96" outlineLevel="1" ht="15" customHeight="1">
      <c r="B96" s="59" t="inlineStr">
        <is>
          <t>Contributions from LP</t>
        </is>
      </c>
      <c r="C96" s="59" t="n"/>
      <c r="D96" s="59" t="n"/>
      <c r="E96" s="59" t="n"/>
      <c r="F96" s="407">
        <f>IF(F92="","",-MIN(0,F87*Equity_Share_LP))</f>
        <v/>
      </c>
      <c r="G96" s="407">
        <f>IF(G92="","",-MIN(0,G87*Equity_Share_LP))</f>
        <v/>
      </c>
      <c r="H96" s="407">
        <f>IF(H92="","",-MIN(0,H87*Equity_Share_LP))</f>
        <v/>
      </c>
      <c r="I96" s="407">
        <f>IF(I92="","",-MIN(0,I87*Equity_Share_LP))</f>
        <v/>
      </c>
      <c r="J96" s="407">
        <f>IF(J92="","",-MIN(0,J87*Equity_Share_LP))</f>
        <v/>
      </c>
      <c r="K96" s="407">
        <f>IF(K92="","",-MIN(0,K87*Equity_Share_LP))</f>
        <v/>
      </c>
    </row>
    <row r="97" outlineLevel="1" ht="15" customHeight="1">
      <c r="B97" s="59" t="inlineStr">
        <is>
          <t>Distributions to LP (Hurdle 1)</t>
        </is>
      </c>
      <c r="C97" s="59" t="n"/>
      <c r="D97" s="59" t="n"/>
      <c r="E97" s="59" t="n"/>
      <c r="F97" s="358">
        <f>IF(F92="","",MIN(F93+F95,MAX(F87,0)*$I$15))</f>
        <v/>
      </c>
      <c r="G97" s="358">
        <f>IF(G92="","",MIN(G93+G95,MAX(G87,0)*$I$15))</f>
        <v/>
      </c>
      <c r="H97" s="358">
        <f>IF(H92="","",MIN(H93+H95,MAX(H87,0)*$I$15))</f>
        <v/>
      </c>
      <c r="I97" s="358">
        <f>IF(I92="","",MIN(I93+I95,MAX(I87,0)*$I$15))</f>
        <v/>
      </c>
      <c r="J97" s="358">
        <f>IF(J92="","",MIN(J93+J95,MAX(J87,0)*$I$15))</f>
        <v/>
      </c>
      <c r="K97" s="358">
        <f>IF(K92="","",MIN(K93+K95,MAX(K87,0)*$I$15))</f>
        <v/>
      </c>
    </row>
    <row r="98" outlineLevel="1" ht="15" customHeight="1">
      <c r="B98" s="59" t="inlineStr">
        <is>
          <t>Ending Balance (LP Capital Account)</t>
        </is>
      </c>
      <c r="C98" s="59" t="n"/>
      <c r="D98" s="59" t="n"/>
      <c r="E98" s="59" t="n"/>
      <c r="F98" s="407">
        <f>IF(F92="","",F93+F95+F96-F97)</f>
        <v/>
      </c>
      <c r="G98" s="407">
        <f>IF(G92="","",G93+G95+G96-G97)</f>
        <v/>
      </c>
      <c r="H98" s="407">
        <f>IF(H92="","",H93+H95+H96-H97)</f>
        <v/>
      </c>
      <c r="I98" s="407">
        <f>IF(I92="","",I93+I95+I96-I97)</f>
        <v/>
      </c>
      <c r="J98" s="407">
        <f>IF(J92="","",J93+J95+J96-J97)</f>
        <v/>
      </c>
      <c r="K98" s="407">
        <f>IF(K92="","",K93+K95+K96-K97)</f>
        <v/>
      </c>
    </row>
    <row r="99" outlineLevel="1" ht="15" customHeight="1">
      <c r="B99" s="452">
        <f>IF(D57="Equity Multiple", "LP EMx Check","LP IRR Check")</f>
        <v/>
      </c>
      <c r="C99" s="59" t="n"/>
      <c r="D99" s="59" t="n"/>
      <c r="E99" s="453">
        <f>IF($D$57="IRR",IRR(F99:K99),SUMIF(F99:K99,"&gt;0")/-SUMIF(F99:K99,"&lt;0"))</f>
        <v/>
      </c>
      <c r="F99" s="407">
        <f>IF(F92="","",-F96+F97)</f>
        <v/>
      </c>
      <c r="G99" s="407">
        <f>IF(G92="","",-G96+G97)</f>
        <v/>
      </c>
      <c r="H99" s="407">
        <f>IF(H92="","",-H96+H97)</f>
        <v/>
      </c>
      <c r="I99" s="407">
        <f>IF(I92="","",-I96+I97)</f>
        <v/>
      </c>
      <c r="J99" s="407">
        <f>IF(J92="","",-J96+J97)</f>
        <v/>
      </c>
      <c r="K99" s="407">
        <f>IF(K92="","",-K96+K97)</f>
        <v/>
      </c>
    </row>
    <row r="100" outlineLevel="1" ht="15" customHeight="1">
      <c r="B100" s="59" t="inlineStr">
        <is>
          <t>Distribution to LP</t>
        </is>
      </c>
      <c r="C100" s="59" t="n"/>
      <c r="D100" s="59" t="n"/>
      <c r="E100" s="59" t="n"/>
      <c r="F100" s="407">
        <f>IF(F92="","",MIN(F93+F95,MAX(F87,0)*$I$15))</f>
        <v/>
      </c>
      <c r="G100" s="407">
        <f>IF(G92="","",MIN(G93+G95,MAX(G87,0)*$I$15))</f>
        <v/>
      </c>
      <c r="H100" s="407">
        <f>IF(H92="","",MIN(H93+H95,MAX(H87,0)*$I$15))</f>
        <v/>
      </c>
      <c r="I100" s="407">
        <f>IF(I92="","",MIN(I93+I95,MAX(I87,0)*$I$15))</f>
        <v/>
      </c>
      <c r="J100" s="407">
        <f>IF(J92="","",MIN(J93+J95,MAX(J87,0)*$I$15))</f>
        <v/>
      </c>
      <c r="K100" s="407">
        <f>IF(K92="","",MIN(K93+K95,MAX(K87,0)*$I$15))</f>
        <v/>
      </c>
    </row>
    <row r="101" outlineLevel="1" ht="15" customHeight="1">
      <c r="B101" s="59" t="n"/>
      <c r="C101" s="59" t="n"/>
      <c r="D101" s="59" t="n"/>
      <c r="E101" s="59" t="n"/>
      <c r="F101" s="407" t="n"/>
      <c r="G101" s="407" t="n"/>
      <c r="H101" s="407" t="n"/>
      <c r="I101" s="407" t="n"/>
      <c r="J101" s="407" t="n"/>
      <c r="K101" s="407" t="n"/>
    </row>
    <row r="102" outlineLevel="1" ht="15" customHeight="1">
      <c r="B102" s="59" t="inlineStr">
        <is>
          <t>Beginning Balance (GP Capital Account)</t>
        </is>
      </c>
      <c r="C102" s="59" t="n"/>
      <c r="D102" s="59" t="n"/>
      <c r="E102" s="59" t="n"/>
      <c r="F102" s="407">
        <f>IF(F92="","",E106)</f>
        <v/>
      </c>
      <c r="G102" s="407">
        <f>IF(G92="","",F106)</f>
        <v/>
      </c>
      <c r="H102" s="407">
        <f>IF(H92="","",G106)</f>
        <v/>
      </c>
      <c r="I102" s="407">
        <f>IF(I92="","",H106)</f>
        <v/>
      </c>
      <c r="J102" s="407">
        <f>IF(J92="","",I106)</f>
        <v/>
      </c>
      <c r="K102" s="407">
        <f>IF(K92="","",J106)</f>
        <v/>
      </c>
    </row>
    <row r="103" outlineLevel="1" ht="15" customHeight="1">
      <c r="B103" s="59" t="inlineStr">
        <is>
          <t>Req'd Return by GP (Pref)</t>
        </is>
      </c>
      <c r="C103" s="59" t="n"/>
      <c r="D103" s="59" t="n"/>
      <c r="E103" s="59" t="n"/>
      <c r="F103" s="407">
        <f>IF(F92="","",IF($D$57="Equity Multiple",E104*$C92-E104,F102*Preferred_Return))</f>
        <v/>
      </c>
      <c r="G103" s="407">
        <f>IF(G102="","",IF($D$57="Equity Multiple",F104*$C92-F104,G102*Preferred_Return))</f>
        <v/>
      </c>
      <c r="H103" s="407">
        <f>IF(H102="","",IF($D$57="Equity Multiple",G104*$C92-G104,H102*Preferred_Return))</f>
        <v/>
      </c>
      <c r="I103" s="407">
        <f>IF(I102="","",IF($D$57="Equity Multiple",H104*$C92-H104,I102*Preferred_Return))</f>
        <v/>
      </c>
      <c r="J103" s="407">
        <f>IF(J102="","",IF($D$57="Equity Multiple",I104*$C92-I104,J102*Preferred_Return))</f>
        <v/>
      </c>
      <c r="K103" s="407">
        <f>IF(K102="","",IF($D$57="Equity Multiple",J104*$C92-J104,K102*Preferred_Return))</f>
        <v/>
      </c>
    </row>
    <row r="104" outlineLevel="1" ht="15" customHeight="1">
      <c r="B104" s="59" t="inlineStr">
        <is>
          <t>Contributions from GP</t>
        </is>
      </c>
      <c r="C104" s="59" t="n"/>
      <c r="D104" s="59" t="n"/>
      <c r="E104" s="59" t="n"/>
      <c r="F104" s="407">
        <f>IF(F92="","",-MIN(0,F87*Equity_Share_GP))</f>
        <v/>
      </c>
      <c r="G104" s="407">
        <f>IF(G92="","",-MIN(0,G87*Equity_Share_GP))</f>
        <v/>
      </c>
      <c r="H104" s="407">
        <f>IF(H92="","",-MIN(0,H87*Equity_Share_GP))</f>
        <v/>
      </c>
      <c r="I104" s="407">
        <f>IF(I92="","",-MIN(0,I87*Equity_Share_GP))</f>
        <v/>
      </c>
      <c r="J104" s="407">
        <f>IF(J92="","",-MIN(0,J87*Equity_Share_GP))</f>
        <v/>
      </c>
      <c r="K104" s="407">
        <f>IF(K92="","",-MIN(0,K87*Equity_Share_GP))</f>
        <v/>
      </c>
    </row>
    <row r="105" outlineLevel="1" ht="15" customHeight="1">
      <c r="B105" s="59" t="inlineStr">
        <is>
          <t>Distribution to GP</t>
        </is>
      </c>
      <c r="C105" s="59" t="n"/>
      <c r="D105" s="59" t="n"/>
      <c r="E105" s="59" t="n"/>
      <c r="F105" s="407">
        <f>IF(F92="","",IF(CU?,MAX(MIN(F87-F100,F102+F103+F104),0),F97/$I$15*$H$15))</f>
        <v/>
      </c>
      <c r="G105" s="358">
        <f>IF(G92="","",IF(CU?,MAX(MIN(G87-G100,G102+G103+G104),0),G97/$I$15*$H$15))</f>
        <v/>
      </c>
      <c r="H105" s="358">
        <f>IF(H92="","",IF(CU?,MAX(MIN(H87-H100,H102+H103+H104),0),H97/$I$15*$H$15))</f>
        <v/>
      </c>
      <c r="I105" s="358">
        <f>IF(I92="","",IF(CU?,MAX(MIN(I87-I100,I102+I103+I104),0),I97/$I$15*$H$15))</f>
        <v/>
      </c>
      <c r="J105" s="358">
        <f>IF(J92="","",IF(CU?,MAX(MIN(J87-J100,J102+J103+J104),0),J97/$I$15*$H$15))</f>
        <v/>
      </c>
      <c r="K105" s="358">
        <f>IF(K92="","",IF(CU?,MAX(MIN(K87-K100,K102+K103+K104),0),K97/$I$15*$H$15))</f>
        <v/>
      </c>
    </row>
    <row r="106" outlineLevel="1" ht="15" customHeight="1">
      <c r="B106" s="59" t="inlineStr">
        <is>
          <t>Ending Balance (GP Capital Account)</t>
        </is>
      </c>
      <c r="C106" s="59" t="n"/>
      <c r="D106" s="59" t="n"/>
      <c r="E106" s="59" t="n"/>
      <c r="F106" s="407">
        <f>IF(F92="","",F102+F103+F104-F105)</f>
        <v/>
      </c>
      <c r="G106" s="358">
        <f>IF(G92="","",G102+G103+G104-G105)</f>
        <v/>
      </c>
      <c r="H106" s="358">
        <f>IF(H92="","",H102+H103+H104-H105)</f>
        <v/>
      </c>
      <c r="I106" s="358">
        <f>IF(I92="","",I102+I103+I104-I105)</f>
        <v/>
      </c>
      <c r="J106" s="358">
        <f>IF(J92="","",J102+J103+J104-J105)</f>
        <v/>
      </c>
      <c r="K106" s="358">
        <f>IF(K92="","",K102+K103+K104-K105)</f>
        <v/>
      </c>
    </row>
    <row r="107" outlineLevel="1" ht="15" customHeight="1">
      <c r="B107" s="452">
        <f>IF(D57="Equity Multiple", "GP EMx Check","GP IRR Check")</f>
        <v/>
      </c>
      <c r="C107" s="59" t="n"/>
      <c r="D107" s="59" t="n"/>
      <c r="E107" s="453">
        <f>IF($D$57="IRR",IFERROR(IRR(F107:K107),"NA"),SUMIF(F107:K107,"&gt;0")/-SUMIF(F107:K107,"&lt;0"))</f>
        <v/>
      </c>
      <c r="F107" s="407">
        <f>IF(F92="","",-F104+F105)</f>
        <v/>
      </c>
      <c r="G107" s="358">
        <f>IF(G92="","",-G104+G105)</f>
        <v/>
      </c>
      <c r="H107" s="358">
        <f>IF(H92="","",-H104+H105)</f>
        <v/>
      </c>
      <c r="I107" s="358">
        <f>IF(I92="","",-I104+I105)</f>
        <v/>
      </c>
      <c r="J107" s="358">
        <f>IF(J92="","",-J104+J105)</f>
        <v/>
      </c>
      <c r="K107" s="358">
        <f>IF(K92="","",-K104+K105)</f>
        <v/>
      </c>
    </row>
    <row r="108" outlineLevel="1" ht="15" customHeight="1">
      <c r="B108" s="59" t="n"/>
      <c r="C108" s="59" t="n"/>
      <c r="D108" s="59" t="n"/>
      <c r="E108" s="59" t="n"/>
      <c r="F108" s="407" t="n"/>
      <c r="G108" s="358" t="n"/>
      <c r="H108" s="358" t="n"/>
      <c r="I108" s="358" t="n"/>
      <c r="J108" s="358" t="n"/>
      <c r="K108" s="358" t="n"/>
    </row>
    <row r="109" outlineLevel="1" ht="15" customHeight="1">
      <c r="B109" s="59">
        <f>"Total Distributions ("&amp;B91&amp;")"</f>
        <v/>
      </c>
      <c r="C109" s="59" t="n"/>
      <c r="D109" s="59" t="n"/>
      <c r="E109" s="59" t="n"/>
      <c r="F109" s="407">
        <f>IF(F92="","",F105+F100)</f>
        <v/>
      </c>
      <c r="G109" s="407">
        <f>IF(G92="","",G105+G100)</f>
        <v/>
      </c>
      <c r="H109" s="407">
        <f>IF(H92="","",H105+H100)</f>
        <v/>
      </c>
      <c r="I109" s="407">
        <f>IF(I92="","",I105+I100)</f>
        <v/>
      </c>
      <c r="J109" s="407">
        <f>IF(J92="","",J105+J100)</f>
        <v/>
      </c>
      <c r="K109" s="407">
        <f>IF(K92="","",K105+K100)</f>
        <v/>
      </c>
    </row>
    <row r="110" outlineLevel="1" ht="15" customHeight="1">
      <c r="B110" s="59" t="inlineStr">
        <is>
          <t>Cash Flow Remaining</t>
        </is>
      </c>
      <c r="C110" s="59" t="n"/>
      <c r="D110" s="59" t="n"/>
      <c r="E110" s="59" t="n"/>
      <c r="F110" s="407">
        <f>IF(F92="","",MAX(F87-F109,0))</f>
        <v/>
      </c>
      <c r="G110" s="407">
        <f>IF(G92="","",MAX(G87-G109,0))</f>
        <v/>
      </c>
      <c r="H110" s="407">
        <f>IF(H92="","",MAX(H87-H109,0))</f>
        <v/>
      </c>
      <c r="I110" s="407">
        <f>IF(I92="","",MAX(I87-I109,0))</f>
        <v/>
      </c>
      <c r="J110" s="407">
        <f>IF(J92="","",MAX(J87-J109,0))</f>
        <v/>
      </c>
      <c r="K110" s="407">
        <f>IF(K92="","",MAX(K87-K109,0))</f>
        <v/>
      </c>
    </row>
    <row r="111" outlineLevel="1" ht="15" customHeight="1">
      <c r="B111" s="59" t="n"/>
      <c r="C111" s="59" t="n"/>
      <c r="D111" s="59" t="n"/>
      <c r="E111" s="59" t="n"/>
      <c r="F111" s="398" t="n"/>
      <c r="G111" s="398" t="n"/>
      <c r="H111" s="398" t="n"/>
      <c r="I111" s="398" t="n"/>
      <c r="J111" s="398" t="n"/>
      <c r="K111" s="398" t="n"/>
    </row>
    <row r="112" outlineLevel="1" ht="15.75" customHeight="1">
      <c r="B112" s="433" t="inlineStr">
        <is>
          <t>Tier 2</t>
        </is>
      </c>
      <c r="C112" s="430" t="n"/>
      <c r="D112" s="430" t="n"/>
      <c r="E112" s="430" t="n"/>
      <c r="F112" s="431" t="inlineStr">
        <is>
          <t>Year 0</t>
        </is>
      </c>
      <c r="G112" s="827">
        <f>G$21</f>
        <v/>
      </c>
      <c r="H112" s="827">
        <f>H$21</f>
        <v/>
      </c>
      <c r="I112" s="827">
        <f>I$21</f>
        <v/>
      </c>
      <c r="J112" s="827">
        <f>J$21</f>
        <v/>
      </c>
      <c r="K112" s="827">
        <f>K$21</f>
        <v/>
      </c>
    </row>
    <row r="113" outlineLevel="1" ht="15" customHeight="1">
      <c r="B113" s="454" t="inlineStr">
        <is>
          <t>Return Threshold - Up to:</t>
        </is>
      </c>
      <c r="C113" s="832">
        <f>E61</f>
        <v/>
      </c>
      <c r="D113" s="59" t="n"/>
      <c r="E113" s="59" t="n"/>
      <c r="F113" s="398" t="n"/>
      <c r="G113" s="833" t="n"/>
      <c r="H113" s="833" t="n"/>
      <c r="I113" s="833" t="n"/>
      <c r="J113" s="833" t="n"/>
      <c r="K113" s="833" t="n"/>
    </row>
    <row r="114" outlineLevel="1" ht="15" customHeight="1">
      <c r="B114" s="59" t="inlineStr">
        <is>
          <t>Beginning Balance (LP Capital Account)</t>
        </is>
      </c>
      <c r="C114" s="59" t="n"/>
      <c r="D114" s="59" t="n"/>
      <c r="E114" s="59" t="n"/>
      <c r="F114" s="407">
        <f>IF(F112="","",E119)</f>
        <v/>
      </c>
      <c r="G114" s="407">
        <f>IF(G112="","",F119)</f>
        <v/>
      </c>
      <c r="H114" s="407">
        <f>IF(H112="","",G119)</f>
        <v/>
      </c>
      <c r="I114" s="407">
        <f>IF(I112="","",H119)</f>
        <v/>
      </c>
      <c r="J114" s="407">
        <f>IF(J112="","",I119)</f>
        <v/>
      </c>
      <c r="K114" s="407">
        <f>IF(K112="","",J119)</f>
        <v/>
      </c>
    </row>
    <row r="115" outlineLevel="1" ht="15" customHeight="1">
      <c r="B115" s="59" t="inlineStr">
        <is>
          <t>Req'd Return by LP to hit Hurdle 2</t>
        </is>
      </c>
      <c r="C115" s="59" t="n"/>
      <c r="D115" s="59" t="n"/>
      <c r="E115" s="59" t="n"/>
      <c r="F115" s="407">
        <f>IF(F112="","",IF($D$57="Equity Multiple",E116*$C113-E116,F114*$C113))</f>
        <v/>
      </c>
      <c r="G115" s="407">
        <f>IF(G112="","",IF($D$57="Equity Multiple",F116*$C113-F116,G114*$C113))</f>
        <v/>
      </c>
      <c r="H115" s="407">
        <f>IF(H112="","",IF($D$57="Equity Multiple",G116*$C113-G116,H114*$C113))</f>
        <v/>
      </c>
      <c r="I115" s="407">
        <f>IF(I112="","",IF($D$57="Equity Multiple",H116*$C113-H116,I114*$C113))</f>
        <v/>
      </c>
      <c r="J115" s="407">
        <f>IF(J112="","",IF($D$57="Equity Multiple",I116*$C113-I116,J114*$C113))</f>
        <v/>
      </c>
      <c r="K115" s="407">
        <f>IF(K112="","",IF($D$57="Equity Multiple",J116*$C113-J116,K114*$C113))</f>
        <v/>
      </c>
    </row>
    <row r="116" outlineLevel="1" ht="15" customHeight="1">
      <c r="B116" s="59" t="inlineStr">
        <is>
          <t>Contributions from LP</t>
        </is>
      </c>
      <c r="C116" s="59" t="n"/>
      <c r="D116" s="59" t="n"/>
      <c r="E116" s="59" t="n"/>
      <c r="F116" s="407">
        <f>IF(F112="","",-MIN(0,F$51*Equity_Share_LP))</f>
        <v/>
      </c>
      <c r="G116" s="407">
        <f>IF(G112="","",-MIN(0,G$51*Equity_Share_LP))</f>
        <v/>
      </c>
      <c r="H116" s="407">
        <f>IF(H112="","",-MIN(0,H$51*Equity_Share_LP))</f>
        <v/>
      </c>
      <c r="I116" s="407">
        <f>IF(I112="","",-MIN(0,I$51*Equity_Share_LP))</f>
        <v/>
      </c>
      <c r="J116" s="407">
        <f>IF(J112="","",-MIN(0,J$51*Equity_Share_LP))</f>
        <v/>
      </c>
      <c r="K116" s="407">
        <f>IF(K112="","",-MIN(0,K$51*Equity_Share_LP))</f>
        <v/>
      </c>
    </row>
    <row r="117" outlineLevel="1" ht="15" customHeight="1">
      <c r="B117" s="59" t="inlineStr">
        <is>
          <t>Prior Distributions</t>
        </is>
      </c>
      <c r="C117" s="59" t="n"/>
      <c r="D117" s="59" t="n"/>
      <c r="E117" s="59" t="n"/>
      <c r="F117" s="407">
        <f>F100</f>
        <v/>
      </c>
      <c r="G117" s="407">
        <f>G100</f>
        <v/>
      </c>
      <c r="H117" s="407">
        <f>H100</f>
        <v/>
      </c>
      <c r="I117" s="407">
        <f>I100</f>
        <v/>
      </c>
      <c r="J117" s="407">
        <f>J100</f>
        <v/>
      </c>
      <c r="K117" s="407">
        <f>K100</f>
        <v/>
      </c>
    </row>
    <row r="118" outlineLevel="1" ht="15" customHeight="1">
      <c r="B118" s="59">
        <f>"Distributions to LP "&amp;B112</f>
        <v/>
      </c>
      <c r="C118" s="59" t="n"/>
      <c r="D118" s="59" t="n"/>
      <c r="E118" s="59" t="n"/>
      <c r="F118" s="407">
        <f>IF(F112="","",MIN(F114+F115-F117,F110*$I$16))</f>
        <v/>
      </c>
      <c r="G118" s="407">
        <f>IF(G112="","",MIN(G114+G115-G117,G110*$I$16))</f>
        <v/>
      </c>
      <c r="H118" s="407">
        <f>IF(H112="","",MIN(H114+H115-H117,H110*$I$16))</f>
        <v/>
      </c>
      <c r="I118" s="407">
        <f>IF(I112="","",MIN(I114+I115-I117,I110*$I$16))</f>
        <v/>
      </c>
      <c r="J118" s="407">
        <f>IF(J112="","",MIN(J114+J115-J117,J110*$I$16))</f>
        <v/>
      </c>
      <c r="K118" s="407">
        <f>IF(K112="","",MIN(K114+K115-K117,K110*$I$16))</f>
        <v/>
      </c>
    </row>
    <row r="119" outlineLevel="1" ht="15" customHeight="1">
      <c r="B119" s="59" t="inlineStr">
        <is>
          <t>Ending Balance (LP Capital Account)</t>
        </is>
      </c>
      <c r="C119" s="59" t="n"/>
      <c r="D119" s="59" t="n"/>
      <c r="E119" s="59" t="n"/>
      <c r="F119" s="407">
        <f>IF(F112="","",F114+F115+F116-F117-F118)</f>
        <v/>
      </c>
      <c r="G119" s="407">
        <f>IF(G112="","",G114+G115+G116-G117-G118)</f>
        <v/>
      </c>
      <c r="H119" s="407">
        <f>IF(H112="","",H114+H115+H116-H117-H118)</f>
        <v/>
      </c>
      <c r="I119" s="407">
        <f>IF(I112="","",I114+I115+I116-I117-I118)</f>
        <v/>
      </c>
      <c r="J119" s="407">
        <f>IF(J112="","",J114+J115+J116-J117-J118)</f>
        <v/>
      </c>
      <c r="K119" s="407">
        <f>IF(K112="","",K114+K115+K116-K117-K118)</f>
        <v/>
      </c>
    </row>
    <row r="120" outlineLevel="1" ht="15" customHeight="1">
      <c r="B120" s="834">
        <f>C113</f>
        <v/>
      </c>
      <c r="C120" s="59" t="n"/>
      <c r="D120" s="59" t="n"/>
      <c r="E120" s="453">
        <f>IF($D$57="IRR",IRR(F120:K120),SUMIF(F120:K120,"&gt;0")/-SUMIF(F120:K120,"&lt;0"))</f>
        <v/>
      </c>
      <c r="F120" s="407">
        <f>IF(F112="","",-F116+F117+F118)</f>
        <v/>
      </c>
      <c r="G120" s="407">
        <f>IF(G112="","",-G116+G117+G118)</f>
        <v/>
      </c>
      <c r="H120" s="407">
        <f>IF(H112="","",-H116+H117+H118)</f>
        <v/>
      </c>
      <c r="I120" s="407">
        <f>IF(I112="","",-I116+I117+I118)</f>
        <v/>
      </c>
      <c r="J120" s="407">
        <f>IF(J112="","",-J116+J117+J118)</f>
        <v/>
      </c>
      <c r="K120" s="407">
        <f>IF(K112="","",-K116+K117+K118)</f>
        <v/>
      </c>
    </row>
    <row r="121" outlineLevel="1" ht="15" customHeight="1">
      <c r="B121" s="74" t="n"/>
      <c r="C121" s="74" t="n"/>
      <c r="D121" s="74" t="n"/>
      <c r="E121" s="74" t="n"/>
      <c r="F121" s="458" t="n"/>
      <c r="G121" s="458" t="n"/>
      <c r="H121" s="458" t="n"/>
      <c r="I121" s="458" t="n"/>
      <c r="J121" s="458" t="n"/>
      <c r="K121" s="458" t="n"/>
    </row>
    <row r="122" outlineLevel="1" ht="15" customHeight="1">
      <c r="B122" s="59" t="inlineStr">
        <is>
          <t>Distribution to LP</t>
        </is>
      </c>
      <c r="C122" s="59" t="n"/>
      <c r="D122" s="59" t="n"/>
      <c r="E122" s="59" t="n"/>
      <c r="F122" s="407">
        <f>IF(F112="","",F118)</f>
        <v/>
      </c>
      <c r="G122" s="407">
        <f>IF(G112="","",G118)</f>
        <v/>
      </c>
      <c r="H122" s="407">
        <f>IF(H112="","",H118)</f>
        <v/>
      </c>
      <c r="I122" s="407">
        <f>IF(I112="","",I118)</f>
        <v/>
      </c>
      <c r="J122" s="407">
        <f>IF(J112="","",J118)</f>
        <v/>
      </c>
      <c r="K122" s="407">
        <f>IF(K112="","",K118)</f>
        <v/>
      </c>
    </row>
    <row r="123" outlineLevel="1" ht="15" customHeight="1">
      <c r="B123" s="59" t="inlineStr">
        <is>
          <t>Distribution to GP</t>
        </is>
      </c>
      <c r="C123" s="59" t="n"/>
      <c r="D123" s="59" t="n"/>
      <c r="E123" s="59" t="n"/>
      <c r="F123" s="407">
        <f>IF(F112="","",F122/$I$16*$H$16)</f>
        <v/>
      </c>
      <c r="G123" s="407">
        <f>IF(G112="","",G122/$I$16*$H$16)</f>
        <v/>
      </c>
      <c r="H123" s="407">
        <f>IF(H112="","",H122/$I$16*$H$16)</f>
        <v/>
      </c>
      <c r="I123" s="407">
        <f>IF(I112="","",I122/$I$16*$H$16)</f>
        <v/>
      </c>
      <c r="J123" s="407">
        <f>IF(J112="","",J122/$I$16*$H$16)</f>
        <v/>
      </c>
      <c r="K123" s="407">
        <f>IF(K112="","",K122/$I$16*$H$16)</f>
        <v/>
      </c>
    </row>
    <row r="124" outlineLevel="1" ht="15" customHeight="1">
      <c r="B124" s="59">
        <f>"Total Distributions ("&amp;B112&amp;")"</f>
        <v/>
      </c>
      <c r="C124" s="59" t="n"/>
      <c r="D124" s="59" t="n"/>
      <c r="E124" s="59" t="n"/>
      <c r="F124" s="407">
        <f>IF(F112="","",F122+F123)</f>
        <v/>
      </c>
      <c r="G124" s="407">
        <f>IF(G112="","",G122+G123)</f>
        <v/>
      </c>
      <c r="H124" s="407">
        <f>IF(H112="","",H122+H123)</f>
        <v/>
      </c>
      <c r="I124" s="407">
        <f>IF(I112="","",I122+I123)</f>
        <v/>
      </c>
      <c r="J124" s="407">
        <f>IF(J112="","",J122+J123)</f>
        <v/>
      </c>
      <c r="K124" s="407">
        <f>IF(K112="","",K122+K123)</f>
        <v/>
      </c>
    </row>
    <row r="125" outlineLevel="1" ht="15" customHeight="1">
      <c r="B125" s="59" t="inlineStr">
        <is>
          <t>Cash Flow Remaining</t>
        </is>
      </c>
      <c r="C125" s="59" t="n"/>
      <c r="D125" s="59" t="n"/>
      <c r="E125" s="59" t="n"/>
      <c r="F125" s="407">
        <f>IF(F112="","",MAX(F$51-F109-F124,0))</f>
        <v/>
      </c>
      <c r="G125" s="407">
        <f>IF(G112="","",MAX(G$51-G109-G124,0))</f>
        <v/>
      </c>
      <c r="H125" s="407">
        <f>IF(H112="","",MAX(H$51-H109-H124,0))</f>
        <v/>
      </c>
      <c r="I125" s="407">
        <f>IF(I112="","",MAX(I$51-I109-I124,0))</f>
        <v/>
      </c>
      <c r="J125" s="407">
        <f>IF(J112="","",MAX(J$51-J109-J124,0))</f>
        <v/>
      </c>
      <c r="K125" s="407">
        <f>IF(K112="","",MAX(K$51-K109-K124,0))</f>
        <v/>
      </c>
    </row>
    <row r="126" outlineLevel="1" ht="15" customHeight="1">
      <c r="B126" s="59" t="n"/>
      <c r="C126" s="59" t="n"/>
      <c r="D126" s="59" t="n"/>
      <c r="E126" s="59" t="n"/>
      <c r="F126" s="398" t="n"/>
      <c r="G126" s="398" t="n"/>
      <c r="H126" s="398" t="n"/>
      <c r="I126" s="398" t="n"/>
      <c r="J126" s="398" t="n"/>
      <c r="K126" s="398" t="n"/>
    </row>
    <row r="127" outlineLevel="1" ht="15.75" customHeight="1">
      <c r="B127" s="433" t="inlineStr">
        <is>
          <t>Tier 3</t>
        </is>
      </c>
      <c r="C127" s="430" t="n"/>
      <c r="D127" s="430" t="n"/>
      <c r="E127" s="430" t="n"/>
      <c r="F127" s="431" t="inlineStr">
        <is>
          <t>Year 0</t>
        </is>
      </c>
      <c r="G127" s="827">
        <f>G$21</f>
        <v/>
      </c>
      <c r="H127" s="827">
        <f>H$21</f>
        <v/>
      </c>
      <c r="I127" s="827">
        <f>I$21</f>
        <v/>
      </c>
      <c r="J127" s="827">
        <f>J$21</f>
        <v/>
      </c>
      <c r="K127" s="827">
        <f>K$21</f>
        <v/>
      </c>
    </row>
    <row r="128" outlineLevel="1" ht="15" customHeight="1">
      <c r="B128" s="454" t="inlineStr">
        <is>
          <t>Return Threshold - Up to:</t>
        </is>
      </c>
      <c r="C128" s="832">
        <f>E62</f>
        <v/>
      </c>
      <c r="D128" s="59" t="n"/>
      <c r="E128" s="59" t="n"/>
      <c r="F128" s="398" t="n"/>
      <c r="G128" s="833" t="n"/>
      <c r="H128" s="833" t="n"/>
      <c r="I128" s="833" t="n"/>
      <c r="J128" s="833" t="n"/>
      <c r="K128" s="833" t="n"/>
    </row>
    <row r="129" outlineLevel="1" ht="15" customHeight="1">
      <c r="B129" s="59" t="inlineStr">
        <is>
          <t>Beginning Balance (LP Capital Account)</t>
        </is>
      </c>
      <c r="C129" s="59" t="n"/>
      <c r="D129" s="59" t="n"/>
      <c r="E129" s="59" t="n"/>
      <c r="F129" s="407">
        <f>IF(F127="","",E134)</f>
        <v/>
      </c>
      <c r="G129" s="407">
        <f>IF(G127="","",F134)</f>
        <v/>
      </c>
      <c r="H129" s="407">
        <f>IF(H127="","",G134)</f>
        <v/>
      </c>
      <c r="I129" s="407">
        <f>IF(I127="","",H134)</f>
        <v/>
      </c>
      <c r="J129" s="407">
        <f>IF(J127="","",I134)</f>
        <v/>
      </c>
      <c r="K129" s="407">
        <f>IF(K127="","",J134)</f>
        <v/>
      </c>
    </row>
    <row r="130" outlineLevel="1" ht="15" customHeight="1">
      <c r="B130" s="59" t="inlineStr">
        <is>
          <t>Req'd Return by LP to hit Hurdle 3</t>
        </is>
      </c>
      <c r="C130" s="59" t="n"/>
      <c r="D130" s="59" t="n"/>
      <c r="E130" s="59" t="n"/>
      <c r="F130" s="407">
        <f>IF(F127="","",IF($D$57="Equity Multiple",E131*$C128-E131,F129*$C128))</f>
        <v/>
      </c>
      <c r="G130" s="407">
        <f>IF(G127="","",IF($D$57="Equity Multiple",F131*$C128-F131,G129*$C128))</f>
        <v/>
      </c>
      <c r="H130" s="407">
        <f>IF(H127="","",IF($D$57="Equity Multiple",G131*$C128-G131,H129*$C128))</f>
        <v/>
      </c>
      <c r="I130" s="407">
        <f>IF(I127="","",IF($D$57="Equity Multiple",H131*$C128-H131,I129*$C128))</f>
        <v/>
      </c>
      <c r="J130" s="407">
        <f>IF(J127="","",IF($D$57="Equity Multiple",I131*$C128-I131,J129*$C128))</f>
        <v/>
      </c>
      <c r="K130" s="407">
        <f>IF(K127="","",IF($D$57="Equity Multiple",J131*$C128-J131,K129*$C128))</f>
        <v/>
      </c>
    </row>
    <row r="131" outlineLevel="1" ht="15" customHeight="1">
      <c r="B131" s="59" t="inlineStr">
        <is>
          <t>Contributions from LP</t>
        </is>
      </c>
      <c r="C131" s="59" t="n"/>
      <c r="D131" s="59" t="n"/>
      <c r="E131" s="59" t="n"/>
      <c r="F131" s="407">
        <f>IF(F127="","",-MIN(0,F$51*Equity_Share_LP))</f>
        <v/>
      </c>
      <c r="G131" s="407">
        <f>IF(G127="","",-MIN(0,G$51*Equity_Share_LP))</f>
        <v/>
      </c>
      <c r="H131" s="407">
        <f>IF(H127="","",-MIN(0,H$51*Equity_Share_LP))</f>
        <v/>
      </c>
      <c r="I131" s="407">
        <f>IF(I127="","",-MIN(0,I$51*Equity_Share_LP))</f>
        <v/>
      </c>
      <c r="J131" s="407">
        <f>IF(J127="","",-MIN(0,J$51*Equity_Share_LP))</f>
        <v/>
      </c>
      <c r="K131" s="407">
        <f>IF(K127="","",-MIN(0,K$51*Equity_Share_LP))</f>
        <v/>
      </c>
    </row>
    <row r="132" outlineLevel="1" ht="15" customHeight="1">
      <c r="B132" s="59" t="inlineStr">
        <is>
          <t>Prior Distributions</t>
        </is>
      </c>
      <c r="C132" s="59" t="n"/>
      <c r="D132" s="59" t="n"/>
      <c r="E132" s="59" t="n"/>
      <c r="F132" s="407">
        <f>IF(F127="","",F122+F100)</f>
        <v/>
      </c>
      <c r="G132" s="407">
        <f>IF(G127="","",G122+G100)</f>
        <v/>
      </c>
      <c r="H132" s="407">
        <f>IF(H127="","",H122+H100)</f>
        <v/>
      </c>
      <c r="I132" s="407">
        <f>IF(I127="","",I122+I100)</f>
        <v/>
      </c>
      <c r="J132" s="407">
        <f>IF(J127="","",J122+J100)</f>
        <v/>
      </c>
      <c r="K132" s="407">
        <f>IF(K127="","",K122+K100)</f>
        <v/>
      </c>
    </row>
    <row r="133" outlineLevel="1" ht="15" customHeight="1">
      <c r="B133" s="59">
        <f>"Distributions to LP "&amp;B127</f>
        <v/>
      </c>
      <c r="C133" s="59" t="n"/>
      <c r="D133" s="59" t="n"/>
      <c r="E133" s="59" t="n"/>
      <c r="F133" s="407">
        <f>IF(F127="","",MIN(F129+F130-F132,F125*$I$17))</f>
        <v/>
      </c>
      <c r="G133" s="407">
        <f>IF(G127="","",MIN(G129+G130-G132,G125*$I$17))</f>
        <v/>
      </c>
      <c r="H133" s="407">
        <f>IF(H127="","",MIN(H129+H130-H132,H125*$I$17))</f>
        <v/>
      </c>
      <c r="I133" s="407">
        <f>IF(I127="","",MIN(I129+I130-I132,I125*$I$17))</f>
        <v/>
      </c>
      <c r="J133" s="407">
        <f>IF(J127="","",MIN(J129+J130-J132,J125*$I$17))</f>
        <v/>
      </c>
      <c r="K133" s="407">
        <f>IF(K127="","",MIN(K129+K130-K132,K125*$I$17))</f>
        <v/>
      </c>
    </row>
    <row r="134" outlineLevel="1" ht="15" customHeight="1">
      <c r="B134" s="59" t="inlineStr">
        <is>
          <t>Ending Balance (LP Capital Account)</t>
        </is>
      </c>
      <c r="C134" s="59" t="n"/>
      <c r="D134" s="59" t="n"/>
      <c r="E134" s="59" t="n"/>
      <c r="F134" s="407">
        <f>IF(F127="","",F129+F130+F131-F132-F133)</f>
        <v/>
      </c>
      <c r="G134" s="407">
        <f>IF(G127="","",G129+G130+G131-G132-G133)</f>
        <v/>
      </c>
      <c r="H134" s="407">
        <f>IF(H127="","",H129+H130+H131-H132-H133)</f>
        <v/>
      </c>
      <c r="I134" s="407">
        <f>IF(I127="","",I129+I130+I131-I132-I133)</f>
        <v/>
      </c>
      <c r="J134" s="407">
        <f>IF(J127="","",J129+J130+J131-J132-J133)</f>
        <v/>
      </c>
      <c r="K134" s="407">
        <f>IF(K127="","",K129+K130+K131-K132-K133)</f>
        <v/>
      </c>
    </row>
    <row r="135" outlineLevel="1" ht="15" customHeight="1">
      <c r="B135" s="834">
        <f>C128</f>
        <v/>
      </c>
      <c r="C135" s="59" t="n"/>
      <c r="D135" s="59" t="n"/>
      <c r="E135" s="453">
        <f>IF($D$57="IRR",IRR(F135:K135),SUMIF(F135:K135,"&gt;0")/-SUMIF(F135:K135,"&lt;0"))</f>
        <v/>
      </c>
      <c r="F135" s="407">
        <f>IF(F127="","",-F131+F132+F133)</f>
        <v/>
      </c>
      <c r="G135" s="407">
        <f>IF(G127="","",-G131+G132+G133)</f>
        <v/>
      </c>
      <c r="H135" s="407">
        <f>IF(H127="","",-H131+H132+H133)</f>
        <v/>
      </c>
      <c r="I135" s="407">
        <f>IF(I127="","",-I131+I132+I133)</f>
        <v/>
      </c>
      <c r="J135" s="407">
        <f>IF(J127="","",-J131+J132+J133)</f>
        <v/>
      </c>
      <c r="K135" s="407">
        <f>IF(K127="","",-K131+K132+K133)</f>
        <v/>
      </c>
    </row>
    <row r="136" outlineLevel="1" ht="15" customHeight="1">
      <c r="B136" s="74" t="n"/>
      <c r="C136" s="74" t="n"/>
      <c r="D136" s="74" t="n"/>
      <c r="E136" s="74" t="n"/>
      <c r="F136" s="458" t="n"/>
      <c r="G136" s="458" t="n"/>
      <c r="H136" s="458" t="n"/>
      <c r="I136" s="458" t="n"/>
      <c r="J136" s="458" t="n"/>
      <c r="K136" s="458" t="n"/>
    </row>
    <row r="137" outlineLevel="1" ht="15" customHeight="1">
      <c r="B137" s="59" t="inlineStr">
        <is>
          <t>Distribution to LP</t>
        </is>
      </c>
      <c r="C137" s="59" t="n"/>
      <c r="D137" s="59" t="n"/>
      <c r="E137" s="59" t="n"/>
      <c r="F137" s="407">
        <f>IF(F127="","",F133)</f>
        <v/>
      </c>
      <c r="G137" s="407">
        <f>IF(G127="","",G133)</f>
        <v/>
      </c>
      <c r="H137" s="407">
        <f>IF(H127="","",H133)</f>
        <v/>
      </c>
      <c r="I137" s="407">
        <f>IF(I127="","",I133)</f>
        <v/>
      </c>
      <c r="J137" s="407">
        <f>IF(J127="","",J133)</f>
        <v/>
      </c>
      <c r="K137" s="407">
        <f>IF(K127="","",K133)</f>
        <v/>
      </c>
    </row>
    <row r="138" outlineLevel="1" ht="15" customHeight="1">
      <c r="B138" s="59" t="inlineStr">
        <is>
          <t>Distribution to GP</t>
        </is>
      </c>
      <c r="C138" s="59" t="n"/>
      <c r="D138" s="59" t="n"/>
      <c r="E138" s="59" t="n"/>
      <c r="F138" s="407">
        <f>IF(F127="","",F137/$I$17*$H$17)</f>
        <v/>
      </c>
      <c r="G138" s="407">
        <f>IF(G127="","",G137/$I$17*$H$17)</f>
        <v/>
      </c>
      <c r="H138" s="407">
        <f>IF(H127="","",H137/$I$17*$H$17)</f>
        <v/>
      </c>
      <c r="I138" s="407">
        <f>IF(I127="","",I137/$I$17*$H$17)</f>
        <v/>
      </c>
      <c r="J138" s="407">
        <f>IF(J127="","",J137/$I$17*$H$17)</f>
        <v/>
      </c>
      <c r="K138" s="407">
        <f>IF(K127="","",K137/$I$17*$H$17)</f>
        <v/>
      </c>
    </row>
    <row r="139" outlineLevel="1" ht="15" customHeight="1">
      <c r="B139" s="59">
        <f>"Total Distributions ("&amp;B127&amp;")"</f>
        <v/>
      </c>
      <c r="C139" s="59" t="n"/>
      <c r="D139" s="59" t="n"/>
      <c r="E139" s="59" t="n"/>
      <c r="F139" s="407">
        <f>IF(F127="","",F137+F138)</f>
        <v/>
      </c>
      <c r="G139" s="407">
        <f>IF(G127="","",G137+G138)</f>
        <v/>
      </c>
      <c r="H139" s="407">
        <f>IF(H127="","",H137+H138)</f>
        <v/>
      </c>
      <c r="I139" s="407">
        <f>IF(I127="","",I137+I138)</f>
        <v/>
      </c>
      <c r="J139" s="407">
        <f>IF(J127="","",J137+J138)</f>
        <v/>
      </c>
      <c r="K139" s="407">
        <f>IF(K127="","",K137+K138)</f>
        <v/>
      </c>
    </row>
    <row r="140" outlineLevel="1" ht="15" customHeight="1">
      <c r="B140" s="59" t="inlineStr">
        <is>
          <t>Cash Flow Remaining</t>
        </is>
      </c>
      <c r="C140" s="59" t="n"/>
      <c r="D140" s="59" t="n"/>
      <c r="E140" s="59" t="n"/>
      <c r="F140" s="407">
        <f>IF(F127="","",MAX(F$51-F109-F124-F139,0))</f>
        <v/>
      </c>
      <c r="G140" s="407">
        <f>IF(G127="","",MAX(G$51-G109-G124-G139,0))</f>
        <v/>
      </c>
      <c r="H140" s="407">
        <f>IF(H127="","",MAX(H$51-H109-H124-H139,0))</f>
        <v/>
      </c>
      <c r="I140" s="407">
        <f>IF(I127="","",MAX(I$51-I109-I124-I139,0))</f>
        <v/>
      </c>
      <c r="J140" s="407">
        <f>IF(J127="","",MAX(J$51-J109-J124-J139,0))</f>
        <v/>
      </c>
      <c r="K140" s="407">
        <f>IF(K127="","",MAX(K$51-K109-K124-K139,0))</f>
        <v/>
      </c>
    </row>
    <row r="141" outlineLevel="1" ht="15" customHeight="1">
      <c r="B141" s="59" t="n"/>
      <c r="C141" s="59" t="n"/>
      <c r="D141" s="59" t="n"/>
      <c r="E141" s="59" t="n"/>
      <c r="F141" s="398" t="n"/>
      <c r="G141" s="398" t="n"/>
      <c r="H141" s="398" t="n"/>
      <c r="I141" s="398" t="n"/>
      <c r="J141" s="398" t="n"/>
      <c r="K141" s="398" t="n"/>
    </row>
    <row r="142" outlineLevel="1" ht="15.75" customHeight="1">
      <c r="B142" s="433" t="inlineStr">
        <is>
          <t>Tier 4</t>
        </is>
      </c>
      <c r="C142" s="430" t="n"/>
      <c r="D142" s="430" t="n"/>
      <c r="E142" s="430" t="n"/>
      <c r="F142" s="431" t="inlineStr">
        <is>
          <t>Year 0</t>
        </is>
      </c>
      <c r="G142" s="827">
        <f>G$21</f>
        <v/>
      </c>
      <c r="H142" s="827">
        <f>H$21</f>
        <v/>
      </c>
      <c r="I142" s="827">
        <f>I$21</f>
        <v/>
      </c>
      <c r="J142" s="827">
        <f>J$21</f>
        <v/>
      </c>
      <c r="K142" s="827">
        <f>K$21</f>
        <v/>
      </c>
    </row>
    <row r="143" outlineLevel="1" ht="15" customHeight="1">
      <c r="B143" s="454" t="inlineStr">
        <is>
          <t>Return Threshold - Up to:</t>
        </is>
      </c>
      <c r="C143" s="832">
        <f>E63</f>
        <v/>
      </c>
      <c r="D143" s="59" t="n"/>
      <c r="E143" s="59" t="n"/>
      <c r="F143" s="398" t="n"/>
      <c r="G143" s="833" t="n"/>
      <c r="H143" s="833" t="n"/>
      <c r="I143" s="833" t="n"/>
      <c r="J143" s="833" t="n"/>
      <c r="K143" s="833" t="n"/>
    </row>
    <row r="144" outlineLevel="1" ht="15" customHeight="1">
      <c r="B144" s="59" t="inlineStr">
        <is>
          <t>Beginning Balance (LP Capital Account)</t>
        </is>
      </c>
      <c r="C144" s="59" t="n"/>
      <c r="D144" s="59" t="n"/>
      <c r="E144" s="59" t="n"/>
      <c r="F144" s="407">
        <f>IF(F142="","",E149)</f>
        <v/>
      </c>
      <c r="G144" s="407">
        <f>IF(G142="","",F149)</f>
        <v/>
      </c>
      <c r="H144" s="407">
        <f>IF(H142="","",G149)</f>
        <v/>
      </c>
      <c r="I144" s="407">
        <f>IF(I142="","",H149)</f>
        <v/>
      </c>
      <c r="J144" s="407">
        <f>IF(J142="","",I149)</f>
        <v/>
      </c>
      <c r="K144" s="407">
        <f>IF(K142="","",J149)</f>
        <v/>
      </c>
    </row>
    <row r="145" outlineLevel="1" ht="15" customHeight="1">
      <c r="B145" s="59" t="inlineStr">
        <is>
          <t>Req'd Return by LP to hit Hurdle 4</t>
        </is>
      </c>
      <c r="C145" s="59" t="n"/>
      <c r="D145" s="59" t="n"/>
      <c r="E145" s="59" t="n"/>
      <c r="F145" s="407">
        <f>IF(F142="","",IF($D$57="Equity Multiple",E146*$C143-E146,F144*$C143))</f>
        <v/>
      </c>
      <c r="G145" s="407">
        <f>IF(G142="","",IF($D$57="Equity Multiple",F146*$C143-F146,G144*$C143))</f>
        <v/>
      </c>
      <c r="H145" s="407">
        <f>IF(H142="","",IF($D$57="Equity Multiple",G146*$C143-G146,H144*$C143))</f>
        <v/>
      </c>
      <c r="I145" s="407">
        <f>IF(I142="","",IF($D$57="Equity Multiple",H146*$C143-H146,I144*$C143))</f>
        <v/>
      </c>
      <c r="J145" s="407">
        <f>IF(J142="","",IF($D$57="Equity Multiple",I146*$C143-I146,J144*$C143))</f>
        <v/>
      </c>
      <c r="K145" s="407">
        <f>IF(K142="","",IF($D$57="Equity Multiple",J146*$C143-J146,K144*$C143))</f>
        <v/>
      </c>
    </row>
    <row r="146" outlineLevel="1" ht="15" customHeight="1">
      <c r="B146" s="59" t="inlineStr">
        <is>
          <t>Contributions from LP</t>
        </is>
      </c>
      <c r="C146" s="59" t="n"/>
      <c r="D146" s="59" t="n"/>
      <c r="E146" s="59" t="n"/>
      <c r="F146" s="407">
        <f>IF(F142="","",-MIN(0,F$51*Equity_Share_LP))</f>
        <v/>
      </c>
      <c r="G146" s="407">
        <f>IF(G142="","",-MIN(0,G$51*Equity_Share_LP))</f>
        <v/>
      </c>
      <c r="H146" s="407">
        <f>IF(H142="","",-MIN(0,H$51*Equity_Share_LP))</f>
        <v/>
      </c>
      <c r="I146" s="407">
        <f>IF(I142="","",-MIN(0,I$51*Equity_Share_LP))</f>
        <v/>
      </c>
      <c r="J146" s="407">
        <f>IF(J142="","",-MIN(0,J$51*Equity_Share_LP))</f>
        <v/>
      </c>
      <c r="K146" s="407">
        <f>IF(K142="","",-MIN(0,K$51*Equity_Share_LP))</f>
        <v/>
      </c>
    </row>
    <row r="147" outlineLevel="1" ht="15" customHeight="1">
      <c r="B147" s="59" t="inlineStr">
        <is>
          <t>Prior Distributions</t>
        </is>
      </c>
      <c r="C147" s="59" t="n"/>
      <c r="D147" s="59" t="n"/>
      <c r="E147" s="59" t="n"/>
      <c r="F147" s="407">
        <f>IF(F142="","",F122+F100+F137)</f>
        <v/>
      </c>
      <c r="G147" s="407">
        <f>IF(G142="","",G122+G100+G137)</f>
        <v/>
      </c>
      <c r="H147" s="407">
        <f>IF(H142="","",H122+H100+H137)</f>
        <v/>
      </c>
      <c r="I147" s="407">
        <f>IF(I142="","",I122+I100+I137)</f>
        <v/>
      </c>
      <c r="J147" s="407">
        <f>IF(J142="","",J122+J100+J137)</f>
        <v/>
      </c>
      <c r="K147" s="407">
        <f>IF(K142="","",K122+K100+K137)</f>
        <v/>
      </c>
    </row>
    <row r="148" outlineLevel="1" ht="15" customHeight="1">
      <c r="B148" s="59">
        <f>"Distributions to LP "&amp;B142</f>
        <v/>
      </c>
      <c r="C148" s="59" t="n"/>
      <c r="D148" s="59" t="n"/>
      <c r="E148" s="59" t="n"/>
      <c r="F148" s="407">
        <f>IF(F142="","",MIN(F144+F145-F147,F140*$I$18))</f>
        <v/>
      </c>
      <c r="G148" s="407">
        <f>IF(G142="","",MIN(G144+G145-G147,G140*$I$18))</f>
        <v/>
      </c>
      <c r="H148" s="407">
        <f>IF(H142="","",MIN(H144+H145-H147,H140*$I$18))</f>
        <v/>
      </c>
      <c r="I148" s="407">
        <f>IF(I142="","",MIN(I144+I145-I147,I140*$I$18))</f>
        <v/>
      </c>
      <c r="J148" s="407">
        <f>IF(J142="","",MIN(J144+J145-J147,J140*$I$18))</f>
        <v/>
      </c>
      <c r="K148" s="407">
        <f>IF(K142="","",MIN(K144+K145-K147,K140*$I$18))</f>
        <v/>
      </c>
    </row>
    <row r="149" outlineLevel="1" ht="15" customHeight="1">
      <c r="B149" s="59" t="inlineStr">
        <is>
          <t>Ending Balance (LP Capital Account)</t>
        </is>
      </c>
      <c r="C149" s="59" t="n"/>
      <c r="D149" s="59" t="n"/>
      <c r="E149" s="59" t="n"/>
      <c r="F149" s="407">
        <f>IF(F142="","",F144+F145+F146-F147-F148)</f>
        <v/>
      </c>
      <c r="G149" s="407">
        <f>IF(G142="","",G144+G145+G146-G147-G148)</f>
        <v/>
      </c>
      <c r="H149" s="407">
        <f>IF(H142="","",H144+H145+H146-H147-H148)</f>
        <v/>
      </c>
      <c r="I149" s="407">
        <f>IF(I142="","",I144+I145+I146-I147-I148)</f>
        <v/>
      </c>
      <c r="J149" s="407">
        <f>IF(J142="","",J144+J145+J146-J147-J148)</f>
        <v/>
      </c>
      <c r="K149" s="407">
        <f>IF(K142="","",K144+K145+K146-K147-K148)</f>
        <v/>
      </c>
    </row>
    <row r="150" outlineLevel="1" ht="15" customHeight="1">
      <c r="B150" s="834">
        <f>C143</f>
        <v/>
      </c>
      <c r="C150" s="59" t="n"/>
      <c r="D150" s="59" t="n"/>
      <c r="E150" s="453">
        <f>IF($D$57="IRR",IRR(F150:K150),SUMIF(F150:K150,"&gt;0")/-SUMIF(F150:K150,"&lt;0"))</f>
        <v/>
      </c>
      <c r="F150" s="407">
        <f>IF(F142="","",-F146+F147+F148)</f>
        <v/>
      </c>
      <c r="G150" s="407">
        <f>IF(G142="","",-G146+G147+G148)</f>
        <v/>
      </c>
      <c r="H150" s="407">
        <f>IF(H142="","",-H146+H147+H148)</f>
        <v/>
      </c>
      <c r="I150" s="407">
        <f>IF(I142="","",-I146+I147+I148)</f>
        <v/>
      </c>
      <c r="J150" s="407">
        <f>IF(J142="","",-J146+J147+J148)</f>
        <v/>
      </c>
      <c r="K150" s="407">
        <f>IF(K142="","",-K146+K147+K148)</f>
        <v/>
      </c>
    </row>
    <row r="151" outlineLevel="1" ht="15" customHeight="1">
      <c r="B151" s="74" t="n"/>
      <c r="C151" s="74" t="n"/>
      <c r="D151" s="74" t="n"/>
      <c r="E151" s="74" t="n"/>
      <c r="F151" s="458" t="n"/>
      <c r="G151" s="458" t="n"/>
      <c r="H151" s="458" t="n"/>
      <c r="I151" s="458" t="n"/>
      <c r="J151" s="458" t="n"/>
      <c r="K151" s="458" t="n"/>
    </row>
    <row r="152" outlineLevel="1" ht="15" customHeight="1">
      <c r="B152" s="59" t="inlineStr">
        <is>
          <t>Distribution to LP</t>
        </is>
      </c>
      <c r="C152" s="59" t="n"/>
      <c r="D152" s="59" t="n"/>
      <c r="E152" s="59" t="n"/>
      <c r="F152" s="407">
        <f>IF(F142="","",F148)</f>
        <v/>
      </c>
      <c r="G152" s="407">
        <f>IF(G142="","",G148)</f>
        <v/>
      </c>
      <c r="H152" s="407">
        <f>IF(H142="","",H148)</f>
        <v/>
      </c>
      <c r="I152" s="407">
        <f>IF(I142="","",I148)</f>
        <v/>
      </c>
      <c r="J152" s="407">
        <f>IF(J142="","",J148)</f>
        <v/>
      </c>
      <c r="K152" s="407">
        <f>IF(K142="","",K148)</f>
        <v/>
      </c>
    </row>
    <row r="153" outlineLevel="1" ht="15" customHeight="1">
      <c r="B153" s="59" t="inlineStr">
        <is>
          <t>Distribution to GP</t>
        </is>
      </c>
      <c r="C153" s="59" t="n"/>
      <c r="D153" s="59" t="n"/>
      <c r="E153" s="59" t="n"/>
      <c r="F153" s="407">
        <f>IF(F142="","",F152/$I$18*$H$18)</f>
        <v/>
      </c>
      <c r="G153" s="407">
        <f>IF(G142="","",G152/$I$18*$H$18)</f>
        <v/>
      </c>
      <c r="H153" s="407">
        <f>IF(H142="","",H152/$I$18*$H$18)</f>
        <v/>
      </c>
      <c r="I153" s="407">
        <f>IF(I142="","",I152/$I$18*$H$18)</f>
        <v/>
      </c>
      <c r="J153" s="407">
        <f>IF(J142="","",J152/$I$18*$H$18)</f>
        <v/>
      </c>
      <c r="K153" s="407">
        <f>IF(K142="","",K152/$I$18*$H$18)</f>
        <v/>
      </c>
    </row>
    <row r="154" outlineLevel="1" ht="15" customHeight="1">
      <c r="B154" s="59">
        <f>"Total Distributions ("&amp;B142&amp;")"</f>
        <v/>
      </c>
      <c r="C154" s="59" t="n"/>
      <c r="D154" s="59" t="n"/>
      <c r="E154" s="59" t="n"/>
      <c r="F154" s="407">
        <f>IF(F142="","",F152+F153)</f>
        <v/>
      </c>
      <c r="G154" s="407">
        <f>IF(G142="","",G152+G153)</f>
        <v/>
      </c>
      <c r="H154" s="407">
        <f>IF(H142="","",H152+H153)</f>
        <v/>
      </c>
      <c r="I154" s="407">
        <f>IF(I142="","",I152+I153)</f>
        <v/>
      </c>
      <c r="J154" s="407">
        <f>IF(J142="","",J152+J153)</f>
        <v/>
      </c>
      <c r="K154" s="407">
        <f>IF(K142="","",K152+K153)</f>
        <v/>
      </c>
    </row>
    <row r="155" outlineLevel="1" ht="15" customHeight="1">
      <c r="B155" s="59" t="inlineStr">
        <is>
          <t>Cash Flow Remaining</t>
        </is>
      </c>
      <c r="C155" s="59" t="n"/>
      <c r="D155" s="59" t="n"/>
      <c r="E155" s="59" t="n"/>
      <c r="F155" s="407">
        <f>IF(F142="","",MAX(F$51-F109-F124-F139-F154,0))</f>
        <v/>
      </c>
      <c r="G155" s="407">
        <f>IF(G142="","",MAX(G$51-G109-G124-G139-G154,0))</f>
        <v/>
      </c>
      <c r="H155" s="407">
        <f>IF(H142="","",MAX(H$51-H109-H124-H139-H154,0))</f>
        <v/>
      </c>
      <c r="I155" s="407">
        <f>IF(I142="","",MAX(I$51-I109-I124-I139-I154,0))</f>
        <v/>
      </c>
      <c r="J155" s="407">
        <f>IF(J142="","",MAX(J$51-J109-J124-J139-J154,0))</f>
        <v/>
      </c>
      <c r="K155" s="407">
        <f>IF(K142="","",MAX(K$51-K109-K124-K139-K154,0))</f>
        <v/>
      </c>
    </row>
    <row r="156" outlineLevel="1" ht="15" customHeight="1">
      <c r="B156" s="59" t="n"/>
      <c r="C156" s="59" t="n"/>
      <c r="D156" s="59" t="n"/>
      <c r="E156" s="59" t="n"/>
      <c r="F156" s="398" t="n"/>
      <c r="G156" s="398" t="n"/>
      <c r="H156" s="398" t="n"/>
      <c r="I156" s="398" t="n"/>
      <c r="J156" s="398" t="n"/>
      <c r="K156" s="398" t="n"/>
    </row>
    <row r="157" outlineLevel="1" ht="15.75" customHeight="1">
      <c r="B157" s="433" t="inlineStr">
        <is>
          <t>Tier 5</t>
        </is>
      </c>
      <c r="C157" s="430" t="n"/>
      <c r="D157" s="430" t="n"/>
      <c r="E157" s="430" t="n"/>
      <c r="F157" s="431" t="inlineStr">
        <is>
          <t>Year 0</t>
        </is>
      </c>
      <c r="G157" s="827">
        <f>G$21</f>
        <v/>
      </c>
      <c r="H157" s="827">
        <f>H$21</f>
        <v/>
      </c>
      <c r="I157" s="827">
        <f>I$21</f>
        <v/>
      </c>
      <c r="J157" s="827">
        <f>J$21</f>
        <v/>
      </c>
      <c r="K157" s="827">
        <f>K$21</f>
        <v/>
      </c>
    </row>
    <row r="158" outlineLevel="1" ht="15" customHeight="1">
      <c r="B158" s="454" t="inlineStr">
        <is>
          <t>Return Threshold - Greater than:</t>
        </is>
      </c>
      <c r="C158" s="832">
        <f>C143</f>
        <v/>
      </c>
      <c r="D158" s="59" t="n"/>
      <c r="E158" s="59" t="n"/>
      <c r="F158" s="398" t="n"/>
      <c r="G158" s="833" t="n"/>
      <c r="H158" s="833" t="n"/>
      <c r="I158" s="833" t="n"/>
      <c r="J158" s="833" t="n"/>
      <c r="K158" s="833" t="n"/>
    </row>
    <row r="159" outlineLevel="1" ht="15" customHeight="1">
      <c r="B159" s="59" t="inlineStr">
        <is>
          <t>Distribution to LP</t>
        </is>
      </c>
      <c r="C159" s="59" t="n"/>
      <c r="D159" s="59" t="n"/>
      <c r="E159" s="59" t="n"/>
      <c r="F159" s="407">
        <f>IF(F157="","",F155*$I$19)</f>
        <v/>
      </c>
      <c r="G159" s="407">
        <f>IF(G157="","",G155*$I$19)</f>
        <v/>
      </c>
      <c r="H159" s="407">
        <f>IF(H157="","",H155*$I$19)</f>
        <v/>
      </c>
      <c r="I159" s="407">
        <f>IF(I157="","",I155*$I$19)</f>
        <v/>
      </c>
      <c r="J159" s="407">
        <f>IF(J157="","",J155*$I$19)</f>
        <v/>
      </c>
      <c r="K159" s="407">
        <f>IF(K157="","",K155*$I$19)</f>
        <v/>
      </c>
    </row>
    <row r="160" outlineLevel="1" ht="15" customHeight="1">
      <c r="B160" s="59" t="inlineStr">
        <is>
          <t>Distribution to GP</t>
        </is>
      </c>
      <c r="C160" s="59" t="n"/>
      <c r="D160" s="59" t="n"/>
      <c r="E160" s="59" t="n"/>
      <c r="F160" s="407">
        <f>IF(F157="","",F155-F159)</f>
        <v/>
      </c>
      <c r="G160" s="407">
        <f>IF(G157="","",G155-G159)</f>
        <v/>
      </c>
      <c r="H160" s="407">
        <f>IF(H157="","",H155-H159)</f>
        <v/>
      </c>
      <c r="I160" s="407">
        <f>IF(I157="","",I155-I159)</f>
        <v/>
      </c>
      <c r="J160" s="407">
        <f>IF(J157="","",J155-J159)</f>
        <v/>
      </c>
      <c r="K160" s="407">
        <f>IF(K157="","",K155-K159)</f>
        <v/>
      </c>
    </row>
    <row r="161" outlineLevel="1" ht="15" customHeight="1">
      <c r="B161" s="59">
        <f>"Total Distributions ("&amp;B157&amp;")"</f>
        <v/>
      </c>
      <c r="C161" s="59" t="n"/>
      <c r="D161" s="59" t="n"/>
      <c r="E161" s="59" t="n"/>
      <c r="F161" s="407">
        <f>IF(F157="","",F159+F160)</f>
        <v/>
      </c>
      <c r="G161" s="407">
        <f>IF(G157="","",G159+G160)</f>
        <v/>
      </c>
      <c r="H161" s="407">
        <f>IF(H157="","",H159+H160)</f>
        <v/>
      </c>
      <c r="I161" s="407">
        <f>IF(I157="","",I159+I160)</f>
        <v/>
      </c>
      <c r="J161" s="407">
        <f>IF(J157="","",J159+J160)</f>
        <v/>
      </c>
      <c r="K161" s="407">
        <f>IF(K157="","",K159+K160)</f>
        <v/>
      </c>
    </row>
    <row r="162" outlineLevel="1" ht="15" customHeight="1">
      <c r="B162" s="59" t="inlineStr">
        <is>
          <t>Cash Flow Remaining</t>
        </is>
      </c>
      <c r="C162" s="59" t="n"/>
      <c r="D162" s="59" t="n"/>
      <c r="E162" s="59" t="n"/>
      <c r="F162" s="407">
        <f>IF(F157="","",F155-F161)</f>
        <v/>
      </c>
      <c r="G162" s="407">
        <f>IF(G157="","",G155-G161)</f>
        <v/>
      </c>
      <c r="H162" s="407">
        <f>IF(H157="","",H155-H161)</f>
        <v/>
      </c>
      <c r="I162" s="407">
        <f>IF(I157="","",I155-I161)</f>
        <v/>
      </c>
      <c r="J162" s="407">
        <f>IF(J157="","",J155-J161)</f>
        <v/>
      </c>
      <c r="K162" s="407">
        <f>IF(K157="","",K155-K161)</f>
        <v/>
      </c>
    </row>
    <row r="163" outlineLevel="1" ht="15" customHeight="1">
      <c r="F163" s="150" t="n"/>
      <c r="G163" s="150" t="n"/>
      <c r="H163" s="150" t="n"/>
      <c r="I163" s="150" t="n"/>
      <c r="J163" s="150" t="n"/>
      <c r="K163" s="150" t="n"/>
    </row>
    <row r="164" outlineLevel="1" ht="18.75" customHeight="1">
      <c r="B164" s="427" t="inlineStr">
        <is>
          <t>PARTNERSHIP LEVEL RETURNS - EMx EQUITY WATERFALL</t>
        </is>
      </c>
      <c r="C164" s="428" t="n"/>
      <c r="D164" s="428" t="n"/>
      <c r="E164" s="428" t="n"/>
      <c r="F164" s="429" t="n"/>
      <c r="G164" s="429" t="n"/>
      <c r="H164" s="429" t="n"/>
      <c r="I164" s="429" t="n"/>
      <c r="J164" s="429" t="n"/>
      <c r="K164" s="429" t="n"/>
    </row>
    <row r="165" outlineLevel="1" ht="5.1" customHeight="1">
      <c r="B165" s="208" t="n"/>
      <c r="C165" s="208" t="n"/>
      <c r="D165" s="347" t="inlineStr">
        <is>
          <t>Equity Multiple</t>
        </is>
      </c>
      <c r="E165" s="208" t="n"/>
      <c r="F165" s="208" t="n"/>
      <c r="G165" s="208" t="n"/>
      <c r="H165" s="208" t="n"/>
      <c r="I165" s="208" t="n"/>
      <c r="J165" s="208" t="n"/>
      <c r="K165" s="208" t="n"/>
    </row>
    <row r="166" outlineLevel="1" ht="15" customHeight="1">
      <c r="B166" s="430" t="n"/>
      <c r="C166" s="430" t="n"/>
      <c r="D166" s="431" t="n"/>
      <c r="E166" s="430" t="n"/>
      <c r="F166" s="738" t="inlineStr">
        <is>
          <t>Promote Structure Incentive Breakdown</t>
        </is>
      </c>
      <c r="H166" s="739" t="inlineStr">
        <is>
          <t>Distribution as %</t>
        </is>
      </c>
      <c r="J166" s="432" t="n"/>
      <c r="K166" s="432" t="n"/>
    </row>
    <row r="167" outlineLevel="1" ht="15.75" customHeight="1">
      <c r="B167" s="433">
        <f>IF(D165="Equity Multiple","Partnership Distribution Assumptions (Equity Multiple Hurdles)","Partnership Distribution Assumptions (IRR Hurdles)")</f>
        <v/>
      </c>
      <c r="C167" s="430" t="n"/>
      <c r="D167" s="431" t="n"/>
      <c r="E167" s="430" t="n"/>
      <c r="H167" s="434" t="inlineStr">
        <is>
          <t>GP %</t>
        </is>
      </c>
      <c r="I167" s="435" t="inlineStr">
        <is>
          <t>LP %</t>
        </is>
      </c>
      <c r="J167" s="435" t="inlineStr">
        <is>
          <t>Notes</t>
        </is>
      </c>
      <c r="K167" s="432" t="n"/>
    </row>
    <row r="168" outlineLevel="1" ht="15" customHeight="1">
      <c r="B168" s="59">
        <f>B15</f>
        <v/>
      </c>
      <c r="C168" s="377" t="inlineStr">
        <is>
          <t>Equity Multiple</t>
        </is>
      </c>
      <c r="D168" s="378" t="n"/>
      <c r="E168" s="835">
        <f>C169</f>
        <v/>
      </c>
      <c r="F168" s="805" t="n"/>
      <c r="G168" s="806" t="n"/>
      <c r="H168" s="823">
        <f>IF(H15="","",H15)</f>
        <v/>
      </c>
      <c r="I168" s="801">
        <f>1-H168</f>
        <v/>
      </c>
      <c r="J168" s="383">
        <f>IF(I168=Equity_Share_LP,"Pref prorata to LP/GP, then Pro rata return of capital",IF(CU?,"Return of capital and Pref NOT pro rata + GP Catch Up","Return of capital and Pref NOT pro rata"))</f>
        <v/>
      </c>
      <c r="K168" s="383" t="n"/>
    </row>
    <row r="169" outlineLevel="1" ht="15" customHeight="1">
      <c r="B169" s="59">
        <f>B16</f>
        <v/>
      </c>
      <c r="C169" s="836">
        <f>C16</f>
        <v/>
      </c>
      <c r="D169" s="809" t="n"/>
      <c r="E169" s="835">
        <f>IF($B$277&lt;3,99,C170)</f>
        <v/>
      </c>
      <c r="F169" s="807" t="n"/>
      <c r="G169" s="801" t="n"/>
      <c r="H169" s="823">
        <f>IF(H16="","",H16)</f>
        <v/>
      </c>
      <c r="I169" s="801">
        <f>1-H169</f>
        <v/>
      </c>
      <c r="J169" s="383">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83" t="n"/>
    </row>
    <row r="170" outlineLevel="1" ht="15" customHeight="1">
      <c r="B170" s="59">
        <f>B17</f>
        <v/>
      </c>
      <c r="C170" s="836">
        <f>C17</f>
        <v/>
      </c>
      <c r="D170" s="809" t="n"/>
      <c r="E170" s="835">
        <f>IF($B$277&lt;4,99,C171)</f>
        <v/>
      </c>
      <c r="F170" s="807" t="n"/>
      <c r="G170" s="801" t="n"/>
      <c r="H170" s="823">
        <f>IF(H17="","",H17)</f>
        <v/>
      </c>
      <c r="I170" s="801">
        <f>1-H170</f>
        <v/>
      </c>
      <c r="J170" s="383">
        <f>TEXT(I169,"0.0%")&amp;"/"&amp;TEXT(H169,"0.0%")&amp;" to "&amp;(IF(D165="IRR",TEXT(E169,"0.0%"),TEXT(E169,"0.0X")))&amp;", then "&amp;TEXT(I170,"0.0%")&amp;"/"&amp;TEXT(H170,"0.0%")&amp;" to "&amp;(IF(D165="IRR",TEXT(E170,"0.0%"),TEXT(E170,"0.0X")))</f>
        <v/>
      </c>
      <c r="K170" s="383" t="n"/>
    </row>
    <row r="171" outlineLevel="1" ht="15" customHeight="1">
      <c r="B171" s="59">
        <f>B18</f>
        <v/>
      </c>
      <c r="C171" s="836">
        <f>C18</f>
        <v/>
      </c>
      <c r="D171" s="809" t="n"/>
      <c r="E171" s="835">
        <f>IF($B$277&lt;5,99,C172)</f>
        <v/>
      </c>
      <c r="F171" s="807" t="n"/>
      <c r="G171" s="801" t="n"/>
      <c r="H171" s="823">
        <f>IF(H18="","",H18)</f>
        <v/>
      </c>
      <c r="I171" s="801">
        <f>1-H171</f>
        <v/>
      </c>
      <c r="J171" s="438">
        <f>TEXT(I170,"0.0%")&amp;"/"&amp;TEXT(H170,"0.0%")&amp;" to "&amp;(IF(D166="IRR",TEXT(E170,"0.0%"),TEXT(E170,"0.0X")))&amp;", then "&amp;TEXT(I171,"0.0%")&amp;"/"&amp;TEXT(H171,"0.0%")&amp;" to "&amp;(IF(D166="IRR",TEXT(E171,"0.0%"),TEXT(E171,"0.0X")))</f>
        <v/>
      </c>
      <c r="K171" s="438" t="n"/>
    </row>
    <row r="172" outlineLevel="1" ht="15" customHeight="1">
      <c r="B172" s="59">
        <f>B19</f>
        <v/>
      </c>
      <c r="C172" s="836">
        <f>C19</f>
        <v/>
      </c>
      <c r="D172" s="809" t="n"/>
      <c r="E172" s="810" t="n"/>
      <c r="F172" s="807" t="n"/>
      <c r="G172" s="801" t="n"/>
      <c r="H172" s="823">
        <f>IF(H19="","",H19)</f>
        <v/>
      </c>
      <c r="I172" s="801">
        <f>1-H172</f>
        <v/>
      </c>
      <c r="J172" s="383">
        <f>TEXT(I171,"0.0%")&amp;"/"&amp;TEXT(H171,"0.0%")&amp;" to "&amp;(IF(D167="IRR",TEXT(E171,"0.0%"),TEXT(E171,"0.0X")))&amp;", then "&amp;TEXT(I172,"0.0%")&amp;"/"&amp;TEXT(H172,"0.0%")&amp;" to "&amp;(IF(D167="IRR",TEXT(E172,"0.0%"),TEXT(E172,"0.0X")))</f>
        <v/>
      </c>
      <c r="K172" s="383" t="n"/>
    </row>
    <row r="173" outlineLevel="1" ht="15" customHeight="1">
      <c r="B173" s="59" t="n"/>
      <c r="C173" s="59" t="n"/>
      <c r="D173" s="812" t="n"/>
      <c r="E173" s="810" t="n"/>
      <c r="F173" s="360" t="n"/>
      <c r="G173" s="389" t="n"/>
      <c r="H173" s="390" t="n"/>
      <c r="I173" s="390" t="n"/>
      <c r="J173" s="208" t="n"/>
      <c r="K173" s="208" t="n"/>
    </row>
    <row r="174" outlineLevel="1" ht="15.75" customHeight="1">
      <c r="B174" s="433" t="inlineStr">
        <is>
          <t>Summary of Partnership-Level Returns</t>
        </is>
      </c>
      <c r="C174" s="430" t="n"/>
      <c r="D174" s="825" t="n"/>
      <c r="E174" s="826" t="n"/>
      <c r="F174" s="827" t="n">
        <v>0</v>
      </c>
      <c r="G174" s="827">
        <f>IF(G192="","",F174+1)</f>
        <v/>
      </c>
      <c r="H174" s="827">
        <f>IF(H192="","",G174+1)</f>
        <v/>
      </c>
      <c r="I174" s="827">
        <f>IF(I192="","",H174+1)</f>
        <v/>
      </c>
      <c r="J174" s="827">
        <f>IF(J192="","",I174+1)</f>
        <v/>
      </c>
      <c r="K174" s="827">
        <f>IF(K192="","",J174+1)</f>
        <v/>
      </c>
    </row>
    <row r="175" outlineLevel="1" ht="15" customHeight="1">
      <c r="B175" s="394" t="inlineStr">
        <is>
          <t>Limited Partner (LP) Returns</t>
        </is>
      </c>
      <c r="C175" s="59" t="n"/>
      <c r="D175" s="812" t="n"/>
      <c r="E175" s="810" t="n"/>
      <c r="F175" s="395" t="n"/>
      <c r="G175" s="396" t="n"/>
      <c r="H175" s="397" t="n"/>
      <c r="I175" s="397" t="n"/>
      <c r="J175" s="398" t="n"/>
      <c r="K175" s="398" t="n"/>
    </row>
    <row r="176" outlineLevel="1" ht="15" customHeight="1">
      <c r="B176" s="399" t="inlineStr">
        <is>
          <t>Total LP Distributions</t>
        </is>
      </c>
      <c r="C176" s="59" t="n"/>
      <c r="D176" s="401">
        <f>SUM(F176:K176)</f>
        <v/>
      </c>
      <c r="E176" s="810" t="n"/>
      <c r="F176" s="358">
        <f>IF(F174="","",F208+F230+F245+F260+F267)</f>
        <v/>
      </c>
      <c r="G176" s="358">
        <f>IF(G174="","",G208+G230+G245+G260+G267)</f>
        <v/>
      </c>
      <c r="H176" s="358">
        <f>IF(H174="","",H208+H230+H245+H260+H267)</f>
        <v/>
      </c>
      <c r="I176" s="358">
        <f>IF(I174="","",I208+I230+I245+I260+I267)</f>
        <v/>
      </c>
      <c r="J176" s="358">
        <f>IF(J174="","",J208+J230+J245+J260+J267)</f>
        <v/>
      </c>
      <c r="K176" s="358">
        <f>IF(K174="","",K208+K230+K245+K260+K267)</f>
        <v/>
      </c>
    </row>
    <row r="177" outlineLevel="1" ht="15" customHeight="1">
      <c r="B177" s="399" t="inlineStr">
        <is>
          <t>Total LP Contributions</t>
        </is>
      </c>
      <c r="C177" s="59" t="n"/>
      <c r="D177" s="401">
        <f>SUM(F177:K177)</f>
        <v/>
      </c>
      <c r="E177" s="810" t="n"/>
      <c r="F177" s="358">
        <f>F204</f>
        <v/>
      </c>
      <c r="G177" s="358">
        <f>G204</f>
        <v/>
      </c>
      <c r="H177" s="358">
        <f>H204</f>
        <v/>
      </c>
      <c r="I177" s="358">
        <f>I204</f>
        <v/>
      </c>
      <c r="J177" s="358">
        <f>J204</f>
        <v/>
      </c>
      <c r="K177" s="358">
        <f>K204</f>
        <v/>
      </c>
    </row>
    <row r="178" outlineLevel="1" ht="15" customHeight="1">
      <c r="B178" s="399" t="inlineStr">
        <is>
          <t>Total LP Profit</t>
        </is>
      </c>
      <c r="C178" s="59" t="n"/>
      <c r="D178" s="401">
        <f>D176-D177</f>
        <v/>
      </c>
      <c r="E178" s="810" t="n"/>
      <c r="F178" s="406" t="n"/>
      <c r="G178" s="358" t="n"/>
      <c r="H178" s="407" t="n"/>
      <c r="I178" s="407" t="n"/>
      <c r="J178" s="407" t="n"/>
      <c r="K178" s="407" t="n"/>
    </row>
    <row r="179" outlineLevel="1" ht="15" customHeight="1">
      <c r="B179" s="399" t="inlineStr">
        <is>
          <t>LP IRR</t>
        </is>
      </c>
      <c r="C179" s="59" t="n"/>
      <c r="D179" s="442">
        <f>IRR(F179:K179)</f>
        <v/>
      </c>
      <c r="E179" s="810" t="n"/>
      <c r="F179" s="358">
        <f>IF(F174="","",(-F177)+F176)</f>
        <v/>
      </c>
      <c r="G179" s="358">
        <f>IF(G174="","",(-G177)+G176)</f>
        <v/>
      </c>
      <c r="H179" s="358">
        <f>IF(H174="","",(-H177)+H176)</f>
        <v/>
      </c>
      <c r="I179" s="358">
        <f>IF(I174="","",(-I177)+I176)</f>
        <v/>
      </c>
      <c r="J179" s="358">
        <f>IF(J174="","",(-J177)+J176)</f>
        <v/>
      </c>
      <c r="K179" s="358">
        <f>IF(K174="","",(-K177)+K176)</f>
        <v/>
      </c>
    </row>
    <row r="180" outlineLevel="1" ht="15" customHeight="1">
      <c r="B180" s="399" t="inlineStr">
        <is>
          <t>LP Equity Multiple</t>
        </is>
      </c>
      <c r="C180" s="59" t="n"/>
      <c r="D180" s="828">
        <f>D176/D177</f>
        <v/>
      </c>
      <c r="E180" s="810" t="n"/>
      <c r="F180" s="406" t="n"/>
      <c r="G180" s="358" t="n"/>
      <c r="H180" s="407" t="n"/>
      <c r="I180" s="407" t="n"/>
      <c r="J180" s="407" t="n"/>
      <c r="K180" s="407" t="n"/>
    </row>
    <row r="181" outlineLevel="1" ht="15" customHeight="1">
      <c r="B181" s="399" t="n"/>
      <c r="C181" s="59" t="n"/>
      <c r="D181" s="812" t="n"/>
      <c r="E181" s="810" t="n"/>
      <c r="F181" s="406" t="n"/>
      <c r="G181" s="358" t="n"/>
      <c r="H181" s="407" t="n"/>
      <c r="I181" s="407" t="n"/>
      <c r="J181" s="407" t="n"/>
      <c r="K181" s="407" t="n"/>
    </row>
    <row r="182" outlineLevel="1" ht="15" customHeight="1">
      <c r="B182" s="394" t="inlineStr">
        <is>
          <t>GP Returns</t>
        </is>
      </c>
      <c r="C182" s="59" t="n"/>
      <c r="D182" s="812" t="n"/>
      <c r="E182" s="810" t="n"/>
      <c r="F182" s="406" t="n"/>
      <c r="G182" s="358" t="n"/>
      <c r="H182" s="407" t="n"/>
      <c r="I182" s="407" t="n"/>
      <c r="J182" s="407" t="n"/>
      <c r="K182" s="407" t="n"/>
    </row>
    <row r="183" outlineLevel="1" ht="15" customHeight="1">
      <c r="B183" s="399" t="inlineStr">
        <is>
          <t>Total GP Distributions</t>
        </is>
      </c>
      <c r="C183" s="59" t="n"/>
      <c r="D183" s="358">
        <f>SUM(F183:K183)</f>
        <v/>
      </c>
      <c r="E183" s="810" t="n"/>
      <c r="F183" s="358">
        <f>IF(F174="","",F213+F231+F246+F261+F268)</f>
        <v/>
      </c>
      <c r="G183" s="358">
        <f>IF(G174="","",G213+G231+G246+G261+G268)</f>
        <v/>
      </c>
      <c r="H183" s="358">
        <f>IF(H174="","",H213+H231+H246+H261+H268)</f>
        <v/>
      </c>
      <c r="I183" s="358">
        <f>IF(I174="","",I213+I231+I246+I261+I268)</f>
        <v/>
      </c>
      <c r="J183" s="358">
        <f>IF(J174="","",J213+J231+J246+J261+J268)</f>
        <v/>
      </c>
      <c r="K183" s="358">
        <f>IF(K174="","",K213+K231+K246+K261+K268)</f>
        <v/>
      </c>
    </row>
    <row r="184" outlineLevel="1" ht="15" customHeight="1">
      <c r="B184" s="399" t="inlineStr">
        <is>
          <t>Total GP Fees</t>
        </is>
      </c>
      <c r="C184" s="59" t="n"/>
      <c r="D184" s="358">
        <f>SUM(F184:K184)</f>
        <v/>
      </c>
      <c r="E184" s="810" t="n"/>
      <c r="F184" s="358">
        <f>IF(F174="","",SUM(F193:F194))</f>
        <v/>
      </c>
      <c r="G184" s="358">
        <f>IF(G174="","",SUM(G193:G194))</f>
        <v/>
      </c>
      <c r="H184" s="358">
        <f>IF(H174="","",SUM(H193:H194))</f>
        <v/>
      </c>
      <c r="I184" s="358">
        <f>IF(I174="","",SUM(I193:I194))</f>
        <v/>
      </c>
      <c r="J184" s="358">
        <f>IF(J174="","",SUM(J193:J194))</f>
        <v/>
      </c>
      <c r="K184" s="358">
        <f>IF(K174="","",SUM(K193:K194))</f>
        <v/>
      </c>
    </row>
    <row r="185" outlineLevel="1" ht="15" customHeight="1">
      <c r="B185" s="399" t="inlineStr">
        <is>
          <t>Total GP Contributions</t>
        </is>
      </c>
      <c r="C185" s="59" t="n"/>
      <c r="D185" s="358">
        <f>SUM(F185:K185)</f>
        <v/>
      </c>
      <c r="E185" s="810" t="n"/>
      <c r="F185" s="358">
        <f>IF(F174="","",-(MIN(F195,0)+F204))</f>
        <v/>
      </c>
      <c r="G185" s="358">
        <f>IF(G174="","",-(MIN(G195,0)+G204))</f>
        <v/>
      </c>
      <c r="H185" s="358">
        <f>IF(H174="","",-(MIN(H195,0)+H204))</f>
        <v/>
      </c>
      <c r="I185" s="358">
        <f>IF(I174="","",-(MIN(I195,0)+I204))</f>
        <v/>
      </c>
      <c r="J185" s="358">
        <f>IF(J174="","",-(MIN(J195,0)+J204))</f>
        <v/>
      </c>
      <c r="K185" s="358">
        <f>IF(K174="","",-(MIN(K195,0)+K204))</f>
        <v/>
      </c>
    </row>
    <row r="186" outlineLevel="1" ht="15" customHeight="1">
      <c r="B186" s="399" t="inlineStr">
        <is>
          <t>Total GP Profit</t>
        </is>
      </c>
      <c r="C186" s="59" t="n"/>
      <c r="D186" s="358">
        <f>+D183+D184-D185</f>
        <v/>
      </c>
      <c r="E186" s="810" t="n"/>
      <c r="F186" s="406" t="n"/>
      <c r="G186" s="358" t="n"/>
      <c r="H186" s="407" t="n"/>
      <c r="I186" s="407" t="n"/>
      <c r="J186" s="407" t="n"/>
      <c r="K186" s="407" t="n"/>
    </row>
    <row r="187" outlineLevel="1" ht="15" customHeight="1">
      <c r="B187" s="399" t="inlineStr">
        <is>
          <t>GP IRR</t>
        </is>
      </c>
      <c r="C187" s="59" t="n"/>
      <c r="D187" s="413">
        <f>IFERROR(IRR(F187:K187),"NA")</f>
        <v/>
      </c>
      <c r="E187" s="810" t="n"/>
      <c r="F187" s="358">
        <f>IF(F174="","",(-F185)+F183+F184)</f>
        <v/>
      </c>
      <c r="G187" s="358">
        <f>IF(G174="","",(-G185)+G183+G184)</f>
        <v/>
      </c>
      <c r="H187" s="358">
        <f>IF(H174="","",(-H185)+H183+H184)</f>
        <v/>
      </c>
      <c r="I187" s="358">
        <f>IF(I174="","",(-I185)+I183+I184)</f>
        <v/>
      </c>
      <c r="J187" s="358">
        <f>IF(J174="","",(-J185)+J183+J184)</f>
        <v/>
      </c>
      <c r="K187" s="358">
        <f>IF(K174="","",(-K185)+K183+K184)</f>
        <v/>
      </c>
    </row>
    <row r="188" outlineLevel="1" ht="15" customHeight="1">
      <c r="B188" s="399" t="inlineStr">
        <is>
          <t>GP Equity Multiple</t>
        </is>
      </c>
      <c r="C188" s="59" t="n"/>
      <c r="D188" s="818">
        <f>IFERROR(D183/D185,"NA")</f>
        <v/>
      </c>
      <c r="E188" s="810" t="n"/>
      <c r="F188" s="395" t="n"/>
      <c r="G188" s="396" t="n"/>
      <c r="H188" s="397" t="n"/>
      <c r="I188" s="397" t="n"/>
      <c r="J188" s="398" t="n"/>
      <c r="K188" s="398" t="n"/>
    </row>
    <row r="189" outlineLevel="1" ht="15" customHeight="1">
      <c r="B189" s="415" t="n"/>
      <c r="C189" s="416" t="n"/>
      <c r="D189" s="819" t="n"/>
      <c r="E189" s="59" t="n"/>
      <c r="F189" s="398" t="n"/>
      <c r="G189" s="398" t="n"/>
      <c r="H189" s="398" t="n"/>
      <c r="I189" s="398" t="n"/>
      <c r="J189" s="398" t="n"/>
      <c r="K189" s="398" t="n"/>
    </row>
    <row r="190" outlineLevel="1" ht="15.75" customHeight="1">
      <c r="B190" s="433" t="inlineStr">
        <is>
          <t>Property-Level Cash and GP Fees</t>
        </is>
      </c>
      <c r="C190" s="430" t="n"/>
      <c r="D190" s="430" t="n"/>
      <c r="E190" s="432" t="n"/>
      <c r="F190" s="431" t="inlineStr">
        <is>
          <t>Year 0</t>
        </is>
      </c>
      <c r="G190" s="827">
        <f>G$21</f>
        <v/>
      </c>
      <c r="H190" s="827">
        <f>H$21</f>
        <v/>
      </c>
      <c r="I190" s="827">
        <f>I$21</f>
        <v/>
      </c>
      <c r="J190" s="827">
        <f>J$21</f>
        <v/>
      </c>
      <c r="K190" s="827">
        <f>K$21</f>
        <v/>
      </c>
    </row>
    <row r="191" outlineLevel="1" ht="15" customHeight="1">
      <c r="B191" s="461" t="n"/>
      <c r="C191" s="461" t="n"/>
      <c r="D191" s="461" t="n"/>
      <c r="E191" s="462" t="inlineStr">
        <is>
          <t>Year Ending</t>
        </is>
      </c>
      <c r="F191" s="829">
        <f>IF(F46="","",F46)</f>
        <v/>
      </c>
      <c r="G191" s="830">
        <f>IF(G46="","",G46)</f>
        <v/>
      </c>
      <c r="H191" s="830">
        <f>IF(H46="","",H46)</f>
        <v/>
      </c>
      <c r="I191" s="830">
        <f>IF(I46="","",I46)</f>
        <v/>
      </c>
      <c r="J191" s="830">
        <f>IF(J46="","",J46)</f>
        <v/>
      </c>
      <c r="K191" s="830">
        <f>IF(K46="","",K46)</f>
        <v/>
      </c>
    </row>
    <row r="192" outlineLevel="1" ht="15" customHeight="1">
      <c r="B192" s="461" t="inlineStr">
        <is>
          <t>Net Property-Level Cash Flow</t>
        </is>
      </c>
      <c r="C192" s="461" t="n"/>
      <c r="D192" s="461" t="n"/>
      <c r="E192" s="463" t="n"/>
      <c r="F192" s="446">
        <f>IF(F47="","",F47)</f>
        <v/>
      </c>
      <c r="G192" s="446">
        <f>IF(G47="","",G47)</f>
        <v/>
      </c>
      <c r="H192" s="446">
        <f>IF(H47="","",H47)</f>
        <v/>
      </c>
      <c r="I192" s="446">
        <f>IF(I47="","",I47)</f>
        <v/>
      </c>
      <c r="J192" s="446">
        <f>IF(J47="","",J47)</f>
        <v/>
      </c>
      <c r="K192" s="446">
        <f>IF(K47="","",K47)</f>
        <v/>
      </c>
    </row>
    <row r="193" outlineLevel="1" ht="15" customHeight="1">
      <c r="B193" s="447">
        <f>IF(B48="","",B48)</f>
        <v/>
      </c>
      <c r="C193" s="461" t="n"/>
      <c r="D193" s="461" t="n"/>
      <c r="E193" s="463" t="n"/>
      <c r="F193" s="446">
        <f>IF(F48="","",F48)</f>
        <v/>
      </c>
      <c r="G193" s="446">
        <f>IF(G48="","",G48)</f>
        <v/>
      </c>
      <c r="H193" s="446">
        <f>IF(H48="","",H48)</f>
        <v/>
      </c>
      <c r="I193" s="446">
        <f>IF(I48="","",I48)</f>
        <v/>
      </c>
      <c r="J193" s="446">
        <f>IF(J48="","",J48)</f>
        <v/>
      </c>
      <c r="K193" s="446">
        <f>IF(K48="","",K48)</f>
        <v/>
      </c>
    </row>
    <row r="194" outlineLevel="1" ht="15" customHeight="1">
      <c r="B194" s="447">
        <f>IF(B49="","",B49)</f>
        <v/>
      </c>
      <c r="C194" s="461" t="n"/>
      <c r="D194" s="461" t="n"/>
      <c r="E194" s="463" t="n"/>
      <c r="F194" s="446">
        <f>IF(F49="","",F49)</f>
        <v/>
      </c>
      <c r="G194" s="446">
        <f>IF(G49="","",G49)</f>
        <v/>
      </c>
      <c r="H194" s="446">
        <f>IF(H49="","",H49)</f>
        <v/>
      </c>
      <c r="I194" s="446">
        <f>IF(I49="","",I49)</f>
        <v/>
      </c>
      <c r="J194" s="446">
        <f>IF(J49="","",J49)</f>
        <v/>
      </c>
      <c r="K194" s="446">
        <f>IF(K49="","",K49)</f>
        <v/>
      </c>
    </row>
    <row r="195" outlineLevel="1" ht="15" customHeight="1">
      <c r="B195" s="130" t="inlineStr">
        <is>
          <t>Adjusted Net Property-Level Cash Flow</t>
        </is>
      </c>
      <c r="C195" s="59" t="n"/>
      <c r="D195" s="59" t="n"/>
      <c r="E195" s="421" t="n"/>
      <c r="F195" s="424">
        <f>IF(F190="","",F192-F193-F194)</f>
        <v/>
      </c>
      <c r="G195" s="424">
        <f>IF(G190="","",G192-G193-G194)</f>
        <v/>
      </c>
      <c r="H195" s="424">
        <f>IF(H190="","",H192-H193-H194)</f>
        <v/>
      </c>
      <c r="I195" s="424">
        <f>IF(I190="","",I192-I193-I194)</f>
        <v/>
      </c>
      <c r="J195" s="424">
        <f>IF(J190="","",J192-J193-J194)</f>
        <v/>
      </c>
      <c r="K195" s="424">
        <f>IF(K190="","",K192-K193-K194)</f>
        <v/>
      </c>
    </row>
    <row r="196" outlineLevel="1" ht="15" customHeight="1">
      <c r="B196" s="59" t="inlineStr">
        <is>
          <t>Levered IRR</t>
        </is>
      </c>
      <c r="C196" s="59" t="n"/>
      <c r="D196" s="59" t="n"/>
      <c r="E196" s="59" t="n"/>
      <c r="F196" s="397">
        <f>IRR(F195:K195)</f>
        <v/>
      </c>
      <c r="G196" s="398" t="n"/>
      <c r="H196" s="398" t="n"/>
      <c r="I196" s="398" t="n"/>
      <c r="J196" s="398" t="n"/>
      <c r="K196" s="398" t="n"/>
    </row>
    <row r="197" outlineLevel="1" ht="15" customHeight="1">
      <c r="B197" s="59" t="inlineStr">
        <is>
          <t>Equity Multiple</t>
        </is>
      </c>
      <c r="C197" s="59" t="n"/>
      <c r="D197" s="59" t="n"/>
      <c r="E197" s="59" t="n"/>
      <c r="F197" s="822">
        <f>SUMIF(F195:K195,"&gt;0")/-SUMIF(F195:K195,"&lt;0")</f>
        <v/>
      </c>
      <c r="G197" s="398" t="n"/>
      <c r="H197" s="398" t="n"/>
      <c r="I197" s="398" t="n"/>
      <c r="J197" s="398" t="n"/>
      <c r="K197" s="398" t="n"/>
    </row>
    <row r="198" outlineLevel="1" ht="15" customHeight="1">
      <c r="B198" s="59" t="n"/>
      <c r="C198" s="59" t="n"/>
      <c r="D198" s="59" t="n"/>
      <c r="E198" s="398" t="n"/>
      <c r="F198" s="426" t="n"/>
      <c r="G198" s="398" t="n"/>
      <c r="H198" s="398" t="n"/>
      <c r="I198" s="398" t="n"/>
      <c r="J198" s="398" t="n"/>
      <c r="K198" s="398" t="n"/>
    </row>
    <row r="199" outlineLevel="1" ht="15.75" customHeight="1">
      <c r="B199" s="433" t="inlineStr">
        <is>
          <t>Tier 1 - Preferred Return + Return of Capital</t>
        </is>
      </c>
      <c r="C199" s="430" t="n"/>
      <c r="D199" s="430" t="n"/>
      <c r="E199" s="430" t="n"/>
      <c r="F199" s="431" t="n"/>
      <c r="G199" s="431" t="n"/>
      <c r="H199" s="431" t="n"/>
      <c r="I199" s="431" t="n"/>
      <c r="J199" s="431" t="n"/>
      <c r="K199" s="431" t="n"/>
    </row>
    <row r="200" outlineLevel="1" ht="15" customHeight="1">
      <c r="B200" s="449" t="inlineStr">
        <is>
          <t>Return Threshold - Up to:</t>
        </is>
      </c>
      <c r="C200" s="837">
        <f>E168</f>
        <v/>
      </c>
      <c r="D200" s="430" t="n"/>
      <c r="E200" s="430" t="n"/>
      <c r="F200" s="431" t="inlineStr">
        <is>
          <t>Year 0</t>
        </is>
      </c>
      <c r="G200" s="827">
        <f>G$21</f>
        <v/>
      </c>
      <c r="H200" s="827">
        <f>H$21</f>
        <v/>
      </c>
      <c r="I200" s="827">
        <f>I$21</f>
        <v/>
      </c>
      <c r="J200" s="827">
        <f>J$21</f>
        <v/>
      </c>
      <c r="K200" s="827">
        <f>K$21</f>
        <v/>
      </c>
    </row>
    <row r="201" outlineLevel="1" ht="15" customHeight="1">
      <c r="B201" s="59" t="inlineStr">
        <is>
          <t>Beginning Balance (LP Capital Account)</t>
        </is>
      </c>
      <c r="C201" s="59" t="n"/>
      <c r="D201" s="59" t="n"/>
      <c r="E201" s="59" t="n"/>
      <c r="F201" s="407">
        <f>IF(F200="","",E206)</f>
        <v/>
      </c>
      <c r="G201" s="407">
        <f>IF(G200="","",F206)</f>
        <v/>
      </c>
      <c r="H201" s="407">
        <f>IF(H200="","",G206)</f>
        <v/>
      </c>
      <c r="I201" s="407">
        <f>IF(I200="","",H206)</f>
        <v/>
      </c>
      <c r="J201" s="407">
        <f>IF(J200="","",I206)</f>
        <v/>
      </c>
      <c r="K201" s="407">
        <f>IF(K200="","",J206)</f>
        <v/>
      </c>
    </row>
    <row r="202" outlineLevel="1" ht="15" customHeight="1">
      <c r="B202" s="59" t="inlineStr">
        <is>
          <t>LP Return of Capital</t>
        </is>
      </c>
      <c r="C202" s="59" t="n"/>
      <c r="D202" s="59" t="n"/>
      <c r="E202" s="59" t="n"/>
      <c r="F202" s="451">
        <f>IF(ROUND(SUM(G202:K202),0)=ROUND(SUM(F204:K204),0),"All Capital Returned","Capital Not Returned")</f>
        <v/>
      </c>
      <c r="G202" s="407">
        <f>IF(G200="","",G208-G203)</f>
        <v/>
      </c>
      <c r="H202" s="407">
        <f>IF(H200="","",H208-H203)</f>
        <v/>
      </c>
      <c r="I202" s="407">
        <f>IF(I200="","",I208-I203)</f>
        <v/>
      </c>
      <c r="J202" s="407">
        <f>IF(J200="","",J208-J203)</f>
        <v/>
      </c>
      <c r="K202" s="407">
        <f>IF(K200="","",K208-K203)</f>
        <v/>
      </c>
    </row>
    <row r="203" outlineLevel="1" ht="15" customHeight="1">
      <c r="B203" s="59" t="inlineStr">
        <is>
          <t>Req'd Return by LP to hit Hurdle 1</t>
        </is>
      </c>
      <c r="C203" s="59" t="n"/>
      <c r="D203" s="59" t="n"/>
      <c r="E203" s="59" t="n"/>
      <c r="F203" s="407">
        <f>IF(F200="","",IF($D$165="Equity Multiple",E204*$C200-E204,F201*Preferred_Return))</f>
        <v/>
      </c>
      <c r="G203" s="407">
        <f>IF(G200="","",IF($D$165="Equity Multiple",F204*$C200-F204,G201*Preferred_Return))</f>
        <v/>
      </c>
      <c r="H203" s="407">
        <f>IF(H200="","",IF($D$165="Equity Multiple",G204*$C200-G204,H201*Preferred_Return))</f>
        <v/>
      </c>
      <c r="I203" s="407">
        <f>IF(I200="","",IF($D$165="Equity Multiple",H204*$C200-H204,I201*Preferred_Return))</f>
        <v/>
      </c>
      <c r="J203" s="407">
        <f>IF(J200="","",IF($D$165="Equity Multiple",I204*$C200-I204,J201*Preferred_Return))</f>
        <v/>
      </c>
      <c r="K203" s="407">
        <f>IF(K200="","",IF($D$165="Equity Multiple",J204*$C200-J204,K201*Preferred_Return))</f>
        <v/>
      </c>
    </row>
    <row r="204" outlineLevel="1" ht="15" customHeight="1">
      <c r="B204" s="59" t="inlineStr">
        <is>
          <t>Contributions from LP</t>
        </is>
      </c>
      <c r="C204" s="59" t="n"/>
      <c r="D204" s="59" t="n"/>
      <c r="E204" s="59" t="n"/>
      <c r="F204" s="407">
        <f>IF(F200="","",-MIN(0,F195*Equity_Share_LP))</f>
        <v/>
      </c>
      <c r="G204" s="407">
        <f>IF(G200="","",-MIN(0,G195*Equity_Share_LP))</f>
        <v/>
      </c>
      <c r="H204" s="407">
        <f>IF(H200="","",-MIN(0,H195*Equity_Share_LP))</f>
        <v/>
      </c>
      <c r="I204" s="407">
        <f>IF(I200="","",-MIN(0,I195*Equity_Share_LP))</f>
        <v/>
      </c>
      <c r="J204" s="407">
        <f>IF(J200="","",-MIN(0,J195*Equity_Share_LP))</f>
        <v/>
      </c>
      <c r="K204" s="407">
        <f>IF(K200="","",-MIN(0,K195*Equity_Share_LP))</f>
        <v/>
      </c>
    </row>
    <row r="205" outlineLevel="1" ht="15" customHeight="1">
      <c r="B205" s="59" t="inlineStr">
        <is>
          <t>Distributions to LP (Hurdle 1)</t>
        </is>
      </c>
      <c r="C205" s="59" t="n"/>
      <c r="D205" s="59" t="n"/>
      <c r="E205" s="59" t="n"/>
      <c r="F205" s="358">
        <f>IF(F200="","",MIN(F201+F203,MAX(F195,0)*$I$15))</f>
        <v/>
      </c>
      <c r="G205" s="358">
        <f>IF(G200="","",MIN(G201+G203,MAX(G195,0)*$I$15))</f>
        <v/>
      </c>
      <c r="H205" s="358">
        <f>IF(H200="","",MIN(H201+H203,MAX(H195,0)*$I$15))</f>
        <v/>
      </c>
      <c r="I205" s="358">
        <f>IF(I200="","",MIN(I201+I203,MAX(I195,0)*$I$15))</f>
        <v/>
      </c>
      <c r="J205" s="358">
        <f>IF(J200="","",MIN(J201+J203,MAX(J195,0)*$I$15))</f>
        <v/>
      </c>
      <c r="K205" s="358">
        <f>IF(K200="","",MIN(K201+K203,MAX(K195,0)*$I$15))</f>
        <v/>
      </c>
    </row>
    <row r="206" outlineLevel="1" ht="15" customHeight="1">
      <c r="B206" s="59" t="inlineStr">
        <is>
          <t>Ending Balance (LP Capital Account)</t>
        </is>
      </c>
      <c r="C206" s="59" t="n"/>
      <c r="D206" s="59" t="n"/>
      <c r="E206" s="59" t="n"/>
      <c r="F206" s="407">
        <f>IF(F200="","",F201+F203+F204-F205)</f>
        <v/>
      </c>
      <c r="G206" s="407">
        <f>IF(G200="","",G201+G203+G204-G205)</f>
        <v/>
      </c>
      <c r="H206" s="407">
        <f>IF(H200="","",H201+H203+H204-H205)</f>
        <v/>
      </c>
      <c r="I206" s="407">
        <f>IF(I200="","",I201+I203+I204-I205)</f>
        <v/>
      </c>
      <c r="J206" s="407">
        <f>IF(J200="","",J201+J203+J204-J205)</f>
        <v/>
      </c>
      <c r="K206" s="407">
        <f>IF(K200="","",K201+K203+K204-K205)</f>
        <v/>
      </c>
    </row>
    <row r="207" outlineLevel="1" ht="15" customHeight="1">
      <c r="B207" s="452">
        <f>IF(D165="Equity Multiple", "LP EMx Check","LP IRR Check")</f>
        <v/>
      </c>
      <c r="C207" s="59" t="n"/>
      <c r="D207" s="59" t="n"/>
      <c r="E207" s="838">
        <f>IF($D$165="IRR",IRR(F207:K207),SUMIF(F207:K207,"&gt;0")/-SUMIF(F207:K207,"&lt;0"))</f>
        <v/>
      </c>
      <c r="F207" s="407">
        <f>IF(F200="","",-F204+F205)</f>
        <v/>
      </c>
      <c r="G207" s="407">
        <f>IF(G200="","",-G204+G205)</f>
        <v/>
      </c>
      <c r="H207" s="407">
        <f>IF(H200="","",-H204+H205)</f>
        <v/>
      </c>
      <c r="I207" s="407">
        <f>IF(I200="","",-I204+I205)</f>
        <v/>
      </c>
      <c r="J207" s="407">
        <f>IF(J200="","",-J204+J205)</f>
        <v/>
      </c>
      <c r="K207" s="407">
        <f>IF(K200="","",-K204+K205)</f>
        <v/>
      </c>
    </row>
    <row r="208" outlineLevel="1" ht="15" customHeight="1">
      <c r="B208" s="59" t="inlineStr">
        <is>
          <t>Distribution to LP</t>
        </is>
      </c>
      <c r="C208" s="59" t="n"/>
      <c r="D208" s="59" t="n"/>
      <c r="E208" s="59" t="n"/>
      <c r="F208" s="407">
        <f>IF(F200="","",MIN(F201+F203,MAX(F195,0)*$I$15))</f>
        <v/>
      </c>
      <c r="G208" s="407">
        <f>IF(G200="","",MIN(G201+G203,MAX(G195,0)*$I$15))</f>
        <v/>
      </c>
      <c r="H208" s="407">
        <f>IF(H200="","",MIN(H201+H203,MAX(H195,0)*$I$15))</f>
        <v/>
      </c>
      <c r="I208" s="407">
        <f>IF(I200="","",MIN(I201+I203,MAX(I195,0)*$I$15))</f>
        <v/>
      </c>
      <c r="J208" s="407">
        <f>IF(J200="","",MIN(J201+J203,MAX(J195,0)*$I$15))</f>
        <v/>
      </c>
      <c r="K208" s="407">
        <f>IF(K200="","",MIN(K201+K203,MAX(K195,0)*$I$15))</f>
        <v/>
      </c>
    </row>
    <row r="209" outlineLevel="1" ht="15" customHeight="1">
      <c r="B209" s="59" t="n"/>
      <c r="C209" s="59" t="n"/>
      <c r="D209" s="59" t="n"/>
      <c r="E209" s="59" t="n"/>
      <c r="F209" s="407" t="n"/>
      <c r="G209" s="407" t="n"/>
      <c r="H209" s="407" t="n"/>
      <c r="I209" s="407" t="n"/>
      <c r="J209" s="407" t="n"/>
      <c r="K209" s="407" t="n"/>
    </row>
    <row r="210" outlineLevel="1" ht="15" customHeight="1">
      <c r="B210" s="59" t="inlineStr">
        <is>
          <t>Beginning Balance (GP Capital Account)</t>
        </is>
      </c>
      <c r="C210" s="59" t="n"/>
      <c r="D210" s="59" t="n"/>
      <c r="E210" s="59" t="n"/>
      <c r="F210" s="407">
        <f>IF(F200="","",E214)</f>
        <v/>
      </c>
      <c r="G210" s="407">
        <f>IF(G200="","",F214)</f>
        <v/>
      </c>
      <c r="H210" s="407">
        <f>IF(H200="","",G214)</f>
        <v/>
      </c>
      <c r="I210" s="407">
        <f>IF(I200="","",H214)</f>
        <v/>
      </c>
      <c r="J210" s="407">
        <f>IF(J200="","",I214)</f>
        <v/>
      </c>
      <c r="K210" s="407">
        <f>IF(K200="","",J214)</f>
        <v/>
      </c>
    </row>
    <row r="211" outlineLevel="1" ht="15" customHeight="1">
      <c r="B211" s="59" t="inlineStr">
        <is>
          <t>Req'd Return by GP (Pref)</t>
        </is>
      </c>
      <c r="C211" s="59" t="n"/>
      <c r="D211" s="59" t="n"/>
      <c r="E211" s="59" t="n"/>
      <c r="F211" s="407">
        <f>IF(F200="","",IF($D$165="Equity Multiple",E212*$C200-E212,F210*Preferred_Return))</f>
        <v/>
      </c>
      <c r="G211" s="407">
        <f>IF(G200="","",IF($D$165="Equity Multiple",F212*$C200-F212,G210*Preferred_Return))</f>
        <v/>
      </c>
      <c r="H211" s="407">
        <f>IF(H200="","",IF($D$165="Equity Multiple",G212*$C200-G212,H210*Preferred_Return))</f>
        <v/>
      </c>
      <c r="I211" s="407">
        <f>IF(I200="","",IF($D$165="Equity Multiple",H212*$C200-H212,I210*Preferred_Return))</f>
        <v/>
      </c>
      <c r="J211" s="407">
        <f>IF(J200="","",IF($D$165="Equity Multiple",I212*$C200-I212,J210*Preferred_Return))</f>
        <v/>
      </c>
      <c r="K211" s="407">
        <f>IF(K200="","",IF($D$165="Equity Multiple",J212*$C200-J212,K210*Preferred_Return))</f>
        <v/>
      </c>
    </row>
    <row r="212" outlineLevel="1" ht="15" customHeight="1">
      <c r="B212" s="59" t="inlineStr">
        <is>
          <t>Contributions from GP</t>
        </is>
      </c>
      <c r="C212" s="59" t="n"/>
      <c r="D212" s="59" t="n"/>
      <c r="E212" s="59" t="n"/>
      <c r="F212" s="407">
        <f>IF(F200="","",-MIN(0,F195*Equity_Share_GP))</f>
        <v/>
      </c>
      <c r="G212" s="407">
        <f>IF(G200="","",-MIN(0,G195*Equity_Share_GP))</f>
        <v/>
      </c>
      <c r="H212" s="407">
        <f>IF(H200="","",-MIN(0,H195*Equity_Share_GP))</f>
        <v/>
      </c>
      <c r="I212" s="407">
        <f>IF(I200="","",-MIN(0,I195*Equity_Share_GP))</f>
        <v/>
      </c>
      <c r="J212" s="407">
        <f>IF(J200="","",-MIN(0,J195*Equity_Share_GP))</f>
        <v/>
      </c>
      <c r="K212" s="407">
        <f>IF(K200="","",-MIN(0,K195*Equity_Share_GP))</f>
        <v/>
      </c>
    </row>
    <row r="213" outlineLevel="1" ht="15" customHeight="1">
      <c r="B213" s="59" t="inlineStr">
        <is>
          <t>Distribution to GP</t>
        </is>
      </c>
      <c r="C213" s="59" t="n"/>
      <c r="D213" s="59" t="n"/>
      <c r="E213" s="59" t="n"/>
      <c r="F213" s="407">
        <f>IF(F200="","",IF(CU?,MAX(MIN(F195-F208,F210+F211+F212),0),F205/$I$15*$H$15))</f>
        <v/>
      </c>
      <c r="G213" s="358">
        <f>IF(G200="","",IF(CU?,MAX(MIN(G195-G208,G210+G211+G212),0),G205/$I$15*$H$15))</f>
        <v/>
      </c>
      <c r="H213" s="358">
        <f>IF(H200="","",IF(CU?,MAX(MIN(H195-H208,H210+H211+H212),0),H205/$I$15*$H$15))</f>
        <v/>
      </c>
      <c r="I213" s="358">
        <f>IF(I200="","",IF(CU?,MAX(MIN(I195-I208,I210+I211+I212),0),I205/$I$15*$H$15))</f>
        <v/>
      </c>
      <c r="J213" s="358">
        <f>IF(J200="","",IF(CU?,MAX(MIN(J195-J208,J210+J211+J212),0),J205/$I$15*$H$15))</f>
        <v/>
      </c>
      <c r="K213" s="358">
        <f>IF(K200="","",IF(CU?,MAX(MIN(K195-K208,K210+K211+K212),0),K205/$I$15*$H$15))</f>
        <v/>
      </c>
    </row>
    <row r="214" outlineLevel="1" ht="15" customHeight="1">
      <c r="B214" s="59" t="inlineStr">
        <is>
          <t>Ending Balance (GP Capital Account)</t>
        </is>
      </c>
      <c r="C214" s="59" t="n"/>
      <c r="D214" s="59" t="n"/>
      <c r="E214" s="59" t="n"/>
      <c r="F214" s="407">
        <f>IF(F200="","",F210+F211+F212-F213)</f>
        <v/>
      </c>
      <c r="G214" s="358">
        <f>IF(G200="","",G210+G211+G212-G213)</f>
        <v/>
      </c>
      <c r="H214" s="358">
        <f>IF(H200="","",H210+H211+H212-H213)</f>
        <v/>
      </c>
      <c r="I214" s="358">
        <f>IF(I200="","",I210+I211+I212-I213)</f>
        <v/>
      </c>
      <c r="J214" s="358">
        <f>IF(J200="","",J210+J211+J212-J213)</f>
        <v/>
      </c>
      <c r="K214" s="358">
        <f>IF(K200="","",K210+K211+K212-K213)</f>
        <v/>
      </c>
    </row>
    <row r="215" outlineLevel="1" ht="15" customHeight="1">
      <c r="B215" s="452">
        <f>IF(D165="Equity Multiple", "GP EMx Check","GP IRR Check")</f>
        <v/>
      </c>
      <c r="C215" s="59" t="n"/>
      <c r="D215" s="59" t="n"/>
      <c r="E215" s="838">
        <f>IF($D$165="IRR",IFERROR(IRR(F215:K215),"NA"),SUMIF(F215:K215,"&gt;0")/-SUMIF(F215:K215,"&lt;0"))</f>
        <v/>
      </c>
      <c r="F215" s="407">
        <f>IF(F200="","",-F212+F213)</f>
        <v/>
      </c>
      <c r="G215" s="358">
        <f>IF(G200="","",-G212+G213)</f>
        <v/>
      </c>
      <c r="H215" s="358">
        <f>IF(H200="","",-H212+H213)</f>
        <v/>
      </c>
      <c r="I215" s="358">
        <f>IF(I200="","",-I212+I213)</f>
        <v/>
      </c>
      <c r="J215" s="358">
        <f>IF(J200="","",-J212+J213)</f>
        <v/>
      </c>
      <c r="K215" s="358">
        <f>IF(K200="","",-K212+K213)</f>
        <v/>
      </c>
    </row>
    <row r="216" outlineLevel="1" ht="15" customHeight="1">
      <c r="B216" s="59" t="n"/>
      <c r="C216" s="59" t="n"/>
      <c r="D216" s="59" t="n"/>
      <c r="E216" s="59" t="n"/>
      <c r="F216" s="407" t="n"/>
      <c r="G216" s="358" t="n"/>
      <c r="H216" s="358" t="n"/>
      <c r="I216" s="358" t="n"/>
      <c r="J216" s="358" t="n"/>
      <c r="K216" s="358" t="n"/>
    </row>
    <row r="217" outlineLevel="1" ht="15" customHeight="1">
      <c r="B217" s="59">
        <f>"Total Distributions ("&amp;B199&amp;")"</f>
        <v/>
      </c>
      <c r="C217" s="59" t="n"/>
      <c r="D217" s="59" t="n"/>
      <c r="E217" s="59" t="n"/>
      <c r="F217" s="407">
        <f>IF(F200="","",F213+F208)</f>
        <v/>
      </c>
      <c r="G217" s="407">
        <f>IF(G200="","",G213+G208)</f>
        <v/>
      </c>
      <c r="H217" s="407">
        <f>IF(H200="","",H213+H208)</f>
        <v/>
      </c>
      <c r="I217" s="407">
        <f>IF(I200="","",I213+I208)</f>
        <v/>
      </c>
      <c r="J217" s="407">
        <f>IF(J200="","",J213+J208)</f>
        <v/>
      </c>
      <c r="K217" s="407">
        <f>IF(K200="","",K213+K208)</f>
        <v/>
      </c>
    </row>
    <row r="218" outlineLevel="1" ht="15" customHeight="1">
      <c r="B218" s="59" t="inlineStr">
        <is>
          <t>Cash Flow Remaining</t>
        </is>
      </c>
      <c r="C218" s="59" t="n"/>
      <c r="D218" s="59" t="n"/>
      <c r="E218" s="59" t="n"/>
      <c r="F218" s="407">
        <f>IF(F200="","",MAX(F195-F217,0))</f>
        <v/>
      </c>
      <c r="G218" s="407">
        <f>IF(G200="","",MAX(G195-G217,0))</f>
        <v/>
      </c>
      <c r="H218" s="407">
        <f>IF(H200="","",MAX(H195-H217,0))</f>
        <v/>
      </c>
      <c r="I218" s="407">
        <f>IF(I200="","",MAX(I195-I217,0))</f>
        <v/>
      </c>
      <c r="J218" s="407">
        <f>IF(J200="","",MAX(J195-J217,0))</f>
        <v/>
      </c>
      <c r="K218" s="407">
        <f>IF(K200="","",MAX(K195-K217,0))</f>
        <v/>
      </c>
    </row>
    <row r="219" outlineLevel="1" ht="15" customHeight="1">
      <c r="B219" s="59" t="n"/>
      <c r="C219" s="59" t="n"/>
      <c r="D219" s="59" t="n"/>
      <c r="E219" s="59" t="n"/>
      <c r="F219" s="398" t="n"/>
      <c r="G219" s="398" t="n"/>
      <c r="H219" s="398" t="n"/>
      <c r="I219" s="398" t="n"/>
      <c r="J219" s="398" t="n"/>
      <c r="K219" s="398" t="n"/>
    </row>
    <row r="220" outlineLevel="1" ht="15.75" customHeight="1">
      <c r="B220" s="433" t="inlineStr">
        <is>
          <t>Tier 2</t>
        </is>
      </c>
      <c r="C220" s="430" t="n"/>
      <c r="D220" s="430" t="n"/>
      <c r="E220" s="430" t="n"/>
      <c r="F220" s="431" t="inlineStr">
        <is>
          <t>Year 0</t>
        </is>
      </c>
      <c r="G220" s="827">
        <f>G$21</f>
        <v/>
      </c>
      <c r="H220" s="827">
        <f>H$21</f>
        <v/>
      </c>
      <c r="I220" s="827">
        <f>I$21</f>
        <v/>
      </c>
      <c r="J220" s="827">
        <f>J$21</f>
        <v/>
      </c>
      <c r="K220" s="827">
        <f>K$21</f>
        <v/>
      </c>
    </row>
    <row r="221" outlineLevel="1" ht="15" customHeight="1">
      <c r="B221" s="454" t="inlineStr">
        <is>
          <t>Return Threshold - Up to:</t>
        </is>
      </c>
      <c r="C221" s="839">
        <f>E169</f>
        <v/>
      </c>
      <c r="D221" s="59" t="n"/>
      <c r="E221" s="59" t="n"/>
      <c r="F221" s="398" t="n"/>
      <c r="G221" s="833" t="n"/>
      <c r="H221" s="833" t="n"/>
      <c r="I221" s="833" t="n"/>
      <c r="J221" s="833" t="n"/>
      <c r="K221" s="833" t="n"/>
    </row>
    <row r="222" outlineLevel="1" ht="15" customHeight="1">
      <c r="B222" s="59" t="inlineStr">
        <is>
          <t>Beginning Balance (LP Capital Account)</t>
        </is>
      </c>
      <c r="C222" s="59" t="n"/>
      <c r="D222" s="59" t="n"/>
      <c r="E222" s="59" t="n"/>
      <c r="F222" s="407">
        <f>IF(F220="","",E227)</f>
        <v/>
      </c>
      <c r="G222" s="407">
        <f>IF(G220="","",F227)</f>
        <v/>
      </c>
      <c r="H222" s="407">
        <f>IF(H220="","",G227)</f>
        <v/>
      </c>
      <c r="I222" s="407">
        <f>IF(I220="","",H227)</f>
        <v/>
      </c>
      <c r="J222" s="407">
        <f>IF(J220="","",I227)</f>
        <v/>
      </c>
      <c r="K222" s="407">
        <f>IF(K220="","",J227)</f>
        <v/>
      </c>
    </row>
    <row r="223" outlineLevel="1" ht="15" customHeight="1">
      <c r="B223" s="59" t="inlineStr">
        <is>
          <t>Req'd Return by LP to hit Hurdle 2</t>
        </is>
      </c>
      <c r="C223" s="59" t="n"/>
      <c r="D223" s="59" t="n"/>
      <c r="E223" s="59" t="n"/>
      <c r="F223" s="407">
        <f>IF(F220="","",IF($D$165="Equity Multiple",E224*$C221-E224,F222*$C221))</f>
        <v/>
      </c>
      <c r="G223" s="407">
        <f>IF(G220="","",IF($D$165="Equity Multiple",F224*$C221-F224,G222*$C221))</f>
        <v/>
      </c>
      <c r="H223" s="407">
        <f>IF(H220="","",IF($D$165="Equity Multiple",G224*$C221-G224,H222*$C221))</f>
        <v/>
      </c>
      <c r="I223" s="407">
        <f>IF(I220="","",IF($D$165="Equity Multiple",H224*$C221-H224,I222*$C221))</f>
        <v/>
      </c>
      <c r="J223" s="407">
        <f>IF(J220="","",IF($D$165="Equity Multiple",I224*$C221-I224,J222*$C221))</f>
        <v/>
      </c>
      <c r="K223" s="407">
        <f>IF(K220="","",IF($D$165="Equity Multiple",J224*$C221-J224,K222*$C221))</f>
        <v/>
      </c>
    </row>
    <row r="224" outlineLevel="1" ht="15" customHeight="1">
      <c r="B224" s="59" t="inlineStr">
        <is>
          <t>Contributions from LP</t>
        </is>
      </c>
      <c r="C224" s="59" t="n"/>
      <c r="D224" s="59" t="n"/>
      <c r="E224" s="59" t="n"/>
      <c r="F224" s="407">
        <f>IF(F220="","",-MIN(0,F$51*Equity_Share_LP))</f>
        <v/>
      </c>
      <c r="G224" s="407">
        <f>IF(G220="","",-MIN(0,G$51*Equity_Share_LP))</f>
        <v/>
      </c>
      <c r="H224" s="407">
        <f>IF(H220="","",-MIN(0,H$51*Equity_Share_LP))</f>
        <v/>
      </c>
      <c r="I224" s="407">
        <f>IF(I220="","",-MIN(0,I$51*Equity_Share_LP))</f>
        <v/>
      </c>
      <c r="J224" s="407">
        <f>IF(J220="","",-MIN(0,J$51*Equity_Share_LP))</f>
        <v/>
      </c>
      <c r="K224" s="407">
        <f>IF(K220="","",-MIN(0,K$51*Equity_Share_LP))</f>
        <v/>
      </c>
    </row>
    <row r="225" outlineLevel="1" ht="15" customHeight="1">
      <c r="B225" s="59" t="inlineStr">
        <is>
          <t>Prior Distributions</t>
        </is>
      </c>
      <c r="C225" s="59" t="n"/>
      <c r="D225" s="59" t="n"/>
      <c r="E225" s="59" t="n"/>
      <c r="F225" s="407">
        <f>F208</f>
        <v/>
      </c>
      <c r="G225" s="407">
        <f>G208</f>
        <v/>
      </c>
      <c r="H225" s="407">
        <f>H208</f>
        <v/>
      </c>
      <c r="I225" s="407">
        <f>I208</f>
        <v/>
      </c>
      <c r="J225" s="407">
        <f>J208</f>
        <v/>
      </c>
      <c r="K225" s="407">
        <f>K208</f>
        <v/>
      </c>
    </row>
    <row r="226" outlineLevel="1" ht="15" customHeight="1">
      <c r="B226" s="59">
        <f>"Distributions to LP "&amp;B220</f>
        <v/>
      </c>
      <c r="C226" s="59" t="n"/>
      <c r="D226" s="59" t="n"/>
      <c r="E226" s="59" t="n"/>
      <c r="F226" s="407">
        <f>IF(F220="","",MIN(F222+F223-F225,F218*$I$16))</f>
        <v/>
      </c>
      <c r="G226" s="407">
        <f>IF(G220="","",MIN(G222+G223-G225,G218*$I$16))</f>
        <v/>
      </c>
      <c r="H226" s="407">
        <f>IF(H220="","",MIN(H222+H223-H225,H218*$I$16))</f>
        <v/>
      </c>
      <c r="I226" s="407">
        <f>IF(I220="","",MIN(I222+I223-I225,I218*$I$16))</f>
        <v/>
      </c>
      <c r="J226" s="407">
        <f>IF(J220="","",MIN(J222+J223-J225,J218*$I$16))</f>
        <v/>
      </c>
      <c r="K226" s="407">
        <f>IF(K220="","",MIN(K222+K223-K225,K218*$I$16))</f>
        <v/>
      </c>
    </row>
    <row r="227" outlineLevel="1" ht="15" customHeight="1">
      <c r="B227" s="59" t="inlineStr">
        <is>
          <t>Ending Balance (LP Capital Account)</t>
        </is>
      </c>
      <c r="C227" s="59" t="n"/>
      <c r="D227" s="59" t="n"/>
      <c r="E227" s="59" t="n"/>
      <c r="F227" s="407">
        <f>IF(F220="","",F222+F223+F224-F225-F226)</f>
        <v/>
      </c>
      <c r="G227" s="407">
        <f>IF(G220="","",G222+G223+G224-G225-G226)</f>
        <v/>
      </c>
      <c r="H227" s="407">
        <f>IF(H220="","",H222+H223+H224-H225-H226)</f>
        <v/>
      </c>
      <c r="I227" s="407">
        <f>IF(I220="","",I222+I223+I224-I225-I226)</f>
        <v/>
      </c>
      <c r="J227" s="407">
        <f>IF(J220="","",J222+J223+J224-J225-J226)</f>
        <v/>
      </c>
      <c r="K227" s="407">
        <f>IF(K220="","",K222+K223+K224-K225-K226)</f>
        <v/>
      </c>
    </row>
    <row r="228" outlineLevel="1" ht="15" customHeight="1">
      <c r="B228" s="834">
        <f>C221</f>
        <v/>
      </c>
      <c r="C228" s="59" t="n"/>
      <c r="D228" s="59" t="n"/>
      <c r="E228" s="838">
        <f>IF($D$165="IRR",IRR(F228:K228),SUMIF(F228:K228,"&gt;0")/-SUMIF(F228:K228,"&lt;0"))</f>
        <v/>
      </c>
      <c r="F228" s="407">
        <f>IF(F220="","",-F224+F225+F226)</f>
        <v/>
      </c>
      <c r="G228" s="407">
        <f>IF(G220="","",-G224+G225+G226)</f>
        <v/>
      </c>
      <c r="H228" s="407">
        <f>IF(H220="","",-H224+H225+H226)</f>
        <v/>
      </c>
      <c r="I228" s="407">
        <f>IF(I220="","",-I224+I225+I226)</f>
        <v/>
      </c>
      <c r="J228" s="407">
        <f>IF(J220="","",-J224+J225+J226)</f>
        <v/>
      </c>
      <c r="K228" s="407">
        <f>IF(K220="","",-K224+K225+K226)</f>
        <v/>
      </c>
    </row>
    <row r="229" outlineLevel="1" ht="15" customHeight="1">
      <c r="B229" s="74" t="n"/>
      <c r="C229" s="74" t="n"/>
      <c r="D229" s="74" t="n"/>
      <c r="E229" s="74" t="n"/>
      <c r="F229" s="458" t="n"/>
      <c r="G229" s="458" t="n"/>
      <c r="H229" s="458" t="n"/>
      <c r="I229" s="458" t="n"/>
      <c r="J229" s="458" t="n"/>
      <c r="K229" s="458" t="n"/>
    </row>
    <row r="230" outlineLevel="1" ht="15" customHeight="1">
      <c r="B230" s="59" t="inlineStr">
        <is>
          <t>Distribution to LP</t>
        </is>
      </c>
      <c r="C230" s="59" t="n"/>
      <c r="D230" s="59" t="n"/>
      <c r="E230" s="59" t="n"/>
      <c r="F230" s="407">
        <f>IF(F220="","",F226)</f>
        <v/>
      </c>
      <c r="G230" s="407">
        <f>IF(G220="","",G226)</f>
        <v/>
      </c>
      <c r="H230" s="407">
        <f>IF(H220="","",H226)</f>
        <v/>
      </c>
      <c r="I230" s="407">
        <f>IF(I220="","",I226)</f>
        <v/>
      </c>
      <c r="J230" s="407">
        <f>IF(J220="","",J226)</f>
        <v/>
      </c>
      <c r="K230" s="407">
        <f>IF(K220="","",K226)</f>
        <v/>
      </c>
    </row>
    <row r="231" outlineLevel="1" ht="15" customHeight="1">
      <c r="B231" s="59" t="inlineStr">
        <is>
          <t>Distribution to GP</t>
        </is>
      </c>
      <c r="C231" s="59" t="n"/>
      <c r="D231" s="59" t="n"/>
      <c r="E231" s="59" t="n"/>
      <c r="F231" s="407">
        <f>IF(F220="","",F230/$I$16*$H$16)</f>
        <v/>
      </c>
      <c r="G231" s="407">
        <f>IF(G220="","",G230/$I$16*$H$16)</f>
        <v/>
      </c>
      <c r="H231" s="407">
        <f>IF(H220="","",H230/$I$16*$H$16)</f>
        <v/>
      </c>
      <c r="I231" s="407">
        <f>IF(I220="","",I230/$I$16*$H$16)</f>
        <v/>
      </c>
      <c r="J231" s="407">
        <f>IF(J220="","",J230/$I$16*$H$16)</f>
        <v/>
      </c>
      <c r="K231" s="407">
        <f>IF(K220="","",K230/$I$16*$H$16)</f>
        <v/>
      </c>
    </row>
    <row r="232" outlineLevel="1" ht="15" customHeight="1">
      <c r="B232" s="59">
        <f>"Total Distributions ("&amp;B220&amp;")"</f>
        <v/>
      </c>
      <c r="C232" s="59" t="n"/>
      <c r="D232" s="59" t="n"/>
      <c r="E232" s="59" t="n"/>
      <c r="F232" s="407">
        <f>IF(F220="","",F230+F231)</f>
        <v/>
      </c>
      <c r="G232" s="407">
        <f>IF(G220="","",G230+G231)</f>
        <v/>
      </c>
      <c r="H232" s="407">
        <f>IF(H220="","",H230+H231)</f>
        <v/>
      </c>
      <c r="I232" s="407">
        <f>IF(I220="","",I230+I231)</f>
        <v/>
      </c>
      <c r="J232" s="407">
        <f>IF(J220="","",J230+J231)</f>
        <v/>
      </c>
      <c r="K232" s="407">
        <f>IF(K220="","",K230+K231)</f>
        <v/>
      </c>
    </row>
    <row r="233" outlineLevel="1" ht="15" customHeight="1">
      <c r="B233" s="59" t="inlineStr">
        <is>
          <t>Cash Flow Remaining</t>
        </is>
      </c>
      <c r="C233" s="59" t="n"/>
      <c r="D233" s="59" t="n"/>
      <c r="E233" s="59" t="n"/>
      <c r="F233" s="407">
        <f>IF(F220="","",MAX(F$51-F217-F232,0))</f>
        <v/>
      </c>
      <c r="G233" s="407">
        <f>IF(G220="","",MAX(G$51-G217-G232,0))</f>
        <v/>
      </c>
      <c r="H233" s="407">
        <f>IF(H220="","",MAX(H$51-H217-H232,0))</f>
        <v/>
      </c>
      <c r="I233" s="407">
        <f>IF(I220="","",MAX(I$51-I217-I232,0))</f>
        <v/>
      </c>
      <c r="J233" s="407">
        <f>IF(J220="","",MAX(J$51-J217-J232,0))</f>
        <v/>
      </c>
      <c r="K233" s="407">
        <f>IF(K220="","",MAX(K$51-K217-K232,0))</f>
        <v/>
      </c>
    </row>
    <row r="234" outlineLevel="1" ht="15" customHeight="1">
      <c r="B234" s="59" t="n"/>
      <c r="C234" s="59" t="n"/>
      <c r="D234" s="59" t="n"/>
      <c r="E234" s="59" t="n"/>
      <c r="F234" s="398" t="n"/>
      <c r="G234" s="398" t="n"/>
      <c r="H234" s="398" t="n"/>
      <c r="I234" s="398" t="n"/>
      <c r="J234" s="398" t="n"/>
      <c r="K234" s="398" t="n"/>
    </row>
    <row r="235" outlineLevel="1" ht="15.75" customHeight="1">
      <c r="B235" s="433" t="inlineStr">
        <is>
          <t>Tier 3</t>
        </is>
      </c>
      <c r="C235" s="430" t="n"/>
      <c r="D235" s="430" t="n"/>
      <c r="E235" s="430" t="n"/>
      <c r="F235" s="431" t="inlineStr">
        <is>
          <t>Year 0</t>
        </is>
      </c>
      <c r="G235" s="827">
        <f>G$21</f>
        <v/>
      </c>
      <c r="H235" s="827">
        <f>H$21</f>
        <v/>
      </c>
      <c r="I235" s="827">
        <f>I$21</f>
        <v/>
      </c>
      <c r="J235" s="827">
        <f>J$21</f>
        <v/>
      </c>
      <c r="K235" s="827">
        <f>K$21</f>
        <v/>
      </c>
    </row>
    <row r="236" outlineLevel="1" ht="15" customHeight="1">
      <c r="B236" s="454" t="inlineStr">
        <is>
          <t>Return Threshold - Up to:</t>
        </is>
      </c>
      <c r="C236" s="839">
        <f>E170</f>
        <v/>
      </c>
      <c r="D236" s="59" t="n"/>
      <c r="E236" s="59" t="n"/>
      <c r="F236" s="398" t="n"/>
      <c r="G236" s="833" t="n"/>
      <c r="H236" s="833" t="n"/>
      <c r="I236" s="833" t="n"/>
      <c r="J236" s="833" t="n"/>
      <c r="K236" s="833" t="n"/>
    </row>
    <row r="237" outlineLevel="1" ht="15" customHeight="1">
      <c r="B237" s="59" t="inlineStr">
        <is>
          <t>Beginning Balance (LP Capital Account)</t>
        </is>
      </c>
      <c r="C237" s="59" t="n"/>
      <c r="D237" s="59" t="n"/>
      <c r="E237" s="59" t="n"/>
      <c r="F237" s="407">
        <f>IF(F235="","",E242)</f>
        <v/>
      </c>
      <c r="G237" s="407">
        <f>IF(G235="","",F242)</f>
        <v/>
      </c>
      <c r="H237" s="407">
        <f>IF(H235="","",G242)</f>
        <v/>
      </c>
      <c r="I237" s="407">
        <f>IF(I235="","",H242)</f>
        <v/>
      </c>
      <c r="J237" s="407">
        <f>IF(J235="","",I242)</f>
        <v/>
      </c>
      <c r="K237" s="407">
        <f>IF(K235="","",J242)</f>
        <v/>
      </c>
    </row>
    <row r="238" outlineLevel="1" ht="15" customHeight="1">
      <c r="B238" s="59" t="inlineStr">
        <is>
          <t>Req'd Return by LP to hit Hurdle 3</t>
        </is>
      </c>
      <c r="C238" s="59" t="n"/>
      <c r="D238" s="59" t="n"/>
      <c r="E238" s="59" t="n"/>
      <c r="F238" s="407">
        <f>IF(F235="","",IF($D$165="Equity Multiple",E239*$C236-E239,F237*$C236))</f>
        <v/>
      </c>
      <c r="G238" s="407">
        <f>IF(G235="","",IF($D$165="Equity Multiple",F239*$C236-F239,G237*$C236))</f>
        <v/>
      </c>
      <c r="H238" s="407">
        <f>IF(H235="","",IF($D$165="Equity Multiple",G239*$C236-G239,H237*$C236))</f>
        <v/>
      </c>
      <c r="I238" s="407">
        <f>IF(I235="","",IF($D$165="Equity Multiple",H239*$C236-H239,I237*$C236))</f>
        <v/>
      </c>
      <c r="J238" s="407">
        <f>IF(J235="","",IF($D$165="Equity Multiple",I239*$C236-I239,J237*$C236))</f>
        <v/>
      </c>
      <c r="K238" s="407">
        <f>IF(K235="","",IF($D$165="Equity Multiple",J239*$C236-J239,K237*$C236))</f>
        <v/>
      </c>
    </row>
    <row r="239" outlineLevel="1" ht="15" customHeight="1">
      <c r="B239" s="59" t="inlineStr">
        <is>
          <t>Contributions from LP</t>
        </is>
      </c>
      <c r="C239" s="59" t="n"/>
      <c r="D239" s="59" t="n"/>
      <c r="E239" s="59" t="n"/>
      <c r="F239" s="407">
        <f>IF(F235="","",-MIN(0,F$51*Equity_Share_LP))</f>
        <v/>
      </c>
      <c r="G239" s="407">
        <f>IF(G235="","",-MIN(0,G$51*Equity_Share_LP))</f>
        <v/>
      </c>
      <c r="H239" s="407">
        <f>IF(H235="","",-MIN(0,H$51*Equity_Share_LP))</f>
        <v/>
      </c>
      <c r="I239" s="407">
        <f>IF(I235="","",-MIN(0,I$51*Equity_Share_LP))</f>
        <v/>
      </c>
      <c r="J239" s="407">
        <f>IF(J235="","",-MIN(0,J$51*Equity_Share_LP))</f>
        <v/>
      </c>
      <c r="K239" s="407">
        <f>IF(K235="","",-MIN(0,K$51*Equity_Share_LP))</f>
        <v/>
      </c>
    </row>
    <row r="240" outlineLevel="1" ht="15" customHeight="1">
      <c r="B240" s="59" t="inlineStr">
        <is>
          <t>Prior Distributions</t>
        </is>
      </c>
      <c r="C240" s="59" t="n"/>
      <c r="D240" s="59" t="n"/>
      <c r="E240" s="59" t="n"/>
      <c r="F240" s="407">
        <f>IF(F235="","",F230+F208)</f>
        <v/>
      </c>
      <c r="G240" s="407">
        <f>IF(G235="","",G230+G208)</f>
        <v/>
      </c>
      <c r="H240" s="407">
        <f>IF(H235="","",H230+H208)</f>
        <v/>
      </c>
      <c r="I240" s="407">
        <f>IF(I235="","",I230+I208)</f>
        <v/>
      </c>
      <c r="J240" s="407">
        <f>IF(J235="","",J230+J208)</f>
        <v/>
      </c>
      <c r="K240" s="407">
        <f>IF(K235="","",K230+K208)</f>
        <v/>
      </c>
    </row>
    <row r="241" outlineLevel="1" ht="15" customHeight="1">
      <c r="B241" s="59">
        <f>"Distributions to LP "&amp;B235</f>
        <v/>
      </c>
      <c r="C241" s="59" t="n"/>
      <c r="D241" s="59" t="n"/>
      <c r="E241" s="59" t="n"/>
      <c r="F241" s="407">
        <f>IF(F235="","",MIN(F237+F238-F240,F233*$I$17))</f>
        <v/>
      </c>
      <c r="G241" s="407">
        <f>IF(G235="","",MIN(G237+G238-G240,G233*$I$17))</f>
        <v/>
      </c>
      <c r="H241" s="407">
        <f>IF(H235="","",MIN(H237+H238-H240,H233*$I$17))</f>
        <v/>
      </c>
      <c r="I241" s="407">
        <f>IF(I235="","",MIN(I237+I238-I240,I233*$I$17))</f>
        <v/>
      </c>
      <c r="J241" s="407">
        <f>IF(J235="","",MIN(J237+J238-J240,J233*$I$17))</f>
        <v/>
      </c>
      <c r="K241" s="407">
        <f>IF(K235="","",MIN(K237+K238-K240,K233*$I$17))</f>
        <v/>
      </c>
    </row>
    <row r="242" outlineLevel="1" ht="15" customHeight="1">
      <c r="B242" s="59" t="inlineStr">
        <is>
          <t>Ending Balance (LP Capital Account)</t>
        </is>
      </c>
      <c r="C242" s="59" t="n"/>
      <c r="D242" s="59" t="n"/>
      <c r="E242" s="59" t="n"/>
      <c r="F242" s="407">
        <f>IF(F235="","",F237+F238+F239-F240-F241)</f>
        <v/>
      </c>
      <c r="G242" s="407">
        <f>IF(G235="","",G237+G238+G239-G240-G241)</f>
        <v/>
      </c>
      <c r="H242" s="407">
        <f>IF(H235="","",H237+H238+H239-H240-H241)</f>
        <v/>
      </c>
      <c r="I242" s="407">
        <f>IF(I235="","",I237+I238+I239-I240-I241)</f>
        <v/>
      </c>
      <c r="J242" s="407">
        <f>IF(J235="","",J237+J238+J239-J240-J241)</f>
        <v/>
      </c>
      <c r="K242" s="407">
        <f>IF(K235="","",K237+K238+K239-K240-K241)</f>
        <v/>
      </c>
    </row>
    <row r="243" outlineLevel="1" ht="15" customHeight="1">
      <c r="B243" s="834">
        <f>C236</f>
        <v/>
      </c>
      <c r="C243" s="59" t="n"/>
      <c r="D243" s="59" t="n"/>
      <c r="E243" s="838">
        <f>IF($D$165="IRR",IRR(F243:K243),SUMIF(F243:K243,"&gt;0")/-SUMIF(F243:K243,"&lt;0"))</f>
        <v/>
      </c>
      <c r="F243" s="407">
        <f>IF(F235="","",-F239+F240+F241)</f>
        <v/>
      </c>
      <c r="G243" s="407">
        <f>IF(G235="","",-G239+G240+G241)</f>
        <v/>
      </c>
      <c r="H243" s="407">
        <f>IF(H235="","",-H239+H240+H241)</f>
        <v/>
      </c>
      <c r="I243" s="407">
        <f>IF(I235="","",-I239+I240+I241)</f>
        <v/>
      </c>
      <c r="J243" s="407">
        <f>IF(J235="","",-J239+J240+J241)</f>
        <v/>
      </c>
      <c r="K243" s="407">
        <f>IF(K235="","",-K239+K240+K241)</f>
        <v/>
      </c>
    </row>
    <row r="244" outlineLevel="1" ht="15" customHeight="1">
      <c r="B244" s="74" t="n"/>
      <c r="C244" s="74" t="n"/>
      <c r="D244" s="74" t="n"/>
      <c r="E244" s="74" t="n"/>
      <c r="F244" s="458" t="n"/>
      <c r="G244" s="458" t="n"/>
      <c r="H244" s="458" t="n"/>
      <c r="I244" s="458" t="n"/>
      <c r="J244" s="458" t="n"/>
      <c r="K244" s="458" t="n"/>
    </row>
    <row r="245" outlineLevel="1" ht="15" customHeight="1">
      <c r="B245" s="59" t="inlineStr">
        <is>
          <t>Distribution to LP</t>
        </is>
      </c>
      <c r="C245" s="59" t="n"/>
      <c r="D245" s="59" t="n"/>
      <c r="E245" s="59" t="n"/>
      <c r="F245" s="407">
        <f>IF(F235="","",F241)</f>
        <v/>
      </c>
      <c r="G245" s="407">
        <f>IF(G235="","",G241)</f>
        <v/>
      </c>
      <c r="H245" s="407">
        <f>IF(H235="","",H241)</f>
        <v/>
      </c>
      <c r="I245" s="407">
        <f>IF(I235="","",I241)</f>
        <v/>
      </c>
      <c r="J245" s="407">
        <f>IF(J235="","",J241)</f>
        <v/>
      </c>
      <c r="K245" s="407">
        <f>IF(K235="","",K241)</f>
        <v/>
      </c>
    </row>
    <row r="246" outlineLevel="1" ht="15" customHeight="1">
      <c r="B246" s="59" t="inlineStr">
        <is>
          <t>Distribution to GP</t>
        </is>
      </c>
      <c r="C246" s="59" t="n"/>
      <c r="D246" s="59" t="n"/>
      <c r="E246" s="59" t="n"/>
      <c r="F246" s="407">
        <f>IF(F235="","",F245/$I$17*$H$17)</f>
        <v/>
      </c>
      <c r="G246" s="407">
        <f>IF(G235="","",G245/$I$17*$H$17)</f>
        <v/>
      </c>
      <c r="H246" s="407">
        <f>IF(H235="","",H245/$I$17*$H$17)</f>
        <v/>
      </c>
      <c r="I246" s="407">
        <f>IF(I235="","",I245/$I$17*$H$17)</f>
        <v/>
      </c>
      <c r="J246" s="407">
        <f>IF(J235="","",J245/$I$17*$H$17)</f>
        <v/>
      </c>
      <c r="K246" s="407">
        <f>IF(K235="","",K245/$I$17*$H$17)</f>
        <v/>
      </c>
    </row>
    <row r="247" outlineLevel="1" ht="15" customHeight="1">
      <c r="B247" s="59">
        <f>"Total Distributions ("&amp;B235&amp;")"</f>
        <v/>
      </c>
      <c r="C247" s="59" t="n"/>
      <c r="D247" s="59" t="n"/>
      <c r="E247" s="59" t="n"/>
      <c r="F247" s="407">
        <f>IF(F235="","",F245+F246)</f>
        <v/>
      </c>
      <c r="G247" s="407">
        <f>IF(G235="","",G245+G246)</f>
        <v/>
      </c>
      <c r="H247" s="407">
        <f>IF(H235="","",H245+H246)</f>
        <v/>
      </c>
      <c r="I247" s="407">
        <f>IF(I235="","",I245+I246)</f>
        <v/>
      </c>
      <c r="J247" s="407">
        <f>IF(J235="","",J245+J246)</f>
        <v/>
      </c>
      <c r="K247" s="407">
        <f>IF(K235="","",K245+K246)</f>
        <v/>
      </c>
    </row>
    <row r="248" outlineLevel="1" ht="15" customHeight="1">
      <c r="B248" s="59" t="inlineStr">
        <is>
          <t>Cash Flow Remaining</t>
        </is>
      </c>
      <c r="C248" s="59" t="n"/>
      <c r="D248" s="59" t="n"/>
      <c r="E248" s="59" t="n"/>
      <c r="F248" s="407">
        <f>IF(F235="","",MAX(F$51-F217-F232-F247,0))</f>
        <v/>
      </c>
      <c r="G248" s="407">
        <f>IF(G235="","",MAX(G$51-G217-G232-G247,0))</f>
        <v/>
      </c>
      <c r="H248" s="407">
        <f>IF(H235="","",MAX(H$51-H217-H232-H247,0))</f>
        <v/>
      </c>
      <c r="I248" s="407">
        <f>IF(I235="","",MAX(I$51-I217-I232-I247,0))</f>
        <v/>
      </c>
      <c r="J248" s="407">
        <f>IF(J235="","",MAX(J$51-J217-J232-J247,0))</f>
        <v/>
      </c>
      <c r="K248" s="407">
        <f>IF(K235="","",MAX(K$51-K217-K232-K247,0))</f>
        <v/>
      </c>
    </row>
    <row r="249" outlineLevel="1" ht="15" customHeight="1">
      <c r="B249" s="59" t="n"/>
      <c r="C249" s="59" t="n"/>
      <c r="D249" s="59" t="n"/>
      <c r="E249" s="59" t="n"/>
      <c r="F249" s="398" t="n"/>
      <c r="G249" s="398" t="n"/>
      <c r="H249" s="398" t="n"/>
      <c r="I249" s="398" t="n"/>
      <c r="J249" s="398" t="n"/>
      <c r="K249" s="398" t="n"/>
    </row>
    <row r="250" outlineLevel="1" ht="15.75" customHeight="1">
      <c r="B250" s="433" t="inlineStr">
        <is>
          <t>Tier 4</t>
        </is>
      </c>
      <c r="C250" s="430" t="n"/>
      <c r="D250" s="430" t="n"/>
      <c r="E250" s="430" t="n"/>
      <c r="F250" s="431" t="inlineStr">
        <is>
          <t>Year 0</t>
        </is>
      </c>
      <c r="G250" s="827">
        <f>G$21</f>
        <v/>
      </c>
      <c r="H250" s="827">
        <f>H$21</f>
        <v/>
      </c>
      <c r="I250" s="827">
        <f>I$21</f>
        <v/>
      </c>
      <c r="J250" s="827">
        <f>J$21</f>
        <v/>
      </c>
      <c r="K250" s="827">
        <f>K$21</f>
        <v/>
      </c>
    </row>
    <row r="251" outlineLevel="1" ht="15" customHeight="1">
      <c r="B251" s="454" t="inlineStr">
        <is>
          <t>Return Threshold - Up to:</t>
        </is>
      </c>
      <c r="C251" s="839">
        <f>E171</f>
        <v/>
      </c>
      <c r="D251" s="59" t="n"/>
      <c r="E251" s="59" t="n"/>
      <c r="F251" s="398" t="n"/>
      <c r="G251" s="833" t="n"/>
      <c r="H251" s="833" t="n"/>
      <c r="I251" s="833" t="n"/>
      <c r="J251" s="833" t="n"/>
      <c r="K251" s="833" t="n"/>
    </row>
    <row r="252" outlineLevel="1" ht="15" customHeight="1">
      <c r="B252" s="59" t="inlineStr">
        <is>
          <t>Beginning Balance (LP Capital Account)</t>
        </is>
      </c>
      <c r="C252" s="59" t="n"/>
      <c r="D252" s="59" t="n"/>
      <c r="E252" s="59" t="n"/>
      <c r="F252" s="407">
        <f>IF(F250="","",E257)</f>
        <v/>
      </c>
      <c r="G252" s="407">
        <f>IF(G250="","",F257)</f>
        <v/>
      </c>
      <c r="H252" s="407">
        <f>IF(H250="","",G257)</f>
        <v/>
      </c>
      <c r="I252" s="407">
        <f>IF(I250="","",H257)</f>
        <v/>
      </c>
      <c r="J252" s="407">
        <f>IF(J250="","",I257)</f>
        <v/>
      </c>
      <c r="K252" s="407">
        <f>IF(K250="","",J257)</f>
        <v/>
      </c>
    </row>
    <row r="253" outlineLevel="1" ht="15" customHeight="1">
      <c r="B253" s="59" t="inlineStr">
        <is>
          <t>Req'd Return by LP to hit Hurdle 4</t>
        </is>
      </c>
      <c r="C253" s="59" t="n"/>
      <c r="D253" s="59" t="n"/>
      <c r="E253" s="59" t="n"/>
      <c r="F253" s="407">
        <f>IF(F250="","",IF($D$165="Equity Multiple",E254*$C251-E254,F252*$C251))</f>
        <v/>
      </c>
      <c r="G253" s="407">
        <f>IF(G250="","",IF($D$165="Equity Multiple",F254*$C251-F254,G252*$C251))</f>
        <v/>
      </c>
      <c r="H253" s="407">
        <f>IF(H250="","",IF($D$165="Equity Multiple",G254*$C251-G254,H252*$C251))</f>
        <v/>
      </c>
      <c r="I253" s="407">
        <f>IF(I250="","",IF($D$165="Equity Multiple",H254*$C251-H254,I252*$C251))</f>
        <v/>
      </c>
      <c r="J253" s="407">
        <f>IF(J250="","",IF($D$165="Equity Multiple",I254*$C251-I254,J252*$C251))</f>
        <v/>
      </c>
      <c r="K253" s="407">
        <f>IF(K250="","",IF($D$165="Equity Multiple",J254*$C251-J254,K252*$C251))</f>
        <v/>
      </c>
    </row>
    <row r="254" outlineLevel="1" ht="15" customHeight="1">
      <c r="B254" s="59" t="inlineStr">
        <is>
          <t>Contributions from LP</t>
        </is>
      </c>
      <c r="C254" s="59" t="n"/>
      <c r="D254" s="59" t="n"/>
      <c r="E254" s="59" t="n"/>
      <c r="F254" s="407">
        <f>IF(F250="","",-MIN(0,F$51*Equity_Share_LP))</f>
        <v/>
      </c>
      <c r="G254" s="407">
        <f>IF(G250="","",-MIN(0,G$51*Equity_Share_LP))</f>
        <v/>
      </c>
      <c r="H254" s="407">
        <f>IF(H250="","",-MIN(0,H$51*Equity_Share_LP))</f>
        <v/>
      </c>
      <c r="I254" s="407">
        <f>IF(I250="","",-MIN(0,I$51*Equity_Share_LP))</f>
        <v/>
      </c>
      <c r="J254" s="407">
        <f>IF(J250="","",-MIN(0,J$51*Equity_Share_LP))</f>
        <v/>
      </c>
      <c r="K254" s="407">
        <f>IF(K250="","",-MIN(0,K$51*Equity_Share_LP))</f>
        <v/>
      </c>
    </row>
    <row r="255" outlineLevel="1" ht="15" customHeight="1">
      <c r="B255" s="59" t="inlineStr">
        <is>
          <t>Prior Distributions</t>
        </is>
      </c>
      <c r="C255" s="59" t="n"/>
      <c r="D255" s="59" t="n"/>
      <c r="E255" s="59" t="n"/>
      <c r="F255" s="407">
        <f>IF(F250="","",F230+F208+F245)</f>
        <v/>
      </c>
      <c r="G255" s="407">
        <f>IF(G250="","",G230+G208+G245)</f>
        <v/>
      </c>
      <c r="H255" s="407">
        <f>IF(H250="","",H230+H208+H245)</f>
        <v/>
      </c>
      <c r="I255" s="407">
        <f>IF(I250="","",I230+I208+I245)</f>
        <v/>
      </c>
      <c r="J255" s="407">
        <f>IF(J250="","",J230+J208+J245)</f>
        <v/>
      </c>
      <c r="K255" s="407">
        <f>IF(K250="","",K230+K208+K245)</f>
        <v/>
      </c>
    </row>
    <row r="256" outlineLevel="1" ht="15" customHeight="1">
      <c r="B256" s="59">
        <f>"Distributions to LP "&amp;B250</f>
        <v/>
      </c>
      <c r="C256" s="59" t="n"/>
      <c r="D256" s="59" t="n"/>
      <c r="E256" s="59" t="n"/>
      <c r="F256" s="407">
        <f>IF(F250="","",MIN(F252+F253-F255,F248*$I$18))</f>
        <v/>
      </c>
      <c r="G256" s="407">
        <f>IF(G250="","",MIN(G252+G253-G255,G248*$I$18))</f>
        <v/>
      </c>
      <c r="H256" s="407">
        <f>IF(H250="","",MIN(H252+H253-H255,H248*$I$18))</f>
        <v/>
      </c>
      <c r="I256" s="407">
        <f>IF(I250="","",MIN(I252+I253-I255,I248*$I$18))</f>
        <v/>
      </c>
      <c r="J256" s="407">
        <f>IF(J250="","",MIN(J252+J253-J255,J248*$I$18))</f>
        <v/>
      </c>
      <c r="K256" s="407">
        <f>IF(K250="","",MIN(K252+K253-K255,K248*$I$18))</f>
        <v/>
      </c>
    </row>
    <row r="257" outlineLevel="1" ht="15" customHeight="1">
      <c r="B257" s="59" t="inlineStr">
        <is>
          <t>Ending Balance (LP Capital Account)</t>
        </is>
      </c>
      <c r="C257" s="59" t="n"/>
      <c r="D257" s="59" t="n"/>
      <c r="E257" s="59" t="n"/>
      <c r="F257" s="407">
        <f>IF(F250="","",F252+F253+F254-F255-F256)</f>
        <v/>
      </c>
      <c r="G257" s="407">
        <f>IF(G250="","",G252+G253+G254-G255-G256)</f>
        <v/>
      </c>
      <c r="H257" s="407">
        <f>IF(H250="","",H252+H253+H254-H255-H256)</f>
        <v/>
      </c>
      <c r="I257" s="407">
        <f>IF(I250="","",I252+I253+I254-I255-I256)</f>
        <v/>
      </c>
      <c r="J257" s="407">
        <f>IF(J250="","",J252+J253+J254-J255-J256)</f>
        <v/>
      </c>
      <c r="K257" s="407">
        <f>IF(K250="","",K252+K253+K254-K255-K256)</f>
        <v/>
      </c>
    </row>
    <row r="258" outlineLevel="1" ht="15" customHeight="1">
      <c r="B258" s="834">
        <f>C251</f>
        <v/>
      </c>
      <c r="C258" s="59" t="n"/>
      <c r="D258" s="59" t="n"/>
      <c r="E258" s="838">
        <f>IF($D$165="IRR",IRR(F258:K258),SUMIF(F258:K258,"&gt;0")/-SUMIF(F258:K258,"&lt;0"))</f>
        <v/>
      </c>
      <c r="F258" s="407">
        <f>IF(F250="","",-F254+F255+F256)</f>
        <v/>
      </c>
      <c r="G258" s="407">
        <f>IF(G250="","",-G254+G255+G256)</f>
        <v/>
      </c>
      <c r="H258" s="407">
        <f>IF(H250="","",-H254+H255+H256)</f>
        <v/>
      </c>
      <c r="I258" s="407">
        <f>IF(I250="","",-I254+I255+I256)</f>
        <v/>
      </c>
      <c r="J258" s="407">
        <f>IF(J250="","",-J254+J255+J256)</f>
        <v/>
      </c>
      <c r="K258" s="407">
        <f>IF(K250="","",-K254+K255+K256)</f>
        <v/>
      </c>
    </row>
    <row r="259" outlineLevel="1" ht="15" customHeight="1">
      <c r="B259" s="74" t="n"/>
      <c r="C259" s="74" t="n"/>
      <c r="D259" s="74" t="n"/>
      <c r="E259" s="74" t="n"/>
      <c r="F259" s="458" t="n"/>
      <c r="G259" s="458" t="n"/>
      <c r="H259" s="458" t="n"/>
      <c r="I259" s="458" t="n"/>
      <c r="J259" s="458" t="n"/>
      <c r="K259" s="458" t="n"/>
    </row>
    <row r="260" outlineLevel="1" ht="15" customHeight="1">
      <c r="B260" s="59" t="inlineStr">
        <is>
          <t>Distribution to LP</t>
        </is>
      </c>
      <c r="C260" s="59" t="n"/>
      <c r="D260" s="59" t="n"/>
      <c r="E260" s="59" t="n"/>
      <c r="F260" s="407">
        <f>IF(F250="","",F256)</f>
        <v/>
      </c>
      <c r="G260" s="407">
        <f>IF(G250="","",G256)</f>
        <v/>
      </c>
      <c r="H260" s="407">
        <f>IF(H250="","",H256)</f>
        <v/>
      </c>
      <c r="I260" s="407">
        <f>IF(I250="","",I256)</f>
        <v/>
      </c>
      <c r="J260" s="407">
        <f>IF(J250="","",J256)</f>
        <v/>
      </c>
      <c r="K260" s="407">
        <f>IF(K250="","",K256)</f>
        <v/>
      </c>
    </row>
    <row r="261" outlineLevel="1" ht="15" customHeight="1">
      <c r="B261" s="59" t="inlineStr">
        <is>
          <t>Distribution to GP</t>
        </is>
      </c>
      <c r="C261" s="59" t="n"/>
      <c r="D261" s="59" t="n"/>
      <c r="E261" s="59" t="n"/>
      <c r="F261" s="407">
        <f>IF(F250="","",F260/$I$18*$H$18)</f>
        <v/>
      </c>
      <c r="G261" s="407">
        <f>IF(G250="","",G260/$I$18*$H$18)</f>
        <v/>
      </c>
      <c r="H261" s="407">
        <f>IF(H250="","",H260/$I$18*$H$18)</f>
        <v/>
      </c>
      <c r="I261" s="407">
        <f>IF(I250="","",I260/$I$18*$H$18)</f>
        <v/>
      </c>
      <c r="J261" s="407">
        <f>IF(J250="","",J260/$I$18*$H$18)</f>
        <v/>
      </c>
      <c r="K261" s="407">
        <f>IF(K250="","",K260/$I$18*$H$18)</f>
        <v/>
      </c>
    </row>
    <row r="262" outlineLevel="1" ht="15" customHeight="1">
      <c r="B262" s="59">
        <f>"Total Distributions ("&amp;B250&amp;")"</f>
        <v/>
      </c>
      <c r="C262" s="59" t="n"/>
      <c r="D262" s="59" t="n"/>
      <c r="E262" s="59" t="n"/>
      <c r="F262" s="407">
        <f>IF(F250="","",F260+F261)</f>
        <v/>
      </c>
      <c r="G262" s="407">
        <f>IF(G250="","",G260+G261)</f>
        <v/>
      </c>
      <c r="H262" s="407">
        <f>IF(H250="","",H260+H261)</f>
        <v/>
      </c>
      <c r="I262" s="407">
        <f>IF(I250="","",I260+I261)</f>
        <v/>
      </c>
      <c r="J262" s="407">
        <f>IF(J250="","",J260+J261)</f>
        <v/>
      </c>
      <c r="K262" s="407">
        <f>IF(K250="","",K260+K261)</f>
        <v/>
      </c>
    </row>
    <row r="263" outlineLevel="1" ht="15" customHeight="1">
      <c r="B263" s="59" t="inlineStr">
        <is>
          <t>Cash Flow Remaining</t>
        </is>
      </c>
      <c r="C263" s="59" t="n"/>
      <c r="D263" s="59" t="n"/>
      <c r="E263" s="59" t="n"/>
      <c r="F263" s="407">
        <f>IF(F250="","",MAX(F$51-F217-F232-F247-F262,0))</f>
        <v/>
      </c>
      <c r="G263" s="407">
        <f>IF(G250="","",MAX(G$51-G217-G232-G247-G262,0))</f>
        <v/>
      </c>
      <c r="H263" s="407">
        <f>IF(H250="","",MAX(H$51-H217-H232-H247-H262,0))</f>
        <v/>
      </c>
      <c r="I263" s="407">
        <f>IF(I250="","",MAX(I$51-I217-I232-I247-I262,0))</f>
        <v/>
      </c>
      <c r="J263" s="407">
        <f>IF(J250="","",MAX(J$51-J217-J232-J247-J262,0))</f>
        <v/>
      </c>
      <c r="K263" s="407">
        <f>IF(K250="","",MAX(K$51-K217-K232-K247-K262,0))</f>
        <v/>
      </c>
    </row>
    <row r="264" outlineLevel="1" ht="15" customHeight="1">
      <c r="B264" s="59" t="n"/>
      <c r="C264" s="59" t="n"/>
      <c r="D264" s="59" t="n"/>
      <c r="E264" s="59" t="n"/>
      <c r="F264" s="398" t="n"/>
      <c r="G264" s="398" t="n"/>
      <c r="H264" s="398" t="n"/>
      <c r="I264" s="398" t="n"/>
      <c r="J264" s="398" t="n"/>
      <c r="K264" s="398" t="n"/>
    </row>
    <row r="265" outlineLevel="1" ht="15.75" customHeight="1">
      <c r="B265" s="433" t="inlineStr">
        <is>
          <t>Tier 5</t>
        </is>
      </c>
      <c r="C265" s="430" t="n"/>
      <c r="D265" s="430" t="n"/>
      <c r="E265" s="430" t="n"/>
      <c r="F265" s="431" t="inlineStr">
        <is>
          <t>Year 0</t>
        </is>
      </c>
      <c r="G265" s="827">
        <f>G$21</f>
        <v/>
      </c>
      <c r="H265" s="827">
        <f>H$21</f>
        <v/>
      </c>
      <c r="I265" s="827">
        <f>I$21</f>
        <v/>
      </c>
      <c r="J265" s="827">
        <f>J$21</f>
        <v/>
      </c>
      <c r="K265" s="827">
        <f>K$21</f>
        <v/>
      </c>
    </row>
    <row r="266" outlineLevel="1" ht="15" customHeight="1">
      <c r="B266" s="454" t="inlineStr">
        <is>
          <t>Return Threshold - Greater than:</t>
        </is>
      </c>
      <c r="C266" s="839">
        <f>C251</f>
        <v/>
      </c>
      <c r="D266" s="59" t="n"/>
      <c r="E266" s="59" t="n"/>
      <c r="F266" s="398" t="n"/>
      <c r="G266" s="833" t="n"/>
      <c r="H266" s="833" t="n"/>
      <c r="I266" s="833" t="n"/>
      <c r="J266" s="833" t="n"/>
      <c r="K266" s="833" t="n"/>
    </row>
    <row r="267" outlineLevel="1" ht="15" customHeight="1">
      <c r="B267" s="59" t="inlineStr">
        <is>
          <t>Distribution to LP</t>
        </is>
      </c>
      <c r="C267" s="59" t="n"/>
      <c r="D267" s="59" t="n"/>
      <c r="E267" s="59" t="n"/>
      <c r="F267" s="407">
        <f>IF(F265="","",F263*$I$19)</f>
        <v/>
      </c>
      <c r="G267" s="407">
        <f>IF(G265="","",G263*$I$19)</f>
        <v/>
      </c>
      <c r="H267" s="407">
        <f>IF(H265="","",H263*$I$19)</f>
        <v/>
      </c>
      <c r="I267" s="407">
        <f>IF(I265="","",I263*$I$19)</f>
        <v/>
      </c>
      <c r="J267" s="407">
        <f>IF(J265="","",J263*$I$19)</f>
        <v/>
      </c>
      <c r="K267" s="407">
        <f>IF(K265="","",K263*$I$19)</f>
        <v/>
      </c>
    </row>
    <row r="268" outlineLevel="1" ht="15" customHeight="1">
      <c r="B268" s="59" t="inlineStr">
        <is>
          <t>Distribution to GP</t>
        </is>
      </c>
      <c r="C268" s="59" t="n"/>
      <c r="D268" s="59" t="n"/>
      <c r="E268" s="59" t="n"/>
      <c r="F268" s="407">
        <f>IF(F265="","",F263-F267)</f>
        <v/>
      </c>
      <c r="G268" s="407">
        <f>IF(G265="","",G263-G267)</f>
        <v/>
      </c>
      <c r="H268" s="407">
        <f>IF(H265="","",H263-H267)</f>
        <v/>
      </c>
      <c r="I268" s="407">
        <f>IF(I265="","",I263-I267)</f>
        <v/>
      </c>
      <c r="J268" s="407">
        <f>IF(J265="","",J263-J267)</f>
        <v/>
      </c>
      <c r="K268" s="407">
        <f>IF(K265="","",K263-K267)</f>
        <v/>
      </c>
    </row>
    <row r="269" outlineLevel="1" ht="15" customHeight="1">
      <c r="B269" s="59">
        <f>"Total Distributions ("&amp;B265&amp;")"</f>
        <v/>
      </c>
      <c r="C269" s="59" t="n"/>
      <c r="D269" s="59" t="n"/>
      <c r="E269" s="59" t="n"/>
      <c r="F269" s="407">
        <f>IF(F265="","",F267+F268)</f>
        <v/>
      </c>
      <c r="G269" s="407">
        <f>IF(G265="","",G267+G268)</f>
        <v/>
      </c>
      <c r="H269" s="407">
        <f>IF(H265="","",H267+H268)</f>
        <v/>
      </c>
      <c r="I269" s="407">
        <f>IF(I265="","",I267+I268)</f>
        <v/>
      </c>
      <c r="J269" s="407">
        <f>IF(J265="","",J267+J268)</f>
        <v/>
      </c>
      <c r="K269" s="407">
        <f>IF(K265="","",K267+K268)</f>
        <v/>
      </c>
    </row>
    <row r="270" outlineLevel="1" ht="15" customHeight="1">
      <c r="B270" s="59" t="inlineStr">
        <is>
          <t>Cash Flow Remaining</t>
        </is>
      </c>
      <c r="C270" s="59" t="n"/>
      <c r="D270" s="59" t="n"/>
      <c r="E270" s="59" t="n"/>
      <c r="F270" s="407">
        <f>IF(F265="","",F263-F269)</f>
        <v/>
      </c>
      <c r="G270" s="407">
        <f>IF(G265="","",G263-G269)</f>
        <v/>
      </c>
      <c r="H270" s="407">
        <f>IF(H265="","",H263-H269)</f>
        <v/>
      </c>
      <c r="I270" s="407">
        <f>IF(I265="","",I263-I269)</f>
        <v/>
      </c>
      <c r="J270" s="407">
        <f>IF(J265="","",J263-J269)</f>
        <v/>
      </c>
      <c r="K270" s="407">
        <f>IF(K265="","",K263-K269)</f>
        <v/>
      </c>
    </row>
    <row r="271" ht="15" customHeight="1"/>
    <row r="272" ht="15" customHeight="1"/>
    <row r="273" ht="15" customHeight="1">
      <c r="B273" s="467" t="inlineStr">
        <is>
          <t>2-Tier</t>
        </is>
      </c>
      <c r="C273" s="468" t="n"/>
    </row>
    <row r="274" ht="15" customHeight="1">
      <c r="B274" s="467" t="inlineStr">
        <is>
          <t>3-Tier</t>
        </is>
      </c>
      <c r="C274" s="468" t="n"/>
    </row>
    <row r="275" ht="15" customHeight="1">
      <c r="B275" s="467" t="inlineStr">
        <is>
          <t>4-Tier</t>
        </is>
      </c>
      <c r="C275" s="468" t="n"/>
    </row>
    <row r="276" ht="15" customHeight="1">
      <c r="B276" s="467" t="inlineStr">
        <is>
          <t>5-Tier</t>
        </is>
      </c>
      <c r="C276" s="468" t="n"/>
    </row>
    <row r="277" ht="15" customHeight="1">
      <c r="B277" s="342">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4">
      <formula>$D$4="IRR"</formula>
    </cfRule>
  </conditionalFormatting>
  <conditionalFormatting sqref="D15:D19">
    <cfRule type="expression" priority="5" dxfId="3">
      <formula>$D$4="Equity Multiple"</formula>
    </cfRule>
  </conditionalFormatting>
  <conditionalFormatting sqref="E4:E6">
    <cfRule type="expression" priority="1" dxfId="0">
      <formula>$H$15&gt;=$C$9</formula>
    </cfRule>
  </conditionalFormatting>
  <conditionalFormatting sqref="E15:E18">
    <cfRule type="expression" priority="4" dxfId="1">
      <formula>$D$4="Equity Multiple"</formula>
    </cfRule>
  </conditionalFormatting>
  <conditionalFormatting sqref="E15:E19 J15:K19">
    <cfRule type="expression" priority="2" dxfId="0">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27"/>
  <sheetViews>
    <sheetView workbookViewId="0">
      <selection activeCell="A1" sqref="A1"/>
    </sheetView>
  </sheetViews>
  <sheetFormatPr baseColWidth="8" defaultColWidth="8.42578125" defaultRowHeight="15"/>
  <cols>
    <col width="8.42578125" customWidth="1" style="130" min="1" max="1"/>
    <col width="21.42578125" customWidth="1" style="130" min="2" max="2"/>
    <col width="23.42578125" customWidth="1" style="130" min="3" max="3"/>
    <col width="17.42578125" customWidth="1" style="130" min="4" max="9"/>
    <col width="8.42578125" customWidth="1" style="130" min="10" max="16384"/>
  </cols>
  <sheetData>
    <row r="1" ht="21.75" customFormat="1" customHeight="1" s="3">
      <c r="A1" s="58" t="inlineStr">
        <is>
          <t>GARY GROUP CAPITAL</t>
        </is>
      </c>
      <c r="F1" s="20" t="n"/>
      <c r="G1" s="20" t="n"/>
      <c r="H1" s="20" t="n"/>
      <c r="I1" s="20" t="n"/>
      <c r="J1" s="20" t="n"/>
    </row>
    <row r="3" ht="21" customHeight="1">
      <c r="B3" s="167" t="n"/>
      <c r="C3" s="128" t="n"/>
      <c r="D3" s="128" t="n"/>
      <c r="E3" s="860" t="n"/>
      <c r="F3" s="860" t="n"/>
      <c r="G3" s="860" t="n"/>
      <c r="H3" s="128" t="n"/>
    </row>
    <row r="4" ht="28.5" customHeight="1">
      <c r="B4" s="740" t="inlineStr">
        <is>
          <t>Sources of Funds</t>
        </is>
      </c>
      <c r="D4" s="171" t="inlineStr">
        <is>
          <t>/ Unit</t>
        </is>
      </c>
      <c r="E4" s="941" t="n"/>
      <c r="F4" s="941" t="n"/>
      <c r="G4" s="941" t="n"/>
      <c r="H4" s="222" t="n"/>
    </row>
    <row r="5" ht="21" customHeight="1">
      <c r="B5" s="160" t="inlineStr">
        <is>
          <t>Senior Loan</t>
        </is>
      </c>
      <c r="C5" s="316">
        <f>'Loan Scenario (acquisition)'!C31</f>
        <v/>
      </c>
      <c r="D5" s="665">
        <f>C5/'GGC Underwriting'!$N$7</f>
        <v/>
      </c>
      <c r="E5" s="942" t="n"/>
      <c r="F5" s="943" t="n"/>
      <c r="G5" s="943" t="n"/>
      <c r="H5" s="221" t="n"/>
      <c r="O5" s="852" t="n"/>
      <c r="P5" s="852" t="n"/>
      <c r="Q5" s="852" t="n"/>
    </row>
    <row r="6" ht="21" customHeight="1">
      <c r="B6" s="144" t="inlineStr">
        <is>
          <t>Mezz Debt</t>
        </is>
      </c>
      <c r="C6" s="231" t="n">
        <v>0</v>
      </c>
      <c r="D6" s="238">
        <f>C6/'GGC Underwriting'!$N$7</f>
        <v/>
      </c>
      <c r="E6" s="942" t="n"/>
      <c r="F6" s="943" t="n"/>
      <c r="G6" s="943" t="n"/>
      <c r="H6" s="221" t="n"/>
      <c r="O6" s="852" t="n"/>
      <c r="P6" s="852" t="n"/>
      <c r="Q6" s="852" t="n"/>
    </row>
    <row r="7" ht="21" customHeight="1">
      <c r="B7" s="144" t="inlineStr">
        <is>
          <t>LP - Equity</t>
        </is>
      </c>
      <c r="C7" s="232">
        <f>C18-C5-C6-C8</f>
        <v/>
      </c>
      <c r="D7" s="238">
        <f>C7/'GGC Underwriting'!$N$7</f>
        <v/>
      </c>
      <c r="E7" s="942" t="n"/>
      <c r="F7" s="943" t="n"/>
      <c r="G7" s="943" t="n"/>
      <c r="H7" s="221" t="n"/>
      <c r="O7" s="852" t="n"/>
      <c r="P7" s="852" t="n"/>
      <c r="Q7" s="852" t="n"/>
    </row>
    <row r="8" ht="21" customHeight="1">
      <c r="B8" s="240" t="inlineStr">
        <is>
          <t>GP</t>
        </is>
      </c>
      <c r="C8" s="500" t="n">
        <v>300000</v>
      </c>
      <c r="D8" s="238">
        <f>C8/'GGC Underwriting'!$N$7</f>
        <v/>
      </c>
      <c r="E8" s="473">
        <f>C8/(C7+C8)</f>
        <v/>
      </c>
      <c r="F8" s="943" t="n"/>
      <c r="G8" s="943" t="n"/>
      <c r="H8" s="221" t="n"/>
      <c r="I8" t="n">
        <v>300000</v>
      </c>
      <c r="O8" s="852" t="n"/>
      <c r="P8" s="852" t="n"/>
      <c r="Q8" s="852" t="n"/>
    </row>
    <row r="9" ht="21" customHeight="1" thickBot="1">
      <c r="B9" s="147" t="inlineStr">
        <is>
          <t>Total</t>
        </is>
      </c>
      <c r="C9" s="233">
        <f>C5+C6+C7+C8</f>
        <v/>
      </c>
      <c r="D9" s="239">
        <f>C9/'GGC Underwriting'!$N$7</f>
        <v/>
      </c>
      <c r="E9" s="942" t="n"/>
      <c r="F9" s="943" t="n"/>
      <c r="G9" s="943" t="n"/>
      <c r="H9" s="221" t="n"/>
      <c r="O9" s="852" t="n"/>
      <c r="P9" s="852" t="n"/>
      <c r="Q9" s="852" t="n"/>
    </row>
    <row r="10" ht="15.75" customHeight="1" thickTop="1">
      <c r="B10" s="145" t="n"/>
      <c r="C10" s="143" t="n"/>
      <c r="D10" s="143" t="n"/>
      <c r="E10" s="944" t="n"/>
      <c r="F10" s="945" t="n"/>
      <c r="G10" s="945" t="n"/>
      <c r="H10" s="221" t="n"/>
    </row>
    <row r="11">
      <c r="B11" s="145" t="n"/>
      <c r="C11" s="143" t="n"/>
      <c r="D11" s="143" t="n"/>
      <c r="E11" s="944" t="n"/>
      <c r="F11" s="945" t="n"/>
      <c r="G11" s="945" t="n"/>
      <c r="H11" s="221" t="n"/>
    </row>
    <row r="12" ht="18.75" customHeight="1">
      <c r="B12" s="740" t="inlineStr">
        <is>
          <t>Uses of Funds</t>
        </is>
      </c>
      <c r="D12" s="171" t="inlineStr">
        <is>
          <t>/ Unit</t>
        </is>
      </c>
      <c r="H12" t="inlineStr">
        <is>
          <t>Uses of Funds</t>
        </is>
      </c>
    </row>
    <row r="13" ht="21" customHeight="1">
      <c r="B13" s="160" t="inlineStr">
        <is>
          <t>Purchase Price</t>
        </is>
      </c>
      <c r="C13" s="316">
        <f>'GGC Underwriting'!R4</f>
        <v/>
      </c>
      <c r="D13" s="237">
        <f>C13/'GGC Underwriting'!$N$7</f>
        <v/>
      </c>
      <c r="I13">
        <f>'GGC Underwriting'!R4</f>
        <v/>
      </c>
    </row>
    <row r="14" ht="21" customHeight="1">
      <c r="B14" s="144" t="inlineStr">
        <is>
          <t>Closing Costs(1.5%)</t>
        </is>
      </c>
      <c r="C14" s="231">
        <f>C13*0.0225</f>
        <v/>
      </c>
      <c r="D14" s="238">
        <f>C14/'GGC Underwriting'!$N$7</f>
        <v/>
      </c>
      <c r="I14">
        <f>I13*0.0225</f>
        <v/>
      </c>
    </row>
    <row r="15" ht="21" customHeight="1">
      <c r="B15" s="144" t="inlineStr">
        <is>
          <t>Acquisition Fee (2%)</t>
        </is>
      </c>
      <c r="C15" s="231">
        <f>C13*2%</f>
        <v/>
      </c>
      <c r="D15" s="238">
        <f>C15/'GGC Underwriting'!$N$7</f>
        <v/>
      </c>
      <c r="H15" t="inlineStr">
        <is>
          <t>Acquisition Fee (2%)</t>
        </is>
      </c>
    </row>
    <row r="16" ht="21" customHeight="1">
      <c r="B16" s="144" t="inlineStr">
        <is>
          <t>Sales Broker Fee (2%)</t>
        </is>
      </c>
      <c r="C16" s="231">
        <f>C15</f>
        <v/>
      </c>
      <c r="D16" s="238">
        <f>C16/'GGC Underwriting'!$N$7</f>
        <v/>
      </c>
      <c r="H16" t="inlineStr">
        <is>
          <t>Sales Broker Fee (2%)</t>
        </is>
      </c>
      <c r="I16">
        <f>I15</f>
        <v/>
      </c>
    </row>
    <row r="17" ht="21" customHeight="1">
      <c r="B17" s="144" t="inlineStr">
        <is>
          <t>Capex Budget</t>
        </is>
      </c>
      <c r="C17" s="232">
        <f>C27</f>
        <v/>
      </c>
      <c r="D17" s="238">
        <f>C17/'GGC Underwriting'!$N$7</f>
        <v/>
      </c>
      <c r="E17" s="130" t="inlineStr">
        <is>
          <t>Working Capital</t>
        </is>
      </c>
      <c r="I17">
        <f>I27</f>
        <v/>
      </c>
    </row>
    <row r="18" ht="21" customHeight="1" thickBot="1">
      <c r="B18" s="147" t="inlineStr">
        <is>
          <t>Total</t>
        </is>
      </c>
      <c r="C18" s="233">
        <f>SUM(C13:C17)</f>
        <v/>
      </c>
      <c r="D18" s="239">
        <f>C18/'GGC Underwriting'!$N$7</f>
        <v/>
      </c>
    </row>
    <row r="19" ht="15.75" customHeight="1" thickTop="1"/>
    <row r="20">
      <c r="C20" s="323" t="n"/>
    </row>
    <row r="21" ht="45" customHeight="1">
      <c r="B21" s="697" t="inlineStr">
        <is>
          <t>Water / Septic / Utilities (per deal)</t>
        </is>
      </c>
      <c r="C21" s="323" t="n">
        <v>25000</v>
      </c>
      <c r="H21" t="inlineStr">
        <is>
          <t>Capex Budget</t>
        </is>
      </c>
    </row>
    <row r="22">
      <c r="B22" s="130" t="inlineStr">
        <is>
          <t>Add Homes / In-fill (per deal)</t>
        </is>
      </c>
      <c r="C22" s="323" t="n">
        <v>0</v>
      </c>
      <c r="D22" s="220" t="n">
        <v>4</v>
      </c>
      <c r="E22" s="172" t="n">
        <v>25000</v>
      </c>
      <c r="H22" t="inlineStr">
        <is>
          <t>Private w/s capex - misc</t>
        </is>
      </c>
      <c r="I22" t="n">
        <v>0</v>
      </c>
    </row>
    <row r="23">
      <c r="B23" s="130" t="inlineStr">
        <is>
          <t>Working Capital</t>
        </is>
      </c>
      <c r="C23" s="323" t="n">
        <v>0</v>
      </c>
      <c r="H23" t="inlineStr">
        <is>
          <t>Tree Trim</t>
        </is>
      </c>
      <c r="I23" t="n">
        <v>0</v>
      </c>
    </row>
    <row r="24">
      <c r="B24" s="698" t="inlineStr">
        <is>
          <t>Add new homes</t>
        </is>
      </c>
      <c r="C24" s="699">
        <f>D24*E24</f>
        <v/>
      </c>
      <c r="D24" t="n">
        <v>0</v>
      </c>
      <c r="E24" t="n">
        <v>25000</v>
      </c>
      <c r="H24" t="inlineStr">
        <is>
          <t>Add new homes</t>
        </is>
      </c>
      <c r="I24">
        <f>J24*K24</f>
        <v/>
      </c>
      <c r="J24" t="n">
        <v>0</v>
      </c>
      <c r="K24" t="n">
        <v>25000</v>
      </c>
    </row>
    <row r="25">
      <c r="B25" t="inlineStr">
        <is>
          <t>Road Repair</t>
        </is>
      </c>
      <c r="C25" t="n">
        <v>0</v>
      </c>
      <c r="H25" t="inlineStr">
        <is>
          <t>Road Repair</t>
        </is>
      </c>
      <c r="I25" t="n">
        <v>0</v>
      </c>
    </row>
    <row r="26">
      <c r="B26" t="inlineStr">
        <is>
          <t>Working Capex</t>
        </is>
      </c>
      <c r="C26" s="469" t="n">
        <v>0</v>
      </c>
      <c r="H26" t="inlineStr">
        <is>
          <t>Working Capex</t>
        </is>
      </c>
      <c r="I26" t="n">
        <v>0</v>
      </c>
    </row>
    <row r="27">
      <c r="B27" t="inlineStr">
        <is>
          <t>Estimated Capex Budget</t>
        </is>
      </c>
      <c r="C27">
        <f>SUM(C22:C26)</f>
        <v/>
      </c>
      <c r="F27" s="223" t="n"/>
      <c r="H27" t="inlineStr">
        <is>
          <t>Estimated Capex Budget</t>
        </is>
      </c>
      <c r="I27">
        <f>SUM(I22:I26)</f>
        <v/>
      </c>
    </row>
  </sheetData>
  <mergeCells count="2">
    <mergeCell ref="B4:C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16" sqref="C16"/>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50" min="6" max="6"/>
    <col width="14.42578125" customWidth="1" style="150" min="7" max="7"/>
    <col width="11.42578125" customWidth="1" style="150" min="8" max="9"/>
    <col width="18.42578125" customWidth="1" style="150"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6" t="n"/>
      <c r="B2" s="186" t="n"/>
      <c r="C2" s="186" t="n"/>
      <c r="D2" s="186" t="n"/>
      <c r="E2" s="186" t="n"/>
      <c r="F2" s="208" t="n"/>
      <c r="G2" s="209" t="n"/>
      <c r="H2" s="840" t="n"/>
      <c r="I2" s="211" t="n"/>
      <c r="J2" s="840" t="n"/>
      <c r="K2" s="186" t="n"/>
      <c r="L2" s="186" t="n"/>
      <c r="M2" s="188" t="n"/>
      <c r="N2" s="186" t="n"/>
      <c r="O2" s="188" t="n"/>
      <c r="P2" s="186" t="n"/>
      <c r="Q2" s="186" t="n"/>
      <c r="R2" s="186" t="n"/>
      <c r="S2" s="186" t="n"/>
      <c r="T2" s="186" t="n"/>
      <c r="U2" s="186" t="n"/>
      <c r="V2" s="186" t="n"/>
      <c r="W2" s="186" t="n"/>
      <c r="X2" s="946" t="n"/>
      <c r="Y2" s="946" t="n"/>
      <c r="Z2" s="946" t="n"/>
      <c r="AA2" s="946" t="n"/>
      <c r="AB2" s="946" t="n"/>
    </row>
    <row r="3" ht="20.25" customFormat="1" customHeight="1" s="59">
      <c r="A3" s="186" t="n"/>
      <c r="B3" s="709" t="inlineStr">
        <is>
          <t>Loan Sizing</t>
        </is>
      </c>
      <c r="E3" s="710" t="n"/>
      <c r="F3" s="709" t="inlineStr">
        <is>
          <t>Loan Amortization Schedule</t>
        </is>
      </c>
      <c r="K3" s="190" t="n"/>
      <c r="L3" s="186" t="n"/>
      <c r="M3" s="186" t="n"/>
      <c r="N3" s="186" t="n"/>
      <c r="O3" s="186" t="n"/>
      <c r="P3" s="186" t="n"/>
      <c r="Q3" s="186" t="n"/>
      <c r="R3" s="186" t="n"/>
      <c r="S3" s="186" t="n"/>
      <c r="T3" s="186" t="n"/>
      <c r="U3" s="186" t="n"/>
      <c r="V3" s="186" t="n"/>
      <c r="W3" s="186" t="n"/>
      <c r="X3" s="946" t="n"/>
      <c r="Y3" s="946" t="n"/>
      <c r="Z3" s="946" t="n"/>
      <c r="AA3" s="946" t="n"/>
      <c r="AB3" s="946" t="n"/>
    </row>
    <row r="4" ht="17.25" customFormat="1" customHeight="1" s="59">
      <c r="A4" s="186" t="n"/>
      <c r="B4" s="199" t="n"/>
      <c r="C4" s="226" t="inlineStr">
        <is>
          <t xml:space="preserve">  = INPUT VALUE</t>
        </is>
      </c>
      <c r="D4" s="190" t="n"/>
      <c r="E4" s="190" t="n"/>
      <c r="F4" s="209" t="n"/>
      <c r="G4" s="209" t="n"/>
      <c r="H4" s="840" t="n"/>
      <c r="I4" s="209" t="n"/>
      <c r="J4" s="212" t="n"/>
      <c r="K4" s="186" t="n"/>
      <c r="L4" s="186" t="n"/>
      <c r="M4" s="186" t="n"/>
      <c r="N4" s="186" t="n"/>
      <c r="O4" s="186" t="n"/>
      <c r="P4" s="186" t="n"/>
      <c r="Q4" s="186" t="n"/>
      <c r="R4" s="186" t="n"/>
      <c r="S4" s="186" t="n"/>
      <c r="T4" s="186" t="n"/>
      <c r="U4" s="186" t="n"/>
      <c r="V4" s="186" t="n"/>
      <c r="W4" s="186" t="n"/>
      <c r="X4" s="946" t="n"/>
      <c r="Y4" s="946" t="n"/>
      <c r="Z4" s="946" t="n"/>
      <c r="AA4" s="946" t="n"/>
      <c r="AB4" s="946" t="n"/>
    </row>
    <row r="5" ht="20.25" customFormat="1" customHeight="1" s="59">
      <c r="A5" s="186" t="n"/>
      <c r="B5" s="189" t="n"/>
      <c r="C5" s="190" t="n"/>
      <c r="D5" s="190" t="n"/>
      <c r="E5" s="190" t="n"/>
      <c r="F5" s="209" t="n"/>
      <c r="G5" s="209" t="n"/>
      <c r="H5" s="840" t="n"/>
      <c r="I5" s="209" t="n"/>
      <c r="J5" s="212" t="n"/>
      <c r="K5" s="186" t="n"/>
      <c r="L5" s="186" t="n"/>
      <c r="M5" s="186" t="n"/>
      <c r="N5" s="186" t="n"/>
      <c r="O5" s="186" t="n"/>
      <c r="P5" s="186" t="n"/>
      <c r="Q5" s="186" t="n"/>
      <c r="R5" s="186" t="n"/>
      <c r="S5" s="186" t="n"/>
      <c r="T5" s="186" t="n"/>
      <c r="U5" s="186" t="n"/>
      <c r="V5" s="186" t="n"/>
      <c r="W5" s="186" t="n"/>
      <c r="X5" s="946" t="n"/>
      <c r="Y5" s="946" t="n"/>
      <c r="Z5" s="946" t="n"/>
      <c r="AA5" s="946" t="n"/>
      <c r="AB5" s="946" t="n"/>
    </row>
    <row r="6" ht="16.5" customHeight="1">
      <c r="A6" s="186" t="n"/>
      <c r="B6" s="186" t="inlineStr">
        <is>
          <t>Lender</t>
        </is>
      </c>
      <c r="C6" s="194" t="n"/>
      <c r="D6" s="186" t="n"/>
      <c r="E6" s="186" t="n"/>
      <c r="F6" s="177" t="inlineStr">
        <is>
          <t>Payment #</t>
        </is>
      </c>
      <c r="G6" s="177" t="inlineStr">
        <is>
          <t>Payment Amt</t>
        </is>
      </c>
      <c r="H6" s="177" t="inlineStr">
        <is>
          <t>Interest</t>
        </is>
      </c>
      <c r="I6" s="177" t="inlineStr">
        <is>
          <t>Principal</t>
        </is>
      </c>
      <c r="J6" s="177" t="inlineStr">
        <is>
          <t>Remaining Balance</t>
        </is>
      </c>
      <c r="K6" s="186" t="n"/>
      <c r="L6" s="175" t="n"/>
      <c r="M6" s="177" t="inlineStr">
        <is>
          <t>Yr 1</t>
        </is>
      </c>
      <c r="N6" s="177" t="inlineStr">
        <is>
          <t>Yr 2</t>
        </is>
      </c>
      <c r="O6" s="177" t="inlineStr">
        <is>
          <t>Yr 3</t>
        </is>
      </c>
      <c r="P6" s="177" t="inlineStr">
        <is>
          <t>Yr 4</t>
        </is>
      </c>
      <c r="Q6" s="177" t="inlineStr">
        <is>
          <t>Yr 5</t>
        </is>
      </c>
      <c r="R6" s="177" t="inlineStr">
        <is>
          <t>Yr 6</t>
        </is>
      </c>
      <c r="S6" s="177" t="inlineStr">
        <is>
          <t>Yr 7</t>
        </is>
      </c>
      <c r="T6" s="177" t="inlineStr">
        <is>
          <t>Yr 8</t>
        </is>
      </c>
      <c r="U6" s="177" t="inlineStr">
        <is>
          <t>Yr 9</t>
        </is>
      </c>
      <c r="V6" s="177" t="inlineStr">
        <is>
          <t>Yr 10</t>
        </is>
      </c>
      <c r="W6" s="178" t="inlineStr">
        <is>
          <t>Total</t>
        </is>
      </c>
      <c r="X6" s="946" t="n"/>
      <c r="Y6" s="946" t="n"/>
      <c r="Z6" s="946" t="n"/>
      <c r="AA6" s="946" t="n"/>
      <c r="AB6" s="946" t="n"/>
      <c r="AC6" s="852" t="n"/>
      <c r="AD6" s="852" t="n"/>
      <c r="AE6" s="852" t="n"/>
      <c r="AF6" s="852" t="n"/>
      <c r="AG6" s="852" t="n"/>
      <c r="AH6" s="852" t="n"/>
      <c r="AI6" s="852" t="n"/>
      <c r="AJ6" s="852" t="n"/>
      <c r="AK6" s="852" t="n"/>
      <c r="AL6" s="852" t="n"/>
      <c r="AM6" s="852" t="n"/>
      <c r="AN6" s="852" t="n"/>
      <c r="AO6" s="852" t="n"/>
      <c r="AP6" s="852" t="n"/>
      <c r="AQ6" s="852" t="n"/>
      <c r="AR6" s="852" t="n"/>
      <c r="AS6" s="852" t="n"/>
      <c r="AT6" s="852" t="n"/>
      <c r="AU6" s="852" t="n"/>
      <c r="AV6" s="852" t="n"/>
      <c r="AW6" s="852" t="n"/>
      <c r="AX6" s="852" t="n"/>
      <c r="AY6" s="852" t="n"/>
      <c r="AZ6" s="852" t="n"/>
      <c r="BA6" s="852" t="n"/>
      <c r="BB6" s="852" t="n"/>
      <c r="BC6" s="852" t="n"/>
      <c r="BD6" s="852" t="n"/>
      <c r="BE6" s="852" t="n"/>
      <c r="BF6" s="852" t="n"/>
      <c r="BG6" s="852" t="n"/>
      <c r="BH6" s="852" t="n"/>
      <c r="BI6" s="852" t="n"/>
      <c r="BJ6" s="852" t="n"/>
      <c r="BK6" s="852" t="n"/>
      <c r="BL6" s="852" t="n"/>
      <c r="BM6" s="852" t="n"/>
      <c r="BN6" s="852" t="n"/>
      <c r="BO6" s="852" t="n"/>
      <c r="BP6" s="852" t="n"/>
      <c r="BQ6" s="852" t="n"/>
      <c r="BR6" s="852" t="n"/>
      <c r="BS6" s="852" t="n"/>
      <c r="BT6" s="852" t="n"/>
      <c r="BU6" s="852" t="n"/>
      <c r="BV6" s="852" t="n"/>
      <c r="BW6" s="852" t="n"/>
      <c r="BX6" s="852" t="n"/>
      <c r="BY6" s="852" t="n"/>
      <c r="BZ6" s="852" t="n"/>
      <c r="CA6" s="852" t="n"/>
      <c r="CB6" s="852" t="n"/>
      <c r="CC6" s="852" t="n"/>
      <c r="CD6" s="852" t="n"/>
      <c r="CE6" s="852" t="n"/>
      <c r="CF6" s="852" t="n"/>
      <c r="CG6" s="852" t="n"/>
      <c r="CH6" s="852" t="n"/>
      <c r="CI6" s="852" t="n"/>
      <c r="CJ6" s="852" t="n"/>
      <c r="CK6" s="852" t="n"/>
      <c r="CL6" s="852" t="n"/>
      <c r="CM6" s="852" t="n"/>
      <c r="CN6" s="852" t="n"/>
      <c r="CO6" s="852" t="n"/>
      <c r="CP6" s="852" t="n"/>
      <c r="CQ6" s="852" t="n"/>
      <c r="CR6" s="852" t="n"/>
      <c r="CS6" s="852" t="n"/>
      <c r="CT6" s="852" t="n"/>
      <c r="CU6" s="852" t="n"/>
      <c r="CV6" s="852" t="n"/>
      <c r="CW6" s="852" t="n"/>
      <c r="CX6" s="852" t="n"/>
      <c r="CY6" s="852" t="n"/>
      <c r="CZ6" s="852" t="n"/>
      <c r="DA6" s="852" t="n"/>
      <c r="DB6" s="852" t="n"/>
      <c r="DC6" s="852" t="n"/>
      <c r="DD6" s="852" t="n"/>
      <c r="DE6" s="852" t="n"/>
      <c r="DF6" s="852" t="n"/>
      <c r="DG6" s="852" t="n"/>
      <c r="DH6" s="852" t="n"/>
      <c r="DI6" s="852" t="n"/>
      <c r="DJ6" s="852" t="n"/>
      <c r="DK6" s="852" t="n"/>
      <c r="DL6" s="852" t="n"/>
      <c r="DM6" s="852" t="n"/>
      <c r="DN6" s="852" t="n"/>
      <c r="DO6" s="852" t="n"/>
      <c r="DP6" s="852" t="n"/>
      <c r="DQ6" s="852" t="n"/>
      <c r="DR6" s="852" t="n"/>
      <c r="DS6" s="852" t="n"/>
      <c r="DT6" s="852" t="n"/>
      <c r="DU6" s="852" t="n"/>
      <c r="DV6" s="852" t="n"/>
      <c r="DW6" s="852" t="n"/>
      <c r="DX6" s="852" t="n"/>
      <c r="DY6" s="852" t="n"/>
      <c r="DZ6" s="852" t="n"/>
      <c r="EA6" s="852" t="n"/>
      <c r="EB6" s="852" t="n"/>
      <c r="EC6" s="852" t="n"/>
      <c r="ED6" s="852" t="n"/>
      <c r="EE6" s="852" t="n"/>
      <c r="EF6" s="852" t="n"/>
      <c r="EG6" s="852" t="n"/>
      <c r="EH6" s="852" t="n"/>
      <c r="EI6" s="852" t="n"/>
      <c r="EJ6" s="852" t="n"/>
      <c r="EK6" s="852" t="n"/>
      <c r="EL6" s="852" t="n"/>
      <c r="EM6" s="852" t="n"/>
      <c r="EN6" s="852" t="n"/>
      <c r="EO6" s="852" t="n"/>
      <c r="EP6" s="852" t="n"/>
      <c r="EQ6" s="852" t="n"/>
      <c r="ER6" s="852" t="n"/>
      <c r="ES6" s="852" t="n"/>
      <c r="ET6" s="852" t="n"/>
      <c r="EU6" s="852" t="n"/>
      <c r="EV6" s="852" t="n"/>
      <c r="EW6" s="852" t="n"/>
      <c r="EX6" s="852" t="n"/>
      <c r="EY6" s="852" t="n"/>
      <c r="EZ6" s="852" t="n"/>
      <c r="FA6" s="852" t="n"/>
      <c r="FB6" s="852" t="n"/>
      <c r="FC6" s="852" t="n"/>
      <c r="FD6" s="852" t="n"/>
      <c r="FE6" s="852" t="n"/>
      <c r="FF6" s="852" t="n"/>
      <c r="FG6" s="852" t="n"/>
      <c r="FH6" s="852" t="n"/>
      <c r="FI6" s="852" t="n"/>
      <c r="FJ6" s="852" t="n"/>
      <c r="FK6" s="852" t="n"/>
      <c r="FL6" s="852" t="n"/>
      <c r="FM6" s="852" t="n"/>
      <c r="FN6" s="852" t="n"/>
      <c r="FO6" s="852" t="n"/>
      <c r="FP6" s="852" t="n"/>
      <c r="FQ6" s="852" t="n"/>
      <c r="FR6" s="852" t="n"/>
      <c r="FS6" s="852" t="n"/>
      <c r="FT6" s="852" t="n"/>
      <c r="FU6" s="852" t="n"/>
      <c r="FV6" s="852" t="n"/>
      <c r="FW6" s="852" t="n"/>
      <c r="FX6" s="852" t="n"/>
      <c r="FY6" s="852" t="n"/>
      <c r="FZ6" s="852" t="n"/>
      <c r="GA6" s="852" t="n"/>
      <c r="GB6" s="852" t="n"/>
      <c r="GC6" s="852" t="n"/>
      <c r="GD6" s="852" t="n"/>
      <c r="GE6" s="852" t="n"/>
      <c r="GF6" s="852" t="n"/>
      <c r="GG6" s="852" t="n"/>
      <c r="GH6" s="852" t="n"/>
      <c r="GI6" s="852" t="n"/>
      <c r="GJ6" s="852" t="n"/>
      <c r="GK6" s="852" t="n"/>
      <c r="GL6" s="852" t="n"/>
      <c r="GM6" s="852" t="n"/>
      <c r="GN6" s="852" t="n"/>
      <c r="GO6" s="852" t="n"/>
      <c r="GP6" s="852" t="n"/>
      <c r="GQ6" s="852" t="n"/>
      <c r="GR6" s="852" t="n"/>
      <c r="GS6" s="852" t="n"/>
      <c r="GT6" s="852" t="n"/>
      <c r="GU6" s="852" t="n"/>
      <c r="GV6" s="852" t="n"/>
      <c r="GW6" s="852" t="n"/>
      <c r="GX6" s="852" t="n"/>
      <c r="GY6" s="852" t="n"/>
      <c r="GZ6" s="852" t="n"/>
      <c r="HA6" s="852" t="n"/>
      <c r="HB6" s="852" t="n"/>
      <c r="HC6" s="852" t="n"/>
      <c r="HD6" s="852" t="n"/>
      <c r="HE6" s="852" t="n"/>
      <c r="HF6" s="852" t="n"/>
      <c r="HG6" s="852" t="n"/>
      <c r="HH6" s="852" t="n"/>
      <c r="HI6" s="852" t="n"/>
      <c r="HJ6" s="852" t="n"/>
      <c r="HK6" s="852" t="n"/>
      <c r="HL6" s="852" t="n"/>
      <c r="HM6" s="852" t="n"/>
      <c r="HN6" s="852" t="n"/>
      <c r="HO6" s="852" t="n"/>
      <c r="HP6" s="852" t="n"/>
      <c r="HQ6" s="852" t="n"/>
      <c r="HR6" s="852" t="n"/>
      <c r="HS6" s="852" t="n"/>
      <c r="HT6" s="852" t="n"/>
      <c r="HU6" s="852" t="n"/>
      <c r="HV6" s="852" t="n"/>
      <c r="HW6" s="852" t="n"/>
      <c r="HX6" s="852" t="n"/>
      <c r="HY6" s="852" t="n"/>
      <c r="HZ6" s="852" t="n"/>
      <c r="IA6" s="852" t="n"/>
      <c r="IB6" s="852" t="n"/>
      <c r="IC6" s="852" t="n"/>
      <c r="ID6" s="852" t="n"/>
      <c r="IE6" s="852" t="n"/>
      <c r="IF6" s="852" t="n"/>
      <c r="IG6" s="852" t="n"/>
    </row>
    <row r="7" ht="16.5" customHeight="1">
      <c r="A7" s="186" t="n"/>
      <c r="B7" s="186" t="inlineStr">
        <is>
          <t>Fixed or Floating</t>
        </is>
      </c>
      <c r="C7" s="197" t="inlineStr">
        <is>
          <t>Fixed</t>
        </is>
      </c>
      <c r="D7" s="186" t="n"/>
      <c r="E7" s="186" t="n"/>
      <c r="F7" s="213" t="n">
        <v>1</v>
      </c>
      <c r="G7" s="214">
        <f>$C$39</f>
        <v/>
      </c>
      <c r="H7" s="214">
        <f>(C31*C16)/12</f>
        <v/>
      </c>
      <c r="I7" s="214" t="n">
        <v>0</v>
      </c>
      <c r="J7" s="214">
        <f>C31-I7</f>
        <v/>
      </c>
      <c r="K7" s="186" t="n"/>
      <c r="L7" s="176" t="inlineStr">
        <is>
          <t>Principal</t>
        </is>
      </c>
      <c r="M7" s="841">
        <f>SUM(I7:I18)</f>
        <v/>
      </c>
      <c r="N7" s="841">
        <f>SUM(I19:I30)</f>
        <v/>
      </c>
      <c r="O7" s="841">
        <f>SUM(I31:I42)</f>
        <v/>
      </c>
      <c r="P7" s="841">
        <f>SUM(I43:I54)</f>
        <v/>
      </c>
      <c r="Q7" s="841">
        <f>SUM(I55:I66)</f>
        <v/>
      </c>
      <c r="R7" s="841">
        <f>SUM(I67:I78)</f>
        <v/>
      </c>
      <c r="S7" s="841">
        <f>SUM(I79:I90)</f>
        <v/>
      </c>
      <c r="T7" s="841">
        <f>SUM(I91:I102)</f>
        <v/>
      </c>
      <c r="U7" s="841">
        <f>SUM(I103:I114)</f>
        <v/>
      </c>
      <c r="V7" s="841">
        <f>SUM(I115:I126)</f>
        <v/>
      </c>
      <c r="W7" s="842">
        <f>SUM(M7:V7)</f>
        <v/>
      </c>
      <c r="X7" s="946" t="n"/>
      <c r="Y7" s="946" t="n"/>
      <c r="Z7" s="946" t="n"/>
      <c r="AA7" s="946" t="n"/>
      <c r="AB7" s="946" t="n"/>
      <c r="AC7" s="852" t="n"/>
      <c r="AD7" s="852" t="n"/>
      <c r="AE7" s="852" t="n"/>
      <c r="AF7" s="852" t="n"/>
      <c r="AG7" s="852" t="n"/>
      <c r="AH7" s="852" t="n"/>
      <c r="AI7" s="852" t="n"/>
      <c r="AJ7" s="852" t="n"/>
      <c r="AK7" s="852" t="n"/>
      <c r="AL7" s="852" t="n"/>
      <c r="AM7" s="852" t="n"/>
      <c r="AN7" s="852" t="n"/>
      <c r="AO7" s="852" t="n"/>
      <c r="AP7" s="852" t="n"/>
      <c r="AQ7" s="852" t="n"/>
      <c r="AR7" s="852" t="n"/>
      <c r="AS7" s="852" t="n"/>
      <c r="AT7" s="852" t="n"/>
      <c r="AU7" s="852" t="n"/>
      <c r="AV7" s="852" t="n"/>
      <c r="AW7" s="852" t="n"/>
      <c r="AX7" s="852" t="n"/>
      <c r="AY7" s="852" t="n"/>
      <c r="AZ7" s="852" t="n"/>
      <c r="BA7" s="852" t="n"/>
      <c r="BB7" s="852" t="n"/>
      <c r="BC7" s="852" t="n"/>
      <c r="BD7" s="852" t="n"/>
      <c r="BE7" s="852" t="n"/>
      <c r="BF7" s="852" t="n"/>
      <c r="BG7" s="852" t="n"/>
      <c r="BH7" s="852" t="n"/>
      <c r="BI7" s="852" t="n"/>
      <c r="BJ7" s="852" t="n"/>
      <c r="BK7" s="852" t="n"/>
      <c r="BL7" s="852" t="n"/>
      <c r="BM7" s="852" t="n"/>
      <c r="BN7" s="852" t="n"/>
      <c r="BO7" s="852" t="n"/>
      <c r="BP7" s="852" t="n"/>
      <c r="BQ7" s="852" t="n"/>
      <c r="BR7" s="852" t="n"/>
      <c r="BS7" s="852" t="n"/>
      <c r="BT7" s="852" t="n"/>
      <c r="BU7" s="852" t="n"/>
      <c r="BV7" s="852" t="n"/>
      <c r="BW7" s="852" t="n"/>
      <c r="BX7" s="852" t="n"/>
      <c r="BY7" s="852" t="n"/>
      <c r="BZ7" s="852" t="n"/>
      <c r="CA7" s="852" t="n"/>
      <c r="CB7" s="852" t="n"/>
      <c r="CC7" s="852" t="n"/>
      <c r="CD7" s="852" t="n"/>
      <c r="CE7" s="852" t="n"/>
      <c r="CF7" s="852" t="n"/>
      <c r="CG7" s="852" t="n"/>
      <c r="CH7" s="852" t="n"/>
      <c r="CI7" s="852" t="n"/>
      <c r="CJ7" s="852" t="n"/>
      <c r="CK7" s="852" t="n"/>
      <c r="CL7" s="852" t="n"/>
      <c r="CM7" s="852" t="n"/>
      <c r="CN7" s="852" t="n"/>
      <c r="CO7" s="852" t="n"/>
      <c r="CP7" s="852" t="n"/>
      <c r="CQ7" s="852" t="n"/>
      <c r="CR7" s="852" t="n"/>
      <c r="CS7" s="852" t="n"/>
      <c r="CT7" s="852" t="n"/>
      <c r="CU7" s="852" t="n"/>
      <c r="CV7" s="852" t="n"/>
      <c r="CW7" s="852" t="n"/>
      <c r="CX7" s="852" t="n"/>
      <c r="CY7" s="852" t="n"/>
      <c r="CZ7" s="852" t="n"/>
      <c r="DA7" s="852" t="n"/>
      <c r="DB7" s="852" t="n"/>
      <c r="DC7" s="852" t="n"/>
      <c r="DD7" s="852" t="n"/>
      <c r="DE7" s="852" t="n"/>
      <c r="DF7" s="852" t="n"/>
      <c r="DG7" s="852" t="n"/>
      <c r="DH7" s="852" t="n"/>
      <c r="DI7" s="852" t="n"/>
      <c r="DJ7" s="852" t="n"/>
      <c r="DK7" s="852" t="n"/>
      <c r="DL7" s="852" t="n"/>
      <c r="DM7" s="852" t="n"/>
      <c r="DN7" s="852" t="n"/>
      <c r="DO7" s="852" t="n"/>
      <c r="DP7" s="852" t="n"/>
      <c r="DQ7" s="852" t="n"/>
      <c r="DR7" s="852" t="n"/>
      <c r="DS7" s="852" t="n"/>
      <c r="DT7" s="852" t="n"/>
      <c r="DU7" s="852" t="n"/>
      <c r="DV7" s="852" t="n"/>
      <c r="DW7" s="852" t="n"/>
      <c r="DX7" s="852" t="n"/>
      <c r="DY7" s="852" t="n"/>
      <c r="DZ7" s="852" t="n"/>
      <c r="EA7" s="852" t="n"/>
      <c r="EB7" s="852" t="n"/>
      <c r="EC7" s="852" t="n"/>
      <c r="ED7" s="852" t="n"/>
      <c r="EE7" s="852" t="n"/>
      <c r="EF7" s="852" t="n"/>
      <c r="EG7" s="852" t="n"/>
      <c r="EH7" s="852" t="n"/>
      <c r="EI7" s="852" t="n"/>
      <c r="EJ7" s="852" t="n"/>
      <c r="EK7" s="852" t="n"/>
      <c r="EL7" s="852" t="n"/>
      <c r="EM7" s="852" t="n"/>
      <c r="EN7" s="852" t="n"/>
      <c r="EO7" s="852" t="n"/>
      <c r="EP7" s="852" t="n"/>
      <c r="EQ7" s="852" t="n"/>
      <c r="ER7" s="852" t="n"/>
      <c r="ES7" s="852" t="n"/>
      <c r="ET7" s="852" t="n"/>
      <c r="EU7" s="852" t="n"/>
      <c r="EV7" s="852" t="n"/>
      <c r="EW7" s="852" t="n"/>
      <c r="EX7" s="852" t="n"/>
      <c r="EY7" s="852" t="n"/>
      <c r="EZ7" s="852" t="n"/>
      <c r="FA7" s="852" t="n"/>
      <c r="FB7" s="852" t="n"/>
      <c r="FC7" s="852" t="n"/>
      <c r="FD7" s="852" t="n"/>
      <c r="FE7" s="852" t="n"/>
      <c r="FF7" s="852" t="n"/>
      <c r="FG7" s="852" t="n"/>
      <c r="FH7" s="852" t="n"/>
      <c r="FI7" s="852" t="n"/>
      <c r="FJ7" s="852" t="n"/>
      <c r="FK7" s="852" t="n"/>
      <c r="FL7" s="852" t="n"/>
      <c r="FM7" s="852" t="n"/>
      <c r="FN7" s="852" t="n"/>
      <c r="FO7" s="852" t="n"/>
      <c r="FP7" s="852" t="n"/>
      <c r="FQ7" s="852" t="n"/>
      <c r="FR7" s="852" t="n"/>
      <c r="FS7" s="852" t="n"/>
      <c r="FT7" s="852" t="n"/>
      <c r="FU7" s="852" t="n"/>
      <c r="FV7" s="852" t="n"/>
      <c r="FW7" s="852" t="n"/>
      <c r="FX7" s="852" t="n"/>
      <c r="FY7" s="852" t="n"/>
      <c r="FZ7" s="852" t="n"/>
      <c r="GA7" s="852" t="n"/>
      <c r="GB7" s="852" t="n"/>
      <c r="GC7" s="852" t="n"/>
      <c r="GD7" s="852" t="n"/>
      <c r="GE7" s="852" t="n"/>
      <c r="GF7" s="852" t="n"/>
      <c r="GG7" s="852" t="n"/>
      <c r="GH7" s="852" t="n"/>
      <c r="GI7" s="852" t="n"/>
      <c r="GJ7" s="852" t="n"/>
      <c r="GK7" s="852" t="n"/>
      <c r="GL7" s="852" t="n"/>
      <c r="GM7" s="852" t="n"/>
      <c r="GN7" s="852" t="n"/>
      <c r="GO7" s="852" t="n"/>
      <c r="GP7" s="852" t="n"/>
      <c r="GQ7" s="852" t="n"/>
      <c r="GR7" s="852" t="n"/>
      <c r="GS7" s="852" t="n"/>
      <c r="GT7" s="852" t="n"/>
      <c r="GU7" s="852" t="n"/>
      <c r="GV7" s="852" t="n"/>
      <c r="GW7" s="852" t="n"/>
      <c r="GX7" s="852" t="n"/>
      <c r="GY7" s="852" t="n"/>
      <c r="GZ7" s="852" t="n"/>
      <c r="HA7" s="852" t="n"/>
      <c r="HB7" s="852" t="n"/>
      <c r="HC7" s="852" t="n"/>
      <c r="HD7" s="852" t="n"/>
      <c r="HE7" s="852" t="n"/>
      <c r="HF7" s="852" t="n"/>
      <c r="HG7" s="852" t="n"/>
      <c r="HH7" s="852" t="n"/>
      <c r="HI7" s="852" t="n"/>
      <c r="HJ7" s="852" t="n"/>
      <c r="HK7" s="852" t="n"/>
      <c r="HL7" s="852" t="n"/>
      <c r="HM7" s="852" t="n"/>
      <c r="HN7" s="852" t="n"/>
      <c r="HO7" s="852" t="n"/>
      <c r="HP7" s="852" t="n"/>
      <c r="HQ7" s="852" t="n"/>
      <c r="HR7" s="852" t="n"/>
      <c r="HS7" s="852" t="n"/>
      <c r="HT7" s="852" t="n"/>
      <c r="HU7" s="852" t="n"/>
      <c r="HV7" s="852" t="n"/>
      <c r="HW7" s="852" t="n"/>
      <c r="HX7" s="852" t="n"/>
      <c r="HY7" s="852" t="n"/>
      <c r="HZ7" s="852" t="n"/>
      <c r="IA7" s="852" t="n"/>
      <c r="IB7" s="852" t="n"/>
      <c r="IC7" s="852" t="n"/>
      <c r="ID7" s="852" t="n"/>
      <c r="IE7" s="852" t="n"/>
      <c r="IF7" s="852" t="n"/>
      <c r="IG7" s="852" t="n"/>
    </row>
    <row r="8" ht="16.5" customHeight="1">
      <c r="A8" s="186" t="n"/>
      <c r="B8" s="186" t="inlineStr">
        <is>
          <t>Term (months)</t>
        </is>
      </c>
      <c r="C8" s="197" t="n">
        <v>120</v>
      </c>
      <c r="D8" s="186" t="n"/>
      <c r="E8" s="186" t="n"/>
      <c r="F8" s="213" t="n">
        <v>2</v>
      </c>
      <c r="G8" s="214">
        <f>$C$39</f>
        <v/>
      </c>
      <c r="H8" s="214">
        <f>(J7*$C$16)/12</f>
        <v/>
      </c>
      <c r="I8" s="214" t="n">
        <v>0</v>
      </c>
      <c r="J8" s="214">
        <f>J7-I8</f>
        <v/>
      </c>
      <c r="K8" s="190" t="n"/>
      <c r="L8" s="176" t="inlineStr">
        <is>
          <t>Interest</t>
        </is>
      </c>
      <c r="M8" s="841">
        <f>SUM(H7:H18)</f>
        <v/>
      </c>
      <c r="N8" s="841">
        <f>SUM(H19:H30)</f>
        <v/>
      </c>
      <c r="O8" s="841">
        <f>SUM(H31:H42)</f>
        <v/>
      </c>
      <c r="P8" s="841">
        <f>SUM(H43:H54)</f>
        <v/>
      </c>
      <c r="Q8" s="841">
        <f>SUM(H55:H66)</f>
        <v/>
      </c>
      <c r="R8" s="841">
        <f>SUM(H67:H78)</f>
        <v/>
      </c>
      <c r="S8" s="841">
        <f>SUM(H79:H90)</f>
        <v/>
      </c>
      <c r="T8" s="841">
        <f>SUM(H91:H102)</f>
        <v/>
      </c>
      <c r="U8" s="841">
        <f>SUM(H103:H114)</f>
        <v/>
      </c>
      <c r="V8" s="841">
        <f>SUM(H115:H126)</f>
        <v/>
      </c>
      <c r="W8" s="842">
        <f>SUM(M8:V8)</f>
        <v/>
      </c>
      <c r="X8" s="946" t="n"/>
      <c r="Y8" s="946" t="n"/>
      <c r="Z8" s="946" t="n"/>
      <c r="AA8" s="946" t="n"/>
      <c r="AB8" s="946" t="n"/>
      <c r="AC8" s="852" t="n"/>
      <c r="AD8" s="852" t="n"/>
      <c r="AE8" s="852" t="n"/>
      <c r="AF8" s="852" t="n"/>
      <c r="AG8" s="852" t="n"/>
      <c r="AH8" s="852" t="n"/>
      <c r="AI8" s="852" t="n"/>
      <c r="AJ8" s="852" t="n"/>
      <c r="AK8" s="852" t="n"/>
      <c r="AL8" s="852" t="n"/>
      <c r="AM8" s="852" t="n"/>
      <c r="AN8" s="852" t="n"/>
      <c r="AO8" s="852" t="n"/>
      <c r="AP8" s="852" t="n"/>
      <c r="AQ8" s="852" t="n"/>
      <c r="AR8" s="852" t="n"/>
      <c r="AS8" s="852" t="n"/>
      <c r="AT8" s="852" t="n"/>
      <c r="AU8" s="852" t="n"/>
      <c r="AV8" s="852" t="n"/>
      <c r="AW8" s="852" t="n"/>
      <c r="AX8" s="852" t="n"/>
      <c r="AY8" s="852" t="n"/>
      <c r="AZ8" s="852" t="n"/>
      <c r="BA8" s="852" t="n"/>
      <c r="BB8" s="852" t="n"/>
      <c r="BC8" s="852" t="n"/>
      <c r="BD8" s="852" t="n"/>
      <c r="BE8" s="852" t="n"/>
      <c r="BF8" s="852" t="n"/>
      <c r="BG8" s="852" t="n"/>
      <c r="BH8" s="852" t="n"/>
      <c r="BI8" s="852" t="n"/>
      <c r="BJ8" s="852" t="n"/>
      <c r="BK8" s="852" t="n"/>
      <c r="BL8" s="852" t="n"/>
      <c r="BM8" s="852" t="n"/>
      <c r="BN8" s="852" t="n"/>
      <c r="BO8" s="852" t="n"/>
      <c r="BP8" s="852" t="n"/>
      <c r="BQ8" s="852" t="n"/>
      <c r="BR8" s="852" t="n"/>
      <c r="BS8" s="852" t="n"/>
      <c r="BT8" s="852" t="n"/>
      <c r="BU8" s="852" t="n"/>
      <c r="BV8" s="852" t="n"/>
      <c r="BW8" s="852" t="n"/>
      <c r="BX8" s="852" t="n"/>
      <c r="BY8" s="852" t="n"/>
      <c r="BZ8" s="852" t="n"/>
      <c r="CA8" s="852" t="n"/>
      <c r="CB8" s="852" t="n"/>
      <c r="CC8" s="852" t="n"/>
      <c r="CD8" s="852" t="n"/>
      <c r="CE8" s="852" t="n"/>
      <c r="CF8" s="852" t="n"/>
      <c r="CG8" s="852" t="n"/>
      <c r="CH8" s="852" t="n"/>
      <c r="CI8" s="852" t="n"/>
      <c r="CJ8" s="852" t="n"/>
      <c r="CK8" s="852" t="n"/>
      <c r="CL8" s="852" t="n"/>
      <c r="CM8" s="852" t="n"/>
      <c r="CN8" s="852" t="n"/>
      <c r="CO8" s="852" t="n"/>
      <c r="CP8" s="852" t="n"/>
      <c r="CQ8" s="852" t="n"/>
      <c r="CR8" s="852" t="n"/>
      <c r="CS8" s="852" t="n"/>
      <c r="CT8" s="852" t="n"/>
      <c r="CU8" s="852" t="n"/>
      <c r="CV8" s="852" t="n"/>
      <c r="CW8" s="852" t="n"/>
      <c r="CX8" s="852" t="n"/>
      <c r="CY8" s="852" t="n"/>
      <c r="CZ8" s="852" t="n"/>
      <c r="DA8" s="852" t="n"/>
      <c r="DB8" s="852" t="n"/>
      <c r="DC8" s="852" t="n"/>
      <c r="DD8" s="852" t="n"/>
      <c r="DE8" s="852" t="n"/>
      <c r="DF8" s="852" t="n"/>
      <c r="DG8" s="852" t="n"/>
      <c r="DH8" s="852" t="n"/>
      <c r="DI8" s="852" t="n"/>
      <c r="DJ8" s="852" t="n"/>
      <c r="DK8" s="852" t="n"/>
      <c r="DL8" s="852" t="n"/>
      <c r="DM8" s="852" t="n"/>
      <c r="DN8" s="852" t="n"/>
      <c r="DO8" s="852" t="n"/>
      <c r="DP8" s="852" t="n"/>
      <c r="DQ8" s="852" t="n"/>
      <c r="DR8" s="852" t="n"/>
      <c r="DS8" s="852" t="n"/>
      <c r="DT8" s="852" t="n"/>
      <c r="DU8" s="852" t="n"/>
      <c r="DV8" s="852" t="n"/>
      <c r="DW8" s="852" t="n"/>
      <c r="DX8" s="852" t="n"/>
      <c r="DY8" s="852" t="n"/>
      <c r="DZ8" s="852" t="n"/>
      <c r="EA8" s="852" t="n"/>
      <c r="EB8" s="852" t="n"/>
      <c r="EC8" s="852" t="n"/>
      <c r="ED8" s="852" t="n"/>
      <c r="EE8" s="852" t="n"/>
      <c r="EF8" s="852" t="n"/>
      <c r="EG8" s="852" t="n"/>
      <c r="EH8" s="852" t="n"/>
      <c r="EI8" s="852" t="n"/>
      <c r="EJ8" s="852" t="n"/>
      <c r="EK8" s="852" t="n"/>
      <c r="EL8" s="852" t="n"/>
      <c r="EM8" s="852" t="n"/>
      <c r="EN8" s="852" t="n"/>
      <c r="EO8" s="852" t="n"/>
      <c r="EP8" s="852" t="n"/>
      <c r="EQ8" s="852" t="n"/>
      <c r="ER8" s="852" t="n"/>
      <c r="ES8" s="852" t="n"/>
      <c r="ET8" s="852" t="n"/>
      <c r="EU8" s="852" t="n"/>
      <c r="EV8" s="852" t="n"/>
      <c r="EW8" s="852" t="n"/>
      <c r="EX8" s="852" t="n"/>
      <c r="EY8" s="852" t="n"/>
      <c r="EZ8" s="852" t="n"/>
      <c r="FA8" s="852" t="n"/>
      <c r="FB8" s="852" t="n"/>
      <c r="FC8" s="852" t="n"/>
      <c r="FD8" s="852" t="n"/>
      <c r="FE8" s="852" t="n"/>
      <c r="FF8" s="852" t="n"/>
      <c r="FG8" s="852" t="n"/>
      <c r="FH8" s="852" t="n"/>
      <c r="FI8" s="852" t="n"/>
      <c r="FJ8" s="852" t="n"/>
      <c r="FK8" s="852" t="n"/>
      <c r="FL8" s="852" t="n"/>
      <c r="FM8" s="852" t="n"/>
      <c r="FN8" s="852" t="n"/>
      <c r="FO8" s="852" t="n"/>
      <c r="FP8" s="852" t="n"/>
      <c r="FQ8" s="852" t="n"/>
      <c r="FR8" s="852" t="n"/>
      <c r="FS8" s="852" t="n"/>
      <c r="FT8" s="852" t="n"/>
      <c r="FU8" s="852" t="n"/>
      <c r="FV8" s="852" t="n"/>
      <c r="FW8" s="852" t="n"/>
      <c r="FX8" s="852" t="n"/>
      <c r="FY8" s="852" t="n"/>
      <c r="FZ8" s="852" t="n"/>
      <c r="GA8" s="852" t="n"/>
      <c r="GB8" s="852" t="n"/>
      <c r="GC8" s="852" t="n"/>
      <c r="GD8" s="852" t="n"/>
      <c r="GE8" s="852" t="n"/>
      <c r="GF8" s="852" t="n"/>
      <c r="GG8" s="852" t="n"/>
      <c r="GH8" s="852" t="n"/>
      <c r="GI8" s="852" t="n"/>
      <c r="GJ8" s="852" t="n"/>
      <c r="GK8" s="852" t="n"/>
      <c r="GL8" s="852" t="n"/>
      <c r="GM8" s="852" t="n"/>
      <c r="GN8" s="852" t="n"/>
      <c r="GO8" s="852" t="n"/>
      <c r="GP8" s="852" t="n"/>
      <c r="GQ8" s="852" t="n"/>
      <c r="GR8" s="852" t="n"/>
      <c r="GS8" s="852" t="n"/>
      <c r="GT8" s="852" t="n"/>
      <c r="GU8" s="852" t="n"/>
      <c r="GV8" s="852" t="n"/>
      <c r="GW8" s="852" t="n"/>
      <c r="GX8" s="852" t="n"/>
      <c r="GY8" s="852" t="n"/>
      <c r="GZ8" s="852" t="n"/>
      <c r="HA8" s="852" t="n"/>
      <c r="HB8" s="852" t="n"/>
      <c r="HC8" s="852" t="n"/>
      <c r="HD8" s="852" t="n"/>
      <c r="HE8" s="852" t="n"/>
      <c r="HF8" s="852" t="n"/>
      <c r="HG8" s="852" t="n"/>
      <c r="HH8" s="852" t="n"/>
      <c r="HI8" s="852" t="n"/>
      <c r="HJ8" s="852" t="n"/>
      <c r="HK8" s="852" t="n"/>
      <c r="HL8" s="852" t="n"/>
      <c r="HM8" s="852" t="n"/>
      <c r="HN8" s="852" t="n"/>
      <c r="HO8" s="852" t="n"/>
      <c r="HP8" s="852" t="n"/>
      <c r="HQ8" s="852" t="n"/>
      <c r="HR8" s="852" t="n"/>
      <c r="HS8" s="852" t="n"/>
      <c r="HT8" s="852" t="n"/>
      <c r="HU8" s="852" t="n"/>
      <c r="HV8" s="852" t="n"/>
      <c r="HW8" s="852" t="n"/>
      <c r="HX8" s="852" t="n"/>
      <c r="HY8" s="852" t="n"/>
      <c r="HZ8" s="852" t="n"/>
      <c r="IA8" s="852" t="n"/>
      <c r="IB8" s="852" t="n"/>
      <c r="IC8" s="852" t="n"/>
      <c r="ID8" s="852" t="n"/>
      <c r="IE8" s="852" t="n"/>
      <c r="IF8" s="852" t="n"/>
      <c r="IG8" s="852" t="n"/>
    </row>
    <row r="9" ht="16.5" customHeight="1">
      <c r="A9" s="186" t="n"/>
      <c r="B9" s="186" t="inlineStr">
        <is>
          <t>IO Period (months)</t>
        </is>
      </c>
      <c r="C9" s="197" t="n">
        <v>24</v>
      </c>
      <c r="D9" s="186" t="n"/>
      <c r="E9" s="186" t="n"/>
      <c r="F9" s="213" t="n">
        <v>3</v>
      </c>
      <c r="G9" s="214">
        <f>$C$39</f>
        <v/>
      </c>
      <c r="H9" s="214">
        <f>(J8*$C$16)/12</f>
        <v/>
      </c>
      <c r="I9" s="214" t="n">
        <v>0</v>
      </c>
      <c r="J9" s="214">
        <f>J8-I9</f>
        <v/>
      </c>
      <c r="K9" s="191" t="n"/>
      <c r="L9" s="176" t="inlineStr">
        <is>
          <t>Payoff</t>
        </is>
      </c>
      <c r="M9" s="843" t="n"/>
      <c r="N9" s="843" t="n"/>
      <c r="O9" s="843" t="n"/>
      <c r="P9" s="843" t="n"/>
      <c r="Q9" s="844" t="n"/>
      <c r="R9" s="844" t="n"/>
      <c r="S9" s="844" t="n"/>
      <c r="T9" s="844" t="n"/>
      <c r="U9" s="844" t="n"/>
      <c r="V9" s="844" t="n">
        <v>0</v>
      </c>
      <c r="W9" s="842">
        <f>SUM(M9:V9)</f>
        <v/>
      </c>
      <c r="X9" s="946" t="n"/>
      <c r="Y9" s="946" t="n"/>
      <c r="Z9" s="946" t="n"/>
      <c r="AA9" s="946" t="n"/>
      <c r="AB9" s="946" t="n"/>
      <c r="AC9" s="852" t="n"/>
      <c r="AD9" s="852" t="n"/>
      <c r="AE9" s="852" t="n"/>
      <c r="AF9" s="852" t="n"/>
      <c r="AG9" s="852" t="n"/>
      <c r="AH9" s="852" t="n"/>
      <c r="AI9" s="852" t="n"/>
      <c r="AJ9" s="852" t="n"/>
      <c r="AK9" s="852" t="n"/>
      <c r="AL9" s="852" t="n"/>
      <c r="AM9" s="852" t="n"/>
      <c r="AN9" s="852" t="n"/>
      <c r="AO9" s="852" t="n"/>
      <c r="AP9" s="852" t="n"/>
      <c r="AQ9" s="852" t="n"/>
      <c r="AR9" s="852" t="n"/>
      <c r="AS9" s="852" t="n"/>
      <c r="AT9" s="852" t="n"/>
      <c r="AU9" s="852" t="n"/>
      <c r="AV9" s="852" t="n"/>
      <c r="AW9" s="852" t="n"/>
      <c r="AX9" s="852" t="n"/>
      <c r="AY9" s="852" t="n"/>
      <c r="AZ9" s="852" t="n"/>
      <c r="BA9" s="852" t="n"/>
      <c r="BB9" s="852" t="n"/>
      <c r="BC9" s="852" t="n"/>
      <c r="BD9" s="852" t="n"/>
      <c r="BE9" s="852" t="n"/>
      <c r="BF9" s="852" t="n"/>
      <c r="BG9" s="852" t="n"/>
      <c r="BH9" s="852" t="n"/>
      <c r="BI9" s="852" t="n"/>
      <c r="BJ9" s="852" t="n"/>
      <c r="BK9" s="852" t="n"/>
      <c r="BL9" s="852" t="n"/>
      <c r="BM9" s="852" t="n"/>
      <c r="BN9" s="852" t="n"/>
      <c r="BO9" s="852" t="n"/>
      <c r="BP9" s="852" t="n"/>
      <c r="BQ9" s="852" t="n"/>
      <c r="BR9" s="852" t="n"/>
      <c r="BS9" s="852" t="n"/>
      <c r="BT9" s="852" t="n"/>
      <c r="BU9" s="852" t="n"/>
      <c r="BV9" s="852" t="n"/>
      <c r="BW9" s="852" t="n"/>
      <c r="BX9" s="852" t="n"/>
      <c r="BY9" s="852" t="n"/>
      <c r="BZ9" s="852" t="n"/>
      <c r="CA9" s="852" t="n"/>
      <c r="CB9" s="852" t="n"/>
      <c r="CC9" s="852" t="n"/>
      <c r="CD9" s="852" t="n"/>
      <c r="CE9" s="852" t="n"/>
      <c r="CF9" s="852" t="n"/>
      <c r="CG9" s="852" t="n"/>
      <c r="CH9" s="852" t="n"/>
      <c r="CI9" s="852" t="n"/>
      <c r="CJ9" s="852" t="n"/>
      <c r="CK9" s="852" t="n"/>
      <c r="CL9" s="852" t="n"/>
      <c r="CM9" s="852" t="n"/>
      <c r="CN9" s="852" t="n"/>
      <c r="CO9" s="852" t="n"/>
      <c r="CP9" s="852" t="n"/>
      <c r="CQ9" s="852" t="n"/>
      <c r="CR9" s="852" t="n"/>
      <c r="CS9" s="852" t="n"/>
      <c r="CT9" s="852" t="n"/>
      <c r="CU9" s="852" t="n"/>
      <c r="CV9" s="852" t="n"/>
      <c r="CW9" s="852" t="n"/>
      <c r="CX9" s="852" t="n"/>
      <c r="CY9" s="852" t="n"/>
      <c r="CZ9" s="852" t="n"/>
      <c r="DA9" s="852" t="n"/>
      <c r="DB9" s="852" t="n"/>
      <c r="DC9" s="852" t="n"/>
      <c r="DD9" s="852" t="n"/>
      <c r="DE9" s="852" t="n"/>
      <c r="DF9" s="852" t="n"/>
      <c r="DG9" s="852" t="n"/>
      <c r="DH9" s="852" t="n"/>
      <c r="DI9" s="852" t="n"/>
      <c r="DJ9" s="852" t="n"/>
      <c r="DK9" s="852" t="n"/>
      <c r="DL9" s="852" t="n"/>
      <c r="DM9" s="852" t="n"/>
      <c r="DN9" s="852" t="n"/>
      <c r="DO9" s="852" t="n"/>
      <c r="DP9" s="852" t="n"/>
      <c r="DQ9" s="852" t="n"/>
      <c r="DR9" s="852" t="n"/>
      <c r="DS9" s="852" t="n"/>
      <c r="DT9" s="852" t="n"/>
      <c r="DU9" s="852" t="n"/>
      <c r="DV9" s="852" t="n"/>
      <c r="DW9" s="852" t="n"/>
      <c r="DX9" s="852" t="n"/>
      <c r="DY9" s="852" t="n"/>
      <c r="DZ9" s="852" t="n"/>
      <c r="EA9" s="852" t="n"/>
      <c r="EB9" s="852" t="n"/>
      <c r="EC9" s="852" t="n"/>
      <c r="ED9" s="852" t="n"/>
      <c r="EE9" s="852" t="n"/>
      <c r="EF9" s="852" t="n"/>
      <c r="EG9" s="852" t="n"/>
      <c r="EH9" s="852" t="n"/>
      <c r="EI9" s="852" t="n"/>
      <c r="EJ9" s="852" t="n"/>
      <c r="EK9" s="852" t="n"/>
      <c r="EL9" s="852" t="n"/>
      <c r="EM9" s="852" t="n"/>
      <c r="EN9" s="852" t="n"/>
      <c r="EO9" s="852" t="n"/>
      <c r="EP9" s="852" t="n"/>
      <c r="EQ9" s="852" t="n"/>
      <c r="ER9" s="852" t="n"/>
      <c r="ES9" s="852" t="n"/>
      <c r="ET9" s="852" t="n"/>
      <c r="EU9" s="852" t="n"/>
      <c r="EV9" s="852" t="n"/>
      <c r="EW9" s="852" t="n"/>
      <c r="EX9" s="852" t="n"/>
      <c r="EY9" s="852" t="n"/>
      <c r="EZ9" s="852" t="n"/>
      <c r="FA9" s="852" t="n"/>
      <c r="FB9" s="852" t="n"/>
      <c r="FC9" s="852" t="n"/>
      <c r="FD9" s="852" t="n"/>
      <c r="FE9" s="852" t="n"/>
      <c r="FF9" s="852" t="n"/>
      <c r="FG9" s="852" t="n"/>
      <c r="FH9" s="852" t="n"/>
      <c r="FI9" s="852" t="n"/>
      <c r="FJ9" s="852" t="n"/>
      <c r="FK9" s="852" t="n"/>
      <c r="FL9" s="852" t="n"/>
      <c r="FM9" s="852" t="n"/>
      <c r="FN9" s="852" t="n"/>
      <c r="FO9" s="852" t="n"/>
      <c r="FP9" s="852" t="n"/>
      <c r="FQ9" s="852" t="n"/>
      <c r="FR9" s="852" t="n"/>
      <c r="FS9" s="852" t="n"/>
      <c r="FT9" s="852" t="n"/>
      <c r="FU9" s="852" t="n"/>
      <c r="FV9" s="852" t="n"/>
      <c r="FW9" s="852" t="n"/>
      <c r="FX9" s="852" t="n"/>
      <c r="FY9" s="852" t="n"/>
      <c r="FZ9" s="852" t="n"/>
      <c r="GA9" s="852" t="n"/>
      <c r="GB9" s="852" t="n"/>
      <c r="GC9" s="852" t="n"/>
      <c r="GD9" s="852" t="n"/>
      <c r="GE9" s="852" t="n"/>
      <c r="GF9" s="852" t="n"/>
      <c r="GG9" s="852" t="n"/>
      <c r="GH9" s="852" t="n"/>
      <c r="GI9" s="852" t="n"/>
      <c r="GJ9" s="852" t="n"/>
      <c r="GK9" s="852" t="n"/>
      <c r="GL9" s="852" t="n"/>
      <c r="GM9" s="852" t="n"/>
      <c r="GN9" s="852" t="n"/>
      <c r="GO9" s="852" t="n"/>
      <c r="GP9" s="852" t="n"/>
      <c r="GQ9" s="852" t="n"/>
      <c r="GR9" s="852" t="n"/>
      <c r="GS9" s="852" t="n"/>
      <c r="GT9" s="852" t="n"/>
      <c r="GU9" s="852" t="n"/>
      <c r="GV9" s="852" t="n"/>
      <c r="GW9" s="852" t="n"/>
      <c r="GX9" s="852" t="n"/>
      <c r="GY9" s="852" t="n"/>
      <c r="GZ9" s="852" t="n"/>
      <c r="HA9" s="852" t="n"/>
      <c r="HB9" s="852" t="n"/>
      <c r="HC9" s="852" t="n"/>
      <c r="HD9" s="852" t="n"/>
      <c r="HE9" s="852" t="n"/>
      <c r="HF9" s="852" t="n"/>
      <c r="HG9" s="852" t="n"/>
      <c r="HH9" s="852" t="n"/>
      <c r="HI9" s="852" t="n"/>
      <c r="HJ9" s="852" t="n"/>
      <c r="HK9" s="852" t="n"/>
      <c r="HL9" s="852" t="n"/>
      <c r="HM9" s="852" t="n"/>
      <c r="HN9" s="852" t="n"/>
      <c r="HO9" s="852" t="n"/>
      <c r="HP9" s="852" t="n"/>
      <c r="HQ9" s="852" t="n"/>
      <c r="HR9" s="852" t="n"/>
      <c r="HS9" s="852" t="n"/>
      <c r="HT9" s="852" t="n"/>
      <c r="HU9" s="852" t="n"/>
      <c r="HV9" s="852" t="n"/>
      <c r="HW9" s="852" t="n"/>
      <c r="HX9" s="852" t="n"/>
      <c r="HY9" s="852" t="n"/>
      <c r="HZ9" s="852" t="n"/>
      <c r="IA9" s="852" t="n"/>
      <c r="IB9" s="852" t="n"/>
      <c r="IC9" s="852" t="n"/>
      <c r="ID9" s="852" t="n"/>
      <c r="IE9" s="852" t="n"/>
      <c r="IF9" s="852" t="n"/>
      <c r="IG9" s="852" t="n"/>
    </row>
    <row r="10" ht="16.5" customHeight="1">
      <c r="A10" s="186" t="n"/>
      <c r="B10" s="186" t="inlineStr">
        <is>
          <t>Amortization (months)</t>
        </is>
      </c>
      <c r="C10" s="197">
        <f>30*12</f>
        <v/>
      </c>
      <c r="D10" s="186" t="n"/>
      <c r="E10" s="186" t="n"/>
      <c r="F10" s="213" t="n">
        <v>4</v>
      </c>
      <c r="G10" s="214">
        <f>$C$39</f>
        <v/>
      </c>
      <c r="H10" s="214">
        <f>(J9*$C$16)/12</f>
        <v/>
      </c>
      <c r="I10" s="214" t="n">
        <v>0</v>
      </c>
      <c r="J10" s="214">
        <f>J9-I10</f>
        <v/>
      </c>
      <c r="K10" s="845" t="n"/>
      <c r="L10" s="183" t="inlineStr">
        <is>
          <t>Total</t>
        </is>
      </c>
      <c r="M10" s="846">
        <f>M7+M8+M9</f>
        <v/>
      </c>
      <c r="N10" s="846">
        <f>N7+N8+N9</f>
        <v/>
      </c>
      <c r="O10" s="846">
        <f>O7+O8+O9</f>
        <v/>
      </c>
      <c r="P10" s="846">
        <f>P7+P8+P9</f>
        <v/>
      </c>
      <c r="Q10" s="846">
        <f>Q7+Q8+Q9</f>
        <v/>
      </c>
      <c r="R10" s="846">
        <f>R7+R8+R9</f>
        <v/>
      </c>
      <c r="S10" s="846">
        <f>S7+S8+S9</f>
        <v/>
      </c>
      <c r="T10" s="846">
        <f>T7+T8+T9</f>
        <v/>
      </c>
      <c r="U10" s="846">
        <f>U7+U8+U9</f>
        <v/>
      </c>
      <c r="V10" s="846">
        <f>V7+V8+V9</f>
        <v/>
      </c>
      <c r="W10" s="847">
        <f>SUM(M10:V10)</f>
        <v/>
      </c>
      <c r="X10" s="946" t="n"/>
      <c r="Y10" s="946" t="n"/>
      <c r="Z10" s="946" t="n"/>
      <c r="AA10" s="946" t="n"/>
      <c r="AB10" s="946" t="n"/>
      <c r="AC10" s="852" t="n"/>
      <c r="AD10" s="852" t="n"/>
      <c r="AE10" s="852" t="n"/>
      <c r="AF10" s="852" t="n"/>
      <c r="AG10" s="852" t="n"/>
      <c r="AH10" s="852" t="n"/>
      <c r="AI10" s="852" t="n"/>
      <c r="AJ10" s="852" t="n"/>
      <c r="AK10" s="852" t="n"/>
      <c r="AL10" s="852" t="n"/>
      <c r="AM10" s="852" t="n"/>
      <c r="AN10" s="852" t="n"/>
      <c r="AO10" s="852" t="n"/>
      <c r="AP10" s="852" t="n"/>
      <c r="AQ10" s="852" t="n"/>
      <c r="AR10" s="852" t="n"/>
      <c r="AS10" s="852" t="n"/>
      <c r="AT10" s="852" t="n"/>
      <c r="AU10" s="852" t="n"/>
      <c r="AV10" s="852" t="n"/>
      <c r="AW10" s="852" t="n"/>
      <c r="AX10" s="852" t="n"/>
      <c r="AY10" s="852" t="n"/>
      <c r="AZ10" s="852" t="n"/>
      <c r="BA10" s="852" t="n"/>
      <c r="BB10" s="852" t="n"/>
      <c r="BC10" s="852" t="n"/>
      <c r="BD10" s="852" t="n"/>
      <c r="BE10" s="852" t="n"/>
      <c r="BF10" s="852" t="n"/>
      <c r="BG10" s="852" t="n"/>
      <c r="BH10" s="852" t="n"/>
      <c r="BI10" s="852" t="n"/>
      <c r="BJ10" s="852" t="n"/>
      <c r="BK10" s="852" t="n"/>
      <c r="BL10" s="852" t="n"/>
      <c r="BM10" s="852" t="n"/>
      <c r="BN10" s="852" t="n"/>
      <c r="BO10" s="852" t="n"/>
      <c r="BP10" s="852" t="n"/>
      <c r="BQ10" s="852" t="n"/>
      <c r="BR10" s="852" t="n"/>
      <c r="BS10" s="852" t="n"/>
      <c r="BT10" s="852" t="n"/>
      <c r="BU10" s="852" t="n"/>
      <c r="BV10" s="852" t="n"/>
      <c r="BW10" s="852" t="n"/>
      <c r="BX10" s="852" t="n"/>
      <c r="BY10" s="852" t="n"/>
      <c r="BZ10" s="852" t="n"/>
      <c r="CA10" s="852" t="n"/>
      <c r="CB10" s="852" t="n"/>
      <c r="CC10" s="852" t="n"/>
      <c r="CD10" s="852" t="n"/>
      <c r="CE10" s="852" t="n"/>
      <c r="CF10" s="852" t="n"/>
      <c r="CG10" s="852" t="n"/>
      <c r="CH10" s="852" t="n"/>
      <c r="CI10" s="852" t="n"/>
      <c r="CJ10" s="852" t="n"/>
      <c r="CK10" s="852" t="n"/>
      <c r="CL10" s="852" t="n"/>
      <c r="CM10" s="852" t="n"/>
      <c r="CN10" s="852" t="n"/>
      <c r="CO10" s="852" t="n"/>
      <c r="CP10" s="852" t="n"/>
      <c r="CQ10" s="852" t="n"/>
      <c r="CR10" s="852" t="n"/>
      <c r="CS10" s="852" t="n"/>
      <c r="CT10" s="852" t="n"/>
      <c r="CU10" s="852" t="n"/>
      <c r="CV10" s="852" t="n"/>
      <c r="CW10" s="852" t="n"/>
      <c r="CX10" s="852" t="n"/>
      <c r="CY10" s="852" t="n"/>
      <c r="CZ10" s="852" t="n"/>
      <c r="DA10" s="852" t="n"/>
      <c r="DB10" s="852" t="n"/>
      <c r="DC10" s="852" t="n"/>
      <c r="DD10" s="852" t="n"/>
      <c r="DE10" s="852" t="n"/>
      <c r="DF10" s="852" t="n"/>
      <c r="DG10" s="852" t="n"/>
      <c r="DH10" s="852" t="n"/>
      <c r="DI10" s="852" t="n"/>
      <c r="DJ10" s="852" t="n"/>
      <c r="DK10" s="852" t="n"/>
      <c r="DL10" s="852" t="n"/>
      <c r="DM10" s="852" t="n"/>
      <c r="DN10" s="852" t="n"/>
      <c r="DO10" s="852" t="n"/>
      <c r="DP10" s="852" t="n"/>
      <c r="DQ10" s="852" t="n"/>
      <c r="DR10" s="852" t="n"/>
      <c r="DS10" s="852" t="n"/>
      <c r="DT10" s="852" t="n"/>
      <c r="DU10" s="852" t="n"/>
      <c r="DV10" s="852" t="n"/>
      <c r="DW10" s="852" t="n"/>
      <c r="DX10" s="852" t="n"/>
      <c r="DY10" s="852" t="n"/>
      <c r="DZ10" s="852" t="n"/>
      <c r="EA10" s="852" t="n"/>
      <c r="EB10" s="852" t="n"/>
      <c r="EC10" s="852" t="n"/>
      <c r="ED10" s="852" t="n"/>
      <c r="EE10" s="852" t="n"/>
      <c r="EF10" s="852" t="n"/>
      <c r="EG10" s="852" t="n"/>
      <c r="EH10" s="852" t="n"/>
      <c r="EI10" s="852" t="n"/>
      <c r="EJ10" s="852" t="n"/>
      <c r="EK10" s="852" t="n"/>
      <c r="EL10" s="852" t="n"/>
      <c r="EM10" s="852" t="n"/>
      <c r="EN10" s="852" t="n"/>
      <c r="EO10" s="852" t="n"/>
      <c r="EP10" s="852" t="n"/>
      <c r="EQ10" s="852" t="n"/>
      <c r="ER10" s="852" t="n"/>
      <c r="ES10" s="852" t="n"/>
      <c r="ET10" s="852" t="n"/>
      <c r="EU10" s="852" t="n"/>
      <c r="EV10" s="852" t="n"/>
      <c r="EW10" s="852" t="n"/>
      <c r="EX10" s="852" t="n"/>
      <c r="EY10" s="852" t="n"/>
      <c r="EZ10" s="852" t="n"/>
      <c r="FA10" s="852" t="n"/>
      <c r="FB10" s="852" t="n"/>
      <c r="FC10" s="852" t="n"/>
      <c r="FD10" s="852" t="n"/>
      <c r="FE10" s="852" t="n"/>
      <c r="FF10" s="852" t="n"/>
      <c r="FG10" s="852" t="n"/>
      <c r="FH10" s="852" t="n"/>
      <c r="FI10" s="852" t="n"/>
      <c r="FJ10" s="852" t="n"/>
      <c r="FK10" s="852" t="n"/>
      <c r="FL10" s="852" t="n"/>
      <c r="FM10" s="852" t="n"/>
      <c r="FN10" s="852" t="n"/>
      <c r="FO10" s="852" t="n"/>
      <c r="FP10" s="852" t="n"/>
      <c r="FQ10" s="852" t="n"/>
      <c r="FR10" s="852" t="n"/>
      <c r="FS10" s="852" t="n"/>
      <c r="FT10" s="852" t="n"/>
      <c r="FU10" s="852" t="n"/>
      <c r="FV10" s="852" t="n"/>
      <c r="FW10" s="852" t="n"/>
      <c r="FX10" s="852" t="n"/>
      <c r="FY10" s="852" t="n"/>
      <c r="FZ10" s="852" t="n"/>
      <c r="GA10" s="852" t="n"/>
      <c r="GB10" s="852" t="n"/>
      <c r="GC10" s="852" t="n"/>
      <c r="GD10" s="852" t="n"/>
      <c r="GE10" s="852" t="n"/>
      <c r="GF10" s="852" t="n"/>
      <c r="GG10" s="852" t="n"/>
      <c r="GH10" s="852" t="n"/>
      <c r="GI10" s="852" t="n"/>
      <c r="GJ10" s="852" t="n"/>
      <c r="GK10" s="852" t="n"/>
      <c r="GL10" s="852" t="n"/>
      <c r="GM10" s="852" t="n"/>
      <c r="GN10" s="852" t="n"/>
      <c r="GO10" s="852" t="n"/>
      <c r="GP10" s="852" t="n"/>
      <c r="GQ10" s="852" t="n"/>
      <c r="GR10" s="852" t="n"/>
      <c r="GS10" s="852" t="n"/>
      <c r="GT10" s="852" t="n"/>
      <c r="GU10" s="852" t="n"/>
      <c r="GV10" s="852" t="n"/>
      <c r="GW10" s="852" t="n"/>
      <c r="GX10" s="852" t="n"/>
      <c r="GY10" s="852" t="n"/>
      <c r="GZ10" s="852" t="n"/>
      <c r="HA10" s="852" t="n"/>
      <c r="HB10" s="852" t="n"/>
      <c r="HC10" s="852" t="n"/>
      <c r="HD10" s="852" t="n"/>
      <c r="HE10" s="852" t="n"/>
      <c r="HF10" s="852" t="n"/>
      <c r="HG10" s="852" t="n"/>
      <c r="HH10" s="852" t="n"/>
      <c r="HI10" s="852" t="n"/>
      <c r="HJ10" s="852" t="n"/>
      <c r="HK10" s="852" t="n"/>
      <c r="HL10" s="852" t="n"/>
      <c r="HM10" s="852" t="n"/>
      <c r="HN10" s="852" t="n"/>
      <c r="HO10" s="852" t="n"/>
      <c r="HP10" s="852" t="n"/>
      <c r="HQ10" s="852" t="n"/>
      <c r="HR10" s="852" t="n"/>
      <c r="HS10" s="852" t="n"/>
      <c r="HT10" s="852" t="n"/>
      <c r="HU10" s="852" t="n"/>
      <c r="HV10" s="852" t="n"/>
      <c r="HW10" s="852" t="n"/>
      <c r="HX10" s="852" t="n"/>
      <c r="HY10" s="852" t="n"/>
      <c r="HZ10" s="852" t="n"/>
      <c r="IA10" s="852" t="n"/>
      <c r="IB10" s="852" t="n"/>
      <c r="IC10" s="852" t="n"/>
      <c r="ID10" s="852" t="n"/>
      <c r="IE10" s="852" t="n"/>
      <c r="IF10" s="852" t="n"/>
      <c r="IG10" s="852" t="n"/>
    </row>
    <row r="11" ht="16.5" customHeight="1">
      <c r="A11" s="186" t="n"/>
      <c r="B11" s="186" t="inlineStr">
        <is>
          <t>Prepayment Structure</t>
        </is>
      </c>
      <c r="C11" s="202" t="inlineStr">
        <is>
          <t>Yield Maintenance</t>
        </is>
      </c>
      <c r="D11" s="186" t="n"/>
      <c r="E11" s="186" t="n"/>
      <c r="F11" s="213" t="n">
        <v>5</v>
      </c>
      <c r="G11" s="214">
        <f>$C$39</f>
        <v/>
      </c>
      <c r="H11" s="214">
        <f>(J10*$C$16)/12</f>
        <v/>
      </c>
      <c r="I11" s="214" t="n">
        <v>0</v>
      </c>
      <c r="J11" s="214">
        <f>J10-I11</f>
        <v/>
      </c>
      <c r="K11" s="947" t="n"/>
      <c r="L11" s="852" t="n"/>
      <c r="M11" s="852" t="n"/>
      <c r="N11" s="852" t="n"/>
      <c r="O11" s="852" t="n"/>
      <c r="P11" s="852" t="n"/>
      <c r="Q11" s="852" t="n"/>
      <c r="R11" s="852" t="n"/>
      <c r="S11" s="852" t="n"/>
      <c r="T11" s="852" t="n"/>
      <c r="U11" s="852" t="n"/>
      <c r="V11" s="852" t="n"/>
      <c r="W11" s="852" t="n"/>
      <c r="X11" s="946" t="n"/>
      <c r="Y11" s="946" t="n"/>
      <c r="Z11" s="946" t="n"/>
      <c r="AA11" s="946" t="n"/>
      <c r="AB11" s="946" t="n"/>
      <c r="AC11" s="852" t="n"/>
      <c r="AD11" s="852" t="n"/>
      <c r="AE11" s="852" t="n"/>
      <c r="AF11" s="852" t="n"/>
      <c r="AG11" s="852" t="n"/>
      <c r="AH11" s="852" t="n"/>
      <c r="AI11" s="852" t="n"/>
      <c r="AJ11" s="852" t="n"/>
      <c r="AK11" s="852" t="n"/>
      <c r="AL11" s="852" t="n"/>
      <c r="AM11" s="852" t="n"/>
      <c r="AN11" s="852" t="n"/>
      <c r="AO11" s="852" t="n"/>
      <c r="AP11" s="852" t="n"/>
      <c r="AQ11" s="852" t="n"/>
      <c r="AR11" s="852" t="n"/>
      <c r="AS11" s="852" t="n"/>
      <c r="AT11" s="852" t="n"/>
      <c r="AU11" s="852" t="n"/>
      <c r="AV11" s="852" t="n"/>
      <c r="AW11" s="852" t="n"/>
      <c r="AX11" s="852" t="n"/>
      <c r="AY11" s="852" t="n"/>
      <c r="AZ11" s="852" t="n"/>
      <c r="BA11" s="852" t="n"/>
      <c r="BB11" s="852" t="n"/>
      <c r="BC11" s="852" t="n"/>
      <c r="BD11" s="852" t="n"/>
      <c r="BE11" s="852" t="n"/>
      <c r="BF11" s="852" t="n"/>
      <c r="BG11" s="852" t="n"/>
      <c r="BH11" s="852" t="n"/>
      <c r="BI11" s="852" t="n"/>
      <c r="BJ11" s="852" t="n"/>
      <c r="BK11" s="852" t="n"/>
      <c r="BL11" s="852" t="n"/>
      <c r="BM11" s="852" t="n"/>
      <c r="BN11" s="852" t="n"/>
      <c r="BO11" s="852" t="n"/>
      <c r="BP11" s="852" t="n"/>
      <c r="BQ11" s="852" t="n"/>
      <c r="BR11" s="852" t="n"/>
      <c r="BS11" s="852" t="n"/>
      <c r="BT11" s="852" t="n"/>
      <c r="BU11" s="852" t="n"/>
      <c r="BV11" s="852" t="n"/>
      <c r="BW11" s="852" t="n"/>
      <c r="BX11" s="852" t="n"/>
      <c r="BY11" s="852" t="n"/>
      <c r="BZ11" s="852" t="n"/>
      <c r="CA11" s="852" t="n"/>
      <c r="CB11" s="852" t="n"/>
      <c r="CC11" s="852" t="n"/>
      <c r="CD11" s="852" t="n"/>
      <c r="CE11" s="852" t="n"/>
      <c r="CF11" s="852" t="n"/>
      <c r="CG11" s="852" t="n"/>
      <c r="CH11" s="852" t="n"/>
      <c r="CI11" s="852" t="n"/>
      <c r="CJ11" s="852" t="n"/>
      <c r="CK11" s="852" t="n"/>
      <c r="CL11" s="852" t="n"/>
      <c r="CM11" s="852" t="n"/>
      <c r="CN11" s="852" t="n"/>
      <c r="CO11" s="852" t="n"/>
      <c r="CP11" s="852" t="n"/>
      <c r="CQ11" s="852" t="n"/>
      <c r="CR11" s="852" t="n"/>
      <c r="CS11" s="852" t="n"/>
      <c r="CT11" s="852" t="n"/>
      <c r="CU11" s="852" t="n"/>
      <c r="CV11" s="852" t="n"/>
      <c r="CW11" s="852" t="n"/>
      <c r="CX11" s="852" t="n"/>
      <c r="CY11" s="852" t="n"/>
      <c r="CZ11" s="852" t="n"/>
      <c r="DA11" s="852" t="n"/>
      <c r="DB11" s="852" t="n"/>
      <c r="DC11" s="852" t="n"/>
      <c r="DD11" s="852" t="n"/>
      <c r="DE11" s="852" t="n"/>
      <c r="DF11" s="852" t="n"/>
      <c r="DG11" s="852" t="n"/>
      <c r="DH11" s="852" t="n"/>
      <c r="DI11" s="852" t="n"/>
      <c r="DJ11" s="852" t="n"/>
      <c r="DK11" s="852" t="n"/>
      <c r="DL11" s="852" t="n"/>
      <c r="DM11" s="852" t="n"/>
      <c r="DN11" s="852" t="n"/>
      <c r="DO11" s="852" t="n"/>
      <c r="DP11" s="852" t="n"/>
      <c r="DQ11" s="852" t="n"/>
      <c r="DR11" s="852" t="n"/>
      <c r="DS11" s="852" t="n"/>
      <c r="DT11" s="852" t="n"/>
      <c r="DU11" s="852" t="n"/>
      <c r="DV11" s="852" t="n"/>
      <c r="DW11" s="852" t="n"/>
      <c r="DX11" s="852" t="n"/>
      <c r="DY11" s="852" t="n"/>
      <c r="DZ11" s="852" t="n"/>
      <c r="EA11" s="852" t="n"/>
      <c r="EB11" s="852" t="n"/>
      <c r="EC11" s="852" t="n"/>
      <c r="ED11" s="852" t="n"/>
      <c r="EE11" s="852" t="n"/>
      <c r="EF11" s="852" t="n"/>
      <c r="EG11" s="852" t="n"/>
      <c r="EH11" s="852" t="n"/>
      <c r="EI11" s="852" t="n"/>
      <c r="EJ11" s="852" t="n"/>
      <c r="EK11" s="852" t="n"/>
      <c r="EL11" s="852" t="n"/>
      <c r="EM11" s="852" t="n"/>
      <c r="EN11" s="852" t="n"/>
      <c r="EO11" s="852" t="n"/>
      <c r="EP11" s="852" t="n"/>
      <c r="EQ11" s="852" t="n"/>
      <c r="ER11" s="852" t="n"/>
      <c r="ES11" s="852" t="n"/>
      <c r="ET11" s="852" t="n"/>
      <c r="EU11" s="852" t="n"/>
      <c r="EV11" s="852" t="n"/>
      <c r="EW11" s="852" t="n"/>
      <c r="EX11" s="852" t="n"/>
      <c r="EY11" s="852" t="n"/>
      <c r="EZ11" s="852" t="n"/>
      <c r="FA11" s="852" t="n"/>
      <c r="FB11" s="852" t="n"/>
      <c r="FC11" s="852" t="n"/>
      <c r="FD11" s="852" t="n"/>
      <c r="FE11" s="852" t="n"/>
      <c r="FF11" s="852" t="n"/>
      <c r="FG11" s="852" t="n"/>
      <c r="FH11" s="852" t="n"/>
      <c r="FI11" s="852" t="n"/>
      <c r="FJ11" s="852" t="n"/>
      <c r="FK11" s="852" t="n"/>
      <c r="FL11" s="852" t="n"/>
      <c r="FM11" s="852" t="n"/>
      <c r="FN11" s="852" t="n"/>
      <c r="FO11" s="852" t="n"/>
      <c r="FP11" s="852" t="n"/>
      <c r="FQ11" s="852" t="n"/>
      <c r="FR11" s="852" t="n"/>
      <c r="FS11" s="852" t="n"/>
      <c r="FT11" s="852" t="n"/>
      <c r="FU11" s="852" t="n"/>
      <c r="FV11" s="852" t="n"/>
      <c r="FW11" s="852" t="n"/>
      <c r="FX11" s="852" t="n"/>
      <c r="FY11" s="852" t="n"/>
      <c r="FZ11" s="852" t="n"/>
      <c r="GA11" s="852" t="n"/>
      <c r="GB11" s="852" t="n"/>
      <c r="GC11" s="852" t="n"/>
      <c r="GD11" s="852" t="n"/>
      <c r="GE11" s="852" t="n"/>
      <c r="GF11" s="852" t="n"/>
      <c r="GG11" s="852" t="n"/>
      <c r="GH11" s="852" t="n"/>
      <c r="GI11" s="852" t="n"/>
      <c r="GJ11" s="852" t="n"/>
      <c r="GK11" s="852" t="n"/>
      <c r="GL11" s="852" t="n"/>
      <c r="GM11" s="852" t="n"/>
      <c r="GN11" s="852" t="n"/>
      <c r="GO11" s="852" t="n"/>
      <c r="GP11" s="852" t="n"/>
      <c r="GQ11" s="852" t="n"/>
      <c r="GR11" s="852" t="n"/>
      <c r="GS11" s="852" t="n"/>
      <c r="GT11" s="852" t="n"/>
      <c r="GU11" s="852" t="n"/>
      <c r="GV11" s="852" t="n"/>
      <c r="GW11" s="852" t="n"/>
      <c r="GX11" s="852" t="n"/>
      <c r="GY11" s="852" t="n"/>
      <c r="GZ11" s="852" t="n"/>
      <c r="HA11" s="852" t="n"/>
      <c r="HB11" s="852" t="n"/>
      <c r="HC11" s="852" t="n"/>
      <c r="HD11" s="852" t="n"/>
      <c r="HE11" s="852" t="n"/>
      <c r="HF11" s="852" t="n"/>
      <c r="HG11" s="852" t="n"/>
      <c r="HH11" s="852" t="n"/>
      <c r="HI11" s="852" t="n"/>
      <c r="HJ11" s="852" t="n"/>
      <c r="HK11" s="852" t="n"/>
      <c r="HL11" s="852" t="n"/>
      <c r="HM11" s="852" t="n"/>
      <c r="HN11" s="852" t="n"/>
      <c r="HO11" s="852" t="n"/>
      <c r="HP11" s="852" t="n"/>
      <c r="HQ11" s="852" t="n"/>
      <c r="HR11" s="852" t="n"/>
      <c r="HS11" s="852" t="n"/>
      <c r="HT11" s="852" t="n"/>
      <c r="HU11" s="852" t="n"/>
      <c r="HV11" s="852" t="n"/>
      <c r="HW11" s="852" t="n"/>
      <c r="HX11" s="852" t="n"/>
      <c r="HY11" s="852" t="n"/>
      <c r="HZ11" s="852" t="n"/>
      <c r="IA11" s="852" t="n"/>
      <c r="IB11" s="852" t="n"/>
      <c r="IC11" s="852" t="n"/>
      <c r="ID11" s="852" t="n"/>
      <c r="IE11" s="852" t="n"/>
      <c r="IF11" s="852" t="n"/>
      <c r="IG11" s="852" t="n"/>
    </row>
    <row r="12" ht="16.5" customHeight="1">
      <c r="A12" s="186" t="n"/>
      <c r="B12" s="59" t="n"/>
      <c r="C12" s="59" t="n"/>
      <c r="D12" s="186" t="n"/>
      <c r="E12" s="186" t="n"/>
      <c r="F12" s="213" t="n">
        <v>6</v>
      </c>
      <c r="G12" s="214">
        <f>$C$39</f>
        <v/>
      </c>
      <c r="H12" s="214">
        <f>(J11*$C$16)/12</f>
        <v/>
      </c>
      <c r="I12" s="214" t="n">
        <v>0</v>
      </c>
      <c r="J12" s="214">
        <f>J11-I12</f>
        <v/>
      </c>
      <c r="K12" s="947" t="n"/>
      <c r="L12" s="852" t="n"/>
      <c r="M12" s="852" t="n"/>
      <c r="N12" s="852" t="n"/>
      <c r="O12" s="852" t="n"/>
      <c r="P12" s="852" t="n"/>
      <c r="Q12" s="852" t="n"/>
      <c r="R12" s="852" t="n"/>
      <c r="S12" s="852" t="n"/>
      <c r="T12" s="852" t="n"/>
      <c r="U12" s="852" t="n"/>
      <c r="V12" s="852" t="n"/>
      <c r="W12" s="852" t="n"/>
      <c r="X12" s="946" t="n"/>
      <c r="Y12" s="946" t="n"/>
      <c r="Z12" s="946" t="n"/>
      <c r="AA12" s="946" t="n"/>
      <c r="AB12" s="946" t="n"/>
      <c r="AC12" s="852" t="n"/>
      <c r="AD12" s="852" t="n"/>
      <c r="AE12" s="852" t="n"/>
      <c r="AF12" s="852" t="n"/>
      <c r="AG12" s="852" t="n"/>
      <c r="AH12" s="852" t="n"/>
      <c r="AI12" s="852" t="n"/>
      <c r="AJ12" s="852" t="n"/>
      <c r="AK12" s="852" t="n"/>
      <c r="AL12" s="852" t="n"/>
      <c r="AM12" s="852" t="n"/>
      <c r="AN12" s="852" t="n"/>
      <c r="AO12" s="852" t="n"/>
      <c r="AP12" s="852" t="n"/>
      <c r="AQ12" s="852" t="n"/>
      <c r="AR12" s="852" t="n"/>
      <c r="AS12" s="852" t="n"/>
      <c r="AT12" s="852" t="n"/>
      <c r="AU12" s="852" t="n"/>
      <c r="AV12" s="852" t="n"/>
      <c r="AW12" s="852" t="n"/>
      <c r="AX12" s="852" t="n"/>
      <c r="AY12" s="852" t="n"/>
      <c r="AZ12" s="852" t="n"/>
      <c r="BA12" s="852" t="n"/>
      <c r="BB12" s="852" t="n"/>
      <c r="BC12" s="852" t="n"/>
      <c r="BD12" s="852" t="n"/>
      <c r="BE12" s="852" t="n"/>
      <c r="BF12" s="852" t="n"/>
      <c r="BG12" s="852" t="n"/>
      <c r="BH12" s="852" t="n"/>
      <c r="BI12" s="852" t="n"/>
      <c r="BJ12" s="852" t="n"/>
      <c r="BK12" s="852" t="n"/>
      <c r="BL12" s="852" t="n"/>
      <c r="BM12" s="852" t="n"/>
      <c r="BN12" s="852" t="n"/>
      <c r="BO12" s="852" t="n"/>
      <c r="BP12" s="852" t="n"/>
      <c r="BQ12" s="852" t="n"/>
      <c r="BR12" s="852" t="n"/>
      <c r="BS12" s="852" t="n"/>
      <c r="BT12" s="852" t="n"/>
      <c r="BU12" s="852" t="n"/>
      <c r="BV12" s="852" t="n"/>
      <c r="BW12" s="852" t="n"/>
      <c r="BX12" s="852" t="n"/>
      <c r="BY12" s="852" t="n"/>
      <c r="BZ12" s="852" t="n"/>
      <c r="CA12" s="852" t="n"/>
      <c r="CB12" s="852" t="n"/>
      <c r="CC12" s="852" t="n"/>
      <c r="CD12" s="852" t="n"/>
      <c r="CE12" s="852" t="n"/>
      <c r="CF12" s="852" t="n"/>
      <c r="CG12" s="852" t="n"/>
      <c r="CH12" s="852" t="n"/>
      <c r="CI12" s="852" t="n"/>
      <c r="CJ12" s="852" t="n"/>
      <c r="CK12" s="852" t="n"/>
      <c r="CL12" s="852" t="n"/>
      <c r="CM12" s="852" t="n"/>
      <c r="CN12" s="852" t="n"/>
      <c r="CO12" s="852" t="n"/>
      <c r="CP12" s="852" t="n"/>
      <c r="CQ12" s="852" t="n"/>
      <c r="CR12" s="852" t="n"/>
      <c r="CS12" s="852" t="n"/>
      <c r="CT12" s="852" t="n"/>
      <c r="CU12" s="852" t="n"/>
      <c r="CV12" s="852" t="n"/>
      <c r="CW12" s="852" t="n"/>
      <c r="CX12" s="852" t="n"/>
      <c r="CY12" s="852" t="n"/>
      <c r="CZ12" s="852" t="n"/>
      <c r="DA12" s="852" t="n"/>
      <c r="DB12" s="852" t="n"/>
      <c r="DC12" s="852" t="n"/>
      <c r="DD12" s="852" t="n"/>
      <c r="DE12" s="852" t="n"/>
      <c r="DF12" s="852" t="n"/>
      <c r="DG12" s="852" t="n"/>
      <c r="DH12" s="852" t="n"/>
      <c r="DI12" s="852" t="n"/>
      <c r="DJ12" s="852" t="n"/>
      <c r="DK12" s="852" t="n"/>
      <c r="DL12" s="852" t="n"/>
      <c r="DM12" s="852" t="n"/>
      <c r="DN12" s="852" t="n"/>
      <c r="DO12" s="852" t="n"/>
      <c r="DP12" s="852" t="n"/>
      <c r="DQ12" s="852" t="n"/>
      <c r="DR12" s="852" t="n"/>
      <c r="DS12" s="852" t="n"/>
      <c r="DT12" s="852" t="n"/>
      <c r="DU12" s="852" t="n"/>
      <c r="DV12" s="852" t="n"/>
      <c r="DW12" s="852" t="n"/>
      <c r="DX12" s="852" t="n"/>
      <c r="DY12" s="852" t="n"/>
      <c r="DZ12" s="852" t="n"/>
      <c r="EA12" s="852" t="n"/>
      <c r="EB12" s="852" t="n"/>
      <c r="EC12" s="852" t="n"/>
      <c r="ED12" s="852" t="n"/>
      <c r="EE12" s="852" t="n"/>
      <c r="EF12" s="852" t="n"/>
      <c r="EG12" s="852" t="n"/>
      <c r="EH12" s="852" t="n"/>
      <c r="EI12" s="852" t="n"/>
      <c r="EJ12" s="852" t="n"/>
      <c r="EK12" s="852" t="n"/>
      <c r="EL12" s="852" t="n"/>
      <c r="EM12" s="852" t="n"/>
      <c r="EN12" s="852" t="n"/>
      <c r="EO12" s="852" t="n"/>
      <c r="EP12" s="852" t="n"/>
      <c r="EQ12" s="852" t="n"/>
      <c r="ER12" s="852" t="n"/>
      <c r="ES12" s="852" t="n"/>
      <c r="ET12" s="852" t="n"/>
      <c r="EU12" s="852" t="n"/>
      <c r="EV12" s="852" t="n"/>
      <c r="EW12" s="852" t="n"/>
      <c r="EX12" s="852" t="n"/>
      <c r="EY12" s="852" t="n"/>
      <c r="EZ12" s="852" t="n"/>
      <c r="FA12" s="852" t="n"/>
      <c r="FB12" s="852" t="n"/>
      <c r="FC12" s="852" t="n"/>
      <c r="FD12" s="852" t="n"/>
      <c r="FE12" s="852" t="n"/>
      <c r="FF12" s="852" t="n"/>
      <c r="FG12" s="852" t="n"/>
      <c r="FH12" s="852" t="n"/>
      <c r="FI12" s="852" t="n"/>
      <c r="FJ12" s="852" t="n"/>
      <c r="FK12" s="852" t="n"/>
      <c r="FL12" s="852" t="n"/>
      <c r="FM12" s="852" t="n"/>
      <c r="FN12" s="852" t="n"/>
      <c r="FO12" s="852" t="n"/>
      <c r="FP12" s="852" t="n"/>
      <c r="FQ12" s="852" t="n"/>
      <c r="FR12" s="852" t="n"/>
      <c r="FS12" s="852" t="n"/>
      <c r="FT12" s="852" t="n"/>
      <c r="FU12" s="852" t="n"/>
      <c r="FV12" s="852" t="n"/>
      <c r="FW12" s="852" t="n"/>
      <c r="FX12" s="852" t="n"/>
      <c r="FY12" s="852" t="n"/>
      <c r="FZ12" s="852" t="n"/>
      <c r="GA12" s="852" t="n"/>
      <c r="GB12" s="852" t="n"/>
      <c r="GC12" s="852" t="n"/>
      <c r="GD12" s="852" t="n"/>
      <c r="GE12" s="852" t="n"/>
      <c r="GF12" s="852" t="n"/>
      <c r="GG12" s="852" t="n"/>
      <c r="GH12" s="852" t="n"/>
      <c r="GI12" s="852" t="n"/>
      <c r="GJ12" s="852" t="n"/>
      <c r="GK12" s="852" t="n"/>
      <c r="GL12" s="852" t="n"/>
      <c r="GM12" s="852" t="n"/>
      <c r="GN12" s="852" t="n"/>
      <c r="GO12" s="852" t="n"/>
      <c r="GP12" s="852" t="n"/>
      <c r="GQ12" s="852" t="n"/>
      <c r="GR12" s="852" t="n"/>
      <c r="GS12" s="852" t="n"/>
      <c r="GT12" s="852" t="n"/>
      <c r="GU12" s="852" t="n"/>
      <c r="GV12" s="852" t="n"/>
      <c r="GW12" s="852" t="n"/>
      <c r="GX12" s="852" t="n"/>
      <c r="GY12" s="852" t="n"/>
      <c r="GZ12" s="852" t="n"/>
      <c r="HA12" s="852" t="n"/>
      <c r="HB12" s="852" t="n"/>
      <c r="HC12" s="852" t="n"/>
      <c r="HD12" s="852" t="n"/>
      <c r="HE12" s="852" t="n"/>
      <c r="HF12" s="852" t="n"/>
      <c r="HG12" s="852" t="n"/>
      <c r="HH12" s="852" t="n"/>
      <c r="HI12" s="852" t="n"/>
      <c r="HJ12" s="852" t="n"/>
      <c r="HK12" s="852" t="n"/>
      <c r="HL12" s="852" t="n"/>
      <c r="HM12" s="852" t="n"/>
      <c r="HN12" s="852" t="n"/>
      <c r="HO12" s="852" t="n"/>
      <c r="HP12" s="852" t="n"/>
      <c r="HQ12" s="852" t="n"/>
      <c r="HR12" s="852" t="n"/>
      <c r="HS12" s="852" t="n"/>
      <c r="HT12" s="852" t="n"/>
      <c r="HU12" s="852" t="n"/>
      <c r="HV12" s="852" t="n"/>
      <c r="HW12" s="852" t="n"/>
      <c r="HX12" s="852" t="n"/>
      <c r="HY12" s="852" t="n"/>
      <c r="HZ12" s="852" t="n"/>
      <c r="IA12" s="852" t="n"/>
      <c r="IB12" s="852" t="n"/>
      <c r="IC12" s="852" t="n"/>
      <c r="ID12" s="852" t="n"/>
      <c r="IE12" s="852" t="n"/>
      <c r="IF12" s="852" t="n"/>
      <c r="IG12" s="852" t="n"/>
    </row>
    <row r="13" ht="16.5" customHeight="1">
      <c r="A13" s="186" t="n"/>
      <c r="B13" s="200" t="inlineStr">
        <is>
          <t>Interest Rate Stack</t>
        </is>
      </c>
      <c r="C13" s="186" t="n"/>
      <c r="D13" s="186" t="n"/>
      <c r="E13" s="186" t="n"/>
      <c r="F13" s="213" t="n">
        <v>7</v>
      </c>
      <c r="G13" s="214">
        <f>$C$39</f>
        <v/>
      </c>
      <c r="H13" s="214">
        <f>(J12*$C$16)/12</f>
        <v/>
      </c>
      <c r="I13" s="214" t="n">
        <v>0</v>
      </c>
      <c r="J13" s="214">
        <f>J12-I13</f>
        <v/>
      </c>
      <c r="K13" s="947" t="n"/>
      <c r="L13" s="946" t="n"/>
      <c r="M13" s="948" t="n"/>
      <c r="N13" s="946" t="n"/>
      <c r="O13" s="946" t="n"/>
      <c r="P13" s="946" t="n"/>
      <c r="Q13" s="946" t="n"/>
      <c r="R13" s="946" t="n"/>
      <c r="S13" s="946" t="n"/>
      <c r="T13" s="946" t="n"/>
      <c r="U13" s="946" t="n"/>
      <c r="V13" s="946" t="n"/>
      <c r="W13" s="946" t="n"/>
      <c r="X13" s="946" t="n"/>
      <c r="Y13" s="946" t="n"/>
      <c r="Z13" s="946" t="n"/>
      <c r="AA13" s="946" t="n"/>
      <c r="AB13" s="946" t="n"/>
      <c r="AC13" s="852" t="n"/>
      <c r="AD13" s="852" t="n"/>
      <c r="AE13" s="852" t="n"/>
      <c r="AF13" s="852" t="n"/>
      <c r="AG13" s="852" t="n"/>
      <c r="AH13" s="852" t="n"/>
      <c r="AI13" s="852" t="n"/>
      <c r="AJ13" s="852" t="n"/>
      <c r="AK13" s="852" t="n"/>
      <c r="AL13" s="852" t="n"/>
      <c r="AM13" s="852" t="n"/>
      <c r="AN13" s="852" t="n"/>
      <c r="AO13" s="852" t="n"/>
      <c r="AP13" s="852" t="n"/>
      <c r="AQ13" s="852" t="n"/>
      <c r="AR13" s="852" t="n"/>
      <c r="AS13" s="852" t="n"/>
      <c r="AT13" s="852" t="n"/>
      <c r="AU13" s="852" t="n"/>
      <c r="AV13" s="852" t="n"/>
      <c r="AW13" s="852" t="n"/>
      <c r="AX13" s="852" t="n"/>
      <c r="AY13" s="852" t="n"/>
      <c r="AZ13" s="852" t="n"/>
      <c r="BA13" s="852" t="n"/>
      <c r="BB13" s="852" t="n"/>
      <c r="BC13" s="852" t="n"/>
      <c r="BD13" s="852" t="n"/>
      <c r="BE13" s="852" t="n"/>
      <c r="BF13" s="852" t="n"/>
      <c r="BG13" s="852" t="n"/>
      <c r="BH13" s="852" t="n"/>
      <c r="BI13" s="852" t="n"/>
      <c r="BJ13" s="852" t="n"/>
      <c r="BK13" s="852" t="n"/>
      <c r="BL13" s="852" t="n"/>
      <c r="BM13" s="852" t="n"/>
      <c r="BN13" s="852" t="n"/>
      <c r="BO13" s="852" t="n"/>
      <c r="BP13" s="852" t="n"/>
      <c r="BQ13" s="852" t="n"/>
      <c r="BR13" s="852" t="n"/>
      <c r="BS13" s="852" t="n"/>
      <c r="BT13" s="852" t="n"/>
      <c r="BU13" s="852" t="n"/>
      <c r="BV13" s="852" t="n"/>
      <c r="BW13" s="852" t="n"/>
      <c r="BX13" s="852" t="n"/>
      <c r="BY13" s="852" t="n"/>
      <c r="BZ13" s="852" t="n"/>
      <c r="CA13" s="852" t="n"/>
      <c r="CB13" s="852" t="n"/>
      <c r="CC13" s="852" t="n"/>
      <c r="CD13" s="852" t="n"/>
      <c r="CE13" s="852" t="n"/>
      <c r="CF13" s="852" t="n"/>
      <c r="CG13" s="852" t="n"/>
      <c r="CH13" s="852" t="n"/>
      <c r="CI13" s="852" t="n"/>
      <c r="CJ13" s="852" t="n"/>
      <c r="CK13" s="852" t="n"/>
      <c r="CL13" s="852" t="n"/>
      <c r="CM13" s="852" t="n"/>
      <c r="CN13" s="852" t="n"/>
      <c r="CO13" s="852" t="n"/>
      <c r="CP13" s="852" t="n"/>
      <c r="CQ13" s="852" t="n"/>
      <c r="CR13" s="852" t="n"/>
      <c r="CS13" s="852" t="n"/>
      <c r="CT13" s="852" t="n"/>
      <c r="CU13" s="852" t="n"/>
      <c r="CV13" s="852" t="n"/>
      <c r="CW13" s="852" t="n"/>
      <c r="CX13" s="852" t="n"/>
      <c r="CY13" s="852" t="n"/>
      <c r="CZ13" s="852" t="n"/>
      <c r="DA13" s="852" t="n"/>
      <c r="DB13" s="852" t="n"/>
      <c r="DC13" s="852" t="n"/>
      <c r="DD13" s="852" t="n"/>
      <c r="DE13" s="852" t="n"/>
      <c r="DF13" s="852" t="n"/>
      <c r="DG13" s="852" t="n"/>
      <c r="DH13" s="852" t="n"/>
      <c r="DI13" s="852" t="n"/>
      <c r="DJ13" s="852" t="n"/>
      <c r="DK13" s="852" t="n"/>
      <c r="DL13" s="852" t="n"/>
      <c r="DM13" s="852" t="n"/>
      <c r="DN13" s="852" t="n"/>
      <c r="DO13" s="852" t="n"/>
      <c r="DP13" s="852" t="n"/>
      <c r="DQ13" s="852" t="n"/>
      <c r="DR13" s="852" t="n"/>
      <c r="DS13" s="852" t="n"/>
      <c r="DT13" s="852" t="n"/>
      <c r="DU13" s="852" t="n"/>
      <c r="DV13" s="852" t="n"/>
      <c r="DW13" s="852" t="n"/>
      <c r="DX13" s="852" t="n"/>
      <c r="DY13" s="852" t="n"/>
      <c r="DZ13" s="852" t="n"/>
      <c r="EA13" s="852" t="n"/>
      <c r="EB13" s="852" t="n"/>
      <c r="EC13" s="852" t="n"/>
      <c r="ED13" s="852" t="n"/>
      <c r="EE13" s="852" t="n"/>
      <c r="EF13" s="852" t="n"/>
      <c r="EG13" s="852" t="n"/>
      <c r="EH13" s="852" t="n"/>
      <c r="EI13" s="852" t="n"/>
      <c r="EJ13" s="852" t="n"/>
      <c r="EK13" s="852" t="n"/>
      <c r="EL13" s="852" t="n"/>
      <c r="EM13" s="852" t="n"/>
      <c r="EN13" s="852" t="n"/>
      <c r="EO13" s="852" t="n"/>
      <c r="EP13" s="852" t="n"/>
      <c r="EQ13" s="852" t="n"/>
      <c r="ER13" s="852" t="n"/>
      <c r="ES13" s="852" t="n"/>
      <c r="ET13" s="852" t="n"/>
      <c r="EU13" s="852" t="n"/>
      <c r="EV13" s="852" t="n"/>
      <c r="EW13" s="852" t="n"/>
      <c r="EX13" s="852" t="n"/>
      <c r="EY13" s="852" t="n"/>
      <c r="EZ13" s="852" t="n"/>
      <c r="FA13" s="852" t="n"/>
      <c r="FB13" s="852" t="n"/>
      <c r="FC13" s="852" t="n"/>
      <c r="FD13" s="852" t="n"/>
      <c r="FE13" s="852" t="n"/>
      <c r="FF13" s="852" t="n"/>
      <c r="FG13" s="852" t="n"/>
      <c r="FH13" s="852" t="n"/>
      <c r="FI13" s="852" t="n"/>
      <c r="FJ13" s="852" t="n"/>
      <c r="FK13" s="852" t="n"/>
      <c r="FL13" s="852" t="n"/>
      <c r="FM13" s="852" t="n"/>
      <c r="FN13" s="852" t="n"/>
      <c r="FO13" s="852" t="n"/>
      <c r="FP13" s="852" t="n"/>
      <c r="FQ13" s="852" t="n"/>
      <c r="FR13" s="852" t="n"/>
      <c r="FS13" s="852" t="n"/>
      <c r="FT13" s="852" t="n"/>
      <c r="FU13" s="852" t="n"/>
      <c r="FV13" s="852" t="n"/>
      <c r="FW13" s="852" t="n"/>
      <c r="FX13" s="852" t="n"/>
      <c r="FY13" s="852" t="n"/>
      <c r="FZ13" s="852" t="n"/>
      <c r="GA13" s="852" t="n"/>
      <c r="GB13" s="852" t="n"/>
      <c r="GC13" s="852" t="n"/>
      <c r="GD13" s="852" t="n"/>
      <c r="GE13" s="852" t="n"/>
      <c r="GF13" s="852" t="n"/>
      <c r="GG13" s="852" t="n"/>
      <c r="GH13" s="852" t="n"/>
      <c r="GI13" s="852" t="n"/>
      <c r="GJ13" s="852" t="n"/>
      <c r="GK13" s="852" t="n"/>
      <c r="GL13" s="852" t="n"/>
      <c r="GM13" s="852" t="n"/>
      <c r="GN13" s="852" t="n"/>
      <c r="GO13" s="852" t="n"/>
      <c r="GP13" s="852" t="n"/>
      <c r="GQ13" s="852" t="n"/>
      <c r="GR13" s="852" t="n"/>
      <c r="GS13" s="852" t="n"/>
      <c r="GT13" s="852" t="n"/>
      <c r="GU13" s="852" t="n"/>
      <c r="GV13" s="852" t="n"/>
      <c r="GW13" s="852" t="n"/>
      <c r="GX13" s="852" t="n"/>
      <c r="GY13" s="852" t="n"/>
      <c r="GZ13" s="852" t="n"/>
      <c r="HA13" s="852" t="n"/>
      <c r="HB13" s="852" t="n"/>
      <c r="HC13" s="852" t="n"/>
      <c r="HD13" s="852" t="n"/>
      <c r="HE13" s="852" t="n"/>
      <c r="HF13" s="852" t="n"/>
      <c r="HG13" s="852" t="n"/>
      <c r="HH13" s="852" t="n"/>
      <c r="HI13" s="852" t="n"/>
      <c r="HJ13" s="852" t="n"/>
      <c r="HK13" s="852" t="n"/>
      <c r="HL13" s="852" t="n"/>
      <c r="HM13" s="852" t="n"/>
      <c r="HN13" s="852" t="n"/>
      <c r="HO13" s="852" t="n"/>
      <c r="HP13" s="852" t="n"/>
      <c r="HQ13" s="852" t="n"/>
      <c r="HR13" s="852" t="n"/>
      <c r="HS13" s="852" t="n"/>
      <c r="HT13" s="852" t="n"/>
      <c r="HU13" s="852" t="n"/>
      <c r="HV13" s="852" t="n"/>
      <c r="HW13" s="852" t="n"/>
      <c r="HX13" s="852" t="n"/>
      <c r="HY13" s="852" t="n"/>
      <c r="HZ13" s="852" t="n"/>
      <c r="IA13" s="852" t="n"/>
      <c r="IB13" s="852" t="n"/>
      <c r="IC13" s="852" t="n"/>
      <c r="ID13" s="852" t="n"/>
      <c r="IE13" s="852" t="n"/>
      <c r="IF13" s="852" t="n"/>
      <c r="IG13" s="852" t="n"/>
    </row>
    <row r="14" ht="16.5" customHeight="1">
      <c r="A14" s="186" t="n"/>
      <c r="B14" s="186" t="inlineStr">
        <is>
          <t>US Treasury or SOFR</t>
        </is>
      </c>
      <c r="C14" s="195" t="n">
        <v>0.0405</v>
      </c>
      <c r="D14" s="186" t="inlineStr">
        <is>
          <t>as of 2026-06</t>
        </is>
      </c>
      <c r="E14" s="186" t="n"/>
      <c r="F14" s="213" t="n">
        <v>8</v>
      </c>
      <c r="G14" s="214">
        <f>$C$39</f>
        <v/>
      </c>
      <c r="H14" s="214">
        <f>(J13*$C$16)/12</f>
        <v/>
      </c>
      <c r="I14" s="214" t="n">
        <v>0</v>
      </c>
      <c r="J14" s="214">
        <f>J13-I14</f>
        <v/>
      </c>
      <c r="K14" s="946" t="n"/>
      <c r="L14" s="946" t="n"/>
      <c r="M14" s="948" t="n"/>
      <c r="N14" s="946" t="n"/>
      <c r="O14" s="946" t="n"/>
      <c r="P14" s="946" t="n"/>
      <c r="Q14" s="946" t="n"/>
      <c r="R14" s="946" t="n"/>
      <c r="S14" s="946" t="n"/>
      <c r="T14" s="946" t="n"/>
      <c r="U14" s="946" t="n"/>
      <c r="V14" s="946" t="n"/>
      <c r="W14" s="946" t="n"/>
      <c r="X14" s="946" t="n"/>
      <c r="Y14" s="946" t="n"/>
      <c r="Z14" s="946" t="n"/>
      <c r="AA14" s="946" t="n"/>
      <c r="AB14" s="946" t="n"/>
      <c r="AC14" s="852" t="n"/>
      <c r="AD14" s="852" t="n"/>
      <c r="AE14" s="852" t="n"/>
      <c r="AF14" s="852" t="n"/>
      <c r="AG14" s="852" t="n"/>
      <c r="AH14" s="852" t="n"/>
      <c r="AI14" s="852" t="n"/>
      <c r="AJ14" s="852" t="n"/>
      <c r="AK14" s="852" t="n"/>
      <c r="AL14" s="852" t="n"/>
      <c r="AM14" s="852" t="n"/>
      <c r="AN14" s="852" t="n"/>
      <c r="AO14" s="852" t="n"/>
      <c r="AP14" s="852" t="n"/>
      <c r="AQ14" s="852" t="n"/>
      <c r="AR14" s="852" t="n"/>
      <c r="AS14" s="852" t="n"/>
      <c r="AT14" s="852" t="n"/>
      <c r="AU14" s="852" t="n"/>
      <c r="AV14" s="852" t="n"/>
      <c r="AW14" s="852" t="n"/>
      <c r="AX14" s="852" t="n"/>
      <c r="AY14" s="852" t="n"/>
      <c r="AZ14" s="852" t="n"/>
      <c r="BA14" s="852" t="n"/>
      <c r="BB14" s="852" t="n"/>
      <c r="BC14" s="852" t="n"/>
      <c r="BD14" s="852" t="n"/>
      <c r="BE14" s="852" t="n"/>
      <c r="BF14" s="852" t="n"/>
      <c r="BG14" s="852" t="n"/>
      <c r="BH14" s="852" t="n"/>
      <c r="BI14" s="852" t="n"/>
      <c r="BJ14" s="852" t="n"/>
      <c r="BK14" s="852" t="n"/>
      <c r="BL14" s="852" t="n"/>
      <c r="BM14" s="852" t="n"/>
      <c r="BN14" s="852" t="n"/>
      <c r="BO14" s="852" t="n"/>
      <c r="BP14" s="852" t="n"/>
      <c r="BQ14" s="852" t="n"/>
      <c r="BR14" s="852" t="n"/>
      <c r="BS14" s="852" t="n"/>
      <c r="BT14" s="852" t="n"/>
      <c r="BU14" s="852" t="n"/>
      <c r="BV14" s="852" t="n"/>
      <c r="BW14" s="852" t="n"/>
      <c r="BX14" s="852" t="n"/>
      <c r="BY14" s="852" t="n"/>
      <c r="BZ14" s="852" t="n"/>
      <c r="CA14" s="852" t="n"/>
      <c r="CB14" s="852" t="n"/>
      <c r="CC14" s="852" t="n"/>
      <c r="CD14" s="852" t="n"/>
      <c r="CE14" s="852" t="n"/>
      <c r="CF14" s="852" t="n"/>
      <c r="CG14" s="852" t="n"/>
      <c r="CH14" s="852" t="n"/>
      <c r="CI14" s="852" t="n"/>
      <c r="CJ14" s="852" t="n"/>
      <c r="CK14" s="852" t="n"/>
      <c r="CL14" s="852" t="n"/>
      <c r="CM14" s="852" t="n"/>
      <c r="CN14" s="852" t="n"/>
      <c r="CO14" s="852" t="n"/>
      <c r="CP14" s="852" t="n"/>
      <c r="CQ14" s="852" t="n"/>
      <c r="CR14" s="852" t="n"/>
      <c r="CS14" s="852" t="n"/>
      <c r="CT14" s="852" t="n"/>
      <c r="CU14" s="852" t="n"/>
      <c r="CV14" s="852" t="n"/>
      <c r="CW14" s="852" t="n"/>
      <c r="CX14" s="852" t="n"/>
      <c r="CY14" s="852" t="n"/>
      <c r="CZ14" s="852" t="n"/>
      <c r="DA14" s="852" t="n"/>
      <c r="DB14" s="852" t="n"/>
      <c r="DC14" s="852" t="n"/>
      <c r="DD14" s="852" t="n"/>
      <c r="DE14" s="852" t="n"/>
      <c r="DF14" s="852" t="n"/>
      <c r="DG14" s="852" t="n"/>
      <c r="DH14" s="852" t="n"/>
      <c r="DI14" s="852" t="n"/>
      <c r="DJ14" s="852" t="n"/>
      <c r="DK14" s="852" t="n"/>
      <c r="DL14" s="852" t="n"/>
      <c r="DM14" s="852" t="n"/>
      <c r="DN14" s="852" t="n"/>
      <c r="DO14" s="852" t="n"/>
      <c r="DP14" s="852" t="n"/>
      <c r="DQ14" s="852" t="n"/>
      <c r="DR14" s="852" t="n"/>
      <c r="DS14" s="852" t="n"/>
      <c r="DT14" s="852" t="n"/>
      <c r="DU14" s="852" t="n"/>
      <c r="DV14" s="852" t="n"/>
      <c r="DW14" s="852" t="n"/>
      <c r="DX14" s="852" t="n"/>
      <c r="DY14" s="852" t="n"/>
      <c r="DZ14" s="852" t="n"/>
      <c r="EA14" s="852" t="n"/>
      <c r="EB14" s="852" t="n"/>
      <c r="EC14" s="852" t="n"/>
      <c r="ED14" s="852" t="n"/>
      <c r="EE14" s="852" t="n"/>
      <c r="EF14" s="852" t="n"/>
      <c r="EG14" s="852" t="n"/>
      <c r="EH14" s="852" t="n"/>
      <c r="EI14" s="852" t="n"/>
      <c r="EJ14" s="852" t="n"/>
      <c r="EK14" s="852" t="n"/>
      <c r="EL14" s="852" t="n"/>
      <c r="EM14" s="852" t="n"/>
      <c r="EN14" s="852" t="n"/>
      <c r="EO14" s="852" t="n"/>
      <c r="EP14" s="852" t="n"/>
      <c r="EQ14" s="852" t="n"/>
      <c r="ER14" s="852" t="n"/>
      <c r="ES14" s="852" t="n"/>
      <c r="ET14" s="852" t="n"/>
      <c r="EU14" s="852" t="n"/>
      <c r="EV14" s="852" t="n"/>
      <c r="EW14" s="852" t="n"/>
      <c r="EX14" s="852" t="n"/>
      <c r="EY14" s="852" t="n"/>
      <c r="EZ14" s="852" t="n"/>
      <c r="FA14" s="852" t="n"/>
      <c r="FB14" s="852" t="n"/>
      <c r="FC14" s="852" t="n"/>
      <c r="FD14" s="852" t="n"/>
      <c r="FE14" s="852" t="n"/>
      <c r="FF14" s="852" t="n"/>
      <c r="FG14" s="852" t="n"/>
      <c r="FH14" s="852" t="n"/>
      <c r="FI14" s="852" t="n"/>
      <c r="FJ14" s="852" t="n"/>
      <c r="FK14" s="852" t="n"/>
      <c r="FL14" s="852" t="n"/>
      <c r="FM14" s="852" t="n"/>
      <c r="FN14" s="852" t="n"/>
      <c r="FO14" s="852" t="n"/>
      <c r="FP14" s="852" t="n"/>
      <c r="FQ14" s="852" t="n"/>
      <c r="FR14" s="852" t="n"/>
      <c r="FS14" s="852" t="n"/>
      <c r="FT14" s="852" t="n"/>
      <c r="FU14" s="852" t="n"/>
      <c r="FV14" s="852" t="n"/>
      <c r="FW14" s="852" t="n"/>
      <c r="FX14" s="852" t="n"/>
      <c r="FY14" s="852" t="n"/>
      <c r="FZ14" s="852" t="n"/>
      <c r="GA14" s="852" t="n"/>
      <c r="GB14" s="852" t="n"/>
      <c r="GC14" s="852" t="n"/>
      <c r="GD14" s="852" t="n"/>
      <c r="GE14" s="852" t="n"/>
      <c r="GF14" s="852" t="n"/>
      <c r="GG14" s="852" t="n"/>
      <c r="GH14" s="852" t="n"/>
      <c r="GI14" s="852" t="n"/>
      <c r="GJ14" s="852" t="n"/>
      <c r="GK14" s="852" t="n"/>
      <c r="GL14" s="852" t="n"/>
      <c r="GM14" s="852" t="n"/>
      <c r="GN14" s="852" t="n"/>
      <c r="GO14" s="852" t="n"/>
      <c r="GP14" s="852" t="n"/>
      <c r="GQ14" s="852" t="n"/>
      <c r="GR14" s="852" t="n"/>
      <c r="GS14" s="852" t="n"/>
      <c r="GT14" s="852" t="n"/>
      <c r="GU14" s="852" t="n"/>
      <c r="GV14" s="852" t="n"/>
      <c r="GW14" s="852" t="n"/>
      <c r="GX14" s="852" t="n"/>
      <c r="GY14" s="852" t="n"/>
      <c r="GZ14" s="852" t="n"/>
      <c r="HA14" s="852" t="n"/>
      <c r="HB14" s="852" t="n"/>
      <c r="HC14" s="852" t="n"/>
      <c r="HD14" s="852" t="n"/>
      <c r="HE14" s="852" t="n"/>
      <c r="HF14" s="852" t="n"/>
      <c r="HG14" s="852" t="n"/>
      <c r="HH14" s="852" t="n"/>
      <c r="HI14" s="852" t="n"/>
      <c r="HJ14" s="852" t="n"/>
      <c r="HK14" s="852" t="n"/>
      <c r="HL14" s="852" t="n"/>
      <c r="HM14" s="852" t="n"/>
      <c r="HN14" s="852" t="n"/>
      <c r="HO14" s="852" t="n"/>
      <c r="HP14" s="852" t="n"/>
      <c r="HQ14" s="852" t="n"/>
      <c r="HR14" s="852" t="n"/>
      <c r="HS14" s="852" t="n"/>
      <c r="HT14" s="852" t="n"/>
      <c r="HU14" s="852" t="n"/>
      <c r="HV14" s="852" t="n"/>
      <c r="HW14" s="852" t="n"/>
      <c r="HX14" s="852" t="n"/>
      <c r="HY14" s="852" t="n"/>
      <c r="HZ14" s="852" t="n"/>
      <c r="IA14" s="852" t="n"/>
      <c r="IB14" s="852" t="n"/>
      <c r="IC14" s="852" t="n"/>
      <c r="ID14" s="852" t="n"/>
      <c r="IE14" s="852" t="n"/>
      <c r="IF14" s="852" t="n"/>
      <c r="IG14" s="852" t="n"/>
    </row>
    <row r="15" ht="16.5" customHeight="1">
      <c r="A15" s="186" t="n"/>
      <c r="B15" s="186" t="inlineStr">
        <is>
          <t>Spread</t>
        </is>
      </c>
      <c r="C15" s="195" t="n">
        <v>0.0185</v>
      </c>
      <c r="D15" s="186" t="inlineStr">
        <is>
          <t>GGC standard spread</t>
        </is>
      </c>
      <c r="E15" s="186" t="n"/>
      <c r="F15" s="213" t="n">
        <v>9</v>
      </c>
      <c r="G15" s="214">
        <f>$C$39</f>
        <v/>
      </c>
      <c r="H15" s="214">
        <f>(J14*$C$16)/12</f>
        <v/>
      </c>
      <c r="I15" s="214" t="n">
        <v>0</v>
      </c>
      <c r="J15" s="214">
        <f>J14-I15</f>
        <v/>
      </c>
      <c r="K15" s="946" t="n"/>
      <c r="L15" s="946" t="n"/>
      <c r="M15" s="946" t="n"/>
      <c r="N15" s="946" t="n"/>
      <c r="O15" s="949" t="n"/>
      <c r="P15" s="946" t="n"/>
      <c r="Q15" s="946" t="n"/>
      <c r="R15" s="946" t="n"/>
      <c r="S15" s="946" t="n"/>
      <c r="T15" s="946" t="n"/>
      <c r="U15" s="946" t="n"/>
      <c r="V15" s="946" t="n"/>
      <c r="W15" s="946" t="n"/>
      <c r="X15" s="946" t="n"/>
      <c r="Y15" s="946" t="n"/>
      <c r="Z15" s="946" t="n"/>
      <c r="AA15" s="946" t="n"/>
      <c r="AB15" s="946" t="n"/>
      <c r="AC15" s="852" t="n"/>
      <c r="AD15" s="852" t="n"/>
      <c r="AE15" s="852" t="n"/>
      <c r="AF15" s="852" t="n"/>
      <c r="AG15" s="852" t="n"/>
      <c r="AH15" s="852" t="n"/>
      <c r="AI15" s="852" t="n"/>
      <c r="AJ15" s="852" t="n"/>
      <c r="AK15" s="852" t="n"/>
      <c r="AL15" s="852" t="n"/>
      <c r="AM15" s="852" t="n"/>
      <c r="AN15" s="852" t="n"/>
      <c r="AO15" s="852" t="n"/>
      <c r="AP15" s="852" t="n"/>
      <c r="AQ15" s="852" t="n"/>
      <c r="AR15" s="852" t="n"/>
      <c r="AS15" s="852" t="n"/>
      <c r="AT15" s="852" t="n"/>
      <c r="AU15" s="852" t="n"/>
      <c r="AV15" s="852" t="n"/>
      <c r="AW15" s="852" t="n"/>
      <c r="AX15" s="852" t="n"/>
      <c r="AY15" s="852" t="n"/>
      <c r="AZ15" s="852" t="n"/>
      <c r="BA15" s="852" t="n"/>
      <c r="BB15" s="852" t="n"/>
      <c r="BC15" s="852" t="n"/>
      <c r="BD15" s="852" t="n"/>
      <c r="BE15" s="852" t="n"/>
      <c r="BF15" s="852" t="n"/>
      <c r="BG15" s="852" t="n"/>
      <c r="BH15" s="852" t="n"/>
      <c r="BI15" s="852" t="n"/>
      <c r="BJ15" s="852" t="n"/>
      <c r="BK15" s="852" t="n"/>
      <c r="BL15" s="852" t="n"/>
      <c r="BM15" s="852" t="n"/>
      <c r="BN15" s="852" t="n"/>
      <c r="BO15" s="852" t="n"/>
      <c r="BP15" s="852" t="n"/>
      <c r="BQ15" s="852" t="n"/>
      <c r="BR15" s="852" t="n"/>
      <c r="BS15" s="852" t="n"/>
      <c r="BT15" s="852" t="n"/>
      <c r="BU15" s="852" t="n"/>
      <c r="BV15" s="852" t="n"/>
      <c r="BW15" s="852" t="n"/>
      <c r="BX15" s="852" t="n"/>
      <c r="BY15" s="852" t="n"/>
      <c r="BZ15" s="852" t="n"/>
      <c r="CA15" s="852" t="n"/>
      <c r="CB15" s="852" t="n"/>
      <c r="CC15" s="852" t="n"/>
      <c r="CD15" s="852" t="n"/>
      <c r="CE15" s="852" t="n"/>
      <c r="CF15" s="852" t="n"/>
      <c r="CG15" s="852" t="n"/>
      <c r="CH15" s="852" t="n"/>
      <c r="CI15" s="852" t="n"/>
      <c r="CJ15" s="852" t="n"/>
      <c r="CK15" s="852" t="n"/>
      <c r="CL15" s="852" t="n"/>
      <c r="CM15" s="852" t="n"/>
      <c r="CN15" s="852" t="n"/>
      <c r="CO15" s="852" t="n"/>
      <c r="CP15" s="852" t="n"/>
      <c r="CQ15" s="852" t="n"/>
      <c r="CR15" s="852" t="n"/>
      <c r="CS15" s="852" t="n"/>
      <c r="CT15" s="852" t="n"/>
      <c r="CU15" s="852" t="n"/>
      <c r="CV15" s="852" t="n"/>
      <c r="CW15" s="852" t="n"/>
      <c r="CX15" s="852" t="n"/>
      <c r="CY15" s="852" t="n"/>
      <c r="CZ15" s="852" t="n"/>
      <c r="DA15" s="852" t="n"/>
      <c r="DB15" s="852" t="n"/>
      <c r="DC15" s="852" t="n"/>
      <c r="DD15" s="852" t="n"/>
      <c r="DE15" s="852" t="n"/>
      <c r="DF15" s="852" t="n"/>
      <c r="DG15" s="852" t="n"/>
      <c r="DH15" s="852" t="n"/>
      <c r="DI15" s="852" t="n"/>
      <c r="DJ15" s="852" t="n"/>
      <c r="DK15" s="852" t="n"/>
      <c r="DL15" s="852" t="n"/>
      <c r="DM15" s="852" t="n"/>
      <c r="DN15" s="852" t="n"/>
      <c r="DO15" s="852" t="n"/>
      <c r="DP15" s="852" t="n"/>
      <c r="DQ15" s="852" t="n"/>
      <c r="DR15" s="852" t="n"/>
      <c r="DS15" s="852" t="n"/>
      <c r="DT15" s="852" t="n"/>
      <c r="DU15" s="852" t="n"/>
      <c r="DV15" s="852" t="n"/>
      <c r="DW15" s="852" t="n"/>
      <c r="DX15" s="852" t="n"/>
      <c r="DY15" s="852" t="n"/>
      <c r="DZ15" s="852" t="n"/>
      <c r="EA15" s="852" t="n"/>
      <c r="EB15" s="852" t="n"/>
      <c r="EC15" s="852" t="n"/>
      <c r="ED15" s="852" t="n"/>
      <c r="EE15" s="852" t="n"/>
      <c r="EF15" s="852" t="n"/>
      <c r="EG15" s="852" t="n"/>
      <c r="EH15" s="852" t="n"/>
      <c r="EI15" s="852" t="n"/>
      <c r="EJ15" s="852" t="n"/>
      <c r="EK15" s="852" t="n"/>
      <c r="EL15" s="852" t="n"/>
      <c r="EM15" s="852" t="n"/>
      <c r="EN15" s="852" t="n"/>
      <c r="EO15" s="852" t="n"/>
      <c r="EP15" s="852" t="n"/>
      <c r="EQ15" s="852" t="n"/>
      <c r="ER15" s="852" t="n"/>
      <c r="ES15" s="852" t="n"/>
      <c r="ET15" s="852" t="n"/>
      <c r="EU15" s="852" t="n"/>
      <c r="EV15" s="852" t="n"/>
      <c r="EW15" s="852" t="n"/>
      <c r="EX15" s="852" t="n"/>
      <c r="EY15" s="852" t="n"/>
      <c r="EZ15" s="852" t="n"/>
      <c r="FA15" s="852" t="n"/>
      <c r="FB15" s="852" t="n"/>
      <c r="FC15" s="852" t="n"/>
      <c r="FD15" s="852" t="n"/>
      <c r="FE15" s="852" t="n"/>
      <c r="FF15" s="852" t="n"/>
      <c r="FG15" s="852" t="n"/>
      <c r="FH15" s="852" t="n"/>
      <c r="FI15" s="852" t="n"/>
      <c r="FJ15" s="852" t="n"/>
      <c r="FK15" s="852" t="n"/>
      <c r="FL15" s="852" t="n"/>
      <c r="FM15" s="852" t="n"/>
      <c r="FN15" s="852" t="n"/>
      <c r="FO15" s="852" t="n"/>
      <c r="FP15" s="852" t="n"/>
      <c r="FQ15" s="852" t="n"/>
      <c r="FR15" s="852" t="n"/>
      <c r="FS15" s="852" t="n"/>
      <c r="FT15" s="852" t="n"/>
      <c r="FU15" s="852" t="n"/>
      <c r="FV15" s="852" t="n"/>
      <c r="FW15" s="852" t="n"/>
      <c r="FX15" s="852" t="n"/>
      <c r="FY15" s="852" t="n"/>
      <c r="FZ15" s="852" t="n"/>
      <c r="GA15" s="852" t="n"/>
      <c r="GB15" s="852" t="n"/>
      <c r="GC15" s="852" t="n"/>
      <c r="GD15" s="852" t="n"/>
      <c r="GE15" s="852" t="n"/>
      <c r="GF15" s="852" t="n"/>
      <c r="GG15" s="852" t="n"/>
      <c r="GH15" s="852" t="n"/>
      <c r="GI15" s="852" t="n"/>
      <c r="GJ15" s="852" t="n"/>
      <c r="GK15" s="852" t="n"/>
      <c r="GL15" s="852" t="n"/>
      <c r="GM15" s="852" t="n"/>
      <c r="GN15" s="852" t="n"/>
      <c r="GO15" s="852" t="n"/>
      <c r="GP15" s="852" t="n"/>
      <c r="GQ15" s="852" t="n"/>
      <c r="GR15" s="852" t="n"/>
      <c r="GS15" s="852" t="n"/>
      <c r="GT15" s="852" t="n"/>
      <c r="GU15" s="852" t="n"/>
      <c r="GV15" s="852" t="n"/>
      <c r="GW15" s="852" t="n"/>
      <c r="GX15" s="852" t="n"/>
      <c r="GY15" s="852" t="n"/>
      <c r="GZ15" s="852" t="n"/>
      <c r="HA15" s="852" t="n"/>
      <c r="HB15" s="852" t="n"/>
      <c r="HC15" s="852" t="n"/>
      <c r="HD15" s="852" t="n"/>
      <c r="HE15" s="852" t="n"/>
      <c r="HF15" s="852" t="n"/>
      <c r="HG15" s="852" t="n"/>
      <c r="HH15" s="852" t="n"/>
      <c r="HI15" s="852" t="n"/>
      <c r="HJ15" s="852" t="n"/>
      <c r="HK15" s="852" t="n"/>
      <c r="HL15" s="852" t="n"/>
      <c r="HM15" s="852" t="n"/>
      <c r="HN15" s="852" t="n"/>
      <c r="HO15" s="852" t="n"/>
      <c r="HP15" s="852" t="n"/>
      <c r="HQ15" s="852" t="n"/>
      <c r="HR15" s="852" t="n"/>
      <c r="HS15" s="852" t="n"/>
      <c r="HT15" s="852" t="n"/>
      <c r="HU15" s="852" t="n"/>
      <c r="HV15" s="852" t="n"/>
      <c r="HW15" s="852" t="n"/>
      <c r="HX15" s="852" t="n"/>
      <c r="HY15" s="852" t="n"/>
      <c r="HZ15" s="852" t="n"/>
      <c r="IA15" s="852" t="n"/>
      <c r="IB15" s="852" t="n"/>
      <c r="IC15" s="852" t="n"/>
      <c r="ID15" s="852" t="n"/>
      <c r="IE15" s="852" t="n"/>
      <c r="IF15" s="852" t="n"/>
      <c r="IG15" s="852" t="n"/>
    </row>
    <row r="16" ht="16.5" customHeight="1">
      <c r="A16" s="186" t="n"/>
      <c r="B16" s="191" t="inlineStr">
        <is>
          <t>Total Interest Rate</t>
        </is>
      </c>
      <c r="C16" s="193">
        <f>C14+C15</f>
        <v/>
      </c>
      <c r="D16" s="186" t="n"/>
      <c r="E16" s="186" t="n"/>
      <c r="F16" s="213" t="n">
        <v>10</v>
      </c>
      <c r="G16" s="214">
        <f>$C$39</f>
        <v/>
      </c>
      <c r="H16" s="214">
        <f>(J15*$C$16)/12</f>
        <v/>
      </c>
      <c r="I16" s="214" t="n">
        <v>0</v>
      </c>
      <c r="J16" s="214">
        <f>J15-I16</f>
        <v/>
      </c>
      <c r="K16" s="946" t="n"/>
      <c r="L16" s="950" t="n"/>
      <c r="M16" s="946" t="n"/>
      <c r="N16" s="946" t="n"/>
      <c r="O16" s="951" t="n"/>
      <c r="P16" s="946" t="n"/>
      <c r="Q16" s="946" t="n"/>
      <c r="R16" s="946" t="n"/>
      <c r="S16" s="946" t="n"/>
      <c r="T16" s="946" t="n"/>
      <c r="U16" s="946" t="n"/>
      <c r="V16" s="946" t="n"/>
      <c r="W16" s="946" t="n"/>
      <c r="X16" s="946" t="n"/>
      <c r="Y16" s="946" t="n"/>
      <c r="Z16" s="946" t="n"/>
      <c r="AA16" s="946" t="n"/>
      <c r="AB16" s="946" t="n"/>
      <c r="AC16" s="852" t="n"/>
      <c r="AD16" s="852" t="n"/>
      <c r="AE16" s="852" t="n"/>
      <c r="AF16" s="852" t="n"/>
      <c r="AG16" s="852" t="n"/>
      <c r="AH16" s="852" t="n"/>
      <c r="AI16" s="852" t="n"/>
      <c r="AJ16" s="852" t="n"/>
      <c r="AK16" s="852" t="n"/>
      <c r="AL16" s="852" t="n"/>
      <c r="AM16" s="852" t="n"/>
      <c r="AN16" s="852" t="n"/>
      <c r="AO16" s="852" t="n"/>
      <c r="AP16" s="852" t="n"/>
      <c r="AQ16" s="852" t="n"/>
      <c r="AR16" s="852" t="n"/>
      <c r="AS16" s="852" t="n"/>
      <c r="AT16" s="852" t="n"/>
      <c r="AU16" s="852" t="n"/>
      <c r="AV16" s="852" t="n"/>
      <c r="AW16" s="852" t="n"/>
      <c r="AX16" s="852" t="n"/>
      <c r="AY16" s="852" t="n"/>
      <c r="AZ16" s="852" t="n"/>
      <c r="BA16" s="852" t="n"/>
      <c r="BB16" s="852" t="n"/>
      <c r="BC16" s="852" t="n"/>
      <c r="BD16" s="852" t="n"/>
      <c r="BE16" s="852" t="n"/>
      <c r="BF16" s="852" t="n"/>
      <c r="BG16" s="852" t="n"/>
      <c r="BH16" s="852" t="n"/>
      <c r="BI16" s="852" t="n"/>
      <c r="BJ16" s="852" t="n"/>
      <c r="BK16" s="852" t="n"/>
      <c r="BL16" s="852" t="n"/>
      <c r="BM16" s="852" t="n"/>
      <c r="BN16" s="852" t="n"/>
      <c r="BO16" s="852" t="n"/>
      <c r="BP16" s="852" t="n"/>
      <c r="BQ16" s="852" t="n"/>
      <c r="BR16" s="852" t="n"/>
      <c r="BS16" s="852" t="n"/>
      <c r="BT16" s="852" t="n"/>
      <c r="BU16" s="852" t="n"/>
      <c r="BV16" s="852" t="n"/>
      <c r="BW16" s="852" t="n"/>
      <c r="BX16" s="852" t="n"/>
      <c r="BY16" s="852" t="n"/>
      <c r="BZ16" s="852" t="n"/>
      <c r="CA16" s="852" t="n"/>
      <c r="CB16" s="852" t="n"/>
      <c r="CC16" s="852" t="n"/>
      <c r="CD16" s="852" t="n"/>
      <c r="CE16" s="852" t="n"/>
      <c r="CF16" s="852" t="n"/>
      <c r="CG16" s="852" t="n"/>
      <c r="CH16" s="852" t="n"/>
      <c r="CI16" s="852" t="n"/>
      <c r="CJ16" s="852" t="n"/>
      <c r="CK16" s="852" t="n"/>
      <c r="CL16" s="852" t="n"/>
      <c r="CM16" s="852" t="n"/>
      <c r="CN16" s="852" t="n"/>
      <c r="CO16" s="852" t="n"/>
      <c r="CP16" s="852" t="n"/>
      <c r="CQ16" s="852" t="n"/>
      <c r="CR16" s="852" t="n"/>
      <c r="CS16" s="852" t="n"/>
      <c r="CT16" s="852" t="n"/>
      <c r="CU16" s="852" t="n"/>
      <c r="CV16" s="852" t="n"/>
      <c r="CW16" s="852" t="n"/>
      <c r="CX16" s="852" t="n"/>
      <c r="CY16" s="852" t="n"/>
      <c r="CZ16" s="852" t="n"/>
      <c r="DA16" s="852" t="n"/>
      <c r="DB16" s="852" t="n"/>
      <c r="DC16" s="852" t="n"/>
      <c r="DD16" s="852" t="n"/>
      <c r="DE16" s="852" t="n"/>
      <c r="DF16" s="852" t="n"/>
      <c r="DG16" s="852" t="n"/>
      <c r="DH16" s="852" t="n"/>
      <c r="DI16" s="852" t="n"/>
      <c r="DJ16" s="852" t="n"/>
      <c r="DK16" s="852" t="n"/>
      <c r="DL16" s="852" t="n"/>
      <c r="DM16" s="852" t="n"/>
      <c r="DN16" s="852" t="n"/>
      <c r="DO16" s="852" t="n"/>
      <c r="DP16" s="852" t="n"/>
      <c r="DQ16" s="852" t="n"/>
      <c r="DR16" s="852" t="n"/>
      <c r="DS16" s="852" t="n"/>
      <c r="DT16" s="852" t="n"/>
      <c r="DU16" s="852" t="n"/>
      <c r="DV16" s="852" t="n"/>
      <c r="DW16" s="852" t="n"/>
      <c r="DX16" s="852" t="n"/>
      <c r="DY16" s="852" t="n"/>
      <c r="DZ16" s="852" t="n"/>
      <c r="EA16" s="852" t="n"/>
      <c r="EB16" s="852" t="n"/>
      <c r="EC16" s="852" t="n"/>
      <c r="ED16" s="852" t="n"/>
      <c r="EE16" s="852" t="n"/>
      <c r="EF16" s="852" t="n"/>
      <c r="EG16" s="852" t="n"/>
      <c r="EH16" s="852" t="n"/>
      <c r="EI16" s="852" t="n"/>
      <c r="EJ16" s="852" t="n"/>
      <c r="EK16" s="852" t="n"/>
      <c r="EL16" s="852" t="n"/>
      <c r="EM16" s="852" t="n"/>
      <c r="EN16" s="852" t="n"/>
      <c r="EO16" s="852" t="n"/>
      <c r="EP16" s="852" t="n"/>
      <c r="EQ16" s="852" t="n"/>
      <c r="ER16" s="852" t="n"/>
      <c r="ES16" s="852" t="n"/>
      <c r="ET16" s="852" t="n"/>
      <c r="EU16" s="852" t="n"/>
      <c r="EV16" s="852" t="n"/>
      <c r="EW16" s="852" t="n"/>
      <c r="EX16" s="852" t="n"/>
      <c r="EY16" s="852" t="n"/>
      <c r="EZ16" s="852" t="n"/>
      <c r="FA16" s="852" t="n"/>
      <c r="FB16" s="852" t="n"/>
      <c r="FC16" s="852" t="n"/>
      <c r="FD16" s="852" t="n"/>
      <c r="FE16" s="852" t="n"/>
      <c r="FF16" s="852" t="n"/>
      <c r="FG16" s="852" t="n"/>
      <c r="FH16" s="852" t="n"/>
      <c r="FI16" s="852" t="n"/>
      <c r="FJ16" s="852" t="n"/>
      <c r="FK16" s="852" t="n"/>
      <c r="FL16" s="852" t="n"/>
      <c r="FM16" s="852" t="n"/>
      <c r="FN16" s="852" t="n"/>
      <c r="FO16" s="852" t="n"/>
      <c r="FP16" s="852" t="n"/>
      <c r="FQ16" s="852" t="n"/>
      <c r="FR16" s="852" t="n"/>
      <c r="FS16" s="852" t="n"/>
      <c r="FT16" s="852" t="n"/>
      <c r="FU16" s="852" t="n"/>
      <c r="FV16" s="852" t="n"/>
      <c r="FW16" s="852" t="n"/>
      <c r="FX16" s="852" t="n"/>
      <c r="FY16" s="852" t="n"/>
      <c r="FZ16" s="852" t="n"/>
      <c r="GA16" s="852" t="n"/>
      <c r="GB16" s="852" t="n"/>
      <c r="GC16" s="852" t="n"/>
      <c r="GD16" s="852" t="n"/>
      <c r="GE16" s="852" t="n"/>
      <c r="GF16" s="852" t="n"/>
      <c r="GG16" s="852" t="n"/>
      <c r="GH16" s="852" t="n"/>
      <c r="GI16" s="852" t="n"/>
      <c r="GJ16" s="852" t="n"/>
      <c r="GK16" s="852" t="n"/>
      <c r="GL16" s="852" t="n"/>
      <c r="GM16" s="852" t="n"/>
      <c r="GN16" s="852" t="n"/>
      <c r="GO16" s="852" t="n"/>
      <c r="GP16" s="852" t="n"/>
      <c r="GQ16" s="852" t="n"/>
      <c r="GR16" s="852" t="n"/>
      <c r="GS16" s="852" t="n"/>
      <c r="GT16" s="852" t="n"/>
      <c r="GU16" s="852" t="n"/>
      <c r="GV16" s="852" t="n"/>
      <c r="GW16" s="852" t="n"/>
      <c r="GX16" s="852" t="n"/>
      <c r="GY16" s="852" t="n"/>
      <c r="GZ16" s="852" t="n"/>
      <c r="HA16" s="852" t="n"/>
      <c r="HB16" s="852" t="n"/>
      <c r="HC16" s="852" t="n"/>
      <c r="HD16" s="852" t="n"/>
      <c r="HE16" s="852" t="n"/>
      <c r="HF16" s="852" t="n"/>
      <c r="HG16" s="852" t="n"/>
      <c r="HH16" s="852" t="n"/>
      <c r="HI16" s="852" t="n"/>
      <c r="HJ16" s="852" t="n"/>
      <c r="HK16" s="852" t="n"/>
      <c r="HL16" s="852" t="n"/>
      <c r="HM16" s="852" t="n"/>
      <c r="HN16" s="852" t="n"/>
      <c r="HO16" s="852" t="n"/>
      <c r="HP16" s="852" t="n"/>
      <c r="HQ16" s="852" t="n"/>
      <c r="HR16" s="852" t="n"/>
      <c r="HS16" s="852" t="n"/>
      <c r="HT16" s="852" t="n"/>
      <c r="HU16" s="852" t="n"/>
      <c r="HV16" s="852" t="n"/>
      <c r="HW16" s="852" t="n"/>
      <c r="HX16" s="852" t="n"/>
      <c r="HY16" s="852" t="n"/>
      <c r="HZ16" s="852" t="n"/>
      <c r="IA16" s="852" t="n"/>
      <c r="IB16" s="852" t="n"/>
      <c r="IC16" s="852" t="n"/>
      <c r="ID16" s="852" t="n"/>
      <c r="IE16" s="852" t="n"/>
      <c r="IF16" s="852" t="n"/>
      <c r="IG16" s="852" t="n"/>
    </row>
    <row r="17" ht="16.5" customHeight="1">
      <c r="A17" s="186" t="n"/>
      <c r="B17" s="186" t="inlineStr">
        <is>
          <t>Mortgage Constant</t>
        </is>
      </c>
      <c r="C17" s="198">
        <f>IFERROR(PMT(C16/12,C$10,(-1))*12," ")</f>
        <v/>
      </c>
      <c r="D17" s="186" t="n"/>
      <c r="E17" s="186" t="n"/>
      <c r="F17" s="213" t="n">
        <v>11</v>
      </c>
      <c r="G17" s="214">
        <f>$C$39</f>
        <v/>
      </c>
      <c r="H17" s="214">
        <f>(J16*$C$16)/12</f>
        <v/>
      </c>
      <c r="I17" s="214" t="n">
        <v>0</v>
      </c>
      <c r="J17" s="214">
        <f>J16-I17</f>
        <v/>
      </c>
      <c r="K17" s="946" t="n"/>
      <c r="L17" s="946" t="n"/>
      <c r="M17" s="946" t="n"/>
      <c r="N17" s="946" t="n"/>
      <c r="O17" s="951" t="n"/>
      <c r="P17" s="946" t="n"/>
      <c r="Q17" s="946" t="n"/>
      <c r="R17" s="946" t="n"/>
      <c r="S17" s="946" t="n"/>
      <c r="T17" s="946" t="n"/>
      <c r="U17" s="946" t="n"/>
      <c r="V17" s="946" t="n"/>
      <c r="W17" s="946" t="n"/>
      <c r="X17" s="946" t="n"/>
      <c r="Y17" s="946" t="n"/>
      <c r="Z17" s="946" t="n"/>
      <c r="AA17" s="946" t="n"/>
      <c r="AB17" s="946" t="n"/>
      <c r="AC17" s="852" t="n"/>
      <c r="AD17" s="852" t="n"/>
      <c r="AE17" s="852" t="n"/>
      <c r="AF17" s="852" t="n"/>
      <c r="AG17" s="852" t="n"/>
      <c r="AH17" s="852" t="n"/>
      <c r="AI17" s="852" t="n"/>
      <c r="AJ17" s="852" t="n"/>
      <c r="AK17" s="852" t="n"/>
      <c r="AL17" s="852" t="n"/>
      <c r="AM17" s="852" t="n"/>
      <c r="AN17" s="852" t="n"/>
      <c r="AO17" s="852" t="n"/>
      <c r="AP17" s="852" t="n"/>
      <c r="AQ17" s="852" t="n"/>
      <c r="AR17" s="852" t="n"/>
      <c r="AS17" s="852" t="n"/>
      <c r="AT17" s="852" t="n"/>
      <c r="AU17" s="852" t="n"/>
      <c r="AV17" s="852" t="n"/>
      <c r="AW17" s="852" t="n"/>
      <c r="AX17" s="852" t="n"/>
      <c r="AY17" s="852" t="n"/>
      <c r="AZ17" s="852" t="n"/>
      <c r="BA17" s="852" t="n"/>
      <c r="BB17" s="852" t="n"/>
      <c r="BC17" s="852" t="n"/>
      <c r="BD17" s="852" t="n"/>
      <c r="BE17" s="852" t="n"/>
      <c r="BF17" s="852" t="n"/>
      <c r="BG17" s="852" t="n"/>
      <c r="BH17" s="852" t="n"/>
      <c r="BI17" s="852" t="n"/>
      <c r="BJ17" s="852" t="n"/>
      <c r="BK17" s="852" t="n"/>
      <c r="BL17" s="852" t="n"/>
      <c r="BM17" s="852" t="n"/>
      <c r="BN17" s="852" t="n"/>
      <c r="BO17" s="852" t="n"/>
      <c r="BP17" s="852" t="n"/>
      <c r="BQ17" s="852" t="n"/>
      <c r="BR17" s="852" t="n"/>
      <c r="BS17" s="852" t="n"/>
      <c r="BT17" s="852" t="n"/>
      <c r="BU17" s="852" t="n"/>
      <c r="BV17" s="852" t="n"/>
      <c r="BW17" s="852" t="n"/>
      <c r="BX17" s="852" t="n"/>
      <c r="BY17" s="852" t="n"/>
      <c r="BZ17" s="852" t="n"/>
      <c r="CA17" s="852" t="n"/>
      <c r="CB17" s="852" t="n"/>
      <c r="CC17" s="852" t="n"/>
      <c r="CD17" s="852" t="n"/>
      <c r="CE17" s="852" t="n"/>
      <c r="CF17" s="852" t="n"/>
      <c r="CG17" s="852" t="n"/>
      <c r="CH17" s="852" t="n"/>
      <c r="CI17" s="852" t="n"/>
      <c r="CJ17" s="852" t="n"/>
      <c r="CK17" s="852" t="n"/>
      <c r="CL17" s="852" t="n"/>
      <c r="CM17" s="852" t="n"/>
      <c r="CN17" s="852" t="n"/>
      <c r="CO17" s="852" t="n"/>
      <c r="CP17" s="852" t="n"/>
      <c r="CQ17" s="852" t="n"/>
      <c r="CR17" s="852" t="n"/>
      <c r="CS17" s="852" t="n"/>
      <c r="CT17" s="852" t="n"/>
      <c r="CU17" s="852" t="n"/>
      <c r="CV17" s="852" t="n"/>
      <c r="CW17" s="852" t="n"/>
      <c r="CX17" s="852" t="n"/>
      <c r="CY17" s="852" t="n"/>
      <c r="CZ17" s="852" t="n"/>
      <c r="DA17" s="852" t="n"/>
      <c r="DB17" s="852" t="n"/>
      <c r="DC17" s="852" t="n"/>
      <c r="DD17" s="852" t="n"/>
      <c r="DE17" s="852" t="n"/>
      <c r="DF17" s="852" t="n"/>
      <c r="DG17" s="852" t="n"/>
      <c r="DH17" s="852" t="n"/>
      <c r="DI17" s="852" t="n"/>
      <c r="DJ17" s="852" t="n"/>
      <c r="DK17" s="852" t="n"/>
      <c r="DL17" s="852" t="n"/>
      <c r="DM17" s="852" t="n"/>
      <c r="DN17" s="852" t="n"/>
      <c r="DO17" s="852" t="n"/>
      <c r="DP17" s="852" t="n"/>
      <c r="DQ17" s="852" t="n"/>
      <c r="DR17" s="852" t="n"/>
      <c r="DS17" s="852" t="n"/>
      <c r="DT17" s="852" t="n"/>
      <c r="DU17" s="852" t="n"/>
      <c r="DV17" s="852" t="n"/>
      <c r="DW17" s="852" t="n"/>
      <c r="DX17" s="852" t="n"/>
      <c r="DY17" s="852" t="n"/>
      <c r="DZ17" s="852" t="n"/>
      <c r="EA17" s="852" t="n"/>
      <c r="EB17" s="852" t="n"/>
      <c r="EC17" s="852" t="n"/>
      <c r="ED17" s="852" t="n"/>
      <c r="EE17" s="852" t="n"/>
      <c r="EF17" s="852" t="n"/>
      <c r="EG17" s="852" t="n"/>
      <c r="EH17" s="852" t="n"/>
      <c r="EI17" s="852" t="n"/>
      <c r="EJ17" s="852" t="n"/>
      <c r="EK17" s="852" t="n"/>
      <c r="EL17" s="852" t="n"/>
      <c r="EM17" s="852" t="n"/>
      <c r="EN17" s="852" t="n"/>
      <c r="EO17" s="852" t="n"/>
      <c r="EP17" s="852" t="n"/>
      <c r="EQ17" s="852" t="n"/>
      <c r="ER17" s="852" t="n"/>
      <c r="ES17" s="852" t="n"/>
      <c r="ET17" s="852" t="n"/>
      <c r="EU17" s="852" t="n"/>
      <c r="EV17" s="852" t="n"/>
      <c r="EW17" s="852" t="n"/>
      <c r="EX17" s="852" t="n"/>
      <c r="EY17" s="852" t="n"/>
      <c r="EZ17" s="852" t="n"/>
      <c r="FA17" s="852" t="n"/>
      <c r="FB17" s="852" t="n"/>
      <c r="FC17" s="852" t="n"/>
      <c r="FD17" s="852" t="n"/>
      <c r="FE17" s="852" t="n"/>
      <c r="FF17" s="852" t="n"/>
      <c r="FG17" s="852" t="n"/>
      <c r="FH17" s="852" t="n"/>
      <c r="FI17" s="852" t="n"/>
      <c r="FJ17" s="852" t="n"/>
      <c r="FK17" s="852" t="n"/>
      <c r="FL17" s="852" t="n"/>
      <c r="FM17" s="852" t="n"/>
      <c r="FN17" s="852" t="n"/>
      <c r="FO17" s="852" t="n"/>
      <c r="FP17" s="852" t="n"/>
      <c r="FQ17" s="852" t="n"/>
      <c r="FR17" s="852" t="n"/>
      <c r="FS17" s="852" t="n"/>
      <c r="FT17" s="852" t="n"/>
      <c r="FU17" s="852" t="n"/>
      <c r="FV17" s="852" t="n"/>
      <c r="FW17" s="852" t="n"/>
      <c r="FX17" s="852" t="n"/>
      <c r="FY17" s="852" t="n"/>
      <c r="FZ17" s="852" t="n"/>
      <c r="GA17" s="852" t="n"/>
      <c r="GB17" s="852" t="n"/>
      <c r="GC17" s="852" t="n"/>
      <c r="GD17" s="852" t="n"/>
      <c r="GE17" s="852" t="n"/>
      <c r="GF17" s="852" t="n"/>
      <c r="GG17" s="852" t="n"/>
      <c r="GH17" s="852" t="n"/>
      <c r="GI17" s="852" t="n"/>
      <c r="GJ17" s="852" t="n"/>
      <c r="GK17" s="852" t="n"/>
      <c r="GL17" s="852" t="n"/>
      <c r="GM17" s="852" t="n"/>
      <c r="GN17" s="852" t="n"/>
      <c r="GO17" s="852" t="n"/>
      <c r="GP17" s="852" t="n"/>
      <c r="GQ17" s="852" t="n"/>
      <c r="GR17" s="852" t="n"/>
      <c r="GS17" s="852" t="n"/>
      <c r="GT17" s="852" t="n"/>
      <c r="GU17" s="852" t="n"/>
      <c r="GV17" s="852" t="n"/>
      <c r="GW17" s="852" t="n"/>
      <c r="GX17" s="852" t="n"/>
      <c r="GY17" s="852" t="n"/>
      <c r="GZ17" s="852" t="n"/>
      <c r="HA17" s="852" t="n"/>
      <c r="HB17" s="852" t="n"/>
      <c r="HC17" s="852" t="n"/>
      <c r="HD17" s="852" t="n"/>
      <c r="HE17" s="852" t="n"/>
      <c r="HF17" s="852" t="n"/>
      <c r="HG17" s="852" t="n"/>
      <c r="HH17" s="852" t="n"/>
      <c r="HI17" s="852" t="n"/>
      <c r="HJ17" s="852" t="n"/>
      <c r="HK17" s="852" t="n"/>
      <c r="HL17" s="852" t="n"/>
      <c r="HM17" s="852" t="n"/>
      <c r="HN17" s="852" t="n"/>
      <c r="HO17" s="852" t="n"/>
      <c r="HP17" s="852" t="n"/>
      <c r="HQ17" s="852" t="n"/>
      <c r="HR17" s="852" t="n"/>
      <c r="HS17" s="852" t="n"/>
      <c r="HT17" s="852" t="n"/>
      <c r="HU17" s="852" t="n"/>
      <c r="HV17" s="852" t="n"/>
      <c r="HW17" s="852" t="n"/>
      <c r="HX17" s="852" t="n"/>
      <c r="HY17" s="852" t="n"/>
      <c r="HZ17" s="852" t="n"/>
      <c r="IA17" s="852" t="n"/>
      <c r="IB17" s="852" t="n"/>
      <c r="IC17" s="852" t="n"/>
      <c r="ID17" s="852" t="n"/>
      <c r="IE17" s="852" t="n"/>
      <c r="IF17" s="852" t="n"/>
      <c r="IG17" s="852" t="n"/>
    </row>
    <row r="18" ht="16.5" customHeight="1">
      <c r="A18" s="186" t="n"/>
      <c r="D18" s="186" t="n"/>
      <c r="E18" s="186" t="n"/>
      <c r="F18" s="504" t="n">
        <v>12</v>
      </c>
      <c r="G18" s="505">
        <f>$C$39</f>
        <v/>
      </c>
      <c r="H18" s="505">
        <f>(J17*$C$16)/12</f>
        <v/>
      </c>
      <c r="I18" s="505" t="n">
        <v>0</v>
      </c>
      <c r="J18" s="505">
        <f>J17-I18</f>
        <v/>
      </c>
      <c r="K18" s="946" t="n"/>
      <c r="L18" s="946" t="n"/>
      <c r="M18" s="946" t="n"/>
      <c r="N18" s="946" t="n"/>
      <c r="O18" s="951" t="n"/>
      <c r="P18" s="946" t="n"/>
      <c r="Q18" s="946" t="n"/>
      <c r="R18" s="946" t="n"/>
      <c r="S18" s="946" t="n"/>
      <c r="T18" s="946" t="n"/>
      <c r="U18" s="946" t="n"/>
      <c r="V18" s="946" t="n"/>
      <c r="W18" s="946" t="n"/>
      <c r="X18" s="946" t="n"/>
      <c r="Y18" s="946" t="n"/>
      <c r="Z18" s="946" t="n"/>
      <c r="AA18" s="946" t="n"/>
      <c r="AB18" s="946" t="n"/>
      <c r="AC18" s="852" t="n"/>
      <c r="AD18" s="852" t="n"/>
      <c r="AE18" s="852" t="n"/>
      <c r="AF18" s="852" t="n"/>
      <c r="AG18" s="852" t="n"/>
      <c r="AH18" s="852" t="n"/>
      <c r="AI18" s="852" t="n"/>
      <c r="AJ18" s="852" t="n"/>
      <c r="AK18" s="852" t="n"/>
      <c r="AL18" s="852" t="n"/>
      <c r="AM18" s="852" t="n"/>
      <c r="AN18" s="852" t="n"/>
      <c r="AO18" s="852" t="n"/>
      <c r="AP18" s="852" t="n"/>
      <c r="AQ18" s="852" t="n"/>
      <c r="AR18" s="852" t="n"/>
      <c r="AS18" s="852" t="n"/>
      <c r="AT18" s="852" t="n"/>
      <c r="AU18" s="852" t="n"/>
      <c r="AV18" s="852" t="n"/>
      <c r="AW18" s="852" t="n"/>
      <c r="AX18" s="852" t="n"/>
      <c r="AY18" s="852" t="n"/>
      <c r="AZ18" s="852" t="n"/>
      <c r="BA18" s="852" t="n"/>
      <c r="BB18" s="852" t="n"/>
      <c r="BC18" s="852" t="n"/>
      <c r="BD18" s="852" t="n"/>
      <c r="BE18" s="852" t="n"/>
      <c r="BF18" s="852" t="n"/>
      <c r="BG18" s="852" t="n"/>
      <c r="BH18" s="852" t="n"/>
      <c r="BI18" s="852" t="n"/>
      <c r="BJ18" s="852" t="n"/>
      <c r="BK18" s="852" t="n"/>
      <c r="BL18" s="852" t="n"/>
      <c r="BM18" s="852" t="n"/>
      <c r="BN18" s="852" t="n"/>
      <c r="BO18" s="852" t="n"/>
      <c r="BP18" s="852" t="n"/>
      <c r="BQ18" s="852" t="n"/>
      <c r="BR18" s="852" t="n"/>
      <c r="BS18" s="852" t="n"/>
      <c r="BT18" s="852" t="n"/>
      <c r="BU18" s="852" t="n"/>
      <c r="BV18" s="852" t="n"/>
      <c r="BW18" s="852" t="n"/>
      <c r="BX18" s="852" t="n"/>
      <c r="BY18" s="852" t="n"/>
      <c r="BZ18" s="852" t="n"/>
      <c r="CA18" s="852" t="n"/>
      <c r="CB18" s="852" t="n"/>
      <c r="CC18" s="852" t="n"/>
      <c r="CD18" s="852" t="n"/>
      <c r="CE18" s="852" t="n"/>
      <c r="CF18" s="852" t="n"/>
      <c r="CG18" s="852" t="n"/>
      <c r="CH18" s="852" t="n"/>
      <c r="CI18" s="852" t="n"/>
      <c r="CJ18" s="852" t="n"/>
      <c r="CK18" s="852" t="n"/>
      <c r="CL18" s="852" t="n"/>
      <c r="CM18" s="852" t="n"/>
      <c r="CN18" s="852" t="n"/>
      <c r="CO18" s="852" t="n"/>
      <c r="CP18" s="852" t="n"/>
      <c r="CQ18" s="852" t="n"/>
      <c r="CR18" s="852" t="n"/>
      <c r="CS18" s="852" t="n"/>
      <c r="CT18" s="852" t="n"/>
      <c r="CU18" s="852" t="n"/>
      <c r="CV18" s="852" t="n"/>
      <c r="CW18" s="852" t="n"/>
      <c r="CX18" s="852" t="n"/>
      <c r="CY18" s="852" t="n"/>
      <c r="CZ18" s="852" t="n"/>
      <c r="DA18" s="852" t="n"/>
      <c r="DB18" s="852" t="n"/>
      <c r="DC18" s="852" t="n"/>
      <c r="DD18" s="852" t="n"/>
      <c r="DE18" s="852" t="n"/>
      <c r="DF18" s="852" t="n"/>
      <c r="DG18" s="852" t="n"/>
      <c r="DH18" s="852" t="n"/>
      <c r="DI18" s="852" t="n"/>
      <c r="DJ18" s="852" t="n"/>
      <c r="DK18" s="852" t="n"/>
      <c r="DL18" s="852" t="n"/>
      <c r="DM18" s="852" t="n"/>
      <c r="DN18" s="852" t="n"/>
      <c r="DO18" s="852" t="n"/>
      <c r="DP18" s="852" t="n"/>
      <c r="DQ18" s="852" t="n"/>
      <c r="DR18" s="852" t="n"/>
      <c r="DS18" s="852" t="n"/>
      <c r="DT18" s="852" t="n"/>
      <c r="DU18" s="852" t="n"/>
      <c r="DV18" s="852" t="n"/>
      <c r="DW18" s="852" t="n"/>
      <c r="DX18" s="852" t="n"/>
      <c r="DY18" s="852" t="n"/>
      <c r="DZ18" s="852" t="n"/>
      <c r="EA18" s="852" t="n"/>
      <c r="EB18" s="852" t="n"/>
      <c r="EC18" s="852" t="n"/>
      <c r="ED18" s="852" t="n"/>
      <c r="EE18" s="852" t="n"/>
      <c r="EF18" s="852" t="n"/>
      <c r="EG18" s="852" t="n"/>
      <c r="EH18" s="852" t="n"/>
      <c r="EI18" s="852" t="n"/>
      <c r="EJ18" s="852" t="n"/>
      <c r="EK18" s="852" t="n"/>
      <c r="EL18" s="852" t="n"/>
      <c r="EM18" s="852" t="n"/>
      <c r="EN18" s="852" t="n"/>
      <c r="EO18" s="852" t="n"/>
      <c r="EP18" s="852" t="n"/>
      <c r="EQ18" s="852" t="n"/>
      <c r="ER18" s="852" t="n"/>
      <c r="ES18" s="852" t="n"/>
      <c r="ET18" s="852" t="n"/>
      <c r="EU18" s="852" t="n"/>
      <c r="EV18" s="852" t="n"/>
      <c r="EW18" s="852" t="n"/>
      <c r="EX18" s="852" t="n"/>
      <c r="EY18" s="852" t="n"/>
      <c r="EZ18" s="852" t="n"/>
      <c r="FA18" s="852" t="n"/>
      <c r="FB18" s="852" t="n"/>
      <c r="FC18" s="852" t="n"/>
      <c r="FD18" s="852" t="n"/>
      <c r="FE18" s="852" t="n"/>
      <c r="FF18" s="852" t="n"/>
      <c r="FG18" s="852" t="n"/>
      <c r="FH18" s="852" t="n"/>
      <c r="FI18" s="852" t="n"/>
      <c r="FJ18" s="852" t="n"/>
      <c r="FK18" s="852" t="n"/>
      <c r="FL18" s="852" t="n"/>
      <c r="FM18" s="852" t="n"/>
      <c r="FN18" s="852" t="n"/>
      <c r="FO18" s="852" t="n"/>
      <c r="FP18" s="852" t="n"/>
      <c r="FQ18" s="852" t="n"/>
      <c r="FR18" s="852" t="n"/>
      <c r="FS18" s="852" t="n"/>
      <c r="FT18" s="852" t="n"/>
      <c r="FU18" s="852" t="n"/>
      <c r="FV18" s="852" t="n"/>
      <c r="FW18" s="852" t="n"/>
      <c r="FX18" s="852" t="n"/>
      <c r="FY18" s="852" t="n"/>
      <c r="FZ18" s="852" t="n"/>
      <c r="GA18" s="852" t="n"/>
      <c r="GB18" s="852" t="n"/>
      <c r="GC18" s="852" t="n"/>
      <c r="GD18" s="852" t="n"/>
      <c r="GE18" s="852" t="n"/>
      <c r="GF18" s="852" t="n"/>
      <c r="GG18" s="852" t="n"/>
      <c r="GH18" s="852" t="n"/>
      <c r="GI18" s="852" t="n"/>
      <c r="GJ18" s="852" t="n"/>
      <c r="GK18" s="852" t="n"/>
      <c r="GL18" s="852" t="n"/>
      <c r="GM18" s="852" t="n"/>
      <c r="GN18" s="852" t="n"/>
      <c r="GO18" s="852" t="n"/>
      <c r="GP18" s="852" t="n"/>
      <c r="GQ18" s="852" t="n"/>
      <c r="GR18" s="852" t="n"/>
      <c r="GS18" s="852" t="n"/>
      <c r="GT18" s="852" t="n"/>
      <c r="GU18" s="852" t="n"/>
      <c r="GV18" s="852" t="n"/>
      <c r="GW18" s="852" t="n"/>
      <c r="GX18" s="852" t="n"/>
      <c r="GY18" s="852" t="n"/>
      <c r="GZ18" s="852" t="n"/>
      <c r="HA18" s="852" t="n"/>
      <c r="HB18" s="852" t="n"/>
      <c r="HC18" s="852" t="n"/>
      <c r="HD18" s="852" t="n"/>
      <c r="HE18" s="852" t="n"/>
      <c r="HF18" s="852" t="n"/>
      <c r="HG18" s="852" t="n"/>
      <c r="HH18" s="852" t="n"/>
      <c r="HI18" s="852" t="n"/>
      <c r="HJ18" s="852" t="n"/>
      <c r="HK18" s="852" t="n"/>
      <c r="HL18" s="852" t="n"/>
      <c r="HM18" s="852" t="n"/>
      <c r="HN18" s="852" t="n"/>
      <c r="HO18" s="852" t="n"/>
      <c r="HP18" s="852" t="n"/>
      <c r="HQ18" s="852" t="n"/>
      <c r="HR18" s="852" t="n"/>
      <c r="HS18" s="852" t="n"/>
      <c r="HT18" s="852" t="n"/>
      <c r="HU18" s="852" t="n"/>
      <c r="HV18" s="852" t="n"/>
      <c r="HW18" s="852" t="n"/>
      <c r="HX18" s="852" t="n"/>
      <c r="HY18" s="852" t="n"/>
      <c r="HZ18" s="852" t="n"/>
      <c r="IA18" s="852" t="n"/>
      <c r="IB18" s="852" t="n"/>
      <c r="IC18" s="852" t="n"/>
      <c r="ID18" s="852" t="n"/>
      <c r="IE18" s="852" t="n"/>
      <c r="IF18" s="852" t="n"/>
      <c r="IG18" s="852" t="n"/>
    </row>
    <row r="19" ht="16.5" customHeight="1">
      <c r="A19" s="186" t="n"/>
      <c r="B19" s="186" t="inlineStr">
        <is>
          <t>Purchase Price</t>
        </is>
      </c>
      <c r="C19" s="263">
        <f>'Sources and Uses'!C13</f>
        <v/>
      </c>
      <c r="D19" s="186" t="n"/>
      <c r="E19" s="186" t="n"/>
      <c r="F19" s="213" t="n">
        <v>13</v>
      </c>
      <c r="G19" s="214">
        <f>$C$39</f>
        <v/>
      </c>
      <c r="H19" s="214">
        <f>(J18*$C$16)/12</f>
        <v/>
      </c>
      <c r="I19" s="214" t="n">
        <v>0</v>
      </c>
      <c r="J19" s="214">
        <f>J18-I19</f>
        <v/>
      </c>
      <c r="K19" s="946" t="n"/>
      <c r="L19" s="946" t="n"/>
      <c r="M19" s="946" t="n"/>
      <c r="N19" s="946" t="n"/>
      <c r="O19" s="951" t="n"/>
      <c r="P19" s="946" t="n"/>
      <c r="Q19" s="946" t="n"/>
      <c r="R19" s="946" t="n"/>
      <c r="S19" s="946" t="n"/>
      <c r="T19" s="946" t="n"/>
      <c r="U19" s="946" t="n"/>
      <c r="V19" s="946" t="n"/>
      <c r="W19" s="946" t="n"/>
      <c r="X19" s="946" t="n"/>
      <c r="Y19" s="946" t="n"/>
      <c r="Z19" s="946" t="n"/>
      <c r="AA19" s="946" t="n"/>
      <c r="AB19" s="946" t="n"/>
      <c r="AC19" s="852" t="n"/>
      <c r="AD19" s="852" t="n"/>
      <c r="AE19" s="852" t="n"/>
      <c r="AF19" s="852" t="n"/>
      <c r="AG19" s="852" t="n"/>
      <c r="AH19" s="852" t="n"/>
      <c r="AI19" s="852" t="n"/>
      <c r="AJ19" s="852" t="n"/>
      <c r="AK19" s="852" t="n"/>
      <c r="AL19" s="852" t="n"/>
      <c r="AM19" s="852" t="n"/>
      <c r="AN19" s="852" t="n"/>
      <c r="AO19" s="852" t="n"/>
      <c r="AP19" s="852" t="n"/>
      <c r="AQ19" s="852" t="n"/>
      <c r="AR19" s="852" t="n"/>
      <c r="AS19" s="852" t="n"/>
      <c r="AT19" s="852" t="n"/>
      <c r="AU19" s="852" t="n"/>
      <c r="AV19" s="852" t="n"/>
      <c r="AW19" s="852" t="n"/>
      <c r="AX19" s="852" t="n"/>
      <c r="AY19" s="852" t="n"/>
      <c r="AZ19" s="852" t="n"/>
      <c r="BA19" s="852" t="n"/>
      <c r="BB19" s="852" t="n"/>
      <c r="BC19" s="852" t="n"/>
      <c r="BD19" s="852" t="n"/>
      <c r="BE19" s="852" t="n"/>
      <c r="BF19" s="852" t="n"/>
      <c r="BG19" s="852" t="n"/>
      <c r="BH19" s="852" t="n"/>
      <c r="BI19" s="852" t="n"/>
      <c r="BJ19" s="852" t="n"/>
      <c r="BK19" s="852" t="n"/>
      <c r="BL19" s="852" t="n"/>
      <c r="BM19" s="852" t="n"/>
      <c r="BN19" s="852" t="n"/>
      <c r="BO19" s="852" t="n"/>
      <c r="BP19" s="852" t="n"/>
      <c r="BQ19" s="852" t="n"/>
      <c r="BR19" s="852" t="n"/>
      <c r="BS19" s="852" t="n"/>
      <c r="BT19" s="852" t="n"/>
      <c r="BU19" s="852" t="n"/>
      <c r="BV19" s="852" t="n"/>
      <c r="BW19" s="852" t="n"/>
      <c r="BX19" s="852" t="n"/>
      <c r="BY19" s="852" t="n"/>
      <c r="BZ19" s="852" t="n"/>
      <c r="CA19" s="852" t="n"/>
      <c r="CB19" s="852" t="n"/>
      <c r="CC19" s="852" t="n"/>
      <c r="CD19" s="852" t="n"/>
      <c r="CE19" s="852" t="n"/>
      <c r="CF19" s="852" t="n"/>
      <c r="CG19" s="852" t="n"/>
      <c r="CH19" s="852" t="n"/>
      <c r="CI19" s="852" t="n"/>
      <c r="CJ19" s="852" t="n"/>
      <c r="CK19" s="852" t="n"/>
      <c r="CL19" s="852" t="n"/>
      <c r="CM19" s="852" t="n"/>
      <c r="CN19" s="852" t="n"/>
      <c r="CO19" s="852" t="n"/>
      <c r="CP19" s="852" t="n"/>
      <c r="CQ19" s="852" t="n"/>
      <c r="CR19" s="852" t="n"/>
      <c r="CS19" s="852" t="n"/>
      <c r="CT19" s="852" t="n"/>
      <c r="CU19" s="852" t="n"/>
      <c r="CV19" s="852" t="n"/>
      <c r="CW19" s="852" t="n"/>
      <c r="CX19" s="852" t="n"/>
      <c r="CY19" s="852" t="n"/>
      <c r="CZ19" s="852" t="n"/>
      <c r="DA19" s="852" t="n"/>
      <c r="DB19" s="852" t="n"/>
      <c r="DC19" s="852" t="n"/>
      <c r="DD19" s="852" t="n"/>
      <c r="DE19" s="852" t="n"/>
      <c r="DF19" s="852" t="n"/>
      <c r="DG19" s="852" t="n"/>
      <c r="DH19" s="852" t="n"/>
      <c r="DI19" s="852" t="n"/>
      <c r="DJ19" s="852" t="n"/>
      <c r="DK19" s="852" t="n"/>
      <c r="DL19" s="852" t="n"/>
      <c r="DM19" s="852" t="n"/>
      <c r="DN19" s="852" t="n"/>
      <c r="DO19" s="852" t="n"/>
      <c r="DP19" s="852" t="n"/>
      <c r="DQ19" s="852" t="n"/>
      <c r="DR19" s="852" t="n"/>
      <c r="DS19" s="852" t="n"/>
      <c r="DT19" s="852" t="n"/>
      <c r="DU19" s="852" t="n"/>
      <c r="DV19" s="852" t="n"/>
      <c r="DW19" s="852" t="n"/>
      <c r="DX19" s="852" t="n"/>
      <c r="DY19" s="852" t="n"/>
      <c r="DZ19" s="852" t="n"/>
      <c r="EA19" s="852" t="n"/>
      <c r="EB19" s="852" t="n"/>
      <c r="EC19" s="852" t="n"/>
      <c r="ED19" s="852" t="n"/>
      <c r="EE19" s="852" t="n"/>
      <c r="EF19" s="852" t="n"/>
      <c r="EG19" s="852" t="n"/>
      <c r="EH19" s="852" t="n"/>
      <c r="EI19" s="852" t="n"/>
      <c r="EJ19" s="852" t="n"/>
      <c r="EK19" s="852" t="n"/>
      <c r="EL19" s="852" t="n"/>
      <c r="EM19" s="852" t="n"/>
      <c r="EN19" s="852" t="n"/>
      <c r="EO19" s="852" t="n"/>
      <c r="EP19" s="852" t="n"/>
      <c r="EQ19" s="852" t="n"/>
      <c r="ER19" s="852" t="n"/>
      <c r="ES19" s="852" t="n"/>
      <c r="ET19" s="852" t="n"/>
      <c r="EU19" s="852" t="n"/>
      <c r="EV19" s="852" t="n"/>
      <c r="EW19" s="852" t="n"/>
      <c r="EX19" s="852" t="n"/>
      <c r="EY19" s="852" t="n"/>
      <c r="EZ19" s="852" t="n"/>
      <c r="FA19" s="852" t="n"/>
      <c r="FB19" s="852" t="n"/>
      <c r="FC19" s="852" t="n"/>
      <c r="FD19" s="852" t="n"/>
      <c r="FE19" s="852" t="n"/>
      <c r="FF19" s="852" t="n"/>
      <c r="FG19" s="852" t="n"/>
      <c r="FH19" s="852" t="n"/>
      <c r="FI19" s="852" t="n"/>
      <c r="FJ19" s="852" t="n"/>
      <c r="FK19" s="852" t="n"/>
      <c r="FL19" s="852" t="n"/>
      <c r="FM19" s="852" t="n"/>
      <c r="FN19" s="852" t="n"/>
      <c r="FO19" s="852" t="n"/>
      <c r="FP19" s="852" t="n"/>
      <c r="FQ19" s="852" t="n"/>
      <c r="FR19" s="852" t="n"/>
      <c r="FS19" s="852" t="n"/>
      <c r="FT19" s="852" t="n"/>
      <c r="FU19" s="852" t="n"/>
      <c r="FV19" s="852" t="n"/>
      <c r="FW19" s="852" t="n"/>
      <c r="FX19" s="852" t="n"/>
      <c r="FY19" s="852" t="n"/>
      <c r="FZ19" s="852" t="n"/>
      <c r="GA19" s="852" t="n"/>
      <c r="GB19" s="852" t="n"/>
      <c r="GC19" s="852" t="n"/>
      <c r="GD19" s="852" t="n"/>
      <c r="GE19" s="852" t="n"/>
      <c r="GF19" s="852" t="n"/>
      <c r="GG19" s="852" t="n"/>
      <c r="GH19" s="852" t="n"/>
      <c r="GI19" s="852" t="n"/>
      <c r="GJ19" s="852" t="n"/>
      <c r="GK19" s="852" t="n"/>
      <c r="GL19" s="852" t="n"/>
      <c r="GM19" s="852" t="n"/>
      <c r="GN19" s="852" t="n"/>
      <c r="GO19" s="852" t="n"/>
      <c r="GP19" s="852" t="n"/>
      <c r="GQ19" s="852" t="n"/>
      <c r="GR19" s="852" t="n"/>
      <c r="GS19" s="852" t="n"/>
      <c r="GT19" s="852" t="n"/>
      <c r="GU19" s="852" t="n"/>
      <c r="GV19" s="852" t="n"/>
      <c r="GW19" s="852" t="n"/>
      <c r="GX19" s="852" t="n"/>
      <c r="GY19" s="852" t="n"/>
      <c r="GZ19" s="852" t="n"/>
      <c r="HA19" s="852" t="n"/>
      <c r="HB19" s="852" t="n"/>
      <c r="HC19" s="852" t="n"/>
      <c r="HD19" s="852" t="n"/>
      <c r="HE19" s="852" t="n"/>
      <c r="HF19" s="852" t="n"/>
      <c r="HG19" s="852" t="n"/>
      <c r="HH19" s="852" t="n"/>
      <c r="HI19" s="852" t="n"/>
      <c r="HJ19" s="852" t="n"/>
      <c r="HK19" s="852" t="n"/>
      <c r="HL19" s="852" t="n"/>
      <c r="HM19" s="852" t="n"/>
      <c r="HN19" s="852" t="n"/>
      <c r="HO19" s="852" t="n"/>
      <c r="HP19" s="852" t="n"/>
      <c r="HQ19" s="852" t="n"/>
      <c r="HR19" s="852" t="n"/>
      <c r="HS19" s="852" t="n"/>
      <c r="HT19" s="852" t="n"/>
      <c r="HU19" s="852" t="n"/>
      <c r="HV19" s="852" t="n"/>
      <c r="HW19" s="852" t="n"/>
      <c r="HX19" s="852" t="n"/>
      <c r="HY19" s="852" t="n"/>
      <c r="HZ19" s="852" t="n"/>
      <c r="IA19" s="852" t="n"/>
      <c r="IB19" s="852" t="n"/>
      <c r="IC19" s="852" t="n"/>
      <c r="ID19" s="852" t="n"/>
      <c r="IE19" s="852" t="n"/>
      <c r="IF19" s="852" t="n"/>
      <c r="IG19" s="852" t="n"/>
    </row>
    <row r="20" ht="16.5" customHeight="1">
      <c r="A20" s="186" t="n"/>
      <c r="B20" s="186" t="inlineStr">
        <is>
          <t>Closing Costs</t>
        </is>
      </c>
      <c r="C20" s="274" t="n">
        <v>0</v>
      </c>
      <c r="D20" s="186" t="n"/>
      <c r="E20" s="186" t="n"/>
      <c r="F20" s="213" t="n">
        <v>14</v>
      </c>
      <c r="G20" s="214">
        <f>$C$39</f>
        <v/>
      </c>
      <c r="H20" s="214">
        <f>(J19*$C$16)/12</f>
        <v/>
      </c>
      <c r="I20" s="214" t="n">
        <v>0</v>
      </c>
      <c r="J20" s="214">
        <f>J19-I20</f>
        <v/>
      </c>
      <c r="K20" s="946" t="n"/>
      <c r="L20" s="946" t="n"/>
      <c r="M20" s="946" t="n"/>
      <c r="N20" s="946" t="n"/>
      <c r="O20" s="951" t="n"/>
      <c r="P20" s="946" t="n"/>
      <c r="Q20" s="952" t="n"/>
      <c r="R20" s="952" t="n"/>
      <c r="S20" s="953" t="n"/>
      <c r="T20" s="946" t="n"/>
      <c r="U20" s="946" t="n"/>
      <c r="V20" s="946" t="n"/>
      <c r="W20" s="946" t="n"/>
      <c r="X20" s="946" t="n"/>
      <c r="Y20" s="946" t="n"/>
      <c r="Z20" s="946" t="n"/>
      <c r="AA20" s="946" t="n"/>
      <c r="AB20" s="946" t="n"/>
      <c r="AC20" s="852" t="n"/>
      <c r="AD20" s="852" t="n"/>
      <c r="AE20" s="852" t="n"/>
      <c r="AF20" s="852" t="n"/>
      <c r="AG20" s="852" t="n"/>
      <c r="AH20" s="852" t="n"/>
      <c r="AI20" s="852" t="n"/>
      <c r="AJ20" s="852" t="n"/>
      <c r="AK20" s="852" t="n"/>
      <c r="AL20" s="852" t="n"/>
      <c r="AM20" s="852" t="n"/>
      <c r="AN20" s="852" t="n"/>
      <c r="AO20" s="852" t="n"/>
      <c r="AP20" s="852" t="n"/>
      <c r="AQ20" s="852" t="n"/>
      <c r="AR20" s="852" t="n"/>
      <c r="AS20" s="852" t="n"/>
      <c r="AT20" s="852" t="n"/>
      <c r="AU20" s="852" t="n"/>
      <c r="AV20" s="852" t="n"/>
      <c r="AW20" s="852" t="n"/>
      <c r="AX20" s="852" t="n"/>
      <c r="AY20" s="852" t="n"/>
      <c r="AZ20" s="852" t="n"/>
      <c r="BA20" s="852" t="n"/>
      <c r="BB20" s="852" t="n"/>
      <c r="BC20" s="852" t="n"/>
      <c r="BD20" s="852" t="n"/>
      <c r="BE20" s="852" t="n"/>
      <c r="BF20" s="852" t="n"/>
      <c r="BG20" s="852" t="n"/>
      <c r="BH20" s="852" t="n"/>
      <c r="BI20" s="852" t="n"/>
      <c r="BJ20" s="852" t="n"/>
      <c r="BK20" s="852" t="n"/>
      <c r="BL20" s="852" t="n"/>
      <c r="BM20" s="852" t="n"/>
      <c r="BN20" s="852" t="n"/>
      <c r="BO20" s="852" t="n"/>
      <c r="BP20" s="852" t="n"/>
      <c r="BQ20" s="852" t="n"/>
      <c r="BR20" s="852" t="n"/>
      <c r="BS20" s="852" t="n"/>
      <c r="BT20" s="852" t="n"/>
      <c r="BU20" s="852" t="n"/>
      <c r="BV20" s="852" t="n"/>
      <c r="BW20" s="852" t="n"/>
      <c r="BX20" s="852" t="n"/>
      <c r="BY20" s="852" t="n"/>
      <c r="BZ20" s="852" t="n"/>
      <c r="CA20" s="852" t="n"/>
      <c r="CB20" s="852" t="n"/>
      <c r="CC20" s="852" t="n"/>
      <c r="CD20" s="852" t="n"/>
      <c r="CE20" s="852" t="n"/>
      <c r="CF20" s="852" t="n"/>
      <c r="CG20" s="852" t="n"/>
      <c r="CH20" s="852" t="n"/>
      <c r="CI20" s="852" t="n"/>
      <c r="CJ20" s="852" t="n"/>
      <c r="CK20" s="852" t="n"/>
      <c r="CL20" s="852" t="n"/>
      <c r="CM20" s="852" t="n"/>
      <c r="CN20" s="852" t="n"/>
      <c r="CO20" s="852" t="n"/>
      <c r="CP20" s="852" t="n"/>
      <c r="CQ20" s="852" t="n"/>
      <c r="CR20" s="852" t="n"/>
      <c r="CS20" s="852" t="n"/>
      <c r="CT20" s="852" t="n"/>
      <c r="CU20" s="852" t="n"/>
      <c r="CV20" s="852" t="n"/>
      <c r="CW20" s="852" t="n"/>
      <c r="CX20" s="852" t="n"/>
      <c r="CY20" s="852" t="n"/>
      <c r="CZ20" s="852" t="n"/>
      <c r="DA20" s="852" t="n"/>
      <c r="DB20" s="852" t="n"/>
      <c r="DC20" s="852" t="n"/>
      <c r="DD20" s="852" t="n"/>
      <c r="DE20" s="852" t="n"/>
      <c r="DF20" s="852" t="n"/>
      <c r="DG20" s="852" t="n"/>
      <c r="DH20" s="852" t="n"/>
      <c r="DI20" s="852" t="n"/>
      <c r="DJ20" s="852" t="n"/>
      <c r="DK20" s="852" t="n"/>
      <c r="DL20" s="852" t="n"/>
      <c r="DM20" s="852" t="n"/>
      <c r="DN20" s="852" t="n"/>
      <c r="DO20" s="852" t="n"/>
      <c r="DP20" s="852" t="n"/>
      <c r="DQ20" s="852" t="n"/>
      <c r="DR20" s="852" t="n"/>
      <c r="DS20" s="852" t="n"/>
      <c r="DT20" s="852" t="n"/>
      <c r="DU20" s="852" t="n"/>
      <c r="DV20" s="852" t="n"/>
      <c r="DW20" s="852" t="n"/>
      <c r="DX20" s="852" t="n"/>
      <c r="DY20" s="852" t="n"/>
      <c r="DZ20" s="852" t="n"/>
      <c r="EA20" s="852" t="n"/>
      <c r="EB20" s="852" t="n"/>
      <c r="EC20" s="852" t="n"/>
      <c r="ED20" s="852" t="n"/>
      <c r="EE20" s="852" t="n"/>
      <c r="EF20" s="852" t="n"/>
      <c r="EG20" s="852" t="n"/>
      <c r="EH20" s="852" t="n"/>
      <c r="EI20" s="852" t="n"/>
      <c r="EJ20" s="852" t="n"/>
      <c r="EK20" s="852" t="n"/>
      <c r="EL20" s="852" t="n"/>
      <c r="EM20" s="852" t="n"/>
      <c r="EN20" s="852" t="n"/>
      <c r="EO20" s="852" t="n"/>
      <c r="EP20" s="852" t="n"/>
      <c r="EQ20" s="852" t="n"/>
      <c r="ER20" s="852" t="n"/>
      <c r="ES20" s="852" t="n"/>
      <c r="ET20" s="852" t="n"/>
      <c r="EU20" s="852" t="n"/>
      <c r="EV20" s="852" t="n"/>
      <c r="EW20" s="852" t="n"/>
      <c r="EX20" s="852" t="n"/>
      <c r="EY20" s="852" t="n"/>
      <c r="EZ20" s="852" t="n"/>
      <c r="FA20" s="852" t="n"/>
      <c r="FB20" s="852" t="n"/>
      <c r="FC20" s="852" t="n"/>
      <c r="FD20" s="852" t="n"/>
      <c r="FE20" s="852" t="n"/>
      <c r="FF20" s="852" t="n"/>
      <c r="FG20" s="852" t="n"/>
      <c r="FH20" s="852" t="n"/>
      <c r="FI20" s="852" t="n"/>
      <c r="FJ20" s="852" t="n"/>
      <c r="FK20" s="852" t="n"/>
      <c r="FL20" s="852" t="n"/>
      <c r="FM20" s="852" t="n"/>
      <c r="FN20" s="852" t="n"/>
      <c r="FO20" s="852" t="n"/>
      <c r="FP20" s="852" t="n"/>
      <c r="FQ20" s="852" t="n"/>
      <c r="FR20" s="852" t="n"/>
      <c r="FS20" s="852" t="n"/>
      <c r="FT20" s="852" t="n"/>
      <c r="FU20" s="852" t="n"/>
      <c r="FV20" s="852" t="n"/>
      <c r="FW20" s="852" t="n"/>
      <c r="FX20" s="852" t="n"/>
      <c r="FY20" s="852" t="n"/>
      <c r="FZ20" s="852" t="n"/>
      <c r="GA20" s="852" t="n"/>
      <c r="GB20" s="852" t="n"/>
      <c r="GC20" s="852" t="n"/>
      <c r="GD20" s="852" t="n"/>
      <c r="GE20" s="852" t="n"/>
      <c r="GF20" s="852" t="n"/>
      <c r="GG20" s="852" t="n"/>
      <c r="GH20" s="852" t="n"/>
      <c r="GI20" s="852" t="n"/>
      <c r="GJ20" s="852" t="n"/>
      <c r="GK20" s="852" t="n"/>
      <c r="GL20" s="852" t="n"/>
      <c r="GM20" s="852" t="n"/>
      <c r="GN20" s="852" t="n"/>
      <c r="GO20" s="852" t="n"/>
      <c r="GP20" s="852" t="n"/>
      <c r="GQ20" s="852" t="n"/>
      <c r="GR20" s="852" t="n"/>
      <c r="GS20" s="852" t="n"/>
      <c r="GT20" s="852" t="n"/>
      <c r="GU20" s="852" t="n"/>
      <c r="GV20" s="852" t="n"/>
      <c r="GW20" s="852" t="n"/>
      <c r="GX20" s="852" t="n"/>
      <c r="GY20" s="852" t="n"/>
      <c r="GZ20" s="852" t="n"/>
      <c r="HA20" s="852" t="n"/>
      <c r="HB20" s="852" t="n"/>
      <c r="HC20" s="852" t="n"/>
      <c r="HD20" s="852" t="n"/>
      <c r="HE20" s="852" t="n"/>
      <c r="HF20" s="852" t="n"/>
      <c r="HG20" s="852" t="n"/>
      <c r="HH20" s="852" t="n"/>
      <c r="HI20" s="852" t="n"/>
      <c r="HJ20" s="852" t="n"/>
      <c r="HK20" s="852" t="n"/>
      <c r="HL20" s="852" t="n"/>
      <c r="HM20" s="852" t="n"/>
      <c r="HN20" s="852" t="n"/>
      <c r="HO20" s="852" t="n"/>
      <c r="HP20" s="852" t="n"/>
      <c r="HQ20" s="852" t="n"/>
      <c r="HR20" s="852" t="n"/>
      <c r="HS20" s="852" t="n"/>
      <c r="HT20" s="852" t="n"/>
      <c r="HU20" s="852" t="n"/>
      <c r="HV20" s="852" t="n"/>
      <c r="HW20" s="852" t="n"/>
      <c r="HX20" s="852" t="n"/>
      <c r="HY20" s="852" t="n"/>
      <c r="HZ20" s="852" t="n"/>
      <c r="IA20" s="852" t="n"/>
      <c r="IB20" s="852" t="n"/>
      <c r="IC20" s="852" t="n"/>
      <c r="ID20" s="852" t="n"/>
      <c r="IE20" s="852" t="n"/>
      <c r="IF20" s="852" t="n"/>
      <c r="IG20" s="852" t="n"/>
    </row>
    <row r="21" ht="16.5" customHeight="1">
      <c r="A21" s="186" t="n"/>
      <c r="B21" s="186" t="inlineStr">
        <is>
          <t>Capital Expenditure</t>
        </is>
      </c>
      <c r="C21" s="263">
        <f>'Sources and Uses'!C17</f>
        <v/>
      </c>
      <c r="D21" s="186" t="n"/>
      <c r="E21" s="186" t="n"/>
      <c r="F21" s="213" t="n">
        <v>15</v>
      </c>
      <c r="G21" s="214">
        <f>$C$39</f>
        <v/>
      </c>
      <c r="H21" s="214">
        <f>(J20*$C$16)/12</f>
        <v/>
      </c>
      <c r="I21" s="214" t="n">
        <v>0</v>
      </c>
      <c r="J21" s="214">
        <f>J20-I21</f>
        <v/>
      </c>
      <c r="K21" s="946" t="n"/>
      <c r="L21" s="946" t="n"/>
      <c r="M21" s="946" t="n"/>
      <c r="N21" s="946" t="n"/>
      <c r="O21" s="946" t="n"/>
      <c r="P21" s="946" t="n"/>
      <c r="Q21" s="946" t="n"/>
      <c r="R21" s="946" t="n"/>
      <c r="S21" s="953" t="n"/>
      <c r="T21" s="946" t="n"/>
      <c r="U21" s="946" t="n"/>
      <c r="V21" s="946" t="n"/>
      <c r="W21" s="946" t="n"/>
      <c r="X21" s="946" t="n"/>
      <c r="Y21" s="946" t="n"/>
      <c r="Z21" s="946" t="n"/>
      <c r="AA21" s="946" t="n"/>
      <c r="AB21" s="946" t="n"/>
      <c r="AC21" s="852" t="n"/>
      <c r="AD21" s="852" t="n"/>
      <c r="AE21" s="852" t="n"/>
      <c r="AF21" s="852" t="n"/>
      <c r="AG21" s="852" t="n"/>
      <c r="AH21" s="852" t="n"/>
      <c r="AI21" s="852" t="n"/>
      <c r="AJ21" s="852" t="n"/>
      <c r="AK21" s="852" t="n"/>
      <c r="AL21" s="852" t="n"/>
      <c r="AM21" s="852" t="n"/>
      <c r="AN21" s="852" t="n"/>
      <c r="AO21" s="852" t="n"/>
      <c r="AP21" s="852" t="n"/>
      <c r="AQ21" s="852" t="n"/>
      <c r="AR21" s="852" t="n"/>
      <c r="AS21" s="852" t="n"/>
      <c r="AT21" s="852" t="n"/>
      <c r="AU21" s="852" t="n"/>
      <c r="AV21" s="852" t="n"/>
      <c r="AW21" s="852" t="n"/>
      <c r="AX21" s="852" t="n"/>
      <c r="AY21" s="852" t="n"/>
      <c r="AZ21" s="852" t="n"/>
      <c r="BA21" s="852" t="n"/>
      <c r="BB21" s="852" t="n"/>
      <c r="BC21" s="852" t="n"/>
      <c r="BD21" s="852" t="n"/>
      <c r="BE21" s="852" t="n"/>
      <c r="BF21" s="852" t="n"/>
      <c r="BG21" s="852" t="n"/>
      <c r="BH21" s="852" t="n"/>
      <c r="BI21" s="852" t="n"/>
      <c r="BJ21" s="852" t="n"/>
      <c r="BK21" s="852" t="n"/>
      <c r="BL21" s="852" t="n"/>
      <c r="BM21" s="852" t="n"/>
      <c r="BN21" s="852" t="n"/>
      <c r="BO21" s="852" t="n"/>
      <c r="BP21" s="852" t="n"/>
      <c r="BQ21" s="852" t="n"/>
      <c r="BR21" s="852" t="n"/>
      <c r="BS21" s="852" t="n"/>
      <c r="BT21" s="852" t="n"/>
      <c r="BU21" s="852" t="n"/>
      <c r="BV21" s="852" t="n"/>
      <c r="BW21" s="852" t="n"/>
      <c r="BX21" s="852" t="n"/>
      <c r="BY21" s="852" t="n"/>
      <c r="BZ21" s="852" t="n"/>
      <c r="CA21" s="852" t="n"/>
      <c r="CB21" s="852" t="n"/>
      <c r="CC21" s="852" t="n"/>
      <c r="CD21" s="852" t="n"/>
      <c r="CE21" s="852" t="n"/>
      <c r="CF21" s="852" t="n"/>
      <c r="CG21" s="852" t="n"/>
      <c r="CH21" s="852" t="n"/>
      <c r="CI21" s="852" t="n"/>
      <c r="CJ21" s="852" t="n"/>
      <c r="CK21" s="852" t="n"/>
      <c r="CL21" s="852" t="n"/>
      <c r="CM21" s="852" t="n"/>
      <c r="CN21" s="852" t="n"/>
      <c r="CO21" s="852" t="n"/>
      <c r="CP21" s="852" t="n"/>
      <c r="CQ21" s="852" t="n"/>
      <c r="CR21" s="852" t="n"/>
      <c r="CS21" s="852" t="n"/>
      <c r="CT21" s="852" t="n"/>
      <c r="CU21" s="852" t="n"/>
      <c r="CV21" s="852" t="n"/>
      <c r="CW21" s="852" t="n"/>
      <c r="CX21" s="852" t="n"/>
      <c r="CY21" s="852" t="n"/>
      <c r="CZ21" s="852" t="n"/>
      <c r="DA21" s="852" t="n"/>
      <c r="DB21" s="852" t="n"/>
      <c r="DC21" s="852" t="n"/>
      <c r="DD21" s="852" t="n"/>
      <c r="DE21" s="852" t="n"/>
      <c r="DF21" s="852" t="n"/>
      <c r="DG21" s="852" t="n"/>
      <c r="DH21" s="852" t="n"/>
      <c r="DI21" s="852" t="n"/>
      <c r="DJ21" s="852" t="n"/>
      <c r="DK21" s="852" t="n"/>
      <c r="DL21" s="852" t="n"/>
      <c r="DM21" s="852" t="n"/>
      <c r="DN21" s="852" t="n"/>
      <c r="DO21" s="852" t="n"/>
      <c r="DP21" s="852" t="n"/>
      <c r="DQ21" s="852" t="n"/>
      <c r="DR21" s="852" t="n"/>
      <c r="DS21" s="852" t="n"/>
      <c r="DT21" s="852" t="n"/>
      <c r="DU21" s="852" t="n"/>
      <c r="DV21" s="852" t="n"/>
      <c r="DW21" s="852" t="n"/>
      <c r="DX21" s="852" t="n"/>
      <c r="DY21" s="852" t="n"/>
      <c r="DZ21" s="852" t="n"/>
      <c r="EA21" s="852" t="n"/>
      <c r="EB21" s="852" t="n"/>
      <c r="EC21" s="852" t="n"/>
      <c r="ED21" s="852" t="n"/>
      <c r="EE21" s="852" t="n"/>
      <c r="EF21" s="852" t="n"/>
      <c r="EG21" s="852" t="n"/>
      <c r="EH21" s="852" t="n"/>
      <c r="EI21" s="852" t="n"/>
      <c r="EJ21" s="852" t="n"/>
      <c r="EK21" s="852" t="n"/>
      <c r="EL21" s="852" t="n"/>
      <c r="EM21" s="852" t="n"/>
      <c r="EN21" s="852" t="n"/>
      <c r="EO21" s="852" t="n"/>
      <c r="EP21" s="852" t="n"/>
      <c r="EQ21" s="852" t="n"/>
      <c r="ER21" s="852" t="n"/>
      <c r="ES21" s="852" t="n"/>
      <c r="ET21" s="852" t="n"/>
      <c r="EU21" s="852" t="n"/>
      <c r="EV21" s="852" t="n"/>
      <c r="EW21" s="852" t="n"/>
      <c r="EX21" s="852" t="n"/>
      <c r="EY21" s="852" t="n"/>
      <c r="EZ21" s="852" t="n"/>
      <c r="FA21" s="852" t="n"/>
      <c r="FB21" s="852" t="n"/>
      <c r="FC21" s="852" t="n"/>
      <c r="FD21" s="852" t="n"/>
      <c r="FE21" s="852" t="n"/>
      <c r="FF21" s="852" t="n"/>
      <c r="FG21" s="852" t="n"/>
      <c r="FH21" s="852" t="n"/>
      <c r="FI21" s="852" t="n"/>
      <c r="FJ21" s="852" t="n"/>
      <c r="FK21" s="852" t="n"/>
      <c r="FL21" s="852" t="n"/>
      <c r="FM21" s="852" t="n"/>
      <c r="FN21" s="852" t="n"/>
      <c r="FO21" s="852" t="n"/>
      <c r="FP21" s="852" t="n"/>
      <c r="FQ21" s="852" t="n"/>
      <c r="FR21" s="852" t="n"/>
      <c r="FS21" s="852" t="n"/>
      <c r="FT21" s="852" t="n"/>
      <c r="FU21" s="852" t="n"/>
      <c r="FV21" s="852" t="n"/>
      <c r="FW21" s="852" t="n"/>
      <c r="FX21" s="852" t="n"/>
      <c r="FY21" s="852" t="n"/>
      <c r="FZ21" s="852" t="n"/>
      <c r="GA21" s="852" t="n"/>
      <c r="GB21" s="852" t="n"/>
      <c r="GC21" s="852" t="n"/>
      <c r="GD21" s="852" t="n"/>
      <c r="GE21" s="852" t="n"/>
      <c r="GF21" s="852" t="n"/>
      <c r="GG21" s="852" t="n"/>
      <c r="GH21" s="852" t="n"/>
      <c r="GI21" s="852" t="n"/>
      <c r="GJ21" s="852" t="n"/>
      <c r="GK21" s="852" t="n"/>
      <c r="GL21" s="852" t="n"/>
      <c r="GM21" s="852" t="n"/>
      <c r="GN21" s="852" t="n"/>
      <c r="GO21" s="852" t="n"/>
      <c r="GP21" s="852" t="n"/>
      <c r="GQ21" s="852" t="n"/>
      <c r="GR21" s="852" t="n"/>
      <c r="GS21" s="852" t="n"/>
      <c r="GT21" s="852" t="n"/>
      <c r="GU21" s="852" t="n"/>
      <c r="GV21" s="852" t="n"/>
      <c r="GW21" s="852" t="n"/>
      <c r="GX21" s="852" t="n"/>
      <c r="GY21" s="852" t="n"/>
      <c r="GZ21" s="852" t="n"/>
      <c r="HA21" s="852" t="n"/>
      <c r="HB21" s="852" t="n"/>
      <c r="HC21" s="852" t="n"/>
      <c r="HD21" s="852" t="n"/>
      <c r="HE21" s="852" t="n"/>
      <c r="HF21" s="852" t="n"/>
      <c r="HG21" s="852" t="n"/>
      <c r="HH21" s="852" t="n"/>
      <c r="HI21" s="852" t="n"/>
      <c r="HJ21" s="852" t="n"/>
      <c r="HK21" s="852" t="n"/>
      <c r="HL21" s="852" t="n"/>
      <c r="HM21" s="852" t="n"/>
      <c r="HN21" s="852" t="n"/>
      <c r="HO21" s="852" t="n"/>
      <c r="HP21" s="852" t="n"/>
      <c r="HQ21" s="852" t="n"/>
      <c r="HR21" s="852" t="n"/>
      <c r="HS21" s="852" t="n"/>
      <c r="HT21" s="852" t="n"/>
      <c r="HU21" s="852" t="n"/>
      <c r="HV21" s="852" t="n"/>
      <c r="HW21" s="852" t="n"/>
      <c r="HX21" s="852" t="n"/>
      <c r="HY21" s="852" t="n"/>
      <c r="HZ21" s="852" t="n"/>
      <c r="IA21" s="852" t="n"/>
      <c r="IB21" s="852" t="n"/>
      <c r="IC21" s="852" t="n"/>
      <c r="ID21" s="852" t="n"/>
      <c r="IE21" s="852" t="n"/>
      <c r="IF21" s="852" t="n"/>
      <c r="IG21" s="852" t="n"/>
    </row>
    <row r="22" ht="16.5" customHeight="1">
      <c r="A22" s="186" t="n"/>
      <c r="B22" s="196" t="inlineStr">
        <is>
          <t>Total Cost Basis</t>
        </is>
      </c>
      <c r="C22" s="273">
        <f>C19+C20+C21</f>
        <v/>
      </c>
      <c r="D22" s="186" t="n"/>
      <c r="E22" s="186" t="n"/>
      <c r="F22" s="213" t="n">
        <v>16</v>
      </c>
      <c r="G22" s="214">
        <f>$C$39</f>
        <v/>
      </c>
      <c r="H22" s="214">
        <f>(J21*$C$16)/12</f>
        <v/>
      </c>
      <c r="I22" s="214" t="n">
        <v>0</v>
      </c>
      <c r="J22" s="214">
        <f>J21-I22</f>
        <v/>
      </c>
      <c r="K22" s="946" t="n"/>
      <c r="L22" s="946" t="n"/>
      <c r="M22" s="946" t="n"/>
      <c r="N22" s="946" t="n"/>
      <c r="O22" s="946" t="n"/>
      <c r="P22" s="946" t="n"/>
      <c r="Q22" s="946" t="n"/>
      <c r="R22" s="946" t="n"/>
      <c r="S22" s="953" t="n"/>
      <c r="T22" s="946" t="n"/>
      <c r="U22" s="946" t="n"/>
      <c r="V22" s="946" t="n"/>
      <c r="W22" s="946" t="n"/>
      <c r="X22" s="946" t="n"/>
      <c r="Y22" s="946" t="n"/>
      <c r="Z22" s="946" t="n"/>
      <c r="AA22" s="946" t="n"/>
      <c r="AB22" s="946" t="n"/>
      <c r="AC22" s="852" t="n"/>
      <c r="AD22" s="852" t="n"/>
      <c r="AE22" s="852" t="n"/>
      <c r="AF22" s="852" t="n"/>
      <c r="AG22" s="852" t="n"/>
      <c r="AH22" s="852" t="n"/>
      <c r="AI22" s="852" t="n"/>
      <c r="AJ22" s="852" t="n"/>
      <c r="AK22" s="852" t="n"/>
      <c r="AL22" s="852" t="n"/>
      <c r="AM22" s="852" t="n"/>
      <c r="AN22" s="852" t="n"/>
      <c r="AO22" s="852" t="n"/>
      <c r="AP22" s="852" t="n"/>
      <c r="AQ22" s="852" t="n"/>
      <c r="AR22" s="852" t="n"/>
      <c r="AS22" s="852" t="n"/>
      <c r="AT22" s="852" t="n"/>
      <c r="AU22" s="852" t="n"/>
      <c r="AV22" s="852" t="n"/>
      <c r="AW22" s="852" t="n"/>
      <c r="AX22" s="852" t="n"/>
      <c r="AY22" s="852" t="n"/>
      <c r="AZ22" s="852" t="n"/>
      <c r="BA22" s="852" t="n"/>
      <c r="BB22" s="852" t="n"/>
      <c r="BC22" s="852" t="n"/>
      <c r="BD22" s="852" t="n"/>
      <c r="BE22" s="852" t="n"/>
      <c r="BF22" s="852" t="n"/>
      <c r="BG22" s="852" t="n"/>
      <c r="BH22" s="852" t="n"/>
      <c r="BI22" s="852" t="n"/>
      <c r="BJ22" s="852" t="n"/>
      <c r="BK22" s="852" t="n"/>
      <c r="BL22" s="852" t="n"/>
      <c r="BM22" s="852" t="n"/>
      <c r="BN22" s="852" t="n"/>
      <c r="BO22" s="852" t="n"/>
      <c r="BP22" s="852" t="n"/>
      <c r="BQ22" s="852" t="n"/>
      <c r="BR22" s="852" t="n"/>
      <c r="BS22" s="852" t="n"/>
      <c r="BT22" s="852" t="n"/>
      <c r="BU22" s="852" t="n"/>
      <c r="BV22" s="852" t="n"/>
      <c r="BW22" s="852" t="n"/>
      <c r="BX22" s="852" t="n"/>
      <c r="BY22" s="852" t="n"/>
      <c r="BZ22" s="852" t="n"/>
      <c r="CA22" s="852" t="n"/>
      <c r="CB22" s="852" t="n"/>
      <c r="CC22" s="852" t="n"/>
      <c r="CD22" s="852" t="n"/>
      <c r="CE22" s="852" t="n"/>
      <c r="CF22" s="852" t="n"/>
      <c r="CG22" s="852" t="n"/>
      <c r="CH22" s="852" t="n"/>
      <c r="CI22" s="852" t="n"/>
      <c r="CJ22" s="852" t="n"/>
      <c r="CK22" s="852" t="n"/>
      <c r="CL22" s="852" t="n"/>
      <c r="CM22" s="852" t="n"/>
      <c r="CN22" s="852" t="n"/>
      <c r="CO22" s="852" t="n"/>
      <c r="CP22" s="852" t="n"/>
      <c r="CQ22" s="852" t="n"/>
      <c r="CR22" s="852" t="n"/>
      <c r="CS22" s="852" t="n"/>
      <c r="CT22" s="852" t="n"/>
      <c r="CU22" s="852" t="n"/>
      <c r="CV22" s="852" t="n"/>
      <c r="CW22" s="852" t="n"/>
      <c r="CX22" s="852" t="n"/>
      <c r="CY22" s="852" t="n"/>
      <c r="CZ22" s="852" t="n"/>
      <c r="DA22" s="852" t="n"/>
      <c r="DB22" s="852" t="n"/>
      <c r="DC22" s="852" t="n"/>
      <c r="DD22" s="852" t="n"/>
      <c r="DE22" s="852" t="n"/>
      <c r="DF22" s="852" t="n"/>
      <c r="DG22" s="852" t="n"/>
      <c r="DH22" s="852" t="n"/>
      <c r="DI22" s="852" t="n"/>
      <c r="DJ22" s="852" t="n"/>
      <c r="DK22" s="852" t="n"/>
      <c r="DL22" s="852" t="n"/>
      <c r="DM22" s="852" t="n"/>
      <c r="DN22" s="852" t="n"/>
      <c r="DO22" s="852" t="n"/>
      <c r="DP22" s="852" t="n"/>
      <c r="DQ22" s="852" t="n"/>
      <c r="DR22" s="852" t="n"/>
      <c r="DS22" s="852" t="n"/>
      <c r="DT22" s="852" t="n"/>
      <c r="DU22" s="852" t="n"/>
      <c r="DV22" s="852" t="n"/>
      <c r="DW22" s="852" t="n"/>
      <c r="DX22" s="852" t="n"/>
      <c r="DY22" s="852" t="n"/>
      <c r="DZ22" s="852" t="n"/>
      <c r="EA22" s="852" t="n"/>
      <c r="EB22" s="852" t="n"/>
      <c r="EC22" s="852" t="n"/>
      <c r="ED22" s="852" t="n"/>
      <c r="EE22" s="852" t="n"/>
      <c r="EF22" s="852" t="n"/>
      <c r="EG22" s="852" t="n"/>
      <c r="EH22" s="852" t="n"/>
      <c r="EI22" s="852" t="n"/>
      <c r="EJ22" s="852" t="n"/>
      <c r="EK22" s="852" t="n"/>
      <c r="EL22" s="852" t="n"/>
      <c r="EM22" s="852" t="n"/>
      <c r="EN22" s="852" t="n"/>
      <c r="EO22" s="852" t="n"/>
      <c r="EP22" s="852" t="n"/>
      <c r="EQ22" s="852" t="n"/>
      <c r="ER22" s="852" t="n"/>
      <c r="ES22" s="852" t="n"/>
      <c r="ET22" s="852" t="n"/>
      <c r="EU22" s="852" t="n"/>
      <c r="EV22" s="852" t="n"/>
      <c r="EW22" s="852" t="n"/>
      <c r="EX22" s="852" t="n"/>
      <c r="EY22" s="852" t="n"/>
      <c r="EZ22" s="852" t="n"/>
      <c r="FA22" s="852" t="n"/>
      <c r="FB22" s="852" t="n"/>
      <c r="FC22" s="852" t="n"/>
      <c r="FD22" s="852" t="n"/>
      <c r="FE22" s="852" t="n"/>
      <c r="FF22" s="852" t="n"/>
      <c r="FG22" s="852" t="n"/>
      <c r="FH22" s="852" t="n"/>
      <c r="FI22" s="852" t="n"/>
      <c r="FJ22" s="852" t="n"/>
      <c r="FK22" s="852" t="n"/>
      <c r="FL22" s="852" t="n"/>
      <c r="FM22" s="852" t="n"/>
      <c r="FN22" s="852" t="n"/>
      <c r="FO22" s="852" t="n"/>
      <c r="FP22" s="852" t="n"/>
      <c r="FQ22" s="852" t="n"/>
      <c r="FR22" s="852" t="n"/>
      <c r="FS22" s="852" t="n"/>
      <c r="FT22" s="852" t="n"/>
      <c r="FU22" s="852" t="n"/>
      <c r="FV22" s="852" t="n"/>
      <c r="FW22" s="852" t="n"/>
      <c r="FX22" s="852" t="n"/>
      <c r="FY22" s="852" t="n"/>
      <c r="FZ22" s="852" t="n"/>
      <c r="GA22" s="852" t="n"/>
      <c r="GB22" s="852" t="n"/>
      <c r="GC22" s="852" t="n"/>
      <c r="GD22" s="852" t="n"/>
      <c r="GE22" s="852" t="n"/>
      <c r="GF22" s="852" t="n"/>
      <c r="GG22" s="852" t="n"/>
      <c r="GH22" s="852" t="n"/>
      <c r="GI22" s="852" t="n"/>
      <c r="GJ22" s="852" t="n"/>
      <c r="GK22" s="852" t="n"/>
      <c r="GL22" s="852" t="n"/>
      <c r="GM22" s="852" t="n"/>
      <c r="GN22" s="852" t="n"/>
      <c r="GO22" s="852" t="n"/>
      <c r="GP22" s="852" t="n"/>
      <c r="GQ22" s="852" t="n"/>
      <c r="GR22" s="852" t="n"/>
      <c r="GS22" s="852" t="n"/>
      <c r="GT22" s="852" t="n"/>
      <c r="GU22" s="852" t="n"/>
      <c r="GV22" s="852" t="n"/>
      <c r="GW22" s="852" t="n"/>
      <c r="GX22" s="852" t="n"/>
      <c r="GY22" s="852" t="n"/>
      <c r="GZ22" s="852" t="n"/>
      <c r="HA22" s="852" t="n"/>
      <c r="HB22" s="852" t="n"/>
      <c r="HC22" s="852" t="n"/>
      <c r="HD22" s="852" t="n"/>
      <c r="HE22" s="852" t="n"/>
      <c r="HF22" s="852" t="n"/>
      <c r="HG22" s="852" t="n"/>
      <c r="HH22" s="852" t="n"/>
      <c r="HI22" s="852" t="n"/>
      <c r="HJ22" s="852" t="n"/>
      <c r="HK22" s="852" t="n"/>
      <c r="HL22" s="852" t="n"/>
      <c r="HM22" s="852" t="n"/>
      <c r="HN22" s="852" t="n"/>
      <c r="HO22" s="852" t="n"/>
      <c r="HP22" s="852" t="n"/>
      <c r="HQ22" s="852" t="n"/>
      <c r="HR22" s="852" t="n"/>
      <c r="HS22" s="852" t="n"/>
      <c r="HT22" s="852" t="n"/>
      <c r="HU22" s="852" t="n"/>
      <c r="HV22" s="852" t="n"/>
      <c r="HW22" s="852" t="n"/>
      <c r="HX22" s="852" t="n"/>
      <c r="HY22" s="852" t="n"/>
      <c r="HZ22" s="852" t="n"/>
      <c r="IA22" s="852" t="n"/>
      <c r="IB22" s="852" t="n"/>
      <c r="IC22" s="852" t="n"/>
      <c r="ID22" s="852" t="n"/>
      <c r="IE22" s="852" t="n"/>
      <c r="IF22" s="852" t="n"/>
      <c r="IG22" s="852" t="n"/>
    </row>
    <row r="23" ht="16.5" customHeight="1">
      <c r="A23" s="186" t="n"/>
      <c r="B23" s="59" t="n"/>
      <c r="C23" s="59" t="n"/>
      <c r="D23" s="186" t="n"/>
      <c r="E23" s="186" t="n"/>
      <c r="F23" s="213" t="n">
        <v>17</v>
      </c>
      <c r="G23" s="214">
        <f>$C$39</f>
        <v/>
      </c>
      <c r="H23" s="214">
        <f>(J22*$C$16)/12</f>
        <v/>
      </c>
      <c r="I23" s="214" t="n">
        <v>0</v>
      </c>
      <c r="J23" s="214">
        <f>J22-I23</f>
        <v/>
      </c>
      <c r="K23" s="946" t="n"/>
      <c r="L23" s="946" t="n"/>
      <c r="M23" s="946" t="n"/>
      <c r="N23" s="946" t="n"/>
      <c r="O23" s="946" t="n"/>
      <c r="P23" s="946" t="n"/>
      <c r="Q23" s="946" t="n"/>
      <c r="R23" s="946" t="n"/>
      <c r="S23" s="946" t="n"/>
      <c r="T23" s="946" t="n"/>
      <c r="U23" s="946" t="n"/>
      <c r="V23" s="946" t="n"/>
      <c r="W23" s="946" t="n"/>
      <c r="X23" s="946" t="n"/>
      <c r="Y23" s="946" t="n"/>
      <c r="Z23" s="946" t="n"/>
      <c r="AA23" s="946" t="n"/>
      <c r="AB23" s="946" t="n"/>
      <c r="AC23" s="852" t="n"/>
      <c r="AD23" s="852" t="n"/>
      <c r="AE23" s="852" t="n"/>
      <c r="AF23" s="852" t="n"/>
      <c r="AG23" s="852" t="n"/>
      <c r="AH23" s="852" t="n"/>
      <c r="AI23" s="852" t="n"/>
      <c r="AJ23" s="852" t="n"/>
      <c r="AK23" s="852" t="n"/>
      <c r="AL23" s="852" t="n"/>
      <c r="AM23" s="852" t="n"/>
      <c r="AN23" s="852" t="n"/>
      <c r="AO23" s="852" t="n"/>
      <c r="AP23" s="852" t="n"/>
      <c r="AQ23" s="852" t="n"/>
      <c r="AR23" s="852" t="n"/>
      <c r="AS23" s="852" t="n"/>
      <c r="AT23" s="852" t="n"/>
      <c r="AU23" s="852" t="n"/>
      <c r="AV23" s="852" t="n"/>
      <c r="AW23" s="852" t="n"/>
      <c r="AX23" s="852" t="n"/>
      <c r="AY23" s="852" t="n"/>
      <c r="AZ23" s="852" t="n"/>
      <c r="BA23" s="852" t="n"/>
      <c r="BB23" s="852" t="n"/>
      <c r="BC23" s="852" t="n"/>
      <c r="BD23" s="852" t="n"/>
      <c r="BE23" s="852" t="n"/>
      <c r="BF23" s="852" t="n"/>
      <c r="BG23" s="852" t="n"/>
      <c r="BH23" s="852" t="n"/>
      <c r="BI23" s="852" t="n"/>
      <c r="BJ23" s="852" t="n"/>
      <c r="BK23" s="852" t="n"/>
      <c r="BL23" s="852" t="n"/>
      <c r="BM23" s="852" t="n"/>
      <c r="BN23" s="852" t="n"/>
      <c r="BO23" s="852" t="n"/>
      <c r="BP23" s="852" t="n"/>
      <c r="BQ23" s="852" t="n"/>
      <c r="BR23" s="852" t="n"/>
      <c r="BS23" s="852" t="n"/>
      <c r="BT23" s="852" t="n"/>
      <c r="BU23" s="852" t="n"/>
      <c r="BV23" s="852" t="n"/>
      <c r="BW23" s="852" t="n"/>
      <c r="BX23" s="852" t="n"/>
      <c r="BY23" s="852" t="n"/>
      <c r="BZ23" s="852" t="n"/>
      <c r="CA23" s="852" t="n"/>
      <c r="CB23" s="852" t="n"/>
      <c r="CC23" s="852" t="n"/>
      <c r="CD23" s="852" t="n"/>
      <c r="CE23" s="852" t="n"/>
      <c r="CF23" s="852" t="n"/>
      <c r="CG23" s="852" t="n"/>
      <c r="CH23" s="852" t="n"/>
      <c r="CI23" s="852" t="n"/>
      <c r="CJ23" s="852" t="n"/>
      <c r="CK23" s="852" t="n"/>
      <c r="CL23" s="852" t="n"/>
      <c r="CM23" s="852" t="n"/>
      <c r="CN23" s="852" t="n"/>
      <c r="CO23" s="852" t="n"/>
      <c r="CP23" s="852" t="n"/>
      <c r="CQ23" s="852" t="n"/>
      <c r="CR23" s="852" t="n"/>
      <c r="CS23" s="852" t="n"/>
      <c r="CT23" s="852" t="n"/>
      <c r="CU23" s="852" t="n"/>
      <c r="CV23" s="852" t="n"/>
      <c r="CW23" s="852" t="n"/>
      <c r="CX23" s="852" t="n"/>
      <c r="CY23" s="852" t="n"/>
      <c r="CZ23" s="852" t="n"/>
      <c r="DA23" s="852" t="n"/>
      <c r="DB23" s="852" t="n"/>
      <c r="DC23" s="852" t="n"/>
      <c r="DD23" s="852" t="n"/>
      <c r="DE23" s="852" t="n"/>
      <c r="DF23" s="852" t="n"/>
      <c r="DG23" s="852" t="n"/>
      <c r="DH23" s="852" t="n"/>
      <c r="DI23" s="852" t="n"/>
      <c r="DJ23" s="852" t="n"/>
      <c r="DK23" s="852" t="n"/>
      <c r="DL23" s="852" t="n"/>
      <c r="DM23" s="852" t="n"/>
      <c r="DN23" s="852" t="n"/>
      <c r="DO23" s="852" t="n"/>
      <c r="DP23" s="852" t="n"/>
      <c r="DQ23" s="852" t="n"/>
      <c r="DR23" s="852" t="n"/>
      <c r="DS23" s="852" t="n"/>
      <c r="DT23" s="852" t="n"/>
      <c r="DU23" s="852" t="n"/>
      <c r="DV23" s="852" t="n"/>
      <c r="DW23" s="852" t="n"/>
      <c r="DX23" s="852" t="n"/>
      <c r="DY23" s="852" t="n"/>
      <c r="DZ23" s="852" t="n"/>
      <c r="EA23" s="852" t="n"/>
      <c r="EB23" s="852" t="n"/>
      <c r="EC23" s="852" t="n"/>
      <c r="ED23" s="852" t="n"/>
      <c r="EE23" s="852" t="n"/>
      <c r="EF23" s="852" t="n"/>
      <c r="EG23" s="852" t="n"/>
      <c r="EH23" s="852" t="n"/>
      <c r="EI23" s="852" t="n"/>
      <c r="EJ23" s="852" t="n"/>
      <c r="EK23" s="852" t="n"/>
      <c r="EL23" s="852" t="n"/>
      <c r="EM23" s="852" t="n"/>
      <c r="EN23" s="852" t="n"/>
      <c r="EO23" s="852" t="n"/>
      <c r="EP23" s="852" t="n"/>
      <c r="EQ23" s="852" t="n"/>
      <c r="ER23" s="852" t="n"/>
      <c r="ES23" s="852" t="n"/>
      <c r="ET23" s="852" t="n"/>
      <c r="EU23" s="852" t="n"/>
      <c r="EV23" s="852" t="n"/>
      <c r="EW23" s="852" t="n"/>
      <c r="EX23" s="852" t="n"/>
      <c r="EY23" s="852" t="n"/>
      <c r="EZ23" s="852" t="n"/>
      <c r="FA23" s="852" t="n"/>
      <c r="FB23" s="852" t="n"/>
      <c r="FC23" s="852" t="n"/>
      <c r="FD23" s="852" t="n"/>
      <c r="FE23" s="852" t="n"/>
      <c r="FF23" s="852" t="n"/>
      <c r="FG23" s="852" t="n"/>
      <c r="FH23" s="852" t="n"/>
      <c r="FI23" s="852" t="n"/>
      <c r="FJ23" s="852" t="n"/>
      <c r="FK23" s="852" t="n"/>
      <c r="FL23" s="852" t="n"/>
      <c r="FM23" s="852" t="n"/>
      <c r="FN23" s="852" t="n"/>
      <c r="FO23" s="852" t="n"/>
      <c r="FP23" s="852" t="n"/>
      <c r="FQ23" s="852" t="n"/>
      <c r="FR23" s="852" t="n"/>
      <c r="FS23" s="852" t="n"/>
      <c r="FT23" s="852" t="n"/>
      <c r="FU23" s="852" t="n"/>
      <c r="FV23" s="852" t="n"/>
      <c r="FW23" s="852" t="n"/>
      <c r="FX23" s="852" t="n"/>
      <c r="FY23" s="852" t="n"/>
      <c r="FZ23" s="852" t="n"/>
      <c r="GA23" s="852" t="n"/>
      <c r="GB23" s="852" t="n"/>
      <c r="GC23" s="852" t="n"/>
      <c r="GD23" s="852" t="n"/>
      <c r="GE23" s="852" t="n"/>
      <c r="GF23" s="852" t="n"/>
      <c r="GG23" s="852" t="n"/>
      <c r="GH23" s="852" t="n"/>
      <c r="GI23" s="852" t="n"/>
      <c r="GJ23" s="852" t="n"/>
      <c r="GK23" s="852" t="n"/>
      <c r="GL23" s="852" t="n"/>
      <c r="GM23" s="852" t="n"/>
      <c r="GN23" s="852" t="n"/>
      <c r="GO23" s="852" t="n"/>
      <c r="GP23" s="852" t="n"/>
      <c r="GQ23" s="852" t="n"/>
      <c r="GR23" s="852" t="n"/>
      <c r="GS23" s="852" t="n"/>
      <c r="GT23" s="852" t="n"/>
      <c r="GU23" s="852" t="n"/>
      <c r="GV23" s="852" t="n"/>
      <c r="GW23" s="852" t="n"/>
      <c r="GX23" s="852" t="n"/>
      <c r="GY23" s="852" t="n"/>
      <c r="GZ23" s="852" t="n"/>
      <c r="HA23" s="852" t="n"/>
      <c r="HB23" s="852" t="n"/>
      <c r="HC23" s="852" t="n"/>
      <c r="HD23" s="852" t="n"/>
      <c r="HE23" s="852" t="n"/>
      <c r="HF23" s="852" t="n"/>
      <c r="HG23" s="852" t="n"/>
      <c r="HH23" s="852" t="n"/>
      <c r="HI23" s="852" t="n"/>
      <c r="HJ23" s="852" t="n"/>
      <c r="HK23" s="852" t="n"/>
      <c r="HL23" s="852" t="n"/>
      <c r="HM23" s="852" t="n"/>
      <c r="HN23" s="852" t="n"/>
      <c r="HO23" s="852" t="n"/>
      <c r="HP23" s="852" t="n"/>
      <c r="HQ23" s="852" t="n"/>
      <c r="HR23" s="852" t="n"/>
      <c r="HS23" s="852" t="n"/>
      <c r="HT23" s="852" t="n"/>
      <c r="HU23" s="852" t="n"/>
      <c r="HV23" s="852" t="n"/>
      <c r="HW23" s="852" t="n"/>
      <c r="HX23" s="852" t="n"/>
      <c r="HY23" s="852" t="n"/>
      <c r="HZ23" s="852" t="n"/>
      <c r="IA23" s="852" t="n"/>
      <c r="IB23" s="852" t="n"/>
      <c r="IC23" s="852" t="n"/>
      <c r="ID23" s="852" t="n"/>
      <c r="IE23" s="852" t="n"/>
      <c r="IF23" s="852" t="n"/>
      <c r="IG23" s="852" t="n"/>
    </row>
    <row r="24" ht="16.5" customHeight="1">
      <c r="A24" s="186" t="n"/>
      <c r="B24" s="149" t="inlineStr">
        <is>
          <t>Max Loan to Value</t>
        </is>
      </c>
      <c r="C24" s="224" t="n">
        <v>0.7</v>
      </c>
      <c r="D24" s="186" t="n"/>
      <c r="E24" s="186" t="n"/>
      <c r="F24" s="213" t="n">
        <v>18</v>
      </c>
      <c r="G24" s="214">
        <f>$C$39</f>
        <v/>
      </c>
      <c r="H24" s="214">
        <f>(J23*$C$16)/12</f>
        <v/>
      </c>
      <c r="I24" s="214" t="n">
        <v>0</v>
      </c>
      <c r="J24" s="214">
        <f>J23-I24</f>
        <v/>
      </c>
      <c r="K24" s="946" t="n"/>
      <c r="L24" s="946" t="n"/>
      <c r="M24" s="946" t="n"/>
      <c r="N24" s="946" t="n"/>
      <c r="O24" s="946" t="n"/>
      <c r="P24" s="946" t="n"/>
      <c r="Q24" s="948" t="n"/>
      <c r="R24" s="948" t="n"/>
      <c r="S24" s="946" t="n"/>
      <c r="T24" s="946" t="n"/>
      <c r="U24" s="946" t="n"/>
      <c r="V24" s="946" t="n"/>
      <c r="W24" s="946" t="n"/>
      <c r="X24" s="946" t="n"/>
      <c r="Y24" s="946" t="n"/>
      <c r="Z24" s="946" t="n"/>
      <c r="AA24" s="946" t="n"/>
      <c r="AB24" s="946" t="n"/>
      <c r="AC24" s="852" t="n"/>
      <c r="AD24" s="852" t="n"/>
      <c r="AE24" s="852" t="n"/>
      <c r="AF24" s="852" t="n"/>
      <c r="AG24" s="852" t="n"/>
      <c r="AH24" s="852" t="n"/>
      <c r="AI24" s="852" t="n"/>
      <c r="AJ24" s="852" t="n"/>
      <c r="AK24" s="852" t="n"/>
      <c r="AL24" s="852" t="n"/>
      <c r="AM24" s="852" t="n"/>
      <c r="AN24" s="852" t="n"/>
      <c r="AO24" s="852" t="n"/>
      <c r="AP24" s="852" t="n"/>
      <c r="AQ24" s="852" t="n"/>
      <c r="AR24" s="852" t="n"/>
      <c r="AS24" s="852" t="n"/>
      <c r="AT24" s="852" t="n"/>
      <c r="AU24" s="852" t="n"/>
      <c r="AV24" s="852" t="n"/>
      <c r="AW24" s="852" t="n"/>
      <c r="AX24" s="852" t="n"/>
      <c r="AY24" s="852" t="n"/>
      <c r="AZ24" s="852" t="n"/>
      <c r="BA24" s="852" t="n"/>
      <c r="BB24" s="852" t="n"/>
      <c r="BC24" s="852" t="n"/>
      <c r="BD24" s="852" t="n"/>
      <c r="BE24" s="852" t="n"/>
      <c r="BF24" s="852" t="n"/>
      <c r="BG24" s="852" t="n"/>
      <c r="BH24" s="852" t="n"/>
      <c r="BI24" s="852" t="n"/>
      <c r="BJ24" s="852" t="n"/>
      <c r="BK24" s="852" t="n"/>
      <c r="BL24" s="852" t="n"/>
      <c r="BM24" s="852" t="n"/>
      <c r="BN24" s="852" t="n"/>
      <c r="BO24" s="852" t="n"/>
      <c r="BP24" s="852" t="n"/>
      <c r="BQ24" s="852" t="n"/>
      <c r="BR24" s="852" t="n"/>
      <c r="BS24" s="852" t="n"/>
      <c r="BT24" s="852" t="n"/>
      <c r="BU24" s="852" t="n"/>
      <c r="BV24" s="852" t="n"/>
      <c r="BW24" s="852" t="n"/>
      <c r="BX24" s="852" t="n"/>
      <c r="BY24" s="852" t="n"/>
      <c r="BZ24" s="852" t="n"/>
      <c r="CA24" s="852" t="n"/>
      <c r="CB24" s="852" t="n"/>
      <c r="CC24" s="852" t="n"/>
      <c r="CD24" s="852" t="n"/>
      <c r="CE24" s="852" t="n"/>
      <c r="CF24" s="852" t="n"/>
      <c r="CG24" s="852" t="n"/>
      <c r="CH24" s="852" t="n"/>
      <c r="CI24" s="852" t="n"/>
      <c r="CJ24" s="852" t="n"/>
      <c r="CK24" s="852" t="n"/>
      <c r="CL24" s="852" t="n"/>
      <c r="CM24" s="852" t="n"/>
      <c r="CN24" s="852" t="n"/>
      <c r="CO24" s="852" t="n"/>
      <c r="CP24" s="852" t="n"/>
      <c r="CQ24" s="852" t="n"/>
      <c r="CR24" s="852" t="n"/>
      <c r="CS24" s="852" t="n"/>
      <c r="CT24" s="852" t="n"/>
      <c r="CU24" s="852" t="n"/>
      <c r="CV24" s="852" t="n"/>
      <c r="CW24" s="852" t="n"/>
      <c r="CX24" s="852" t="n"/>
      <c r="CY24" s="852" t="n"/>
      <c r="CZ24" s="852" t="n"/>
      <c r="DA24" s="852" t="n"/>
      <c r="DB24" s="852" t="n"/>
      <c r="DC24" s="852" t="n"/>
      <c r="DD24" s="852" t="n"/>
      <c r="DE24" s="852" t="n"/>
      <c r="DF24" s="852" t="n"/>
      <c r="DG24" s="852" t="n"/>
      <c r="DH24" s="852" t="n"/>
      <c r="DI24" s="852" t="n"/>
      <c r="DJ24" s="852" t="n"/>
      <c r="DK24" s="852" t="n"/>
      <c r="DL24" s="852" t="n"/>
      <c r="DM24" s="852" t="n"/>
      <c r="DN24" s="852" t="n"/>
      <c r="DO24" s="852" t="n"/>
      <c r="DP24" s="852" t="n"/>
      <c r="DQ24" s="852" t="n"/>
      <c r="DR24" s="852" t="n"/>
      <c r="DS24" s="852" t="n"/>
      <c r="DT24" s="852" t="n"/>
      <c r="DU24" s="852" t="n"/>
      <c r="DV24" s="852" t="n"/>
      <c r="DW24" s="852" t="n"/>
      <c r="DX24" s="852" t="n"/>
      <c r="DY24" s="852" t="n"/>
      <c r="DZ24" s="852" t="n"/>
      <c r="EA24" s="852" t="n"/>
      <c r="EB24" s="852" t="n"/>
      <c r="EC24" s="852" t="n"/>
      <c r="ED24" s="852" t="n"/>
      <c r="EE24" s="852" t="n"/>
      <c r="EF24" s="852" t="n"/>
      <c r="EG24" s="852" t="n"/>
      <c r="EH24" s="852" t="n"/>
      <c r="EI24" s="852" t="n"/>
      <c r="EJ24" s="852" t="n"/>
      <c r="EK24" s="852" t="n"/>
      <c r="EL24" s="852" t="n"/>
      <c r="EM24" s="852" t="n"/>
      <c r="EN24" s="852" t="n"/>
      <c r="EO24" s="852" t="n"/>
      <c r="EP24" s="852" t="n"/>
      <c r="EQ24" s="852" t="n"/>
      <c r="ER24" s="852" t="n"/>
      <c r="ES24" s="852" t="n"/>
      <c r="ET24" s="852" t="n"/>
      <c r="EU24" s="852" t="n"/>
      <c r="EV24" s="852" t="n"/>
      <c r="EW24" s="852" t="n"/>
      <c r="EX24" s="852" t="n"/>
      <c r="EY24" s="852" t="n"/>
      <c r="EZ24" s="852" t="n"/>
      <c r="FA24" s="852" t="n"/>
      <c r="FB24" s="852" t="n"/>
      <c r="FC24" s="852" t="n"/>
      <c r="FD24" s="852" t="n"/>
      <c r="FE24" s="852" t="n"/>
      <c r="FF24" s="852" t="n"/>
      <c r="FG24" s="852" t="n"/>
      <c r="FH24" s="852" t="n"/>
      <c r="FI24" s="852" t="n"/>
      <c r="FJ24" s="852" t="n"/>
      <c r="FK24" s="852" t="n"/>
      <c r="FL24" s="852" t="n"/>
      <c r="FM24" s="852" t="n"/>
      <c r="FN24" s="852" t="n"/>
      <c r="FO24" s="852" t="n"/>
      <c r="FP24" s="852" t="n"/>
      <c r="FQ24" s="852" t="n"/>
      <c r="FR24" s="852" t="n"/>
      <c r="FS24" s="852" t="n"/>
      <c r="FT24" s="852" t="n"/>
      <c r="FU24" s="852" t="n"/>
      <c r="FV24" s="852" t="n"/>
      <c r="FW24" s="852" t="n"/>
      <c r="FX24" s="852" t="n"/>
      <c r="FY24" s="852" t="n"/>
      <c r="FZ24" s="852" t="n"/>
      <c r="GA24" s="852" t="n"/>
      <c r="GB24" s="852" t="n"/>
      <c r="GC24" s="852" t="n"/>
      <c r="GD24" s="852" t="n"/>
      <c r="GE24" s="852" t="n"/>
      <c r="GF24" s="852" t="n"/>
      <c r="GG24" s="852" t="n"/>
      <c r="GH24" s="852" t="n"/>
      <c r="GI24" s="852" t="n"/>
      <c r="GJ24" s="852" t="n"/>
      <c r="GK24" s="852" t="n"/>
      <c r="GL24" s="852" t="n"/>
      <c r="GM24" s="852" t="n"/>
      <c r="GN24" s="852" t="n"/>
      <c r="GO24" s="852" t="n"/>
      <c r="GP24" s="852" t="n"/>
      <c r="GQ24" s="852" t="n"/>
      <c r="GR24" s="852" t="n"/>
      <c r="GS24" s="852" t="n"/>
      <c r="GT24" s="852" t="n"/>
      <c r="GU24" s="852" t="n"/>
      <c r="GV24" s="852" t="n"/>
      <c r="GW24" s="852" t="n"/>
      <c r="GX24" s="852" t="n"/>
      <c r="GY24" s="852" t="n"/>
      <c r="GZ24" s="852" t="n"/>
      <c r="HA24" s="852" t="n"/>
      <c r="HB24" s="852" t="n"/>
      <c r="HC24" s="852" t="n"/>
      <c r="HD24" s="852" t="n"/>
      <c r="HE24" s="852" t="n"/>
      <c r="HF24" s="852" t="n"/>
      <c r="HG24" s="852" t="n"/>
      <c r="HH24" s="852" t="n"/>
      <c r="HI24" s="852" t="n"/>
      <c r="HJ24" s="852" t="n"/>
      <c r="HK24" s="852" t="n"/>
      <c r="HL24" s="852" t="n"/>
      <c r="HM24" s="852" t="n"/>
      <c r="HN24" s="852" t="n"/>
      <c r="HO24" s="852" t="n"/>
      <c r="HP24" s="852" t="n"/>
      <c r="HQ24" s="852" t="n"/>
      <c r="HR24" s="852" t="n"/>
      <c r="HS24" s="852" t="n"/>
      <c r="HT24" s="852" t="n"/>
      <c r="HU24" s="852" t="n"/>
      <c r="HV24" s="852" t="n"/>
      <c r="HW24" s="852" t="n"/>
      <c r="HX24" s="852" t="n"/>
      <c r="HY24" s="852" t="n"/>
      <c r="HZ24" s="852" t="n"/>
      <c r="IA24" s="852" t="n"/>
      <c r="IB24" s="852" t="n"/>
      <c r="IC24" s="852" t="n"/>
      <c r="ID24" s="852" t="n"/>
      <c r="IE24" s="852" t="n"/>
      <c r="IF24" s="852" t="n"/>
      <c r="IG24" s="852" t="n"/>
    </row>
    <row r="25" ht="16.5" customHeight="1">
      <c r="A25" s="186" t="n"/>
      <c r="B25" s="149" t="inlineStr">
        <is>
          <t>Min DSCR</t>
        </is>
      </c>
      <c r="C25" s="225" t="n">
        <v>1.25</v>
      </c>
      <c r="D25" s="186" t="n"/>
      <c r="E25" s="186" t="n"/>
      <c r="F25" s="213" t="n">
        <v>19</v>
      </c>
      <c r="G25" s="214">
        <f>$C$39</f>
        <v/>
      </c>
      <c r="H25" s="214">
        <f>(J24*$C$16)/12</f>
        <v/>
      </c>
      <c r="I25" s="214" t="n">
        <v>0</v>
      </c>
      <c r="J25" s="214">
        <f>J24-I25</f>
        <v/>
      </c>
      <c r="K25" s="946" t="n"/>
      <c r="L25" s="946" t="n"/>
      <c r="M25" s="946" t="n"/>
      <c r="N25" s="946" t="n"/>
      <c r="O25" s="946" t="n"/>
      <c r="P25" s="946" t="n"/>
      <c r="Q25" s="946" t="n"/>
      <c r="R25" s="946" t="n"/>
      <c r="S25" s="946" t="n"/>
      <c r="T25" s="946" t="n"/>
      <c r="U25" s="946" t="n"/>
      <c r="V25" s="946" t="n"/>
      <c r="W25" s="946" t="n"/>
      <c r="X25" s="946" t="n"/>
      <c r="Y25" s="946" t="n"/>
      <c r="Z25" s="946" t="n"/>
      <c r="AA25" s="946" t="n"/>
      <c r="AB25" s="946" t="n"/>
      <c r="AC25" s="852" t="n"/>
      <c r="AD25" s="852" t="n"/>
      <c r="AE25" s="852" t="n"/>
      <c r="AF25" s="852" t="n"/>
      <c r="AG25" s="852" t="n"/>
      <c r="AH25" s="852" t="n"/>
      <c r="AI25" s="852" t="n"/>
      <c r="AJ25" s="852" t="n"/>
      <c r="AK25" s="852" t="n"/>
      <c r="AL25" s="852" t="n"/>
      <c r="AM25" s="852" t="n"/>
      <c r="AN25" s="852" t="n"/>
      <c r="AO25" s="852" t="n"/>
      <c r="AP25" s="852" t="n"/>
      <c r="AQ25" s="852" t="n"/>
      <c r="AR25" s="852" t="n"/>
      <c r="AS25" s="852" t="n"/>
      <c r="AT25" s="852" t="n"/>
      <c r="AU25" s="852" t="n"/>
      <c r="AV25" s="852" t="n"/>
      <c r="AW25" s="852" t="n"/>
      <c r="AX25" s="852" t="n"/>
      <c r="AY25" s="852" t="n"/>
      <c r="AZ25" s="852" t="n"/>
      <c r="BA25" s="852" t="n"/>
      <c r="BB25" s="852" t="n"/>
      <c r="BC25" s="852" t="n"/>
      <c r="BD25" s="852" t="n"/>
      <c r="BE25" s="852" t="n"/>
      <c r="BF25" s="852" t="n"/>
      <c r="BG25" s="852" t="n"/>
      <c r="BH25" s="852" t="n"/>
      <c r="BI25" s="852" t="n"/>
      <c r="BJ25" s="852" t="n"/>
      <c r="BK25" s="852" t="n"/>
      <c r="BL25" s="852" t="n"/>
      <c r="BM25" s="852" t="n"/>
      <c r="BN25" s="852" t="n"/>
      <c r="BO25" s="852" t="n"/>
      <c r="BP25" s="852" t="n"/>
      <c r="BQ25" s="852" t="n"/>
      <c r="BR25" s="852" t="n"/>
      <c r="BS25" s="852" t="n"/>
      <c r="BT25" s="852" t="n"/>
      <c r="BU25" s="852" t="n"/>
      <c r="BV25" s="852" t="n"/>
      <c r="BW25" s="852" t="n"/>
      <c r="BX25" s="852" t="n"/>
      <c r="BY25" s="852" t="n"/>
      <c r="BZ25" s="852" t="n"/>
      <c r="CA25" s="852" t="n"/>
      <c r="CB25" s="852" t="n"/>
      <c r="CC25" s="852" t="n"/>
      <c r="CD25" s="852" t="n"/>
      <c r="CE25" s="852" t="n"/>
      <c r="CF25" s="852" t="n"/>
      <c r="CG25" s="852" t="n"/>
      <c r="CH25" s="852" t="n"/>
      <c r="CI25" s="852" t="n"/>
      <c r="CJ25" s="852" t="n"/>
      <c r="CK25" s="852" t="n"/>
      <c r="CL25" s="852" t="n"/>
      <c r="CM25" s="852" t="n"/>
      <c r="CN25" s="852" t="n"/>
      <c r="CO25" s="852" t="n"/>
      <c r="CP25" s="852" t="n"/>
      <c r="CQ25" s="852" t="n"/>
      <c r="CR25" s="852" t="n"/>
      <c r="CS25" s="852" t="n"/>
      <c r="CT25" s="852" t="n"/>
      <c r="CU25" s="852" t="n"/>
      <c r="CV25" s="852" t="n"/>
      <c r="CW25" s="852" t="n"/>
      <c r="CX25" s="852" t="n"/>
      <c r="CY25" s="852" t="n"/>
      <c r="CZ25" s="852" t="n"/>
      <c r="DA25" s="852" t="n"/>
      <c r="DB25" s="852" t="n"/>
      <c r="DC25" s="852" t="n"/>
      <c r="DD25" s="852" t="n"/>
      <c r="DE25" s="852" t="n"/>
      <c r="DF25" s="852" t="n"/>
      <c r="DG25" s="852" t="n"/>
      <c r="DH25" s="852" t="n"/>
      <c r="DI25" s="852" t="n"/>
      <c r="DJ25" s="852" t="n"/>
      <c r="DK25" s="852" t="n"/>
      <c r="DL25" s="852" t="n"/>
      <c r="DM25" s="852" t="n"/>
      <c r="DN25" s="852" t="n"/>
      <c r="DO25" s="852" t="n"/>
      <c r="DP25" s="852" t="n"/>
      <c r="DQ25" s="852" t="n"/>
      <c r="DR25" s="852" t="n"/>
      <c r="DS25" s="852" t="n"/>
      <c r="DT25" s="852" t="n"/>
      <c r="DU25" s="852" t="n"/>
      <c r="DV25" s="852" t="n"/>
      <c r="DW25" s="852" t="n"/>
      <c r="DX25" s="852" t="n"/>
      <c r="DY25" s="852" t="n"/>
      <c r="DZ25" s="852" t="n"/>
      <c r="EA25" s="852" t="n"/>
      <c r="EB25" s="852" t="n"/>
      <c r="EC25" s="852" t="n"/>
      <c r="ED25" s="852" t="n"/>
      <c r="EE25" s="852" t="n"/>
      <c r="EF25" s="852" t="n"/>
      <c r="EG25" s="852" t="n"/>
      <c r="EH25" s="852" t="n"/>
      <c r="EI25" s="852" t="n"/>
      <c r="EJ25" s="852" t="n"/>
      <c r="EK25" s="852" t="n"/>
      <c r="EL25" s="852" t="n"/>
      <c r="EM25" s="852" t="n"/>
      <c r="EN25" s="852" t="n"/>
      <c r="EO25" s="852" t="n"/>
      <c r="EP25" s="852" t="n"/>
      <c r="EQ25" s="852" t="n"/>
      <c r="ER25" s="852" t="n"/>
      <c r="ES25" s="852" t="n"/>
      <c r="ET25" s="852" t="n"/>
      <c r="EU25" s="852" t="n"/>
      <c r="EV25" s="852" t="n"/>
      <c r="EW25" s="852" t="n"/>
      <c r="EX25" s="852" t="n"/>
      <c r="EY25" s="852" t="n"/>
      <c r="EZ25" s="852" t="n"/>
      <c r="FA25" s="852" t="n"/>
      <c r="FB25" s="852" t="n"/>
      <c r="FC25" s="852" t="n"/>
      <c r="FD25" s="852" t="n"/>
      <c r="FE25" s="852" t="n"/>
      <c r="FF25" s="852" t="n"/>
      <c r="FG25" s="852" t="n"/>
      <c r="FH25" s="852" t="n"/>
      <c r="FI25" s="852" t="n"/>
      <c r="FJ25" s="852" t="n"/>
      <c r="FK25" s="852" t="n"/>
      <c r="FL25" s="852" t="n"/>
      <c r="FM25" s="852" t="n"/>
      <c r="FN25" s="852" t="n"/>
      <c r="FO25" s="852" t="n"/>
      <c r="FP25" s="852" t="n"/>
      <c r="FQ25" s="852" t="n"/>
      <c r="FR25" s="852" t="n"/>
      <c r="FS25" s="852" t="n"/>
      <c r="FT25" s="852" t="n"/>
      <c r="FU25" s="852" t="n"/>
      <c r="FV25" s="852" t="n"/>
      <c r="FW25" s="852" t="n"/>
      <c r="FX25" s="852" t="n"/>
      <c r="FY25" s="852" t="n"/>
      <c r="FZ25" s="852" t="n"/>
      <c r="GA25" s="852" t="n"/>
      <c r="GB25" s="852" t="n"/>
      <c r="GC25" s="852" t="n"/>
      <c r="GD25" s="852" t="n"/>
      <c r="GE25" s="852" t="n"/>
      <c r="GF25" s="852" t="n"/>
      <c r="GG25" s="852" t="n"/>
      <c r="GH25" s="852" t="n"/>
      <c r="GI25" s="852" t="n"/>
      <c r="GJ25" s="852" t="n"/>
      <c r="GK25" s="852" t="n"/>
      <c r="GL25" s="852" t="n"/>
      <c r="GM25" s="852" t="n"/>
      <c r="GN25" s="852" t="n"/>
      <c r="GO25" s="852" t="n"/>
      <c r="GP25" s="852" t="n"/>
      <c r="GQ25" s="852" t="n"/>
      <c r="GR25" s="852" t="n"/>
      <c r="GS25" s="852" t="n"/>
      <c r="GT25" s="852" t="n"/>
      <c r="GU25" s="852" t="n"/>
      <c r="GV25" s="852" t="n"/>
      <c r="GW25" s="852" t="n"/>
      <c r="GX25" s="852" t="n"/>
      <c r="GY25" s="852" t="n"/>
      <c r="GZ25" s="852" t="n"/>
      <c r="HA25" s="852" t="n"/>
      <c r="HB25" s="852" t="n"/>
      <c r="HC25" s="852" t="n"/>
      <c r="HD25" s="852" t="n"/>
      <c r="HE25" s="852" t="n"/>
      <c r="HF25" s="852" t="n"/>
      <c r="HG25" s="852" t="n"/>
      <c r="HH25" s="852" t="n"/>
      <c r="HI25" s="852" t="n"/>
      <c r="HJ25" s="852" t="n"/>
      <c r="HK25" s="852" t="n"/>
      <c r="HL25" s="852" t="n"/>
      <c r="HM25" s="852" t="n"/>
      <c r="HN25" s="852" t="n"/>
      <c r="HO25" s="852" t="n"/>
      <c r="HP25" s="852" t="n"/>
      <c r="HQ25" s="852" t="n"/>
      <c r="HR25" s="852" t="n"/>
      <c r="HS25" s="852" t="n"/>
      <c r="HT25" s="852" t="n"/>
      <c r="HU25" s="852" t="n"/>
      <c r="HV25" s="852" t="n"/>
      <c r="HW25" s="852" t="n"/>
      <c r="HX25" s="852" t="n"/>
      <c r="HY25" s="852" t="n"/>
      <c r="HZ25" s="852" t="n"/>
      <c r="IA25" s="852" t="n"/>
      <c r="IB25" s="852" t="n"/>
      <c r="IC25" s="852" t="n"/>
      <c r="ID25" s="852" t="n"/>
      <c r="IE25" s="852" t="n"/>
      <c r="IF25" s="852" t="n"/>
      <c r="IG25" s="852" t="n"/>
    </row>
    <row r="26" ht="16.5" customHeight="1">
      <c r="A26" s="186" t="n"/>
      <c r="B26" s="59" t="n"/>
      <c r="C26" s="59" t="n"/>
      <c r="D26" s="186" t="n"/>
      <c r="E26" s="186" t="n"/>
      <c r="F26" s="213" t="n">
        <v>20</v>
      </c>
      <c r="G26" s="214">
        <f>$C$39</f>
        <v/>
      </c>
      <c r="H26" s="214">
        <f>(J25*$C$16)/12</f>
        <v/>
      </c>
      <c r="I26" s="214" t="n">
        <v>0</v>
      </c>
      <c r="J26" s="214">
        <f>J25-I26</f>
        <v/>
      </c>
      <c r="K26" s="946" t="n"/>
      <c r="L26" s="946" t="n"/>
      <c r="M26" s="946" t="n"/>
      <c r="N26" s="946" t="n"/>
      <c r="O26" s="946" t="n"/>
      <c r="P26" s="946" t="n"/>
      <c r="Q26" s="946" t="n"/>
      <c r="R26" s="946" t="n"/>
      <c r="S26" s="953" t="n"/>
      <c r="T26" s="946" t="n"/>
      <c r="U26" s="946" t="n"/>
      <c r="V26" s="946" t="n"/>
      <c r="W26" s="946" t="n"/>
      <c r="X26" s="946" t="n"/>
      <c r="Y26" s="946" t="n"/>
      <c r="Z26" s="946" t="n"/>
      <c r="AA26" s="946" t="n"/>
      <c r="AB26" s="946" t="n"/>
      <c r="AC26" s="852" t="n"/>
      <c r="AD26" s="852" t="n"/>
      <c r="AE26" s="852" t="n"/>
      <c r="AF26" s="852" t="n"/>
      <c r="AG26" s="852" t="n"/>
      <c r="AH26" s="852" t="n"/>
      <c r="AI26" s="852" t="n"/>
      <c r="AJ26" s="852" t="n"/>
      <c r="AK26" s="852" t="n"/>
      <c r="AL26" s="852" t="n"/>
      <c r="AM26" s="852" t="n"/>
      <c r="AN26" s="852" t="n"/>
      <c r="AO26" s="852" t="n"/>
      <c r="AP26" s="852" t="n"/>
      <c r="AQ26" s="852" t="n"/>
      <c r="AR26" s="852" t="n"/>
      <c r="AS26" s="852" t="n"/>
      <c r="AT26" s="852" t="n"/>
      <c r="AU26" s="852" t="n"/>
      <c r="AV26" s="852" t="n"/>
      <c r="AW26" s="852" t="n"/>
      <c r="AX26" s="852" t="n"/>
      <c r="AY26" s="852" t="n"/>
      <c r="AZ26" s="852" t="n"/>
      <c r="BA26" s="852" t="n"/>
      <c r="BB26" s="852" t="n"/>
      <c r="BC26" s="852" t="n"/>
      <c r="BD26" s="852" t="n"/>
      <c r="BE26" s="852" t="n"/>
      <c r="BF26" s="852" t="n"/>
      <c r="BG26" s="852" t="n"/>
      <c r="BH26" s="852" t="n"/>
      <c r="BI26" s="852" t="n"/>
      <c r="BJ26" s="852" t="n"/>
      <c r="BK26" s="852" t="n"/>
      <c r="BL26" s="852" t="n"/>
      <c r="BM26" s="852" t="n"/>
      <c r="BN26" s="852" t="n"/>
      <c r="BO26" s="852" t="n"/>
      <c r="BP26" s="852" t="n"/>
      <c r="BQ26" s="852" t="n"/>
      <c r="BR26" s="852" t="n"/>
      <c r="BS26" s="852" t="n"/>
      <c r="BT26" s="852" t="n"/>
      <c r="BU26" s="852" t="n"/>
      <c r="BV26" s="852" t="n"/>
      <c r="BW26" s="852" t="n"/>
      <c r="BX26" s="852" t="n"/>
      <c r="BY26" s="852" t="n"/>
      <c r="BZ26" s="852" t="n"/>
      <c r="CA26" s="852" t="n"/>
      <c r="CB26" s="852" t="n"/>
      <c r="CC26" s="852" t="n"/>
      <c r="CD26" s="852" t="n"/>
      <c r="CE26" s="852" t="n"/>
      <c r="CF26" s="852" t="n"/>
      <c r="CG26" s="852" t="n"/>
      <c r="CH26" s="852" t="n"/>
      <c r="CI26" s="852" t="n"/>
      <c r="CJ26" s="852" t="n"/>
      <c r="CK26" s="852" t="n"/>
      <c r="CL26" s="852" t="n"/>
      <c r="CM26" s="852" t="n"/>
      <c r="CN26" s="852" t="n"/>
      <c r="CO26" s="852" t="n"/>
      <c r="CP26" s="852" t="n"/>
      <c r="CQ26" s="852" t="n"/>
      <c r="CR26" s="852" t="n"/>
      <c r="CS26" s="852" t="n"/>
      <c r="CT26" s="852" t="n"/>
      <c r="CU26" s="852" t="n"/>
      <c r="CV26" s="852" t="n"/>
      <c r="CW26" s="852" t="n"/>
      <c r="CX26" s="852" t="n"/>
      <c r="CY26" s="852" t="n"/>
      <c r="CZ26" s="852" t="n"/>
      <c r="DA26" s="852" t="n"/>
      <c r="DB26" s="852" t="n"/>
      <c r="DC26" s="852" t="n"/>
      <c r="DD26" s="852" t="n"/>
      <c r="DE26" s="852" t="n"/>
      <c r="DF26" s="852" t="n"/>
      <c r="DG26" s="852" t="n"/>
      <c r="DH26" s="852" t="n"/>
      <c r="DI26" s="852" t="n"/>
      <c r="DJ26" s="852" t="n"/>
      <c r="DK26" s="852" t="n"/>
      <c r="DL26" s="852" t="n"/>
      <c r="DM26" s="852" t="n"/>
      <c r="DN26" s="852" t="n"/>
      <c r="DO26" s="852" t="n"/>
      <c r="DP26" s="852" t="n"/>
      <c r="DQ26" s="852" t="n"/>
      <c r="DR26" s="852" t="n"/>
      <c r="DS26" s="852" t="n"/>
      <c r="DT26" s="852" t="n"/>
      <c r="DU26" s="852" t="n"/>
      <c r="DV26" s="852" t="n"/>
      <c r="DW26" s="852" t="n"/>
      <c r="DX26" s="852" t="n"/>
      <c r="DY26" s="852" t="n"/>
      <c r="DZ26" s="852" t="n"/>
      <c r="EA26" s="852" t="n"/>
      <c r="EB26" s="852" t="n"/>
      <c r="EC26" s="852" t="n"/>
      <c r="ED26" s="852" t="n"/>
      <c r="EE26" s="852" t="n"/>
      <c r="EF26" s="852" t="n"/>
      <c r="EG26" s="852" t="n"/>
      <c r="EH26" s="852" t="n"/>
      <c r="EI26" s="852" t="n"/>
      <c r="EJ26" s="852" t="n"/>
      <c r="EK26" s="852" t="n"/>
      <c r="EL26" s="852" t="n"/>
      <c r="EM26" s="852" t="n"/>
      <c r="EN26" s="852" t="n"/>
      <c r="EO26" s="852" t="n"/>
      <c r="EP26" s="852" t="n"/>
      <c r="EQ26" s="852" t="n"/>
      <c r="ER26" s="852" t="n"/>
      <c r="ES26" s="852" t="n"/>
      <c r="ET26" s="852" t="n"/>
      <c r="EU26" s="852" t="n"/>
      <c r="EV26" s="852" t="n"/>
      <c r="EW26" s="852" t="n"/>
      <c r="EX26" s="852" t="n"/>
      <c r="EY26" s="852" t="n"/>
      <c r="EZ26" s="852" t="n"/>
      <c r="FA26" s="852" t="n"/>
      <c r="FB26" s="852" t="n"/>
      <c r="FC26" s="852" t="n"/>
      <c r="FD26" s="852" t="n"/>
      <c r="FE26" s="852" t="n"/>
      <c r="FF26" s="852" t="n"/>
      <c r="FG26" s="852" t="n"/>
      <c r="FH26" s="852" t="n"/>
      <c r="FI26" s="852" t="n"/>
      <c r="FJ26" s="852" t="n"/>
      <c r="FK26" s="852" t="n"/>
      <c r="FL26" s="852" t="n"/>
      <c r="FM26" s="852" t="n"/>
      <c r="FN26" s="852" t="n"/>
      <c r="FO26" s="852" t="n"/>
      <c r="FP26" s="852" t="n"/>
      <c r="FQ26" s="852" t="n"/>
      <c r="FR26" s="852" t="n"/>
      <c r="FS26" s="852" t="n"/>
      <c r="FT26" s="852" t="n"/>
      <c r="FU26" s="852" t="n"/>
      <c r="FV26" s="852" t="n"/>
      <c r="FW26" s="852" t="n"/>
      <c r="FX26" s="852" t="n"/>
      <c r="FY26" s="852" t="n"/>
      <c r="FZ26" s="852" t="n"/>
      <c r="GA26" s="852" t="n"/>
      <c r="GB26" s="852" t="n"/>
      <c r="GC26" s="852" t="n"/>
      <c r="GD26" s="852" t="n"/>
      <c r="GE26" s="852" t="n"/>
      <c r="GF26" s="852" t="n"/>
      <c r="GG26" s="852" t="n"/>
      <c r="GH26" s="852" t="n"/>
      <c r="GI26" s="852" t="n"/>
      <c r="GJ26" s="852" t="n"/>
      <c r="GK26" s="852" t="n"/>
      <c r="GL26" s="852" t="n"/>
      <c r="GM26" s="852" t="n"/>
      <c r="GN26" s="852" t="n"/>
      <c r="GO26" s="852" t="n"/>
      <c r="GP26" s="852" t="n"/>
      <c r="GQ26" s="852" t="n"/>
      <c r="GR26" s="852" t="n"/>
      <c r="GS26" s="852" t="n"/>
      <c r="GT26" s="852" t="n"/>
      <c r="GU26" s="852" t="n"/>
      <c r="GV26" s="852" t="n"/>
      <c r="GW26" s="852" t="n"/>
      <c r="GX26" s="852" t="n"/>
      <c r="GY26" s="852" t="n"/>
      <c r="GZ26" s="852" t="n"/>
      <c r="HA26" s="852" t="n"/>
      <c r="HB26" s="852" t="n"/>
      <c r="HC26" s="852" t="n"/>
      <c r="HD26" s="852" t="n"/>
      <c r="HE26" s="852" t="n"/>
      <c r="HF26" s="852" t="n"/>
      <c r="HG26" s="852" t="n"/>
      <c r="HH26" s="852" t="n"/>
      <c r="HI26" s="852" t="n"/>
      <c r="HJ26" s="852" t="n"/>
      <c r="HK26" s="852" t="n"/>
      <c r="HL26" s="852" t="n"/>
      <c r="HM26" s="852" t="n"/>
      <c r="HN26" s="852" t="n"/>
      <c r="HO26" s="852" t="n"/>
      <c r="HP26" s="852" t="n"/>
      <c r="HQ26" s="852" t="n"/>
      <c r="HR26" s="852" t="n"/>
      <c r="HS26" s="852" t="n"/>
      <c r="HT26" s="852" t="n"/>
      <c r="HU26" s="852" t="n"/>
      <c r="HV26" s="852" t="n"/>
      <c r="HW26" s="852" t="n"/>
      <c r="HX26" s="852" t="n"/>
      <c r="HY26" s="852" t="n"/>
      <c r="HZ26" s="852" t="n"/>
      <c r="IA26" s="852" t="n"/>
      <c r="IB26" s="852" t="n"/>
      <c r="IC26" s="852" t="n"/>
      <c r="ID26" s="852" t="n"/>
      <c r="IE26" s="852" t="n"/>
      <c r="IF26" s="852" t="n"/>
      <c r="IG26" s="852" t="n"/>
    </row>
    <row r="27" ht="16.5" customHeight="1">
      <c r="A27" s="186" t="inlineStr">
        <is>
          <t>Lot Rent only NOI</t>
        </is>
      </c>
      <c r="B27" s="191" t="inlineStr">
        <is>
          <t>Net Operating Income</t>
        </is>
      </c>
      <c r="C27" s="278">
        <f>'GGC Underwriting'!J47</f>
        <v/>
      </c>
      <c r="D27" s="186" t="n"/>
      <c r="E27" s="186" t="n"/>
      <c r="F27" s="213" t="n">
        <v>21</v>
      </c>
      <c r="G27" s="214">
        <f>$C$39</f>
        <v/>
      </c>
      <c r="H27" s="214">
        <f>(J26*$C$16)/12</f>
        <v/>
      </c>
      <c r="I27" s="214" t="n">
        <v>0</v>
      </c>
      <c r="J27" s="214">
        <f>J26-I27</f>
        <v/>
      </c>
      <c r="K27" s="946" t="n"/>
      <c r="L27" s="946" t="n"/>
      <c r="M27" s="953" t="n"/>
      <c r="N27" s="946" t="n"/>
      <c r="O27" s="946" t="n"/>
      <c r="P27" s="946" t="n"/>
      <c r="Q27" s="946" t="n"/>
      <c r="R27" s="946" t="n"/>
      <c r="S27" s="946" t="n"/>
      <c r="T27" s="946" t="n"/>
      <c r="U27" s="946" t="n"/>
      <c r="V27" s="946" t="n"/>
      <c r="W27" s="946" t="n"/>
      <c r="X27" s="946" t="n"/>
      <c r="Y27" s="946" t="n"/>
      <c r="Z27" s="946" t="n"/>
      <c r="AA27" s="946" t="n"/>
      <c r="AB27" s="946" t="n"/>
      <c r="AC27" s="852" t="n"/>
      <c r="AD27" s="852" t="n"/>
      <c r="AE27" s="852" t="n"/>
      <c r="AF27" s="852" t="n"/>
      <c r="AG27" s="852" t="n"/>
      <c r="AH27" s="852" t="n"/>
      <c r="AI27" s="852" t="n"/>
      <c r="AJ27" s="852" t="n"/>
      <c r="AK27" s="852" t="n"/>
      <c r="AL27" s="852" t="n"/>
      <c r="AM27" s="852" t="n"/>
      <c r="AN27" s="852" t="n"/>
      <c r="AO27" s="852" t="n"/>
      <c r="AP27" s="852" t="n"/>
      <c r="AQ27" s="852" t="n"/>
      <c r="AR27" s="852" t="n"/>
      <c r="AS27" s="852" t="n"/>
      <c r="AT27" s="852" t="n"/>
      <c r="AU27" s="852" t="n"/>
      <c r="AV27" s="852" t="n"/>
      <c r="AW27" s="852" t="n"/>
      <c r="AX27" s="852" t="n"/>
      <c r="AY27" s="852" t="n"/>
      <c r="AZ27" s="852" t="n"/>
      <c r="BA27" s="852" t="n"/>
      <c r="BB27" s="852" t="n"/>
      <c r="BC27" s="852" t="n"/>
      <c r="BD27" s="852" t="n"/>
      <c r="BE27" s="852" t="n"/>
      <c r="BF27" s="852" t="n"/>
      <c r="BG27" s="852" t="n"/>
      <c r="BH27" s="852" t="n"/>
      <c r="BI27" s="852" t="n"/>
      <c r="BJ27" s="852" t="n"/>
      <c r="BK27" s="852" t="n"/>
      <c r="BL27" s="852" t="n"/>
      <c r="BM27" s="852" t="n"/>
      <c r="BN27" s="852" t="n"/>
      <c r="BO27" s="852" t="n"/>
      <c r="BP27" s="852" t="n"/>
      <c r="BQ27" s="852" t="n"/>
      <c r="BR27" s="852" t="n"/>
      <c r="BS27" s="852" t="n"/>
      <c r="BT27" s="852" t="n"/>
      <c r="BU27" s="852" t="n"/>
      <c r="BV27" s="852" t="n"/>
      <c r="BW27" s="852" t="n"/>
      <c r="BX27" s="852" t="n"/>
      <c r="BY27" s="852" t="n"/>
      <c r="BZ27" s="852" t="n"/>
      <c r="CA27" s="852" t="n"/>
      <c r="CB27" s="852" t="n"/>
      <c r="CC27" s="852" t="n"/>
      <c r="CD27" s="852" t="n"/>
      <c r="CE27" s="852" t="n"/>
      <c r="CF27" s="852" t="n"/>
      <c r="CG27" s="852" t="n"/>
      <c r="CH27" s="852" t="n"/>
      <c r="CI27" s="852" t="n"/>
      <c r="CJ27" s="852" t="n"/>
      <c r="CK27" s="852" t="n"/>
      <c r="CL27" s="852" t="n"/>
      <c r="CM27" s="852" t="n"/>
      <c r="CN27" s="852" t="n"/>
      <c r="CO27" s="852" t="n"/>
      <c r="CP27" s="852" t="n"/>
      <c r="CQ27" s="852" t="n"/>
      <c r="CR27" s="852" t="n"/>
      <c r="CS27" s="852" t="n"/>
      <c r="CT27" s="852" t="n"/>
      <c r="CU27" s="852" t="n"/>
      <c r="CV27" s="852" t="n"/>
      <c r="CW27" s="852" t="n"/>
      <c r="CX27" s="852" t="n"/>
      <c r="CY27" s="852" t="n"/>
      <c r="CZ27" s="852" t="n"/>
      <c r="DA27" s="852" t="n"/>
      <c r="DB27" s="852" t="n"/>
      <c r="DC27" s="852" t="n"/>
      <c r="DD27" s="852" t="n"/>
      <c r="DE27" s="852" t="n"/>
      <c r="DF27" s="852" t="n"/>
      <c r="DG27" s="852" t="n"/>
      <c r="DH27" s="852" t="n"/>
      <c r="DI27" s="852" t="n"/>
      <c r="DJ27" s="852" t="n"/>
      <c r="DK27" s="852" t="n"/>
      <c r="DL27" s="852" t="n"/>
      <c r="DM27" s="852" t="n"/>
      <c r="DN27" s="852" t="n"/>
      <c r="DO27" s="852" t="n"/>
      <c r="DP27" s="852" t="n"/>
      <c r="DQ27" s="852" t="n"/>
      <c r="DR27" s="852" t="n"/>
      <c r="DS27" s="852" t="n"/>
      <c r="DT27" s="852" t="n"/>
      <c r="DU27" s="852" t="n"/>
      <c r="DV27" s="852" t="n"/>
      <c r="DW27" s="852" t="n"/>
      <c r="DX27" s="852" t="n"/>
      <c r="DY27" s="852" t="n"/>
      <c r="DZ27" s="852" t="n"/>
      <c r="EA27" s="852" t="n"/>
      <c r="EB27" s="852" t="n"/>
      <c r="EC27" s="852" t="n"/>
      <c r="ED27" s="852" t="n"/>
      <c r="EE27" s="852" t="n"/>
      <c r="EF27" s="852" t="n"/>
      <c r="EG27" s="852" t="n"/>
      <c r="EH27" s="852" t="n"/>
      <c r="EI27" s="852" t="n"/>
      <c r="EJ27" s="852" t="n"/>
      <c r="EK27" s="852" t="n"/>
      <c r="EL27" s="852" t="n"/>
      <c r="EM27" s="852" t="n"/>
      <c r="EN27" s="852" t="n"/>
      <c r="EO27" s="852" t="n"/>
      <c r="EP27" s="852" t="n"/>
      <c r="EQ27" s="852" t="n"/>
      <c r="ER27" s="852" t="n"/>
      <c r="ES27" s="852" t="n"/>
      <c r="ET27" s="852" t="n"/>
      <c r="EU27" s="852" t="n"/>
      <c r="EV27" s="852" t="n"/>
      <c r="EW27" s="852" t="n"/>
      <c r="EX27" s="852" t="n"/>
      <c r="EY27" s="852" t="n"/>
      <c r="EZ27" s="852" t="n"/>
      <c r="FA27" s="852" t="n"/>
      <c r="FB27" s="852" t="n"/>
      <c r="FC27" s="852" t="n"/>
      <c r="FD27" s="852" t="n"/>
      <c r="FE27" s="852" t="n"/>
      <c r="FF27" s="852" t="n"/>
      <c r="FG27" s="852" t="n"/>
      <c r="FH27" s="852" t="n"/>
      <c r="FI27" s="852" t="n"/>
      <c r="FJ27" s="852" t="n"/>
      <c r="FK27" s="852" t="n"/>
      <c r="FL27" s="852" t="n"/>
      <c r="FM27" s="852" t="n"/>
      <c r="FN27" s="852" t="n"/>
      <c r="FO27" s="852" t="n"/>
      <c r="FP27" s="852" t="n"/>
      <c r="FQ27" s="852" t="n"/>
      <c r="FR27" s="852" t="n"/>
      <c r="FS27" s="852" t="n"/>
      <c r="FT27" s="852" t="n"/>
      <c r="FU27" s="852" t="n"/>
      <c r="FV27" s="852" t="n"/>
      <c r="FW27" s="852" t="n"/>
      <c r="FX27" s="852" t="n"/>
      <c r="FY27" s="852" t="n"/>
      <c r="FZ27" s="852" t="n"/>
      <c r="GA27" s="852" t="n"/>
      <c r="GB27" s="852" t="n"/>
      <c r="GC27" s="852" t="n"/>
      <c r="GD27" s="852" t="n"/>
      <c r="GE27" s="852" t="n"/>
      <c r="GF27" s="852" t="n"/>
      <c r="GG27" s="852" t="n"/>
      <c r="GH27" s="852" t="n"/>
      <c r="GI27" s="852" t="n"/>
      <c r="GJ27" s="852" t="n"/>
      <c r="GK27" s="852" t="n"/>
      <c r="GL27" s="852" t="n"/>
      <c r="GM27" s="852" t="n"/>
      <c r="GN27" s="852" t="n"/>
      <c r="GO27" s="852" t="n"/>
      <c r="GP27" s="852" t="n"/>
      <c r="GQ27" s="852" t="n"/>
      <c r="GR27" s="852" t="n"/>
      <c r="GS27" s="852" t="n"/>
      <c r="GT27" s="852" t="n"/>
      <c r="GU27" s="852" t="n"/>
      <c r="GV27" s="852" t="n"/>
      <c r="GW27" s="852" t="n"/>
      <c r="GX27" s="852" t="n"/>
      <c r="GY27" s="852" t="n"/>
      <c r="GZ27" s="852" t="n"/>
      <c r="HA27" s="852" t="n"/>
      <c r="HB27" s="852" t="n"/>
      <c r="HC27" s="852" t="n"/>
      <c r="HD27" s="852" t="n"/>
      <c r="HE27" s="852" t="n"/>
      <c r="HF27" s="852" t="n"/>
      <c r="HG27" s="852" t="n"/>
      <c r="HH27" s="852" t="n"/>
      <c r="HI27" s="852" t="n"/>
      <c r="HJ27" s="852" t="n"/>
      <c r="HK27" s="852" t="n"/>
      <c r="HL27" s="852" t="n"/>
      <c r="HM27" s="852" t="n"/>
      <c r="HN27" s="852" t="n"/>
      <c r="HO27" s="852" t="n"/>
      <c r="HP27" s="852" t="n"/>
      <c r="HQ27" s="852" t="n"/>
      <c r="HR27" s="852" t="n"/>
      <c r="HS27" s="852" t="n"/>
      <c r="HT27" s="852" t="n"/>
      <c r="HU27" s="852" t="n"/>
      <c r="HV27" s="852" t="n"/>
      <c r="HW27" s="852" t="n"/>
      <c r="HX27" s="852" t="n"/>
      <c r="HY27" s="852" t="n"/>
      <c r="HZ27" s="852" t="n"/>
      <c r="IA27" s="852" t="n"/>
      <c r="IB27" s="852" t="n"/>
      <c r="IC27" s="852" t="n"/>
      <c r="ID27" s="852" t="n"/>
      <c r="IE27" s="852" t="n"/>
      <c r="IF27" s="852" t="n"/>
      <c r="IG27" s="852" t="n"/>
    </row>
    <row r="28" ht="16.5" customHeight="1">
      <c r="A28" s="186" t="n"/>
      <c r="B28" s="186" t="n"/>
      <c r="C28" s="186" t="n"/>
      <c r="D28" s="186" t="n"/>
      <c r="E28" s="186" t="n"/>
      <c r="F28" s="213" t="n">
        <v>22</v>
      </c>
      <c r="G28" s="214">
        <f>$C$39</f>
        <v/>
      </c>
      <c r="H28" s="214">
        <f>(J27*$C$16)/12</f>
        <v/>
      </c>
      <c r="I28" s="214" t="n">
        <v>0</v>
      </c>
      <c r="J28" s="214">
        <f>J27-I28</f>
        <v/>
      </c>
      <c r="K28" s="946" t="n"/>
      <c r="L28" s="946" t="n"/>
      <c r="M28" s="953" t="n"/>
      <c r="N28" s="946" t="n"/>
      <c r="O28" s="951" t="n"/>
      <c r="P28" s="946" t="n"/>
      <c r="Q28" s="946" t="n"/>
      <c r="R28" s="946" t="n"/>
      <c r="S28" s="946" t="n"/>
      <c r="T28" s="946" t="n"/>
      <c r="U28" s="946" t="n"/>
      <c r="V28" s="946" t="n"/>
      <c r="W28" s="946" t="n"/>
      <c r="X28" s="946" t="n"/>
      <c r="Y28" s="946" t="n"/>
      <c r="Z28" s="946" t="n"/>
      <c r="AA28" s="946" t="n"/>
      <c r="AB28" s="946" t="n"/>
      <c r="AC28" s="852" t="n"/>
      <c r="AD28" s="852" t="n"/>
      <c r="AE28" s="852" t="n"/>
      <c r="AF28" s="852" t="n"/>
      <c r="AG28" s="852" t="n"/>
      <c r="AH28" s="852" t="n"/>
      <c r="AI28" s="852" t="n"/>
      <c r="AJ28" s="852" t="n"/>
      <c r="AK28" s="852" t="n"/>
      <c r="AL28" s="852" t="n"/>
      <c r="AM28" s="852" t="n"/>
      <c r="AN28" s="852" t="n"/>
      <c r="AO28" s="852" t="n"/>
      <c r="AP28" s="852" t="n"/>
      <c r="AQ28" s="852" t="n"/>
      <c r="AR28" s="852" t="n"/>
      <c r="AS28" s="852" t="n"/>
      <c r="AT28" s="852" t="n"/>
      <c r="AU28" s="852" t="n"/>
      <c r="AV28" s="852" t="n"/>
      <c r="AW28" s="852" t="n"/>
      <c r="AX28" s="852" t="n"/>
      <c r="AY28" s="852" t="n"/>
      <c r="AZ28" s="852" t="n"/>
      <c r="BA28" s="852" t="n"/>
      <c r="BB28" s="852" t="n"/>
      <c r="BC28" s="852" t="n"/>
      <c r="BD28" s="852" t="n"/>
      <c r="BE28" s="852" t="n"/>
      <c r="BF28" s="852" t="n"/>
      <c r="BG28" s="852" t="n"/>
      <c r="BH28" s="852" t="n"/>
      <c r="BI28" s="852" t="n"/>
      <c r="BJ28" s="852" t="n"/>
      <c r="BK28" s="852" t="n"/>
      <c r="BL28" s="852" t="n"/>
      <c r="BM28" s="852" t="n"/>
      <c r="BN28" s="852" t="n"/>
      <c r="BO28" s="852" t="n"/>
      <c r="BP28" s="852" t="n"/>
      <c r="BQ28" s="852" t="n"/>
      <c r="BR28" s="852" t="n"/>
      <c r="BS28" s="852" t="n"/>
      <c r="BT28" s="852" t="n"/>
      <c r="BU28" s="852" t="n"/>
      <c r="BV28" s="852" t="n"/>
      <c r="BW28" s="852" t="n"/>
      <c r="BX28" s="852" t="n"/>
      <c r="BY28" s="852" t="n"/>
      <c r="BZ28" s="852" t="n"/>
      <c r="CA28" s="852" t="n"/>
      <c r="CB28" s="852" t="n"/>
      <c r="CC28" s="852" t="n"/>
      <c r="CD28" s="852" t="n"/>
      <c r="CE28" s="852" t="n"/>
      <c r="CF28" s="852" t="n"/>
      <c r="CG28" s="852" t="n"/>
      <c r="CH28" s="852" t="n"/>
      <c r="CI28" s="852" t="n"/>
      <c r="CJ28" s="852" t="n"/>
      <c r="CK28" s="852" t="n"/>
      <c r="CL28" s="852" t="n"/>
      <c r="CM28" s="852" t="n"/>
      <c r="CN28" s="852" t="n"/>
      <c r="CO28" s="852" t="n"/>
      <c r="CP28" s="852" t="n"/>
      <c r="CQ28" s="852" t="n"/>
      <c r="CR28" s="852" t="n"/>
      <c r="CS28" s="852" t="n"/>
      <c r="CT28" s="852" t="n"/>
      <c r="CU28" s="852" t="n"/>
      <c r="CV28" s="852" t="n"/>
      <c r="CW28" s="852" t="n"/>
      <c r="CX28" s="852" t="n"/>
      <c r="CY28" s="852" t="n"/>
      <c r="CZ28" s="852" t="n"/>
      <c r="DA28" s="852" t="n"/>
      <c r="DB28" s="852" t="n"/>
      <c r="DC28" s="852" t="n"/>
      <c r="DD28" s="852" t="n"/>
      <c r="DE28" s="852" t="n"/>
      <c r="DF28" s="852" t="n"/>
      <c r="DG28" s="852" t="n"/>
      <c r="DH28" s="852" t="n"/>
      <c r="DI28" s="852" t="n"/>
      <c r="DJ28" s="852" t="n"/>
      <c r="DK28" s="852" t="n"/>
      <c r="DL28" s="852" t="n"/>
      <c r="DM28" s="852" t="n"/>
      <c r="DN28" s="852" t="n"/>
      <c r="DO28" s="852" t="n"/>
      <c r="DP28" s="852" t="n"/>
      <c r="DQ28" s="852" t="n"/>
      <c r="DR28" s="852" t="n"/>
      <c r="DS28" s="852" t="n"/>
      <c r="DT28" s="852" t="n"/>
      <c r="DU28" s="852" t="n"/>
      <c r="DV28" s="852" t="n"/>
      <c r="DW28" s="852" t="n"/>
      <c r="DX28" s="852" t="n"/>
      <c r="DY28" s="852" t="n"/>
      <c r="DZ28" s="852" t="n"/>
      <c r="EA28" s="852" t="n"/>
      <c r="EB28" s="852" t="n"/>
      <c r="EC28" s="852" t="n"/>
      <c r="ED28" s="852" t="n"/>
      <c r="EE28" s="852" t="n"/>
      <c r="EF28" s="852" t="n"/>
      <c r="EG28" s="852" t="n"/>
      <c r="EH28" s="852" t="n"/>
      <c r="EI28" s="852" t="n"/>
      <c r="EJ28" s="852" t="n"/>
      <c r="EK28" s="852" t="n"/>
      <c r="EL28" s="852" t="n"/>
      <c r="EM28" s="852" t="n"/>
      <c r="EN28" s="852" t="n"/>
      <c r="EO28" s="852" t="n"/>
      <c r="EP28" s="852" t="n"/>
      <c r="EQ28" s="852" t="n"/>
      <c r="ER28" s="852" t="n"/>
      <c r="ES28" s="852" t="n"/>
      <c r="ET28" s="852" t="n"/>
      <c r="EU28" s="852" t="n"/>
      <c r="EV28" s="852" t="n"/>
      <c r="EW28" s="852" t="n"/>
      <c r="EX28" s="852" t="n"/>
      <c r="EY28" s="852" t="n"/>
      <c r="EZ28" s="852" t="n"/>
      <c r="FA28" s="852" t="n"/>
      <c r="FB28" s="852" t="n"/>
      <c r="FC28" s="852" t="n"/>
      <c r="FD28" s="852" t="n"/>
      <c r="FE28" s="852" t="n"/>
      <c r="FF28" s="852" t="n"/>
      <c r="FG28" s="852" t="n"/>
      <c r="FH28" s="852" t="n"/>
      <c r="FI28" s="852" t="n"/>
      <c r="FJ28" s="852" t="n"/>
      <c r="FK28" s="852" t="n"/>
      <c r="FL28" s="852" t="n"/>
      <c r="FM28" s="852" t="n"/>
      <c r="FN28" s="852" t="n"/>
      <c r="FO28" s="852" t="n"/>
      <c r="FP28" s="852" t="n"/>
      <c r="FQ28" s="852" t="n"/>
      <c r="FR28" s="852" t="n"/>
      <c r="FS28" s="852" t="n"/>
      <c r="FT28" s="852" t="n"/>
      <c r="FU28" s="852" t="n"/>
      <c r="FV28" s="852" t="n"/>
      <c r="FW28" s="852" t="n"/>
      <c r="FX28" s="852" t="n"/>
      <c r="FY28" s="852" t="n"/>
      <c r="FZ28" s="852" t="n"/>
      <c r="GA28" s="852" t="n"/>
      <c r="GB28" s="852" t="n"/>
      <c r="GC28" s="852" t="n"/>
      <c r="GD28" s="852" t="n"/>
      <c r="GE28" s="852" t="n"/>
      <c r="GF28" s="852" t="n"/>
      <c r="GG28" s="852" t="n"/>
      <c r="GH28" s="852" t="n"/>
      <c r="GI28" s="852" t="n"/>
      <c r="GJ28" s="852" t="n"/>
      <c r="GK28" s="852" t="n"/>
      <c r="GL28" s="852" t="n"/>
      <c r="GM28" s="852" t="n"/>
      <c r="GN28" s="852" t="n"/>
      <c r="GO28" s="852" t="n"/>
      <c r="GP28" s="852" t="n"/>
      <c r="GQ28" s="852" t="n"/>
      <c r="GR28" s="852" t="n"/>
      <c r="GS28" s="852" t="n"/>
      <c r="GT28" s="852" t="n"/>
      <c r="GU28" s="852" t="n"/>
      <c r="GV28" s="852" t="n"/>
      <c r="GW28" s="852" t="n"/>
      <c r="GX28" s="852" t="n"/>
      <c r="GY28" s="852" t="n"/>
      <c r="GZ28" s="852" t="n"/>
      <c r="HA28" s="852" t="n"/>
      <c r="HB28" s="852" t="n"/>
      <c r="HC28" s="852" t="n"/>
      <c r="HD28" s="852" t="n"/>
      <c r="HE28" s="852" t="n"/>
      <c r="HF28" s="852" t="n"/>
      <c r="HG28" s="852" t="n"/>
      <c r="HH28" s="852" t="n"/>
      <c r="HI28" s="852" t="n"/>
      <c r="HJ28" s="852" t="n"/>
      <c r="HK28" s="852" t="n"/>
      <c r="HL28" s="852" t="n"/>
      <c r="HM28" s="852" t="n"/>
      <c r="HN28" s="852" t="n"/>
      <c r="HO28" s="852" t="n"/>
      <c r="HP28" s="852" t="n"/>
      <c r="HQ28" s="852" t="n"/>
      <c r="HR28" s="852" t="n"/>
      <c r="HS28" s="852" t="n"/>
      <c r="HT28" s="852" t="n"/>
      <c r="HU28" s="852" t="n"/>
      <c r="HV28" s="852" t="n"/>
      <c r="HW28" s="852" t="n"/>
      <c r="HX28" s="852" t="n"/>
      <c r="HY28" s="852" t="n"/>
      <c r="HZ28" s="852" t="n"/>
      <c r="IA28" s="852" t="n"/>
      <c r="IB28" s="852" t="n"/>
      <c r="IC28" s="852" t="n"/>
      <c r="ID28" s="852" t="n"/>
      <c r="IE28" s="852" t="n"/>
      <c r="IF28" s="852" t="n"/>
      <c r="IG28" s="852" t="n"/>
    </row>
    <row r="29" ht="16.5" customHeight="1">
      <c r="A29" s="186" t="n"/>
      <c r="B29" s="186" t="inlineStr">
        <is>
          <t>LTV Loan Amount</t>
        </is>
      </c>
      <c r="C29" s="271">
        <f>C24*(C19+C20)</f>
        <v/>
      </c>
      <c r="D29" s="186" t="n"/>
      <c r="E29" s="186" t="n"/>
      <c r="F29" s="213" t="n">
        <v>23</v>
      </c>
      <c r="G29" s="214">
        <f>$C$39</f>
        <v/>
      </c>
      <c r="H29" s="214">
        <f>(J28*$C$16)/12</f>
        <v/>
      </c>
      <c r="I29" s="214" t="n">
        <v>0</v>
      </c>
      <c r="J29" s="214">
        <f>J28-I29</f>
        <v/>
      </c>
      <c r="K29" s="946" t="n"/>
      <c r="L29" s="946" t="n"/>
      <c r="M29" s="946" t="n"/>
      <c r="N29" s="946" t="n"/>
      <c r="O29" s="951" t="n"/>
      <c r="P29" s="946" t="n"/>
      <c r="Q29" s="946" t="n"/>
      <c r="R29" s="946" t="n"/>
      <c r="S29" s="946" t="n"/>
      <c r="T29" s="946" t="n"/>
      <c r="U29" s="946" t="n"/>
      <c r="V29" s="946" t="n"/>
      <c r="W29" s="946" t="n"/>
      <c r="X29" s="946" t="n"/>
      <c r="Y29" s="946" t="n"/>
      <c r="Z29" s="946" t="n"/>
      <c r="AA29" s="946" t="n"/>
      <c r="AB29" s="946" t="n"/>
      <c r="AC29" s="852" t="n"/>
      <c r="AD29" s="852" t="n"/>
      <c r="AE29" s="852" t="n"/>
      <c r="AF29" s="852" t="n"/>
      <c r="AG29" s="852" t="n"/>
      <c r="AH29" s="852" t="n"/>
      <c r="AI29" s="852" t="n"/>
      <c r="AJ29" s="852" t="n"/>
      <c r="AK29" s="852" t="n"/>
      <c r="AL29" s="852" t="n"/>
      <c r="AM29" s="852" t="n"/>
      <c r="AN29" s="852" t="n"/>
      <c r="AO29" s="852" t="n"/>
      <c r="AP29" s="852" t="n"/>
      <c r="AQ29" s="852" t="n"/>
      <c r="AR29" s="852" t="n"/>
      <c r="AS29" s="852" t="n"/>
      <c r="AT29" s="852" t="n"/>
      <c r="AU29" s="852" t="n"/>
      <c r="AV29" s="852" t="n"/>
      <c r="AW29" s="852" t="n"/>
      <c r="AX29" s="852" t="n"/>
      <c r="AY29" s="852" t="n"/>
      <c r="AZ29" s="852" t="n"/>
      <c r="BA29" s="852" t="n"/>
      <c r="BB29" s="852" t="n"/>
      <c r="BC29" s="852" t="n"/>
      <c r="BD29" s="852" t="n"/>
      <c r="BE29" s="852" t="n"/>
      <c r="BF29" s="852" t="n"/>
      <c r="BG29" s="852" t="n"/>
      <c r="BH29" s="852" t="n"/>
      <c r="BI29" s="852" t="n"/>
      <c r="BJ29" s="852" t="n"/>
      <c r="BK29" s="852" t="n"/>
      <c r="BL29" s="852" t="n"/>
      <c r="BM29" s="852" t="n"/>
      <c r="BN29" s="852" t="n"/>
      <c r="BO29" s="852" t="n"/>
      <c r="BP29" s="852" t="n"/>
      <c r="BQ29" s="852" t="n"/>
      <c r="BR29" s="852" t="n"/>
      <c r="BS29" s="852" t="n"/>
      <c r="BT29" s="852" t="n"/>
      <c r="BU29" s="852" t="n"/>
      <c r="BV29" s="852" t="n"/>
      <c r="BW29" s="852" t="n"/>
      <c r="BX29" s="852" t="n"/>
      <c r="BY29" s="852" t="n"/>
      <c r="BZ29" s="852" t="n"/>
      <c r="CA29" s="852" t="n"/>
      <c r="CB29" s="852" t="n"/>
      <c r="CC29" s="852" t="n"/>
      <c r="CD29" s="852" t="n"/>
      <c r="CE29" s="852" t="n"/>
      <c r="CF29" s="852" t="n"/>
      <c r="CG29" s="852" t="n"/>
      <c r="CH29" s="852" t="n"/>
      <c r="CI29" s="852" t="n"/>
      <c r="CJ29" s="852" t="n"/>
      <c r="CK29" s="852" t="n"/>
      <c r="CL29" s="852" t="n"/>
      <c r="CM29" s="852" t="n"/>
      <c r="CN29" s="852" t="n"/>
      <c r="CO29" s="852" t="n"/>
      <c r="CP29" s="852" t="n"/>
      <c r="CQ29" s="852" t="n"/>
      <c r="CR29" s="852" t="n"/>
      <c r="CS29" s="852" t="n"/>
      <c r="CT29" s="852" t="n"/>
      <c r="CU29" s="852" t="n"/>
      <c r="CV29" s="852" t="n"/>
      <c r="CW29" s="852" t="n"/>
      <c r="CX29" s="852" t="n"/>
      <c r="CY29" s="852" t="n"/>
      <c r="CZ29" s="852" t="n"/>
      <c r="DA29" s="852" t="n"/>
      <c r="DB29" s="852" t="n"/>
      <c r="DC29" s="852" t="n"/>
      <c r="DD29" s="852" t="n"/>
      <c r="DE29" s="852" t="n"/>
      <c r="DF29" s="852" t="n"/>
      <c r="DG29" s="852" t="n"/>
      <c r="DH29" s="852" t="n"/>
      <c r="DI29" s="852" t="n"/>
      <c r="DJ29" s="852" t="n"/>
      <c r="DK29" s="852" t="n"/>
      <c r="DL29" s="852" t="n"/>
      <c r="DM29" s="852" t="n"/>
      <c r="DN29" s="852" t="n"/>
      <c r="DO29" s="852" t="n"/>
      <c r="DP29" s="852" t="n"/>
      <c r="DQ29" s="852" t="n"/>
      <c r="DR29" s="852" t="n"/>
      <c r="DS29" s="852" t="n"/>
      <c r="DT29" s="852" t="n"/>
      <c r="DU29" s="852" t="n"/>
      <c r="DV29" s="852" t="n"/>
      <c r="DW29" s="852" t="n"/>
      <c r="DX29" s="852" t="n"/>
      <c r="DY29" s="852" t="n"/>
      <c r="DZ29" s="852" t="n"/>
      <c r="EA29" s="852" t="n"/>
      <c r="EB29" s="852" t="n"/>
      <c r="EC29" s="852" t="n"/>
      <c r="ED29" s="852" t="n"/>
      <c r="EE29" s="852" t="n"/>
      <c r="EF29" s="852" t="n"/>
      <c r="EG29" s="852" t="n"/>
      <c r="EH29" s="852" t="n"/>
      <c r="EI29" s="852" t="n"/>
      <c r="EJ29" s="852" t="n"/>
      <c r="EK29" s="852" t="n"/>
      <c r="EL29" s="852" t="n"/>
      <c r="EM29" s="852" t="n"/>
      <c r="EN29" s="852" t="n"/>
      <c r="EO29" s="852" t="n"/>
      <c r="EP29" s="852" t="n"/>
      <c r="EQ29" s="852" t="n"/>
      <c r="ER29" s="852" t="n"/>
      <c r="ES29" s="852" t="n"/>
      <c r="ET29" s="852" t="n"/>
      <c r="EU29" s="852" t="n"/>
      <c r="EV29" s="852" t="n"/>
      <c r="EW29" s="852" t="n"/>
      <c r="EX29" s="852" t="n"/>
      <c r="EY29" s="852" t="n"/>
      <c r="EZ29" s="852" t="n"/>
      <c r="FA29" s="852" t="n"/>
      <c r="FB29" s="852" t="n"/>
      <c r="FC29" s="852" t="n"/>
      <c r="FD29" s="852" t="n"/>
      <c r="FE29" s="852" t="n"/>
      <c r="FF29" s="852" t="n"/>
      <c r="FG29" s="852" t="n"/>
      <c r="FH29" s="852" t="n"/>
      <c r="FI29" s="852" t="n"/>
      <c r="FJ29" s="852" t="n"/>
      <c r="FK29" s="852" t="n"/>
      <c r="FL29" s="852" t="n"/>
      <c r="FM29" s="852" t="n"/>
      <c r="FN29" s="852" t="n"/>
      <c r="FO29" s="852" t="n"/>
      <c r="FP29" s="852" t="n"/>
      <c r="FQ29" s="852" t="n"/>
      <c r="FR29" s="852" t="n"/>
      <c r="FS29" s="852" t="n"/>
      <c r="FT29" s="852" t="n"/>
      <c r="FU29" s="852" t="n"/>
      <c r="FV29" s="852" t="n"/>
      <c r="FW29" s="852" t="n"/>
      <c r="FX29" s="852" t="n"/>
      <c r="FY29" s="852" t="n"/>
      <c r="FZ29" s="852" t="n"/>
      <c r="GA29" s="852" t="n"/>
      <c r="GB29" s="852" t="n"/>
      <c r="GC29" s="852" t="n"/>
      <c r="GD29" s="852" t="n"/>
      <c r="GE29" s="852" t="n"/>
      <c r="GF29" s="852" t="n"/>
      <c r="GG29" s="852" t="n"/>
      <c r="GH29" s="852" t="n"/>
      <c r="GI29" s="852" t="n"/>
      <c r="GJ29" s="852" t="n"/>
      <c r="GK29" s="852" t="n"/>
      <c r="GL29" s="852" t="n"/>
      <c r="GM29" s="852" t="n"/>
      <c r="GN29" s="852" t="n"/>
      <c r="GO29" s="852" t="n"/>
      <c r="GP29" s="852" t="n"/>
      <c r="GQ29" s="852" t="n"/>
      <c r="GR29" s="852" t="n"/>
      <c r="GS29" s="852" t="n"/>
      <c r="GT29" s="852" t="n"/>
      <c r="GU29" s="852" t="n"/>
      <c r="GV29" s="852" t="n"/>
      <c r="GW29" s="852" t="n"/>
      <c r="GX29" s="852" t="n"/>
      <c r="GY29" s="852" t="n"/>
      <c r="GZ29" s="852" t="n"/>
      <c r="HA29" s="852" t="n"/>
      <c r="HB29" s="852" t="n"/>
      <c r="HC29" s="852" t="n"/>
      <c r="HD29" s="852" t="n"/>
      <c r="HE29" s="852" t="n"/>
      <c r="HF29" s="852" t="n"/>
      <c r="HG29" s="852" t="n"/>
      <c r="HH29" s="852" t="n"/>
      <c r="HI29" s="852" t="n"/>
      <c r="HJ29" s="852" t="n"/>
      <c r="HK29" s="852" t="n"/>
      <c r="HL29" s="852" t="n"/>
      <c r="HM29" s="852" t="n"/>
      <c r="HN29" s="852" t="n"/>
      <c r="HO29" s="852" t="n"/>
      <c r="HP29" s="852" t="n"/>
      <c r="HQ29" s="852" t="n"/>
      <c r="HR29" s="852" t="n"/>
      <c r="HS29" s="852" t="n"/>
      <c r="HT29" s="852" t="n"/>
      <c r="HU29" s="852" t="n"/>
      <c r="HV29" s="852" t="n"/>
      <c r="HW29" s="852" t="n"/>
      <c r="HX29" s="852" t="n"/>
      <c r="HY29" s="852" t="n"/>
      <c r="HZ29" s="852" t="n"/>
      <c r="IA29" s="852" t="n"/>
      <c r="IB29" s="852" t="n"/>
      <c r="IC29" s="852" t="n"/>
      <c r="ID29" s="852" t="n"/>
      <c r="IE29" s="852" t="n"/>
      <c r="IF29" s="852" t="n"/>
      <c r="IG29" s="852" t="n"/>
    </row>
    <row r="30" ht="16.5" customHeight="1">
      <c r="A30" s="186" t="n"/>
      <c r="B30" s="186" t="inlineStr">
        <is>
          <t>DSCR Loan Amount</t>
        </is>
      </c>
      <c r="C30" s="272">
        <f>C27/C25/C17</f>
        <v/>
      </c>
      <c r="D30" s="186" t="n"/>
      <c r="E30" s="186" t="n"/>
      <c r="F30" s="504" t="n">
        <v>24</v>
      </c>
      <c r="G30" s="505">
        <f>$C$39</f>
        <v/>
      </c>
      <c r="H30" s="505">
        <f>(J29*$C$16)/12</f>
        <v/>
      </c>
      <c r="I30" s="505" t="n">
        <v>0</v>
      </c>
      <c r="J30" s="505">
        <f>J29-I30</f>
        <v/>
      </c>
      <c r="K30" s="946" t="n"/>
      <c r="L30" s="946" t="n"/>
      <c r="M30" s="948" t="n"/>
      <c r="N30" s="946" t="n"/>
      <c r="O30" s="951" t="n"/>
      <c r="P30" s="946" t="n"/>
      <c r="Q30" s="946" t="n"/>
      <c r="R30" s="946" t="n"/>
      <c r="S30" s="946" t="n"/>
      <c r="T30" s="946" t="n"/>
      <c r="U30" s="946" t="n"/>
      <c r="V30" s="946" t="n"/>
      <c r="W30" s="946" t="n"/>
      <c r="X30" s="946" t="n"/>
      <c r="Y30" s="946" t="n"/>
      <c r="Z30" s="946" t="n"/>
      <c r="AA30" s="946" t="n"/>
      <c r="AB30" s="946" t="n"/>
      <c r="AC30" s="852" t="n"/>
      <c r="AD30" s="852" t="n"/>
      <c r="AE30" s="852" t="n"/>
      <c r="AF30" s="852" t="n"/>
      <c r="AG30" s="852" t="n"/>
      <c r="AH30" s="852" t="n"/>
      <c r="AI30" s="852" t="n"/>
      <c r="AJ30" s="852" t="n"/>
      <c r="AK30" s="852" t="n"/>
      <c r="AL30" s="852" t="n"/>
      <c r="AM30" s="852" t="n"/>
      <c r="AN30" s="852" t="n"/>
      <c r="AO30" s="852" t="n"/>
      <c r="AP30" s="852" t="n"/>
      <c r="AQ30" s="852" t="n"/>
      <c r="AR30" s="852" t="n"/>
      <c r="AS30" s="852" t="n"/>
      <c r="AT30" s="852" t="n"/>
      <c r="AU30" s="852" t="n"/>
      <c r="AV30" s="852" t="n"/>
      <c r="AW30" s="852" t="n"/>
      <c r="AX30" s="852" t="n"/>
      <c r="AY30" s="852" t="n"/>
      <c r="AZ30" s="852" t="n"/>
      <c r="BA30" s="852" t="n"/>
      <c r="BB30" s="852" t="n"/>
      <c r="BC30" s="852" t="n"/>
      <c r="BD30" s="852" t="n"/>
      <c r="BE30" s="852" t="n"/>
      <c r="BF30" s="852" t="n"/>
      <c r="BG30" s="852" t="n"/>
      <c r="BH30" s="852" t="n"/>
      <c r="BI30" s="852" t="n"/>
      <c r="BJ30" s="852" t="n"/>
      <c r="BK30" s="852" t="n"/>
      <c r="BL30" s="852" t="n"/>
      <c r="BM30" s="852" t="n"/>
      <c r="BN30" s="852" t="n"/>
      <c r="BO30" s="852" t="n"/>
      <c r="BP30" s="852" t="n"/>
      <c r="BQ30" s="852" t="n"/>
      <c r="BR30" s="852" t="n"/>
      <c r="BS30" s="852" t="n"/>
      <c r="BT30" s="852" t="n"/>
      <c r="BU30" s="852" t="n"/>
      <c r="BV30" s="852" t="n"/>
      <c r="BW30" s="852" t="n"/>
      <c r="BX30" s="852" t="n"/>
      <c r="BY30" s="852" t="n"/>
      <c r="BZ30" s="852" t="n"/>
      <c r="CA30" s="852" t="n"/>
      <c r="CB30" s="852" t="n"/>
      <c r="CC30" s="852" t="n"/>
      <c r="CD30" s="852" t="n"/>
      <c r="CE30" s="852" t="n"/>
      <c r="CF30" s="852" t="n"/>
      <c r="CG30" s="852" t="n"/>
      <c r="CH30" s="852" t="n"/>
      <c r="CI30" s="852" t="n"/>
      <c r="CJ30" s="852" t="n"/>
      <c r="CK30" s="852" t="n"/>
      <c r="CL30" s="852" t="n"/>
      <c r="CM30" s="852" t="n"/>
      <c r="CN30" s="852" t="n"/>
      <c r="CO30" s="852" t="n"/>
      <c r="CP30" s="852" t="n"/>
      <c r="CQ30" s="852" t="n"/>
      <c r="CR30" s="852" t="n"/>
      <c r="CS30" s="852" t="n"/>
      <c r="CT30" s="852" t="n"/>
      <c r="CU30" s="852" t="n"/>
      <c r="CV30" s="852" t="n"/>
      <c r="CW30" s="852" t="n"/>
      <c r="CX30" s="852" t="n"/>
      <c r="CY30" s="852" t="n"/>
      <c r="CZ30" s="852" t="n"/>
      <c r="DA30" s="852" t="n"/>
      <c r="DB30" s="852" t="n"/>
      <c r="DC30" s="852" t="n"/>
      <c r="DD30" s="852" t="n"/>
      <c r="DE30" s="852" t="n"/>
      <c r="DF30" s="852" t="n"/>
      <c r="DG30" s="852" t="n"/>
      <c r="DH30" s="852" t="n"/>
      <c r="DI30" s="852" t="n"/>
      <c r="DJ30" s="852" t="n"/>
      <c r="DK30" s="852" t="n"/>
      <c r="DL30" s="852" t="n"/>
      <c r="DM30" s="852" t="n"/>
      <c r="DN30" s="852" t="n"/>
      <c r="DO30" s="852" t="n"/>
      <c r="DP30" s="852" t="n"/>
      <c r="DQ30" s="852" t="n"/>
      <c r="DR30" s="852" t="n"/>
      <c r="DS30" s="852" t="n"/>
      <c r="DT30" s="852" t="n"/>
      <c r="DU30" s="852" t="n"/>
      <c r="DV30" s="852" t="n"/>
      <c r="DW30" s="852" t="n"/>
      <c r="DX30" s="852" t="n"/>
      <c r="DY30" s="852" t="n"/>
      <c r="DZ30" s="852" t="n"/>
      <c r="EA30" s="852" t="n"/>
      <c r="EB30" s="852" t="n"/>
      <c r="EC30" s="852" t="n"/>
      <c r="ED30" s="852" t="n"/>
      <c r="EE30" s="852" t="n"/>
      <c r="EF30" s="852" t="n"/>
      <c r="EG30" s="852" t="n"/>
      <c r="EH30" s="852" t="n"/>
      <c r="EI30" s="852" t="n"/>
      <c r="EJ30" s="852" t="n"/>
      <c r="EK30" s="852" t="n"/>
      <c r="EL30" s="852" t="n"/>
      <c r="EM30" s="852" t="n"/>
      <c r="EN30" s="852" t="n"/>
      <c r="EO30" s="852" t="n"/>
      <c r="EP30" s="852" t="n"/>
      <c r="EQ30" s="852" t="n"/>
      <c r="ER30" s="852" t="n"/>
      <c r="ES30" s="852" t="n"/>
      <c r="ET30" s="852" t="n"/>
      <c r="EU30" s="852" t="n"/>
      <c r="EV30" s="852" t="n"/>
      <c r="EW30" s="852" t="n"/>
      <c r="EX30" s="852" t="n"/>
      <c r="EY30" s="852" t="n"/>
      <c r="EZ30" s="852" t="n"/>
      <c r="FA30" s="852" t="n"/>
      <c r="FB30" s="852" t="n"/>
      <c r="FC30" s="852" t="n"/>
      <c r="FD30" s="852" t="n"/>
      <c r="FE30" s="852" t="n"/>
      <c r="FF30" s="852" t="n"/>
      <c r="FG30" s="852" t="n"/>
      <c r="FH30" s="852" t="n"/>
      <c r="FI30" s="852" t="n"/>
      <c r="FJ30" s="852" t="n"/>
      <c r="FK30" s="852" t="n"/>
      <c r="FL30" s="852" t="n"/>
      <c r="FM30" s="852" t="n"/>
      <c r="FN30" s="852" t="n"/>
      <c r="FO30" s="852" t="n"/>
      <c r="FP30" s="852" t="n"/>
      <c r="FQ30" s="852" t="n"/>
      <c r="FR30" s="852" t="n"/>
      <c r="FS30" s="852" t="n"/>
      <c r="FT30" s="852" t="n"/>
      <c r="FU30" s="852" t="n"/>
      <c r="FV30" s="852" t="n"/>
      <c r="FW30" s="852" t="n"/>
      <c r="FX30" s="852" t="n"/>
      <c r="FY30" s="852" t="n"/>
      <c r="FZ30" s="852" t="n"/>
      <c r="GA30" s="852" t="n"/>
      <c r="GB30" s="852" t="n"/>
      <c r="GC30" s="852" t="n"/>
      <c r="GD30" s="852" t="n"/>
      <c r="GE30" s="852" t="n"/>
      <c r="GF30" s="852" t="n"/>
      <c r="GG30" s="852" t="n"/>
      <c r="GH30" s="852" t="n"/>
      <c r="GI30" s="852" t="n"/>
      <c r="GJ30" s="852" t="n"/>
      <c r="GK30" s="852" t="n"/>
      <c r="GL30" s="852" t="n"/>
      <c r="GM30" s="852" t="n"/>
      <c r="GN30" s="852" t="n"/>
      <c r="GO30" s="852" t="n"/>
      <c r="GP30" s="852" t="n"/>
      <c r="GQ30" s="852" t="n"/>
      <c r="GR30" s="852" t="n"/>
      <c r="GS30" s="852" t="n"/>
      <c r="GT30" s="852" t="n"/>
      <c r="GU30" s="852" t="n"/>
      <c r="GV30" s="852" t="n"/>
      <c r="GW30" s="852" t="n"/>
      <c r="GX30" s="852" t="n"/>
      <c r="GY30" s="852" t="n"/>
      <c r="GZ30" s="852" t="n"/>
      <c r="HA30" s="852" t="n"/>
      <c r="HB30" s="852" t="n"/>
      <c r="HC30" s="852" t="n"/>
      <c r="HD30" s="852" t="n"/>
      <c r="HE30" s="852" t="n"/>
      <c r="HF30" s="852" t="n"/>
      <c r="HG30" s="852" t="n"/>
      <c r="HH30" s="852" t="n"/>
      <c r="HI30" s="852" t="n"/>
      <c r="HJ30" s="852" t="n"/>
      <c r="HK30" s="852" t="n"/>
      <c r="HL30" s="852" t="n"/>
      <c r="HM30" s="852" t="n"/>
      <c r="HN30" s="852" t="n"/>
      <c r="HO30" s="852" t="n"/>
      <c r="HP30" s="852" t="n"/>
      <c r="HQ30" s="852" t="n"/>
      <c r="HR30" s="852" t="n"/>
      <c r="HS30" s="852" t="n"/>
      <c r="HT30" s="852" t="n"/>
      <c r="HU30" s="852" t="n"/>
      <c r="HV30" s="852" t="n"/>
      <c r="HW30" s="852" t="n"/>
      <c r="HX30" s="852" t="n"/>
      <c r="HY30" s="852" t="n"/>
      <c r="HZ30" s="852" t="n"/>
      <c r="IA30" s="852" t="n"/>
      <c r="IB30" s="852" t="n"/>
      <c r="IC30" s="852" t="n"/>
      <c r="ID30" s="852" t="n"/>
      <c r="IE30" s="852" t="n"/>
      <c r="IF30" s="852" t="n"/>
      <c r="IG30" s="852" t="n"/>
    </row>
    <row r="31" ht="16.5" customHeight="1">
      <c r="A31" s="186" t="n"/>
      <c r="B31" s="191" t="inlineStr">
        <is>
          <t>Max Loan Amount</t>
        </is>
      </c>
      <c r="C31" s="264">
        <f>MIN(C29,C30)</f>
        <v/>
      </c>
      <c r="D31" s="186" t="n"/>
      <c r="E31" s="186" t="n"/>
      <c r="F31" s="213" t="n">
        <v>25</v>
      </c>
      <c r="G31" s="214">
        <f>$C$39</f>
        <v/>
      </c>
      <c r="H31" s="214">
        <f>(J30*$C$16)/12</f>
        <v/>
      </c>
      <c r="I31" s="214">
        <f>G31-H31</f>
        <v/>
      </c>
      <c r="J31" s="214">
        <f>J30-I31</f>
        <v/>
      </c>
      <c r="K31" s="946" t="n"/>
      <c r="L31" s="946" t="n"/>
      <c r="M31" s="946" t="n"/>
      <c r="N31" s="946" t="n"/>
      <c r="O31" s="951" t="n"/>
      <c r="P31" s="946" t="n"/>
      <c r="Q31" s="946" t="n"/>
      <c r="R31" s="946" t="n"/>
      <c r="S31" s="946" t="n"/>
      <c r="T31" s="946" t="n"/>
      <c r="U31" s="946" t="n"/>
      <c r="V31" s="946" t="n"/>
      <c r="W31" s="946" t="n"/>
      <c r="X31" s="946" t="n"/>
      <c r="Y31" s="946" t="n"/>
      <c r="Z31" s="946" t="n"/>
      <c r="AA31" s="946" t="n"/>
      <c r="AB31" s="946" t="n"/>
      <c r="AC31" s="852" t="n"/>
      <c r="AD31" s="852" t="n"/>
      <c r="AE31" s="852" t="n"/>
      <c r="AF31" s="852" t="n"/>
      <c r="AG31" s="852" t="n"/>
      <c r="AH31" s="852" t="n"/>
      <c r="AI31" s="852" t="n"/>
      <c r="AJ31" s="852" t="n"/>
      <c r="AK31" s="852" t="n"/>
      <c r="AL31" s="852" t="n"/>
      <c r="AM31" s="852" t="n"/>
      <c r="AN31" s="852" t="n"/>
      <c r="AO31" s="852" t="n"/>
      <c r="AP31" s="852" t="n"/>
      <c r="AQ31" s="852" t="n"/>
      <c r="AR31" s="852" t="n"/>
      <c r="AS31" s="852" t="n"/>
      <c r="AT31" s="852" t="n"/>
      <c r="AU31" s="852" t="n"/>
      <c r="AV31" s="852" t="n"/>
      <c r="AW31" s="852" t="n"/>
      <c r="AX31" s="852" t="n"/>
      <c r="AY31" s="852" t="n"/>
      <c r="AZ31" s="852" t="n"/>
      <c r="BA31" s="852" t="n"/>
      <c r="BB31" s="852" t="n"/>
      <c r="BC31" s="852" t="n"/>
      <c r="BD31" s="852" t="n"/>
      <c r="BE31" s="852" t="n"/>
      <c r="BF31" s="852" t="n"/>
      <c r="BG31" s="852" t="n"/>
      <c r="BH31" s="852" t="n"/>
      <c r="BI31" s="852" t="n"/>
      <c r="BJ31" s="852" t="n"/>
      <c r="BK31" s="852" t="n"/>
      <c r="BL31" s="852" t="n"/>
      <c r="BM31" s="852" t="n"/>
      <c r="BN31" s="852" t="n"/>
      <c r="BO31" s="852" t="n"/>
      <c r="BP31" s="852" t="n"/>
      <c r="BQ31" s="852" t="n"/>
      <c r="BR31" s="852" t="n"/>
      <c r="BS31" s="852" t="n"/>
      <c r="BT31" s="852" t="n"/>
      <c r="BU31" s="852" t="n"/>
      <c r="BV31" s="852" t="n"/>
      <c r="BW31" s="852" t="n"/>
      <c r="BX31" s="852" t="n"/>
      <c r="BY31" s="852" t="n"/>
      <c r="BZ31" s="852" t="n"/>
      <c r="CA31" s="852" t="n"/>
      <c r="CB31" s="852" t="n"/>
      <c r="CC31" s="852" t="n"/>
      <c r="CD31" s="852" t="n"/>
      <c r="CE31" s="852" t="n"/>
      <c r="CF31" s="852" t="n"/>
      <c r="CG31" s="852" t="n"/>
      <c r="CH31" s="852" t="n"/>
      <c r="CI31" s="852" t="n"/>
      <c r="CJ31" s="852" t="n"/>
      <c r="CK31" s="852" t="n"/>
      <c r="CL31" s="852" t="n"/>
      <c r="CM31" s="852" t="n"/>
      <c r="CN31" s="852" t="n"/>
      <c r="CO31" s="852" t="n"/>
      <c r="CP31" s="852" t="n"/>
      <c r="CQ31" s="852" t="n"/>
      <c r="CR31" s="852" t="n"/>
      <c r="CS31" s="852" t="n"/>
      <c r="CT31" s="852" t="n"/>
      <c r="CU31" s="852" t="n"/>
      <c r="CV31" s="852" t="n"/>
      <c r="CW31" s="852" t="n"/>
      <c r="CX31" s="852" t="n"/>
      <c r="CY31" s="852" t="n"/>
      <c r="CZ31" s="852" t="n"/>
      <c r="DA31" s="852" t="n"/>
      <c r="DB31" s="852" t="n"/>
      <c r="DC31" s="852" t="n"/>
      <c r="DD31" s="852" t="n"/>
      <c r="DE31" s="852" t="n"/>
      <c r="DF31" s="852" t="n"/>
      <c r="DG31" s="852" t="n"/>
      <c r="DH31" s="852" t="n"/>
      <c r="DI31" s="852" t="n"/>
      <c r="DJ31" s="852" t="n"/>
      <c r="DK31" s="852" t="n"/>
      <c r="DL31" s="852" t="n"/>
      <c r="DM31" s="852" t="n"/>
      <c r="DN31" s="852" t="n"/>
      <c r="DO31" s="852" t="n"/>
      <c r="DP31" s="852" t="n"/>
      <c r="DQ31" s="852" t="n"/>
      <c r="DR31" s="852" t="n"/>
      <c r="DS31" s="852" t="n"/>
      <c r="DT31" s="852" t="n"/>
      <c r="DU31" s="852" t="n"/>
      <c r="DV31" s="852" t="n"/>
      <c r="DW31" s="852" t="n"/>
      <c r="DX31" s="852" t="n"/>
      <c r="DY31" s="852" t="n"/>
      <c r="DZ31" s="852" t="n"/>
      <c r="EA31" s="852" t="n"/>
      <c r="EB31" s="852" t="n"/>
      <c r="EC31" s="852" t="n"/>
      <c r="ED31" s="852" t="n"/>
      <c r="EE31" s="852" t="n"/>
      <c r="EF31" s="852" t="n"/>
      <c r="EG31" s="852" t="n"/>
      <c r="EH31" s="852" t="n"/>
      <c r="EI31" s="852" t="n"/>
      <c r="EJ31" s="852" t="n"/>
      <c r="EK31" s="852" t="n"/>
      <c r="EL31" s="852" t="n"/>
      <c r="EM31" s="852" t="n"/>
      <c r="EN31" s="852" t="n"/>
      <c r="EO31" s="852" t="n"/>
      <c r="EP31" s="852" t="n"/>
      <c r="EQ31" s="852" t="n"/>
      <c r="ER31" s="852" t="n"/>
      <c r="ES31" s="852" t="n"/>
      <c r="ET31" s="852" t="n"/>
      <c r="EU31" s="852" t="n"/>
      <c r="EV31" s="852" t="n"/>
      <c r="EW31" s="852" t="n"/>
      <c r="EX31" s="852" t="n"/>
      <c r="EY31" s="852" t="n"/>
      <c r="EZ31" s="852" t="n"/>
      <c r="FA31" s="852" t="n"/>
      <c r="FB31" s="852" t="n"/>
      <c r="FC31" s="852" t="n"/>
      <c r="FD31" s="852" t="n"/>
      <c r="FE31" s="852" t="n"/>
      <c r="FF31" s="852" t="n"/>
      <c r="FG31" s="852" t="n"/>
      <c r="FH31" s="852" t="n"/>
      <c r="FI31" s="852" t="n"/>
      <c r="FJ31" s="852" t="n"/>
      <c r="FK31" s="852" t="n"/>
      <c r="FL31" s="852" t="n"/>
      <c r="FM31" s="852" t="n"/>
      <c r="FN31" s="852" t="n"/>
      <c r="FO31" s="852" t="n"/>
      <c r="FP31" s="852" t="n"/>
      <c r="FQ31" s="852" t="n"/>
      <c r="FR31" s="852" t="n"/>
      <c r="FS31" s="852" t="n"/>
      <c r="FT31" s="852" t="n"/>
      <c r="FU31" s="852" t="n"/>
      <c r="FV31" s="852" t="n"/>
      <c r="FW31" s="852" t="n"/>
      <c r="FX31" s="852" t="n"/>
      <c r="FY31" s="852" t="n"/>
      <c r="FZ31" s="852" t="n"/>
      <c r="GA31" s="852" t="n"/>
      <c r="GB31" s="852" t="n"/>
      <c r="GC31" s="852" t="n"/>
      <c r="GD31" s="852" t="n"/>
      <c r="GE31" s="852" t="n"/>
      <c r="GF31" s="852" t="n"/>
      <c r="GG31" s="852" t="n"/>
      <c r="GH31" s="852" t="n"/>
      <c r="GI31" s="852" t="n"/>
      <c r="GJ31" s="852" t="n"/>
      <c r="GK31" s="852" t="n"/>
      <c r="GL31" s="852" t="n"/>
      <c r="GM31" s="852" t="n"/>
      <c r="GN31" s="852" t="n"/>
      <c r="GO31" s="852" t="n"/>
      <c r="GP31" s="852" t="n"/>
      <c r="GQ31" s="852" t="n"/>
      <c r="GR31" s="852" t="n"/>
      <c r="GS31" s="852" t="n"/>
      <c r="GT31" s="852" t="n"/>
      <c r="GU31" s="852" t="n"/>
      <c r="GV31" s="852" t="n"/>
      <c r="GW31" s="852" t="n"/>
      <c r="GX31" s="852" t="n"/>
      <c r="GY31" s="852" t="n"/>
      <c r="GZ31" s="852" t="n"/>
      <c r="HA31" s="852" t="n"/>
      <c r="HB31" s="852" t="n"/>
      <c r="HC31" s="852" t="n"/>
      <c r="HD31" s="852" t="n"/>
      <c r="HE31" s="852" t="n"/>
      <c r="HF31" s="852" t="n"/>
      <c r="HG31" s="852" t="n"/>
      <c r="HH31" s="852" t="n"/>
      <c r="HI31" s="852" t="n"/>
      <c r="HJ31" s="852" t="n"/>
      <c r="HK31" s="852" t="n"/>
      <c r="HL31" s="852" t="n"/>
      <c r="HM31" s="852" t="n"/>
      <c r="HN31" s="852" t="n"/>
      <c r="HO31" s="852" t="n"/>
      <c r="HP31" s="852" t="n"/>
      <c r="HQ31" s="852" t="n"/>
      <c r="HR31" s="852" t="n"/>
      <c r="HS31" s="852" t="n"/>
      <c r="HT31" s="852" t="n"/>
      <c r="HU31" s="852" t="n"/>
      <c r="HV31" s="852" t="n"/>
      <c r="HW31" s="852" t="n"/>
      <c r="HX31" s="852" t="n"/>
      <c r="HY31" s="852" t="n"/>
      <c r="HZ31" s="852" t="n"/>
      <c r="IA31" s="852" t="n"/>
      <c r="IB31" s="852" t="n"/>
      <c r="IC31" s="852" t="n"/>
      <c r="ID31" s="852" t="n"/>
      <c r="IE31" s="852" t="n"/>
      <c r="IF31" s="852" t="n"/>
      <c r="IG31" s="852" t="n"/>
    </row>
    <row r="32" ht="16.5" customHeight="1">
      <c r="A32" s="186" t="n"/>
      <c r="B32" s="186" t="n"/>
      <c r="C32" s="186" t="n"/>
      <c r="D32" s="186" t="n"/>
      <c r="E32" s="186" t="n"/>
      <c r="F32" s="213" t="n">
        <v>26</v>
      </c>
      <c r="G32" s="214">
        <f>$C$39</f>
        <v/>
      </c>
      <c r="H32" s="214">
        <f>(J31*$C$16)/12</f>
        <v/>
      </c>
      <c r="I32" s="214">
        <f>G32-H32</f>
        <v/>
      </c>
      <c r="J32" s="214">
        <f>J31-I32</f>
        <v/>
      </c>
      <c r="K32" s="946" t="n"/>
      <c r="L32" s="946" t="n"/>
      <c r="M32" s="946" t="n"/>
      <c r="N32" s="946" t="n"/>
      <c r="O32" s="951" t="n"/>
      <c r="P32" s="946" t="n"/>
      <c r="Q32" s="946" t="n"/>
      <c r="R32" s="946" t="n"/>
      <c r="S32" s="946" t="n"/>
      <c r="T32" s="946" t="n"/>
      <c r="U32" s="946" t="n"/>
      <c r="V32" s="946" t="n"/>
      <c r="W32" s="946" t="n"/>
      <c r="X32" s="946" t="n"/>
      <c r="Y32" s="946" t="n"/>
      <c r="Z32" s="946" t="n"/>
      <c r="AA32" s="946" t="n"/>
      <c r="AB32" s="946" t="n"/>
      <c r="AC32" s="852" t="n"/>
      <c r="AD32" s="852" t="n"/>
      <c r="AE32" s="852" t="n"/>
      <c r="AF32" s="852" t="n"/>
      <c r="AG32" s="852" t="n"/>
      <c r="AH32" s="852" t="n"/>
      <c r="AI32" s="852" t="n"/>
      <c r="AJ32" s="852" t="n"/>
      <c r="AK32" s="852" t="n"/>
      <c r="AL32" s="852" t="n"/>
      <c r="AM32" s="852" t="n"/>
      <c r="AN32" s="852" t="n"/>
      <c r="AO32" s="852" t="n"/>
      <c r="AP32" s="852" t="n"/>
      <c r="AQ32" s="852" t="n"/>
      <c r="AR32" s="852" t="n"/>
      <c r="AS32" s="852" t="n"/>
      <c r="AT32" s="852" t="n"/>
      <c r="AU32" s="852" t="n"/>
      <c r="AV32" s="852" t="n"/>
      <c r="AW32" s="852" t="n"/>
      <c r="AX32" s="852" t="n"/>
      <c r="AY32" s="852" t="n"/>
      <c r="AZ32" s="852" t="n"/>
      <c r="BA32" s="852" t="n"/>
      <c r="BB32" s="852" t="n"/>
      <c r="BC32" s="852" t="n"/>
      <c r="BD32" s="852" t="n"/>
      <c r="BE32" s="852" t="n"/>
      <c r="BF32" s="852" t="n"/>
      <c r="BG32" s="852" t="n"/>
      <c r="BH32" s="852" t="n"/>
      <c r="BI32" s="852" t="n"/>
      <c r="BJ32" s="852" t="n"/>
      <c r="BK32" s="852" t="n"/>
      <c r="BL32" s="852" t="n"/>
      <c r="BM32" s="852" t="n"/>
      <c r="BN32" s="852" t="n"/>
      <c r="BO32" s="852" t="n"/>
      <c r="BP32" s="852" t="n"/>
      <c r="BQ32" s="852" t="n"/>
      <c r="BR32" s="852" t="n"/>
      <c r="BS32" s="852" t="n"/>
      <c r="BT32" s="852" t="n"/>
      <c r="BU32" s="852" t="n"/>
      <c r="BV32" s="852" t="n"/>
      <c r="BW32" s="852" t="n"/>
      <c r="BX32" s="852" t="n"/>
      <c r="BY32" s="852" t="n"/>
      <c r="BZ32" s="852" t="n"/>
      <c r="CA32" s="852" t="n"/>
      <c r="CB32" s="852" t="n"/>
      <c r="CC32" s="852" t="n"/>
      <c r="CD32" s="852" t="n"/>
      <c r="CE32" s="852" t="n"/>
      <c r="CF32" s="852" t="n"/>
      <c r="CG32" s="852" t="n"/>
      <c r="CH32" s="852" t="n"/>
      <c r="CI32" s="852" t="n"/>
      <c r="CJ32" s="852" t="n"/>
      <c r="CK32" s="852" t="n"/>
      <c r="CL32" s="852" t="n"/>
      <c r="CM32" s="852" t="n"/>
      <c r="CN32" s="852" t="n"/>
      <c r="CO32" s="852" t="n"/>
      <c r="CP32" s="852" t="n"/>
      <c r="CQ32" s="852" t="n"/>
      <c r="CR32" s="852" t="n"/>
      <c r="CS32" s="852" t="n"/>
      <c r="CT32" s="852" t="n"/>
      <c r="CU32" s="852" t="n"/>
      <c r="CV32" s="852" t="n"/>
      <c r="CW32" s="852" t="n"/>
      <c r="CX32" s="852" t="n"/>
      <c r="CY32" s="852" t="n"/>
      <c r="CZ32" s="852" t="n"/>
      <c r="DA32" s="852" t="n"/>
      <c r="DB32" s="852" t="n"/>
      <c r="DC32" s="852" t="n"/>
      <c r="DD32" s="852" t="n"/>
      <c r="DE32" s="852" t="n"/>
      <c r="DF32" s="852" t="n"/>
      <c r="DG32" s="852" t="n"/>
      <c r="DH32" s="852" t="n"/>
      <c r="DI32" s="852" t="n"/>
      <c r="DJ32" s="852" t="n"/>
      <c r="DK32" s="852" t="n"/>
      <c r="DL32" s="852" t="n"/>
      <c r="DM32" s="852" t="n"/>
      <c r="DN32" s="852" t="n"/>
      <c r="DO32" s="852" t="n"/>
      <c r="DP32" s="852" t="n"/>
      <c r="DQ32" s="852" t="n"/>
      <c r="DR32" s="852" t="n"/>
      <c r="DS32" s="852" t="n"/>
      <c r="DT32" s="852" t="n"/>
      <c r="DU32" s="852" t="n"/>
      <c r="DV32" s="852" t="n"/>
      <c r="DW32" s="852" t="n"/>
      <c r="DX32" s="852" t="n"/>
      <c r="DY32" s="852" t="n"/>
      <c r="DZ32" s="852" t="n"/>
      <c r="EA32" s="852" t="n"/>
      <c r="EB32" s="852" t="n"/>
      <c r="EC32" s="852" t="n"/>
      <c r="ED32" s="852" t="n"/>
      <c r="EE32" s="852" t="n"/>
      <c r="EF32" s="852" t="n"/>
      <c r="EG32" s="852" t="n"/>
      <c r="EH32" s="852" t="n"/>
      <c r="EI32" s="852" t="n"/>
      <c r="EJ32" s="852" t="n"/>
      <c r="EK32" s="852" t="n"/>
      <c r="EL32" s="852" t="n"/>
      <c r="EM32" s="852" t="n"/>
      <c r="EN32" s="852" t="n"/>
      <c r="EO32" s="852" t="n"/>
      <c r="EP32" s="852" t="n"/>
      <c r="EQ32" s="852" t="n"/>
      <c r="ER32" s="852" t="n"/>
      <c r="ES32" s="852" t="n"/>
      <c r="ET32" s="852" t="n"/>
      <c r="EU32" s="852" t="n"/>
      <c r="EV32" s="852" t="n"/>
      <c r="EW32" s="852" t="n"/>
      <c r="EX32" s="852" t="n"/>
      <c r="EY32" s="852" t="n"/>
      <c r="EZ32" s="852" t="n"/>
      <c r="FA32" s="852" t="n"/>
      <c r="FB32" s="852" t="n"/>
      <c r="FC32" s="852" t="n"/>
      <c r="FD32" s="852" t="n"/>
      <c r="FE32" s="852" t="n"/>
      <c r="FF32" s="852" t="n"/>
      <c r="FG32" s="852" t="n"/>
      <c r="FH32" s="852" t="n"/>
      <c r="FI32" s="852" t="n"/>
      <c r="FJ32" s="852" t="n"/>
      <c r="FK32" s="852" t="n"/>
      <c r="FL32" s="852" t="n"/>
      <c r="FM32" s="852" t="n"/>
      <c r="FN32" s="852" t="n"/>
      <c r="FO32" s="852" t="n"/>
      <c r="FP32" s="852" t="n"/>
      <c r="FQ32" s="852" t="n"/>
      <c r="FR32" s="852" t="n"/>
      <c r="FS32" s="852" t="n"/>
      <c r="FT32" s="852" t="n"/>
      <c r="FU32" s="852" t="n"/>
      <c r="FV32" s="852" t="n"/>
      <c r="FW32" s="852" t="n"/>
      <c r="FX32" s="852" t="n"/>
      <c r="FY32" s="852" t="n"/>
      <c r="FZ32" s="852" t="n"/>
      <c r="GA32" s="852" t="n"/>
      <c r="GB32" s="852" t="n"/>
      <c r="GC32" s="852" t="n"/>
      <c r="GD32" s="852" t="n"/>
      <c r="GE32" s="852" t="n"/>
      <c r="GF32" s="852" t="n"/>
      <c r="GG32" s="852" t="n"/>
      <c r="GH32" s="852" t="n"/>
      <c r="GI32" s="852" t="n"/>
      <c r="GJ32" s="852" t="n"/>
      <c r="GK32" s="852" t="n"/>
      <c r="GL32" s="852" t="n"/>
      <c r="GM32" s="852" t="n"/>
      <c r="GN32" s="852" t="n"/>
      <c r="GO32" s="852" t="n"/>
      <c r="GP32" s="852" t="n"/>
      <c r="GQ32" s="852" t="n"/>
      <c r="GR32" s="852" t="n"/>
      <c r="GS32" s="852" t="n"/>
      <c r="GT32" s="852" t="n"/>
      <c r="GU32" s="852" t="n"/>
      <c r="GV32" s="852" t="n"/>
      <c r="GW32" s="852" t="n"/>
      <c r="GX32" s="852" t="n"/>
      <c r="GY32" s="852" t="n"/>
      <c r="GZ32" s="852" t="n"/>
      <c r="HA32" s="852" t="n"/>
      <c r="HB32" s="852" t="n"/>
      <c r="HC32" s="852" t="n"/>
      <c r="HD32" s="852" t="n"/>
      <c r="HE32" s="852" t="n"/>
      <c r="HF32" s="852" t="n"/>
      <c r="HG32" s="852" t="n"/>
      <c r="HH32" s="852" t="n"/>
      <c r="HI32" s="852" t="n"/>
      <c r="HJ32" s="852" t="n"/>
      <c r="HK32" s="852" t="n"/>
      <c r="HL32" s="852" t="n"/>
      <c r="HM32" s="852" t="n"/>
      <c r="HN32" s="852" t="n"/>
      <c r="HO32" s="852" t="n"/>
      <c r="HP32" s="852" t="n"/>
      <c r="HQ32" s="852" t="n"/>
      <c r="HR32" s="852" t="n"/>
      <c r="HS32" s="852" t="n"/>
      <c r="HT32" s="852" t="n"/>
      <c r="HU32" s="852" t="n"/>
      <c r="HV32" s="852" t="n"/>
      <c r="HW32" s="852" t="n"/>
      <c r="HX32" s="852" t="n"/>
      <c r="HY32" s="852" t="n"/>
      <c r="HZ32" s="852" t="n"/>
      <c r="IA32" s="852" t="n"/>
      <c r="IB32" s="852" t="n"/>
      <c r="IC32" s="852" t="n"/>
      <c r="ID32" s="852" t="n"/>
      <c r="IE32" s="852" t="n"/>
      <c r="IF32" s="852" t="n"/>
      <c r="IG32" s="852" t="n"/>
    </row>
    <row r="33" ht="16.5" customHeight="1">
      <c r="A33" s="186" t="n"/>
      <c r="B33" s="186" t="inlineStr">
        <is>
          <t>Actual Loan to Value</t>
        </is>
      </c>
      <c r="C33" s="192">
        <f>C31/(C19+C20)</f>
        <v/>
      </c>
      <c r="D33" s="186" t="n"/>
      <c r="E33" s="186" t="n"/>
      <c r="F33" s="213" t="n">
        <v>27</v>
      </c>
      <c r="G33" s="214">
        <f>$C$39</f>
        <v/>
      </c>
      <c r="H33" s="214">
        <f>(J32*$C$16)/12</f>
        <v/>
      </c>
      <c r="I33" s="214">
        <f>G33-H33</f>
        <v/>
      </c>
      <c r="J33" s="214">
        <f>J32-I33</f>
        <v/>
      </c>
      <c r="K33" s="946" t="n"/>
      <c r="L33" s="946" t="n"/>
      <c r="M33" s="946" t="n"/>
      <c r="N33" s="946" t="n"/>
      <c r="O33" s="946" t="n"/>
      <c r="P33" s="949" t="n"/>
      <c r="Q33" s="949" t="n"/>
      <c r="R33" s="946" t="n"/>
      <c r="S33" s="946" t="n"/>
      <c r="T33" s="946" t="n"/>
      <c r="U33" s="946" t="n"/>
      <c r="V33" s="946" t="n"/>
      <c r="W33" s="946" t="n"/>
      <c r="X33" s="946" t="n"/>
      <c r="Y33" s="946" t="n"/>
      <c r="Z33" s="946" t="n"/>
      <c r="AA33" s="946" t="n"/>
      <c r="AB33" s="946" t="n"/>
      <c r="AC33" s="852" t="n"/>
      <c r="AD33" s="852" t="n"/>
      <c r="AE33" s="852" t="n"/>
      <c r="AF33" s="852" t="n"/>
      <c r="AG33" s="852" t="n"/>
      <c r="AH33" s="852" t="n"/>
      <c r="AI33" s="852" t="n"/>
      <c r="AJ33" s="852" t="n"/>
      <c r="AK33" s="852" t="n"/>
      <c r="AL33" s="852" t="n"/>
      <c r="AM33" s="852" t="n"/>
      <c r="AN33" s="852" t="n"/>
      <c r="AO33" s="852" t="n"/>
      <c r="AP33" s="852" t="n"/>
      <c r="AQ33" s="852" t="n"/>
      <c r="AR33" s="852" t="n"/>
      <c r="AS33" s="852" t="n"/>
      <c r="AT33" s="852" t="n"/>
      <c r="AU33" s="852" t="n"/>
      <c r="AV33" s="852" t="n"/>
      <c r="AW33" s="852" t="n"/>
      <c r="AX33" s="852" t="n"/>
      <c r="AY33" s="852" t="n"/>
      <c r="AZ33" s="852" t="n"/>
      <c r="BA33" s="852" t="n"/>
      <c r="BB33" s="852" t="n"/>
      <c r="BC33" s="852" t="n"/>
      <c r="BD33" s="852" t="n"/>
      <c r="BE33" s="852" t="n"/>
      <c r="BF33" s="852" t="n"/>
      <c r="BG33" s="852" t="n"/>
      <c r="BH33" s="852" t="n"/>
      <c r="BI33" s="852" t="n"/>
      <c r="BJ33" s="852" t="n"/>
      <c r="BK33" s="852" t="n"/>
      <c r="BL33" s="852" t="n"/>
      <c r="BM33" s="852" t="n"/>
      <c r="BN33" s="852" t="n"/>
      <c r="BO33" s="852" t="n"/>
      <c r="BP33" s="852" t="n"/>
      <c r="BQ33" s="852" t="n"/>
      <c r="BR33" s="852" t="n"/>
      <c r="BS33" s="852" t="n"/>
      <c r="BT33" s="852" t="n"/>
      <c r="BU33" s="852" t="n"/>
      <c r="BV33" s="852" t="n"/>
      <c r="BW33" s="852" t="n"/>
      <c r="BX33" s="852" t="n"/>
      <c r="BY33" s="852" t="n"/>
      <c r="BZ33" s="852" t="n"/>
      <c r="CA33" s="852" t="n"/>
      <c r="CB33" s="852" t="n"/>
      <c r="CC33" s="852" t="n"/>
      <c r="CD33" s="852" t="n"/>
      <c r="CE33" s="852" t="n"/>
      <c r="CF33" s="852" t="n"/>
      <c r="CG33" s="852" t="n"/>
      <c r="CH33" s="852" t="n"/>
      <c r="CI33" s="852" t="n"/>
      <c r="CJ33" s="852" t="n"/>
      <c r="CK33" s="852" t="n"/>
      <c r="CL33" s="852" t="n"/>
      <c r="CM33" s="852" t="n"/>
      <c r="CN33" s="852" t="n"/>
      <c r="CO33" s="852" t="n"/>
      <c r="CP33" s="852" t="n"/>
      <c r="CQ33" s="852" t="n"/>
      <c r="CR33" s="852" t="n"/>
      <c r="CS33" s="852" t="n"/>
      <c r="CT33" s="852" t="n"/>
      <c r="CU33" s="852" t="n"/>
      <c r="CV33" s="852" t="n"/>
      <c r="CW33" s="852" t="n"/>
      <c r="CX33" s="852" t="n"/>
      <c r="CY33" s="852" t="n"/>
      <c r="CZ33" s="852" t="n"/>
      <c r="DA33" s="852" t="n"/>
      <c r="DB33" s="852" t="n"/>
      <c r="DC33" s="852" t="n"/>
      <c r="DD33" s="852" t="n"/>
      <c r="DE33" s="852" t="n"/>
      <c r="DF33" s="852" t="n"/>
      <c r="DG33" s="852" t="n"/>
      <c r="DH33" s="852" t="n"/>
      <c r="DI33" s="852" t="n"/>
      <c r="DJ33" s="852" t="n"/>
      <c r="DK33" s="852" t="n"/>
      <c r="DL33" s="852" t="n"/>
      <c r="DM33" s="852" t="n"/>
      <c r="DN33" s="852" t="n"/>
      <c r="DO33" s="852" t="n"/>
      <c r="DP33" s="852" t="n"/>
      <c r="DQ33" s="852" t="n"/>
      <c r="DR33" s="852" t="n"/>
      <c r="DS33" s="852" t="n"/>
      <c r="DT33" s="852" t="n"/>
      <c r="DU33" s="852" t="n"/>
      <c r="DV33" s="852" t="n"/>
      <c r="DW33" s="852" t="n"/>
      <c r="DX33" s="852" t="n"/>
      <c r="DY33" s="852" t="n"/>
      <c r="DZ33" s="852" t="n"/>
      <c r="EA33" s="852" t="n"/>
      <c r="EB33" s="852" t="n"/>
      <c r="EC33" s="852" t="n"/>
      <c r="ED33" s="852" t="n"/>
      <c r="EE33" s="852" t="n"/>
      <c r="EF33" s="852" t="n"/>
      <c r="EG33" s="852" t="n"/>
      <c r="EH33" s="852" t="n"/>
      <c r="EI33" s="852" t="n"/>
      <c r="EJ33" s="852" t="n"/>
      <c r="EK33" s="852" t="n"/>
      <c r="EL33" s="852" t="n"/>
      <c r="EM33" s="852" t="n"/>
      <c r="EN33" s="852" t="n"/>
      <c r="EO33" s="852" t="n"/>
      <c r="EP33" s="852" t="n"/>
      <c r="EQ33" s="852" t="n"/>
      <c r="ER33" s="852" t="n"/>
      <c r="ES33" s="852" t="n"/>
      <c r="ET33" s="852" t="n"/>
      <c r="EU33" s="852" t="n"/>
      <c r="EV33" s="852" t="n"/>
      <c r="EW33" s="852" t="n"/>
      <c r="EX33" s="852" t="n"/>
      <c r="EY33" s="852" t="n"/>
      <c r="EZ33" s="852" t="n"/>
      <c r="FA33" s="852" t="n"/>
      <c r="FB33" s="852" t="n"/>
      <c r="FC33" s="852" t="n"/>
      <c r="FD33" s="852" t="n"/>
      <c r="FE33" s="852" t="n"/>
      <c r="FF33" s="852" t="n"/>
      <c r="FG33" s="852" t="n"/>
      <c r="FH33" s="852" t="n"/>
      <c r="FI33" s="852" t="n"/>
      <c r="FJ33" s="852" t="n"/>
      <c r="FK33" s="852" t="n"/>
      <c r="FL33" s="852" t="n"/>
      <c r="FM33" s="852" t="n"/>
      <c r="FN33" s="852" t="n"/>
      <c r="FO33" s="852" t="n"/>
      <c r="FP33" s="852" t="n"/>
      <c r="FQ33" s="852" t="n"/>
      <c r="FR33" s="852" t="n"/>
      <c r="FS33" s="852" t="n"/>
      <c r="FT33" s="852" t="n"/>
      <c r="FU33" s="852" t="n"/>
      <c r="FV33" s="852" t="n"/>
      <c r="FW33" s="852" t="n"/>
      <c r="FX33" s="852" t="n"/>
      <c r="FY33" s="852" t="n"/>
      <c r="FZ33" s="852" t="n"/>
      <c r="GA33" s="852" t="n"/>
      <c r="GB33" s="852" t="n"/>
      <c r="GC33" s="852" t="n"/>
      <c r="GD33" s="852" t="n"/>
      <c r="GE33" s="852" t="n"/>
      <c r="GF33" s="852" t="n"/>
      <c r="GG33" s="852" t="n"/>
      <c r="GH33" s="852" t="n"/>
      <c r="GI33" s="852" t="n"/>
      <c r="GJ33" s="852" t="n"/>
      <c r="GK33" s="852" t="n"/>
      <c r="GL33" s="852" t="n"/>
      <c r="GM33" s="852" t="n"/>
      <c r="GN33" s="852" t="n"/>
      <c r="GO33" s="852" t="n"/>
      <c r="GP33" s="852" t="n"/>
      <c r="GQ33" s="852" t="n"/>
      <c r="GR33" s="852" t="n"/>
      <c r="GS33" s="852" t="n"/>
      <c r="GT33" s="852" t="n"/>
      <c r="GU33" s="852" t="n"/>
      <c r="GV33" s="852" t="n"/>
      <c r="GW33" s="852" t="n"/>
      <c r="GX33" s="852" t="n"/>
      <c r="GY33" s="852" t="n"/>
      <c r="GZ33" s="852" t="n"/>
      <c r="HA33" s="852" t="n"/>
      <c r="HB33" s="852" t="n"/>
      <c r="HC33" s="852" t="n"/>
      <c r="HD33" s="852" t="n"/>
      <c r="HE33" s="852" t="n"/>
      <c r="HF33" s="852" t="n"/>
      <c r="HG33" s="852" t="n"/>
      <c r="HH33" s="852" t="n"/>
      <c r="HI33" s="852" t="n"/>
      <c r="HJ33" s="852" t="n"/>
      <c r="HK33" s="852" t="n"/>
      <c r="HL33" s="852" t="n"/>
      <c r="HM33" s="852" t="n"/>
      <c r="HN33" s="852" t="n"/>
      <c r="HO33" s="852" t="n"/>
      <c r="HP33" s="852" t="n"/>
      <c r="HQ33" s="852" t="n"/>
      <c r="HR33" s="852" t="n"/>
      <c r="HS33" s="852" t="n"/>
      <c r="HT33" s="852" t="n"/>
      <c r="HU33" s="852" t="n"/>
      <c r="HV33" s="852" t="n"/>
      <c r="HW33" s="852" t="n"/>
      <c r="HX33" s="852" t="n"/>
      <c r="HY33" s="852" t="n"/>
      <c r="HZ33" s="852" t="n"/>
      <c r="IA33" s="852" t="n"/>
      <c r="IB33" s="852" t="n"/>
      <c r="IC33" s="852" t="n"/>
      <c r="ID33" s="852" t="n"/>
      <c r="IE33" s="852" t="n"/>
      <c r="IF33" s="852" t="n"/>
      <c r="IG33" s="852" t="n"/>
    </row>
    <row r="34" ht="16.5" customHeight="1">
      <c r="A34" s="186" t="n"/>
      <c r="B34" s="186" t="inlineStr">
        <is>
          <t>Actual Loan to Cost</t>
        </is>
      </c>
      <c r="C34" s="192">
        <f>-C31/C22</f>
        <v/>
      </c>
      <c r="D34" s="186" t="n"/>
      <c r="E34" s="186" t="n"/>
      <c r="F34" s="213" t="n">
        <v>28</v>
      </c>
      <c r="G34" s="214">
        <f>$C$39</f>
        <v/>
      </c>
      <c r="H34" s="214">
        <f>(J33*$C$16)/12</f>
        <v/>
      </c>
      <c r="I34" s="214">
        <f>G34-H34</f>
        <v/>
      </c>
      <c r="J34" s="214">
        <f>J33-I34</f>
        <v/>
      </c>
      <c r="K34" s="946" t="n"/>
      <c r="L34" s="946" t="n"/>
      <c r="M34" s="946" t="n"/>
      <c r="N34" s="946" t="n"/>
      <c r="O34" s="946" t="n"/>
      <c r="P34" s="946" t="n"/>
      <c r="Q34" s="946" t="n"/>
      <c r="R34" s="954" t="n"/>
      <c r="S34" s="946" t="n"/>
      <c r="T34" s="946" t="n"/>
      <c r="U34" s="946" t="n"/>
      <c r="V34" s="946" t="n"/>
      <c r="W34" s="946" t="n"/>
      <c r="X34" s="946" t="n"/>
      <c r="Y34" s="946" t="n"/>
      <c r="Z34" s="946" t="n"/>
      <c r="AA34" s="946" t="n"/>
      <c r="AB34" s="946" t="n"/>
      <c r="AC34" s="852" t="n"/>
      <c r="AD34" s="852" t="n"/>
      <c r="AE34" s="852" t="n"/>
      <c r="AF34" s="852" t="n"/>
      <c r="AG34" s="852" t="n"/>
      <c r="AH34" s="852" t="n"/>
      <c r="AI34" s="852" t="n"/>
      <c r="AJ34" s="852" t="n"/>
      <c r="AK34" s="852" t="n"/>
      <c r="AL34" s="852" t="n"/>
      <c r="AM34" s="852" t="n"/>
      <c r="AN34" s="852" t="n"/>
      <c r="AO34" s="852" t="n"/>
      <c r="AP34" s="852" t="n"/>
      <c r="AQ34" s="852" t="n"/>
      <c r="AR34" s="852" t="n"/>
      <c r="AS34" s="852" t="n"/>
      <c r="AT34" s="852" t="n"/>
      <c r="AU34" s="852" t="n"/>
      <c r="AV34" s="852" t="n"/>
      <c r="AW34" s="852" t="n"/>
      <c r="AX34" s="852" t="n"/>
      <c r="AY34" s="852" t="n"/>
      <c r="AZ34" s="852" t="n"/>
      <c r="BA34" s="852" t="n"/>
      <c r="BB34" s="852" t="n"/>
      <c r="BC34" s="852" t="n"/>
      <c r="BD34" s="852" t="n"/>
      <c r="BE34" s="852" t="n"/>
      <c r="BF34" s="852" t="n"/>
      <c r="BG34" s="852" t="n"/>
      <c r="BH34" s="852" t="n"/>
      <c r="BI34" s="852" t="n"/>
      <c r="BJ34" s="852" t="n"/>
      <c r="BK34" s="852" t="n"/>
      <c r="BL34" s="852" t="n"/>
      <c r="BM34" s="852" t="n"/>
      <c r="BN34" s="852" t="n"/>
      <c r="BO34" s="852" t="n"/>
      <c r="BP34" s="852" t="n"/>
      <c r="BQ34" s="852" t="n"/>
      <c r="BR34" s="852" t="n"/>
      <c r="BS34" s="852" t="n"/>
      <c r="BT34" s="852" t="n"/>
      <c r="BU34" s="852" t="n"/>
      <c r="BV34" s="852" t="n"/>
      <c r="BW34" s="852" t="n"/>
      <c r="BX34" s="852" t="n"/>
      <c r="BY34" s="852" t="n"/>
      <c r="BZ34" s="852" t="n"/>
      <c r="CA34" s="852" t="n"/>
      <c r="CB34" s="852" t="n"/>
      <c r="CC34" s="852" t="n"/>
      <c r="CD34" s="852" t="n"/>
      <c r="CE34" s="852" t="n"/>
      <c r="CF34" s="852" t="n"/>
      <c r="CG34" s="852" t="n"/>
      <c r="CH34" s="852" t="n"/>
      <c r="CI34" s="852" t="n"/>
      <c r="CJ34" s="852" t="n"/>
      <c r="CK34" s="852" t="n"/>
      <c r="CL34" s="852" t="n"/>
      <c r="CM34" s="852" t="n"/>
      <c r="CN34" s="852" t="n"/>
      <c r="CO34" s="852" t="n"/>
      <c r="CP34" s="852" t="n"/>
      <c r="CQ34" s="852" t="n"/>
      <c r="CR34" s="852" t="n"/>
      <c r="CS34" s="852" t="n"/>
      <c r="CT34" s="852" t="n"/>
      <c r="CU34" s="852" t="n"/>
      <c r="CV34" s="852" t="n"/>
      <c r="CW34" s="852" t="n"/>
      <c r="CX34" s="852" t="n"/>
      <c r="CY34" s="852" t="n"/>
      <c r="CZ34" s="852" t="n"/>
      <c r="DA34" s="852" t="n"/>
      <c r="DB34" s="852" t="n"/>
      <c r="DC34" s="852" t="n"/>
      <c r="DD34" s="852" t="n"/>
      <c r="DE34" s="852" t="n"/>
      <c r="DF34" s="852" t="n"/>
      <c r="DG34" s="852" t="n"/>
      <c r="DH34" s="852" t="n"/>
      <c r="DI34" s="852" t="n"/>
      <c r="DJ34" s="852" t="n"/>
      <c r="DK34" s="852" t="n"/>
      <c r="DL34" s="852" t="n"/>
      <c r="DM34" s="852" t="n"/>
      <c r="DN34" s="852" t="n"/>
      <c r="DO34" s="852" t="n"/>
      <c r="DP34" s="852" t="n"/>
      <c r="DQ34" s="852" t="n"/>
      <c r="DR34" s="852" t="n"/>
      <c r="DS34" s="852" t="n"/>
      <c r="DT34" s="852" t="n"/>
      <c r="DU34" s="852" t="n"/>
      <c r="DV34" s="852" t="n"/>
      <c r="DW34" s="852" t="n"/>
      <c r="DX34" s="852" t="n"/>
      <c r="DY34" s="852" t="n"/>
      <c r="DZ34" s="852" t="n"/>
      <c r="EA34" s="852" t="n"/>
      <c r="EB34" s="852" t="n"/>
      <c r="EC34" s="852" t="n"/>
      <c r="ED34" s="852" t="n"/>
      <c r="EE34" s="852" t="n"/>
      <c r="EF34" s="852" t="n"/>
      <c r="EG34" s="852" t="n"/>
      <c r="EH34" s="852" t="n"/>
      <c r="EI34" s="852" t="n"/>
      <c r="EJ34" s="852" t="n"/>
      <c r="EK34" s="852" t="n"/>
      <c r="EL34" s="852" t="n"/>
      <c r="EM34" s="852" t="n"/>
      <c r="EN34" s="852" t="n"/>
      <c r="EO34" s="852" t="n"/>
      <c r="EP34" s="852" t="n"/>
      <c r="EQ34" s="852" t="n"/>
      <c r="ER34" s="852" t="n"/>
      <c r="ES34" s="852" t="n"/>
      <c r="ET34" s="852" t="n"/>
      <c r="EU34" s="852" t="n"/>
      <c r="EV34" s="852" t="n"/>
      <c r="EW34" s="852" t="n"/>
      <c r="EX34" s="852" t="n"/>
      <c r="EY34" s="852" t="n"/>
      <c r="EZ34" s="852" t="n"/>
      <c r="FA34" s="852" t="n"/>
      <c r="FB34" s="852" t="n"/>
      <c r="FC34" s="852" t="n"/>
      <c r="FD34" s="852" t="n"/>
      <c r="FE34" s="852" t="n"/>
      <c r="FF34" s="852" t="n"/>
      <c r="FG34" s="852" t="n"/>
      <c r="FH34" s="852" t="n"/>
      <c r="FI34" s="852" t="n"/>
      <c r="FJ34" s="852" t="n"/>
      <c r="FK34" s="852" t="n"/>
      <c r="FL34" s="852" t="n"/>
      <c r="FM34" s="852" t="n"/>
      <c r="FN34" s="852" t="n"/>
      <c r="FO34" s="852" t="n"/>
      <c r="FP34" s="852" t="n"/>
      <c r="FQ34" s="852" t="n"/>
      <c r="FR34" s="852" t="n"/>
      <c r="FS34" s="852" t="n"/>
      <c r="FT34" s="852" t="n"/>
      <c r="FU34" s="852" t="n"/>
      <c r="FV34" s="852" t="n"/>
      <c r="FW34" s="852" t="n"/>
      <c r="FX34" s="852" t="n"/>
      <c r="FY34" s="852" t="n"/>
      <c r="FZ34" s="852" t="n"/>
      <c r="GA34" s="852" t="n"/>
      <c r="GB34" s="852" t="n"/>
      <c r="GC34" s="852" t="n"/>
      <c r="GD34" s="852" t="n"/>
      <c r="GE34" s="852" t="n"/>
      <c r="GF34" s="852" t="n"/>
      <c r="GG34" s="852" t="n"/>
      <c r="GH34" s="852" t="n"/>
      <c r="GI34" s="852" t="n"/>
      <c r="GJ34" s="852" t="n"/>
      <c r="GK34" s="852" t="n"/>
      <c r="GL34" s="852" t="n"/>
      <c r="GM34" s="852" t="n"/>
      <c r="GN34" s="852" t="n"/>
      <c r="GO34" s="852" t="n"/>
      <c r="GP34" s="852" t="n"/>
      <c r="GQ34" s="852" t="n"/>
      <c r="GR34" s="852" t="n"/>
      <c r="GS34" s="852" t="n"/>
      <c r="GT34" s="852" t="n"/>
      <c r="GU34" s="852" t="n"/>
      <c r="GV34" s="852" t="n"/>
      <c r="GW34" s="852" t="n"/>
      <c r="GX34" s="852" t="n"/>
      <c r="GY34" s="852" t="n"/>
      <c r="GZ34" s="852" t="n"/>
      <c r="HA34" s="852" t="n"/>
      <c r="HB34" s="852" t="n"/>
      <c r="HC34" s="852" t="n"/>
      <c r="HD34" s="852" t="n"/>
      <c r="HE34" s="852" t="n"/>
      <c r="HF34" s="852" t="n"/>
      <c r="HG34" s="852" t="n"/>
      <c r="HH34" s="852" t="n"/>
      <c r="HI34" s="852" t="n"/>
      <c r="HJ34" s="852" t="n"/>
      <c r="HK34" s="852" t="n"/>
      <c r="HL34" s="852" t="n"/>
      <c r="HM34" s="852" t="n"/>
      <c r="HN34" s="852" t="n"/>
      <c r="HO34" s="852" t="n"/>
      <c r="HP34" s="852" t="n"/>
      <c r="HQ34" s="852" t="n"/>
      <c r="HR34" s="852" t="n"/>
      <c r="HS34" s="852" t="n"/>
      <c r="HT34" s="852" t="n"/>
      <c r="HU34" s="852" t="n"/>
      <c r="HV34" s="852" t="n"/>
      <c r="HW34" s="852" t="n"/>
      <c r="HX34" s="852" t="n"/>
      <c r="HY34" s="852" t="n"/>
      <c r="HZ34" s="852" t="n"/>
      <c r="IA34" s="852" t="n"/>
      <c r="IB34" s="852" t="n"/>
      <c r="IC34" s="852" t="n"/>
      <c r="ID34" s="852" t="n"/>
      <c r="IE34" s="852" t="n"/>
      <c r="IF34" s="852" t="n"/>
      <c r="IG34" s="852" t="n"/>
    </row>
    <row r="35" ht="16.5" customHeight="1">
      <c r="A35" s="186" t="n"/>
      <c r="B35" s="186" t="inlineStr">
        <is>
          <t>Actual DSCR</t>
        </is>
      </c>
      <c r="C35" s="265">
        <f>C27/(C31*C17)</f>
        <v/>
      </c>
      <c r="D35" s="186" t="n"/>
      <c r="E35" s="186" t="n"/>
      <c r="F35" s="213" t="n">
        <v>29</v>
      </c>
      <c r="G35" s="214">
        <f>$C$39</f>
        <v/>
      </c>
      <c r="H35" s="214">
        <f>(J34*$C$16)/12</f>
        <v/>
      </c>
      <c r="I35" s="214">
        <f>G35-H35</f>
        <v/>
      </c>
      <c r="J35" s="214">
        <f>J34-I35</f>
        <v/>
      </c>
      <c r="K35" s="946" t="n"/>
      <c r="L35" s="946" t="n"/>
      <c r="M35" s="946" t="n"/>
      <c r="N35" s="946" t="n"/>
      <c r="O35" s="946" t="n"/>
      <c r="P35" s="946" t="n"/>
      <c r="Q35" s="946" t="n"/>
      <c r="R35" s="946" t="n"/>
      <c r="S35" s="946" t="n"/>
      <c r="T35" s="946" t="n"/>
      <c r="U35" s="946" t="n"/>
      <c r="V35" s="946" t="n"/>
      <c r="W35" s="946" t="n"/>
      <c r="X35" s="946" t="n"/>
      <c r="Y35" s="946" t="n"/>
      <c r="Z35" s="946" t="n"/>
      <c r="AA35" s="946" t="n"/>
      <c r="AB35" s="946" t="n"/>
      <c r="AC35" s="852" t="n"/>
      <c r="AD35" s="852" t="n"/>
      <c r="AE35" s="852" t="n"/>
      <c r="AF35" s="852" t="n"/>
      <c r="AG35" s="852" t="n"/>
      <c r="AH35" s="852" t="n"/>
      <c r="AI35" s="852" t="n"/>
      <c r="AJ35" s="852" t="n"/>
      <c r="AK35" s="852" t="n"/>
      <c r="AL35" s="852" t="n"/>
      <c r="AM35" s="852" t="n"/>
      <c r="AN35" s="852" t="n"/>
      <c r="AO35" s="852" t="n"/>
      <c r="AP35" s="852" t="n"/>
      <c r="AQ35" s="852" t="n"/>
      <c r="AR35" s="852" t="n"/>
      <c r="AS35" s="852" t="n"/>
      <c r="AT35" s="852" t="n"/>
      <c r="AU35" s="852" t="n"/>
      <c r="AV35" s="852" t="n"/>
      <c r="AW35" s="852" t="n"/>
      <c r="AX35" s="852" t="n"/>
      <c r="AY35" s="852" t="n"/>
      <c r="AZ35" s="852" t="n"/>
      <c r="BA35" s="852" t="n"/>
      <c r="BB35" s="852" t="n"/>
      <c r="BC35" s="852" t="n"/>
      <c r="BD35" s="852" t="n"/>
      <c r="BE35" s="852" t="n"/>
      <c r="BF35" s="852" t="n"/>
      <c r="BG35" s="852" t="n"/>
      <c r="BH35" s="852" t="n"/>
      <c r="BI35" s="852" t="n"/>
      <c r="BJ35" s="852" t="n"/>
      <c r="BK35" s="852" t="n"/>
      <c r="BL35" s="852" t="n"/>
      <c r="BM35" s="852" t="n"/>
      <c r="BN35" s="852" t="n"/>
      <c r="BO35" s="852" t="n"/>
      <c r="BP35" s="852" t="n"/>
      <c r="BQ35" s="852" t="n"/>
      <c r="BR35" s="852" t="n"/>
      <c r="BS35" s="852" t="n"/>
      <c r="BT35" s="852" t="n"/>
      <c r="BU35" s="852" t="n"/>
      <c r="BV35" s="852" t="n"/>
      <c r="BW35" s="852" t="n"/>
      <c r="BX35" s="852" t="n"/>
      <c r="BY35" s="852" t="n"/>
      <c r="BZ35" s="852" t="n"/>
      <c r="CA35" s="852" t="n"/>
      <c r="CB35" s="852" t="n"/>
      <c r="CC35" s="852" t="n"/>
      <c r="CD35" s="852" t="n"/>
      <c r="CE35" s="852" t="n"/>
      <c r="CF35" s="852" t="n"/>
      <c r="CG35" s="852" t="n"/>
      <c r="CH35" s="852" t="n"/>
      <c r="CI35" s="852" t="n"/>
      <c r="CJ35" s="852" t="n"/>
      <c r="CK35" s="852" t="n"/>
      <c r="CL35" s="852" t="n"/>
      <c r="CM35" s="852" t="n"/>
      <c r="CN35" s="852" t="n"/>
      <c r="CO35" s="852" t="n"/>
      <c r="CP35" s="852" t="n"/>
      <c r="CQ35" s="852" t="n"/>
      <c r="CR35" s="852" t="n"/>
      <c r="CS35" s="852" t="n"/>
      <c r="CT35" s="852" t="n"/>
      <c r="CU35" s="852" t="n"/>
      <c r="CV35" s="852" t="n"/>
      <c r="CW35" s="852" t="n"/>
      <c r="CX35" s="852" t="n"/>
      <c r="CY35" s="852" t="n"/>
      <c r="CZ35" s="852" t="n"/>
      <c r="DA35" s="852" t="n"/>
      <c r="DB35" s="852" t="n"/>
      <c r="DC35" s="852" t="n"/>
      <c r="DD35" s="852" t="n"/>
      <c r="DE35" s="852" t="n"/>
      <c r="DF35" s="852" t="n"/>
      <c r="DG35" s="852" t="n"/>
      <c r="DH35" s="852" t="n"/>
      <c r="DI35" s="852" t="n"/>
      <c r="DJ35" s="852" t="n"/>
      <c r="DK35" s="852" t="n"/>
      <c r="DL35" s="852" t="n"/>
      <c r="DM35" s="852" t="n"/>
      <c r="DN35" s="852" t="n"/>
      <c r="DO35" s="852" t="n"/>
      <c r="DP35" s="852" t="n"/>
      <c r="DQ35" s="852" t="n"/>
      <c r="DR35" s="852" t="n"/>
      <c r="DS35" s="852" t="n"/>
      <c r="DT35" s="852" t="n"/>
      <c r="DU35" s="852" t="n"/>
      <c r="DV35" s="852" t="n"/>
      <c r="DW35" s="852" t="n"/>
      <c r="DX35" s="852" t="n"/>
      <c r="DY35" s="852" t="n"/>
      <c r="DZ35" s="852" t="n"/>
      <c r="EA35" s="852" t="n"/>
      <c r="EB35" s="852" t="n"/>
      <c r="EC35" s="852" t="n"/>
      <c r="ED35" s="852" t="n"/>
      <c r="EE35" s="852" t="n"/>
      <c r="EF35" s="852" t="n"/>
      <c r="EG35" s="852" t="n"/>
      <c r="EH35" s="852" t="n"/>
      <c r="EI35" s="852" t="n"/>
      <c r="EJ35" s="852" t="n"/>
      <c r="EK35" s="852" t="n"/>
      <c r="EL35" s="852" t="n"/>
      <c r="EM35" s="852" t="n"/>
      <c r="EN35" s="852" t="n"/>
      <c r="EO35" s="852" t="n"/>
      <c r="EP35" s="852" t="n"/>
      <c r="EQ35" s="852" t="n"/>
      <c r="ER35" s="852" t="n"/>
      <c r="ES35" s="852" t="n"/>
      <c r="ET35" s="852" t="n"/>
      <c r="EU35" s="852" t="n"/>
      <c r="EV35" s="852" t="n"/>
      <c r="EW35" s="852" t="n"/>
      <c r="EX35" s="852" t="n"/>
      <c r="EY35" s="852" t="n"/>
      <c r="EZ35" s="852" t="n"/>
      <c r="FA35" s="852" t="n"/>
      <c r="FB35" s="852" t="n"/>
      <c r="FC35" s="852" t="n"/>
      <c r="FD35" s="852" t="n"/>
      <c r="FE35" s="852" t="n"/>
      <c r="FF35" s="852" t="n"/>
      <c r="FG35" s="852" t="n"/>
      <c r="FH35" s="852" t="n"/>
      <c r="FI35" s="852" t="n"/>
      <c r="FJ35" s="852" t="n"/>
      <c r="FK35" s="852" t="n"/>
      <c r="FL35" s="852" t="n"/>
      <c r="FM35" s="852" t="n"/>
      <c r="FN35" s="852" t="n"/>
      <c r="FO35" s="852" t="n"/>
      <c r="FP35" s="852" t="n"/>
      <c r="FQ35" s="852" t="n"/>
      <c r="FR35" s="852" t="n"/>
      <c r="FS35" s="852" t="n"/>
      <c r="FT35" s="852" t="n"/>
      <c r="FU35" s="852" t="n"/>
      <c r="FV35" s="852" t="n"/>
      <c r="FW35" s="852" t="n"/>
      <c r="FX35" s="852" t="n"/>
      <c r="FY35" s="852" t="n"/>
      <c r="FZ35" s="852" t="n"/>
      <c r="GA35" s="852" t="n"/>
      <c r="GB35" s="852" t="n"/>
      <c r="GC35" s="852" t="n"/>
      <c r="GD35" s="852" t="n"/>
      <c r="GE35" s="852" t="n"/>
      <c r="GF35" s="852" t="n"/>
      <c r="GG35" s="852" t="n"/>
      <c r="GH35" s="852" t="n"/>
      <c r="GI35" s="852" t="n"/>
      <c r="GJ35" s="852" t="n"/>
      <c r="GK35" s="852" t="n"/>
      <c r="GL35" s="852" t="n"/>
      <c r="GM35" s="852" t="n"/>
      <c r="GN35" s="852" t="n"/>
      <c r="GO35" s="852" t="n"/>
      <c r="GP35" s="852" t="n"/>
      <c r="GQ35" s="852" t="n"/>
      <c r="GR35" s="852" t="n"/>
      <c r="GS35" s="852" t="n"/>
      <c r="GT35" s="852" t="n"/>
      <c r="GU35" s="852" t="n"/>
      <c r="GV35" s="852" t="n"/>
      <c r="GW35" s="852" t="n"/>
      <c r="GX35" s="852" t="n"/>
      <c r="GY35" s="852" t="n"/>
      <c r="GZ35" s="852" t="n"/>
      <c r="HA35" s="852" t="n"/>
      <c r="HB35" s="852" t="n"/>
      <c r="HC35" s="852" t="n"/>
      <c r="HD35" s="852" t="n"/>
      <c r="HE35" s="852" t="n"/>
      <c r="HF35" s="852" t="n"/>
      <c r="HG35" s="852" t="n"/>
      <c r="HH35" s="852" t="n"/>
      <c r="HI35" s="852" t="n"/>
      <c r="HJ35" s="852" t="n"/>
      <c r="HK35" s="852" t="n"/>
      <c r="HL35" s="852" t="n"/>
      <c r="HM35" s="852" t="n"/>
      <c r="HN35" s="852" t="n"/>
      <c r="HO35" s="852" t="n"/>
      <c r="HP35" s="852" t="n"/>
      <c r="HQ35" s="852" t="n"/>
      <c r="HR35" s="852" t="n"/>
      <c r="HS35" s="852" t="n"/>
      <c r="HT35" s="852" t="n"/>
      <c r="HU35" s="852" t="n"/>
      <c r="HV35" s="852" t="n"/>
      <c r="HW35" s="852" t="n"/>
      <c r="HX35" s="852" t="n"/>
      <c r="HY35" s="852" t="n"/>
      <c r="HZ35" s="852" t="n"/>
      <c r="IA35" s="852" t="n"/>
      <c r="IB35" s="852" t="n"/>
      <c r="IC35" s="852" t="n"/>
      <c r="ID35" s="852" t="n"/>
      <c r="IE35" s="852" t="n"/>
      <c r="IF35" s="852" t="n"/>
      <c r="IG35" s="852" t="n"/>
    </row>
    <row r="36" ht="18" customHeight="1">
      <c r="A36" s="186" t="n"/>
      <c r="B36" s="186" t="inlineStr">
        <is>
          <t>Actual Debt Yield</t>
        </is>
      </c>
      <c r="C36" s="850">
        <f>C27/C31</f>
        <v/>
      </c>
      <c r="D36" s="186" t="n"/>
      <c r="E36" s="186" t="n"/>
      <c r="F36" s="213" t="n">
        <v>30</v>
      </c>
      <c r="G36" s="214">
        <f>$C$39</f>
        <v/>
      </c>
      <c r="H36" s="214">
        <f>(J35*$C$16)/12</f>
        <v/>
      </c>
      <c r="I36" s="214">
        <f>G36-H36</f>
        <v/>
      </c>
      <c r="J36" s="214">
        <f>J35-I36</f>
        <v/>
      </c>
      <c r="K36" s="946" t="n"/>
      <c r="L36" s="946" t="n"/>
      <c r="M36" s="953" t="n"/>
      <c r="N36" s="946" t="n"/>
      <c r="O36" s="946" t="n"/>
      <c r="P36" s="946" t="n"/>
      <c r="Q36" s="946" t="n"/>
      <c r="R36" s="955" t="n"/>
      <c r="S36" s="946" t="n"/>
      <c r="T36" s="946" t="n"/>
      <c r="U36" s="946" t="n"/>
      <c r="V36" s="946" t="n"/>
      <c r="W36" s="946" t="n"/>
      <c r="X36" s="946" t="n"/>
      <c r="Y36" s="946" t="n"/>
      <c r="Z36" s="946" t="n"/>
      <c r="AA36" s="946" t="n"/>
      <c r="AB36" s="946" t="n"/>
      <c r="AC36" s="852" t="n"/>
      <c r="AD36" s="852" t="n"/>
      <c r="AE36" s="852" t="n"/>
      <c r="AF36" s="852" t="n"/>
      <c r="AG36" s="852" t="n"/>
      <c r="AH36" s="852" t="n"/>
      <c r="AI36" s="852" t="n"/>
      <c r="AJ36" s="852" t="n"/>
      <c r="AK36" s="852" t="n"/>
      <c r="AL36" s="852" t="n"/>
      <c r="AM36" s="852" t="n"/>
      <c r="AN36" s="852" t="n"/>
      <c r="AO36" s="852" t="n"/>
      <c r="AP36" s="852" t="n"/>
      <c r="AQ36" s="852" t="n"/>
      <c r="AR36" s="852" t="n"/>
      <c r="AS36" s="852" t="n"/>
      <c r="AT36" s="852" t="n"/>
      <c r="AU36" s="852" t="n"/>
      <c r="AV36" s="852" t="n"/>
      <c r="AW36" s="852" t="n"/>
      <c r="AX36" s="852" t="n"/>
      <c r="AY36" s="852" t="n"/>
      <c r="AZ36" s="852" t="n"/>
      <c r="BA36" s="852" t="n"/>
      <c r="BB36" s="852" t="n"/>
      <c r="BC36" s="852" t="n"/>
      <c r="BD36" s="852" t="n"/>
      <c r="BE36" s="852" t="n"/>
      <c r="BF36" s="852" t="n"/>
      <c r="BG36" s="852" t="n"/>
      <c r="BH36" s="852" t="n"/>
      <c r="BI36" s="852" t="n"/>
      <c r="BJ36" s="852" t="n"/>
      <c r="BK36" s="852" t="n"/>
      <c r="BL36" s="852" t="n"/>
      <c r="BM36" s="852" t="n"/>
      <c r="BN36" s="852" t="n"/>
      <c r="BO36" s="852" t="n"/>
      <c r="BP36" s="852" t="n"/>
      <c r="BQ36" s="852" t="n"/>
      <c r="BR36" s="852" t="n"/>
      <c r="BS36" s="852" t="n"/>
      <c r="BT36" s="852" t="n"/>
      <c r="BU36" s="852" t="n"/>
      <c r="BV36" s="852" t="n"/>
      <c r="BW36" s="852" t="n"/>
      <c r="BX36" s="852" t="n"/>
      <c r="BY36" s="852" t="n"/>
      <c r="BZ36" s="852" t="n"/>
      <c r="CA36" s="852" t="n"/>
      <c r="CB36" s="852" t="n"/>
      <c r="CC36" s="852" t="n"/>
      <c r="CD36" s="852" t="n"/>
      <c r="CE36" s="852" t="n"/>
      <c r="CF36" s="852" t="n"/>
      <c r="CG36" s="852" t="n"/>
      <c r="CH36" s="852" t="n"/>
      <c r="CI36" s="852" t="n"/>
      <c r="CJ36" s="852" t="n"/>
      <c r="CK36" s="852" t="n"/>
      <c r="CL36" s="852" t="n"/>
      <c r="CM36" s="852" t="n"/>
      <c r="CN36" s="852" t="n"/>
      <c r="CO36" s="852" t="n"/>
      <c r="CP36" s="852" t="n"/>
      <c r="CQ36" s="852" t="n"/>
      <c r="CR36" s="852" t="n"/>
      <c r="CS36" s="852" t="n"/>
      <c r="CT36" s="852" t="n"/>
      <c r="CU36" s="852" t="n"/>
      <c r="CV36" s="852" t="n"/>
      <c r="CW36" s="852" t="n"/>
      <c r="CX36" s="852" t="n"/>
      <c r="CY36" s="852" t="n"/>
      <c r="CZ36" s="852" t="n"/>
      <c r="DA36" s="852" t="n"/>
      <c r="DB36" s="852" t="n"/>
      <c r="DC36" s="852" t="n"/>
      <c r="DD36" s="852" t="n"/>
      <c r="DE36" s="852" t="n"/>
      <c r="DF36" s="852" t="n"/>
      <c r="DG36" s="852" t="n"/>
      <c r="DH36" s="852" t="n"/>
      <c r="DI36" s="852" t="n"/>
      <c r="DJ36" s="852" t="n"/>
      <c r="DK36" s="852" t="n"/>
      <c r="DL36" s="852" t="n"/>
      <c r="DM36" s="852" t="n"/>
      <c r="DN36" s="852" t="n"/>
      <c r="DO36" s="852" t="n"/>
      <c r="DP36" s="852" t="n"/>
      <c r="DQ36" s="852" t="n"/>
      <c r="DR36" s="852" t="n"/>
      <c r="DS36" s="852" t="n"/>
      <c r="DT36" s="852" t="n"/>
      <c r="DU36" s="852" t="n"/>
      <c r="DV36" s="852" t="n"/>
      <c r="DW36" s="852" t="n"/>
      <c r="DX36" s="852" t="n"/>
      <c r="DY36" s="852" t="n"/>
      <c r="DZ36" s="852" t="n"/>
      <c r="EA36" s="852" t="n"/>
      <c r="EB36" s="852" t="n"/>
      <c r="EC36" s="852" t="n"/>
      <c r="ED36" s="852" t="n"/>
      <c r="EE36" s="852" t="n"/>
      <c r="EF36" s="852" t="n"/>
      <c r="EG36" s="852" t="n"/>
      <c r="EH36" s="852" t="n"/>
      <c r="EI36" s="852" t="n"/>
      <c r="EJ36" s="852" t="n"/>
      <c r="EK36" s="852" t="n"/>
      <c r="EL36" s="852" t="n"/>
      <c r="EM36" s="852" t="n"/>
      <c r="EN36" s="852" t="n"/>
      <c r="EO36" s="852" t="n"/>
      <c r="EP36" s="852" t="n"/>
      <c r="EQ36" s="852" t="n"/>
      <c r="ER36" s="852" t="n"/>
      <c r="ES36" s="852" t="n"/>
      <c r="ET36" s="852" t="n"/>
      <c r="EU36" s="852" t="n"/>
      <c r="EV36" s="852" t="n"/>
      <c r="EW36" s="852" t="n"/>
      <c r="EX36" s="852" t="n"/>
      <c r="EY36" s="852" t="n"/>
      <c r="EZ36" s="852" t="n"/>
      <c r="FA36" s="852" t="n"/>
      <c r="FB36" s="852" t="n"/>
      <c r="FC36" s="852" t="n"/>
      <c r="FD36" s="852" t="n"/>
      <c r="FE36" s="852" t="n"/>
      <c r="FF36" s="852" t="n"/>
      <c r="FG36" s="852" t="n"/>
      <c r="FH36" s="852" t="n"/>
      <c r="FI36" s="852" t="n"/>
      <c r="FJ36" s="852" t="n"/>
      <c r="FK36" s="852" t="n"/>
      <c r="FL36" s="852" t="n"/>
      <c r="FM36" s="852" t="n"/>
      <c r="FN36" s="852" t="n"/>
      <c r="FO36" s="852" t="n"/>
      <c r="FP36" s="852" t="n"/>
      <c r="FQ36" s="852" t="n"/>
      <c r="FR36" s="852" t="n"/>
      <c r="FS36" s="852" t="n"/>
      <c r="FT36" s="852" t="n"/>
      <c r="FU36" s="852" t="n"/>
      <c r="FV36" s="852" t="n"/>
      <c r="FW36" s="852" t="n"/>
      <c r="FX36" s="852" t="n"/>
      <c r="FY36" s="852" t="n"/>
      <c r="FZ36" s="852" t="n"/>
      <c r="GA36" s="852" t="n"/>
      <c r="GB36" s="852" t="n"/>
      <c r="GC36" s="852" t="n"/>
      <c r="GD36" s="852" t="n"/>
      <c r="GE36" s="852" t="n"/>
      <c r="GF36" s="852" t="n"/>
      <c r="GG36" s="852" t="n"/>
      <c r="GH36" s="852" t="n"/>
      <c r="GI36" s="852" t="n"/>
      <c r="GJ36" s="852" t="n"/>
      <c r="GK36" s="852" t="n"/>
      <c r="GL36" s="852" t="n"/>
      <c r="GM36" s="852" t="n"/>
      <c r="GN36" s="852" t="n"/>
      <c r="GO36" s="852" t="n"/>
      <c r="GP36" s="852" t="n"/>
      <c r="GQ36" s="852" t="n"/>
      <c r="GR36" s="852" t="n"/>
      <c r="GS36" s="852" t="n"/>
      <c r="GT36" s="852" t="n"/>
      <c r="GU36" s="852" t="n"/>
      <c r="GV36" s="852" t="n"/>
      <c r="GW36" s="852" t="n"/>
      <c r="GX36" s="852" t="n"/>
      <c r="GY36" s="852" t="n"/>
      <c r="GZ36" s="852" t="n"/>
      <c r="HA36" s="852" t="n"/>
      <c r="HB36" s="852" t="n"/>
      <c r="HC36" s="852" t="n"/>
      <c r="HD36" s="852" t="n"/>
      <c r="HE36" s="852" t="n"/>
      <c r="HF36" s="852" t="n"/>
      <c r="HG36" s="852" t="n"/>
      <c r="HH36" s="852" t="n"/>
      <c r="HI36" s="852" t="n"/>
      <c r="HJ36" s="852" t="n"/>
      <c r="HK36" s="852" t="n"/>
      <c r="HL36" s="852" t="n"/>
      <c r="HM36" s="852" t="n"/>
      <c r="HN36" s="852" t="n"/>
      <c r="HO36" s="852" t="n"/>
      <c r="HP36" s="852" t="n"/>
      <c r="HQ36" s="852" t="n"/>
      <c r="HR36" s="852" t="n"/>
      <c r="HS36" s="852" t="n"/>
      <c r="HT36" s="852" t="n"/>
      <c r="HU36" s="852" t="n"/>
      <c r="HV36" s="852" t="n"/>
      <c r="HW36" s="852" t="n"/>
      <c r="HX36" s="852" t="n"/>
      <c r="HY36" s="852" t="n"/>
      <c r="HZ36" s="852" t="n"/>
      <c r="IA36" s="852" t="n"/>
      <c r="IB36" s="852" t="n"/>
      <c r="IC36" s="852" t="n"/>
      <c r="ID36" s="852" t="n"/>
      <c r="IE36" s="852" t="n"/>
      <c r="IF36" s="852" t="n"/>
      <c r="IG36" s="852" t="n"/>
    </row>
    <row r="37" ht="16.5" customHeight="1">
      <c r="A37" s="186" t="n"/>
      <c r="B37" s="59" t="n"/>
      <c r="C37" s="59" t="n"/>
      <c r="D37" s="186" t="n"/>
      <c r="E37" s="186" t="n"/>
      <c r="F37" s="213" t="n">
        <v>31</v>
      </c>
      <c r="G37" s="214">
        <f>$C$39</f>
        <v/>
      </c>
      <c r="H37" s="214">
        <f>(J36*$C$16)/12</f>
        <v/>
      </c>
      <c r="I37" s="214">
        <f>G37-H37</f>
        <v/>
      </c>
      <c r="J37" s="214">
        <f>J36-I37</f>
        <v/>
      </c>
      <c r="K37" s="946" t="n"/>
      <c r="L37" s="946" t="n"/>
      <c r="M37" s="953" t="n"/>
      <c r="N37" s="946" t="n"/>
      <c r="O37" s="946" t="n"/>
      <c r="P37" s="946" t="n"/>
      <c r="Q37" s="946" t="n"/>
      <c r="R37" s="946" t="n"/>
      <c r="S37" s="946" t="n"/>
      <c r="T37" s="946" t="n"/>
      <c r="U37" s="946" t="n"/>
      <c r="V37" s="946" t="n"/>
      <c r="W37" s="946" t="n"/>
      <c r="X37" s="946" t="n"/>
      <c r="Y37" s="946" t="n"/>
      <c r="Z37" s="946" t="n"/>
      <c r="AA37" s="946" t="n"/>
      <c r="AB37" s="946" t="n"/>
      <c r="AC37" s="852" t="n"/>
      <c r="AD37" s="852" t="n"/>
      <c r="AE37" s="852" t="n"/>
      <c r="AF37" s="852" t="n"/>
      <c r="AG37" s="852" t="n"/>
      <c r="AH37" s="852" t="n"/>
      <c r="AI37" s="852" t="n"/>
      <c r="AJ37" s="852" t="n"/>
      <c r="AK37" s="852" t="n"/>
      <c r="AL37" s="852" t="n"/>
      <c r="AM37" s="852" t="n"/>
      <c r="AN37" s="852" t="n"/>
      <c r="AO37" s="852" t="n"/>
      <c r="AP37" s="852" t="n"/>
      <c r="AQ37" s="852" t="n"/>
      <c r="AR37" s="852" t="n"/>
      <c r="AS37" s="852" t="n"/>
      <c r="AT37" s="852" t="n"/>
      <c r="AU37" s="852" t="n"/>
      <c r="AV37" s="852" t="n"/>
      <c r="AW37" s="852" t="n"/>
      <c r="AX37" s="852" t="n"/>
      <c r="AY37" s="852" t="n"/>
      <c r="AZ37" s="852" t="n"/>
      <c r="BA37" s="852" t="n"/>
      <c r="BB37" s="852" t="n"/>
      <c r="BC37" s="852" t="n"/>
      <c r="BD37" s="852" t="n"/>
      <c r="BE37" s="852" t="n"/>
      <c r="BF37" s="852" t="n"/>
      <c r="BG37" s="852" t="n"/>
      <c r="BH37" s="852" t="n"/>
      <c r="BI37" s="852" t="n"/>
      <c r="BJ37" s="852" t="n"/>
      <c r="BK37" s="852" t="n"/>
      <c r="BL37" s="852" t="n"/>
      <c r="BM37" s="852" t="n"/>
      <c r="BN37" s="852" t="n"/>
      <c r="BO37" s="852" t="n"/>
      <c r="BP37" s="852" t="n"/>
      <c r="BQ37" s="852" t="n"/>
      <c r="BR37" s="852" t="n"/>
      <c r="BS37" s="852" t="n"/>
      <c r="BT37" s="852" t="n"/>
      <c r="BU37" s="852" t="n"/>
      <c r="BV37" s="852" t="n"/>
      <c r="BW37" s="852" t="n"/>
      <c r="BX37" s="852" t="n"/>
      <c r="BY37" s="852" t="n"/>
      <c r="BZ37" s="852" t="n"/>
      <c r="CA37" s="852" t="n"/>
      <c r="CB37" s="852" t="n"/>
      <c r="CC37" s="852" t="n"/>
      <c r="CD37" s="852" t="n"/>
      <c r="CE37" s="852" t="n"/>
      <c r="CF37" s="852" t="n"/>
      <c r="CG37" s="852" t="n"/>
      <c r="CH37" s="852" t="n"/>
      <c r="CI37" s="852" t="n"/>
      <c r="CJ37" s="852" t="n"/>
      <c r="CK37" s="852" t="n"/>
      <c r="CL37" s="852" t="n"/>
      <c r="CM37" s="852" t="n"/>
      <c r="CN37" s="852" t="n"/>
      <c r="CO37" s="852" t="n"/>
      <c r="CP37" s="852" t="n"/>
      <c r="CQ37" s="852" t="n"/>
      <c r="CR37" s="852" t="n"/>
      <c r="CS37" s="852" t="n"/>
      <c r="CT37" s="852" t="n"/>
      <c r="CU37" s="852" t="n"/>
      <c r="CV37" s="852" t="n"/>
      <c r="CW37" s="852" t="n"/>
      <c r="CX37" s="852" t="n"/>
      <c r="CY37" s="852" t="n"/>
      <c r="CZ37" s="852" t="n"/>
      <c r="DA37" s="852" t="n"/>
      <c r="DB37" s="852" t="n"/>
      <c r="DC37" s="852" t="n"/>
      <c r="DD37" s="852" t="n"/>
      <c r="DE37" s="852" t="n"/>
      <c r="DF37" s="852" t="n"/>
      <c r="DG37" s="852" t="n"/>
      <c r="DH37" s="852" t="n"/>
      <c r="DI37" s="852" t="n"/>
      <c r="DJ37" s="852" t="n"/>
      <c r="DK37" s="852" t="n"/>
      <c r="DL37" s="852" t="n"/>
      <c r="DM37" s="852" t="n"/>
      <c r="DN37" s="852" t="n"/>
      <c r="DO37" s="852" t="n"/>
      <c r="DP37" s="852" t="n"/>
      <c r="DQ37" s="852" t="n"/>
      <c r="DR37" s="852" t="n"/>
      <c r="DS37" s="852" t="n"/>
      <c r="DT37" s="852" t="n"/>
      <c r="DU37" s="852" t="n"/>
      <c r="DV37" s="852" t="n"/>
      <c r="DW37" s="852" t="n"/>
      <c r="DX37" s="852" t="n"/>
      <c r="DY37" s="852" t="n"/>
      <c r="DZ37" s="852" t="n"/>
      <c r="EA37" s="852" t="n"/>
      <c r="EB37" s="852" t="n"/>
      <c r="EC37" s="852" t="n"/>
      <c r="ED37" s="852" t="n"/>
      <c r="EE37" s="852" t="n"/>
      <c r="EF37" s="852" t="n"/>
      <c r="EG37" s="852" t="n"/>
      <c r="EH37" s="852" t="n"/>
      <c r="EI37" s="852" t="n"/>
      <c r="EJ37" s="852" t="n"/>
      <c r="EK37" s="852" t="n"/>
      <c r="EL37" s="852" t="n"/>
      <c r="EM37" s="852" t="n"/>
      <c r="EN37" s="852" t="n"/>
      <c r="EO37" s="852" t="n"/>
      <c r="EP37" s="852" t="n"/>
      <c r="EQ37" s="852" t="n"/>
      <c r="ER37" s="852" t="n"/>
      <c r="ES37" s="852" t="n"/>
      <c r="ET37" s="852" t="n"/>
      <c r="EU37" s="852" t="n"/>
      <c r="EV37" s="852" t="n"/>
      <c r="EW37" s="852" t="n"/>
      <c r="EX37" s="852" t="n"/>
      <c r="EY37" s="852" t="n"/>
      <c r="EZ37" s="852" t="n"/>
      <c r="FA37" s="852" t="n"/>
      <c r="FB37" s="852" t="n"/>
      <c r="FC37" s="852" t="n"/>
      <c r="FD37" s="852" t="n"/>
      <c r="FE37" s="852" t="n"/>
      <c r="FF37" s="852" t="n"/>
      <c r="FG37" s="852" t="n"/>
      <c r="FH37" s="852" t="n"/>
      <c r="FI37" s="852" t="n"/>
      <c r="FJ37" s="852" t="n"/>
      <c r="FK37" s="852" t="n"/>
      <c r="FL37" s="852" t="n"/>
      <c r="FM37" s="852" t="n"/>
      <c r="FN37" s="852" t="n"/>
      <c r="FO37" s="852" t="n"/>
      <c r="FP37" s="852" t="n"/>
      <c r="FQ37" s="852" t="n"/>
      <c r="FR37" s="852" t="n"/>
      <c r="FS37" s="852" t="n"/>
      <c r="FT37" s="852" t="n"/>
      <c r="FU37" s="852" t="n"/>
      <c r="FV37" s="852" t="n"/>
      <c r="FW37" s="852" t="n"/>
      <c r="FX37" s="852" t="n"/>
      <c r="FY37" s="852" t="n"/>
      <c r="FZ37" s="852" t="n"/>
      <c r="GA37" s="852" t="n"/>
      <c r="GB37" s="852" t="n"/>
      <c r="GC37" s="852" t="n"/>
      <c r="GD37" s="852" t="n"/>
      <c r="GE37" s="852" t="n"/>
      <c r="GF37" s="852" t="n"/>
      <c r="GG37" s="852" t="n"/>
      <c r="GH37" s="852" t="n"/>
      <c r="GI37" s="852" t="n"/>
      <c r="GJ37" s="852" t="n"/>
      <c r="GK37" s="852" t="n"/>
      <c r="GL37" s="852" t="n"/>
      <c r="GM37" s="852" t="n"/>
      <c r="GN37" s="852" t="n"/>
      <c r="GO37" s="852" t="n"/>
      <c r="GP37" s="852" t="n"/>
      <c r="GQ37" s="852" t="n"/>
      <c r="GR37" s="852" t="n"/>
      <c r="GS37" s="852" t="n"/>
      <c r="GT37" s="852" t="n"/>
      <c r="GU37" s="852" t="n"/>
      <c r="GV37" s="852" t="n"/>
      <c r="GW37" s="852" t="n"/>
      <c r="GX37" s="852" t="n"/>
      <c r="GY37" s="852" t="n"/>
      <c r="GZ37" s="852" t="n"/>
      <c r="HA37" s="852" t="n"/>
      <c r="HB37" s="852" t="n"/>
      <c r="HC37" s="852" t="n"/>
      <c r="HD37" s="852" t="n"/>
      <c r="HE37" s="852" t="n"/>
      <c r="HF37" s="852" t="n"/>
      <c r="HG37" s="852" t="n"/>
      <c r="HH37" s="852" t="n"/>
      <c r="HI37" s="852" t="n"/>
      <c r="HJ37" s="852" t="n"/>
      <c r="HK37" s="852" t="n"/>
      <c r="HL37" s="852" t="n"/>
      <c r="HM37" s="852" t="n"/>
      <c r="HN37" s="852" t="n"/>
      <c r="HO37" s="852" t="n"/>
      <c r="HP37" s="852" t="n"/>
      <c r="HQ37" s="852" t="n"/>
      <c r="HR37" s="852" t="n"/>
      <c r="HS37" s="852" t="n"/>
      <c r="HT37" s="852" t="n"/>
      <c r="HU37" s="852" t="n"/>
      <c r="HV37" s="852" t="n"/>
      <c r="HW37" s="852" t="n"/>
      <c r="HX37" s="852" t="n"/>
      <c r="HY37" s="852" t="n"/>
      <c r="HZ37" s="852" t="n"/>
      <c r="IA37" s="852" t="n"/>
      <c r="IB37" s="852" t="n"/>
      <c r="IC37" s="852" t="n"/>
      <c r="ID37" s="852" t="n"/>
      <c r="IE37" s="852" t="n"/>
      <c r="IF37" s="852" t="n"/>
      <c r="IG37" s="852" t="n"/>
    </row>
    <row r="38">
      <c r="A38" s="186" t="n"/>
      <c r="B38" s="186" t="inlineStr">
        <is>
          <t>Annual Debt Service</t>
        </is>
      </c>
      <c r="C38" s="272">
        <f>C31*C17</f>
        <v/>
      </c>
      <c r="D38" s="186" t="n"/>
      <c r="E38" s="186" t="n"/>
      <c r="F38" s="213" t="n">
        <v>32</v>
      </c>
      <c r="G38" s="214">
        <f>$C$39</f>
        <v/>
      </c>
      <c r="H38" s="214">
        <f>(J37*$C$16)/12</f>
        <v/>
      </c>
      <c r="I38" s="214">
        <f>G38-H38</f>
        <v/>
      </c>
      <c r="J38" s="214">
        <f>J37-I38</f>
        <v/>
      </c>
      <c r="K38" s="946" t="n"/>
      <c r="L38" s="946" t="n"/>
      <c r="M38" s="953" t="n"/>
      <c r="N38" s="946" t="n"/>
      <c r="O38" s="946" t="n"/>
      <c r="P38" s="946" t="n"/>
      <c r="Q38" s="946" t="n"/>
      <c r="R38" s="946" t="n"/>
      <c r="S38" s="946" t="n"/>
      <c r="T38" s="946" t="n"/>
      <c r="U38" s="946" t="n"/>
      <c r="V38" s="946" t="n"/>
      <c r="W38" s="946" t="n"/>
      <c r="X38" s="946" t="n"/>
      <c r="Y38" s="946" t="n"/>
      <c r="Z38" s="946" t="n"/>
      <c r="AA38" s="946" t="n"/>
      <c r="AB38" s="946" t="n"/>
      <c r="AC38" s="852" t="n"/>
      <c r="AD38" s="852" t="n"/>
      <c r="AE38" s="852" t="n"/>
      <c r="AF38" s="852" t="n"/>
      <c r="AG38" s="852" t="n"/>
      <c r="AH38" s="852" t="n"/>
      <c r="AI38" s="852" t="n"/>
      <c r="AJ38" s="852" t="n"/>
      <c r="AK38" s="852" t="n"/>
      <c r="AL38" s="852" t="n"/>
      <c r="AM38" s="852" t="n"/>
      <c r="AN38" s="852" t="n"/>
      <c r="AO38" s="852" t="n"/>
      <c r="AP38" s="852" t="n"/>
      <c r="AQ38" s="852" t="n"/>
      <c r="AR38" s="852" t="n"/>
      <c r="AS38" s="852" t="n"/>
      <c r="AT38" s="852" t="n"/>
      <c r="AU38" s="852" t="n"/>
      <c r="AV38" s="852" t="n"/>
      <c r="AW38" s="852" t="n"/>
      <c r="AX38" s="852" t="n"/>
      <c r="AY38" s="852" t="n"/>
      <c r="AZ38" s="852" t="n"/>
      <c r="BA38" s="852" t="n"/>
      <c r="BB38" s="852" t="n"/>
      <c r="BC38" s="852" t="n"/>
      <c r="BD38" s="852" t="n"/>
      <c r="BE38" s="852" t="n"/>
      <c r="BF38" s="852" t="n"/>
      <c r="BG38" s="852" t="n"/>
      <c r="BH38" s="852" t="n"/>
      <c r="BI38" s="852" t="n"/>
      <c r="BJ38" s="852" t="n"/>
      <c r="BK38" s="852" t="n"/>
      <c r="BL38" s="852" t="n"/>
      <c r="BM38" s="852" t="n"/>
      <c r="BN38" s="852" t="n"/>
      <c r="BO38" s="852" t="n"/>
      <c r="BP38" s="852" t="n"/>
      <c r="BQ38" s="852" t="n"/>
      <c r="BR38" s="852" t="n"/>
      <c r="BS38" s="852" t="n"/>
      <c r="BT38" s="852" t="n"/>
      <c r="BU38" s="852" t="n"/>
      <c r="BV38" s="852" t="n"/>
      <c r="BW38" s="852" t="n"/>
      <c r="BX38" s="852" t="n"/>
      <c r="BY38" s="852" t="n"/>
      <c r="BZ38" s="852" t="n"/>
      <c r="CA38" s="852" t="n"/>
      <c r="CB38" s="852" t="n"/>
      <c r="CC38" s="852" t="n"/>
      <c r="CD38" s="852" t="n"/>
      <c r="CE38" s="852" t="n"/>
      <c r="CF38" s="852" t="n"/>
      <c r="CG38" s="852" t="n"/>
      <c r="CH38" s="852" t="n"/>
      <c r="CI38" s="852" t="n"/>
      <c r="CJ38" s="852" t="n"/>
      <c r="CK38" s="852" t="n"/>
      <c r="CL38" s="852" t="n"/>
      <c r="CM38" s="852" t="n"/>
      <c r="CN38" s="852" t="n"/>
      <c r="CO38" s="852" t="n"/>
      <c r="CP38" s="852" t="n"/>
      <c r="CQ38" s="852" t="n"/>
      <c r="CR38" s="852" t="n"/>
      <c r="CS38" s="852" t="n"/>
      <c r="CT38" s="852" t="n"/>
      <c r="CU38" s="852" t="n"/>
      <c r="CV38" s="852" t="n"/>
      <c r="CW38" s="852" t="n"/>
      <c r="CX38" s="852" t="n"/>
      <c r="CY38" s="852" t="n"/>
      <c r="CZ38" s="852" t="n"/>
      <c r="DA38" s="852" t="n"/>
      <c r="DB38" s="852" t="n"/>
      <c r="DC38" s="852" t="n"/>
      <c r="DD38" s="852" t="n"/>
      <c r="DE38" s="852" t="n"/>
      <c r="DF38" s="852" t="n"/>
      <c r="DG38" s="852" t="n"/>
      <c r="DH38" s="852" t="n"/>
      <c r="DI38" s="852" t="n"/>
      <c r="DJ38" s="852" t="n"/>
      <c r="DK38" s="852" t="n"/>
      <c r="DL38" s="852" t="n"/>
      <c r="DM38" s="852" t="n"/>
      <c r="DN38" s="852" t="n"/>
      <c r="DO38" s="852" t="n"/>
      <c r="DP38" s="852" t="n"/>
      <c r="DQ38" s="852" t="n"/>
      <c r="DR38" s="852" t="n"/>
      <c r="DS38" s="852" t="n"/>
      <c r="DT38" s="852" t="n"/>
      <c r="DU38" s="852" t="n"/>
      <c r="DV38" s="852" t="n"/>
      <c r="DW38" s="852" t="n"/>
      <c r="DX38" s="852" t="n"/>
      <c r="DY38" s="852" t="n"/>
      <c r="DZ38" s="852" t="n"/>
      <c r="EA38" s="852" t="n"/>
      <c r="EB38" s="852" t="n"/>
      <c r="EC38" s="852" t="n"/>
      <c r="ED38" s="852" t="n"/>
      <c r="EE38" s="852" t="n"/>
      <c r="EF38" s="852" t="n"/>
      <c r="EG38" s="852" t="n"/>
      <c r="EH38" s="852" t="n"/>
      <c r="EI38" s="852" t="n"/>
      <c r="EJ38" s="852" t="n"/>
      <c r="EK38" s="852" t="n"/>
      <c r="EL38" s="852" t="n"/>
      <c r="EM38" s="852" t="n"/>
      <c r="EN38" s="852" t="n"/>
      <c r="EO38" s="852" t="n"/>
      <c r="EP38" s="852" t="n"/>
      <c r="EQ38" s="852" t="n"/>
      <c r="ER38" s="852" t="n"/>
      <c r="ES38" s="852" t="n"/>
      <c r="ET38" s="852" t="n"/>
      <c r="EU38" s="852" t="n"/>
      <c r="EV38" s="852" t="n"/>
      <c r="EW38" s="852" t="n"/>
      <c r="EX38" s="852" t="n"/>
      <c r="EY38" s="852" t="n"/>
      <c r="EZ38" s="852" t="n"/>
      <c r="FA38" s="852" t="n"/>
      <c r="FB38" s="852" t="n"/>
      <c r="FC38" s="852" t="n"/>
      <c r="FD38" s="852" t="n"/>
      <c r="FE38" s="852" t="n"/>
      <c r="FF38" s="852" t="n"/>
      <c r="FG38" s="852" t="n"/>
      <c r="FH38" s="852" t="n"/>
      <c r="FI38" s="852" t="n"/>
      <c r="FJ38" s="852" t="n"/>
      <c r="FK38" s="852" t="n"/>
      <c r="FL38" s="852" t="n"/>
      <c r="FM38" s="852" t="n"/>
      <c r="FN38" s="852" t="n"/>
      <c r="FO38" s="852" t="n"/>
      <c r="FP38" s="852" t="n"/>
      <c r="FQ38" s="852" t="n"/>
      <c r="FR38" s="852" t="n"/>
      <c r="FS38" s="852" t="n"/>
      <c r="FT38" s="852" t="n"/>
      <c r="FU38" s="852" t="n"/>
      <c r="FV38" s="852" t="n"/>
      <c r="FW38" s="852" t="n"/>
      <c r="FX38" s="852" t="n"/>
      <c r="FY38" s="852" t="n"/>
      <c r="FZ38" s="852" t="n"/>
      <c r="GA38" s="852" t="n"/>
      <c r="GB38" s="852" t="n"/>
      <c r="GC38" s="852" t="n"/>
      <c r="GD38" s="852" t="n"/>
      <c r="GE38" s="852" t="n"/>
      <c r="GF38" s="852" t="n"/>
      <c r="GG38" s="852" t="n"/>
      <c r="GH38" s="852" t="n"/>
      <c r="GI38" s="852" t="n"/>
      <c r="GJ38" s="852" t="n"/>
      <c r="GK38" s="852" t="n"/>
      <c r="GL38" s="852" t="n"/>
      <c r="GM38" s="852" t="n"/>
      <c r="GN38" s="852" t="n"/>
      <c r="GO38" s="852" t="n"/>
      <c r="GP38" s="852" t="n"/>
      <c r="GQ38" s="852" t="n"/>
      <c r="GR38" s="852" t="n"/>
      <c r="GS38" s="852" t="n"/>
      <c r="GT38" s="852" t="n"/>
      <c r="GU38" s="852" t="n"/>
      <c r="GV38" s="852" t="n"/>
      <c r="GW38" s="852" t="n"/>
      <c r="GX38" s="852" t="n"/>
      <c r="GY38" s="852" t="n"/>
      <c r="GZ38" s="852" t="n"/>
      <c r="HA38" s="852" t="n"/>
      <c r="HB38" s="852" t="n"/>
      <c r="HC38" s="852" t="n"/>
      <c r="HD38" s="852" t="n"/>
      <c r="HE38" s="852" t="n"/>
      <c r="HF38" s="852" t="n"/>
      <c r="HG38" s="852" t="n"/>
      <c r="HH38" s="852" t="n"/>
      <c r="HI38" s="852" t="n"/>
      <c r="HJ38" s="852" t="n"/>
      <c r="HK38" s="852" t="n"/>
      <c r="HL38" s="852" t="n"/>
      <c r="HM38" s="852" t="n"/>
      <c r="HN38" s="852" t="n"/>
      <c r="HO38" s="852" t="n"/>
      <c r="HP38" s="852" t="n"/>
      <c r="HQ38" s="852" t="n"/>
      <c r="HR38" s="852" t="n"/>
      <c r="HS38" s="852" t="n"/>
      <c r="HT38" s="852" t="n"/>
      <c r="HU38" s="852" t="n"/>
      <c r="HV38" s="852" t="n"/>
      <c r="HW38" s="852" t="n"/>
      <c r="HX38" s="852" t="n"/>
      <c r="HY38" s="852" t="n"/>
      <c r="HZ38" s="852" t="n"/>
      <c r="IA38" s="852" t="n"/>
      <c r="IB38" s="852" t="n"/>
      <c r="IC38" s="852" t="n"/>
      <c r="ID38" s="852" t="n"/>
      <c r="IE38" s="852" t="n"/>
      <c r="IF38" s="852" t="n"/>
      <c r="IG38" s="852" t="n"/>
    </row>
    <row r="39">
      <c r="A39" s="186" t="n"/>
      <c r="B39" s="186" t="inlineStr">
        <is>
          <t>Monthly Debt Service</t>
        </is>
      </c>
      <c r="C39" s="279">
        <f>C38/12</f>
        <v/>
      </c>
      <c r="D39" s="186" t="n"/>
      <c r="E39" s="186" t="n"/>
      <c r="F39" s="213" t="n">
        <v>33</v>
      </c>
      <c r="G39" s="214">
        <f>$C$39</f>
        <v/>
      </c>
      <c r="H39" s="214">
        <f>(J38*$C$16)/12</f>
        <v/>
      </c>
      <c r="I39" s="214">
        <f>G39-H39</f>
        <v/>
      </c>
      <c r="J39" s="214">
        <f>J38-I39</f>
        <v/>
      </c>
      <c r="K39" s="946" t="n"/>
      <c r="L39" s="946" t="n"/>
      <c r="M39" s="946" t="n"/>
      <c r="N39" s="946" t="n"/>
      <c r="O39" s="946" t="n"/>
      <c r="P39" s="946" t="n"/>
      <c r="Q39" s="946" t="n"/>
      <c r="R39" s="946" t="n"/>
      <c r="S39" s="946" t="n"/>
      <c r="T39" s="946" t="n"/>
      <c r="U39" s="946" t="n"/>
      <c r="V39" s="946" t="n"/>
      <c r="W39" s="946" t="n"/>
      <c r="X39" s="946" t="n"/>
      <c r="Y39" s="946" t="n"/>
      <c r="Z39" s="946" t="n"/>
      <c r="AA39" s="946" t="n"/>
      <c r="AB39" s="946" t="n"/>
      <c r="AC39" s="852" t="n"/>
      <c r="AD39" s="852" t="n"/>
      <c r="AE39" s="852" t="n"/>
      <c r="AF39" s="852" t="n"/>
      <c r="AG39" s="852" t="n"/>
      <c r="AH39" s="852" t="n"/>
      <c r="AI39" s="852" t="n"/>
      <c r="AJ39" s="852" t="n"/>
      <c r="AK39" s="852" t="n"/>
      <c r="AL39" s="852" t="n"/>
      <c r="AM39" s="852" t="n"/>
      <c r="AN39" s="852" t="n"/>
      <c r="AO39" s="852" t="n"/>
      <c r="AP39" s="852" t="n"/>
      <c r="AQ39" s="852" t="n"/>
      <c r="AR39" s="852" t="n"/>
      <c r="AS39" s="852" t="n"/>
      <c r="AT39" s="852" t="n"/>
      <c r="AU39" s="852" t="n"/>
      <c r="AV39" s="852" t="n"/>
      <c r="AW39" s="852" t="n"/>
      <c r="AX39" s="852" t="n"/>
      <c r="AY39" s="852" t="n"/>
      <c r="AZ39" s="852" t="n"/>
      <c r="BA39" s="852" t="n"/>
      <c r="BB39" s="852" t="n"/>
      <c r="BC39" s="852" t="n"/>
      <c r="BD39" s="852" t="n"/>
      <c r="BE39" s="852" t="n"/>
      <c r="BF39" s="852" t="n"/>
      <c r="BG39" s="852" t="n"/>
      <c r="BH39" s="852" t="n"/>
      <c r="BI39" s="852" t="n"/>
      <c r="BJ39" s="852" t="n"/>
      <c r="BK39" s="852" t="n"/>
      <c r="BL39" s="852" t="n"/>
      <c r="BM39" s="852" t="n"/>
      <c r="BN39" s="852" t="n"/>
      <c r="BO39" s="852" t="n"/>
      <c r="BP39" s="852" t="n"/>
      <c r="BQ39" s="852" t="n"/>
      <c r="BR39" s="852" t="n"/>
      <c r="BS39" s="852" t="n"/>
      <c r="BT39" s="852" t="n"/>
      <c r="BU39" s="852" t="n"/>
      <c r="BV39" s="852" t="n"/>
      <c r="BW39" s="852" t="n"/>
      <c r="BX39" s="852" t="n"/>
      <c r="BY39" s="852" t="n"/>
      <c r="BZ39" s="852" t="n"/>
      <c r="CA39" s="852" t="n"/>
      <c r="CB39" s="852" t="n"/>
      <c r="CC39" s="852" t="n"/>
      <c r="CD39" s="852" t="n"/>
      <c r="CE39" s="852" t="n"/>
      <c r="CF39" s="852" t="n"/>
      <c r="CG39" s="852" t="n"/>
      <c r="CH39" s="852" t="n"/>
      <c r="CI39" s="852" t="n"/>
      <c r="CJ39" s="852" t="n"/>
      <c r="CK39" s="852" t="n"/>
      <c r="CL39" s="852" t="n"/>
      <c r="CM39" s="852" t="n"/>
      <c r="CN39" s="852" t="n"/>
      <c r="CO39" s="852" t="n"/>
      <c r="CP39" s="852" t="n"/>
      <c r="CQ39" s="852" t="n"/>
      <c r="CR39" s="852" t="n"/>
      <c r="CS39" s="852" t="n"/>
      <c r="CT39" s="852" t="n"/>
      <c r="CU39" s="852" t="n"/>
      <c r="CV39" s="852" t="n"/>
      <c r="CW39" s="852" t="n"/>
      <c r="CX39" s="852" t="n"/>
      <c r="CY39" s="852" t="n"/>
      <c r="CZ39" s="852" t="n"/>
      <c r="DA39" s="852" t="n"/>
      <c r="DB39" s="852" t="n"/>
      <c r="DC39" s="852" t="n"/>
      <c r="DD39" s="852" t="n"/>
      <c r="DE39" s="852" t="n"/>
      <c r="DF39" s="852" t="n"/>
      <c r="DG39" s="852" t="n"/>
      <c r="DH39" s="852" t="n"/>
      <c r="DI39" s="852" t="n"/>
      <c r="DJ39" s="852" t="n"/>
      <c r="DK39" s="852" t="n"/>
      <c r="DL39" s="852" t="n"/>
      <c r="DM39" s="852" t="n"/>
      <c r="DN39" s="852" t="n"/>
      <c r="DO39" s="852" t="n"/>
      <c r="DP39" s="852" t="n"/>
      <c r="DQ39" s="852" t="n"/>
      <c r="DR39" s="852" t="n"/>
      <c r="DS39" s="852" t="n"/>
      <c r="DT39" s="852" t="n"/>
      <c r="DU39" s="852" t="n"/>
      <c r="DV39" s="852" t="n"/>
      <c r="DW39" s="852" t="n"/>
      <c r="DX39" s="852" t="n"/>
      <c r="DY39" s="852" t="n"/>
      <c r="DZ39" s="852" t="n"/>
      <c r="EA39" s="852" t="n"/>
      <c r="EB39" s="852" t="n"/>
      <c r="EC39" s="852" t="n"/>
      <c r="ED39" s="852" t="n"/>
      <c r="EE39" s="852" t="n"/>
      <c r="EF39" s="852" t="n"/>
      <c r="EG39" s="852" t="n"/>
      <c r="EH39" s="852" t="n"/>
      <c r="EI39" s="852" t="n"/>
      <c r="EJ39" s="852" t="n"/>
      <c r="EK39" s="852" t="n"/>
      <c r="EL39" s="852" t="n"/>
      <c r="EM39" s="852" t="n"/>
      <c r="EN39" s="852" t="n"/>
      <c r="EO39" s="852" t="n"/>
      <c r="EP39" s="852" t="n"/>
      <c r="EQ39" s="852" t="n"/>
      <c r="ER39" s="852" t="n"/>
      <c r="ES39" s="852" t="n"/>
      <c r="ET39" s="852" t="n"/>
      <c r="EU39" s="852" t="n"/>
      <c r="EV39" s="852" t="n"/>
      <c r="EW39" s="852" t="n"/>
      <c r="EX39" s="852" t="n"/>
      <c r="EY39" s="852" t="n"/>
      <c r="EZ39" s="852" t="n"/>
      <c r="FA39" s="852" t="n"/>
      <c r="FB39" s="852" t="n"/>
      <c r="FC39" s="852" t="n"/>
      <c r="FD39" s="852" t="n"/>
      <c r="FE39" s="852" t="n"/>
      <c r="FF39" s="852" t="n"/>
      <c r="FG39" s="852" t="n"/>
      <c r="FH39" s="852" t="n"/>
      <c r="FI39" s="852" t="n"/>
      <c r="FJ39" s="852" t="n"/>
      <c r="FK39" s="852" t="n"/>
      <c r="FL39" s="852" t="n"/>
      <c r="FM39" s="852" t="n"/>
      <c r="FN39" s="852" t="n"/>
      <c r="FO39" s="852" t="n"/>
      <c r="FP39" s="852" t="n"/>
      <c r="FQ39" s="852" t="n"/>
      <c r="FR39" s="852" t="n"/>
      <c r="FS39" s="852" t="n"/>
      <c r="FT39" s="852" t="n"/>
      <c r="FU39" s="852" t="n"/>
      <c r="FV39" s="852" t="n"/>
      <c r="FW39" s="852" t="n"/>
      <c r="FX39" s="852" t="n"/>
      <c r="FY39" s="852" t="n"/>
      <c r="FZ39" s="852" t="n"/>
      <c r="GA39" s="852" t="n"/>
      <c r="GB39" s="852" t="n"/>
      <c r="GC39" s="852" t="n"/>
      <c r="GD39" s="852" t="n"/>
      <c r="GE39" s="852" t="n"/>
      <c r="GF39" s="852" t="n"/>
      <c r="GG39" s="852" t="n"/>
      <c r="GH39" s="852" t="n"/>
      <c r="GI39" s="852" t="n"/>
      <c r="GJ39" s="852" t="n"/>
      <c r="GK39" s="852" t="n"/>
      <c r="GL39" s="852" t="n"/>
      <c r="GM39" s="852" t="n"/>
      <c r="GN39" s="852" t="n"/>
      <c r="GO39" s="852" t="n"/>
      <c r="GP39" s="852" t="n"/>
      <c r="GQ39" s="852" t="n"/>
      <c r="GR39" s="852" t="n"/>
      <c r="GS39" s="852" t="n"/>
      <c r="GT39" s="852" t="n"/>
      <c r="GU39" s="852" t="n"/>
      <c r="GV39" s="852" t="n"/>
      <c r="GW39" s="852" t="n"/>
      <c r="GX39" s="852" t="n"/>
      <c r="GY39" s="852" t="n"/>
      <c r="GZ39" s="852" t="n"/>
      <c r="HA39" s="852" t="n"/>
      <c r="HB39" s="852" t="n"/>
      <c r="HC39" s="852" t="n"/>
      <c r="HD39" s="852" t="n"/>
      <c r="HE39" s="852" t="n"/>
      <c r="HF39" s="852" t="n"/>
      <c r="HG39" s="852" t="n"/>
      <c r="HH39" s="852" t="n"/>
      <c r="HI39" s="852" t="n"/>
      <c r="HJ39" s="852" t="n"/>
      <c r="HK39" s="852" t="n"/>
      <c r="HL39" s="852" t="n"/>
      <c r="HM39" s="852" t="n"/>
      <c r="HN39" s="852" t="n"/>
      <c r="HO39" s="852" t="n"/>
      <c r="HP39" s="852" t="n"/>
      <c r="HQ39" s="852" t="n"/>
      <c r="HR39" s="852" t="n"/>
      <c r="HS39" s="852" t="n"/>
      <c r="HT39" s="852" t="n"/>
      <c r="HU39" s="852" t="n"/>
      <c r="HV39" s="852" t="n"/>
      <c r="HW39" s="852" t="n"/>
      <c r="HX39" s="852" t="n"/>
      <c r="HY39" s="852" t="n"/>
      <c r="HZ39" s="852" t="n"/>
      <c r="IA39" s="852" t="n"/>
      <c r="IB39" s="852" t="n"/>
      <c r="IC39" s="852" t="n"/>
      <c r="ID39" s="852" t="n"/>
      <c r="IE39" s="852" t="n"/>
      <c r="IF39" s="852" t="n"/>
      <c r="IG39" s="852" t="n"/>
    </row>
    <row r="40">
      <c r="A40" s="186" t="n"/>
      <c r="B40" s="186" t="n"/>
      <c r="C40" s="186" t="n"/>
      <c r="D40" s="186" t="n"/>
      <c r="E40" s="186" t="n"/>
      <c r="F40" s="213" t="n">
        <v>34</v>
      </c>
      <c r="G40" s="214">
        <f>$C$39</f>
        <v/>
      </c>
      <c r="H40" s="214">
        <f>(J39*$C$16)/12</f>
        <v/>
      </c>
      <c r="I40" s="214">
        <f>G40-H40</f>
        <v/>
      </c>
      <c r="J40" s="214">
        <f>J39-I40</f>
        <v/>
      </c>
      <c r="K40" s="946" t="n"/>
      <c r="L40" s="946" t="n"/>
      <c r="M40" s="946" t="n"/>
      <c r="N40" s="946" t="n"/>
      <c r="O40" s="946" t="n"/>
      <c r="P40" s="946" t="n"/>
      <c r="Q40" s="946" t="n"/>
      <c r="R40" s="946" t="n"/>
      <c r="S40" s="946" t="n"/>
      <c r="T40" s="946" t="n"/>
      <c r="U40" s="946" t="n"/>
      <c r="V40" s="946" t="n"/>
      <c r="W40" s="946" t="n"/>
      <c r="X40" s="946" t="n"/>
      <c r="Y40" s="946" t="n"/>
      <c r="Z40" s="946" t="n"/>
      <c r="AA40" s="946" t="n"/>
      <c r="AB40" s="946" t="n"/>
      <c r="AC40" s="852" t="n"/>
      <c r="AD40" s="852" t="n"/>
      <c r="AE40" s="852" t="n"/>
      <c r="AF40" s="852" t="n"/>
      <c r="AG40" s="852" t="n"/>
      <c r="AH40" s="852" t="n"/>
      <c r="AI40" s="852" t="n"/>
      <c r="AJ40" s="852" t="n"/>
      <c r="AK40" s="852" t="n"/>
      <c r="AL40" s="852" t="n"/>
      <c r="AM40" s="852" t="n"/>
      <c r="AN40" s="852" t="n"/>
      <c r="AO40" s="852" t="n"/>
      <c r="AP40" s="852" t="n"/>
      <c r="AQ40" s="852" t="n"/>
      <c r="AR40" s="852" t="n"/>
      <c r="AS40" s="852" t="n"/>
      <c r="AT40" s="852" t="n"/>
      <c r="AU40" s="852" t="n"/>
      <c r="AV40" s="852" t="n"/>
      <c r="AW40" s="852" t="n"/>
      <c r="AX40" s="852" t="n"/>
      <c r="AY40" s="852" t="n"/>
      <c r="AZ40" s="852" t="n"/>
      <c r="BA40" s="852" t="n"/>
      <c r="BB40" s="852" t="n"/>
      <c r="BC40" s="852" t="n"/>
      <c r="BD40" s="852" t="n"/>
      <c r="BE40" s="852" t="n"/>
      <c r="BF40" s="852" t="n"/>
      <c r="BG40" s="852" t="n"/>
      <c r="BH40" s="852" t="n"/>
      <c r="BI40" s="852" t="n"/>
      <c r="BJ40" s="852" t="n"/>
      <c r="BK40" s="852" t="n"/>
      <c r="BL40" s="852" t="n"/>
      <c r="BM40" s="852" t="n"/>
      <c r="BN40" s="852" t="n"/>
      <c r="BO40" s="852" t="n"/>
      <c r="BP40" s="852" t="n"/>
      <c r="BQ40" s="852" t="n"/>
      <c r="BR40" s="852" t="n"/>
      <c r="BS40" s="852" t="n"/>
      <c r="BT40" s="852" t="n"/>
      <c r="BU40" s="852" t="n"/>
      <c r="BV40" s="852" t="n"/>
      <c r="BW40" s="852" t="n"/>
      <c r="BX40" s="852" t="n"/>
      <c r="BY40" s="852" t="n"/>
      <c r="BZ40" s="852" t="n"/>
      <c r="CA40" s="852" t="n"/>
      <c r="CB40" s="852" t="n"/>
      <c r="CC40" s="852" t="n"/>
      <c r="CD40" s="852" t="n"/>
      <c r="CE40" s="852" t="n"/>
      <c r="CF40" s="852" t="n"/>
      <c r="CG40" s="852" t="n"/>
      <c r="CH40" s="852" t="n"/>
      <c r="CI40" s="852" t="n"/>
      <c r="CJ40" s="852" t="n"/>
      <c r="CK40" s="852" t="n"/>
      <c r="CL40" s="852" t="n"/>
      <c r="CM40" s="852" t="n"/>
      <c r="CN40" s="852" t="n"/>
      <c r="CO40" s="852" t="n"/>
      <c r="CP40" s="852" t="n"/>
      <c r="CQ40" s="852" t="n"/>
      <c r="CR40" s="852" t="n"/>
      <c r="CS40" s="852" t="n"/>
      <c r="CT40" s="852" t="n"/>
      <c r="CU40" s="852" t="n"/>
      <c r="CV40" s="852" t="n"/>
      <c r="CW40" s="852" t="n"/>
      <c r="CX40" s="852" t="n"/>
      <c r="CY40" s="852" t="n"/>
      <c r="CZ40" s="852" t="n"/>
      <c r="DA40" s="852" t="n"/>
      <c r="DB40" s="852" t="n"/>
      <c r="DC40" s="852" t="n"/>
      <c r="DD40" s="852" t="n"/>
      <c r="DE40" s="852" t="n"/>
      <c r="DF40" s="852" t="n"/>
      <c r="DG40" s="852" t="n"/>
      <c r="DH40" s="852" t="n"/>
      <c r="DI40" s="852" t="n"/>
      <c r="DJ40" s="852" t="n"/>
      <c r="DK40" s="852" t="n"/>
      <c r="DL40" s="852" t="n"/>
      <c r="DM40" s="852" t="n"/>
      <c r="DN40" s="852" t="n"/>
      <c r="DO40" s="852" t="n"/>
      <c r="DP40" s="852" t="n"/>
      <c r="DQ40" s="852" t="n"/>
      <c r="DR40" s="852" t="n"/>
      <c r="DS40" s="852" t="n"/>
      <c r="DT40" s="852" t="n"/>
      <c r="DU40" s="852" t="n"/>
      <c r="DV40" s="852" t="n"/>
      <c r="DW40" s="852" t="n"/>
      <c r="DX40" s="852" t="n"/>
      <c r="DY40" s="852" t="n"/>
      <c r="DZ40" s="852" t="n"/>
      <c r="EA40" s="852" t="n"/>
      <c r="EB40" s="852" t="n"/>
      <c r="EC40" s="852" t="n"/>
      <c r="ED40" s="852" t="n"/>
      <c r="EE40" s="852" t="n"/>
      <c r="EF40" s="852" t="n"/>
      <c r="EG40" s="852" t="n"/>
      <c r="EH40" s="852" t="n"/>
      <c r="EI40" s="852" t="n"/>
      <c r="EJ40" s="852" t="n"/>
      <c r="EK40" s="852" t="n"/>
      <c r="EL40" s="852" t="n"/>
      <c r="EM40" s="852" t="n"/>
      <c r="EN40" s="852" t="n"/>
      <c r="EO40" s="852" t="n"/>
      <c r="EP40" s="852" t="n"/>
      <c r="EQ40" s="852" t="n"/>
      <c r="ER40" s="852" t="n"/>
      <c r="ES40" s="852" t="n"/>
      <c r="ET40" s="852" t="n"/>
      <c r="EU40" s="852" t="n"/>
      <c r="EV40" s="852" t="n"/>
      <c r="EW40" s="852" t="n"/>
      <c r="EX40" s="852" t="n"/>
      <c r="EY40" s="852" t="n"/>
      <c r="EZ40" s="852" t="n"/>
      <c r="FA40" s="852" t="n"/>
      <c r="FB40" s="852" t="n"/>
      <c r="FC40" s="852" t="n"/>
      <c r="FD40" s="852" t="n"/>
      <c r="FE40" s="852" t="n"/>
      <c r="FF40" s="852" t="n"/>
      <c r="FG40" s="852" t="n"/>
      <c r="FH40" s="852" t="n"/>
      <c r="FI40" s="852" t="n"/>
      <c r="FJ40" s="852" t="n"/>
      <c r="FK40" s="852" t="n"/>
      <c r="FL40" s="852" t="n"/>
      <c r="FM40" s="852" t="n"/>
      <c r="FN40" s="852" t="n"/>
      <c r="FO40" s="852" t="n"/>
      <c r="FP40" s="852" t="n"/>
      <c r="FQ40" s="852" t="n"/>
      <c r="FR40" s="852" t="n"/>
      <c r="FS40" s="852" t="n"/>
      <c r="FT40" s="852" t="n"/>
      <c r="FU40" s="852" t="n"/>
      <c r="FV40" s="852" t="n"/>
      <c r="FW40" s="852" t="n"/>
      <c r="FX40" s="852" t="n"/>
      <c r="FY40" s="852" t="n"/>
      <c r="FZ40" s="852" t="n"/>
      <c r="GA40" s="852" t="n"/>
      <c r="GB40" s="852" t="n"/>
      <c r="GC40" s="852" t="n"/>
      <c r="GD40" s="852" t="n"/>
      <c r="GE40" s="852" t="n"/>
      <c r="GF40" s="852" t="n"/>
      <c r="GG40" s="852" t="n"/>
      <c r="GH40" s="852" t="n"/>
      <c r="GI40" s="852" t="n"/>
      <c r="GJ40" s="852" t="n"/>
      <c r="GK40" s="852" t="n"/>
      <c r="GL40" s="852" t="n"/>
      <c r="GM40" s="852" t="n"/>
      <c r="GN40" s="852" t="n"/>
      <c r="GO40" s="852" t="n"/>
      <c r="GP40" s="852" t="n"/>
      <c r="GQ40" s="852" t="n"/>
      <c r="GR40" s="852" t="n"/>
      <c r="GS40" s="852" t="n"/>
      <c r="GT40" s="852" t="n"/>
      <c r="GU40" s="852" t="n"/>
      <c r="GV40" s="852" t="n"/>
      <c r="GW40" s="852" t="n"/>
      <c r="GX40" s="852" t="n"/>
      <c r="GY40" s="852" t="n"/>
      <c r="GZ40" s="852" t="n"/>
      <c r="HA40" s="852" t="n"/>
      <c r="HB40" s="852" t="n"/>
      <c r="HC40" s="852" t="n"/>
      <c r="HD40" s="852" t="n"/>
      <c r="HE40" s="852" t="n"/>
      <c r="HF40" s="852" t="n"/>
      <c r="HG40" s="852" t="n"/>
      <c r="HH40" s="852" t="n"/>
      <c r="HI40" s="852" t="n"/>
      <c r="HJ40" s="852" t="n"/>
      <c r="HK40" s="852" t="n"/>
      <c r="HL40" s="852" t="n"/>
      <c r="HM40" s="852" t="n"/>
      <c r="HN40" s="852" t="n"/>
      <c r="HO40" s="852" t="n"/>
      <c r="HP40" s="852" t="n"/>
      <c r="HQ40" s="852" t="n"/>
      <c r="HR40" s="852" t="n"/>
      <c r="HS40" s="852" t="n"/>
      <c r="HT40" s="852" t="n"/>
      <c r="HU40" s="852" t="n"/>
      <c r="HV40" s="852" t="n"/>
      <c r="HW40" s="852" t="n"/>
      <c r="HX40" s="852" t="n"/>
      <c r="HY40" s="852" t="n"/>
      <c r="HZ40" s="852" t="n"/>
      <c r="IA40" s="852" t="n"/>
      <c r="IB40" s="852" t="n"/>
      <c r="IC40" s="852" t="n"/>
      <c r="ID40" s="852" t="n"/>
      <c r="IE40" s="852" t="n"/>
      <c r="IF40" s="852" t="n"/>
      <c r="IG40" s="852" t="n"/>
    </row>
    <row r="41">
      <c r="A41" s="186" t="n"/>
      <c r="B41" s="186" t="n"/>
      <c r="C41" s="186" t="n"/>
      <c r="D41" s="186" t="n"/>
      <c r="E41" s="186" t="n"/>
      <c r="F41" s="213" t="n">
        <v>35</v>
      </c>
      <c r="G41" s="214">
        <f>$C$39</f>
        <v/>
      </c>
      <c r="H41" s="214">
        <f>(J40*$C$16)/12</f>
        <v/>
      </c>
      <c r="I41" s="214">
        <f>G41-H41</f>
        <v/>
      </c>
      <c r="J41" s="214">
        <f>J40-I41</f>
        <v/>
      </c>
      <c r="K41" s="946" t="n"/>
      <c r="L41" s="946" t="n"/>
      <c r="M41" s="946" t="n"/>
      <c r="N41" s="946" t="n"/>
      <c r="O41" s="946" t="n"/>
      <c r="P41" s="946" t="n"/>
      <c r="Q41" s="946" t="n"/>
      <c r="R41" s="946" t="n"/>
      <c r="S41" s="946" t="n"/>
      <c r="T41" s="946" t="n"/>
      <c r="U41" s="946" t="n"/>
      <c r="V41" s="946" t="n"/>
      <c r="W41" s="946" t="n"/>
      <c r="X41" s="946" t="n"/>
      <c r="Y41" s="946" t="n"/>
      <c r="Z41" s="946" t="n"/>
      <c r="AA41" s="946" t="n"/>
      <c r="AB41" s="946" t="n"/>
      <c r="AC41" s="852" t="n"/>
      <c r="AD41" s="852" t="n"/>
      <c r="AE41" s="852" t="n"/>
      <c r="AF41" s="852" t="n"/>
      <c r="AG41" s="852" t="n"/>
      <c r="AH41" s="852" t="n"/>
      <c r="AI41" s="852" t="n"/>
      <c r="AJ41" s="852" t="n"/>
      <c r="AK41" s="852" t="n"/>
      <c r="AL41" s="852" t="n"/>
      <c r="AM41" s="852" t="n"/>
      <c r="AN41" s="852" t="n"/>
      <c r="AO41" s="852" t="n"/>
      <c r="AP41" s="852" t="n"/>
      <c r="AQ41" s="852" t="n"/>
      <c r="AR41" s="852" t="n"/>
      <c r="AS41" s="852" t="n"/>
      <c r="AT41" s="852" t="n"/>
      <c r="AU41" s="852" t="n"/>
      <c r="AV41" s="852" t="n"/>
      <c r="AW41" s="852" t="n"/>
      <c r="AX41" s="852" t="n"/>
      <c r="AY41" s="852" t="n"/>
      <c r="AZ41" s="852" t="n"/>
      <c r="BA41" s="852" t="n"/>
      <c r="BB41" s="852" t="n"/>
      <c r="BC41" s="852" t="n"/>
      <c r="BD41" s="852" t="n"/>
      <c r="BE41" s="852" t="n"/>
      <c r="BF41" s="852" t="n"/>
      <c r="BG41" s="852" t="n"/>
      <c r="BH41" s="852" t="n"/>
      <c r="BI41" s="852" t="n"/>
      <c r="BJ41" s="852" t="n"/>
      <c r="BK41" s="852" t="n"/>
      <c r="BL41" s="852" t="n"/>
      <c r="BM41" s="852" t="n"/>
      <c r="BN41" s="852" t="n"/>
      <c r="BO41" s="852" t="n"/>
      <c r="BP41" s="852" t="n"/>
      <c r="BQ41" s="852" t="n"/>
      <c r="BR41" s="852" t="n"/>
      <c r="BS41" s="852" t="n"/>
      <c r="BT41" s="852" t="n"/>
      <c r="BU41" s="852" t="n"/>
      <c r="BV41" s="852" t="n"/>
      <c r="BW41" s="852" t="n"/>
      <c r="BX41" s="852" t="n"/>
      <c r="BY41" s="852" t="n"/>
      <c r="BZ41" s="852" t="n"/>
      <c r="CA41" s="852" t="n"/>
      <c r="CB41" s="852" t="n"/>
      <c r="CC41" s="852" t="n"/>
      <c r="CD41" s="852" t="n"/>
      <c r="CE41" s="852" t="n"/>
      <c r="CF41" s="852" t="n"/>
      <c r="CG41" s="852" t="n"/>
      <c r="CH41" s="852" t="n"/>
      <c r="CI41" s="852" t="n"/>
      <c r="CJ41" s="852" t="n"/>
      <c r="CK41" s="852" t="n"/>
      <c r="CL41" s="852" t="n"/>
      <c r="CM41" s="852" t="n"/>
      <c r="CN41" s="852" t="n"/>
      <c r="CO41" s="852" t="n"/>
      <c r="CP41" s="852" t="n"/>
      <c r="CQ41" s="852" t="n"/>
      <c r="CR41" s="852" t="n"/>
      <c r="CS41" s="852" t="n"/>
      <c r="CT41" s="852" t="n"/>
      <c r="CU41" s="852" t="n"/>
      <c r="CV41" s="852" t="n"/>
      <c r="CW41" s="852" t="n"/>
      <c r="CX41" s="852" t="n"/>
      <c r="CY41" s="852" t="n"/>
      <c r="CZ41" s="852" t="n"/>
      <c r="DA41" s="852" t="n"/>
      <c r="DB41" s="852" t="n"/>
      <c r="DC41" s="852" t="n"/>
      <c r="DD41" s="852" t="n"/>
      <c r="DE41" s="852" t="n"/>
      <c r="DF41" s="852" t="n"/>
      <c r="DG41" s="852" t="n"/>
      <c r="DH41" s="852" t="n"/>
      <c r="DI41" s="852" t="n"/>
      <c r="DJ41" s="852" t="n"/>
      <c r="DK41" s="852" t="n"/>
      <c r="DL41" s="852" t="n"/>
      <c r="DM41" s="852" t="n"/>
      <c r="DN41" s="852" t="n"/>
      <c r="DO41" s="852" t="n"/>
      <c r="DP41" s="852" t="n"/>
      <c r="DQ41" s="852" t="n"/>
      <c r="DR41" s="852" t="n"/>
      <c r="DS41" s="852" t="n"/>
      <c r="DT41" s="852" t="n"/>
      <c r="DU41" s="852" t="n"/>
      <c r="DV41" s="852" t="n"/>
      <c r="DW41" s="852" t="n"/>
      <c r="DX41" s="852" t="n"/>
      <c r="DY41" s="852" t="n"/>
      <c r="DZ41" s="852" t="n"/>
      <c r="EA41" s="852" t="n"/>
      <c r="EB41" s="852" t="n"/>
      <c r="EC41" s="852" t="n"/>
      <c r="ED41" s="852" t="n"/>
      <c r="EE41" s="852" t="n"/>
      <c r="EF41" s="852" t="n"/>
      <c r="EG41" s="852" t="n"/>
      <c r="EH41" s="852" t="n"/>
      <c r="EI41" s="852" t="n"/>
      <c r="EJ41" s="852" t="n"/>
      <c r="EK41" s="852" t="n"/>
      <c r="EL41" s="852" t="n"/>
      <c r="EM41" s="852" t="n"/>
      <c r="EN41" s="852" t="n"/>
      <c r="EO41" s="852" t="n"/>
      <c r="EP41" s="852" t="n"/>
      <c r="EQ41" s="852" t="n"/>
      <c r="ER41" s="852" t="n"/>
      <c r="ES41" s="852" t="n"/>
      <c r="ET41" s="852" t="n"/>
      <c r="EU41" s="852" t="n"/>
      <c r="EV41" s="852" t="n"/>
      <c r="EW41" s="852" t="n"/>
      <c r="EX41" s="852" t="n"/>
      <c r="EY41" s="852" t="n"/>
      <c r="EZ41" s="852" t="n"/>
      <c r="FA41" s="852" t="n"/>
      <c r="FB41" s="852" t="n"/>
      <c r="FC41" s="852" t="n"/>
      <c r="FD41" s="852" t="n"/>
      <c r="FE41" s="852" t="n"/>
      <c r="FF41" s="852" t="n"/>
      <c r="FG41" s="852" t="n"/>
      <c r="FH41" s="852" t="n"/>
      <c r="FI41" s="852" t="n"/>
      <c r="FJ41" s="852" t="n"/>
      <c r="FK41" s="852" t="n"/>
      <c r="FL41" s="852" t="n"/>
      <c r="FM41" s="852" t="n"/>
      <c r="FN41" s="852" t="n"/>
      <c r="FO41" s="852" t="n"/>
      <c r="FP41" s="852" t="n"/>
      <c r="FQ41" s="852" t="n"/>
      <c r="FR41" s="852" t="n"/>
      <c r="FS41" s="852" t="n"/>
      <c r="FT41" s="852" t="n"/>
      <c r="FU41" s="852" t="n"/>
      <c r="FV41" s="852" t="n"/>
      <c r="FW41" s="852" t="n"/>
      <c r="FX41" s="852" t="n"/>
      <c r="FY41" s="852" t="n"/>
      <c r="FZ41" s="852" t="n"/>
      <c r="GA41" s="852" t="n"/>
      <c r="GB41" s="852" t="n"/>
      <c r="GC41" s="852" t="n"/>
      <c r="GD41" s="852" t="n"/>
      <c r="GE41" s="852" t="n"/>
      <c r="GF41" s="852" t="n"/>
      <c r="GG41" s="852" t="n"/>
      <c r="GH41" s="852" t="n"/>
      <c r="GI41" s="852" t="n"/>
      <c r="GJ41" s="852" t="n"/>
      <c r="GK41" s="852" t="n"/>
      <c r="GL41" s="852" t="n"/>
      <c r="GM41" s="852" t="n"/>
      <c r="GN41" s="852" t="n"/>
      <c r="GO41" s="852" t="n"/>
      <c r="GP41" s="852" t="n"/>
      <c r="GQ41" s="852" t="n"/>
      <c r="GR41" s="852" t="n"/>
      <c r="GS41" s="852" t="n"/>
      <c r="GT41" s="852" t="n"/>
      <c r="GU41" s="852" t="n"/>
      <c r="GV41" s="852" t="n"/>
      <c r="GW41" s="852" t="n"/>
      <c r="GX41" s="852" t="n"/>
      <c r="GY41" s="852" t="n"/>
      <c r="GZ41" s="852" t="n"/>
      <c r="HA41" s="852" t="n"/>
      <c r="HB41" s="852" t="n"/>
      <c r="HC41" s="852" t="n"/>
      <c r="HD41" s="852" t="n"/>
      <c r="HE41" s="852" t="n"/>
      <c r="HF41" s="852" t="n"/>
      <c r="HG41" s="852" t="n"/>
      <c r="HH41" s="852" t="n"/>
      <c r="HI41" s="852" t="n"/>
      <c r="HJ41" s="852" t="n"/>
      <c r="HK41" s="852" t="n"/>
      <c r="HL41" s="852" t="n"/>
      <c r="HM41" s="852" t="n"/>
      <c r="HN41" s="852" t="n"/>
      <c r="HO41" s="852" t="n"/>
      <c r="HP41" s="852" t="n"/>
      <c r="HQ41" s="852" t="n"/>
      <c r="HR41" s="852" t="n"/>
      <c r="HS41" s="852" t="n"/>
      <c r="HT41" s="852" t="n"/>
      <c r="HU41" s="852" t="n"/>
      <c r="HV41" s="852" t="n"/>
      <c r="HW41" s="852" t="n"/>
      <c r="HX41" s="852" t="n"/>
      <c r="HY41" s="852" t="n"/>
      <c r="HZ41" s="852" t="n"/>
      <c r="IA41" s="852" t="n"/>
      <c r="IB41" s="852" t="n"/>
      <c r="IC41" s="852" t="n"/>
      <c r="ID41" s="852" t="n"/>
      <c r="IE41" s="852" t="n"/>
      <c r="IF41" s="852" t="n"/>
      <c r="IG41" s="852" t="n"/>
    </row>
    <row r="42">
      <c r="A42" s="186" t="n"/>
      <c r="B42" s="186" t="n"/>
      <c r="C42" s="186" t="n"/>
      <c r="D42" s="186" t="n"/>
      <c r="E42" s="186" t="n"/>
      <c r="F42" s="504" t="n">
        <v>36</v>
      </c>
      <c r="G42" s="505">
        <f>$C$39</f>
        <v/>
      </c>
      <c r="H42" s="505">
        <f>(J41*$C$16)/12</f>
        <v/>
      </c>
      <c r="I42" s="505">
        <f>G42-H42</f>
        <v/>
      </c>
      <c r="J42" s="505">
        <f>J41-I42</f>
        <v/>
      </c>
      <c r="K42" s="946" t="n"/>
      <c r="L42" s="946" t="n"/>
      <c r="M42" s="946" t="n"/>
      <c r="N42" s="946" t="n"/>
      <c r="O42" s="946" t="n"/>
      <c r="P42" s="946" t="n"/>
      <c r="Q42" s="946" t="n"/>
      <c r="R42" s="946" t="n"/>
      <c r="S42" s="946" t="n"/>
      <c r="T42" s="946" t="n"/>
      <c r="U42" s="946" t="n"/>
      <c r="V42" s="946" t="n"/>
      <c r="W42" s="946" t="n"/>
      <c r="X42" s="946" t="n"/>
      <c r="Y42" s="946" t="n"/>
      <c r="Z42" s="946" t="n"/>
      <c r="AA42" s="946" t="n"/>
      <c r="AB42" s="946" t="n"/>
      <c r="AC42" s="852" t="n"/>
      <c r="AD42" s="852" t="n"/>
      <c r="AE42" s="852" t="n"/>
      <c r="AF42" s="852" t="n"/>
      <c r="AG42" s="852" t="n"/>
      <c r="AH42" s="852" t="n"/>
      <c r="AI42" s="852" t="n"/>
      <c r="AJ42" s="852" t="n"/>
      <c r="AK42" s="852" t="n"/>
      <c r="AL42" s="852" t="n"/>
      <c r="AM42" s="852" t="n"/>
      <c r="AN42" s="852" t="n"/>
      <c r="AO42" s="852" t="n"/>
      <c r="AP42" s="852" t="n"/>
      <c r="AQ42" s="852" t="n"/>
      <c r="AR42" s="852" t="n"/>
      <c r="AS42" s="852" t="n"/>
      <c r="AT42" s="852" t="n"/>
      <c r="AU42" s="852" t="n"/>
      <c r="AV42" s="852" t="n"/>
      <c r="AW42" s="852" t="n"/>
      <c r="AX42" s="852" t="n"/>
      <c r="AY42" s="852" t="n"/>
      <c r="AZ42" s="852" t="n"/>
      <c r="BA42" s="852" t="n"/>
      <c r="BB42" s="852" t="n"/>
      <c r="BC42" s="852" t="n"/>
      <c r="BD42" s="852" t="n"/>
      <c r="BE42" s="852" t="n"/>
      <c r="BF42" s="852" t="n"/>
      <c r="BG42" s="852" t="n"/>
      <c r="BH42" s="852" t="n"/>
      <c r="BI42" s="852" t="n"/>
      <c r="BJ42" s="852" t="n"/>
      <c r="BK42" s="852" t="n"/>
      <c r="BL42" s="852" t="n"/>
      <c r="BM42" s="852" t="n"/>
      <c r="BN42" s="852" t="n"/>
      <c r="BO42" s="852" t="n"/>
      <c r="BP42" s="852" t="n"/>
      <c r="BQ42" s="852" t="n"/>
      <c r="BR42" s="852" t="n"/>
      <c r="BS42" s="852" t="n"/>
      <c r="BT42" s="852" t="n"/>
      <c r="BU42" s="852" t="n"/>
      <c r="BV42" s="852" t="n"/>
      <c r="BW42" s="852" t="n"/>
      <c r="BX42" s="852" t="n"/>
      <c r="BY42" s="852" t="n"/>
      <c r="BZ42" s="852" t="n"/>
      <c r="CA42" s="852" t="n"/>
      <c r="CB42" s="852" t="n"/>
      <c r="CC42" s="852" t="n"/>
      <c r="CD42" s="852" t="n"/>
      <c r="CE42" s="852" t="n"/>
      <c r="CF42" s="852" t="n"/>
      <c r="CG42" s="852" t="n"/>
      <c r="CH42" s="852" t="n"/>
      <c r="CI42" s="852" t="n"/>
      <c r="CJ42" s="852" t="n"/>
      <c r="CK42" s="852" t="n"/>
      <c r="CL42" s="852" t="n"/>
      <c r="CM42" s="852" t="n"/>
      <c r="CN42" s="852" t="n"/>
      <c r="CO42" s="852" t="n"/>
      <c r="CP42" s="852" t="n"/>
      <c r="CQ42" s="852" t="n"/>
      <c r="CR42" s="852" t="n"/>
      <c r="CS42" s="852" t="n"/>
      <c r="CT42" s="852" t="n"/>
      <c r="CU42" s="852" t="n"/>
      <c r="CV42" s="852" t="n"/>
      <c r="CW42" s="852" t="n"/>
      <c r="CX42" s="852" t="n"/>
      <c r="CY42" s="852" t="n"/>
      <c r="CZ42" s="852" t="n"/>
      <c r="DA42" s="852" t="n"/>
      <c r="DB42" s="852" t="n"/>
      <c r="DC42" s="852" t="n"/>
      <c r="DD42" s="852" t="n"/>
      <c r="DE42" s="852" t="n"/>
      <c r="DF42" s="852" t="n"/>
      <c r="DG42" s="852" t="n"/>
      <c r="DH42" s="852" t="n"/>
      <c r="DI42" s="852" t="n"/>
      <c r="DJ42" s="852" t="n"/>
      <c r="DK42" s="852" t="n"/>
      <c r="DL42" s="852" t="n"/>
      <c r="DM42" s="852" t="n"/>
      <c r="DN42" s="852" t="n"/>
      <c r="DO42" s="852" t="n"/>
      <c r="DP42" s="852" t="n"/>
      <c r="DQ42" s="852" t="n"/>
      <c r="DR42" s="852" t="n"/>
      <c r="DS42" s="852" t="n"/>
      <c r="DT42" s="852" t="n"/>
      <c r="DU42" s="852" t="n"/>
      <c r="DV42" s="852" t="n"/>
      <c r="DW42" s="852" t="n"/>
      <c r="DX42" s="852" t="n"/>
      <c r="DY42" s="852" t="n"/>
      <c r="DZ42" s="852" t="n"/>
      <c r="EA42" s="852" t="n"/>
      <c r="EB42" s="852" t="n"/>
      <c r="EC42" s="852" t="n"/>
      <c r="ED42" s="852" t="n"/>
      <c r="EE42" s="852" t="n"/>
      <c r="EF42" s="852" t="n"/>
      <c r="EG42" s="852" t="n"/>
      <c r="EH42" s="852" t="n"/>
      <c r="EI42" s="852" t="n"/>
      <c r="EJ42" s="852" t="n"/>
      <c r="EK42" s="852" t="n"/>
      <c r="EL42" s="852" t="n"/>
      <c r="EM42" s="852" t="n"/>
      <c r="EN42" s="852" t="n"/>
      <c r="EO42" s="852" t="n"/>
      <c r="EP42" s="852" t="n"/>
      <c r="EQ42" s="852" t="n"/>
      <c r="ER42" s="852" t="n"/>
      <c r="ES42" s="852" t="n"/>
      <c r="ET42" s="852" t="n"/>
      <c r="EU42" s="852" t="n"/>
      <c r="EV42" s="852" t="n"/>
      <c r="EW42" s="852" t="n"/>
      <c r="EX42" s="852" t="n"/>
      <c r="EY42" s="852" t="n"/>
      <c r="EZ42" s="852" t="n"/>
      <c r="FA42" s="852" t="n"/>
      <c r="FB42" s="852" t="n"/>
      <c r="FC42" s="852" t="n"/>
      <c r="FD42" s="852" t="n"/>
      <c r="FE42" s="852" t="n"/>
      <c r="FF42" s="852" t="n"/>
      <c r="FG42" s="852" t="n"/>
      <c r="FH42" s="852" t="n"/>
      <c r="FI42" s="852" t="n"/>
      <c r="FJ42" s="852" t="n"/>
      <c r="FK42" s="852" t="n"/>
      <c r="FL42" s="852" t="n"/>
      <c r="FM42" s="852" t="n"/>
      <c r="FN42" s="852" t="n"/>
      <c r="FO42" s="852" t="n"/>
      <c r="FP42" s="852" t="n"/>
      <c r="FQ42" s="852" t="n"/>
      <c r="FR42" s="852" t="n"/>
      <c r="FS42" s="852" t="n"/>
      <c r="FT42" s="852" t="n"/>
      <c r="FU42" s="852" t="n"/>
      <c r="FV42" s="852" t="n"/>
      <c r="FW42" s="852" t="n"/>
      <c r="FX42" s="852" t="n"/>
      <c r="FY42" s="852" t="n"/>
      <c r="FZ42" s="852" t="n"/>
      <c r="GA42" s="852" t="n"/>
      <c r="GB42" s="852" t="n"/>
      <c r="GC42" s="852" t="n"/>
      <c r="GD42" s="852" t="n"/>
      <c r="GE42" s="852" t="n"/>
      <c r="GF42" s="852" t="n"/>
      <c r="GG42" s="852" t="n"/>
      <c r="GH42" s="852" t="n"/>
      <c r="GI42" s="852" t="n"/>
      <c r="GJ42" s="852" t="n"/>
      <c r="GK42" s="852" t="n"/>
      <c r="GL42" s="852" t="n"/>
      <c r="GM42" s="852" t="n"/>
      <c r="GN42" s="852" t="n"/>
      <c r="GO42" s="852" t="n"/>
      <c r="GP42" s="852" t="n"/>
      <c r="GQ42" s="852" t="n"/>
      <c r="GR42" s="852" t="n"/>
      <c r="GS42" s="852" t="n"/>
      <c r="GT42" s="852" t="n"/>
      <c r="GU42" s="852" t="n"/>
      <c r="GV42" s="852" t="n"/>
      <c r="GW42" s="852" t="n"/>
      <c r="GX42" s="852" t="n"/>
      <c r="GY42" s="852" t="n"/>
      <c r="GZ42" s="852" t="n"/>
      <c r="HA42" s="852" t="n"/>
      <c r="HB42" s="852" t="n"/>
      <c r="HC42" s="852" t="n"/>
      <c r="HD42" s="852" t="n"/>
      <c r="HE42" s="852" t="n"/>
      <c r="HF42" s="852" t="n"/>
      <c r="HG42" s="852" t="n"/>
      <c r="HH42" s="852" t="n"/>
      <c r="HI42" s="852" t="n"/>
      <c r="HJ42" s="852" t="n"/>
      <c r="HK42" s="852" t="n"/>
      <c r="HL42" s="852" t="n"/>
      <c r="HM42" s="852" t="n"/>
      <c r="HN42" s="852" t="n"/>
      <c r="HO42" s="852" t="n"/>
      <c r="HP42" s="852" t="n"/>
      <c r="HQ42" s="852" t="n"/>
      <c r="HR42" s="852" t="n"/>
      <c r="HS42" s="852" t="n"/>
      <c r="HT42" s="852" t="n"/>
      <c r="HU42" s="852" t="n"/>
      <c r="HV42" s="852" t="n"/>
      <c r="HW42" s="852" t="n"/>
      <c r="HX42" s="852" t="n"/>
      <c r="HY42" s="852" t="n"/>
      <c r="HZ42" s="852" t="n"/>
      <c r="IA42" s="852" t="n"/>
      <c r="IB42" s="852" t="n"/>
      <c r="IC42" s="852" t="n"/>
      <c r="ID42" s="852" t="n"/>
      <c r="IE42" s="852" t="n"/>
      <c r="IF42" s="852" t="n"/>
      <c r="IG42" s="852" t="n"/>
    </row>
    <row r="43">
      <c r="A43" s="186" t="n"/>
      <c r="B43" s="186" t="n"/>
      <c r="C43" s="186" t="n"/>
      <c r="D43" s="186" t="n"/>
      <c r="E43" s="186" t="n"/>
      <c r="F43" s="213" t="n">
        <v>37</v>
      </c>
      <c r="G43" s="214">
        <f>$C$39</f>
        <v/>
      </c>
      <c r="H43" s="214">
        <f>(J42*$C$16)/12</f>
        <v/>
      </c>
      <c r="I43" s="214">
        <f>G43-H43</f>
        <v/>
      </c>
      <c r="J43" s="214">
        <f>J42-I43</f>
        <v/>
      </c>
      <c r="K43" s="946" t="n"/>
      <c r="L43" s="946" t="n"/>
      <c r="M43" s="946" t="n"/>
      <c r="N43" s="946" t="n"/>
      <c r="O43" s="946" t="n"/>
      <c r="P43" s="946" t="n"/>
      <c r="Q43" s="946" t="n"/>
      <c r="R43" s="946" t="n"/>
      <c r="S43" s="946" t="n"/>
      <c r="T43" s="946" t="n"/>
      <c r="U43" s="946" t="n"/>
      <c r="V43" s="946" t="n"/>
      <c r="W43" s="946" t="n"/>
      <c r="X43" s="946" t="n"/>
      <c r="Y43" s="946" t="n"/>
      <c r="Z43" s="946" t="n"/>
      <c r="AA43" s="946" t="n"/>
      <c r="AB43" s="946" t="n"/>
      <c r="AC43" s="852" t="n"/>
      <c r="AD43" s="852" t="n"/>
      <c r="AE43" s="852" t="n"/>
      <c r="AF43" s="852" t="n"/>
      <c r="AG43" s="852" t="n"/>
      <c r="AH43" s="852" t="n"/>
      <c r="AI43" s="852" t="n"/>
      <c r="AJ43" s="852" t="n"/>
      <c r="AK43" s="852" t="n"/>
      <c r="AL43" s="852" t="n"/>
      <c r="AM43" s="852" t="n"/>
      <c r="AN43" s="852" t="n"/>
      <c r="AO43" s="852" t="n"/>
      <c r="AP43" s="852" t="n"/>
      <c r="AQ43" s="852" t="n"/>
      <c r="AR43" s="852" t="n"/>
      <c r="AS43" s="852" t="n"/>
      <c r="AT43" s="852" t="n"/>
      <c r="AU43" s="852" t="n"/>
      <c r="AV43" s="852" t="n"/>
      <c r="AW43" s="852" t="n"/>
      <c r="AX43" s="852" t="n"/>
      <c r="AY43" s="852" t="n"/>
      <c r="AZ43" s="852" t="n"/>
      <c r="BA43" s="852" t="n"/>
      <c r="BB43" s="852" t="n"/>
      <c r="BC43" s="852" t="n"/>
      <c r="BD43" s="852" t="n"/>
      <c r="BE43" s="852" t="n"/>
      <c r="BF43" s="852" t="n"/>
      <c r="BG43" s="852" t="n"/>
      <c r="BH43" s="852" t="n"/>
      <c r="BI43" s="852" t="n"/>
      <c r="BJ43" s="852" t="n"/>
      <c r="BK43" s="852" t="n"/>
      <c r="BL43" s="852" t="n"/>
      <c r="BM43" s="852" t="n"/>
      <c r="BN43" s="852" t="n"/>
      <c r="BO43" s="852" t="n"/>
      <c r="BP43" s="852" t="n"/>
      <c r="BQ43" s="852" t="n"/>
      <c r="BR43" s="852" t="n"/>
      <c r="BS43" s="852" t="n"/>
      <c r="BT43" s="852" t="n"/>
      <c r="BU43" s="852" t="n"/>
      <c r="BV43" s="852" t="n"/>
      <c r="BW43" s="852" t="n"/>
      <c r="BX43" s="852" t="n"/>
      <c r="BY43" s="852" t="n"/>
      <c r="BZ43" s="852" t="n"/>
      <c r="CA43" s="852" t="n"/>
      <c r="CB43" s="852" t="n"/>
      <c r="CC43" s="852" t="n"/>
      <c r="CD43" s="852" t="n"/>
      <c r="CE43" s="852" t="n"/>
      <c r="CF43" s="852" t="n"/>
      <c r="CG43" s="852" t="n"/>
      <c r="CH43" s="852" t="n"/>
      <c r="CI43" s="852" t="n"/>
      <c r="CJ43" s="852" t="n"/>
      <c r="CK43" s="852" t="n"/>
      <c r="CL43" s="852" t="n"/>
      <c r="CM43" s="852" t="n"/>
      <c r="CN43" s="852" t="n"/>
      <c r="CO43" s="852" t="n"/>
      <c r="CP43" s="852" t="n"/>
      <c r="CQ43" s="852" t="n"/>
      <c r="CR43" s="852" t="n"/>
      <c r="CS43" s="852" t="n"/>
      <c r="CT43" s="852" t="n"/>
      <c r="CU43" s="852" t="n"/>
      <c r="CV43" s="852" t="n"/>
      <c r="CW43" s="852" t="n"/>
      <c r="CX43" s="852" t="n"/>
      <c r="CY43" s="852" t="n"/>
      <c r="CZ43" s="852" t="n"/>
      <c r="DA43" s="852" t="n"/>
      <c r="DB43" s="852" t="n"/>
      <c r="DC43" s="852" t="n"/>
      <c r="DD43" s="852" t="n"/>
      <c r="DE43" s="852" t="n"/>
      <c r="DF43" s="852" t="n"/>
      <c r="DG43" s="852" t="n"/>
      <c r="DH43" s="852" t="n"/>
      <c r="DI43" s="852" t="n"/>
      <c r="DJ43" s="852" t="n"/>
      <c r="DK43" s="852" t="n"/>
      <c r="DL43" s="852" t="n"/>
      <c r="DM43" s="852" t="n"/>
      <c r="DN43" s="852" t="n"/>
      <c r="DO43" s="852" t="n"/>
      <c r="DP43" s="852" t="n"/>
      <c r="DQ43" s="852" t="n"/>
      <c r="DR43" s="852" t="n"/>
      <c r="DS43" s="852" t="n"/>
      <c r="DT43" s="852" t="n"/>
      <c r="DU43" s="852" t="n"/>
      <c r="DV43" s="852" t="n"/>
      <c r="DW43" s="852" t="n"/>
      <c r="DX43" s="852" t="n"/>
      <c r="DY43" s="852" t="n"/>
      <c r="DZ43" s="852" t="n"/>
      <c r="EA43" s="852" t="n"/>
      <c r="EB43" s="852" t="n"/>
      <c r="EC43" s="852" t="n"/>
      <c r="ED43" s="852" t="n"/>
      <c r="EE43" s="852" t="n"/>
      <c r="EF43" s="852" t="n"/>
      <c r="EG43" s="852" t="n"/>
      <c r="EH43" s="852" t="n"/>
      <c r="EI43" s="852" t="n"/>
      <c r="EJ43" s="852" t="n"/>
      <c r="EK43" s="852" t="n"/>
      <c r="EL43" s="852" t="n"/>
      <c r="EM43" s="852" t="n"/>
      <c r="EN43" s="852" t="n"/>
      <c r="EO43" s="852" t="n"/>
      <c r="EP43" s="852" t="n"/>
      <c r="EQ43" s="852" t="n"/>
      <c r="ER43" s="852" t="n"/>
      <c r="ES43" s="852" t="n"/>
      <c r="ET43" s="852" t="n"/>
      <c r="EU43" s="852" t="n"/>
      <c r="EV43" s="852" t="n"/>
      <c r="EW43" s="852" t="n"/>
      <c r="EX43" s="852" t="n"/>
      <c r="EY43" s="852" t="n"/>
      <c r="EZ43" s="852" t="n"/>
      <c r="FA43" s="852" t="n"/>
      <c r="FB43" s="852" t="n"/>
      <c r="FC43" s="852" t="n"/>
      <c r="FD43" s="852" t="n"/>
      <c r="FE43" s="852" t="n"/>
      <c r="FF43" s="852" t="n"/>
      <c r="FG43" s="852" t="n"/>
      <c r="FH43" s="852" t="n"/>
      <c r="FI43" s="852" t="n"/>
      <c r="FJ43" s="852" t="n"/>
      <c r="FK43" s="852" t="n"/>
      <c r="FL43" s="852" t="n"/>
      <c r="FM43" s="852" t="n"/>
      <c r="FN43" s="852" t="n"/>
      <c r="FO43" s="852" t="n"/>
      <c r="FP43" s="852" t="n"/>
      <c r="FQ43" s="852" t="n"/>
      <c r="FR43" s="852" t="n"/>
      <c r="FS43" s="852" t="n"/>
      <c r="FT43" s="852" t="n"/>
      <c r="FU43" s="852" t="n"/>
      <c r="FV43" s="852" t="n"/>
      <c r="FW43" s="852" t="n"/>
      <c r="FX43" s="852" t="n"/>
      <c r="FY43" s="852" t="n"/>
      <c r="FZ43" s="852" t="n"/>
      <c r="GA43" s="852" t="n"/>
      <c r="GB43" s="852" t="n"/>
      <c r="GC43" s="852" t="n"/>
      <c r="GD43" s="852" t="n"/>
      <c r="GE43" s="852" t="n"/>
      <c r="GF43" s="852" t="n"/>
      <c r="GG43" s="852" t="n"/>
      <c r="GH43" s="852" t="n"/>
      <c r="GI43" s="852" t="n"/>
      <c r="GJ43" s="852" t="n"/>
      <c r="GK43" s="852" t="n"/>
      <c r="GL43" s="852" t="n"/>
      <c r="GM43" s="852" t="n"/>
      <c r="GN43" s="852" t="n"/>
      <c r="GO43" s="852" t="n"/>
      <c r="GP43" s="852" t="n"/>
      <c r="GQ43" s="852" t="n"/>
      <c r="GR43" s="852" t="n"/>
      <c r="GS43" s="852" t="n"/>
      <c r="GT43" s="852" t="n"/>
      <c r="GU43" s="852" t="n"/>
      <c r="GV43" s="852" t="n"/>
      <c r="GW43" s="852" t="n"/>
      <c r="GX43" s="852" t="n"/>
      <c r="GY43" s="852" t="n"/>
      <c r="GZ43" s="852" t="n"/>
      <c r="HA43" s="852" t="n"/>
      <c r="HB43" s="852" t="n"/>
      <c r="HC43" s="852" t="n"/>
      <c r="HD43" s="852" t="n"/>
      <c r="HE43" s="852" t="n"/>
      <c r="HF43" s="852" t="n"/>
      <c r="HG43" s="852" t="n"/>
      <c r="HH43" s="852" t="n"/>
      <c r="HI43" s="852" t="n"/>
      <c r="HJ43" s="852" t="n"/>
      <c r="HK43" s="852" t="n"/>
      <c r="HL43" s="852" t="n"/>
      <c r="HM43" s="852" t="n"/>
      <c r="HN43" s="852" t="n"/>
      <c r="HO43" s="852" t="n"/>
      <c r="HP43" s="852" t="n"/>
      <c r="HQ43" s="852" t="n"/>
      <c r="HR43" s="852" t="n"/>
      <c r="HS43" s="852" t="n"/>
      <c r="HT43" s="852" t="n"/>
      <c r="HU43" s="852" t="n"/>
      <c r="HV43" s="852" t="n"/>
      <c r="HW43" s="852" t="n"/>
      <c r="HX43" s="852" t="n"/>
      <c r="HY43" s="852" t="n"/>
      <c r="HZ43" s="852" t="n"/>
      <c r="IA43" s="852" t="n"/>
      <c r="IB43" s="852" t="n"/>
      <c r="IC43" s="852" t="n"/>
      <c r="ID43" s="852" t="n"/>
      <c r="IE43" s="852" t="n"/>
      <c r="IF43" s="852" t="n"/>
      <c r="IG43" s="852" t="n"/>
    </row>
    <row r="44">
      <c r="A44" s="186" t="n"/>
      <c r="B44" s="186" t="n"/>
      <c r="C44" s="186" t="n"/>
      <c r="D44" s="186" t="n"/>
      <c r="E44" s="186" t="n"/>
      <c r="F44" s="213" t="n">
        <v>38</v>
      </c>
      <c r="G44" s="214">
        <f>$C$39</f>
        <v/>
      </c>
      <c r="H44" s="214">
        <f>(J43*$C$16)/12</f>
        <v/>
      </c>
      <c r="I44" s="214">
        <f>G44-H44</f>
        <v/>
      </c>
      <c r="J44" s="214">
        <f>J43-I44</f>
        <v/>
      </c>
      <c r="K44" s="946" t="n"/>
      <c r="L44" s="946" t="n"/>
      <c r="M44" s="946" t="n"/>
      <c r="N44" s="946" t="n"/>
      <c r="O44" s="946" t="n"/>
      <c r="P44" s="946" t="n"/>
      <c r="Q44" s="946" t="n"/>
      <c r="R44" s="946" t="n"/>
      <c r="S44" s="946" t="n"/>
      <c r="T44" s="946" t="n"/>
      <c r="U44" s="946" t="n"/>
      <c r="V44" s="946" t="n"/>
      <c r="W44" s="946" t="n"/>
      <c r="X44" s="946" t="n"/>
      <c r="Y44" s="946" t="n"/>
      <c r="Z44" s="946" t="n"/>
      <c r="AA44" s="946" t="n"/>
      <c r="AB44" s="946" t="n"/>
      <c r="AC44" s="852" t="n"/>
      <c r="AD44" s="852" t="n"/>
      <c r="AE44" s="852" t="n"/>
      <c r="AF44" s="852" t="n"/>
      <c r="AG44" s="852" t="n"/>
      <c r="AH44" s="852" t="n"/>
      <c r="AI44" s="852" t="n"/>
      <c r="AJ44" s="852" t="n"/>
      <c r="AK44" s="852" t="n"/>
      <c r="AL44" s="852" t="n"/>
      <c r="AM44" s="852" t="n"/>
      <c r="AN44" s="852" t="n"/>
      <c r="AO44" s="852" t="n"/>
      <c r="AP44" s="852" t="n"/>
      <c r="AQ44" s="852" t="n"/>
      <c r="AR44" s="852" t="n"/>
      <c r="AS44" s="852" t="n"/>
      <c r="AT44" s="852" t="n"/>
      <c r="AU44" s="852" t="n"/>
      <c r="AV44" s="852" t="n"/>
      <c r="AW44" s="852" t="n"/>
      <c r="AX44" s="852" t="n"/>
      <c r="AY44" s="852" t="n"/>
      <c r="AZ44" s="852" t="n"/>
      <c r="BA44" s="852" t="n"/>
      <c r="BB44" s="852" t="n"/>
      <c r="BC44" s="852" t="n"/>
      <c r="BD44" s="852" t="n"/>
      <c r="BE44" s="852" t="n"/>
      <c r="BF44" s="852" t="n"/>
      <c r="BG44" s="852" t="n"/>
      <c r="BH44" s="852" t="n"/>
      <c r="BI44" s="852" t="n"/>
      <c r="BJ44" s="852" t="n"/>
      <c r="BK44" s="852" t="n"/>
      <c r="BL44" s="852" t="n"/>
      <c r="BM44" s="852" t="n"/>
      <c r="BN44" s="852" t="n"/>
      <c r="BO44" s="852" t="n"/>
      <c r="BP44" s="852" t="n"/>
      <c r="BQ44" s="852" t="n"/>
      <c r="BR44" s="852" t="n"/>
      <c r="BS44" s="852" t="n"/>
      <c r="BT44" s="852" t="n"/>
      <c r="BU44" s="852" t="n"/>
      <c r="BV44" s="852" t="n"/>
      <c r="BW44" s="852" t="n"/>
      <c r="BX44" s="852" t="n"/>
      <c r="BY44" s="852" t="n"/>
      <c r="BZ44" s="852" t="n"/>
      <c r="CA44" s="852" t="n"/>
      <c r="CB44" s="852" t="n"/>
      <c r="CC44" s="852" t="n"/>
      <c r="CD44" s="852" t="n"/>
      <c r="CE44" s="852" t="n"/>
      <c r="CF44" s="852" t="n"/>
      <c r="CG44" s="852" t="n"/>
      <c r="CH44" s="852" t="n"/>
      <c r="CI44" s="852" t="n"/>
      <c r="CJ44" s="852" t="n"/>
      <c r="CK44" s="852" t="n"/>
      <c r="CL44" s="852" t="n"/>
      <c r="CM44" s="852" t="n"/>
      <c r="CN44" s="852" t="n"/>
      <c r="CO44" s="852" t="n"/>
      <c r="CP44" s="852" t="n"/>
      <c r="CQ44" s="852" t="n"/>
      <c r="CR44" s="852" t="n"/>
      <c r="CS44" s="852" t="n"/>
      <c r="CT44" s="852" t="n"/>
      <c r="CU44" s="852" t="n"/>
      <c r="CV44" s="852" t="n"/>
      <c r="CW44" s="852" t="n"/>
      <c r="CX44" s="852" t="n"/>
      <c r="CY44" s="852" t="n"/>
      <c r="CZ44" s="852" t="n"/>
      <c r="DA44" s="852" t="n"/>
      <c r="DB44" s="852" t="n"/>
      <c r="DC44" s="852" t="n"/>
      <c r="DD44" s="852" t="n"/>
      <c r="DE44" s="852" t="n"/>
      <c r="DF44" s="852" t="n"/>
      <c r="DG44" s="852" t="n"/>
      <c r="DH44" s="852" t="n"/>
      <c r="DI44" s="852" t="n"/>
      <c r="DJ44" s="852" t="n"/>
      <c r="DK44" s="852" t="n"/>
      <c r="DL44" s="852" t="n"/>
      <c r="DM44" s="852" t="n"/>
      <c r="DN44" s="852" t="n"/>
      <c r="DO44" s="852" t="n"/>
      <c r="DP44" s="852" t="n"/>
      <c r="DQ44" s="852" t="n"/>
      <c r="DR44" s="852" t="n"/>
      <c r="DS44" s="852" t="n"/>
      <c r="DT44" s="852" t="n"/>
      <c r="DU44" s="852" t="n"/>
      <c r="DV44" s="852" t="n"/>
      <c r="DW44" s="852" t="n"/>
      <c r="DX44" s="852" t="n"/>
      <c r="DY44" s="852" t="n"/>
      <c r="DZ44" s="852" t="n"/>
      <c r="EA44" s="852" t="n"/>
      <c r="EB44" s="852" t="n"/>
      <c r="EC44" s="852" t="n"/>
      <c r="ED44" s="852" t="n"/>
      <c r="EE44" s="852" t="n"/>
      <c r="EF44" s="852" t="n"/>
      <c r="EG44" s="852" t="n"/>
      <c r="EH44" s="852" t="n"/>
      <c r="EI44" s="852" t="n"/>
      <c r="EJ44" s="852" t="n"/>
      <c r="EK44" s="852" t="n"/>
      <c r="EL44" s="852" t="n"/>
      <c r="EM44" s="852" t="n"/>
      <c r="EN44" s="852" t="n"/>
      <c r="EO44" s="852" t="n"/>
      <c r="EP44" s="852" t="n"/>
      <c r="EQ44" s="852" t="n"/>
      <c r="ER44" s="852" t="n"/>
      <c r="ES44" s="852" t="n"/>
      <c r="ET44" s="852" t="n"/>
      <c r="EU44" s="852" t="n"/>
      <c r="EV44" s="852" t="n"/>
      <c r="EW44" s="852" t="n"/>
      <c r="EX44" s="852" t="n"/>
      <c r="EY44" s="852" t="n"/>
      <c r="EZ44" s="852" t="n"/>
      <c r="FA44" s="852" t="n"/>
      <c r="FB44" s="852" t="n"/>
      <c r="FC44" s="852" t="n"/>
      <c r="FD44" s="852" t="n"/>
      <c r="FE44" s="852" t="n"/>
      <c r="FF44" s="852" t="n"/>
      <c r="FG44" s="852" t="n"/>
      <c r="FH44" s="852" t="n"/>
      <c r="FI44" s="852" t="n"/>
      <c r="FJ44" s="852" t="n"/>
      <c r="FK44" s="852" t="n"/>
      <c r="FL44" s="852" t="n"/>
      <c r="FM44" s="852" t="n"/>
      <c r="FN44" s="852" t="n"/>
      <c r="FO44" s="852" t="n"/>
      <c r="FP44" s="852" t="n"/>
      <c r="FQ44" s="852" t="n"/>
      <c r="FR44" s="852" t="n"/>
      <c r="FS44" s="852" t="n"/>
      <c r="FT44" s="852" t="n"/>
      <c r="FU44" s="852" t="n"/>
      <c r="FV44" s="852" t="n"/>
      <c r="FW44" s="852" t="n"/>
      <c r="FX44" s="852" t="n"/>
      <c r="FY44" s="852" t="n"/>
      <c r="FZ44" s="852" t="n"/>
      <c r="GA44" s="852" t="n"/>
      <c r="GB44" s="852" t="n"/>
      <c r="GC44" s="852" t="n"/>
      <c r="GD44" s="852" t="n"/>
      <c r="GE44" s="852" t="n"/>
      <c r="GF44" s="852" t="n"/>
      <c r="GG44" s="852" t="n"/>
      <c r="GH44" s="852" t="n"/>
      <c r="GI44" s="852" t="n"/>
      <c r="GJ44" s="852" t="n"/>
      <c r="GK44" s="852" t="n"/>
      <c r="GL44" s="852" t="n"/>
      <c r="GM44" s="852" t="n"/>
      <c r="GN44" s="852" t="n"/>
      <c r="GO44" s="852" t="n"/>
      <c r="GP44" s="852" t="n"/>
      <c r="GQ44" s="852" t="n"/>
      <c r="GR44" s="852" t="n"/>
      <c r="GS44" s="852" t="n"/>
      <c r="GT44" s="852" t="n"/>
      <c r="GU44" s="852" t="n"/>
      <c r="GV44" s="852" t="n"/>
      <c r="GW44" s="852" t="n"/>
      <c r="GX44" s="852" t="n"/>
      <c r="GY44" s="852" t="n"/>
      <c r="GZ44" s="852" t="n"/>
      <c r="HA44" s="852" t="n"/>
      <c r="HB44" s="852" t="n"/>
      <c r="HC44" s="852" t="n"/>
      <c r="HD44" s="852" t="n"/>
      <c r="HE44" s="852" t="n"/>
      <c r="HF44" s="852" t="n"/>
      <c r="HG44" s="852" t="n"/>
      <c r="HH44" s="852" t="n"/>
      <c r="HI44" s="852" t="n"/>
      <c r="HJ44" s="852" t="n"/>
      <c r="HK44" s="852" t="n"/>
      <c r="HL44" s="852" t="n"/>
      <c r="HM44" s="852" t="n"/>
      <c r="HN44" s="852" t="n"/>
      <c r="HO44" s="852" t="n"/>
      <c r="HP44" s="852" t="n"/>
      <c r="HQ44" s="852" t="n"/>
      <c r="HR44" s="852" t="n"/>
      <c r="HS44" s="852" t="n"/>
      <c r="HT44" s="852" t="n"/>
      <c r="HU44" s="852" t="n"/>
      <c r="HV44" s="852" t="n"/>
      <c r="HW44" s="852" t="n"/>
      <c r="HX44" s="852" t="n"/>
      <c r="HY44" s="852" t="n"/>
      <c r="HZ44" s="852" t="n"/>
      <c r="IA44" s="852" t="n"/>
      <c r="IB44" s="852" t="n"/>
      <c r="IC44" s="852" t="n"/>
      <c r="ID44" s="852" t="n"/>
      <c r="IE44" s="852" t="n"/>
      <c r="IF44" s="852" t="n"/>
      <c r="IG44" s="852" t="n"/>
    </row>
    <row r="45">
      <c r="A45" s="186" t="n"/>
      <c r="B45" s="186" t="n"/>
      <c r="C45" s="186" t="n"/>
      <c r="D45" s="186" t="n"/>
      <c r="E45" s="186" t="n"/>
      <c r="F45" s="213" t="n">
        <v>39</v>
      </c>
      <c r="G45" s="214">
        <f>$C$39</f>
        <v/>
      </c>
      <c r="H45" s="214">
        <f>(J44*$C$16)/12</f>
        <v/>
      </c>
      <c r="I45" s="214">
        <f>G45-H45</f>
        <v/>
      </c>
      <c r="J45" s="214">
        <f>J44-I45</f>
        <v/>
      </c>
      <c r="K45" s="946" t="n"/>
      <c r="L45" s="946" t="n"/>
      <c r="M45" s="946" t="n"/>
      <c r="N45" s="946" t="n"/>
      <c r="O45" s="946" t="n"/>
      <c r="P45" s="946" t="n"/>
      <c r="Q45" s="946" t="n"/>
      <c r="R45" s="946" t="n"/>
      <c r="S45" s="946" t="n"/>
      <c r="T45" s="946" t="n"/>
      <c r="U45" s="946" t="n"/>
      <c r="V45" s="946" t="n"/>
      <c r="W45" s="946" t="n"/>
      <c r="X45" s="946" t="n"/>
      <c r="Y45" s="946" t="n"/>
      <c r="Z45" s="946" t="n"/>
      <c r="AA45" s="946" t="n"/>
      <c r="AB45" s="946" t="n"/>
      <c r="AC45" s="852" t="n"/>
      <c r="AD45" s="852" t="n"/>
      <c r="AE45" s="852" t="n"/>
      <c r="AF45" s="852" t="n"/>
      <c r="AG45" s="852" t="n"/>
      <c r="AH45" s="852" t="n"/>
      <c r="AI45" s="852" t="n"/>
      <c r="AJ45" s="852" t="n"/>
      <c r="AK45" s="852" t="n"/>
      <c r="AL45" s="852" t="n"/>
      <c r="AM45" s="852" t="n"/>
      <c r="AN45" s="852" t="n"/>
      <c r="AO45" s="852" t="n"/>
      <c r="AP45" s="852" t="n"/>
      <c r="AQ45" s="852" t="n"/>
      <c r="AR45" s="852" t="n"/>
      <c r="AS45" s="852" t="n"/>
      <c r="AT45" s="852" t="n"/>
      <c r="AU45" s="852" t="n"/>
      <c r="AV45" s="852" t="n"/>
      <c r="AW45" s="852" t="n"/>
      <c r="AX45" s="852" t="n"/>
      <c r="AY45" s="852" t="n"/>
      <c r="AZ45" s="852" t="n"/>
      <c r="BA45" s="852" t="n"/>
      <c r="BB45" s="852" t="n"/>
      <c r="BC45" s="852" t="n"/>
      <c r="BD45" s="852" t="n"/>
      <c r="BE45" s="852" t="n"/>
      <c r="BF45" s="852" t="n"/>
      <c r="BG45" s="852" t="n"/>
      <c r="BH45" s="852" t="n"/>
      <c r="BI45" s="852" t="n"/>
      <c r="BJ45" s="852" t="n"/>
      <c r="BK45" s="852" t="n"/>
      <c r="BL45" s="852" t="n"/>
      <c r="BM45" s="852" t="n"/>
      <c r="BN45" s="852" t="n"/>
      <c r="BO45" s="852" t="n"/>
      <c r="BP45" s="852" t="n"/>
      <c r="BQ45" s="852" t="n"/>
      <c r="BR45" s="852" t="n"/>
      <c r="BS45" s="852" t="n"/>
      <c r="BT45" s="852" t="n"/>
      <c r="BU45" s="852" t="n"/>
      <c r="BV45" s="852" t="n"/>
      <c r="BW45" s="852" t="n"/>
      <c r="BX45" s="852" t="n"/>
      <c r="BY45" s="852" t="n"/>
      <c r="BZ45" s="852" t="n"/>
      <c r="CA45" s="852" t="n"/>
      <c r="CB45" s="852" t="n"/>
      <c r="CC45" s="852" t="n"/>
      <c r="CD45" s="852" t="n"/>
      <c r="CE45" s="852" t="n"/>
      <c r="CF45" s="852" t="n"/>
      <c r="CG45" s="852" t="n"/>
      <c r="CH45" s="852" t="n"/>
      <c r="CI45" s="852" t="n"/>
      <c r="CJ45" s="852" t="n"/>
      <c r="CK45" s="852" t="n"/>
      <c r="CL45" s="852" t="n"/>
      <c r="CM45" s="852" t="n"/>
      <c r="CN45" s="852" t="n"/>
      <c r="CO45" s="852" t="n"/>
      <c r="CP45" s="852" t="n"/>
      <c r="CQ45" s="852" t="n"/>
      <c r="CR45" s="852" t="n"/>
      <c r="CS45" s="852" t="n"/>
      <c r="CT45" s="852" t="n"/>
      <c r="CU45" s="852" t="n"/>
      <c r="CV45" s="852" t="n"/>
      <c r="CW45" s="852" t="n"/>
      <c r="CX45" s="852" t="n"/>
      <c r="CY45" s="852" t="n"/>
      <c r="CZ45" s="852" t="n"/>
      <c r="DA45" s="852" t="n"/>
      <c r="DB45" s="852" t="n"/>
      <c r="DC45" s="852" t="n"/>
      <c r="DD45" s="852" t="n"/>
      <c r="DE45" s="852" t="n"/>
      <c r="DF45" s="852" t="n"/>
      <c r="DG45" s="852" t="n"/>
      <c r="DH45" s="852" t="n"/>
      <c r="DI45" s="852" t="n"/>
      <c r="DJ45" s="852" t="n"/>
      <c r="DK45" s="852" t="n"/>
      <c r="DL45" s="852" t="n"/>
      <c r="DM45" s="852" t="n"/>
      <c r="DN45" s="852" t="n"/>
      <c r="DO45" s="852" t="n"/>
      <c r="DP45" s="852" t="n"/>
      <c r="DQ45" s="852" t="n"/>
      <c r="DR45" s="852" t="n"/>
      <c r="DS45" s="852" t="n"/>
      <c r="DT45" s="852" t="n"/>
      <c r="DU45" s="852" t="n"/>
      <c r="DV45" s="852" t="n"/>
      <c r="DW45" s="852" t="n"/>
      <c r="DX45" s="852" t="n"/>
      <c r="DY45" s="852" t="n"/>
      <c r="DZ45" s="852" t="n"/>
      <c r="EA45" s="852" t="n"/>
      <c r="EB45" s="852" t="n"/>
      <c r="EC45" s="852" t="n"/>
      <c r="ED45" s="852" t="n"/>
      <c r="EE45" s="852" t="n"/>
      <c r="EF45" s="852" t="n"/>
      <c r="EG45" s="852" t="n"/>
      <c r="EH45" s="852" t="n"/>
      <c r="EI45" s="852" t="n"/>
      <c r="EJ45" s="852" t="n"/>
      <c r="EK45" s="852" t="n"/>
      <c r="EL45" s="852" t="n"/>
      <c r="EM45" s="852" t="n"/>
      <c r="EN45" s="852" t="n"/>
      <c r="EO45" s="852" t="n"/>
      <c r="EP45" s="852" t="n"/>
      <c r="EQ45" s="852" t="n"/>
      <c r="ER45" s="852" t="n"/>
      <c r="ES45" s="852" t="n"/>
      <c r="ET45" s="852" t="n"/>
      <c r="EU45" s="852" t="n"/>
      <c r="EV45" s="852" t="n"/>
      <c r="EW45" s="852" t="n"/>
      <c r="EX45" s="852" t="n"/>
      <c r="EY45" s="852" t="n"/>
      <c r="EZ45" s="852" t="n"/>
      <c r="FA45" s="852" t="n"/>
      <c r="FB45" s="852" t="n"/>
      <c r="FC45" s="852" t="n"/>
      <c r="FD45" s="852" t="n"/>
      <c r="FE45" s="852" t="n"/>
      <c r="FF45" s="852" t="n"/>
      <c r="FG45" s="852" t="n"/>
      <c r="FH45" s="852" t="n"/>
      <c r="FI45" s="852" t="n"/>
      <c r="FJ45" s="852" t="n"/>
      <c r="FK45" s="852" t="n"/>
      <c r="FL45" s="852" t="n"/>
      <c r="FM45" s="852" t="n"/>
      <c r="FN45" s="852" t="n"/>
      <c r="FO45" s="852" t="n"/>
      <c r="FP45" s="852" t="n"/>
      <c r="FQ45" s="852" t="n"/>
      <c r="FR45" s="852" t="n"/>
      <c r="FS45" s="852" t="n"/>
      <c r="FT45" s="852" t="n"/>
      <c r="FU45" s="852" t="n"/>
      <c r="FV45" s="852" t="n"/>
      <c r="FW45" s="852" t="n"/>
      <c r="FX45" s="852" t="n"/>
      <c r="FY45" s="852" t="n"/>
      <c r="FZ45" s="852" t="n"/>
      <c r="GA45" s="852" t="n"/>
      <c r="GB45" s="852" t="n"/>
      <c r="GC45" s="852" t="n"/>
      <c r="GD45" s="852" t="n"/>
      <c r="GE45" s="852" t="n"/>
      <c r="GF45" s="852" t="n"/>
      <c r="GG45" s="852" t="n"/>
      <c r="GH45" s="852" t="n"/>
      <c r="GI45" s="852" t="n"/>
      <c r="GJ45" s="852" t="n"/>
      <c r="GK45" s="852" t="n"/>
      <c r="GL45" s="852" t="n"/>
      <c r="GM45" s="852" t="n"/>
      <c r="GN45" s="852" t="n"/>
      <c r="GO45" s="852" t="n"/>
      <c r="GP45" s="852" t="n"/>
      <c r="GQ45" s="852" t="n"/>
      <c r="GR45" s="852" t="n"/>
      <c r="GS45" s="852" t="n"/>
      <c r="GT45" s="852" t="n"/>
      <c r="GU45" s="852" t="n"/>
      <c r="GV45" s="852" t="n"/>
      <c r="GW45" s="852" t="n"/>
      <c r="GX45" s="852" t="n"/>
      <c r="GY45" s="852" t="n"/>
      <c r="GZ45" s="852" t="n"/>
      <c r="HA45" s="852" t="n"/>
      <c r="HB45" s="852" t="n"/>
      <c r="HC45" s="852" t="n"/>
      <c r="HD45" s="852" t="n"/>
      <c r="HE45" s="852" t="n"/>
      <c r="HF45" s="852" t="n"/>
      <c r="HG45" s="852" t="n"/>
      <c r="HH45" s="852" t="n"/>
      <c r="HI45" s="852" t="n"/>
      <c r="HJ45" s="852" t="n"/>
      <c r="HK45" s="852" t="n"/>
      <c r="HL45" s="852" t="n"/>
      <c r="HM45" s="852" t="n"/>
      <c r="HN45" s="852" t="n"/>
      <c r="HO45" s="852" t="n"/>
      <c r="HP45" s="852" t="n"/>
      <c r="HQ45" s="852" t="n"/>
      <c r="HR45" s="852" t="n"/>
      <c r="HS45" s="852" t="n"/>
      <c r="HT45" s="852" t="n"/>
      <c r="HU45" s="852" t="n"/>
      <c r="HV45" s="852" t="n"/>
      <c r="HW45" s="852" t="n"/>
      <c r="HX45" s="852" t="n"/>
      <c r="HY45" s="852" t="n"/>
      <c r="HZ45" s="852" t="n"/>
      <c r="IA45" s="852" t="n"/>
      <c r="IB45" s="852" t="n"/>
      <c r="IC45" s="852" t="n"/>
      <c r="ID45" s="852" t="n"/>
      <c r="IE45" s="852" t="n"/>
      <c r="IF45" s="852" t="n"/>
      <c r="IG45" s="852" t="n"/>
    </row>
    <row r="46">
      <c r="A46" s="186" t="n"/>
      <c r="B46" s="186" t="n"/>
      <c r="C46" s="186" t="n"/>
      <c r="D46" s="186" t="n"/>
      <c r="E46" s="186" t="n"/>
      <c r="F46" s="213" t="n">
        <v>40</v>
      </c>
      <c r="G46" s="214">
        <f>$C$39</f>
        <v/>
      </c>
      <c r="H46" s="214">
        <f>(J45*$C$16)/12</f>
        <v/>
      </c>
      <c r="I46" s="214">
        <f>G46-H46</f>
        <v/>
      </c>
      <c r="J46" s="214">
        <f>J45-I46</f>
        <v/>
      </c>
      <c r="K46" s="946" t="n"/>
      <c r="L46" s="946" t="n"/>
      <c r="M46" s="946" t="n"/>
      <c r="N46" s="946" t="n"/>
      <c r="O46" s="946" t="n"/>
      <c r="P46" s="946" t="n"/>
      <c r="Q46" s="946" t="n"/>
      <c r="R46" s="946" t="n"/>
      <c r="S46" s="946" t="n"/>
      <c r="T46" s="946" t="n"/>
      <c r="U46" s="946" t="n"/>
      <c r="V46" s="946" t="n"/>
      <c r="W46" s="946" t="n"/>
      <c r="X46" s="946" t="n"/>
      <c r="Y46" s="946" t="n"/>
      <c r="Z46" s="946" t="n"/>
      <c r="AA46" s="946" t="n"/>
      <c r="AB46" s="946" t="n"/>
      <c r="AC46" s="852" t="n"/>
      <c r="AD46" s="852" t="n"/>
      <c r="AE46" s="852" t="n"/>
      <c r="AF46" s="852" t="n"/>
      <c r="AG46" s="852" t="n"/>
      <c r="AH46" s="852" t="n"/>
      <c r="AI46" s="852" t="n"/>
      <c r="AJ46" s="852" t="n"/>
      <c r="AK46" s="852" t="n"/>
      <c r="AL46" s="852" t="n"/>
      <c r="AM46" s="852" t="n"/>
      <c r="AN46" s="852" t="n"/>
      <c r="AO46" s="852" t="n"/>
      <c r="AP46" s="852" t="n"/>
      <c r="AQ46" s="852" t="n"/>
      <c r="AR46" s="852" t="n"/>
      <c r="AS46" s="852" t="n"/>
      <c r="AT46" s="852" t="n"/>
      <c r="AU46" s="852" t="n"/>
      <c r="AV46" s="852" t="n"/>
      <c r="AW46" s="852" t="n"/>
      <c r="AX46" s="852" t="n"/>
      <c r="AY46" s="852" t="n"/>
      <c r="AZ46" s="852" t="n"/>
      <c r="BA46" s="852" t="n"/>
      <c r="BB46" s="852" t="n"/>
      <c r="BC46" s="852" t="n"/>
      <c r="BD46" s="852" t="n"/>
      <c r="BE46" s="852" t="n"/>
      <c r="BF46" s="852" t="n"/>
      <c r="BG46" s="852" t="n"/>
      <c r="BH46" s="852" t="n"/>
      <c r="BI46" s="852" t="n"/>
      <c r="BJ46" s="852" t="n"/>
      <c r="BK46" s="852" t="n"/>
      <c r="BL46" s="852" t="n"/>
      <c r="BM46" s="852" t="n"/>
      <c r="BN46" s="852" t="n"/>
      <c r="BO46" s="852" t="n"/>
      <c r="BP46" s="852" t="n"/>
      <c r="BQ46" s="852" t="n"/>
      <c r="BR46" s="852" t="n"/>
      <c r="BS46" s="852" t="n"/>
      <c r="BT46" s="852" t="n"/>
      <c r="BU46" s="852" t="n"/>
      <c r="BV46" s="852" t="n"/>
      <c r="BW46" s="852" t="n"/>
      <c r="BX46" s="852" t="n"/>
      <c r="BY46" s="852" t="n"/>
      <c r="BZ46" s="852" t="n"/>
      <c r="CA46" s="852" t="n"/>
      <c r="CB46" s="852" t="n"/>
      <c r="CC46" s="852" t="n"/>
      <c r="CD46" s="852" t="n"/>
      <c r="CE46" s="852" t="n"/>
      <c r="CF46" s="852" t="n"/>
      <c r="CG46" s="852" t="n"/>
      <c r="CH46" s="852" t="n"/>
      <c r="CI46" s="852" t="n"/>
      <c r="CJ46" s="852" t="n"/>
      <c r="CK46" s="852" t="n"/>
      <c r="CL46" s="852" t="n"/>
      <c r="CM46" s="852" t="n"/>
      <c r="CN46" s="852" t="n"/>
      <c r="CO46" s="852" t="n"/>
      <c r="CP46" s="852" t="n"/>
      <c r="CQ46" s="852" t="n"/>
      <c r="CR46" s="852" t="n"/>
      <c r="CS46" s="852" t="n"/>
      <c r="CT46" s="852" t="n"/>
      <c r="CU46" s="852" t="n"/>
      <c r="CV46" s="852" t="n"/>
      <c r="CW46" s="852" t="n"/>
      <c r="CX46" s="852" t="n"/>
      <c r="CY46" s="852" t="n"/>
      <c r="CZ46" s="852" t="n"/>
      <c r="DA46" s="852" t="n"/>
      <c r="DB46" s="852" t="n"/>
      <c r="DC46" s="852" t="n"/>
      <c r="DD46" s="852" t="n"/>
      <c r="DE46" s="852" t="n"/>
      <c r="DF46" s="852" t="n"/>
      <c r="DG46" s="852" t="n"/>
      <c r="DH46" s="852" t="n"/>
      <c r="DI46" s="852" t="n"/>
      <c r="DJ46" s="852" t="n"/>
      <c r="DK46" s="852" t="n"/>
      <c r="DL46" s="852" t="n"/>
      <c r="DM46" s="852" t="n"/>
      <c r="DN46" s="852" t="n"/>
      <c r="DO46" s="852" t="n"/>
      <c r="DP46" s="852" t="n"/>
      <c r="DQ46" s="852" t="n"/>
      <c r="DR46" s="852" t="n"/>
      <c r="DS46" s="852" t="n"/>
      <c r="DT46" s="852" t="n"/>
      <c r="DU46" s="852" t="n"/>
      <c r="DV46" s="852" t="n"/>
      <c r="DW46" s="852" t="n"/>
      <c r="DX46" s="852" t="n"/>
      <c r="DY46" s="852" t="n"/>
      <c r="DZ46" s="852" t="n"/>
      <c r="EA46" s="852" t="n"/>
      <c r="EB46" s="852" t="n"/>
      <c r="EC46" s="852" t="n"/>
      <c r="ED46" s="852" t="n"/>
      <c r="EE46" s="852" t="n"/>
      <c r="EF46" s="852" t="n"/>
      <c r="EG46" s="852" t="n"/>
      <c r="EH46" s="852" t="n"/>
      <c r="EI46" s="852" t="n"/>
      <c r="EJ46" s="852" t="n"/>
      <c r="EK46" s="852" t="n"/>
      <c r="EL46" s="852" t="n"/>
      <c r="EM46" s="852" t="n"/>
      <c r="EN46" s="852" t="n"/>
      <c r="EO46" s="852" t="n"/>
      <c r="EP46" s="852" t="n"/>
      <c r="EQ46" s="852" t="n"/>
      <c r="ER46" s="852" t="n"/>
      <c r="ES46" s="852" t="n"/>
      <c r="ET46" s="852" t="n"/>
      <c r="EU46" s="852" t="n"/>
      <c r="EV46" s="852" t="n"/>
      <c r="EW46" s="852" t="n"/>
      <c r="EX46" s="852" t="n"/>
      <c r="EY46" s="852" t="n"/>
      <c r="EZ46" s="852" t="n"/>
      <c r="FA46" s="852" t="n"/>
      <c r="FB46" s="852" t="n"/>
      <c r="FC46" s="852" t="n"/>
      <c r="FD46" s="852" t="n"/>
      <c r="FE46" s="852" t="n"/>
      <c r="FF46" s="852" t="n"/>
      <c r="FG46" s="852" t="n"/>
      <c r="FH46" s="852" t="n"/>
      <c r="FI46" s="852" t="n"/>
      <c r="FJ46" s="852" t="n"/>
      <c r="FK46" s="852" t="n"/>
      <c r="FL46" s="852" t="n"/>
      <c r="FM46" s="852" t="n"/>
      <c r="FN46" s="852" t="n"/>
      <c r="FO46" s="852" t="n"/>
      <c r="FP46" s="852" t="n"/>
      <c r="FQ46" s="852" t="n"/>
      <c r="FR46" s="852" t="n"/>
      <c r="FS46" s="852" t="n"/>
      <c r="FT46" s="852" t="n"/>
      <c r="FU46" s="852" t="n"/>
      <c r="FV46" s="852" t="n"/>
      <c r="FW46" s="852" t="n"/>
      <c r="FX46" s="852" t="n"/>
      <c r="FY46" s="852" t="n"/>
      <c r="FZ46" s="852" t="n"/>
      <c r="GA46" s="852" t="n"/>
      <c r="GB46" s="852" t="n"/>
      <c r="GC46" s="852" t="n"/>
      <c r="GD46" s="852" t="n"/>
      <c r="GE46" s="852" t="n"/>
      <c r="GF46" s="852" t="n"/>
      <c r="GG46" s="852" t="n"/>
      <c r="GH46" s="852" t="n"/>
      <c r="GI46" s="852" t="n"/>
      <c r="GJ46" s="852" t="n"/>
      <c r="GK46" s="852" t="n"/>
      <c r="GL46" s="852" t="n"/>
      <c r="GM46" s="852" t="n"/>
      <c r="GN46" s="852" t="n"/>
      <c r="GO46" s="852" t="n"/>
      <c r="GP46" s="852" t="n"/>
      <c r="GQ46" s="852" t="n"/>
      <c r="GR46" s="852" t="n"/>
      <c r="GS46" s="852" t="n"/>
      <c r="GT46" s="852" t="n"/>
      <c r="GU46" s="852" t="n"/>
      <c r="GV46" s="852" t="n"/>
      <c r="GW46" s="852" t="n"/>
      <c r="GX46" s="852" t="n"/>
      <c r="GY46" s="852" t="n"/>
      <c r="GZ46" s="852" t="n"/>
      <c r="HA46" s="852" t="n"/>
      <c r="HB46" s="852" t="n"/>
      <c r="HC46" s="852" t="n"/>
      <c r="HD46" s="852" t="n"/>
      <c r="HE46" s="852" t="n"/>
      <c r="HF46" s="852" t="n"/>
      <c r="HG46" s="852" t="n"/>
      <c r="HH46" s="852" t="n"/>
      <c r="HI46" s="852" t="n"/>
      <c r="HJ46" s="852" t="n"/>
      <c r="HK46" s="852" t="n"/>
      <c r="HL46" s="852" t="n"/>
      <c r="HM46" s="852" t="n"/>
      <c r="HN46" s="852" t="n"/>
      <c r="HO46" s="852" t="n"/>
      <c r="HP46" s="852" t="n"/>
      <c r="HQ46" s="852" t="n"/>
      <c r="HR46" s="852" t="n"/>
      <c r="HS46" s="852" t="n"/>
      <c r="HT46" s="852" t="n"/>
      <c r="HU46" s="852" t="n"/>
      <c r="HV46" s="852" t="n"/>
      <c r="HW46" s="852" t="n"/>
      <c r="HX46" s="852" t="n"/>
      <c r="HY46" s="852" t="n"/>
      <c r="HZ46" s="852" t="n"/>
      <c r="IA46" s="852" t="n"/>
      <c r="IB46" s="852" t="n"/>
      <c r="IC46" s="852" t="n"/>
      <c r="ID46" s="852" t="n"/>
      <c r="IE46" s="852" t="n"/>
      <c r="IF46" s="852" t="n"/>
      <c r="IG46" s="852" t="n"/>
    </row>
    <row r="47">
      <c r="A47" s="186" t="n"/>
      <c r="B47" s="186" t="n"/>
      <c r="C47" s="186" t="n"/>
      <c r="D47" s="186" t="n"/>
      <c r="E47" s="186" t="n"/>
      <c r="F47" s="213" t="n">
        <v>41</v>
      </c>
      <c r="G47" s="214">
        <f>$C$39</f>
        <v/>
      </c>
      <c r="H47" s="214">
        <f>(J46*$C$16)/12</f>
        <v/>
      </c>
      <c r="I47" s="214">
        <f>G47-H47</f>
        <v/>
      </c>
      <c r="J47" s="214">
        <f>J46-I47</f>
        <v/>
      </c>
      <c r="K47" s="946" t="n"/>
      <c r="L47" s="946" t="n"/>
      <c r="M47" s="946" t="n"/>
      <c r="N47" s="946" t="n"/>
      <c r="O47" s="946" t="n"/>
      <c r="P47" s="946" t="n"/>
      <c r="Q47" s="946" t="n"/>
      <c r="R47" s="946" t="n"/>
      <c r="S47" s="946" t="n"/>
      <c r="T47" s="946" t="n"/>
      <c r="U47" s="946" t="n"/>
      <c r="V47" s="946" t="n"/>
      <c r="W47" s="946" t="n"/>
      <c r="X47" s="946" t="n"/>
      <c r="Y47" s="946" t="n"/>
      <c r="Z47" s="946" t="n"/>
      <c r="AA47" s="946" t="n"/>
      <c r="AB47" s="946" t="n"/>
      <c r="AC47" s="852" t="n"/>
      <c r="AD47" s="852" t="n"/>
      <c r="AE47" s="852" t="n"/>
      <c r="AF47" s="852" t="n"/>
      <c r="AG47" s="852" t="n"/>
      <c r="AH47" s="852" t="n"/>
      <c r="AI47" s="852" t="n"/>
      <c r="AJ47" s="852" t="n"/>
      <c r="AK47" s="852" t="n"/>
      <c r="AL47" s="852" t="n"/>
      <c r="AM47" s="852" t="n"/>
      <c r="AN47" s="852" t="n"/>
      <c r="AO47" s="852" t="n"/>
      <c r="AP47" s="852" t="n"/>
      <c r="AQ47" s="852" t="n"/>
      <c r="AR47" s="852" t="n"/>
      <c r="AS47" s="852" t="n"/>
      <c r="AT47" s="852" t="n"/>
      <c r="AU47" s="852" t="n"/>
      <c r="AV47" s="852" t="n"/>
      <c r="AW47" s="852" t="n"/>
      <c r="AX47" s="852" t="n"/>
      <c r="AY47" s="852" t="n"/>
      <c r="AZ47" s="852" t="n"/>
      <c r="BA47" s="852" t="n"/>
      <c r="BB47" s="852" t="n"/>
      <c r="BC47" s="852" t="n"/>
      <c r="BD47" s="852" t="n"/>
      <c r="BE47" s="852" t="n"/>
      <c r="BF47" s="852" t="n"/>
      <c r="BG47" s="852" t="n"/>
      <c r="BH47" s="852" t="n"/>
      <c r="BI47" s="852" t="n"/>
      <c r="BJ47" s="852" t="n"/>
      <c r="BK47" s="852" t="n"/>
      <c r="BL47" s="852" t="n"/>
      <c r="BM47" s="852" t="n"/>
      <c r="BN47" s="852" t="n"/>
      <c r="BO47" s="852" t="n"/>
      <c r="BP47" s="852" t="n"/>
      <c r="BQ47" s="852" t="n"/>
      <c r="BR47" s="852" t="n"/>
      <c r="BS47" s="852" t="n"/>
      <c r="BT47" s="852" t="n"/>
      <c r="BU47" s="852" t="n"/>
      <c r="BV47" s="852" t="n"/>
      <c r="BW47" s="852" t="n"/>
      <c r="BX47" s="852" t="n"/>
      <c r="BY47" s="852" t="n"/>
      <c r="BZ47" s="852" t="n"/>
      <c r="CA47" s="852" t="n"/>
      <c r="CB47" s="852" t="n"/>
      <c r="CC47" s="852" t="n"/>
      <c r="CD47" s="852" t="n"/>
      <c r="CE47" s="852" t="n"/>
      <c r="CF47" s="852" t="n"/>
      <c r="CG47" s="852" t="n"/>
      <c r="CH47" s="852" t="n"/>
      <c r="CI47" s="852" t="n"/>
      <c r="CJ47" s="852" t="n"/>
      <c r="CK47" s="852" t="n"/>
      <c r="CL47" s="852" t="n"/>
      <c r="CM47" s="852" t="n"/>
      <c r="CN47" s="852" t="n"/>
      <c r="CO47" s="852" t="n"/>
      <c r="CP47" s="852" t="n"/>
      <c r="CQ47" s="852" t="n"/>
      <c r="CR47" s="852" t="n"/>
      <c r="CS47" s="852" t="n"/>
      <c r="CT47" s="852" t="n"/>
      <c r="CU47" s="852" t="n"/>
      <c r="CV47" s="852" t="n"/>
      <c r="CW47" s="852" t="n"/>
      <c r="CX47" s="852" t="n"/>
      <c r="CY47" s="852" t="n"/>
      <c r="CZ47" s="852" t="n"/>
      <c r="DA47" s="852" t="n"/>
      <c r="DB47" s="852" t="n"/>
      <c r="DC47" s="852" t="n"/>
      <c r="DD47" s="852" t="n"/>
      <c r="DE47" s="852" t="n"/>
      <c r="DF47" s="852" t="n"/>
      <c r="DG47" s="852" t="n"/>
      <c r="DH47" s="852" t="n"/>
      <c r="DI47" s="852" t="n"/>
      <c r="DJ47" s="852" t="n"/>
      <c r="DK47" s="852" t="n"/>
      <c r="DL47" s="852" t="n"/>
      <c r="DM47" s="852" t="n"/>
      <c r="DN47" s="852" t="n"/>
      <c r="DO47" s="852" t="n"/>
      <c r="DP47" s="852" t="n"/>
      <c r="DQ47" s="852" t="n"/>
      <c r="DR47" s="852" t="n"/>
      <c r="DS47" s="852" t="n"/>
      <c r="DT47" s="852" t="n"/>
      <c r="DU47" s="852" t="n"/>
      <c r="DV47" s="852" t="n"/>
      <c r="DW47" s="852" t="n"/>
      <c r="DX47" s="852" t="n"/>
      <c r="DY47" s="852" t="n"/>
      <c r="DZ47" s="852" t="n"/>
      <c r="EA47" s="852" t="n"/>
      <c r="EB47" s="852" t="n"/>
      <c r="EC47" s="852" t="n"/>
      <c r="ED47" s="852" t="n"/>
      <c r="EE47" s="852" t="n"/>
      <c r="EF47" s="852" t="n"/>
      <c r="EG47" s="852" t="n"/>
      <c r="EH47" s="852" t="n"/>
      <c r="EI47" s="852" t="n"/>
      <c r="EJ47" s="852" t="n"/>
      <c r="EK47" s="852" t="n"/>
      <c r="EL47" s="852" t="n"/>
      <c r="EM47" s="852" t="n"/>
      <c r="EN47" s="852" t="n"/>
      <c r="EO47" s="852" t="n"/>
      <c r="EP47" s="852" t="n"/>
      <c r="EQ47" s="852" t="n"/>
      <c r="ER47" s="852" t="n"/>
      <c r="ES47" s="852" t="n"/>
      <c r="ET47" s="852" t="n"/>
      <c r="EU47" s="852" t="n"/>
      <c r="EV47" s="852" t="n"/>
      <c r="EW47" s="852" t="n"/>
      <c r="EX47" s="852" t="n"/>
      <c r="EY47" s="852" t="n"/>
      <c r="EZ47" s="852" t="n"/>
      <c r="FA47" s="852" t="n"/>
      <c r="FB47" s="852" t="n"/>
      <c r="FC47" s="852" t="n"/>
      <c r="FD47" s="852" t="n"/>
      <c r="FE47" s="852" t="n"/>
      <c r="FF47" s="852" t="n"/>
      <c r="FG47" s="852" t="n"/>
      <c r="FH47" s="852" t="n"/>
      <c r="FI47" s="852" t="n"/>
      <c r="FJ47" s="852" t="n"/>
      <c r="FK47" s="852" t="n"/>
      <c r="FL47" s="852" t="n"/>
      <c r="FM47" s="852" t="n"/>
      <c r="FN47" s="852" t="n"/>
      <c r="FO47" s="852" t="n"/>
      <c r="FP47" s="852" t="n"/>
      <c r="FQ47" s="852" t="n"/>
      <c r="FR47" s="852" t="n"/>
      <c r="FS47" s="852" t="n"/>
      <c r="FT47" s="852" t="n"/>
      <c r="FU47" s="852" t="n"/>
      <c r="FV47" s="852" t="n"/>
      <c r="FW47" s="852" t="n"/>
      <c r="FX47" s="852" t="n"/>
      <c r="FY47" s="852" t="n"/>
      <c r="FZ47" s="852" t="n"/>
      <c r="GA47" s="852" t="n"/>
      <c r="GB47" s="852" t="n"/>
      <c r="GC47" s="852" t="n"/>
      <c r="GD47" s="852" t="n"/>
      <c r="GE47" s="852" t="n"/>
      <c r="GF47" s="852" t="n"/>
      <c r="GG47" s="852" t="n"/>
      <c r="GH47" s="852" t="n"/>
      <c r="GI47" s="852" t="n"/>
      <c r="GJ47" s="852" t="n"/>
      <c r="GK47" s="852" t="n"/>
      <c r="GL47" s="852" t="n"/>
      <c r="GM47" s="852" t="n"/>
      <c r="GN47" s="852" t="n"/>
      <c r="GO47" s="852" t="n"/>
      <c r="GP47" s="852" t="n"/>
      <c r="GQ47" s="852" t="n"/>
      <c r="GR47" s="852" t="n"/>
      <c r="GS47" s="852" t="n"/>
      <c r="GT47" s="852" t="n"/>
      <c r="GU47" s="852" t="n"/>
      <c r="GV47" s="852" t="n"/>
      <c r="GW47" s="852" t="n"/>
      <c r="GX47" s="852" t="n"/>
      <c r="GY47" s="852" t="n"/>
      <c r="GZ47" s="852" t="n"/>
      <c r="HA47" s="852" t="n"/>
      <c r="HB47" s="852" t="n"/>
      <c r="HC47" s="852" t="n"/>
      <c r="HD47" s="852" t="n"/>
      <c r="HE47" s="852" t="n"/>
      <c r="HF47" s="852" t="n"/>
      <c r="HG47" s="852" t="n"/>
      <c r="HH47" s="852" t="n"/>
      <c r="HI47" s="852" t="n"/>
      <c r="HJ47" s="852" t="n"/>
      <c r="HK47" s="852" t="n"/>
      <c r="HL47" s="852" t="n"/>
      <c r="HM47" s="852" t="n"/>
      <c r="HN47" s="852" t="n"/>
      <c r="HO47" s="852" t="n"/>
      <c r="HP47" s="852" t="n"/>
      <c r="HQ47" s="852" t="n"/>
      <c r="HR47" s="852" t="n"/>
      <c r="HS47" s="852" t="n"/>
      <c r="HT47" s="852" t="n"/>
      <c r="HU47" s="852" t="n"/>
      <c r="HV47" s="852" t="n"/>
      <c r="HW47" s="852" t="n"/>
      <c r="HX47" s="852" t="n"/>
      <c r="HY47" s="852" t="n"/>
      <c r="HZ47" s="852" t="n"/>
      <c r="IA47" s="852" t="n"/>
      <c r="IB47" s="852" t="n"/>
      <c r="IC47" s="852" t="n"/>
      <c r="ID47" s="852" t="n"/>
      <c r="IE47" s="852" t="n"/>
      <c r="IF47" s="852" t="n"/>
      <c r="IG47" s="852" t="n"/>
    </row>
    <row r="48">
      <c r="A48" s="186" t="n"/>
      <c r="B48" s="186" t="n"/>
      <c r="C48" s="186" t="n"/>
      <c r="D48" s="186" t="n"/>
      <c r="E48" s="186" t="n"/>
      <c r="F48" s="213" t="n">
        <v>42</v>
      </c>
      <c r="G48" s="214">
        <f>$C$39</f>
        <v/>
      </c>
      <c r="H48" s="214">
        <f>(J47*$C$16)/12</f>
        <v/>
      </c>
      <c r="I48" s="214">
        <f>G48-H48</f>
        <v/>
      </c>
      <c r="J48" s="214">
        <f>J47-I48</f>
        <v/>
      </c>
      <c r="K48" s="946" t="n"/>
      <c r="L48" s="946" t="n"/>
      <c r="M48" s="946" t="n"/>
      <c r="N48" s="946" t="n"/>
      <c r="O48" s="946" t="n"/>
      <c r="P48" s="946" t="n"/>
      <c r="Q48" s="946" t="n"/>
      <c r="R48" s="946" t="n"/>
      <c r="S48" s="946" t="n"/>
      <c r="T48" s="946" t="n"/>
      <c r="U48" s="946" t="n"/>
      <c r="V48" s="946" t="n"/>
      <c r="W48" s="946" t="n"/>
      <c r="X48" s="946" t="n"/>
      <c r="Y48" s="946" t="n"/>
      <c r="Z48" s="946" t="n"/>
      <c r="AA48" s="946" t="n"/>
      <c r="AB48" s="946" t="n"/>
      <c r="AC48" s="852" t="n"/>
      <c r="AD48" s="852" t="n"/>
      <c r="AE48" s="852" t="n"/>
      <c r="AF48" s="852" t="n"/>
      <c r="AG48" s="852" t="n"/>
      <c r="AH48" s="852" t="n"/>
      <c r="AI48" s="852" t="n"/>
      <c r="AJ48" s="852" t="n"/>
      <c r="AK48" s="852" t="n"/>
      <c r="AL48" s="852" t="n"/>
      <c r="AM48" s="852" t="n"/>
      <c r="AN48" s="852" t="n"/>
      <c r="AO48" s="852" t="n"/>
      <c r="AP48" s="852" t="n"/>
      <c r="AQ48" s="852" t="n"/>
      <c r="AR48" s="852" t="n"/>
      <c r="AS48" s="852" t="n"/>
      <c r="AT48" s="852" t="n"/>
      <c r="AU48" s="852" t="n"/>
      <c r="AV48" s="852" t="n"/>
      <c r="AW48" s="852" t="n"/>
      <c r="AX48" s="852" t="n"/>
      <c r="AY48" s="852" t="n"/>
      <c r="AZ48" s="852" t="n"/>
      <c r="BA48" s="852" t="n"/>
      <c r="BB48" s="852" t="n"/>
      <c r="BC48" s="852" t="n"/>
      <c r="BD48" s="852" t="n"/>
      <c r="BE48" s="852" t="n"/>
      <c r="BF48" s="852" t="n"/>
      <c r="BG48" s="852" t="n"/>
      <c r="BH48" s="852" t="n"/>
      <c r="BI48" s="852" t="n"/>
      <c r="BJ48" s="852" t="n"/>
      <c r="BK48" s="852" t="n"/>
      <c r="BL48" s="852" t="n"/>
      <c r="BM48" s="852" t="n"/>
      <c r="BN48" s="852" t="n"/>
      <c r="BO48" s="852" t="n"/>
      <c r="BP48" s="852" t="n"/>
      <c r="BQ48" s="852" t="n"/>
      <c r="BR48" s="852" t="n"/>
      <c r="BS48" s="852" t="n"/>
      <c r="BT48" s="852" t="n"/>
      <c r="BU48" s="852" t="n"/>
      <c r="BV48" s="852" t="n"/>
      <c r="BW48" s="852" t="n"/>
      <c r="BX48" s="852" t="n"/>
      <c r="BY48" s="852" t="n"/>
      <c r="BZ48" s="852" t="n"/>
      <c r="CA48" s="852" t="n"/>
      <c r="CB48" s="852" t="n"/>
      <c r="CC48" s="852" t="n"/>
      <c r="CD48" s="852" t="n"/>
      <c r="CE48" s="852" t="n"/>
      <c r="CF48" s="852" t="n"/>
      <c r="CG48" s="852" t="n"/>
      <c r="CH48" s="852" t="n"/>
      <c r="CI48" s="852" t="n"/>
      <c r="CJ48" s="852" t="n"/>
      <c r="CK48" s="852" t="n"/>
      <c r="CL48" s="852" t="n"/>
      <c r="CM48" s="852" t="n"/>
      <c r="CN48" s="852" t="n"/>
      <c r="CO48" s="852" t="n"/>
      <c r="CP48" s="852" t="n"/>
      <c r="CQ48" s="852" t="n"/>
      <c r="CR48" s="852" t="n"/>
      <c r="CS48" s="852" t="n"/>
      <c r="CT48" s="852" t="n"/>
      <c r="CU48" s="852" t="n"/>
      <c r="CV48" s="852" t="n"/>
      <c r="CW48" s="852" t="n"/>
      <c r="CX48" s="852" t="n"/>
      <c r="CY48" s="852" t="n"/>
      <c r="CZ48" s="852" t="n"/>
      <c r="DA48" s="852" t="n"/>
      <c r="DB48" s="852" t="n"/>
      <c r="DC48" s="852" t="n"/>
      <c r="DD48" s="852" t="n"/>
      <c r="DE48" s="852" t="n"/>
      <c r="DF48" s="852" t="n"/>
      <c r="DG48" s="852" t="n"/>
      <c r="DH48" s="852" t="n"/>
      <c r="DI48" s="852" t="n"/>
      <c r="DJ48" s="852" t="n"/>
      <c r="DK48" s="852" t="n"/>
      <c r="DL48" s="852" t="n"/>
      <c r="DM48" s="852" t="n"/>
      <c r="DN48" s="852" t="n"/>
      <c r="DO48" s="852" t="n"/>
      <c r="DP48" s="852" t="n"/>
      <c r="DQ48" s="852" t="n"/>
      <c r="DR48" s="852" t="n"/>
      <c r="DS48" s="852" t="n"/>
      <c r="DT48" s="852" t="n"/>
      <c r="DU48" s="852" t="n"/>
      <c r="DV48" s="852" t="n"/>
      <c r="DW48" s="852" t="n"/>
      <c r="DX48" s="852" t="n"/>
      <c r="DY48" s="852" t="n"/>
      <c r="DZ48" s="852" t="n"/>
      <c r="EA48" s="852" t="n"/>
      <c r="EB48" s="852" t="n"/>
      <c r="EC48" s="852" t="n"/>
      <c r="ED48" s="852" t="n"/>
      <c r="EE48" s="852" t="n"/>
      <c r="EF48" s="852" t="n"/>
      <c r="EG48" s="852" t="n"/>
      <c r="EH48" s="852" t="n"/>
      <c r="EI48" s="852" t="n"/>
      <c r="EJ48" s="852" t="n"/>
      <c r="EK48" s="852" t="n"/>
      <c r="EL48" s="852" t="n"/>
      <c r="EM48" s="852" t="n"/>
      <c r="EN48" s="852" t="n"/>
      <c r="EO48" s="852" t="n"/>
      <c r="EP48" s="852" t="n"/>
      <c r="EQ48" s="852" t="n"/>
      <c r="ER48" s="852" t="n"/>
      <c r="ES48" s="852" t="n"/>
      <c r="ET48" s="852" t="n"/>
      <c r="EU48" s="852" t="n"/>
      <c r="EV48" s="852" t="n"/>
      <c r="EW48" s="852" t="n"/>
      <c r="EX48" s="852" t="n"/>
      <c r="EY48" s="852" t="n"/>
      <c r="EZ48" s="852" t="n"/>
      <c r="FA48" s="852" t="n"/>
      <c r="FB48" s="852" t="n"/>
      <c r="FC48" s="852" t="n"/>
      <c r="FD48" s="852" t="n"/>
      <c r="FE48" s="852" t="n"/>
      <c r="FF48" s="852" t="n"/>
      <c r="FG48" s="852" t="n"/>
      <c r="FH48" s="852" t="n"/>
      <c r="FI48" s="852" t="n"/>
      <c r="FJ48" s="852" t="n"/>
      <c r="FK48" s="852" t="n"/>
      <c r="FL48" s="852" t="n"/>
      <c r="FM48" s="852" t="n"/>
      <c r="FN48" s="852" t="n"/>
      <c r="FO48" s="852" t="n"/>
      <c r="FP48" s="852" t="n"/>
      <c r="FQ48" s="852" t="n"/>
      <c r="FR48" s="852" t="n"/>
      <c r="FS48" s="852" t="n"/>
      <c r="FT48" s="852" t="n"/>
      <c r="FU48" s="852" t="n"/>
      <c r="FV48" s="852" t="n"/>
      <c r="FW48" s="852" t="n"/>
      <c r="FX48" s="852" t="n"/>
      <c r="FY48" s="852" t="n"/>
      <c r="FZ48" s="852" t="n"/>
      <c r="GA48" s="852" t="n"/>
      <c r="GB48" s="852" t="n"/>
      <c r="GC48" s="852" t="n"/>
      <c r="GD48" s="852" t="n"/>
      <c r="GE48" s="852" t="n"/>
      <c r="GF48" s="852" t="n"/>
      <c r="GG48" s="852" t="n"/>
      <c r="GH48" s="852" t="n"/>
      <c r="GI48" s="852" t="n"/>
      <c r="GJ48" s="852" t="n"/>
      <c r="GK48" s="852" t="n"/>
      <c r="GL48" s="852" t="n"/>
      <c r="GM48" s="852" t="n"/>
      <c r="GN48" s="852" t="n"/>
      <c r="GO48" s="852" t="n"/>
      <c r="GP48" s="852" t="n"/>
      <c r="GQ48" s="852" t="n"/>
      <c r="GR48" s="852" t="n"/>
      <c r="GS48" s="852" t="n"/>
      <c r="GT48" s="852" t="n"/>
      <c r="GU48" s="852" t="n"/>
      <c r="GV48" s="852" t="n"/>
      <c r="GW48" s="852" t="n"/>
      <c r="GX48" s="852" t="n"/>
      <c r="GY48" s="852" t="n"/>
      <c r="GZ48" s="852" t="n"/>
      <c r="HA48" s="852" t="n"/>
      <c r="HB48" s="852" t="n"/>
      <c r="HC48" s="852" t="n"/>
      <c r="HD48" s="852" t="n"/>
      <c r="HE48" s="852" t="n"/>
      <c r="HF48" s="852" t="n"/>
      <c r="HG48" s="852" t="n"/>
      <c r="HH48" s="852" t="n"/>
      <c r="HI48" s="852" t="n"/>
      <c r="HJ48" s="852" t="n"/>
      <c r="HK48" s="852" t="n"/>
      <c r="HL48" s="852" t="n"/>
      <c r="HM48" s="852" t="n"/>
      <c r="HN48" s="852" t="n"/>
      <c r="HO48" s="852" t="n"/>
      <c r="HP48" s="852" t="n"/>
      <c r="HQ48" s="852" t="n"/>
      <c r="HR48" s="852" t="n"/>
      <c r="HS48" s="852" t="n"/>
      <c r="HT48" s="852" t="n"/>
      <c r="HU48" s="852" t="n"/>
      <c r="HV48" s="852" t="n"/>
      <c r="HW48" s="852" t="n"/>
      <c r="HX48" s="852" t="n"/>
      <c r="HY48" s="852" t="n"/>
      <c r="HZ48" s="852" t="n"/>
      <c r="IA48" s="852" t="n"/>
      <c r="IB48" s="852" t="n"/>
      <c r="IC48" s="852" t="n"/>
      <c r="ID48" s="852" t="n"/>
      <c r="IE48" s="852" t="n"/>
      <c r="IF48" s="852" t="n"/>
      <c r="IG48" s="852" t="n"/>
    </row>
    <row r="49">
      <c r="A49" s="186" t="n"/>
      <c r="B49" s="186" t="n"/>
      <c r="C49" s="186" t="n"/>
      <c r="D49" s="186" t="n"/>
      <c r="E49" s="186" t="n"/>
      <c r="F49" s="213" t="n">
        <v>43</v>
      </c>
      <c r="G49" s="214">
        <f>$C$39</f>
        <v/>
      </c>
      <c r="H49" s="214">
        <f>(J48*$C$16)/12</f>
        <v/>
      </c>
      <c r="I49" s="214">
        <f>G49-H49</f>
        <v/>
      </c>
      <c r="J49" s="214">
        <f>J48-I49</f>
        <v/>
      </c>
      <c r="K49" s="946" t="n"/>
      <c r="L49" s="946" t="n"/>
      <c r="M49" s="946" t="n"/>
      <c r="N49" s="946" t="n"/>
      <c r="O49" s="946" t="n"/>
      <c r="P49" s="946" t="n"/>
      <c r="Q49" s="946" t="n"/>
      <c r="R49" s="946" t="n"/>
      <c r="S49" s="946" t="n"/>
      <c r="T49" s="946" t="n"/>
      <c r="U49" s="946" t="n"/>
      <c r="V49" s="946" t="n"/>
      <c r="W49" s="946" t="n"/>
      <c r="X49" s="946" t="n"/>
      <c r="Y49" s="946" t="n"/>
      <c r="Z49" s="946" t="n"/>
      <c r="AA49" s="946" t="n"/>
      <c r="AB49" s="946" t="n"/>
      <c r="AC49" s="852" t="n"/>
      <c r="AD49" s="852" t="n"/>
      <c r="AE49" s="852" t="n"/>
      <c r="AF49" s="852" t="n"/>
      <c r="AG49" s="852" t="n"/>
      <c r="AH49" s="852" t="n"/>
      <c r="AI49" s="852" t="n"/>
      <c r="AJ49" s="852" t="n"/>
      <c r="AK49" s="852" t="n"/>
      <c r="AL49" s="852" t="n"/>
      <c r="AM49" s="852" t="n"/>
      <c r="AN49" s="852" t="n"/>
      <c r="AO49" s="852" t="n"/>
      <c r="AP49" s="852" t="n"/>
      <c r="AQ49" s="852" t="n"/>
      <c r="AR49" s="852" t="n"/>
      <c r="AS49" s="852" t="n"/>
      <c r="AT49" s="852" t="n"/>
      <c r="AU49" s="852" t="n"/>
      <c r="AV49" s="852" t="n"/>
      <c r="AW49" s="852" t="n"/>
      <c r="AX49" s="852" t="n"/>
      <c r="AY49" s="852" t="n"/>
      <c r="AZ49" s="852" t="n"/>
      <c r="BA49" s="852" t="n"/>
      <c r="BB49" s="852" t="n"/>
      <c r="BC49" s="852" t="n"/>
      <c r="BD49" s="852" t="n"/>
      <c r="BE49" s="852" t="n"/>
      <c r="BF49" s="852" t="n"/>
      <c r="BG49" s="852" t="n"/>
      <c r="BH49" s="852" t="n"/>
      <c r="BI49" s="852" t="n"/>
      <c r="BJ49" s="852" t="n"/>
      <c r="BK49" s="852" t="n"/>
      <c r="BL49" s="852" t="n"/>
      <c r="BM49" s="852" t="n"/>
      <c r="BN49" s="852" t="n"/>
      <c r="BO49" s="852" t="n"/>
      <c r="BP49" s="852" t="n"/>
      <c r="BQ49" s="852" t="n"/>
      <c r="BR49" s="852" t="n"/>
      <c r="BS49" s="852" t="n"/>
      <c r="BT49" s="852" t="n"/>
      <c r="BU49" s="852" t="n"/>
      <c r="BV49" s="852" t="n"/>
      <c r="BW49" s="852" t="n"/>
      <c r="BX49" s="852" t="n"/>
      <c r="BY49" s="852" t="n"/>
      <c r="BZ49" s="852" t="n"/>
      <c r="CA49" s="852" t="n"/>
      <c r="CB49" s="852" t="n"/>
      <c r="CC49" s="852" t="n"/>
      <c r="CD49" s="852" t="n"/>
      <c r="CE49" s="852" t="n"/>
      <c r="CF49" s="852" t="n"/>
      <c r="CG49" s="852" t="n"/>
      <c r="CH49" s="852" t="n"/>
      <c r="CI49" s="852" t="n"/>
      <c r="CJ49" s="852" t="n"/>
      <c r="CK49" s="852" t="n"/>
      <c r="CL49" s="852" t="n"/>
      <c r="CM49" s="852" t="n"/>
      <c r="CN49" s="852" t="n"/>
      <c r="CO49" s="852" t="n"/>
      <c r="CP49" s="852" t="n"/>
      <c r="CQ49" s="852" t="n"/>
      <c r="CR49" s="852" t="n"/>
      <c r="CS49" s="852" t="n"/>
      <c r="CT49" s="852" t="n"/>
      <c r="CU49" s="852" t="n"/>
      <c r="CV49" s="852" t="n"/>
      <c r="CW49" s="852" t="n"/>
      <c r="CX49" s="852" t="n"/>
      <c r="CY49" s="852" t="n"/>
      <c r="CZ49" s="852" t="n"/>
      <c r="DA49" s="852" t="n"/>
      <c r="DB49" s="852" t="n"/>
      <c r="DC49" s="852" t="n"/>
      <c r="DD49" s="852" t="n"/>
      <c r="DE49" s="852" t="n"/>
      <c r="DF49" s="852" t="n"/>
      <c r="DG49" s="852" t="n"/>
      <c r="DH49" s="852" t="n"/>
      <c r="DI49" s="852" t="n"/>
      <c r="DJ49" s="852" t="n"/>
      <c r="DK49" s="852" t="n"/>
      <c r="DL49" s="852" t="n"/>
      <c r="DM49" s="852" t="n"/>
      <c r="DN49" s="852" t="n"/>
      <c r="DO49" s="852" t="n"/>
      <c r="DP49" s="852" t="n"/>
      <c r="DQ49" s="852" t="n"/>
      <c r="DR49" s="852" t="n"/>
      <c r="DS49" s="852" t="n"/>
      <c r="DT49" s="852" t="n"/>
      <c r="DU49" s="852" t="n"/>
      <c r="DV49" s="852" t="n"/>
      <c r="DW49" s="852" t="n"/>
      <c r="DX49" s="852" t="n"/>
      <c r="DY49" s="852" t="n"/>
      <c r="DZ49" s="852" t="n"/>
      <c r="EA49" s="852" t="n"/>
      <c r="EB49" s="852" t="n"/>
      <c r="EC49" s="852" t="n"/>
      <c r="ED49" s="852" t="n"/>
      <c r="EE49" s="852" t="n"/>
      <c r="EF49" s="852" t="n"/>
      <c r="EG49" s="852" t="n"/>
      <c r="EH49" s="852" t="n"/>
      <c r="EI49" s="852" t="n"/>
      <c r="EJ49" s="852" t="n"/>
      <c r="EK49" s="852" t="n"/>
      <c r="EL49" s="852" t="n"/>
      <c r="EM49" s="852" t="n"/>
      <c r="EN49" s="852" t="n"/>
      <c r="EO49" s="852" t="n"/>
      <c r="EP49" s="852" t="n"/>
      <c r="EQ49" s="852" t="n"/>
      <c r="ER49" s="852" t="n"/>
      <c r="ES49" s="852" t="n"/>
      <c r="ET49" s="852" t="n"/>
      <c r="EU49" s="852" t="n"/>
      <c r="EV49" s="852" t="n"/>
      <c r="EW49" s="852" t="n"/>
      <c r="EX49" s="852" t="n"/>
      <c r="EY49" s="852" t="n"/>
      <c r="EZ49" s="852" t="n"/>
      <c r="FA49" s="852" t="n"/>
      <c r="FB49" s="852" t="n"/>
      <c r="FC49" s="852" t="n"/>
      <c r="FD49" s="852" t="n"/>
      <c r="FE49" s="852" t="n"/>
      <c r="FF49" s="852" t="n"/>
      <c r="FG49" s="852" t="n"/>
      <c r="FH49" s="852" t="n"/>
      <c r="FI49" s="852" t="n"/>
      <c r="FJ49" s="852" t="n"/>
      <c r="FK49" s="852" t="n"/>
      <c r="FL49" s="852" t="n"/>
      <c r="FM49" s="852" t="n"/>
      <c r="FN49" s="852" t="n"/>
      <c r="FO49" s="852" t="n"/>
      <c r="FP49" s="852" t="n"/>
      <c r="FQ49" s="852" t="n"/>
      <c r="FR49" s="852" t="n"/>
      <c r="FS49" s="852" t="n"/>
      <c r="FT49" s="852" t="n"/>
      <c r="FU49" s="852" t="n"/>
      <c r="FV49" s="852" t="n"/>
      <c r="FW49" s="852" t="n"/>
      <c r="FX49" s="852" t="n"/>
      <c r="FY49" s="852" t="n"/>
      <c r="FZ49" s="852" t="n"/>
      <c r="GA49" s="852" t="n"/>
      <c r="GB49" s="852" t="n"/>
      <c r="GC49" s="852" t="n"/>
      <c r="GD49" s="852" t="n"/>
      <c r="GE49" s="852" t="n"/>
      <c r="GF49" s="852" t="n"/>
      <c r="GG49" s="852" t="n"/>
      <c r="GH49" s="852" t="n"/>
      <c r="GI49" s="852" t="n"/>
      <c r="GJ49" s="852" t="n"/>
      <c r="GK49" s="852" t="n"/>
      <c r="GL49" s="852" t="n"/>
      <c r="GM49" s="852" t="n"/>
      <c r="GN49" s="852" t="n"/>
      <c r="GO49" s="852" t="n"/>
      <c r="GP49" s="852" t="n"/>
      <c r="GQ49" s="852" t="n"/>
      <c r="GR49" s="852" t="n"/>
      <c r="GS49" s="852" t="n"/>
      <c r="GT49" s="852" t="n"/>
      <c r="GU49" s="852" t="n"/>
      <c r="GV49" s="852" t="n"/>
      <c r="GW49" s="852" t="n"/>
      <c r="GX49" s="852" t="n"/>
      <c r="GY49" s="852" t="n"/>
      <c r="GZ49" s="852" t="n"/>
      <c r="HA49" s="852" t="n"/>
      <c r="HB49" s="852" t="n"/>
      <c r="HC49" s="852" t="n"/>
      <c r="HD49" s="852" t="n"/>
      <c r="HE49" s="852" t="n"/>
      <c r="HF49" s="852" t="n"/>
      <c r="HG49" s="852" t="n"/>
      <c r="HH49" s="852" t="n"/>
      <c r="HI49" s="852" t="n"/>
      <c r="HJ49" s="852" t="n"/>
      <c r="HK49" s="852" t="n"/>
      <c r="HL49" s="852" t="n"/>
      <c r="HM49" s="852" t="n"/>
      <c r="HN49" s="852" t="n"/>
      <c r="HO49" s="852" t="n"/>
      <c r="HP49" s="852" t="n"/>
      <c r="HQ49" s="852" t="n"/>
      <c r="HR49" s="852" t="n"/>
      <c r="HS49" s="852" t="n"/>
      <c r="HT49" s="852" t="n"/>
      <c r="HU49" s="852" t="n"/>
      <c r="HV49" s="852" t="n"/>
      <c r="HW49" s="852" t="n"/>
      <c r="HX49" s="852" t="n"/>
      <c r="HY49" s="852" t="n"/>
      <c r="HZ49" s="852" t="n"/>
      <c r="IA49" s="852" t="n"/>
      <c r="IB49" s="852" t="n"/>
      <c r="IC49" s="852" t="n"/>
      <c r="ID49" s="852" t="n"/>
      <c r="IE49" s="852" t="n"/>
      <c r="IF49" s="852" t="n"/>
      <c r="IG49" s="852" t="n"/>
    </row>
    <row r="50">
      <c r="A50" s="186" t="n"/>
      <c r="B50" s="186" t="n"/>
      <c r="C50" s="186" t="n"/>
      <c r="D50" s="186" t="n"/>
      <c r="E50" s="186" t="n"/>
      <c r="F50" s="213" t="n">
        <v>44</v>
      </c>
      <c r="G50" s="214">
        <f>$C$39</f>
        <v/>
      </c>
      <c r="H50" s="214">
        <f>(J49*$C$16)/12</f>
        <v/>
      </c>
      <c r="I50" s="214">
        <f>G50-H50</f>
        <v/>
      </c>
      <c r="J50" s="214">
        <f>J49-I50</f>
        <v/>
      </c>
      <c r="K50" s="946" t="n"/>
      <c r="L50" s="946" t="n"/>
      <c r="M50" s="946" t="n"/>
      <c r="N50" s="946" t="n"/>
      <c r="O50" s="946" t="n"/>
      <c r="P50" s="946" t="n"/>
      <c r="Q50" s="946" t="n"/>
      <c r="R50" s="946" t="n"/>
      <c r="S50" s="946" t="n"/>
      <c r="T50" s="946" t="n"/>
      <c r="U50" s="946" t="n"/>
      <c r="V50" s="946" t="n"/>
      <c r="W50" s="946" t="n"/>
      <c r="X50" s="946" t="n"/>
      <c r="Y50" s="946" t="n"/>
      <c r="Z50" s="946" t="n"/>
      <c r="AA50" s="946" t="n"/>
      <c r="AB50" s="946" t="n"/>
      <c r="AC50" s="852" t="n"/>
      <c r="AD50" s="852" t="n"/>
      <c r="AE50" s="852" t="n"/>
      <c r="AF50" s="852" t="n"/>
      <c r="AG50" s="852" t="n"/>
      <c r="AH50" s="852" t="n"/>
      <c r="AI50" s="852" t="n"/>
      <c r="AJ50" s="852" t="n"/>
      <c r="AK50" s="852" t="n"/>
      <c r="AL50" s="852" t="n"/>
      <c r="AM50" s="852" t="n"/>
      <c r="AN50" s="852" t="n"/>
      <c r="AO50" s="852" t="n"/>
      <c r="AP50" s="852" t="n"/>
      <c r="AQ50" s="852" t="n"/>
      <c r="AR50" s="852" t="n"/>
      <c r="AS50" s="852" t="n"/>
      <c r="AT50" s="852" t="n"/>
      <c r="AU50" s="852" t="n"/>
      <c r="AV50" s="852" t="n"/>
      <c r="AW50" s="852" t="n"/>
      <c r="AX50" s="852" t="n"/>
      <c r="AY50" s="852" t="n"/>
      <c r="AZ50" s="852" t="n"/>
      <c r="BA50" s="852" t="n"/>
      <c r="BB50" s="852" t="n"/>
      <c r="BC50" s="852" t="n"/>
      <c r="BD50" s="852" t="n"/>
      <c r="BE50" s="852" t="n"/>
      <c r="BF50" s="852" t="n"/>
      <c r="BG50" s="852" t="n"/>
      <c r="BH50" s="852" t="n"/>
      <c r="BI50" s="852" t="n"/>
      <c r="BJ50" s="852" t="n"/>
      <c r="BK50" s="852" t="n"/>
      <c r="BL50" s="852" t="n"/>
      <c r="BM50" s="852" t="n"/>
      <c r="BN50" s="852" t="n"/>
      <c r="BO50" s="852" t="n"/>
      <c r="BP50" s="852" t="n"/>
      <c r="BQ50" s="852" t="n"/>
      <c r="BR50" s="852" t="n"/>
      <c r="BS50" s="852" t="n"/>
      <c r="BT50" s="852" t="n"/>
      <c r="BU50" s="852" t="n"/>
      <c r="BV50" s="852" t="n"/>
      <c r="BW50" s="852" t="n"/>
      <c r="BX50" s="852" t="n"/>
      <c r="BY50" s="852" t="n"/>
      <c r="BZ50" s="852" t="n"/>
      <c r="CA50" s="852" t="n"/>
      <c r="CB50" s="852" t="n"/>
      <c r="CC50" s="852" t="n"/>
      <c r="CD50" s="852" t="n"/>
      <c r="CE50" s="852" t="n"/>
      <c r="CF50" s="852" t="n"/>
      <c r="CG50" s="852" t="n"/>
      <c r="CH50" s="852" t="n"/>
      <c r="CI50" s="852" t="n"/>
      <c r="CJ50" s="852" t="n"/>
      <c r="CK50" s="852" t="n"/>
      <c r="CL50" s="852" t="n"/>
      <c r="CM50" s="852" t="n"/>
      <c r="CN50" s="852" t="n"/>
      <c r="CO50" s="852" t="n"/>
      <c r="CP50" s="852" t="n"/>
      <c r="CQ50" s="852" t="n"/>
      <c r="CR50" s="852" t="n"/>
      <c r="CS50" s="852" t="n"/>
      <c r="CT50" s="852" t="n"/>
      <c r="CU50" s="852" t="n"/>
      <c r="CV50" s="852" t="n"/>
      <c r="CW50" s="852" t="n"/>
      <c r="CX50" s="852" t="n"/>
      <c r="CY50" s="852" t="n"/>
      <c r="CZ50" s="852" t="n"/>
      <c r="DA50" s="852" t="n"/>
      <c r="DB50" s="852" t="n"/>
      <c r="DC50" s="852" t="n"/>
      <c r="DD50" s="852" t="n"/>
      <c r="DE50" s="852" t="n"/>
      <c r="DF50" s="852" t="n"/>
      <c r="DG50" s="852" t="n"/>
      <c r="DH50" s="852" t="n"/>
      <c r="DI50" s="852" t="n"/>
      <c r="DJ50" s="852" t="n"/>
      <c r="DK50" s="852" t="n"/>
      <c r="DL50" s="852" t="n"/>
      <c r="DM50" s="852" t="n"/>
      <c r="DN50" s="852" t="n"/>
      <c r="DO50" s="852" t="n"/>
      <c r="DP50" s="852" t="n"/>
      <c r="DQ50" s="852" t="n"/>
      <c r="DR50" s="852" t="n"/>
      <c r="DS50" s="852" t="n"/>
      <c r="DT50" s="852" t="n"/>
      <c r="DU50" s="852" t="n"/>
      <c r="DV50" s="852" t="n"/>
      <c r="DW50" s="852" t="n"/>
      <c r="DX50" s="852" t="n"/>
      <c r="DY50" s="852" t="n"/>
      <c r="DZ50" s="852" t="n"/>
      <c r="EA50" s="852" t="n"/>
      <c r="EB50" s="852" t="n"/>
      <c r="EC50" s="852" t="n"/>
      <c r="ED50" s="852" t="n"/>
      <c r="EE50" s="852" t="n"/>
      <c r="EF50" s="852" t="n"/>
      <c r="EG50" s="852" t="n"/>
      <c r="EH50" s="852" t="n"/>
      <c r="EI50" s="852" t="n"/>
      <c r="EJ50" s="852" t="n"/>
      <c r="EK50" s="852" t="n"/>
      <c r="EL50" s="852" t="n"/>
      <c r="EM50" s="852" t="n"/>
      <c r="EN50" s="852" t="n"/>
      <c r="EO50" s="852" t="n"/>
      <c r="EP50" s="852" t="n"/>
      <c r="EQ50" s="852" t="n"/>
      <c r="ER50" s="852" t="n"/>
      <c r="ES50" s="852" t="n"/>
      <c r="ET50" s="852" t="n"/>
      <c r="EU50" s="852" t="n"/>
      <c r="EV50" s="852" t="n"/>
      <c r="EW50" s="852" t="n"/>
      <c r="EX50" s="852" t="n"/>
      <c r="EY50" s="852" t="n"/>
      <c r="EZ50" s="852" t="n"/>
      <c r="FA50" s="852" t="n"/>
      <c r="FB50" s="852" t="n"/>
      <c r="FC50" s="852" t="n"/>
      <c r="FD50" s="852" t="n"/>
      <c r="FE50" s="852" t="n"/>
      <c r="FF50" s="852" t="n"/>
      <c r="FG50" s="852" t="n"/>
      <c r="FH50" s="852" t="n"/>
      <c r="FI50" s="852" t="n"/>
      <c r="FJ50" s="852" t="n"/>
      <c r="FK50" s="852" t="n"/>
      <c r="FL50" s="852" t="n"/>
      <c r="FM50" s="852" t="n"/>
      <c r="FN50" s="852" t="n"/>
      <c r="FO50" s="852" t="n"/>
      <c r="FP50" s="852" t="n"/>
      <c r="FQ50" s="852" t="n"/>
      <c r="FR50" s="852" t="n"/>
      <c r="FS50" s="852" t="n"/>
      <c r="FT50" s="852" t="n"/>
      <c r="FU50" s="852" t="n"/>
      <c r="FV50" s="852" t="n"/>
      <c r="FW50" s="852" t="n"/>
      <c r="FX50" s="852" t="n"/>
      <c r="FY50" s="852" t="n"/>
      <c r="FZ50" s="852" t="n"/>
      <c r="GA50" s="852" t="n"/>
      <c r="GB50" s="852" t="n"/>
      <c r="GC50" s="852" t="n"/>
      <c r="GD50" s="852" t="n"/>
      <c r="GE50" s="852" t="n"/>
      <c r="GF50" s="852" t="n"/>
      <c r="GG50" s="852" t="n"/>
      <c r="GH50" s="852" t="n"/>
      <c r="GI50" s="852" t="n"/>
      <c r="GJ50" s="852" t="n"/>
      <c r="GK50" s="852" t="n"/>
      <c r="GL50" s="852" t="n"/>
      <c r="GM50" s="852" t="n"/>
      <c r="GN50" s="852" t="n"/>
      <c r="GO50" s="852" t="n"/>
      <c r="GP50" s="852" t="n"/>
      <c r="GQ50" s="852" t="n"/>
      <c r="GR50" s="852" t="n"/>
      <c r="GS50" s="852" t="n"/>
      <c r="GT50" s="852" t="n"/>
      <c r="GU50" s="852" t="n"/>
      <c r="GV50" s="852" t="n"/>
      <c r="GW50" s="852" t="n"/>
      <c r="GX50" s="852" t="n"/>
      <c r="GY50" s="852" t="n"/>
      <c r="GZ50" s="852" t="n"/>
      <c r="HA50" s="852" t="n"/>
      <c r="HB50" s="852" t="n"/>
      <c r="HC50" s="852" t="n"/>
      <c r="HD50" s="852" t="n"/>
      <c r="HE50" s="852" t="n"/>
      <c r="HF50" s="852" t="n"/>
      <c r="HG50" s="852" t="n"/>
      <c r="HH50" s="852" t="n"/>
      <c r="HI50" s="852" t="n"/>
      <c r="HJ50" s="852" t="n"/>
      <c r="HK50" s="852" t="n"/>
      <c r="HL50" s="852" t="n"/>
      <c r="HM50" s="852" t="n"/>
      <c r="HN50" s="852" t="n"/>
      <c r="HO50" s="852" t="n"/>
      <c r="HP50" s="852" t="n"/>
      <c r="HQ50" s="852" t="n"/>
      <c r="HR50" s="852" t="n"/>
      <c r="HS50" s="852" t="n"/>
      <c r="HT50" s="852" t="n"/>
      <c r="HU50" s="852" t="n"/>
      <c r="HV50" s="852" t="n"/>
      <c r="HW50" s="852" t="n"/>
      <c r="HX50" s="852" t="n"/>
      <c r="HY50" s="852" t="n"/>
      <c r="HZ50" s="852" t="n"/>
      <c r="IA50" s="852" t="n"/>
      <c r="IB50" s="852" t="n"/>
      <c r="IC50" s="852" t="n"/>
      <c r="ID50" s="852" t="n"/>
      <c r="IE50" s="852" t="n"/>
      <c r="IF50" s="852" t="n"/>
      <c r="IG50" s="852" t="n"/>
    </row>
    <row r="51">
      <c r="A51" s="186" t="n"/>
      <c r="B51" s="186" t="n"/>
      <c r="C51" s="186" t="n"/>
      <c r="D51" s="186" t="n"/>
      <c r="E51" s="186" t="n"/>
      <c r="F51" s="213" t="n">
        <v>45</v>
      </c>
      <c r="G51" s="214">
        <f>$C$39</f>
        <v/>
      </c>
      <c r="H51" s="214">
        <f>(J50*$C$16)/12</f>
        <v/>
      </c>
      <c r="I51" s="214">
        <f>G51-H51</f>
        <v/>
      </c>
      <c r="J51" s="214">
        <f>J50-I51</f>
        <v/>
      </c>
      <c r="K51" s="946" t="n"/>
      <c r="L51" s="946" t="n"/>
      <c r="M51" s="946" t="n"/>
      <c r="N51" s="946" t="n"/>
      <c r="O51" s="946" t="n"/>
      <c r="P51" s="946" t="n"/>
      <c r="Q51" s="946" t="n"/>
      <c r="R51" s="946" t="n"/>
      <c r="S51" s="946" t="n"/>
      <c r="T51" s="946" t="n"/>
      <c r="U51" s="946" t="n"/>
      <c r="V51" s="946" t="n"/>
      <c r="W51" s="946" t="n"/>
      <c r="X51" s="946" t="n"/>
      <c r="Y51" s="946" t="n"/>
      <c r="Z51" s="946" t="n"/>
      <c r="AA51" s="946" t="n"/>
      <c r="AB51" s="946" t="n"/>
      <c r="AC51" s="852" t="n"/>
      <c r="AD51" s="852" t="n"/>
      <c r="AE51" s="852" t="n"/>
      <c r="AF51" s="852" t="n"/>
      <c r="AG51" s="852" t="n"/>
      <c r="AH51" s="852" t="n"/>
      <c r="AI51" s="852" t="n"/>
      <c r="AJ51" s="852" t="n"/>
      <c r="AK51" s="852" t="n"/>
      <c r="AL51" s="852" t="n"/>
      <c r="AM51" s="852" t="n"/>
      <c r="AN51" s="852" t="n"/>
      <c r="AO51" s="852" t="n"/>
      <c r="AP51" s="852" t="n"/>
      <c r="AQ51" s="852" t="n"/>
      <c r="AR51" s="852" t="n"/>
      <c r="AS51" s="852" t="n"/>
      <c r="AT51" s="852" t="n"/>
      <c r="AU51" s="852" t="n"/>
      <c r="AV51" s="852" t="n"/>
      <c r="AW51" s="852" t="n"/>
      <c r="AX51" s="852" t="n"/>
      <c r="AY51" s="852" t="n"/>
      <c r="AZ51" s="852" t="n"/>
      <c r="BA51" s="852" t="n"/>
      <c r="BB51" s="852" t="n"/>
      <c r="BC51" s="852" t="n"/>
      <c r="BD51" s="852" t="n"/>
      <c r="BE51" s="852" t="n"/>
      <c r="BF51" s="852" t="n"/>
      <c r="BG51" s="852" t="n"/>
      <c r="BH51" s="852" t="n"/>
      <c r="BI51" s="852" t="n"/>
      <c r="BJ51" s="852" t="n"/>
      <c r="BK51" s="852" t="n"/>
      <c r="BL51" s="852" t="n"/>
      <c r="BM51" s="852" t="n"/>
      <c r="BN51" s="852" t="n"/>
      <c r="BO51" s="852" t="n"/>
      <c r="BP51" s="852" t="n"/>
      <c r="BQ51" s="852" t="n"/>
      <c r="BR51" s="852" t="n"/>
      <c r="BS51" s="852" t="n"/>
      <c r="BT51" s="852" t="n"/>
      <c r="BU51" s="852" t="n"/>
      <c r="BV51" s="852" t="n"/>
      <c r="BW51" s="852" t="n"/>
      <c r="BX51" s="852" t="n"/>
      <c r="BY51" s="852" t="n"/>
      <c r="BZ51" s="852" t="n"/>
      <c r="CA51" s="852" t="n"/>
      <c r="CB51" s="852" t="n"/>
      <c r="CC51" s="852" t="n"/>
      <c r="CD51" s="852" t="n"/>
      <c r="CE51" s="852" t="n"/>
      <c r="CF51" s="852" t="n"/>
      <c r="CG51" s="852" t="n"/>
      <c r="CH51" s="852" t="n"/>
      <c r="CI51" s="852" t="n"/>
      <c r="CJ51" s="852" t="n"/>
      <c r="CK51" s="852" t="n"/>
      <c r="CL51" s="852" t="n"/>
      <c r="CM51" s="852" t="n"/>
      <c r="CN51" s="852" t="n"/>
      <c r="CO51" s="852" t="n"/>
      <c r="CP51" s="852" t="n"/>
      <c r="CQ51" s="852" t="n"/>
      <c r="CR51" s="852" t="n"/>
      <c r="CS51" s="852" t="n"/>
      <c r="CT51" s="852" t="n"/>
      <c r="CU51" s="852" t="n"/>
      <c r="CV51" s="852" t="n"/>
      <c r="CW51" s="852" t="n"/>
      <c r="CX51" s="852" t="n"/>
      <c r="CY51" s="852" t="n"/>
      <c r="CZ51" s="852" t="n"/>
      <c r="DA51" s="852" t="n"/>
      <c r="DB51" s="852" t="n"/>
      <c r="DC51" s="852" t="n"/>
      <c r="DD51" s="852" t="n"/>
      <c r="DE51" s="852" t="n"/>
      <c r="DF51" s="852" t="n"/>
      <c r="DG51" s="852" t="n"/>
      <c r="DH51" s="852" t="n"/>
      <c r="DI51" s="852" t="n"/>
      <c r="DJ51" s="852" t="n"/>
      <c r="DK51" s="852" t="n"/>
      <c r="DL51" s="852" t="n"/>
      <c r="DM51" s="852" t="n"/>
      <c r="DN51" s="852" t="n"/>
      <c r="DO51" s="852" t="n"/>
      <c r="DP51" s="852" t="n"/>
      <c r="DQ51" s="852" t="n"/>
      <c r="DR51" s="852" t="n"/>
      <c r="DS51" s="852" t="n"/>
      <c r="DT51" s="852" t="n"/>
      <c r="DU51" s="852" t="n"/>
      <c r="DV51" s="852" t="n"/>
      <c r="DW51" s="852" t="n"/>
      <c r="DX51" s="852" t="n"/>
      <c r="DY51" s="852" t="n"/>
      <c r="DZ51" s="852" t="n"/>
      <c r="EA51" s="852" t="n"/>
      <c r="EB51" s="852" t="n"/>
      <c r="EC51" s="852" t="n"/>
      <c r="ED51" s="852" t="n"/>
      <c r="EE51" s="852" t="n"/>
      <c r="EF51" s="852" t="n"/>
      <c r="EG51" s="852" t="n"/>
      <c r="EH51" s="852" t="n"/>
      <c r="EI51" s="852" t="n"/>
      <c r="EJ51" s="852" t="n"/>
      <c r="EK51" s="852" t="n"/>
      <c r="EL51" s="852" t="n"/>
      <c r="EM51" s="852" t="n"/>
      <c r="EN51" s="852" t="n"/>
      <c r="EO51" s="852" t="n"/>
      <c r="EP51" s="852" t="n"/>
      <c r="EQ51" s="852" t="n"/>
      <c r="ER51" s="852" t="n"/>
      <c r="ES51" s="852" t="n"/>
      <c r="ET51" s="852" t="n"/>
      <c r="EU51" s="852" t="n"/>
      <c r="EV51" s="852" t="n"/>
      <c r="EW51" s="852" t="n"/>
      <c r="EX51" s="852" t="n"/>
      <c r="EY51" s="852" t="n"/>
      <c r="EZ51" s="852" t="n"/>
      <c r="FA51" s="852" t="n"/>
      <c r="FB51" s="852" t="n"/>
      <c r="FC51" s="852" t="n"/>
      <c r="FD51" s="852" t="n"/>
      <c r="FE51" s="852" t="n"/>
      <c r="FF51" s="852" t="n"/>
      <c r="FG51" s="852" t="n"/>
      <c r="FH51" s="852" t="n"/>
      <c r="FI51" s="852" t="n"/>
      <c r="FJ51" s="852" t="n"/>
      <c r="FK51" s="852" t="n"/>
      <c r="FL51" s="852" t="n"/>
      <c r="FM51" s="852" t="n"/>
      <c r="FN51" s="852" t="n"/>
      <c r="FO51" s="852" t="n"/>
      <c r="FP51" s="852" t="n"/>
      <c r="FQ51" s="852" t="n"/>
      <c r="FR51" s="852" t="n"/>
      <c r="FS51" s="852" t="n"/>
      <c r="FT51" s="852" t="n"/>
      <c r="FU51" s="852" t="n"/>
      <c r="FV51" s="852" t="n"/>
      <c r="FW51" s="852" t="n"/>
      <c r="FX51" s="852" t="n"/>
      <c r="FY51" s="852" t="n"/>
      <c r="FZ51" s="852" t="n"/>
      <c r="GA51" s="852" t="n"/>
      <c r="GB51" s="852" t="n"/>
      <c r="GC51" s="852" t="n"/>
      <c r="GD51" s="852" t="n"/>
      <c r="GE51" s="852" t="n"/>
      <c r="GF51" s="852" t="n"/>
      <c r="GG51" s="852" t="n"/>
      <c r="GH51" s="852" t="n"/>
      <c r="GI51" s="852" t="n"/>
      <c r="GJ51" s="852" t="n"/>
      <c r="GK51" s="852" t="n"/>
      <c r="GL51" s="852" t="n"/>
      <c r="GM51" s="852" t="n"/>
      <c r="GN51" s="852" t="n"/>
      <c r="GO51" s="852" t="n"/>
      <c r="GP51" s="852" t="n"/>
      <c r="GQ51" s="852" t="n"/>
      <c r="GR51" s="852" t="n"/>
      <c r="GS51" s="852" t="n"/>
      <c r="GT51" s="852" t="n"/>
      <c r="GU51" s="852" t="n"/>
      <c r="GV51" s="852" t="n"/>
      <c r="GW51" s="852" t="n"/>
      <c r="GX51" s="852" t="n"/>
      <c r="GY51" s="852" t="n"/>
      <c r="GZ51" s="852" t="n"/>
      <c r="HA51" s="852" t="n"/>
      <c r="HB51" s="852" t="n"/>
      <c r="HC51" s="852" t="n"/>
      <c r="HD51" s="852" t="n"/>
      <c r="HE51" s="852" t="n"/>
      <c r="HF51" s="852" t="n"/>
      <c r="HG51" s="852" t="n"/>
      <c r="HH51" s="852" t="n"/>
      <c r="HI51" s="852" t="n"/>
      <c r="HJ51" s="852" t="n"/>
      <c r="HK51" s="852" t="n"/>
      <c r="HL51" s="852" t="n"/>
      <c r="HM51" s="852" t="n"/>
      <c r="HN51" s="852" t="n"/>
      <c r="HO51" s="852" t="n"/>
      <c r="HP51" s="852" t="n"/>
      <c r="HQ51" s="852" t="n"/>
      <c r="HR51" s="852" t="n"/>
      <c r="HS51" s="852" t="n"/>
      <c r="HT51" s="852" t="n"/>
      <c r="HU51" s="852" t="n"/>
      <c r="HV51" s="852" t="n"/>
      <c r="HW51" s="852" t="n"/>
      <c r="HX51" s="852" t="n"/>
      <c r="HY51" s="852" t="n"/>
      <c r="HZ51" s="852" t="n"/>
      <c r="IA51" s="852" t="n"/>
      <c r="IB51" s="852" t="n"/>
      <c r="IC51" s="852" t="n"/>
      <c r="ID51" s="852" t="n"/>
      <c r="IE51" s="852" t="n"/>
      <c r="IF51" s="852" t="n"/>
      <c r="IG51" s="852" t="n"/>
    </row>
    <row r="52">
      <c r="A52" s="186" t="n"/>
      <c r="B52" s="186" t="n"/>
      <c r="C52" s="186" t="n"/>
      <c r="D52" s="186" t="n"/>
      <c r="E52" s="186" t="n"/>
      <c r="F52" s="213" t="n">
        <v>46</v>
      </c>
      <c r="G52" s="214">
        <f>$C$39</f>
        <v/>
      </c>
      <c r="H52" s="214">
        <f>(J51*$C$16)/12</f>
        <v/>
      </c>
      <c r="I52" s="214">
        <f>G52-H52</f>
        <v/>
      </c>
      <c r="J52" s="214">
        <f>J51-I52</f>
        <v/>
      </c>
      <c r="K52" s="946" t="n"/>
      <c r="L52" s="946" t="n"/>
      <c r="M52" s="946" t="n"/>
      <c r="N52" s="946" t="n"/>
      <c r="O52" s="946" t="n"/>
      <c r="P52" s="946" t="n"/>
      <c r="Q52" s="946" t="n"/>
      <c r="R52" s="946" t="n"/>
      <c r="S52" s="946" t="n"/>
      <c r="T52" s="946" t="n"/>
      <c r="U52" s="946" t="n"/>
      <c r="V52" s="946" t="n"/>
      <c r="W52" s="946" t="n"/>
      <c r="X52" s="946" t="n"/>
      <c r="Y52" s="946" t="n"/>
      <c r="Z52" s="946" t="n"/>
      <c r="AA52" s="946" t="n"/>
      <c r="AB52" s="946" t="n"/>
      <c r="AC52" s="852" t="n"/>
      <c r="AD52" s="852" t="n"/>
      <c r="AE52" s="852" t="n"/>
      <c r="AF52" s="852" t="n"/>
      <c r="AG52" s="852" t="n"/>
      <c r="AH52" s="852" t="n"/>
      <c r="AI52" s="852" t="n"/>
      <c r="AJ52" s="852" t="n"/>
      <c r="AK52" s="852" t="n"/>
      <c r="AL52" s="852" t="n"/>
      <c r="AM52" s="852" t="n"/>
      <c r="AN52" s="852" t="n"/>
      <c r="AO52" s="852" t="n"/>
      <c r="AP52" s="852" t="n"/>
      <c r="AQ52" s="852" t="n"/>
      <c r="AR52" s="852" t="n"/>
      <c r="AS52" s="852" t="n"/>
      <c r="AT52" s="852" t="n"/>
      <c r="AU52" s="852" t="n"/>
      <c r="AV52" s="852" t="n"/>
      <c r="AW52" s="852" t="n"/>
      <c r="AX52" s="852" t="n"/>
      <c r="AY52" s="852" t="n"/>
      <c r="AZ52" s="852" t="n"/>
      <c r="BA52" s="852" t="n"/>
      <c r="BB52" s="852" t="n"/>
      <c r="BC52" s="852" t="n"/>
      <c r="BD52" s="852" t="n"/>
      <c r="BE52" s="852" t="n"/>
      <c r="BF52" s="852" t="n"/>
      <c r="BG52" s="852" t="n"/>
      <c r="BH52" s="852" t="n"/>
      <c r="BI52" s="852" t="n"/>
      <c r="BJ52" s="852" t="n"/>
      <c r="BK52" s="852" t="n"/>
      <c r="BL52" s="852" t="n"/>
      <c r="BM52" s="852" t="n"/>
      <c r="BN52" s="852" t="n"/>
      <c r="BO52" s="852" t="n"/>
      <c r="BP52" s="852" t="n"/>
      <c r="BQ52" s="852" t="n"/>
      <c r="BR52" s="852" t="n"/>
      <c r="BS52" s="852" t="n"/>
      <c r="BT52" s="852" t="n"/>
      <c r="BU52" s="852" t="n"/>
      <c r="BV52" s="852" t="n"/>
      <c r="BW52" s="852" t="n"/>
      <c r="BX52" s="852" t="n"/>
      <c r="BY52" s="852" t="n"/>
      <c r="BZ52" s="852" t="n"/>
      <c r="CA52" s="852" t="n"/>
      <c r="CB52" s="852" t="n"/>
      <c r="CC52" s="852" t="n"/>
      <c r="CD52" s="852" t="n"/>
      <c r="CE52" s="852" t="n"/>
      <c r="CF52" s="852" t="n"/>
      <c r="CG52" s="852" t="n"/>
      <c r="CH52" s="852" t="n"/>
      <c r="CI52" s="852" t="n"/>
      <c r="CJ52" s="852" t="n"/>
      <c r="CK52" s="852" t="n"/>
      <c r="CL52" s="852" t="n"/>
      <c r="CM52" s="852" t="n"/>
      <c r="CN52" s="852" t="n"/>
      <c r="CO52" s="852" t="n"/>
      <c r="CP52" s="852" t="n"/>
      <c r="CQ52" s="852" t="n"/>
      <c r="CR52" s="852" t="n"/>
      <c r="CS52" s="852" t="n"/>
      <c r="CT52" s="852" t="n"/>
      <c r="CU52" s="852" t="n"/>
      <c r="CV52" s="852" t="n"/>
      <c r="CW52" s="852" t="n"/>
      <c r="CX52" s="852" t="n"/>
      <c r="CY52" s="852" t="n"/>
      <c r="CZ52" s="852" t="n"/>
      <c r="DA52" s="852" t="n"/>
      <c r="DB52" s="852" t="n"/>
      <c r="DC52" s="852" t="n"/>
      <c r="DD52" s="852" t="n"/>
      <c r="DE52" s="852" t="n"/>
      <c r="DF52" s="852" t="n"/>
      <c r="DG52" s="852" t="n"/>
      <c r="DH52" s="852" t="n"/>
      <c r="DI52" s="852" t="n"/>
      <c r="DJ52" s="852" t="n"/>
      <c r="DK52" s="852" t="n"/>
      <c r="DL52" s="852" t="n"/>
      <c r="DM52" s="852" t="n"/>
      <c r="DN52" s="852" t="n"/>
      <c r="DO52" s="852" t="n"/>
      <c r="DP52" s="852" t="n"/>
      <c r="DQ52" s="852" t="n"/>
      <c r="DR52" s="852" t="n"/>
      <c r="DS52" s="852" t="n"/>
      <c r="DT52" s="852" t="n"/>
      <c r="DU52" s="852" t="n"/>
      <c r="DV52" s="852" t="n"/>
      <c r="DW52" s="852" t="n"/>
      <c r="DX52" s="852" t="n"/>
      <c r="DY52" s="852" t="n"/>
      <c r="DZ52" s="852" t="n"/>
      <c r="EA52" s="852" t="n"/>
      <c r="EB52" s="852" t="n"/>
      <c r="EC52" s="852" t="n"/>
      <c r="ED52" s="852" t="n"/>
      <c r="EE52" s="852" t="n"/>
      <c r="EF52" s="852" t="n"/>
      <c r="EG52" s="852" t="n"/>
      <c r="EH52" s="852" t="n"/>
      <c r="EI52" s="852" t="n"/>
      <c r="EJ52" s="852" t="n"/>
      <c r="EK52" s="852" t="n"/>
      <c r="EL52" s="852" t="n"/>
      <c r="EM52" s="852" t="n"/>
      <c r="EN52" s="852" t="n"/>
      <c r="EO52" s="852" t="n"/>
      <c r="EP52" s="852" t="n"/>
      <c r="EQ52" s="852" t="n"/>
      <c r="ER52" s="852" t="n"/>
      <c r="ES52" s="852" t="n"/>
      <c r="ET52" s="852" t="n"/>
      <c r="EU52" s="852" t="n"/>
      <c r="EV52" s="852" t="n"/>
      <c r="EW52" s="852" t="n"/>
      <c r="EX52" s="852" t="n"/>
      <c r="EY52" s="852" t="n"/>
      <c r="EZ52" s="852" t="n"/>
      <c r="FA52" s="852" t="n"/>
      <c r="FB52" s="852" t="n"/>
      <c r="FC52" s="852" t="n"/>
      <c r="FD52" s="852" t="n"/>
      <c r="FE52" s="852" t="n"/>
      <c r="FF52" s="852" t="n"/>
      <c r="FG52" s="852" t="n"/>
      <c r="FH52" s="852" t="n"/>
      <c r="FI52" s="852" t="n"/>
      <c r="FJ52" s="852" t="n"/>
      <c r="FK52" s="852" t="n"/>
      <c r="FL52" s="852" t="n"/>
      <c r="FM52" s="852" t="n"/>
      <c r="FN52" s="852" t="n"/>
      <c r="FO52" s="852" t="n"/>
      <c r="FP52" s="852" t="n"/>
      <c r="FQ52" s="852" t="n"/>
      <c r="FR52" s="852" t="n"/>
      <c r="FS52" s="852" t="n"/>
      <c r="FT52" s="852" t="n"/>
      <c r="FU52" s="852" t="n"/>
      <c r="FV52" s="852" t="n"/>
      <c r="FW52" s="852" t="n"/>
      <c r="FX52" s="852" t="n"/>
      <c r="FY52" s="852" t="n"/>
      <c r="FZ52" s="852" t="n"/>
      <c r="GA52" s="852" t="n"/>
      <c r="GB52" s="852" t="n"/>
      <c r="GC52" s="852" t="n"/>
      <c r="GD52" s="852" t="n"/>
      <c r="GE52" s="852" t="n"/>
      <c r="GF52" s="852" t="n"/>
      <c r="GG52" s="852" t="n"/>
      <c r="GH52" s="852" t="n"/>
      <c r="GI52" s="852" t="n"/>
      <c r="GJ52" s="852" t="n"/>
      <c r="GK52" s="852" t="n"/>
      <c r="GL52" s="852" t="n"/>
      <c r="GM52" s="852" t="n"/>
      <c r="GN52" s="852" t="n"/>
      <c r="GO52" s="852" t="n"/>
      <c r="GP52" s="852" t="n"/>
      <c r="GQ52" s="852" t="n"/>
      <c r="GR52" s="852" t="n"/>
      <c r="GS52" s="852" t="n"/>
      <c r="GT52" s="852" t="n"/>
      <c r="GU52" s="852" t="n"/>
      <c r="GV52" s="852" t="n"/>
      <c r="GW52" s="852" t="n"/>
      <c r="GX52" s="852" t="n"/>
      <c r="GY52" s="852" t="n"/>
      <c r="GZ52" s="852" t="n"/>
      <c r="HA52" s="852" t="n"/>
      <c r="HB52" s="852" t="n"/>
      <c r="HC52" s="852" t="n"/>
      <c r="HD52" s="852" t="n"/>
      <c r="HE52" s="852" t="n"/>
      <c r="HF52" s="852" t="n"/>
      <c r="HG52" s="852" t="n"/>
      <c r="HH52" s="852" t="n"/>
      <c r="HI52" s="852" t="n"/>
      <c r="HJ52" s="852" t="n"/>
      <c r="HK52" s="852" t="n"/>
      <c r="HL52" s="852" t="n"/>
      <c r="HM52" s="852" t="n"/>
      <c r="HN52" s="852" t="n"/>
      <c r="HO52" s="852" t="n"/>
      <c r="HP52" s="852" t="n"/>
      <c r="HQ52" s="852" t="n"/>
      <c r="HR52" s="852" t="n"/>
      <c r="HS52" s="852" t="n"/>
      <c r="HT52" s="852" t="n"/>
      <c r="HU52" s="852" t="n"/>
      <c r="HV52" s="852" t="n"/>
      <c r="HW52" s="852" t="n"/>
      <c r="HX52" s="852" t="n"/>
      <c r="HY52" s="852" t="n"/>
      <c r="HZ52" s="852" t="n"/>
      <c r="IA52" s="852" t="n"/>
      <c r="IB52" s="852" t="n"/>
      <c r="IC52" s="852" t="n"/>
      <c r="ID52" s="852" t="n"/>
      <c r="IE52" s="852" t="n"/>
      <c r="IF52" s="852" t="n"/>
      <c r="IG52" s="852" t="n"/>
    </row>
    <row r="53">
      <c r="A53" s="186" t="n"/>
      <c r="B53" s="186" t="n"/>
      <c r="C53" s="186" t="n"/>
      <c r="D53" s="186" t="n"/>
      <c r="E53" s="186" t="n"/>
      <c r="F53" s="213" t="n">
        <v>47</v>
      </c>
      <c r="G53" s="214">
        <f>$C$39</f>
        <v/>
      </c>
      <c r="H53" s="214">
        <f>(J52*$C$16)/12</f>
        <v/>
      </c>
      <c r="I53" s="214">
        <f>G53-H53</f>
        <v/>
      </c>
      <c r="J53" s="214">
        <f>J52-I53</f>
        <v/>
      </c>
      <c r="K53" s="946" t="n"/>
      <c r="L53" s="946" t="n"/>
      <c r="M53" s="946" t="n"/>
      <c r="N53" s="946" t="n"/>
      <c r="O53" s="946" t="n"/>
      <c r="P53" s="946" t="n"/>
      <c r="Q53" s="946" t="n"/>
      <c r="R53" s="946" t="n"/>
      <c r="S53" s="946" t="n"/>
      <c r="T53" s="946" t="n"/>
      <c r="U53" s="946" t="n"/>
      <c r="V53" s="946" t="n"/>
      <c r="W53" s="946" t="n"/>
      <c r="X53" s="946" t="n"/>
      <c r="Y53" s="946" t="n"/>
      <c r="Z53" s="946" t="n"/>
      <c r="AA53" s="946" t="n"/>
      <c r="AB53" s="946" t="n"/>
      <c r="AC53" s="852" t="n"/>
      <c r="AD53" s="852" t="n"/>
      <c r="AE53" s="852" t="n"/>
      <c r="AF53" s="852" t="n"/>
      <c r="AG53" s="852" t="n"/>
      <c r="AH53" s="852" t="n"/>
      <c r="AI53" s="852" t="n"/>
      <c r="AJ53" s="852" t="n"/>
      <c r="AK53" s="852" t="n"/>
      <c r="AL53" s="852" t="n"/>
      <c r="AM53" s="852" t="n"/>
      <c r="AN53" s="852" t="n"/>
      <c r="AO53" s="852" t="n"/>
      <c r="AP53" s="852" t="n"/>
      <c r="AQ53" s="852" t="n"/>
      <c r="AR53" s="852" t="n"/>
      <c r="AS53" s="852" t="n"/>
      <c r="AT53" s="852" t="n"/>
      <c r="AU53" s="852" t="n"/>
      <c r="AV53" s="852" t="n"/>
      <c r="AW53" s="852" t="n"/>
      <c r="AX53" s="852" t="n"/>
      <c r="AY53" s="852" t="n"/>
      <c r="AZ53" s="852" t="n"/>
      <c r="BA53" s="852" t="n"/>
      <c r="BB53" s="852" t="n"/>
      <c r="BC53" s="852" t="n"/>
      <c r="BD53" s="852" t="n"/>
      <c r="BE53" s="852" t="n"/>
      <c r="BF53" s="852" t="n"/>
      <c r="BG53" s="852" t="n"/>
      <c r="BH53" s="852" t="n"/>
      <c r="BI53" s="852" t="n"/>
      <c r="BJ53" s="852" t="n"/>
      <c r="BK53" s="852" t="n"/>
      <c r="BL53" s="852" t="n"/>
      <c r="BM53" s="852" t="n"/>
      <c r="BN53" s="852" t="n"/>
      <c r="BO53" s="852" t="n"/>
      <c r="BP53" s="852" t="n"/>
      <c r="BQ53" s="852" t="n"/>
      <c r="BR53" s="852" t="n"/>
      <c r="BS53" s="852" t="n"/>
      <c r="BT53" s="852" t="n"/>
      <c r="BU53" s="852" t="n"/>
      <c r="BV53" s="852" t="n"/>
      <c r="BW53" s="852" t="n"/>
      <c r="BX53" s="852" t="n"/>
      <c r="BY53" s="852" t="n"/>
      <c r="BZ53" s="852" t="n"/>
      <c r="CA53" s="852" t="n"/>
      <c r="CB53" s="852" t="n"/>
      <c r="CC53" s="852" t="n"/>
      <c r="CD53" s="852" t="n"/>
      <c r="CE53" s="852" t="n"/>
      <c r="CF53" s="852" t="n"/>
      <c r="CG53" s="852" t="n"/>
      <c r="CH53" s="852" t="n"/>
      <c r="CI53" s="852" t="n"/>
      <c r="CJ53" s="852" t="n"/>
      <c r="CK53" s="852" t="n"/>
      <c r="CL53" s="852" t="n"/>
      <c r="CM53" s="852" t="n"/>
      <c r="CN53" s="852" t="n"/>
      <c r="CO53" s="852" t="n"/>
      <c r="CP53" s="852" t="n"/>
      <c r="CQ53" s="852" t="n"/>
      <c r="CR53" s="852" t="n"/>
      <c r="CS53" s="852" t="n"/>
      <c r="CT53" s="852" t="n"/>
      <c r="CU53" s="852" t="n"/>
      <c r="CV53" s="852" t="n"/>
      <c r="CW53" s="852" t="n"/>
      <c r="CX53" s="852" t="n"/>
      <c r="CY53" s="852" t="n"/>
      <c r="CZ53" s="852" t="n"/>
      <c r="DA53" s="852" t="n"/>
      <c r="DB53" s="852" t="n"/>
      <c r="DC53" s="852" t="n"/>
      <c r="DD53" s="852" t="n"/>
      <c r="DE53" s="852" t="n"/>
      <c r="DF53" s="852" t="n"/>
      <c r="DG53" s="852" t="n"/>
      <c r="DH53" s="852" t="n"/>
      <c r="DI53" s="852" t="n"/>
      <c r="DJ53" s="852" t="n"/>
      <c r="DK53" s="852" t="n"/>
      <c r="DL53" s="852" t="n"/>
      <c r="DM53" s="852" t="n"/>
      <c r="DN53" s="852" t="n"/>
      <c r="DO53" s="852" t="n"/>
      <c r="DP53" s="852" t="n"/>
      <c r="DQ53" s="852" t="n"/>
      <c r="DR53" s="852" t="n"/>
      <c r="DS53" s="852" t="n"/>
      <c r="DT53" s="852" t="n"/>
      <c r="DU53" s="852" t="n"/>
      <c r="DV53" s="852" t="n"/>
      <c r="DW53" s="852" t="n"/>
      <c r="DX53" s="852" t="n"/>
      <c r="DY53" s="852" t="n"/>
      <c r="DZ53" s="852" t="n"/>
      <c r="EA53" s="852" t="n"/>
      <c r="EB53" s="852" t="n"/>
      <c r="EC53" s="852" t="n"/>
      <c r="ED53" s="852" t="n"/>
      <c r="EE53" s="852" t="n"/>
      <c r="EF53" s="852" t="n"/>
      <c r="EG53" s="852" t="n"/>
      <c r="EH53" s="852" t="n"/>
      <c r="EI53" s="852" t="n"/>
      <c r="EJ53" s="852" t="n"/>
      <c r="EK53" s="852" t="n"/>
      <c r="EL53" s="852" t="n"/>
      <c r="EM53" s="852" t="n"/>
      <c r="EN53" s="852" t="n"/>
      <c r="EO53" s="852" t="n"/>
      <c r="EP53" s="852" t="n"/>
      <c r="EQ53" s="852" t="n"/>
      <c r="ER53" s="852" t="n"/>
      <c r="ES53" s="852" t="n"/>
      <c r="ET53" s="852" t="n"/>
      <c r="EU53" s="852" t="n"/>
      <c r="EV53" s="852" t="n"/>
      <c r="EW53" s="852" t="n"/>
      <c r="EX53" s="852" t="n"/>
      <c r="EY53" s="852" t="n"/>
      <c r="EZ53" s="852" t="n"/>
      <c r="FA53" s="852" t="n"/>
      <c r="FB53" s="852" t="n"/>
      <c r="FC53" s="852" t="n"/>
      <c r="FD53" s="852" t="n"/>
      <c r="FE53" s="852" t="n"/>
      <c r="FF53" s="852" t="n"/>
      <c r="FG53" s="852" t="n"/>
      <c r="FH53" s="852" t="n"/>
      <c r="FI53" s="852" t="n"/>
      <c r="FJ53" s="852" t="n"/>
      <c r="FK53" s="852" t="n"/>
      <c r="FL53" s="852" t="n"/>
      <c r="FM53" s="852" t="n"/>
      <c r="FN53" s="852" t="n"/>
      <c r="FO53" s="852" t="n"/>
      <c r="FP53" s="852" t="n"/>
      <c r="FQ53" s="852" t="n"/>
      <c r="FR53" s="852" t="n"/>
      <c r="FS53" s="852" t="n"/>
      <c r="FT53" s="852" t="n"/>
      <c r="FU53" s="852" t="n"/>
      <c r="FV53" s="852" t="n"/>
      <c r="FW53" s="852" t="n"/>
      <c r="FX53" s="852" t="n"/>
      <c r="FY53" s="852" t="n"/>
      <c r="FZ53" s="852" t="n"/>
      <c r="GA53" s="852" t="n"/>
      <c r="GB53" s="852" t="n"/>
      <c r="GC53" s="852" t="n"/>
      <c r="GD53" s="852" t="n"/>
      <c r="GE53" s="852" t="n"/>
      <c r="GF53" s="852" t="n"/>
      <c r="GG53" s="852" t="n"/>
      <c r="GH53" s="852" t="n"/>
      <c r="GI53" s="852" t="n"/>
      <c r="GJ53" s="852" t="n"/>
      <c r="GK53" s="852" t="n"/>
      <c r="GL53" s="852" t="n"/>
      <c r="GM53" s="852" t="n"/>
      <c r="GN53" s="852" t="n"/>
      <c r="GO53" s="852" t="n"/>
      <c r="GP53" s="852" t="n"/>
      <c r="GQ53" s="852" t="n"/>
      <c r="GR53" s="852" t="n"/>
      <c r="GS53" s="852" t="n"/>
      <c r="GT53" s="852" t="n"/>
      <c r="GU53" s="852" t="n"/>
      <c r="GV53" s="852" t="n"/>
      <c r="GW53" s="852" t="n"/>
      <c r="GX53" s="852" t="n"/>
      <c r="GY53" s="852" t="n"/>
      <c r="GZ53" s="852" t="n"/>
      <c r="HA53" s="852" t="n"/>
      <c r="HB53" s="852" t="n"/>
      <c r="HC53" s="852" t="n"/>
      <c r="HD53" s="852" t="n"/>
      <c r="HE53" s="852" t="n"/>
      <c r="HF53" s="852" t="n"/>
      <c r="HG53" s="852" t="n"/>
      <c r="HH53" s="852" t="n"/>
      <c r="HI53" s="852" t="n"/>
      <c r="HJ53" s="852" t="n"/>
      <c r="HK53" s="852" t="n"/>
      <c r="HL53" s="852" t="n"/>
      <c r="HM53" s="852" t="n"/>
      <c r="HN53" s="852" t="n"/>
      <c r="HO53" s="852" t="n"/>
      <c r="HP53" s="852" t="n"/>
      <c r="HQ53" s="852" t="n"/>
      <c r="HR53" s="852" t="n"/>
      <c r="HS53" s="852" t="n"/>
      <c r="HT53" s="852" t="n"/>
      <c r="HU53" s="852" t="n"/>
      <c r="HV53" s="852" t="n"/>
      <c r="HW53" s="852" t="n"/>
      <c r="HX53" s="852" t="n"/>
      <c r="HY53" s="852" t="n"/>
      <c r="HZ53" s="852" t="n"/>
      <c r="IA53" s="852" t="n"/>
      <c r="IB53" s="852" t="n"/>
      <c r="IC53" s="852" t="n"/>
      <c r="ID53" s="852" t="n"/>
      <c r="IE53" s="852" t="n"/>
      <c r="IF53" s="852" t="n"/>
      <c r="IG53" s="852" t="n"/>
    </row>
    <row r="54">
      <c r="A54" s="186" t="n"/>
      <c r="B54" s="186" t="n"/>
      <c r="C54" s="186" t="n"/>
      <c r="D54" s="186" t="n"/>
      <c r="E54" s="186" t="n"/>
      <c r="F54" s="504" t="n">
        <v>48</v>
      </c>
      <c r="G54" s="505">
        <f>$C$39</f>
        <v/>
      </c>
      <c r="H54" s="505">
        <f>(J53*$C$16)/12</f>
        <v/>
      </c>
      <c r="I54" s="505">
        <f>G54-H54</f>
        <v/>
      </c>
      <c r="J54" s="505">
        <f>J53-I54</f>
        <v/>
      </c>
      <c r="K54" s="946" t="n"/>
      <c r="L54" s="946" t="n"/>
      <c r="M54" s="946" t="n"/>
      <c r="N54" s="946" t="n"/>
      <c r="O54" s="946" t="n"/>
      <c r="P54" s="946" t="n"/>
      <c r="Q54" s="946" t="n"/>
      <c r="R54" s="946" t="n"/>
      <c r="S54" s="946" t="n"/>
      <c r="T54" s="946" t="n"/>
      <c r="U54" s="946" t="n"/>
      <c r="V54" s="946" t="n"/>
      <c r="W54" s="946" t="n"/>
      <c r="X54" s="946" t="n"/>
      <c r="Y54" s="946" t="n"/>
      <c r="Z54" s="946" t="n"/>
      <c r="AA54" s="946" t="n"/>
      <c r="AB54" s="946" t="n"/>
      <c r="AC54" s="852" t="n"/>
      <c r="AD54" s="852" t="n"/>
      <c r="AE54" s="852" t="n"/>
      <c r="AF54" s="852" t="n"/>
      <c r="AG54" s="852" t="n"/>
      <c r="AH54" s="852" t="n"/>
      <c r="AI54" s="852" t="n"/>
      <c r="AJ54" s="852" t="n"/>
      <c r="AK54" s="852" t="n"/>
      <c r="AL54" s="852" t="n"/>
      <c r="AM54" s="852" t="n"/>
      <c r="AN54" s="852" t="n"/>
      <c r="AO54" s="852" t="n"/>
      <c r="AP54" s="852" t="n"/>
      <c r="AQ54" s="852" t="n"/>
      <c r="AR54" s="852" t="n"/>
      <c r="AS54" s="852" t="n"/>
      <c r="AT54" s="852" t="n"/>
      <c r="AU54" s="852" t="n"/>
      <c r="AV54" s="852" t="n"/>
      <c r="AW54" s="852" t="n"/>
      <c r="AX54" s="852" t="n"/>
      <c r="AY54" s="852" t="n"/>
      <c r="AZ54" s="852" t="n"/>
      <c r="BA54" s="852" t="n"/>
      <c r="BB54" s="852" t="n"/>
      <c r="BC54" s="852" t="n"/>
      <c r="BD54" s="852" t="n"/>
      <c r="BE54" s="852" t="n"/>
      <c r="BF54" s="852" t="n"/>
      <c r="BG54" s="852" t="n"/>
      <c r="BH54" s="852" t="n"/>
      <c r="BI54" s="852" t="n"/>
      <c r="BJ54" s="852" t="n"/>
      <c r="BK54" s="852" t="n"/>
      <c r="BL54" s="852" t="n"/>
      <c r="BM54" s="852" t="n"/>
      <c r="BN54" s="852" t="n"/>
      <c r="BO54" s="852" t="n"/>
      <c r="BP54" s="852" t="n"/>
      <c r="BQ54" s="852" t="n"/>
      <c r="BR54" s="852" t="n"/>
      <c r="BS54" s="852" t="n"/>
      <c r="BT54" s="852" t="n"/>
      <c r="BU54" s="852" t="n"/>
      <c r="BV54" s="852" t="n"/>
      <c r="BW54" s="852" t="n"/>
      <c r="BX54" s="852" t="n"/>
      <c r="BY54" s="852" t="n"/>
      <c r="BZ54" s="852" t="n"/>
      <c r="CA54" s="852" t="n"/>
      <c r="CB54" s="852" t="n"/>
      <c r="CC54" s="852" t="n"/>
      <c r="CD54" s="852" t="n"/>
      <c r="CE54" s="852" t="n"/>
      <c r="CF54" s="852" t="n"/>
      <c r="CG54" s="852" t="n"/>
      <c r="CH54" s="852" t="n"/>
      <c r="CI54" s="852" t="n"/>
      <c r="CJ54" s="852" t="n"/>
      <c r="CK54" s="852" t="n"/>
      <c r="CL54" s="852" t="n"/>
      <c r="CM54" s="852" t="n"/>
      <c r="CN54" s="852" t="n"/>
      <c r="CO54" s="852" t="n"/>
      <c r="CP54" s="852" t="n"/>
      <c r="CQ54" s="852" t="n"/>
      <c r="CR54" s="852" t="n"/>
      <c r="CS54" s="852" t="n"/>
      <c r="CT54" s="852" t="n"/>
      <c r="CU54" s="852" t="n"/>
      <c r="CV54" s="852" t="n"/>
      <c r="CW54" s="852" t="n"/>
      <c r="CX54" s="852" t="n"/>
      <c r="CY54" s="852" t="n"/>
      <c r="CZ54" s="852" t="n"/>
      <c r="DA54" s="852" t="n"/>
      <c r="DB54" s="852" t="n"/>
      <c r="DC54" s="852" t="n"/>
      <c r="DD54" s="852" t="n"/>
      <c r="DE54" s="852" t="n"/>
      <c r="DF54" s="852" t="n"/>
      <c r="DG54" s="852" t="n"/>
      <c r="DH54" s="852" t="n"/>
      <c r="DI54" s="852" t="n"/>
      <c r="DJ54" s="852" t="n"/>
      <c r="DK54" s="852" t="n"/>
      <c r="DL54" s="852" t="n"/>
      <c r="DM54" s="852" t="n"/>
      <c r="DN54" s="852" t="n"/>
      <c r="DO54" s="852" t="n"/>
      <c r="DP54" s="852" t="n"/>
      <c r="DQ54" s="852" t="n"/>
      <c r="DR54" s="852" t="n"/>
      <c r="DS54" s="852" t="n"/>
      <c r="DT54" s="852" t="n"/>
      <c r="DU54" s="852" t="n"/>
      <c r="DV54" s="852" t="n"/>
      <c r="DW54" s="852" t="n"/>
      <c r="DX54" s="852" t="n"/>
      <c r="DY54" s="852" t="n"/>
      <c r="DZ54" s="852" t="n"/>
      <c r="EA54" s="852" t="n"/>
      <c r="EB54" s="852" t="n"/>
      <c r="EC54" s="852" t="n"/>
      <c r="ED54" s="852" t="n"/>
      <c r="EE54" s="852" t="n"/>
      <c r="EF54" s="852" t="n"/>
      <c r="EG54" s="852" t="n"/>
      <c r="EH54" s="852" t="n"/>
      <c r="EI54" s="852" t="n"/>
      <c r="EJ54" s="852" t="n"/>
      <c r="EK54" s="852" t="n"/>
      <c r="EL54" s="852" t="n"/>
      <c r="EM54" s="852" t="n"/>
      <c r="EN54" s="852" t="n"/>
      <c r="EO54" s="852" t="n"/>
      <c r="EP54" s="852" t="n"/>
      <c r="EQ54" s="852" t="n"/>
      <c r="ER54" s="852" t="n"/>
      <c r="ES54" s="852" t="n"/>
      <c r="ET54" s="852" t="n"/>
      <c r="EU54" s="852" t="n"/>
      <c r="EV54" s="852" t="n"/>
      <c r="EW54" s="852" t="n"/>
      <c r="EX54" s="852" t="n"/>
      <c r="EY54" s="852" t="n"/>
      <c r="EZ54" s="852" t="n"/>
      <c r="FA54" s="852" t="n"/>
      <c r="FB54" s="852" t="n"/>
      <c r="FC54" s="852" t="n"/>
      <c r="FD54" s="852" t="n"/>
      <c r="FE54" s="852" t="n"/>
      <c r="FF54" s="852" t="n"/>
      <c r="FG54" s="852" t="n"/>
      <c r="FH54" s="852" t="n"/>
      <c r="FI54" s="852" t="n"/>
      <c r="FJ54" s="852" t="n"/>
      <c r="FK54" s="852" t="n"/>
      <c r="FL54" s="852" t="n"/>
      <c r="FM54" s="852" t="n"/>
      <c r="FN54" s="852" t="n"/>
      <c r="FO54" s="852" t="n"/>
      <c r="FP54" s="852" t="n"/>
      <c r="FQ54" s="852" t="n"/>
      <c r="FR54" s="852" t="n"/>
      <c r="FS54" s="852" t="n"/>
      <c r="FT54" s="852" t="n"/>
      <c r="FU54" s="852" t="n"/>
      <c r="FV54" s="852" t="n"/>
      <c r="FW54" s="852" t="n"/>
      <c r="FX54" s="852" t="n"/>
      <c r="FY54" s="852" t="n"/>
      <c r="FZ54" s="852" t="n"/>
      <c r="GA54" s="852" t="n"/>
      <c r="GB54" s="852" t="n"/>
      <c r="GC54" s="852" t="n"/>
      <c r="GD54" s="852" t="n"/>
      <c r="GE54" s="852" t="n"/>
      <c r="GF54" s="852" t="n"/>
      <c r="GG54" s="852" t="n"/>
      <c r="GH54" s="852" t="n"/>
      <c r="GI54" s="852" t="n"/>
      <c r="GJ54" s="852" t="n"/>
      <c r="GK54" s="852" t="n"/>
      <c r="GL54" s="852" t="n"/>
      <c r="GM54" s="852" t="n"/>
      <c r="GN54" s="852" t="n"/>
      <c r="GO54" s="852" t="n"/>
      <c r="GP54" s="852" t="n"/>
      <c r="GQ54" s="852" t="n"/>
      <c r="GR54" s="852" t="n"/>
      <c r="GS54" s="852" t="n"/>
      <c r="GT54" s="852" t="n"/>
      <c r="GU54" s="852" t="n"/>
      <c r="GV54" s="852" t="n"/>
      <c r="GW54" s="852" t="n"/>
      <c r="GX54" s="852" t="n"/>
      <c r="GY54" s="852" t="n"/>
      <c r="GZ54" s="852" t="n"/>
      <c r="HA54" s="852" t="n"/>
      <c r="HB54" s="852" t="n"/>
      <c r="HC54" s="852" t="n"/>
      <c r="HD54" s="852" t="n"/>
      <c r="HE54" s="852" t="n"/>
      <c r="HF54" s="852" t="n"/>
      <c r="HG54" s="852" t="n"/>
      <c r="HH54" s="852" t="n"/>
      <c r="HI54" s="852" t="n"/>
      <c r="HJ54" s="852" t="n"/>
      <c r="HK54" s="852" t="n"/>
      <c r="HL54" s="852" t="n"/>
      <c r="HM54" s="852" t="n"/>
      <c r="HN54" s="852" t="n"/>
      <c r="HO54" s="852" t="n"/>
      <c r="HP54" s="852" t="n"/>
      <c r="HQ54" s="852" t="n"/>
      <c r="HR54" s="852" t="n"/>
      <c r="HS54" s="852" t="n"/>
      <c r="HT54" s="852" t="n"/>
      <c r="HU54" s="852" t="n"/>
      <c r="HV54" s="852" t="n"/>
      <c r="HW54" s="852" t="n"/>
      <c r="HX54" s="852" t="n"/>
      <c r="HY54" s="852" t="n"/>
      <c r="HZ54" s="852" t="n"/>
      <c r="IA54" s="852" t="n"/>
      <c r="IB54" s="852" t="n"/>
      <c r="IC54" s="852" t="n"/>
      <c r="ID54" s="852" t="n"/>
      <c r="IE54" s="852" t="n"/>
      <c r="IF54" s="852" t="n"/>
      <c r="IG54" s="852" t="n"/>
    </row>
    <row r="55">
      <c r="A55" s="186" t="n"/>
      <c r="B55" s="186" t="n"/>
      <c r="C55" s="186" t="n"/>
      <c r="D55" s="186" t="n"/>
      <c r="E55" s="186" t="n"/>
      <c r="F55" s="213" t="n">
        <v>49</v>
      </c>
      <c r="G55" s="214">
        <f>$C$39</f>
        <v/>
      </c>
      <c r="H55" s="214">
        <f>(J54*$C$16)/12</f>
        <v/>
      </c>
      <c r="I55" s="214">
        <f>G55-H55</f>
        <v/>
      </c>
      <c r="J55" s="214">
        <f>J54-I55</f>
        <v/>
      </c>
      <c r="K55" s="946" t="n"/>
      <c r="L55" s="946" t="n"/>
      <c r="M55" s="946" t="n"/>
      <c r="N55" s="946" t="n"/>
      <c r="O55" s="946" t="n"/>
      <c r="P55" s="946" t="n"/>
      <c r="Q55" s="946" t="n"/>
      <c r="R55" s="946" t="n"/>
      <c r="S55" s="946" t="n"/>
      <c r="T55" s="946" t="n"/>
      <c r="U55" s="946" t="n"/>
      <c r="V55" s="946" t="n"/>
      <c r="W55" s="946" t="n"/>
      <c r="X55" s="946" t="n"/>
      <c r="Y55" s="946" t="n"/>
      <c r="Z55" s="946" t="n"/>
      <c r="AA55" s="946" t="n"/>
      <c r="AB55" s="946" t="n"/>
      <c r="AC55" s="852" t="n"/>
      <c r="AD55" s="852" t="n"/>
      <c r="AE55" s="852" t="n"/>
      <c r="AF55" s="852" t="n"/>
      <c r="AG55" s="852" t="n"/>
      <c r="AH55" s="852" t="n"/>
      <c r="AI55" s="852" t="n"/>
      <c r="AJ55" s="852" t="n"/>
      <c r="AK55" s="852" t="n"/>
      <c r="AL55" s="852" t="n"/>
      <c r="AM55" s="852" t="n"/>
      <c r="AN55" s="852" t="n"/>
      <c r="AO55" s="852" t="n"/>
      <c r="AP55" s="852" t="n"/>
      <c r="AQ55" s="852" t="n"/>
      <c r="AR55" s="852" t="n"/>
      <c r="AS55" s="852" t="n"/>
      <c r="AT55" s="852" t="n"/>
      <c r="AU55" s="852" t="n"/>
      <c r="AV55" s="852" t="n"/>
      <c r="AW55" s="852" t="n"/>
      <c r="AX55" s="852" t="n"/>
      <c r="AY55" s="852" t="n"/>
      <c r="AZ55" s="852" t="n"/>
      <c r="BA55" s="852" t="n"/>
      <c r="BB55" s="852" t="n"/>
      <c r="BC55" s="852" t="n"/>
      <c r="BD55" s="852" t="n"/>
      <c r="BE55" s="852" t="n"/>
      <c r="BF55" s="852" t="n"/>
      <c r="BG55" s="852" t="n"/>
      <c r="BH55" s="852" t="n"/>
      <c r="BI55" s="852" t="n"/>
      <c r="BJ55" s="852" t="n"/>
      <c r="BK55" s="852" t="n"/>
      <c r="BL55" s="852" t="n"/>
      <c r="BM55" s="852" t="n"/>
      <c r="BN55" s="852" t="n"/>
      <c r="BO55" s="852" t="n"/>
      <c r="BP55" s="852" t="n"/>
      <c r="BQ55" s="852" t="n"/>
      <c r="BR55" s="852" t="n"/>
      <c r="BS55" s="852" t="n"/>
      <c r="BT55" s="852" t="n"/>
      <c r="BU55" s="852" t="n"/>
      <c r="BV55" s="852" t="n"/>
      <c r="BW55" s="852" t="n"/>
      <c r="BX55" s="852" t="n"/>
      <c r="BY55" s="852" t="n"/>
      <c r="BZ55" s="852" t="n"/>
      <c r="CA55" s="852" t="n"/>
      <c r="CB55" s="852" t="n"/>
      <c r="CC55" s="852" t="n"/>
      <c r="CD55" s="852" t="n"/>
      <c r="CE55" s="852" t="n"/>
      <c r="CF55" s="852" t="n"/>
      <c r="CG55" s="852" t="n"/>
      <c r="CH55" s="852" t="n"/>
      <c r="CI55" s="852" t="n"/>
      <c r="CJ55" s="852" t="n"/>
      <c r="CK55" s="852" t="n"/>
      <c r="CL55" s="852" t="n"/>
      <c r="CM55" s="852" t="n"/>
      <c r="CN55" s="852" t="n"/>
      <c r="CO55" s="852" t="n"/>
      <c r="CP55" s="852" t="n"/>
      <c r="CQ55" s="852" t="n"/>
      <c r="CR55" s="852" t="n"/>
      <c r="CS55" s="852" t="n"/>
      <c r="CT55" s="852" t="n"/>
      <c r="CU55" s="852" t="n"/>
      <c r="CV55" s="852" t="n"/>
      <c r="CW55" s="852" t="n"/>
      <c r="CX55" s="852" t="n"/>
      <c r="CY55" s="852" t="n"/>
      <c r="CZ55" s="852" t="n"/>
      <c r="DA55" s="852" t="n"/>
      <c r="DB55" s="852" t="n"/>
      <c r="DC55" s="852" t="n"/>
      <c r="DD55" s="852" t="n"/>
      <c r="DE55" s="852" t="n"/>
      <c r="DF55" s="852" t="n"/>
      <c r="DG55" s="852" t="n"/>
      <c r="DH55" s="852" t="n"/>
      <c r="DI55" s="852" t="n"/>
      <c r="DJ55" s="852" t="n"/>
      <c r="DK55" s="852" t="n"/>
      <c r="DL55" s="852" t="n"/>
      <c r="DM55" s="852" t="n"/>
      <c r="DN55" s="852" t="n"/>
      <c r="DO55" s="852" t="n"/>
      <c r="DP55" s="852" t="n"/>
      <c r="DQ55" s="852" t="n"/>
      <c r="DR55" s="852" t="n"/>
      <c r="DS55" s="852" t="n"/>
      <c r="DT55" s="852" t="n"/>
      <c r="DU55" s="852" t="n"/>
      <c r="DV55" s="852" t="n"/>
      <c r="DW55" s="852" t="n"/>
      <c r="DX55" s="852" t="n"/>
      <c r="DY55" s="852" t="n"/>
      <c r="DZ55" s="852" t="n"/>
      <c r="EA55" s="852" t="n"/>
      <c r="EB55" s="852" t="n"/>
      <c r="EC55" s="852" t="n"/>
      <c r="ED55" s="852" t="n"/>
      <c r="EE55" s="852" t="n"/>
      <c r="EF55" s="852" t="n"/>
      <c r="EG55" s="852" t="n"/>
      <c r="EH55" s="852" t="n"/>
      <c r="EI55" s="852" t="n"/>
      <c r="EJ55" s="852" t="n"/>
      <c r="EK55" s="852" t="n"/>
      <c r="EL55" s="852" t="n"/>
      <c r="EM55" s="852" t="n"/>
      <c r="EN55" s="852" t="n"/>
      <c r="EO55" s="852" t="n"/>
      <c r="EP55" s="852" t="n"/>
      <c r="EQ55" s="852" t="n"/>
      <c r="ER55" s="852" t="n"/>
      <c r="ES55" s="852" t="n"/>
      <c r="ET55" s="852" t="n"/>
      <c r="EU55" s="852" t="n"/>
      <c r="EV55" s="852" t="n"/>
      <c r="EW55" s="852" t="n"/>
      <c r="EX55" s="852" t="n"/>
      <c r="EY55" s="852" t="n"/>
      <c r="EZ55" s="852" t="n"/>
      <c r="FA55" s="852" t="n"/>
      <c r="FB55" s="852" t="n"/>
      <c r="FC55" s="852" t="n"/>
      <c r="FD55" s="852" t="n"/>
      <c r="FE55" s="852" t="n"/>
      <c r="FF55" s="852" t="n"/>
      <c r="FG55" s="852" t="n"/>
      <c r="FH55" s="852" t="n"/>
      <c r="FI55" s="852" t="n"/>
      <c r="FJ55" s="852" t="n"/>
      <c r="FK55" s="852" t="n"/>
      <c r="FL55" s="852" t="n"/>
      <c r="FM55" s="852" t="n"/>
      <c r="FN55" s="852" t="n"/>
      <c r="FO55" s="852" t="n"/>
      <c r="FP55" s="852" t="n"/>
      <c r="FQ55" s="852" t="n"/>
      <c r="FR55" s="852" t="n"/>
      <c r="FS55" s="852" t="n"/>
      <c r="FT55" s="852" t="n"/>
      <c r="FU55" s="852" t="n"/>
      <c r="FV55" s="852" t="n"/>
      <c r="FW55" s="852" t="n"/>
      <c r="FX55" s="852" t="n"/>
      <c r="FY55" s="852" t="n"/>
      <c r="FZ55" s="852" t="n"/>
      <c r="GA55" s="852" t="n"/>
      <c r="GB55" s="852" t="n"/>
      <c r="GC55" s="852" t="n"/>
      <c r="GD55" s="852" t="n"/>
      <c r="GE55" s="852" t="n"/>
      <c r="GF55" s="852" t="n"/>
      <c r="GG55" s="852" t="n"/>
      <c r="GH55" s="852" t="n"/>
      <c r="GI55" s="852" t="n"/>
      <c r="GJ55" s="852" t="n"/>
      <c r="GK55" s="852" t="n"/>
      <c r="GL55" s="852" t="n"/>
      <c r="GM55" s="852" t="n"/>
      <c r="GN55" s="852" t="n"/>
      <c r="GO55" s="852" t="n"/>
      <c r="GP55" s="852" t="n"/>
      <c r="GQ55" s="852" t="n"/>
      <c r="GR55" s="852" t="n"/>
      <c r="GS55" s="852" t="n"/>
      <c r="GT55" s="852" t="n"/>
      <c r="GU55" s="852" t="n"/>
      <c r="GV55" s="852" t="n"/>
      <c r="GW55" s="852" t="n"/>
      <c r="GX55" s="852" t="n"/>
      <c r="GY55" s="852" t="n"/>
      <c r="GZ55" s="852" t="n"/>
      <c r="HA55" s="852" t="n"/>
      <c r="HB55" s="852" t="n"/>
      <c r="HC55" s="852" t="n"/>
      <c r="HD55" s="852" t="n"/>
      <c r="HE55" s="852" t="n"/>
      <c r="HF55" s="852" t="n"/>
      <c r="HG55" s="852" t="n"/>
      <c r="HH55" s="852" t="n"/>
      <c r="HI55" s="852" t="n"/>
      <c r="HJ55" s="852" t="n"/>
      <c r="HK55" s="852" t="n"/>
      <c r="HL55" s="852" t="n"/>
      <c r="HM55" s="852" t="n"/>
      <c r="HN55" s="852" t="n"/>
      <c r="HO55" s="852" t="n"/>
      <c r="HP55" s="852" t="n"/>
      <c r="HQ55" s="852" t="n"/>
      <c r="HR55" s="852" t="n"/>
      <c r="HS55" s="852" t="n"/>
      <c r="HT55" s="852" t="n"/>
      <c r="HU55" s="852" t="n"/>
      <c r="HV55" s="852" t="n"/>
      <c r="HW55" s="852" t="n"/>
      <c r="HX55" s="852" t="n"/>
      <c r="HY55" s="852" t="n"/>
      <c r="HZ55" s="852" t="n"/>
      <c r="IA55" s="852" t="n"/>
      <c r="IB55" s="852" t="n"/>
      <c r="IC55" s="852" t="n"/>
      <c r="ID55" s="852" t="n"/>
      <c r="IE55" s="852" t="n"/>
      <c r="IF55" s="852" t="n"/>
      <c r="IG55" s="852" t="n"/>
    </row>
    <row r="56">
      <c r="A56" s="186" t="n"/>
      <c r="B56" s="186" t="n"/>
      <c r="C56" s="186" t="n"/>
      <c r="D56" s="186" t="n"/>
      <c r="E56" s="186" t="n"/>
      <c r="F56" s="213" t="n">
        <v>50</v>
      </c>
      <c r="G56" s="214">
        <f>$C$39</f>
        <v/>
      </c>
      <c r="H56" s="214">
        <f>(J55*$C$16)/12</f>
        <v/>
      </c>
      <c r="I56" s="214">
        <f>G56-H56</f>
        <v/>
      </c>
      <c r="J56" s="214">
        <f>J55-I56</f>
        <v/>
      </c>
      <c r="K56" s="946" t="n"/>
      <c r="L56" s="946" t="n"/>
      <c r="M56" s="946" t="n"/>
      <c r="N56" s="946" t="n"/>
      <c r="O56" s="946" t="n"/>
      <c r="P56" s="946" t="n"/>
      <c r="Q56" s="946" t="n"/>
      <c r="R56" s="946" t="n"/>
      <c r="S56" s="946" t="n"/>
      <c r="T56" s="946" t="n"/>
      <c r="U56" s="946" t="n"/>
      <c r="V56" s="946" t="n"/>
      <c r="W56" s="946" t="n"/>
      <c r="X56" s="946" t="n"/>
      <c r="Y56" s="946" t="n"/>
      <c r="Z56" s="946" t="n"/>
      <c r="AA56" s="946" t="n"/>
      <c r="AB56" s="946" t="n"/>
      <c r="AC56" s="852" t="n"/>
      <c r="AD56" s="852" t="n"/>
      <c r="AE56" s="852" t="n"/>
      <c r="AF56" s="852" t="n"/>
      <c r="AG56" s="852" t="n"/>
      <c r="AH56" s="852" t="n"/>
      <c r="AI56" s="852" t="n"/>
      <c r="AJ56" s="852" t="n"/>
      <c r="AK56" s="852" t="n"/>
      <c r="AL56" s="852" t="n"/>
      <c r="AM56" s="852" t="n"/>
      <c r="AN56" s="852" t="n"/>
      <c r="AO56" s="852" t="n"/>
      <c r="AP56" s="852" t="n"/>
      <c r="AQ56" s="852" t="n"/>
      <c r="AR56" s="852" t="n"/>
      <c r="AS56" s="852" t="n"/>
      <c r="AT56" s="852" t="n"/>
      <c r="AU56" s="852" t="n"/>
      <c r="AV56" s="852" t="n"/>
      <c r="AW56" s="852" t="n"/>
      <c r="AX56" s="852" t="n"/>
      <c r="AY56" s="852" t="n"/>
      <c r="AZ56" s="852" t="n"/>
      <c r="BA56" s="852" t="n"/>
      <c r="BB56" s="852" t="n"/>
      <c r="BC56" s="852" t="n"/>
      <c r="BD56" s="852" t="n"/>
      <c r="BE56" s="852" t="n"/>
      <c r="BF56" s="852" t="n"/>
      <c r="BG56" s="852" t="n"/>
      <c r="BH56" s="852" t="n"/>
      <c r="BI56" s="852" t="n"/>
      <c r="BJ56" s="852" t="n"/>
      <c r="BK56" s="852" t="n"/>
      <c r="BL56" s="852" t="n"/>
      <c r="BM56" s="852" t="n"/>
      <c r="BN56" s="852" t="n"/>
      <c r="BO56" s="852" t="n"/>
      <c r="BP56" s="852" t="n"/>
      <c r="BQ56" s="852" t="n"/>
      <c r="BR56" s="852" t="n"/>
      <c r="BS56" s="852" t="n"/>
      <c r="BT56" s="852" t="n"/>
      <c r="BU56" s="852" t="n"/>
      <c r="BV56" s="852" t="n"/>
      <c r="BW56" s="852" t="n"/>
      <c r="BX56" s="852" t="n"/>
      <c r="BY56" s="852" t="n"/>
      <c r="BZ56" s="852" t="n"/>
      <c r="CA56" s="852" t="n"/>
      <c r="CB56" s="852" t="n"/>
      <c r="CC56" s="852" t="n"/>
      <c r="CD56" s="852" t="n"/>
      <c r="CE56" s="852" t="n"/>
      <c r="CF56" s="852" t="n"/>
      <c r="CG56" s="852" t="n"/>
      <c r="CH56" s="852" t="n"/>
      <c r="CI56" s="852" t="n"/>
      <c r="CJ56" s="852" t="n"/>
      <c r="CK56" s="852" t="n"/>
      <c r="CL56" s="852" t="n"/>
      <c r="CM56" s="852" t="n"/>
      <c r="CN56" s="852" t="n"/>
      <c r="CO56" s="852" t="n"/>
      <c r="CP56" s="852" t="n"/>
      <c r="CQ56" s="852" t="n"/>
      <c r="CR56" s="852" t="n"/>
      <c r="CS56" s="852" t="n"/>
      <c r="CT56" s="852" t="n"/>
      <c r="CU56" s="852" t="n"/>
      <c r="CV56" s="852" t="n"/>
      <c r="CW56" s="852" t="n"/>
      <c r="CX56" s="852" t="n"/>
      <c r="CY56" s="852" t="n"/>
      <c r="CZ56" s="852" t="n"/>
      <c r="DA56" s="852" t="n"/>
      <c r="DB56" s="852" t="n"/>
      <c r="DC56" s="852" t="n"/>
      <c r="DD56" s="852" t="n"/>
      <c r="DE56" s="852" t="n"/>
      <c r="DF56" s="852" t="n"/>
      <c r="DG56" s="852" t="n"/>
      <c r="DH56" s="852" t="n"/>
      <c r="DI56" s="852" t="n"/>
      <c r="DJ56" s="852" t="n"/>
      <c r="DK56" s="852" t="n"/>
      <c r="DL56" s="852" t="n"/>
      <c r="DM56" s="852" t="n"/>
      <c r="DN56" s="852" t="n"/>
      <c r="DO56" s="852" t="n"/>
      <c r="DP56" s="852" t="n"/>
      <c r="DQ56" s="852" t="n"/>
      <c r="DR56" s="852" t="n"/>
      <c r="DS56" s="852" t="n"/>
      <c r="DT56" s="852" t="n"/>
      <c r="DU56" s="852" t="n"/>
      <c r="DV56" s="852" t="n"/>
      <c r="DW56" s="852" t="n"/>
      <c r="DX56" s="852" t="n"/>
      <c r="DY56" s="852" t="n"/>
      <c r="DZ56" s="852" t="n"/>
      <c r="EA56" s="852" t="n"/>
      <c r="EB56" s="852" t="n"/>
      <c r="EC56" s="852" t="n"/>
      <c r="ED56" s="852" t="n"/>
      <c r="EE56" s="852" t="n"/>
      <c r="EF56" s="852" t="n"/>
      <c r="EG56" s="852" t="n"/>
      <c r="EH56" s="852" t="n"/>
      <c r="EI56" s="852" t="n"/>
      <c r="EJ56" s="852" t="n"/>
      <c r="EK56" s="852" t="n"/>
      <c r="EL56" s="852" t="n"/>
      <c r="EM56" s="852" t="n"/>
      <c r="EN56" s="852" t="n"/>
      <c r="EO56" s="852" t="n"/>
      <c r="EP56" s="852" t="n"/>
      <c r="EQ56" s="852" t="n"/>
      <c r="ER56" s="852" t="n"/>
      <c r="ES56" s="852" t="n"/>
      <c r="ET56" s="852" t="n"/>
      <c r="EU56" s="852" t="n"/>
      <c r="EV56" s="852" t="n"/>
      <c r="EW56" s="852" t="n"/>
      <c r="EX56" s="852" t="n"/>
      <c r="EY56" s="852" t="n"/>
      <c r="EZ56" s="852" t="n"/>
      <c r="FA56" s="852" t="n"/>
      <c r="FB56" s="852" t="n"/>
      <c r="FC56" s="852" t="n"/>
      <c r="FD56" s="852" t="n"/>
      <c r="FE56" s="852" t="n"/>
      <c r="FF56" s="852" t="n"/>
      <c r="FG56" s="852" t="n"/>
      <c r="FH56" s="852" t="n"/>
      <c r="FI56" s="852" t="n"/>
      <c r="FJ56" s="852" t="n"/>
      <c r="FK56" s="852" t="n"/>
      <c r="FL56" s="852" t="n"/>
      <c r="FM56" s="852" t="n"/>
      <c r="FN56" s="852" t="n"/>
      <c r="FO56" s="852" t="n"/>
      <c r="FP56" s="852" t="n"/>
      <c r="FQ56" s="852" t="n"/>
      <c r="FR56" s="852" t="n"/>
      <c r="FS56" s="852" t="n"/>
      <c r="FT56" s="852" t="n"/>
      <c r="FU56" s="852" t="n"/>
      <c r="FV56" s="852" t="n"/>
      <c r="FW56" s="852" t="n"/>
      <c r="FX56" s="852" t="n"/>
      <c r="FY56" s="852" t="n"/>
      <c r="FZ56" s="852" t="n"/>
      <c r="GA56" s="852" t="n"/>
      <c r="GB56" s="852" t="n"/>
      <c r="GC56" s="852" t="n"/>
      <c r="GD56" s="852" t="n"/>
      <c r="GE56" s="852" t="n"/>
      <c r="GF56" s="852" t="n"/>
      <c r="GG56" s="852" t="n"/>
      <c r="GH56" s="852" t="n"/>
      <c r="GI56" s="852" t="n"/>
      <c r="GJ56" s="852" t="n"/>
      <c r="GK56" s="852" t="n"/>
      <c r="GL56" s="852" t="n"/>
      <c r="GM56" s="852" t="n"/>
      <c r="GN56" s="852" t="n"/>
      <c r="GO56" s="852" t="n"/>
      <c r="GP56" s="852" t="n"/>
      <c r="GQ56" s="852" t="n"/>
      <c r="GR56" s="852" t="n"/>
      <c r="GS56" s="852" t="n"/>
      <c r="GT56" s="852" t="n"/>
      <c r="GU56" s="852" t="n"/>
      <c r="GV56" s="852" t="n"/>
      <c r="GW56" s="852" t="n"/>
      <c r="GX56" s="852" t="n"/>
      <c r="GY56" s="852" t="n"/>
      <c r="GZ56" s="852" t="n"/>
      <c r="HA56" s="852" t="n"/>
      <c r="HB56" s="852" t="n"/>
      <c r="HC56" s="852" t="n"/>
      <c r="HD56" s="852" t="n"/>
      <c r="HE56" s="852" t="n"/>
      <c r="HF56" s="852" t="n"/>
      <c r="HG56" s="852" t="n"/>
      <c r="HH56" s="852" t="n"/>
      <c r="HI56" s="852" t="n"/>
      <c r="HJ56" s="852" t="n"/>
      <c r="HK56" s="852" t="n"/>
      <c r="HL56" s="852" t="n"/>
      <c r="HM56" s="852" t="n"/>
      <c r="HN56" s="852" t="n"/>
      <c r="HO56" s="852" t="n"/>
      <c r="HP56" s="852" t="n"/>
      <c r="HQ56" s="852" t="n"/>
      <c r="HR56" s="852" t="n"/>
      <c r="HS56" s="852" t="n"/>
      <c r="HT56" s="852" t="n"/>
      <c r="HU56" s="852" t="n"/>
      <c r="HV56" s="852" t="n"/>
      <c r="HW56" s="852" t="n"/>
      <c r="HX56" s="852" t="n"/>
      <c r="HY56" s="852" t="n"/>
      <c r="HZ56" s="852" t="n"/>
      <c r="IA56" s="852" t="n"/>
      <c r="IB56" s="852" t="n"/>
      <c r="IC56" s="852" t="n"/>
      <c r="ID56" s="852" t="n"/>
      <c r="IE56" s="852" t="n"/>
      <c r="IF56" s="852" t="n"/>
      <c r="IG56" s="852" t="n"/>
    </row>
    <row r="57">
      <c r="A57" s="186" t="n"/>
      <c r="B57" s="186" t="n"/>
      <c r="C57" s="186" t="n"/>
      <c r="D57" s="186" t="n"/>
      <c r="E57" s="186" t="n"/>
      <c r="F57" s="213" t="n">
        <v>51</v>
      </c>
      <c r="G57" s="214">
        <f>$C$39</f>
        <v/>
      </c>
      <c r="H57" s="214">
        <f>(J56*$C$16)/12</f>
        <v/>
      </c>
      <c r="I57" s="214">
        <f>G57-H57</f>
        <v/>
      </c>
      <c r="J57" s="214">
        <f>J56-I57</f>
        <v/>
      </c>
      <c r="K57" s="946" t="n"/>
      <c r="L57" s="946" t="n"/>
      <c r="M57" s="946" t="n"/>
      <c r="N57" s="946" t="n"/>
      <c r="O57" s="946" t="n"/>
      <c r="P57" s="946" t="n"/>
      <c r="Q57" s="946" t="n"/>
      <c r="R57" s="946" t="n"/>
      <c r="S57" s="946" t="n"/>
      <c r="T57" s="946" t="n"/>
      <c r="U57" s="946" t="n"/>
      <c r="V57" s="946" t="n"/>
      <c r="W57" s="946" t="n"/>
      <c r="X57" s="946" t="n"/>
      <c r="Y57" s="946" t="n"/>
      <c r="Z57" s="946" t="n"/>
      <c r="AA57" s="946" t="n"/>
      <c r="AB57" s="946" t="n"/>
      <c r="AC57" s="852" t="n"/>
      <c r="AD57" s="852" t="n"/>
      <c r="AE57" s="852" t="n"/>
      <c r="AF57" s="852" t="n"/>
      <c r="AG57" s="852" t="n"/>
      <c r="AH57" s="852" t="n"/>
      <c r="AI57" s="852" t="n"/>
      <c r="AJ57" s="852" t="n"/>
      <c r="AK57" s="852" t="n"/>
      <c r="AL57" s="852" t="n"/>
      <c r="AM57" s="852" t="n"/>
      <c r="AN57" s="852" t="n"/>
      <c r="AO57" s="852" t="n"/>
      <c r="AP57" s="852" t="n"/>
      <c r="AQ57" s="852" t="n"/>
      <c r="AR57" s="852" t="n"/>
      <c r="AS57" s="852" t="n"/>
      <c r="AT57" s="852" t="n"/>
      <c r="AU57" s="852" t="n"/>
      <c r="AV57" s="852" t="n"/>
      <c r="AW57" s="852" t="n"/>
      <c r="AX57" s="852" t="n"/>
      <c r="AY57" s="852" t="n"/>
      <c r="AZ57" s="852" t="n"/>
      <c r="BA57" s="852" t="n"/>
      <c r="BB57" s="852" t="n"/>
      <c r="BC57" s="852" t="n"/>
      <c r="BD57" s="852" t="n"/>
      <c r="BE57" s="852" t="n"/>
      <c r="BF57" s="852" t="n"/>
      <c r="BG57" s="852" t="n"/>
      <c r="BH57" s="852" t="n"/>
      <c r="BI57" s="852" t="n"/>
      <c r="BJ57" s="852" t="n"/>
      <c r="BK57" s="852" t="n"/>
      <c r="BL57" s="852" t="n"/>
      <c r="BM57" s="852" t="n"/>
      <c r="BN57" s="852" t="n"/>
      <c r="BO57" s="852" t="n"/>
      <c r="BP57" s="852" t="n"/>
      <c r="BQ57" s="852" t="n"/>
      <c r="BR57" s="852" t="n"/>
      <c r="BS57" s="852" t="n"/>
      <c r="BT57" s="852" t="n"/>
      <c r="BU57" s="852" t="n"/>
      <c r="BV57" s="852" t="n"/>
      <c r="BW57" s="852" t="n"/>
      <c r="BX57" s="852" t="n"/>
      <c r="BY57" s="852" t="n"/>
      <c r="BZ57" s="852" t="n"/>
      <c r="CA57" s="852" t="n"/>
      <c r="CB57" s="852" t="n"/>
      <c r="CC57" s="852" t="n"/>
      <c r="CD57" s="852" t="n"/>
      <c r="CE57" s="852" t="n"/>
      <c r="CF57" s="852" t="n"/>
      <c r="CG57" s="852" t="n"/>
      <c r="CH57" s="852" t="n"/>
      <c r="CI57" s="852" t="n"/>
      <c r="CJ57" s="852" t="n"/>
      <c r="CK57" s="852" t="n"/>
      <c r="CL57" s="852" t="n"/>
      <c r="CM57" s="852" t="n"/>
      <c r="CN57" s="852" t="n"/>
      <c r="CO57" s="852" t="n"/>
      <c r="CP57" s="852" t="n"/>
      <c r="CQ57" s="852" t="n"/>
      <c r="CR57" s="852" t="n"/>
      <c r="CS57" s="852" t="n"/>
      <c r="CT57" s="852" t="n"/>
      <c r="CU57" s="852" t="n"/>
      <c r="CV57" s="852" t="n"/>
      <c r="CW57" s="852" t="n"/>
      <c r="CX57" s="852" t="n"/>
      <c r="CY57" s="852" t="n"/>
      <c r="CZ57" s="852" t="n"/>
      <c r="DA57" s="852" t="n"/>
      <c r="DB57" s="852" t="n"/>
      <c r="DC57" s="852" t="n"/>
      <c r="DD57" s="852" t="n"/>
      <c r="DE57" s="852" t="n"/>
      <c r="DF57" s="852" t="n"/>
      <c r="DG57" s="852" t="n"/>
      <c r="DH57" s="852" t="n"/>
      <c r="DI57" s="852" t="n"/>
      <c r="DJ57" s="852" t="n"/>
      <c r="DK57" s="852" t="n"/>
      <c r="DL57" s="852" t="n"/>
      <c r="DM57" s="852" t="n"/>
      <c r="DN57" s="852" t="n"/>
      <c r="DO57" s="852" t="n"/>
      <c r="DP57" s="852" t="n"/>
      <c r="DQ57" s="852" t="n"/>
      <c r="DR57" s="852" t="n"/>
      <c r="DS57" s="852" t="n"/>
      <c r="DT57" s="852" t="n"/>
      <c r="DU57" s="852" t="n"/>
      <c r="DV57" s="852" t="n"/>
      <c r="DW57" s="852" t="n"/>
      <c r="DX57" s="852" t="n"/>
      <c r="DY57" s="852" t="n"/>
      <c r="DZ57" s="852" t="n"/>
      <c r="EA57" s="852" t="n"/>
      <c r="EB57" s="852" t="n"/>
      <c r="EC57" s="852" t="n"/>
      <c r="ED57" s="852" t="n"/>
      <c r="EE57" s="852" t="n"/>
      <c r="EF57" s="852" t="n"/>
      <c r="EG57" s="852" t="n"/>
      <c r="EH57" s="852" t="n"/>
      <c r="EI57" s="852" t="n"/>
      <c r="EJ57" s="852" t="n"/>
      <c r="EK57" s="852" t="n"/>
      <c r="EL57" s="852" t="n"/>
      <c r="EM57" s="852" t="n"/>
      <c r="EN57" s="852" t="n"/>
      <c r="EO57" s="852" t="n"/>
      <c r="EP57" s="852" t="n"/>
      <c r="EQ57" s="852" t="n"/>
      <c r="ER57" s="852" t="n"/>
      <c r="ES57" s="852" t="n"/>
      <c r="ET57" s="852" t="n"/>
      <c r="EU57" s="852" t="n"/>
      <c r="EV57" s="852" t="n"/>
      <c r="EW57" s="852" t="n"/>
      <c r="EX57" s="852" t="n"/>
      <c r="EY57" s="852" t="n"/>
      <c r="EZ57" s="852" t="n"/>
      <c r="FA57" s="852" t="n"/>
      <c r="FB57" s="852" t="n"/>
      <c r="FC57" s="852" t="n"/>
      <c r="FD57" s="852" t="n"/>
      <c r="FE57" s="852" t="n"/>
      <c r="FF57" s="852" t="n"/>
      <c r="FG57" s="852" t="n"/>
      <c r="FH57" s="852" t="n"/>
      <c r="FI57" s="852" t="n"/>
      <c r="FJ57" s="852" t="n"/>
      <c r="FK57" s="852" t="n"/>
      <c r="FL57" s="852" t="n"/>
      <c r="FM57" s="852" t="n"/>
      <c r="FN57" s="852" t="n"/>
      <c r="FO57" s="852" t="n"/>
      <c r="FP57" s="852" t="n"/>
      <c r="FQ57" s="852" t="n"/>
      <c r="FR57" s="852" t="n"/>
      <c r="FS57" s="852" t="n"/>
      <c r="FT57" s="852" t="n"/>
      <c r="FU57" s="852" t="n"/>
      <c r="FV57" s="852" t="n"/>
      <c r="FW57" s="852" t="n"/>
      <c r="FX57" s="852" t="n"/>
      <c r="FY57" s="852" t="n"/>
      <c r="FZ57" s="852" t="n"/>
      <c r="GA57" s="852" t="n"/>
      <c r="GB57" s="852" t="n"/>
      <c r="GC57" s="852" t="n"/>
      <c r="GD57" s="852" t="n"/>
      <c r="GE57" s="852" t="n"/>
      <c r="GF57" s="852" t="n"/>
      <c r="GG57" s="852" t="n"/>
      <c r="GH57" s="852" t="n"/>
      <c r="GI57" s="852" t="n"/>
      <c r="GJ57" s="852" t="n"/>
      <c r="GK57" s="852" t="n"/>
      <c r="GL57" s="852" t="n"/>
      <c r="GM57" s="852" t="n"/>
      <c r="GN57" s="852" t="n"/>
      <c r="GO57" s="852" t="n"/>
      <c r="GP57" s="852" t="n"/>
      <c r="GQ57" s="852" t="n"/>
      <c r="GR57" s="852" t="n"/>
      <c r="GS57" s="852" t="n"/>
      <c r="GT57" s="852" t="n"/>
      <c r="GU57" s="852" t="n"/>
      <c r="GV57" s="852" t="n"/>
      <c r="GW57" s="852" t="n"/>
      <c r="GX57" s="852" t="n"/>
      <c r="GY57" s="852" t="n"/>
      <c r="GZ57" s="852" t="n"/>
      <c r="HA57" s="852" t="n"/>
      <c r="HB57" s="852" t="n"/>
      <c r="HC57" s="852" t="n"/>
      <c r="HD57" s="852" t="n"/>
      <c r="HE57" s="852" t="n"/>
      <c r="HF57" s="852" t="n"/>
      <c r="HG57" s="852" t="n"/>
      <c r="HH57" s="852" t="n"/>
      <c r="HI57" s="852" t="n"/>
      <c r="HJ57" s="852" t="n"/>
      <c r="HK57" s="852" t="n"/>
      <c r="HL57" s="852" t="n"/>
      <c r="HM57" s="852" t="n"/>
      <c r="HN57" s="852" t="n"/>
      <c r="HO57" s="852" t="n"/>
      <c r="HP57" s="852" t="n"/>
      <c r="HQ57" s="852" t="n"/>
      <c r="HR57" s="852" t="n"/>
      <c r="HS57" s="852" t="n"/>
      <c r="HT57" s="852" t="n"/>
      <c r="HU57" s="852" t="n"/>
      <c r="HV57" s="852" t="n"/>
      <c r="HW57" s="852" t="n"/>
      <c r="HX57" s="852" t="n"/>
      <c r="HY57" s="852" t="n"/>
      <c r="HZ57" s="852" t="n"/>
      <c r="IA57" s="852" t="n"/>
      <c r="IB57" s="852" t="n"/>
      <c r="IC57" s="852" t="n"/>
      <c r="ID57" s="852" t="n"/>
      <c r="IE57" s="852" t="n"/>
      <c r="IF57" s="852" t="n"/>
      <c r="IG57" s="852" t="n"/>
    </row>
    <row r="58">
      <c r="A58" s="186" t="n"/>
      <c r="B58" s="186" t="n"/>
      <c r="C58" s="186" t="n"/>
      <c r="D58" s="186" t="n"/>
      <c r="E58" s="186" t="n"/>
      <c r="F58" s="213" t="n">
        <v>52</v>
      </c>
      <c r="G58" s="214">
        <f>$C$39</f>
        <v/>
      </c>
      <c r="H58" s="214">
        <f>(J57*$C$16)/12</f>
        <v/>
      </c>
      <c r="I58" s="214">
        <f>G58-H58</f>
        <v/>
      </c>
      <c r="J58" s="214">
        <f>J57-I58</f>
        <v/>
      </c>
      <c r="K58" s="946" t="n"/>
      <c r="L58" s="946" t="n"/>
      <c r="M58" s="946" t="n"/>
      <c r="N58" s="946" t="n"/>
      <c r="O58" s="946" t="n"/>
      <c r="P58" s="946" t="n"/>
      <c r="Q58" s="946" t="n"/>
      <c r="R58" s="946" t="n"/>
      <c r="S58" s="946" t="n"/>
      <c r="T58" s="946" t="n"/>
      <c r="U58" s="946" t="n"/>
      <c r="V58" s="946" t="n"/>
      <c r="W58" s="946" t="n"/>
      <c r="X58" s="946" t="n"/>
      <c r="Y58" s="946" t="n"/>
      <c r="Z58" s="946" t="n"/>
      <c r="AA58" s="946" t="n"/>
      <c r="AB58" s="946" t="n"/>
      <c r="AC58" s="852" t="n"/>
      <c r="AD58" s="852" t="n"/>
      <c r="AE58" s="852" t="n"/>
      <c r="AF58" s="852" t="n"/>
      <c r="AG58" s="852" t="n"/>
      <c r="AH58" s="852" t="n"/>
      <c r="AI58" s="852" t="n"/>
      <c r="AJ58" s="852" t="n"/>
      <c r="AK58" s="852" t="n"/>
      <c r="AL58" s="852" t="n"/>
      <c r="AM58" s="852" t="n"/>
      <c r="AN58" s="852" t="n"/>
      <c r="AO58" s="852" t="n"/>
      <c r="AP58" s="852" t="n"/>
      <c r="AQ58" s="852" t="n"/>
      <c r="AR58" s="852" t="n"/>
      <c r="AS58" s="852" t="n"/>
      <c r="AT58" s="852" t="n"/>
      <c r="AU58" s="852" t="n"/>
      <c r="AV58" s="852" t="n"/>
      <c r="AW58" s="852" t="n"/>
      <c r="AX58" s="852" t="n"/>
      <c r="AY58" s="852" t="n"/>
      <c r="AZ58" s="852" t="n"/>
      <c r="BA58" s="852" t="n"/>
      <c r="BB58" s="852" t="n"/>
      <c r="BC58" s="852" t="n"/>
      <c r="BD58" s="852" t="n"/>
      <c r="BE58" s="852" t="n"/>
      <c r="BF58" s="852" t="n"/>
      <c r="BG58" s="852" t="n"/>
      <c r="BH58" s="852" t="n"/>
      <c r="BI58" s="852" t="n"/>
      <c r="BJ58" s="852" t="n"/>
      <c r="BK58" s="852" t="n"/>
      <c r="BL58" s="852" t="n"/>
      <c r="BM58" s="852" t="n"/>
      <c r="BN58" s="852" t="n"/>
      <c r="BO58" s="852" t="n"/>
      <c r="BP58" s="852" t="n"/>
      <c r="BQ58" s="852" t="n"/>
      <c r="BR58" s="852" t="n"/>
      <c r="BS58" s="852" t="n"/>
      <c r="BT58" s="852" t="n"/>
      <c r="BU58" s="852" t="n"/>
      <c r="BV58" s="852" t="n"/>
      <c r="BW58" s="852" t="n"/>
      <c r="BX58" s="852" t="n"/>
      <c r="BY58" s="852" t="n"/>
      <c r="BZ58" s="852" t="n"/>
      <c r="CA58" s="852" t="n"/>
      <c r="CB58" s="852" t="n"/>
      <c r="CC58" s="852" t="n"/>
      <c r="CD58" s="852" t="n"/>
      <c r="CE58" s="852" t="n"/>
      <c r="CF58" s="852" t="n"/>
      <c r="CG58" s="852" t="n"/>
      <c r="CH58" s="852" t="n"/>
      <c r="CI58" s="852" t="n"/>
      <c r="CJ58" s="852" t="n"/>
      <c r="CK58" s="852" t="n"/>
      <c r="CL58" s="852" t="n"/>
      <c r="CM58" s="852" t="n"/>
      <c r="CN58" s="852" t="n"/>
      <c r="CO58" s="852" t="n"/>
      <c r="CP58" s="852" t="n"/>
      <c r="CQ58" s="852" t="n"/>
      <c r="CR58" s="852" t="n"/>
      <c r="CS58" s="852" t="n"/>
      <c r="CT58" s="852" t="n"/>
      <c r="CU58" s="852" t="n"/>
      <c r="CV58" s="852" t="n"/>
      <c r="CW58" s="852" t="n"/>
      <c r="CX58" s="852" t="n"/>
      <c r="CY58" s="852" t="n"/>
      <c r="CZ58" s="852" t="n"/>
      <c r="DA58" s="852" t="n"/>
      <c r="DB58" s="852" t="n"/>
      <c r="DC58" s="852" t="n"/>
      <c r="DD58" s="852" t="n"/>
      <c r="DE58" s="852" t="n"/>
      <c r="DF58" s="852" t="n"/>
      <c r="DG58" s="852" t="n"/>
      <c r="DH58" s="852" t="n"/>
      <c r="DI58" s="852" t="n"/>
      <c r="DJ58" s="852" t="n"/>
      <c r="DK58" s="852" t="n"/>
      <c r="DL58" s="852" t="n"/>
      <c r="DM58" s="852" t="n"/>
      <c r="DN58" s="852" t="n"/>
      <c r="DO58" s="852" t="n"/>
      <c r="DP58" s="852" t="n"/>
      <c r="DQ58" s="852" t="n"/>
      <c r="DR58" s="852" t="n"/>
      <c r="DS58" s="852" t="n"/>
      <c r="DT58" s="852" t="n"/>
      <c r="DU58" s="852" t="n"/>
      <c r="DV58" s="852" t="n"/>
      <c r="DW58" s="852" t="n"/>
      <c r="DX58" s="852" t="n"/>
      <c r="DY58" s="852" t="n"/>
      <c r="DZ58" s="852" t="n"/>
      <c r="EA58" s="852" t="n"/>
      <c r="EB58" s="852" t="n"/>
      <c r="EC58" s="852" t="n"/>
      <c r="ED58" s="852" t="n"/>
      <c r="EE58" s="852" t="n"/>
      <c r="EF58" s="852" t="n"/>
      <c r="EG58" s="852" t="n"/>
      <c r="EH58" s="852" t="n"/>
      <c r="EI58" s="852" t="n"/>
      <c r="EJ58" s="852" t="n"/>
      <c r="EK58" s="852" t="n"/>
      <c r="EL58" s="852" t="n"/>
      <c r="EM58" s="852" t="n"/>
      <c r="EN58" s="852" t="n"/>
      <c r="EO58" s="852" t="n"/>
      <c r="EP58" s="852" t="n"/>
      <c r="EQ58" s="852" t="n"/>
      <c r="ER58" s="852" t="n"/>
      <c r="ES58" s="852" t="n"/>
      <c r="ET58" s="852" t="n"/>
      <c r="EU58" s="852" t="n"/>
      <c r="EV58" s="852" t="n"/>
      <c r="EW58" s="852" t="n"/>
      <c r="EX58" s="852" t="n"/>
      <c r="EY58" s="852" t="n"/>
      <c r="EZ58" s="852" t="n"/>
      <c r="FA58" s="852" t="n"/>
      <c r="FB58" s="852" t="n"/>
      <c r="FC58" s="852" t="n"/>
      <c r="FD58" s="852" t="n"/>
      <c r="FE58" s="852" t="n"/>
      <c r="FF58" s="852" t="n"/>
      <c r="FG58" s="852" t="n"/>
      <c r="FH58" s="852" t="n"/>
      <c r="FI58" s="852" t="n"/>
      <c r="FJ58" s="852" t="n"/>
      <c r="FK58" s="852" t="n"/>
      <c r="FL58" s="852" t="n"/>
      <c r="FM58" s="852" t="n"/>
      <c r="FN58" s="852" t="n"/>
      <c r="FO58" s="852" t="n"/>
      <c r="FP58" s="852" t="n"/>
      <c r="FQ58" s="852" t="n"/>
      <c r="FR58" s="852" t="n"/>
      <c r="FS58" s="852" t="n"/>
      <c r="FT58" s="852" t="n"/>
      <c r="FU58" s="852" t="n"/>
      <c r="FV58" s="852" t="n"/>
      <c r="FW58" s="852" t="n"/>
      <c r="FX58" s="852" t="n"/>
      <c r="FY58" s="852" t="n"/>
      <c r="FZ58" s="852" t="n"/>
      <c r="GA58" s="852" t="n"/>
      <c r="GB58" s="852" t="n"/>
      <c r="GC58" s="852" t="n"/>
      <c r="GD58" s="852" t="n"/>
      <c r="GE58" s="852" t="n"/>
      <c r="GF58" s="852" t="n"/>
      <c r="GG58" s="852" t="n"/>
      <c r="GH58" s="852" t="n"/>
      <c r="GI58" s="852" t="n"/>
      <c r="GJ58" s="852" t="n"/>
      <c r="GK58" s="852" t="n"/>
      <c r="GL58" s="852" t="n"/>
      <c r="GM58" s="852" t="n"/>
      <c r="GN58" s="852" t="n"/>
      <c r="GO58" s="852" t="n"/>
      <c r="GP58" s="852" t="n"/>
      <c r="GQ58" s="852" t="n"/>
      <c r="GR58" s="852" t="n"/>
      <c r="GS58" s="852" t="n"/>
      <c r="GT58" s="852" t="n"/>
      <c r="GU58" s="852" t="n"/>
      <c r="GV58" s="852" t="n"/>
      <c r="GW58" s="852" t="n"/>
      <c r="GX58" s="852" t="n"/>
      <c r="GY58" s="852" t="n"/>
      <c r="GZ58" s="852" t="n"/>
      <c r="HA58" s="852" t="n"/>
      <c r="HB58" s="852" t="n"/>
      <c r="HC58" s="852" t="n"/>
      <c r="HD58" s="852" t="n"/>
      <c r="HE58" s="852" t="n"/>
      <c r="HF58" s="852" t="n"/>
      <c r="HG58" s="852" t="n"/>
      <c r="HH58" s="852" t="n"/>
      <c r="HI58" s="852" t="n"/>
      <c r="HJ58" s="852" t="n"/>
      <c r="HK58" s="852" t="n"/>
      <c r="HL58" s="852" t="n"/>
      <c r="HM58" s="852" t="n"/>
      <c r="HN58" s="852" t="n"/>
      <c r="HO58" s="852" t="n"/>
      <c r="HP58" s="852" t="n"/>
      <c r="HQ58" s="852" t="n"/>
      <c r="HR58" s="852" t="n"/>
      <c r="HS58" s="852" t="n"/>
      <c r="HT58" s="852" t="n"/>
      <c r="HU58" s="852" t="n"/>
      <c r="HV58" s="852" t="n"/>
      <c r="HW58" s="852" t="n"/>
      <c r="HX58" s="852" t="n"/>
      <c r="HY58" s="852" t="n"/>
      <c r="HZ58" s="852" t="n"/>
      <c r="IA58" s="852" t="n"/>
      <c r="IB58" s="852" t="n"/>
      <c r="IC58" s="852" t="n"/>
      <c r="ID58" s="852" t="n"/>
      <c r="IE58" s="852" t="n"/>
      <c r="IF58" s="852" t="n"/>
      <c r="IG58" s="852" t="n"/>
    </row>
    <row r="59">
      <c r="A59" s="186" t="n"/>
      <c r="B59" s="186" t="n"/>
      <c r="C59" s="186" t="n"/>
      <c r="D59" s="186" t="n"/>
      <c r="E59" s="186" t="n"/>
      <c r="F59" s="213" t="n">
        <v>53</v>
      </c>
      <c r="G59" s="214">
        <f>$C$39</f>
        <v/>
      </c>
      <c r="H59" s="214">
        <f>(J58*$C$16)/12</f>
        <v/>
      </c>
      <c r="I59" s="214">
        <f>G59-H59</f>
        <v/>
      </c>
      <c r="J59" s="214">
        <f>J58-I59</f>
        <v/>
      </c>
      <c r="K59" s="946" t="n"/>
      <c r="L59" s="946" t="n"/>
      <c r="M59" s="946" t="n"/>
      <c r="N59" s="946" t="n"/>
      <c r="O59" s="946" t="n"/>
      <c r="P59" s="946" t="n"/>
      <c r="Q59" s="946" t="n"/>
      <c r="R59" s="946" t="n"/>
      <c r="S59" s="946" t="n"/>
      <c r="T59" s="946" t="n"/>
      <c r="U59" s="946" t="n"/>
      <c r="V59" s="946" t="n"/>
      <c r="W59" s="946" t="n"/>
      <c r="X59" s="946" t="n"/>
      <c r="Y59" s="946" t="n"/>
      <c r="Z59" s="946" t="n"/>
      <c r="AA59" s="946" t="n"/>
      <c r="AB59" s="946" t="n"/>
      <c r="AC59" s="852" t="n"/>
      <c r="AD59" s="852" t="n"/>
      <c r="AE59" s="852" t="n"/>
      <c r="AF59" s="852" t="n"/>
      <c r="AG59" s="852" t="n"/>
      <c r="AH59" s="852" t="n"/>
      <c r="AI59" s="852" t="n"/>
      <c r="AJ59" s="852" t="n"/>
      <c r="AK59" s="852" t="n"/>
      <c r="AL59" s="852" t="n"/>
      <c r="AM59" s="852" t="n"/>
      <c r="AN59" s="852" t="n"/>
      <c r="AO59" s="852" t="n"/>
      <c r="AP59" s="852" t="n"/>
      <c r="AQ59" s="852" t="n"/>
      <c r="AR59" s="852" t="n"/>
      <c r="AS59" s="852" t="n"/>
      <c r="AT59" s="852" t="n"/>
      <c r="AU59" s="852" t="n"/>
      <c r="AV59" s="852" t="n"/>
      <c r="AW59" s="852" t="n"/>
      <c r="AX59" s="852" t="n"/>
      <c r="AY59" s="852" t="n"/>
      <c r="AZ59" s="852" t="n"/>
      <c r="BA59" s="852" t="n"/>
      <c r="BB59" s="852" t="n"/>
      <c r="BC59" s="852" t="n"/>
      <c r="BD59" s="852" t="n"/>
      <c r="BE59" s="852" t="n"/>
      <c r="BF59" s="852" t="n"/>
      <c r="BG59" s="852" t="n"/>
      <c r="BH59" s="852" t="n"/>
      <c r="BI59" s="852" t="n"/>
      <c r="BJ59" s="852" t="n"/>
      <c r="BK59" s="852" t="n"/>
      <c r="BL59" s="852" t="n"/>
      <c r="BM59" s="852" t="n"/>
      <c r="BN59" s="852" t="n"/>
      <c r="BO59" s="852" t="n"/>
      <c r="BP59" s="852" t="n"/>
      <c r="BQ59" s="852" t="n"/>
      <c r="BR59" s="852" t="n"/>
      <c r="BS59" s="852" t="n"/>
      <c r="BT59" s="852" t="n"/>
      <c r="BU59" s="852" t="n"/>
      <c r="BV59" s="852" t="n"/>
      <c r="BW59" s="852" t="n"/>
      <c r="BX59" s="852" t="n"/>
      <c r="BY59" s="852" t="n"/>
      <c r="BZ59" s="852" t="n"/>
      <c r="CA59" s="852" t="n"/>
      <c r="CB59" s="852" t="n"/>
      <c r="CC59" s="852" t="n"/>
      <c r="CD59" s="852" t="n"/>
      <c r="CE59" s="852" t="n"/>
      <c r="CF59" s="852" t="n"/>
      <c r="CG59" s="852" t="n"/>
      <c r="CH59" s="852" t="n"/>
      <c r="CI59" s="852" t="n"/>
      <c r="CJ59" s="852" t="n"/>
      <c r="CK59" s="852" t="n"/>
      <c r="CL59" s="852" t="n"/>
      <c r="CM59" s="852" t="n"/>
      <c r="CN59" s="852" t="n"/>
      <c r="CO59" s="852" t="n"/>
      <c r="CP59" s="852" t="n"/>
      <c r="CQ59" s="852" t="n"/>
      <c r="CR59" s="852" t="n"/>
      <c r="CS59" s="852" t="n"/>
      <c r="CT59" s="852" t="n"/>
      <c r="CU59" s="852" t="n"/>
      <c r="CV59" s="852" t="n"/>
      <c r="CW59" s="852" t="n"/>
      <c r="CX59" s="852" t="n"/>
      <c r="CY59" s="852" t="n"/>
      <c r="CZ59" s="852" t="n"/>
      <c r="DA59" s="852" t="n"/>
      <c r="DB59" s="852" t="n"/>
      <c r="DC59" s="852" t="n"/>
      <c r="DD59" s="852" t="n"/>
      <c r="DE59" s="852" t="n"/>
      <c r="DF59" s="852" t="n"/>
      <c r="DG59" s="852" t="n"/>
      <c r="DH59" s="852" t="n"/>
      <c r="DI59" s="852" t="n"/>
      <c r="DJ59" s="852" t="n"/>
      <c r="DK59" s="852" t="n"/>
      <c r="DL59" s="852" t="n"/>
      <c r="DM59" s="852" t="n"/>
      <c r="DN59" s="852" t="n"/>
      <c r="DO59" s="852" t="n"/>
      <c r="DP59" s="852" t="n"/>
      <c r="DQ59" s="852" t="n"/>
      <c r="DR59" s="852" t="n"/>
      <c r="DS59" s="852" t="n"/>
      <c r="DT59" s="852" t="n"/>
      <c r="DU59" s="852" t="n"/>
      <c r="DV59" s="852" t="n"/>
      <c r="DW59" s="852" t="n"/>
      <c r="DX59" s="852" t="n"/>
      <c r="DY59" s="852" t="n"/>
      <c r="DZ59" s="852" t="n"/>
      <c r="EA59" s="852" t="n"/>
      <c r="EB59" s="852" t="n"/>
      <c r="EC59" s="852" t="n"/>
      <c r="ED59" s="852" t="n"/>
      <c r="EE59" s="852" t="n"/>
      <c r="EF59" s="852" t="n"/>
      <c r="EG59" s="852" t="n"/>
      <c r="EH59" s="852" t="n"/>
      <c r="EI59" s="852" t="n"/>
      <c r="EJ59" s="852" t="n"/>
      <c r="EK59" s="852" t="n"/>
      <c r="EL59" s="852" t="n"/>
      <c r="EM59" s="852" t="n"/>
      <c r="EN59" s="852" t="n"/>
      <c r="EO59" s="852" t="n"/>
      <c r="EP59" s="852" t="n"/>
      <c r="EQ59" s="852" t="n"/>
      <c r="ER59" s="852" t="n"/>
      <c r="ES59" s="852" t="n"/>
      <c r="ET59" s="852" t="n"/>
      <c r="EU59" s="852" t="n"/>
      <c r="EV59" s="852" t="n"/>
      <c r="EW59" s="852" t="n"/>
      <c r="EX59" s="852" t="n"/>
      <c r="EY59" s="852" t="n"/>
      <c r="EZ59" s="852" t="n"/>
      <c r="FA59" s="852" t="n"/>
      <c r="FB59" s="852" t="n"/>
      <c r="FC59" s="852" t="n"/>
      <c r="FD59" s="852" t="n"/>
      <c r="FE59" s="852" t="n"/>
      <c r="FF59" s="852" t="n"/>
      <c r="FG59" s="852" t="n"/>
      <c r="FH59" s="852" t="n"/>
      <c r="FI59" s="852" t="n"/>
      <c r="FJ59" s="852" t="n"/>
      <c r="FK59" s="852" t="n"/>
      <c r="FL59" s="852" t="n"/>
      <c r="FM59" s="852" t="n"/>
      <c r="FN59" s="852" t="n"/>
      <c r="FO59" s="852" t="n"/>
      <c r="FP59" s="852" t="n"/>
      <c r="FQ59" s="852" t="n"/>
      <c r="FR59" s="852" t="n"/>
      <c r="FS59" s="852" t="n"/>
      <c r="FT59" s="852" t="n"/>
      <c r="FU59" s="852" t="n"/>
      <c r="FV59" s="852" t="n"/>
      <c r="FW59" s="852" t="n"/>
      <c r="FX59" s="852" t="n"/>
      <c r="FY59" s="852" t="n"/>
      <c r="FZ59" s="852" t="n"/>
      <c r="GA59" s="852" t="n"/>
      <c r="GB59" s="852" t="n"/>
      <c r="GC59" s="852" t="n"/>
      <c r="GD59" s="852" t="n"/>
      <c r="GE59" s="852" t="n"/>
      <c r="GF59" s="852" t="n"/>
      <c r="GG59" s="852" t="n"/>
      <c r="GH59" s="852" t="n"/>
      <c r="GI59" s="852" t="n"/>
      <c r="GJ59" s="852" t="n"/>
      <c r="GK59" s="852" t="n"/>
      <c r="GL59" s="852" t="n"/>
      <c r="GM59" s="852" t="n"/>
      <c r="GN59" s="852" t="n"/>
      <c r="GO59" s="852" t="n"/>
      <c r="GP59" s="852" t="n"/>
      <c r="GQ59" s="852" t="n"/>
      <c r="GR59" s="852" t="n"/>
      <c r="GS59" s="852" t="n"/>
      <c r="GT59" s="852" t="n"/>
      <c r="GU59" s="852" t="n"/>
      <c r="GV59" s="852" t="n"/>
      <c r="GW59" s="852" t="n"/>
      <c r="GX59" s="852" t="n"/>
      <c r="GY59" s="852" t="n"/>
      <c r="GZ59" s="852" t="n"/>
      <c r="HA59" s="852" t="n"/>
      <c r="HB59" s="852" t="n"/>
      <c r="HC59" s="852" t="n"/>
      <c r="HD59" s="852" t="n"/>
      <c r="HE59" s="852" t="n"/>
      <c r="HF59" s="852" t="n"/>
      <c r="HG59" s="852" t="n"/>
      <c r="HH59" s="852" t="n"/>
      <c r="HI59" s="852" t="n"/>
      <c r="HJ59" s="852" t="n"/>
      <c r="HK59" s="852" t="n"/>
      <c r="HL59" s="852" t="n"/>
      <c r="HM59" s="852" t="n"/>
      <c r="HN59" s="852" t="n"/>
      <c r="HO59" s="852" t="n"/>
      <c r="HP59" s="852" t="n"/>
      <c r="HQ59" s="852" t="n"/>
      <c r="HR59" s="852" t="n"/>
      <c r="HS59" s="852" t="n"/>
      <c r="HT59" s="852" t="n"/>
      <c r="HU59" s="852" t="n"/>
      <c r="HV59" s="852" t="n"/>
      <c r="HW59" s="852" t="n"/>
      <c r="HX59" s="852" t="n"/>
      <c r="HY59" s="852" t="n"/>
      <c r="HZ59" s="852" t="n"/>
      <c r="IA59" s="852" t="n"/>
      <c r="IB59" s="852" t="n"/>
      <c r="IC59" s="852" t="n"/>
      <c r="ID59" s="852" t="n"/>
      <c r="IE59" s="852" t="n"/>
      <c r="IF59" s="852" t="n"/>
      <c r="IG59" s="852" t="n"/>
    </row>
    <row r="60">
      <c r="A60" s="186" t="n"/>
      <c r="B60" s="186" t="n"/>
      <c r="C60" s="186" t="n"/>
      <c r="D60" s="186" t="n"/>
      <c r="E60" s="186" t="n"/>
      <c r="F60" s="213" t="n">
        <v>54</v>
      </c>
      <c r="G60" s="214">
        <f>$C$39</f>
        <v/>
      </c>
      <c r="H60" s="214">
        <f>(J59*$C$16)/12</f>
        <v/>
      </c>
      <c r="I60" s="214">
        <f>G60-H60</f>
        <v/>
      </c>
      <c r="J60" s="214">
        <f>J59-I60</f>
        <v/>
      </c>
      <c r="K60" s="946" t="n"/>
      <c r="L60" s="946" t="n"/>
      <c r="M60" s="946" t="n"/>
      <c r="N60" s="946" t="n"/>
      <c r="O60" s="946" t="n"/>
      <c r="P60" s="946" t="n"/>
      <c r="Q60" s="946" t="n"/>
      <c r="R60" s="946" t="n"/>
      <c r="S60" s="946" t="n"/>
      <c r="T60" s="946" t="n"/>
      <c r="U60" s="946" t="n"/>
      <c r="V60" s="946" t="n"/>
      <c r="W60" s="946" t="n"/>
      <c r="X60" s="946" t="n"/>
      <c r="Y60" s="946" t="n"/>
      <c r="Z60" s="946" t="n"/>
      <c r="AA60" s="946" t="n"/>
      <c r="AB60" s="946" t="n"/>
      <c r="AC60" s="852" t="n"/>
      <c r="AD60" s="852" t="n"/>
      <c r="AE60" s="852" t="n"/>
      <c r="AF60" s="852" t="n"/>
      <c r="AG60" s="852" t="n"/>
      <c r="AH60" s="852" t="n"/>
      <c r="AI60" s="852" t="n"/>
      <c r="AJ60" s="852" t="n"/>
      <c r="AK60" s="852" t="n"/>
      <c r="AL60" s="852" t="n"/>
      <c r="AM60" s="852" t="n"/>
      <c r="AN60" s="852" t="n"/>
      <c r="AO60" s="852" t="n"/>
      <c r="AP60" s="852" t="n"/>
      <c r="AQ60" s="852" t="n"/>
      <c r="AR60" s="852" t="n"/>
      <c r="AS60" s="852" t="n"/>
      <c r="AT60" s="852" t="n"/>
      <c r="AU60" s="852" t="n"/>
      <c r="AV60" s="852" t="n"/>
      <c r="AW60" s="852" t="n"/>
      <c r="AX60" s="852" t="n"/>
      <c r="AY60" s="852" t="n"/>
      <c r="AZ60" s="852" t="n"/>
      <c r="BA60" s="852" t="n"/>
      <c r="BB60" s="852" t="n"/>
      <c r="BC60" s="852" t="n"/>
      <c r="BD60" s="852" t="n"/>
      <c r="BE60" s="852" t="n"/>
      <c r="BF60" s="852" t="n"/>
      <c r="BG60" s="852" t="n"/>
      <c r="BH60" s="852" t="n"/>
      <c r="BI60" s="852" t="n"/>
      <c r="BJ60" s="852" t="n"/>
      <c r="BK60" s="852" t="n"/>
      <c r="BL60" s="852" t="n"/>
      <c r="BM60" s="852" t="n"/>
      <c r="BN60" s="852" t="n"/>
      <c r="BO60" s="852" t="n"/>
      <c r="BP60" s="852" t="n"/>
      <c r="BQ60" s="852" t="n"/>
      <c r="BR60" s="852" t="n"/>
      <c r="BS60" s="852" t="n"/>
      <c r="BT60" s="852" t="n"/>
      <c r="BU60" s="852" t="n"/>
      <c r="BV60" s="852" t="n"/>
      <c r="BW60" s="852" t="n"/>
      <c r="BX60" s="852" t="n"/>
      <c r="BY60" s="852" t="n"/>
      <c r="BZ60" s="852" t="n"/>
      <c r="CA60" s="852" t="n"/>
      <c r="CB60" s="852" t="n"/>
      <c r="CC60" s="852" t="n"/>
      <c r="CD60" s="852" t="n"/>
      <c r="CE60" s="852" t="n"/>
      <c r="CF60" s="852" t="n"/>
      <c r="CG60" s="852" t="n"/>
      <c r="CH60" s="852" t="n"/>
      <c r="CI60" s="852" t="n"/>
      <c r="CJ60" s="852" t="n"/>
      <c r="CK60" s="852" t="n"/>
      <c r="CL60" s="852" t="n"/>
      <c r="CM60" s="852" t="n"/>
      <c r="CN60" s="852" t="n"/>
      <c r="CO60" s="852" t="n"/>
      <c r="CP60" s="852" t="n"/>
      <c r="CQ60" s="852" t="n"/>
      <c r="CR60" s="852" t="n"/>
      <c r="CS60" s="852" t="n"/>
      <c r="CT60" s="852" t="n"/>
      <c r="CU60" s="852" t="n"/>
      <c r="CV60" s="852" t="n"/>
      <c r="CW60" s="852" t="n"/>
      <c r="CX60" s="852" t="n"/>
      <c r="CY60" s="852" t="n"/>
      <c r="CZ60" s="852" t="n"/>
      <c r="DA60" s="852" t="n"/>
      <c r="DB60" s="852" t="n"/>
      <c r="DC60" s="852" t="n"/>
      <c r="DD60" s="852" t="n"/>
      <c r="DE60" s="852" t="n"/>
      <c r="DF60" s="852" t="n"/>
      <c r="DG60" s="852" t="n"/>
      <c r="DH60" s="852" t="n"/>
      <c r="DI60" s="852" t="n"/>
      <c r="DJ60" s="852" t="n"/>
      <c r="DK60" s="852" t="n"/>
      <c r="DL60" s="852" t="n"/>
      <c r="DM60" s="852" t="n"/>
      <c r="DN60" s="852" t="n"/>
      <c r="DO60" s="852" t="n"/>
      <c r="DP60" s="852" t="n"/>
      <c r="DQ60" s="852" t="n"/>
      <c r="DR60" s="852" t="n"/>
      <c r="DS60" s="852" t="n"/>
      <c r="DT60" s="852" t="n"/>
      <c r="DU60" s="852" t="n"/>
      <c r="DV60" s="852" t="n"/>
      <c r="DW60" s="852" t="n"/>
      <c r="DX60" s="852" t="n"/>
      <c r="DY60" s="852" t="n"/>
      <c r="DZ60" s="852" t="n"/>
      <c r="EA60" s="852" t="n"/>
      <c r="EB60" s="852" t="n"/>
      <c r="EC60" s="852" t="n"/>
      <c r="ED60" s="852" t="n"/>
      <c r="EE60" s="852" t="n"/>
      <c r="EF60" s="852" t="n"/>
      <c r="EG60" s="852" t="n"/>
      <c r="EH60" s="852" t="n"/>
      <c r="EI60" s="852" t="n"/>
      <c r="EJ60" s="852" t="n"/>
      <c r="EK60" s="852" t="n"/>
      <c r="EL60" s="852" t="n"/>
      <c r="EM60" s="852" t="n"/>
      <c r="EN60" s="852" t="n"/>
      <c r="EO60" s="852" t="n"/>
      <c r="EP60" s="852" t="n"/>
      <c r="EQ60" s="852" t="n"/>
      <c r="ER60" s="852" t="n"/>
      <c r="ES60" s="852" t="n"/>
      <c r="ET60" s="852" t="n"/>
      <c r="EU60" s="852" t="n"/>
      <c r="EV60" s="852" t="n"/>
      <c r="EW60" s="852" t="n"/>
      <c r="EX60" s="852" t="n"/>
      <c r="EY60" s="852" t="n"/>
      <c r="EZ60" s="852" t="n"/>
      <c r="FA60" s="852" t="n"/>
      <c r="FB60" s="852" t="n"/>
      <c r="FC60" s="852" t="n"/>
      <c r="FD60" s="852" t="n"/>
      <c r="FE60" s="852" t="n"/>
      <c r="FF60" s="852" t="n"/>
      <c r="FG60" s="852" t="n"/>
      <c r="FH60" s="852" t="n"/>
      <c r="FI60" s="852" t="n"/>
      <c r="FJ60" s="852" t="n"/>
      <c r="FK60" s="852" t="n"/>
      <c r="FL60" s="852" t="n"/>
      <c r="FM60" s="852" t="n"/>
      <c r="FN60" s="852" t="n"/>
      <c r="FO60" s="852" t="n"/>
      <c r="FP60" s="852" t="n"/>
      <c r="FQ60" s="852" t="n"/>
      <c r="FR60" s="852" t="n"/>
      <c r="FS60" s="852" t="n"/>
      <c r="FT60" s="852" t="n"/>
      <c r="FU60" s="852" t="n"/>
      <c r="FV60" s="852" t="n"/>
      <c r="FW60" s="852" t="n"/>
      <c r="FX60" s="852" t="n"/>
      <c r="FY60" s="852" t="n"/>
      <c r="FZ60" s="852" t="n"/>
      <c r="GA60" s="852" t="n"/>
      <c r="GB60" s="852" t="n"/>
      <c r="GC60" s="852" t="n"/>
      <c r="GD60" s="852" t="n"/>
      <c r="GE60" s="852" t="n"/>
      <c r="GF60" s="852" t="n"/>
      <c r="GG60" s="852" t="n"/>
      <c r="GH60" s="852" t="n"/>
      <c r="GI60" s="852" t="n"/>
      <c r="GJ60" s="852" t="n"/>
      <c r="GK60" s="852" t="n"/>
      <c r="GL60" s="852" t="n"/>
      <c r="GM60" s="852" t="n"/>
      <c r="GN60" s="852" t="n"/>
      <c r="GO60" s="852" t="n"/>
      <c r="GP60" s="852" t="n"/>
      <c r="GQ60" s="852" t="n"/>
      <c r="GR60" s="852" t="n"/>
      <c r="GS60" s="852" t="n"/>
      <c r="GT60" s="852" t="n"/>
      <c r="GU60" s="852" t="n"/>
      <c r="GV60" s="852" t="n"/>
      <c r="GW60" s="852" t="n"/>
      <c r="GX60" s="852" t="n"/>
      <c r="GY60" s="852" t="n"/>
      <c r="GZ60" s="852" t="n"/>
      <c r="HA60" s="852" t="n"/>
      <c r="HB60" s="852" t="n"/>
      <c r="HC60" s="852" t="n"/>
      <c r="HD60" s="852" t="n"/>
      <c r="HE60" s="852" t="n"/>
      <c r="HF60" s="852" t="n"/>
      <c r="HG60" s="852" t="n"/>
      <c r="HH60" s="852" t="n"/>
      <c r="HI60" s="852" t="n"/>
      <c r="HJ60" s="852" t="n"/>
      <c r="HK60" s="852" t="n"/>
      <c r="HL60" s="852" t="n"/>
      <c r="HM60" s="852" t="n"/>
      <c r="HN60" s="852" t="n"/>
      <c r="HO60" s="852" t="n"/>
      <c r="HP60" s="852" t="n"/>
      <c r="HQ60" s="852" t="n"/>
      <c r="HR60" s="852" t="n"/>
      <c r="HS60" s="852" t="n"/>
      <c r="HT60" s="852" t="n"/>
      <c r="HU60" s="852" t="n"/>
      <c r="HV60" s="852" t="n"/>
      <c r="HW60" s="852" t="n"/>
      <c r="HX60" s="852" t="n"/>
      <c r="HY60" s="852" t="n"/>
      <c r="HZ60" s="852" t="n"/>
      <c r="IA60" s="852" t="n"/>
      <c r="IB60" s="852" t="n"/>
      <c r="IC60" s="852" t="n"/>
      <c r="ID60" s="852" t="n"/>
      <c r="IE60" s="852" t="n"/>
      <c r="IF60" s="852" t="n"/>
      <c r="IG60" s="852" t="n"/>
    </row>
    <row r="61">
      <c r="A61" s="186" t="n"/>
      <c r="B61" s="186" t="n"/>
      <c r="C61" s="186" t="n"/>
      <c r="D61" s="186" t="n"/>
      <c r="E61" s="186" t="n"/>
      <c r="F61" s="213" t="n">
        <v>55</v>
      </c>
      <c r="G61" s="214">
        <f>$C$39</f>
        <v/>
      </c>
      <c r="H61" s="214">
        <f>(J60*$C$16)/12</f>
        <v/>
      </c>
      <c r="I61" s="214">
        <f>G61-H61</f>
        <v/>
      </c>
      <c r="J61" s="214">
        <f>J60-I61</f>
        <v/>
      </c>
      <c r="K61" s="946" t="n"/>
      <c r="L61" s="946" t="n"/>
      <c r="M61" s="946" t="n"/>
      <c r="N61" s="946" t="n"/>
      <c r="O61" s="946" t="n"/>
      <c r="P61" s="946" t="n"/>
      <c r="Q61" s="946" t="n"/>
      <c r="R61" s="946" t="n"/>
      <c r="S61" s="946" t="n"/>
      <c r="T61" s="946" t="n"/>
      <c r="U61" s="946" t="n"/>
      <c r="V61" s="946" t="n"/>
      <c r="W61" s="946" t="n"/>
      <c r="X61" s="946" t="n"/>
      <c r="Y61" s="946" t="n"/>
      <c r="Z61" s="946" t="n"/>
      <c r="AA61" s="946" t="n"/>
      <c r="AB61" s="946" t="n"/>
      <c r="AC61" s="852" t="n"/>
      <c r="AD61" s="852" t="n"/>
      <c r="AE61" s="852" t="n"/>
      <c r="AF61" s="852" t="n"/>
      <c r="AG61" s="852" t="n"/>
      <c r="AH61" s="852" t="n"/>
      <c r="AI61" s="852" t="n"/>
      <c r="AJ61" s="852" t="n"/>
      <c r="AK61" s="852" t="n"/>
      <c r="AL61" s="852" t="n"/>
      <c r="AM61" s="852" t="n"/>
      <c r="AN61" s="852" t="n"/>
      <c r="AO61" s="852" t="n"/>
      <c r="AP61" s="852" t="n"/>
      <c r="AQ61" s="852" t="n"/>
      <c r="AR61" s="852" t="n"/>
      <c r="AS61" s="852" t="n"/>
      <c r="AT61" s="852" t="n"/>
      <c r="AU61" s="852" t="n"/>
      <c r="AV61" s="852" t="n"/>
      <c r="AW61" s="852" t="n"/>
      <c r="AX61" s="852" t="n"/>
      <c r="AY61" s="852" t="n"/>
      <c r="AZ61" s="852" t="n"/>
      <c r="BA61" s="852" t="n"/>
      <c r="BB61" s="852" t="n"/>
      <c r="BC61" s="852" t="n"/>
      <c r="BD61" s="852" t="n"/>
      <c r="BE61" s="852" t="n"/>
      <c r="BF61" s="852" t="n"/>
      <c r="BG61" s="852" t="n"/>
      <c r="BH61" s="852" t="n"/>
      <c r="BI61" s="852" t="n"/>
      <c r="BJ61" s="852" t="n"/>
      <c r="BK61" s="852" t="n"/>
      <c r="BL61" s="852" t="n"/>
      <c r="BM61" s="852" t="n"/>
      <c r="BN61" s="852" t="n"/>
      <c r="BO61" s="852" t="n"/>
      <c r="BP61" s="852" t="n"/>
      <c r="BQ61" s="852" t="n"/>
      <c r="BR61" s="852" t="n"/>
      <c r="BS61" s="852" t="n"/>
      <c r="BT61" s="852" t="n"/>
      <c r="BU61" s="852" t="n"/>
      <c r="BV61" s="852" t="n"/>
      <c r="BW61" s="852" t="n"/>
      <c r="BX61" s="852" t="n"/>
      <c r="BY61" s="852" t="n"/>
      <c r="BZ61" s="852" t="n"/>
      <c r="CA61" s="852" t="n"/>
      <c r="CB61" s="852" t="n"/>
      <c r="CC61" s="852" t="n"/>
      <c r="CD61" s="852" t="n"/>
      <c r="CE61" s="852" t="n"/>
      <c r="CF61" s="852" t="n"/>
      <c r="CG61" s="852" t="n"/>
      <c r="CH61" s="852" t="n"/>
      <c r="CI61" s="852" t="n"/>
      <c r="CJ61" s="852" t="n"/>
      <c r="CK61" s="852" t="n"/>
      <c r="CL61" s="852" t="n"/>
      <c r="CM61" s="852" t="n"/>
      <c r="CN61" s="852" t="n"/>
      <c r="CO61" s="852" t="n"/>
      <c r="CP61" s="852" t="n"/>
      <c r="CQ61" s="852" t="n"/>
      <c r="CR61" s="852" t="n"/>
      <c r="CS61" s="852" t="n"/>
      <c r="CT61" s="852" t="n"/>
      <c r="CU61" s="852" t="n"/>
      <c r="CV61" s="852" t="n"/>
      <c r="CW61" s="852" t="n"/>
      <c r="CX61" s="852" t="n"/>
      <c r="CY61" s="852" t="n"/>
      <c r="CZ61" s="852" t="n"/>
      <c r="DA61" s="852" t="n"/>
      <c r="DB61" s="852" t="n"/>
      <c r="DC61" s="852" t="n"/>
      <c r="DD61" s="852" t="n"/>
      <c r="DE61" s="852" t="n"/>
      <c r="DF61" s="852" t="n"/>
      <c r="DG61" s="852" t="n"/>
      <c r="DH61" s="852" t="n"/>
      <c r="DI61" s="852" t="n"/>
      <c r="DJ61" s="852" t="n"/>
      <c r="DK61" s="852" t="n"/>
      <c r="DL61" s="852" t="n"/>
      <c r="DM61" s="852" t="n"/>
      <c r="DN61" s="852" t="n"/>
      <c r="DO61" s="852" t="n"/>
      <c r="DP61" s="852" t="n"/>
      <c r="DQ61" s="852" t="n"/>
      <c r="DR61" s="852" t="n"/>
      <c r="DS61" s="852" t="n"/>
      <c r="DT61" s="852" t="n"/>
      <c r="DU61" s="852" t="n"/>
      <c r="DV61" s="852" t="n"/>
      <c r="DW61" s="852" t="n"/>
      <c r="DX61" s="852" t="n"/>
      <c r="DY61" s="852" t="n"/>
      <c r="DZ61" s="852" t="n"/>
      <c r="EA61" s="852" t="n"/>
      <c r="EB61" s="852" t="n"/>
      <c r="EC61" s="852" t="n"/>
      <c r="ED61" s="852" t="n"/>
      <c r="EE61" s="852" t="n"/>
      <c r="EF61" s="852" t="n"/>
      <c r="EG61" s="852" t="n"/>
      <c r="EH61" s="852" t="n"/>
      <c r="EI61" s="852" t="n"/>
      <c r="EJ61" s="852" t="n"/>
      <c r="EK61" s="852" t="n"/>
      <c r="EL61" s="852" t="n"/>
      <c r="EM61" s="852" t="n"/>
      <c r="EN61" s="852" t="n"/>
      <c r="EO61" s="852" t="n"/>
      <c r="EP61" s="852" t="n"/>
      <c r="EQ61" s="852" t="n"/>
      <c r="ER61" s="852" t="n"/>
      <c r="ES61" s="852" t="n"/>
      <c r="ET61" s="852" t="n"/>
      <c r="EU61" s="852" t="n"/>
      <c r="EV61" s="852" t="n"/>
      <c r="EW61" s="852" t="n"/>
      <c r="EX61" s="852" t="n"/>
      <c r="EY61" s="852" t="n"/>
      <c r="EZ61" s="852" t="n"/>
      <c r="FA61" s="852" t="n"/>
      <c r="FB61" s="852" t="n"/>
      <c r="FC61" s="852" t="n"/>
      <c r="FD61" s="852" t="n"/>
      <c r="FE61" s="852" t="n"/>
      <c r="FF61" s="852" t="n"/>
      <c r="FG61" s="852" t="n"/>
      <c r="FH61" s="852" t="n"/>
      <c r="FI61" s="852" t="n"/>
      <c r="FJ61" s="852" t="n"/>
      <c r="FK61" s="852" t="n"/>
      <c r="FL61" s="852" t="n"/>
      <c r="FM61" s="852" t="n"/>
      <c r="FN61" s="852" t="n"/>
      <c r="FO61" s="852" t="n"/>
      <c r="FP61" s="852" t="n"/>
      <c r="FQ61" s="852" t="n"/>
      <c r="FR61" s="852" t="n"/>
      <c r="FS61" s="852" t="n"/>
      <c r="FT61" s="852" t="n"/>
      <c r="FU61" s="852" t="n"/>
      <c r="FV61" s="852" t="n"/>
      <c r="FW61" s="852" t="n"/>
      <c r="FX61" s="852" t="n"/>
      <c r="FY61" s="852" t="n"/>
      <c r="FZ61" s="852" t="n"/>
      <c r="GA61" s="852" t="n"/>
      <c r="GB61" s="852" t="n"/>
      <c r="GC61" s="852" t="n"/>
      <c r="GD61" s="852" t="n"/>
      <c r="GE61" s="852" t="n"/>
      <c r="GF61" s="852" t="n"/>
      <c r="GG61" s="852" t="n"/>
      <c r="GH61" s="852" t="n"/>
      <c r="GI61" s="852" t="n"/>
      <c r="GJ61" s="852" t="n"/>
      <c r="GK61" s="852" t="n"/>
      <c r="GL61" s="852" t="n"/>
      <c r="GM61" s="852" t="n"/>
      <c r="GN61" s="852" t="n"/>
      <c r="GO61" s="852" t="n"/>
      <c r="GP61" s="852" t="n"/>
      <c r="GQ61" s="852" t="n"/>
      <c r="GR61" s="852" t="n"/>
      <c r="GS61" s="852" t="n"/>
      <c r="GT61" s="852" t="n"/>
      <c r="GU61" s="852" t="n"/>
      <c r="GV61" s="852" t="n"/>
      <c r="GW61" s="852" t="n"/>
      <c r="GX61" s="852" t="n"/>
      <c r="GY61" s="852" t="n"/>
      <c r="GZ61" s="852" t="n"/>
      <c r="HA61" s="852" t="n"/>
      <c r="HB61" s="852" t="n"/>
      <c r="HC61" s="852" t="n"/>
      <c r="HD61" s="852" t="n"/>
      <c r="HE61" s="852" t="n"/>
      <c r="HF61" s="852" t="n"/>
      <c r="HG61" s="852" t="n"/>
      <c r="HH61" s="852" t="n"/>
      <c r="HI61" s="852" t="n"/>
      <c r="HJ61" s="852" t="n"/>
      <c r="HK61" s="852" t="n"/>
      <c r="HL61" s="852" t="n"/>
      <c r="HM61" s="852" t="n"/>
      <c r="HN61" s="852" t="n"/>
      <c r="HO61" s="852" t="n"/>
      <c r="HP61" s="852" t="n"/>
      <c r="HQ61" s="852" t="n"/>
      <c r="HR61" s="852" t="n"/>
      <c r="HS61" s="852" t="n"/>
      <c r="HT61" s="852" t="n"/>
      <c r="HU61" s="852" t="n"/>
      <c r="HV61" s="852" t="n"/>
      <c r="HW61" s="852" t="n"/>
      <c r="HX61" s="852" t="n"/>
      <c r="HY61" s="852" t="n"/>
      <c r="HZ61" s="852" t="n"/>
      <c r="IA61" s="852" t="n"/>
      <c r="IB61" s="852" t="n"/>
      <c r="IC61" s="852" t="n"/>
      <c r="ID61" s="852" t="n"/>
      <c r="IE61" s="852" t="n"/>
      <c r="IF61" s="852" t="n"/>
      <c r="IG61" s="852" t="n"/>
    </row>
    <row r="62">
      <c r="A62" s="186" t="n"/>
      <c r="B62" s="186" t="n"/>
      <c r="C62" s="186" t="n"/>
      <c r="D62" s="186" t="n"/>
      <c r="E62" s="186" t="n"/>
      <c r="F62" s="213" t="n">
        <v>56</v>
      </c>
      <c r="G62" s="214">
        <f>$C$39</f>
        <v/>
      </c>
      <c r="H62" s="214">
        <f>(J61*$C$16)/12</f>
        <v/>
      </c>
      <c r="I62" s="214">
        <f>G62-H62</f>
        <v/>
      </c>
      <c r="J62" s="214">
        <f>J61-I62</f>
        <v/>
      </c>
      <c r="K62" s="946" t="n"/>
      <c r="L62" s="946" t="n"/>
      <c r="M62" s="946" t="n"/>
      <c r="N62" s="946" t="n"/>
      <c r="O62" s="946" t="n"/>
      <c r="P62" s="946" t="n"/>
      <c r="Q62" s="946" t="n"/>
      <c r="R62" s="946" t="n"/>
      <c r="S62" s="946" t="n"/>
      <c r="T62" s="946" t="n"/>
      <c r="U62" s="946" t="n"/>
      <c r="V62" s="946" t="n"/>
      <c r="W62" s="946" t="n"/>
      <c r="X62" s="946" t="n"/>
      <c r="Y62" s="946" t="n"/>
      <c r="Z62" s="946" t="n"/>
      <c r="AA62" s="946" t="n"/>
      <c r="AB62" s="946" t="n"/>
      <c r="AC62" s="852" t="n"/>
      <c r="AD62" s="852" t="n"/>
      <c r="AE62" s="852" t="n"/>
      <c r="AF62" s="852" t="n"/>
      <c r="AG62" s="852" t="n"/>
      <c r="AH62" s="852" t="n"/>
      <c r="AI62" s="852" t="n"/>
      <c r="AJ62" s="852" t="n"/>
      <c r="AK62" s="852" t="n"/>
      <c r="AL62" s="852" t="n"/>
      <c r="AM62" s="852" t="n"/>
      <c r="AN62" s="852" t="n"/>
      <c r="AO62" s="852" t="n"/>
      <c r="AP62" s="852" t="n"/>
      <c r="AQ62" s="852" t="n"/>
      <c r="AR62" s="852" t="n"/>
      <c r="AS62" s="852" t="n"/>
      <c r="AT62" s="852" t="n"/>
      <c r="AU62" s="852" t="n"/>
      <c r="AV62" s="852" t="n"/>
      <c r="AW62" s="852" t="n"/>
      <c r="AX62" s="852" t="n"/>
      <c r="AY62" s="852" t="n"/>
      <c r="AZ62" s="852" t="n"/>
      <c r="BA62" s="852" t="n"/>
      <c r="BB62" s="852" t="n"/>
      <c r="BC62" s="852" t="n"/>
      <c r="BD62" s="852" t="n"/>
      <c r="BE62" s="852" t="n"/>
      <c r="BF62" s="852" t="n"/>
      <c r="BG62" s="852" t="n"/>
      <c r="BH62" s="852" t="n"/>
      <c r="BI62" s="852" t="n"/>
      <c r="BJ62" s="852" t="n"/>
      <c r="BK62" s="852" t="n"/>
      <c r="BL62" s="852" t="n"/>
      <c r="BM62" s="852" t="n"/>
      <c r="BN62" s="852" t="n"/>
      <c r="BO62" s="852" t="n"/>
      <c r="BP62" s="852" t="n"/>
      <c r="BQ62" s="852" t="n"/>
      <c r="BR62" s="852" t="n"/>
      <c r="BS62" s="852" t="n"/>
      <c r="BT62" s="852" t="n"/>
      <c r="BU62" s="852" t="n"/>
      <c r="BV62" s="852" t="n"/>
      <c r="BW62" s="852" t="n"/>
      <c r="BX62" s="852" t="n"/>
      <c r="BY62" s="852" t="n"/>
      <c r="BZ62" s="852" t="n"/>
      <c r="CA62" s="852" t="n"/>
      <c r="CB62" s="852" t="n"/>
      <c r="CC62" s="852" t="n"/>
      <c r="CD62" s="852" t="n"/>
      <c r="CE62" s="852" t="n"/>
      <c r="CF62" s="852" t="n"/>
      <c r="CG62" s="852" t="n"/>
      <c r="CH62" s="852" t="n"/>
      <c r="CI62" s="852" t="n"/>
      <c r="CJ62" s="852" t="n"/>
      <c r="CK62" s="852" t="n"/>
      <c r="CL62" s="852" t="n"/>
      <c r="CM62" s="852" t="n"/>
      <c r="CN62" s="852" t="n"/>
      <c r="CO62" s="852" t="n"/>
      <c r="CP62" s="852" t="n"/>
      <c r="CQ62" s="852" t="n"/>
      <c r="CR62" s="852" t="n"/>
      <c r="CS62" s="852" t="n"/>
      <c r="CT62" s="852" t="n"/>
      <c r="CU62" s="852" t="n"/>
      <c r="CV62" s="852" t="n"/>
      <c r="CW62" s="852" t="n"/>
      <c r="CX62" s="852" t="n"/>
      <c r="CY62" s="852" t="n"/>
      <c r="CZ62" s="852" t="n"/>
      <c r="DA62" s="852" t="n"/>
      <c r="DB62" s="852" t="n"/>
      <c r="DC62" s="852" t="n"/>
      <c r="DD62" s="852" t="n"/>
      <c r="DE62" s="852" t="n"/>
      <c r="DF62" s="852" t="n"/>
      <c r="DG62" s="852" t="n"/>
      <c r="DH62" s="852" t="n"/>
      <c r="DI62" s="852" t="n"/>
      <c r="DJ62" s="852" t="n"/>
      <c r="DK62" s="852" t="n"/>
      <c r="DL62" s="852" t="n"/>
      <c r="DM62" s="852" t="n"/>
      <c r="DN62" s="852" t="n"/>
      <c r="DO62" s="852" t="n"/>
      <c r="DP62" s="852" t="n"/>
      <c r="DQ62" s="852" t="n"/>
      <c r="DR62" s="852" t="n"/>
      <c r="DS62" s="852" t="n"/>
      <c r="DT62" s="852" t="n"/>
      <c r="DU62" s="852" t="n"/>
      <c r="DV62" s="852" t="n"/>
      <c r="DW62" s="852" t="n"/>
      <c r="DX62" s="852" t="n"/>
      <c r="DY62" s="852" t="n"/>
      <c r="DZ62" s="852" t="n"/>
      <c r="EA62" s="852" t="n"/>
      <c r="EB62" s="852" t="n"/>
      <c r="EC62" s="852" t="n"/>
      <c r="ED62" s="852" t="n"/>
      <c r="EE62" s="852" t="n"/>
      <c r="EF62" s="852" t="n"/>
      <c r="EG62" s="852" t="n"/>
      <c r="EH62" s="852" t="n"/>
      <c r="EI62" s="852" t="n"/>
      <c r="EJ62" s="852" t="n"/>
      <c r="EK62" s="852" t="n"/>
      <c r="EL62" s="852" t="n"/>
      <c r="EM62" s="852" t="n"/>
      <c r="EN62" s="852" t="n"/>
      <c r="EO62" s="852" t="n"/>
      <c r="EP62" s="852" t="n"/>
      <c r="EQ62" s="852" t="n"/>
      <c r="ER62" s="852" t="n"/>
      <c r="ES62" s="852" t="n"/>
      <c r="ET62" s="852" t="n"/>
      <c r="EU62" s="852" t="n"/>
      <c r="EV62" s="852" t="n"/>
      <c r="EW62" s="852" t="n"/>
      <c r="EX62" s="852" t="n"/>
      <c r="EY62" s="852" t="n"/>
      <c r="EZ62" s="852" t="n"/>
      <c r="FA62" s="852" t="n"/>
      <c r="FB62" s="852" t="n"/>
      <c r="FC62" s="852" t="n"/>
      <c r="FD62" s="852" t="n"/>
      <c r="FE62" s="852" t="n"/>
      <c r="FF62" s="852" t="n"/>
      <c r="FG62" s="852" t="n"/>
      <c r="FH62" s="852" t="n"/>
      <c r="FI62" s="852" t="n"/>
      <c r="FJ62" s="852" t="n"/>
      <c r="FK62" s="852" t="n"/>
      <c r="FL62" s="852" t="n"/>
      <c r="FM62" s="852" t="n"/>
      <c r="FN62" s="852" t="n"/>
      <c r="FO62" s="852" t="n"/>
      <c r="FP62" s="852" t="n"/>
      <c r="FQ62" s="852" t="n"/>
      <c r="FR62" s="852" t="n"/>
      <c r="FS62" s="852" t="n"/>
      <c r="FT62" s="852" t="n"/>
      <c r="FU62" s="852" t="n"/>
      <c r="FV62" s="852" t="n"/>
      <c r="FW62" s="852" t="n"/>
      <c r="FX62" s="852" t="n"/>
      <c r="FY62" s="852" t="n"/>
      <c r="FZ62" s="852" t="n"/>
      <c r="GA62" s="852" t="n"/>
      <c r="GB62" s="852" t="n"/>
      <c r="GC62" s="852" t="n"/>
      <c r="GD62" s="852" t="n"/>
      <c r="GE62" s="852" t="n"/>
      <c r="GF62" s="852" t="n"/>
      <c r="GG62" s="852" t="n"/>
      <c r="GH62" s="852" t="n"/>
      <c r="GI62" s="852" t="n"/>
      <c r="GJ62" s="852" t="n"/>
      <c r="GK62" s="852" t="n"/>
      <c r="GL62" s="852" t="n"/>
      <c r="GM62" s="852" t="n"/>
      <c r="GN62" s="852" t="n"/>
      <c r="GO62" s="852" t="n"/>
      <c r="GP62" s="852" t="n"/>
      <c r="GQ62" s="852" t="n"/>
      <c r="GR62" s="852" t="n"/>
      <c r="GS62" s="852" t="n"/>
      <c r="GT62" s="852" t="n"/>
      <c r="GU62" s="852" t="n"/>
      <c r="GV62" s="852" t="n"/>
      <c r="GW62" s="852" t="n"/>
      <c r="GX62" s="852" t="n"/>
      <c r="GY62" s="852" t="n"/>
      <c r="GZ62" s="852" t="n"/>
      <c r="HA62" s="852" t="n"/>
      <c r="HB62" s="852" t="n"/>
      <c r="HC62" s="852" t="n"/>
      <c r="HD62" s="852" t="n"/>
      <c r="HE62" s="852" t="n"/>
      <c r="HF62" s="852" t="n"/>
      <c r="HG62" s="852" t="n"/>
      <c r="HH62" s="852" t="n"/>
      <c r="HI62" s="852" t="n"/>
      <c r="HJ62" s="852" t="n"/>
      <c r="HK62" s="852" t="n"/>
      <c r="HL62" s="852" t="n"/>
      <c r="HM62" s="852" t="n"/>
      <c r="HN62" s="852" t="n"/>
      <c r="HO62" s="852" t="n"/>
      <c r="HP62" s="852" t="n"/>
      <c r="HQ62" s="852" t="n"/>
      <c r="HR62" s="852" t="n"/>
      <c r="HS62" s="852" t="n"/>
      <c r="HT62" s="852" t="n"/>
      <c r="HU62" s="852" t="n"/>
      <c r="HV62" s="852" t="n"/>
      <c r="HW62" s="852" t="n"/>
      <c r="HX62" s="852" t="n"/>
      <c r="HY62" s="852" t="n"/>
      <c r="HZ62" s="852" t="n"/>
      <c r="IA62" s="852" t="n"/>
      <c r="IB62" s="852" t="n"/>
      <c r="IC62" s="852" t="n"/>
      <c r="ID62" s="852" t="n"/>
      <c r="IE62" s="852" t="n"/>
      <c r="IF62" s="852" t="n"/>
      <c r="IG62" s="852" t="n"/>
    </row>
    <row r="63">
      <c r="A63" s="186" t="n"/>
      <c r="B63" s="186" t="n"/>
      <c r="C63" s="186" t="n"/>
      <c r="D63" s="186" t="n"/>
      <c r="E63" s="186" t="n"/>
      <c r="F63" s="213" t="n">
        <v>57</v>
      </c>
      <c r="G63" s="214">
        <f>$C$39</f>
        <v/>
      </c>
      <c r="H63" s="214">
        <f>(J62*$C$16)/12</f>
        <v/>
      </c>
      <c r="I63" s="214">
        <f>G63-H63</f>
        <v/>
      </c>
      <c r="J63" s="214">
        <f>J62-I63</f>
        <v/>
      </c>
      <c r="K63" s="946" t="n"/>
      <c r="L63" s="946" t="n"/>
      <c r="M63" s="946" t="n"/>
      <c r="N63" s="946" t="n"/>
      <c r="O63" s="946" t="n"/>
      <c r="P63" s="946" t="n"/>
      <c r="Q63" s="946" t="n"/>
      <c r="R63" s="946" t="n"/>
      <c r="S63" s="946" t="n"/>
      <c r="T63" s="946" t="n"/>
      <c r="U63" s="946" t="n"/>
      <c r="V63" s="946" t="n"/>
      <c r="W63" s="946" t="n"/>
      <c r="X63" s="946" t="n"/>
      <c r="Y63" s="946" t="n"/>
      <c r="Z63" s="946" t="n"/>
      <c r="AA63" s="946" t="n"/>
      <c r="AB63" s="946" t="n"/>
      <c r="AC63" s="852" t="n"/>
      <c r="AD63" s="852" t="n"/>
      <c r="AE63" s="852" t="n"/>
      <c r="AF63" s="852" t="n"/>
      <c r="AG63" s="852" t="n"/>
      <c r="AH63" s="852" t="n"/>
      <c r="AI63" s="852" t="n"/>
      <c r="AJ63" s="852" t="n"/>
      <c r="AK63" s="852" t="n"/>
      <c r="AL63" s="852" t="n"/>
      <c r="AM63" s="852" t="n"/>
      <c r="AN63" s="852" t="n"/>
      <c r="AO63" s="852" t="n"/>
      <c r="AP63" s="852" t="n"/>
      <c r="AQ63" s="852" t="n"/>
      <c r="AR63" s="852" t="n"/>
      <c r="AS63" s="852" t="n"/>
      <c r="AT63" s="852" t="n"/>
      <c r="AU63" s="852" t="n"/>
      <c r="AV63" s="852" t="n"/>
      <c r="AW63" s="852" t="n"/>
      <c r="AX63" s="852" t="n"/>
      <c r="AY63" s="852" t="n"/>
      <c r="AZ63" s="852" t="n"/>
      <c r="BA63" s="852" t="n"/>
      <c r="BB63" s="852" t="n"/>
      <c r="BC63" s="852" t="n"/>
      <c r="BD63" s="852" t="n"/>
      <c r="BE63" s="852" t="n"/>
      <c r="BF63" s="852" t="n"/>
      <c r="BG63" s="852" t="n"/>
      <c r="BH63" s="852" t="n"/>
      <c r="BI63" s="852" t="n"/>
      <c r="BJ63" s="852" t="n"/>
      <c r="BK63" s="852" t="n"/>
      <c r="BL63" s="852" t="n"/>
      <c r="BM63" s="852" t="n"/>
      <c r="BN63" s="852" t="n"/>
      <c r="BO63" s="852" t="n"/>
      <c r="BP63" s="852" t="n"/>
      <c r="BQ63" s="852" t="n"/>
      <c r="BR63" s="852" t="n"/>
      <c r="BS63" s="852" t="n"/>
      <c r="BT63" s="852" t="n"/>
      <c r="BU63" s="852" t="n"/>
      <c r="BV63" s="852" t="n"/>
      <c r="BW63" s="852" t="n"/>
      <c r="BX63" s="852" t="n"/>
      <c r="BY63" s="852" t="n"/>
      <c r="BZ63" s="852" t="n"/>
      <c r="CA63" s="852" t="n"/>
      <c r="CB63" s="852" t="n"/>
      <c r="CC63" s="852" t="n"/>
      <c r="CD63" s="852" t="n"/>
      <c r="CE63" s="852" t="n"/>
      <c r="CF63" s="852" t="n"/>
      <c r="CG63" s="852" t="n"/>
      <c r="CH63" s="852" t="n"/>
      <c r="CI63" s="852" t="n"/>
      <c r="CJ63" s="852" t="n"/>
      <c r="CK63" s="852" t="n"/>
      <c r="CL63" s="852" t="n"/>
      <c r="CM63" s="852" t="n"/>
      <c r="CN63" s="852" t="n"/>
      <c r="CO63" s="852" t="n"/>
      <c r="CP63" s="852" t="n"/>
      <c r="CQ63" s="852" t="n"/>
      <c r="CR63" s="852" t="n"/>
      <c r="CS63" s="852" t="n"/>
      <c r="CT63" s="852" t="n"/>
      <c r="CU63" s="852" t="n"/>
      <c r="CV63" s="852" t="n"/>
      <c r="CW63" s="852" t="n"/>
      <c r="CX63" s="852" t="n"/>
      <c r="CY63" s="852" t="n"/>
      <c r="CZ63" s="852" t="n"/>
      <c r="DA63" s="852" t="n"/>
      <c r="DB63" s="852" t="n"/>
      <c r="DC63" s="852" t="n"/>
      <c r="DD63" s="852" t="n"/>
      <c r="DE63" s="852" t="n"/>
      <c r="DF63" s="852" t="n"/>
      <c r="DG63" s="852" t="n"/>
      <c r="DH63" s="852" t="n"/>
      <c r="DI63" s="852" t="n"/>
      <c r="DJ63" s="852" t="n"/>
      <c r="DK63" s="852" t="n"/>
      <c r="DL63" s="852" t="n"/>
      <c r="DM63" s="852" t="n"/>
      <c r="DN63" s="852" t="n"/>
      <c r="DO63" s="852" t="n"/>
      <c r="DP63" s="852" t="n"/>
      <c r="DQ63" s="852" t="n"/>
      <c r="DR63" s="852" t="n"/>
      <c r="DS63" s="852" t="n"/>
      <c r="DT63" s="852" t="n"/>
      <c r="DU63" s="852" t="n"/>
      <c r="DV63" s="852" t="n"/>
      <c r="DW63" s="852" t="n"/>
      <c r="DX63" s="852" t="n"/>
      <c r="DY63" s="852" t="n"/>
      <c r="DZ63" s="852" t="n"/>
      <c r="EA63" s="852" t="n"/>
      <c r="EB63" s="852" t="n"/>
      <c r="EC63" s="852" t="n"/>
      <c r="ED63" s="852" t="n"/>
      <c r="EE63" s="852" t="n"/>
      <c r="EF63" s="852" t="n"/>
      <c r="EG63" s="852" t="n"/>
      <c r="EH63" s="852" t="n"/>
      <c r="EI63" s="852" t="n"/>
      <c r="EJ63" s="852" t="n"/>
      <c r="EK63" s="852" t="n"/>
      <c r="EL63" s="852" t="n"/>
      <c r="EM63" s="852" t="n"/>
      <c r="EN63" s="852" t="n"/>
      <c r="EO63" s="852" t="n"/>
      <c r="EP63" s="852" t="n"/>
      <c r="EQ63" s="852" t="n"/>
      <c r="ER63" s="852" t="n"/>
      <c r="ES63" s="852" t="n"/>
      <c r="ET63" s="852" t="n"/>
      <c r="EU63" s="852" t="n"/>
      <c r="EV63" s="852" t="n"/>
      <c r="EW63" s="852" t="n"/>
      <c r="EX63" s="852" t="n"/>
      <c r="EY63" s="852" t="n"/>
      <c r="EZ63" s="852" t="n"/>
      <c r="FA63" s="852" t="n"/>
      <c r="FB63" s="852" t="n"/>
      <c r="FC63" s="852" t="n"/>
      <c r="FD63" s="852" t="n"/>
      <c r="FE63" s="852" t="n"/>
      <c r="FF63" s="852" t="n"/>
      <c r="FG63" s="852" t="n"/>
      <c r="FH63" s="852" t="n"/>
      <c r="FI63" s="852" t="n"/>
      <c r="FJ63" s="852" t="n"/>
      <c r="FK63" s="852" t="n"/>
      <c r="FL63" s="852" t="n"/>
      <c r="FM63" s="852" t="n"/>
      <c r="FN63" s="852" t="n"/>
      <c r="FO63" s="852" t="n"/>
      <c r="FP63" s="852" t="n"/>
      <c r="FQ63" s="852" t="n"/>
      <c r="FR63" s="852" t="n"/>
      <c r="FS63" s="852" t="n"/>
      <c r="FT63" s="852" t="n"/>
      <c r="FU63" s="852" t="n"/>
      <c r="FV63" s="852" t="n"/>
      <c r="FW63" s="852" t="n"/>
      <c r="FX63" s="852" t="n"/>
      <c r="FY63" s="852" t="n"/>
      <c r="FZ63" s="852" t="n"/>
      <c r="GA63" s="852" t="n"/>
      <c r="GB63" s="852" t="n"/>
      <c r="GC63" s="852" t="n"/>
      <c r="GD63" s="852" t="n"/>
      <c r="GE63" s="852" t="n"/>
      <c r="GF63" s="852" t="n"/>
      <c r="GG63" s="852" t="n"/>
      <c r="GH63" s="852" t="n"/>
      <c r="GI63" s="852" t="n"/>
      <c r="GJ63" s="852" t="n"/>
      <c r="GK63" s="852" t="n"/>
      <c r="GL63" s="852" t="n"/>
      <c r="GM63" s="852" t="n"/>
      <c r="GN63" s="852" t="n"/>
      <c r="GO63" s="852" t="n"/>
      <c r="GP63" s="852" t="n"/>
      <c r="GQ63" s="852" t="n"/>
      <c r="GR63" s="852" t="n"/>
      <c r="GS63" s="852" t="n"/>
      <c r="GT63" s="852" t="n"/>
      <c r="GU63" s="852" t="n"/>
      <c r="GV63" s="852" t="n"/>
      <c r="GW63" s="852" t="n"/>
      <c r="GX63" s="852" t="n"/>
      <c r="GY63" s="852" t="n"/>
      <c r="GZ63" s="852" t="n"/>
      <c r="HA63" s="852" t="n"/>
      <c r="HB63" s="852" t="n"/>
      <c r="HC63" s="852" t="n"/>
      <c r="HD63" s="852" t="n"/>
      <c r="HE63" s="852" t="n"/>
      <c r="HF63" s="852" t="n"/>
      <c r="HG63" s="852" t="n"/>
      <c r="HH63" s="852" t="n"/>
      <c r="HI63" s="852" t="n"/>
      <c r="HJ63" s="852" t="n"/>
      <c r="HK63" s="852" t="n"/>
      <c r="HL63" s="852" t="n"/>
      <c r="HM63" s="852" t="n"/>
      <c r="HN63" s="852" t="n"/>
      <c r="HO63" s="852" t="n"/>
      <c r="HP63" s="852" t="n"/>
      <c r="HQ63" s="852" t="n"/>
      <c r="HR63" s="852" t="n"/>
      <c r="HS63" s="852" t="n"/>
      <c r="HT63" s="852" t="n"/>
      <c r="HU63" s="852" t="n"/>
      <c r="HV63" s="852" t="n"/>
      <c r="HW63" s="852" t="n"/>
      <c r="HX63" s="852" t="n"/>
      <c r="HY63" s="852" t="n"/>
      <c r="HZ63" s="852" t="n"/>
      <c r="IA63" s="852" t="n"/>
      <c r="IB63" s="852" t="n"/>
      <c r="IC63" s="852" t="n"/>
      <c r="ID63" s="852" t="n"/>
      <c r="IE63" s="852" t="n"/>
      <c r="IF63" s="852" t="n"/>
      <c r="IG63" s="852" t="n"/>
    </row>
    <row r="64">
      <c r="A64" s="186" t="n"/>
      <c r="B64" s="186" t="n"/>
      <c r="C64" s="186" t="n"/>
      <c r="D64" s="186" t="n"/>
      <c r="E64" s="186" t="n"/>
      <c r="F64" s="213" t="n">
        <v>58</v>
      </c>
      <c r="G64" s="214">
        <f>$C$39</f>
        <v/>
      </c>
      <c r="H64" s="214">
        <f>(J63*$C$16)/12</f>
        <v/>
      </c>
      <c r="I64" s="214">
        <f>G64-H64</f>
        <v/>
      </c>
      <c r="J64" s="214">
        <f>J63-I64</f>
        <v/>
      </c>
      <c r="K64" s="946" t="n"/>
      <c r="L64" s="946" t="n"/>
      <c r="M64" s="946" t="n"/>
      <c r="N64" s="946" t="n"/>
      <c r="O64" s="946" t="n"/>
      <c r="P64" s="946" t="n"/>
      <c r="Q64" s="946" t="n"/>
      <c r="R64" s="946" t="n"/>
      <c r="S64" s="946" t="n"/>
      <c r="T64" s="946" t="n"/>
      <c r="U64" s="946" t="n"/>
      <c r="V64" s="946" t="n"/>
      <c r="W64" s="946" t="n"/>
      <c r="X64" s="946" t="n"/>
      <c r="Y64" s="946" t="n"/>
      <c r="Z64" s="946" t="n"/>
      <c r="AA64" s="946" t="n"/>
      <c r="AB64" s="946" t="n"/>
      <c r="AC64" s="852" t="n"/>
      <c r="AD64" s="852" t="n"/>
      <c r="AE64" s="852" t="n"/>
      <c r="AF64" s="852" t="n"/>
      <c r="AG64" s="852" t="n"/>
      <c r="AH64" s="852" t="n"/>
      <c r="AI64" s="852" t="n"/>
      <c r="AJ64" s="852" t="n"/>
      <c r="AK64" s="852" t="n"/>
      <c r="AL64" s="852" t="n"/>
      <c r="AM64" s="852" t="n"/>
      <c r="AN64" s="852" t="n"/>
      <c r="AO64" s="852" t="n"/>
      <c r="AP64" s="852" t="n"/>
      <c r="AQ64" s="852" t="n"/>
      <c r="AR64" s="852" t="n"/>
      <c r="AS64" s="852" t="n"/>
      <c r="AT64" s="852" t="n"/>
      <c r="AU64" s="852" t="n"/>
      <c r="AV64" s="852" t="n"/>
      <c r="AW64" s="852" t="n"/>
      <c r="AX64" s="852" t="n"/>
      <c r="AY64" s="852" t="n"/>
      <c r="AZ64" s="852" t="n"/>
      <c r="BA64" s="852" t="n"/>
      <c r="BB64" s="852" t="n"/>
      <c r="BC64" s="852" t="n"/>
      <c r="BD64" s="852" t="n"/>
      <c r="BE64" s="852" t="n"/>
      <c r="BF64" s="852" t="n"/>
      <c r="BG64" s="852" t="n"/>
      <c r="BH64" s="852" t="n"/>
      <c r="BI64" s="852" t="n"/>
      <c r="BJ64" s="852" t="n"/>
      <c r="BK64" s="852" t="n"/>
      <c r="BL64" s="852" t="n"/>
      <c r="BM64" s="852" t="n"/>
      <c r="BN64" s="852" t="n"/>
      <c r="BO64" s="852" t="n"/>
      <c r="BP64" s="852" t="n"/>
      <c r="BQ64" s="852" t="n"/>
      <c r="BR64" s="852" t="n"/>
      <c r="BS64" s="852" t="n"/>
      <c r="BT64" s="852" t="n"/>
      <c r="BU64" s="852" t="n"/>
      <c r="BV64" s="852" t="n"/>
      <c r="BW64" s="852" t="n"/>
      <c r="BX64" s="852" t="n"/>
      <c r="BY64" s="852" t="n"/>
      <c r="BZ64" s="852" t="n"/>
      <c r="CA64" s="852" t="n"/>
      <c r="CB64" s="852" t="n"/>
      <c r="CC64" s="852" t="n"/>
      <c r="CD64" s="852" t="n"/>
      <c r="CE64" s="852" t="n"/>
      <c r="CF64" s="852" t="n"/>
      <c r="CG64" s="852" t="n"/>
      <c r="CH64" s="852" t="n"/>
      <c r="CI64" s="852" t="n"/>
      <c r="CJ64" s="852" t="n"/>
      <c r="CK64" s="852" t="n"/>
      <c r="CL64" s="852" t="n"/>
      <c r="CM64" s="852" t="n"/>
      <c r="CN64" s="852" t="n"/>
      <c r="CO64" s="852" t="n"/>
      <c r="CP64" s="852" t="n"/>
      <c r="CQ64" s="852" t="n"/>
      <c r="CR64" s="852" t="n"/>
      <c r="CS64" s="852" t="n"/>
      <c r="CT64" s="852" t="n"/>
      <c r="CU64" s="852" t="n"/>
      <c r="CV64" s="852" t="n"/>
      <c r="CW64" s="852" t="n"/>
      <c r="CX64" s="852" t="n"/>
      <c r="CY64" s="852" t="n"/>
      <c r="CZ64" s="852" t="n"/>
      <c r="DA64" s="852" t="n"/>
      <c r="DB64" s="852" t="n"/>
      <c r="DC64" s="852" t="n"/>
      <c r="DD64" s="852" t="n"/>
      <c r="DE64" s="852" t="n"/>
      <c r="DF64" s="852" t="n"/>
      <c r="DG64" s="852" t="n"/>
      <c r="DH64" s="852" t="n"/>
      <c r="DI64" s="852" t="n"/>
      <c r="DJ64" s="852" t="n"/>
      <c r="DK64" s="852" t="n"/>
      <c r="DL64" s="852" t="n"/>
      <c r="DM64" s="852" t="n"/>
      <c r="DN64" s="852" t="n"/>
      <c r="DO64" s="852" t="n"/>
      <c r="DP64" s="852" t="n"/>
      <c r="DQ64" s="852" t="n"/>
      <c r="DR64" s="852" t="n"/>
      <c r="DS64" s="852" t="n"/>
      <c r="DT64" s="852" t="n"/>
      <c r="DU64" s="852" t="n"/>
      <c r="DV64" s="852" t="n"/>
      <c r="DW64" s="852" t="n"/>
      <c r="DX64" s="852" t="n"/>
      <c r="DY64" s="852" t="n"/>
      <c r="DZ64" s="852" t="n"/>
      <c r="EA64" s="852" t="n"/>
      <c r="EB64" s="852" t="n"/>
      <c r="EC64" s="852" t="n"/>
      <c r="ED64" s="852" t="n"/>
      <c r="EE64" s="852" t="n"/>
      <c r="EF64" s="852" t="n"/>
      <c r="EG64" s="852" t="n"/>
      <c r="EH64" s="852" t="n"/>
      <c r="EI64" s="852" t="n"/>
      <c r="EJ64" s="852" t="n"/>
      <c r="EK64" s="852" t="n"/>
      <c r="EL64" s="852" t="n"/>
      <c r="EM64" s="852" t="n"/>
      <c r="EN64" s="852" t="n"/>
      <c r="EO64" s="852" t="n"/>
      <c r="EP64" s="852" t="n"/>
      <c r="EQ64" s="852" t="n"/>
      <c r="ER64" s="852" t="n"/>
      <c r="ES64" s="852" t="n"/>
      <c r="ET64" s="852" t="n"/>
      <c r="EU64" s="852" t="n"/>
      <c r="EV64" s="852" t="n"/>
      <c r="EW64" s="852" t="n"/>
      <c r="EX64" s="852" t="n"/>
      <c r="EY64" s="852" t="n"/>
      <c r="EZ64" s="852" t="n"/>
      <c r="FA64" s="852" t="n"/>
      <c r="FB64" s="852" t="n"/>
      <c r="FC64" s="852" t="n"/>
      <c r="FD64" s="852" t="n"/>
      <c r="FE64" s="852" t="n"/>
      <c r="FF64" s="852" t="n"/>
      <c r="FG64" s="852" t="n"/>
      <c r="FH64" s="852" t="n"/>
      <c r="FI64" s="852" t="n"/>
      <c r="FJ64" s="852" t="n"/>
      <c r="FK64" s="852" t="n"/>
      <c r="FL64" s="852" t="n"/>
      <c r="FM64" s="852" t="n"/>
      <c r="FN64" s="852" t="n"/>
      <c r="FO64" s="852" t="n"/>
      <c r="FP64" s="852" t="n"/>
      <c r="FQ64" s="852" t="n"/>
      <c r="FR64" s="852" t="n"/>
      <c r="FS64" s="852" t="n"/>
      <c r="FT64" s="852" t="n"/>
      <c r="FU64" s="852" t="n"/>
      <c r="FV64" s="852" t="n"/>
      <c r="FW64" s="852" t="n"/>
      <c r="FX64" s="852" t="n"/>
      <c r="FY64" s="852" t="n"/>
      <c r="FZ64" s="852" t="n"/>
      <c r="GA64" s="852" t="n"/>
      <c r="GB64" s="852" t="n"/>
      <c r="GC64" s="852" t="n"/>
      <c r="GD64" s="852" t="n"/>
      <c r="GE64" s="852" t="n"/>
      <c r="GF64" s="852" t="n"/>
      <c r="GG64" s="852" t="n"/>
      <c r="GH64" s="852" t="n"/>
      <c r="GI64" s="852" t="n"/>
      <c r="GJ64" s="852" t="n"/>
      <c r="GK64" s="852" t="n"/>
      <c r="GL64" s="852" t="n"/>
      <c r="GM64" s="852" t="n"/>
      <c r="GN64" s="852" t="n"/>
      <c r="GO64" s="852" t="n"/>
      <c r="GP64" s="852" t="n"/>
      <c r="GQ64" s="852" t="n"/>
      <c r="GR64" s="852" t="n"/>
      <c r="GS64" s="852" t="n"/>
      <c r="GT64" s="852" t="n"/>
      <c r="GU64" s="852" t="n"/>
      <c r="GV64" s="852" t="n"/>
      <c r="GW64" s="852" t="n"/>
      <c r="GX64" s="852" t="n"/>
      <c r="GY64" s="852" t="n"/>
      <c r="GZ64" s="852" t="n"/>
      <c r="HA64" s="852" t="n"/>
      <c r="HB64" s="852" t="n"/>
      <c r="HC64" s="852" t="n"/>
      <c r="HD64" s="852" t="n"/>
      <c r="HE64" s="852" t="n"/>
      <c r="HF64" s="852" t="n"/>
      <c r="HG64" s="852" t="n"/>
      <c r="HH64" s="852" t="n"/>
      <c r="HI64" s="852" t="n"/>
      <c r="HJ64" s="852" t="n"/>
      <c r="HK64" s="852" t="n"/>
      <c r="HL64" s="852" t="n"/>
      <c r="HM64" s="852" t="n"/>
      <c r="HN64" s="852" t="n"/>
      <c r="HO64" s="852" t="n"/>
      <c r="HP64" s="852" t="n"/>
      <c r="HQ64" s="852" t="n"/>
      <c r="HR64" s="852" t="n"/>
      <c r="HS64" s="852" t="n"/>
      <c r="HT64" s="852" t="n"/>
      <c r="HU64" s="852" t="n"/>
      <c r="HV64" s="852" t="n"/>
      <c r="HW64" s="852" t="n"/>
      <c r="HX64" s="852" t="n"/>
      <c r="HY64" s="852" t="n"/>
      <c r="HZ64" s="852" t="n"/>
      <c r="IA64" s="852" t="n"/>
      <c r="IB64" s="852" t="n"/>
      <c r="IC64" s="852" t="n"/>
      <c r="ID64" s="852" t="n"/>
      <c r="IE64" s="852" t="n"/>
      <c r="IF64" s="852" t="n"/>
      <c r="IG64" s="852" t="n"/>
    </row>
    <row r="65">
      <c r="A65" s="186" t="n"/>
      <c r="B65" s="186" t="n"/>
      <c r="C65" s="186" t="n"/>
      <c r="D65" s="186" t="n"/>
      <c r="E65" s="186" t="n"/>
      <c r="F65" s="213" t="n">
        <v>59</v>
      </c>
      <c r="G65" s="214">
        <f>$C$39</f>
        <v/>
      </c>
      <c r="H65" s="214">
        <f>(J64*$C$16)/12</f>
        <v/>
      </c>
      <c r="I65" s="214">
        <f>G65-H65</f>
        <v/>
      </c>
      <c r="J65" s="214">
        <f>J64-I65</f>
        <v/>
      </c>
      <c r="K65" s="946" t="n"/>
      <c r="L65" s="946" t="n"/>
      <c r="M65" s="946" t="n"/>
      <c r="N65" s="946" t="n"/>
      <c r="O65" s="946" t="n"/>
      <c r="P65" s="946" t="n"/>
      <c r="Q65" s="946" t="n"/>
      <c r="R65" s="946" t="n"/>
      <c r="S65" s="946" t="n"/>
      <c r="T65" s="946" t="n"/>
      <c r="U65" s="946" t="n"/>
      <c r="V65" s="946" t="n"/>
      <c r="W65" s="946" t="n"/>
      <c r="X65" s="946" t="n"/>
      <c r="Y65" s="946" t="n"/>
      <c r="Z65" s="946" t="n"/>
      <c r="AA65" s="946" t="n"/>
      <c r="AB65" s="946" t="n"/>
    </row>
    <row r="66">
      <c r="A66" s="186" t="n"/>
      <c r="B66" s="186" t="n"/>
      <c r="C66" s="186" t="n"/>
      <c r="D66" s="186" t="n"/>
      <c r="E66" s="186" t="n"/>
      <c r="F66" s="496" t="n">
        <v>60</v>
      </c>
      <c r="G66" s="497">
        <f>$C$39</f>
        <v/>
      </c>
      <c r="H66" s="497">
        <f>(J65*$C$16)/12</f>
        <v/>
      </c>
      <c r="I66" s="497">
        <f>G66-H66</f>
        <v/>
      </c>
      <c r="J66" s="497">
        <f>J65-I66</f>
        <v/>
      </c>
      <c r="K66" s="946" t="n"/>
      <c r="L66" s="946" t="n"/>
      <c r="M66" s="946" t="n"/>
      <c r="N66" s="946" t="n"/>
      <c r="O66" s="946" t="n"/>
      <c r="P66" s="946" t="n"/>
      <c r="Q66" s="946" t="n"/>
      <c r="R66" s="946" t="n"/>
      <c r="S66" s="946" t="n"/>
      <c r="T66" s="946" t="n"/>
      <c r="U66" s="946" t="n"/>
      <c r="V66" s="946" t="n"/>
      <c r="W66" s="946" t="n"/>
      <c r="X66" s="946" t="n"/>
      <c r="Y66" s="946" t="n"/>
      <c r="Z66" s="946" t="n"/>
      <c r="AA66" s="946" t="n"/>
      <c r="AB66" s="946" t="n"/>
    </row>
    <row r="67">
      <c r="A67" s="186" t="n"/>
      <c r="B67" s="186" t="n"/>
      <c r="C67" s="186" t="n"/>
      <c r="D67" s="186" t="n"/>
      <c r="E67" s="186" t="n"/>
      <c r="F67" s="213" t="n">
        <v>61</v>
      </c>
      <c r="G67" s="214">
        <f>$C$39</f>
        <v/>
      </c>
      <c r="H67" s="214">
        <f>(J66*$C$16)/12</f>
        <v/>
      </c>
      <c r="I67" s="214">
        <f>G67-H67</f>
        <v/>
      </c>
      <c r="J67" s="214">
        <f>J66-I67</f>
        <v/>
      </c>
      <c r="K67" s="946" t="n"/>
      <c r="L67" s="946" t="n"/>
      <c r="M67" s="946" t="n"/>
      <c r="N67" s="946" t="n"/>
      <c r="O67" s="946" t="n"/>
      <c r="P67" s="946" t="n"/>
      <c r="Q67" s="946" t="n"/>
      <c r="R67" s="946" t="n"/>
      <c r="S67" s="946" t="n"/>
      <c r="T67" s="946" t="n"/>
      <c r="U67" s="946" t="n"/>
      <c r="V67" s="946" t="n"/>
      <c r="W67" s="946" t="n"/>
      <c r="X67" s="946" t="n"/>
      <c r="Y67" s="946" t="n"/>
      <c r="Z67" s="946" t="n"/>
      <c r="AA67" s="946" t="n"/>
      <c r="AB67" s="946" t="n"/>
    </row>
    <row r="68">
      <c r="A68" s="186" t="n"/>
      <c r="B68" s="186" t="n"/>
      <c r="C68" s="186" t="n"/>
      <c r="D68" s="186" t="n"/>
      <c r="E68" s="186" t="n"/>
      <c r="F68" s="213" t="n">
        <v>62</v>
      </c>
      <c r="G68" s="214">
        <f>$C$39</f>
        <v/>
      </c>
      <c r="H68" s="214">
        <f>(J67*$C$16)/12</f>
        <v/>
      </c>
      <c r="I68" s="214">
        <f>G68-H68</f>
        <v/>
      </c>
      <c r="J68" s="214">
        <f>J67-I68</f>
        <v/>
      </c>
      <c r="K68" s="946" t="n"/>
      <c r="L68" s="946" t="n"/>
      <c r="M68" s="946" t="n"/>
      <c r="N68" s="946" t="n"/>
      <c r="O68" s="946" t="n"/>
      <c r="P68" s="946" t="n"/>
      <c r="Q68" s="946" t="n"/>
      <c r="R68" s="946" t="n"/>
      <c r="S68" s="946" t="n"/>
      <c r="T68" s="946" t="n"/>
      <c r="U68" s="946" t="n"/>
      <c r="V68" s="946" t="n"/>
      <c r="W68" s="946" t="n"/>
      <c r="X68" s="946" t="n"/>
      <c r="Y68" s="946" t="n"/>
      <c r="Z68" s="946" t="n"/>
      <c r="AA68" s="946" t="n"/>
      <c r="AB68" s="946" t="n"/>
    </row>
    <row r="69">
      <c r="A69" s="186" t="n"/>
      <c r="B69" s="186" t="n"/>
      <c r="C69" s="186" t="n"/>
      <c r="D69" s="186" t="n"/>
      <c r="E69" s="186" t="n"/>
      <c r="F69" s="213" t="n">
        <v>63</v>
      </c>
      <c r="G69" s="214">
        <f>$C$39</f>
        <v/>
      </c>
      <c r="H69" s="214">
        <f>(J68*$C$16)/12</f>
        <v/>
      </c>
      <c r="I69" s="214">
        <f>G69-H69</f>
        <v/>
      </c>
      <c r="J69" s="214">
        <f>J68-I69</f>
        <v/>
      </c>
      <c r="K69" s="946" t="n"/>
      <c r="L69" s="946" t="n"/>
      <c r="M69" s="946" t="n"/>
      <c r="N69" s="946" t="n"/>
      <c r="O69" s="946" t="n"/>
      <c r="P69" s="946" t="n"/>
      <c r="Q69" s="946" t="n"/>
      <c r="R69" s="946" t="n"/>
      <c r="S69" s="946" t="n"/>
      <c r="T69" s="946" t="n"/>
      <c r="U69" s="946" t="n"/>
      <c r="V69" s="946" t="n"/>
      <c r="W69" s="946" t="n"/>
      <c r="X69" s="946" t="n"/>
      <c r="Y69" s="946" t="n"/>
      <c r="Z69" s="946" t="n"/>
      <c r="AA69" s="946" t="n"/>
      <c r="AB69" s="946" t="n"/>
    </row>
    <row r="70">
      <c r="A70" s="186" t="n"/>
      <c r="B70" s="186" t="n"/>
      <c r="C70" s="186" t="n"/>
      <c r="D70" s="186" t="n"/>
      <c r="E70" s="186" t="n"/>
      <c r="F70" s="213" t="n">
        <v>64</v>
      </c>
      <c r="G70" s="214">
        <f>$C$39</f>
        <v/>
      </c>
      <c r="H70" s="214">
        <f>(J69*$C$16)/12</f>
        <v/>
      </c>
      <c r="I70" s="214">
        <f>G70-H70</f>
        <v/>
      </c>
      <c r="J70" s="214">
        <f>J69-I70</f>
        <v/>
      </c>
      <c r="K70" s="946" t="n"/>
      <c r="L70" s="946" t="n"/>
      <c r="M70" s="946" t="n"/>
      <c r="N70" s="946" t="n"/>
      <c r="O70" s="946" t="n"/>
      <c r="P70" s="946" t="n"/>
      <c r="Q70" s="946" t="n"/>
      <c r="R70" s="946" t="n"/>
      <c r="S70" s="946" t="n"/>
      <c r="T70" s="946" t="n"/>
      <c r="U70" s="946" t="n"/>
      <c r="V70" s="946" t="n"/>
      <c r="W70" s="946" t="n"/>
      <c r="X70" s="946" t="n"/>
      <c r="Y70" s="946" t="n"/>
      <c r="Z70" s="946" t="n"/>
      <c r="AA70" s="946" t="n"/>
      <c r="AB70" s="946" t="n"/>
    </row>
    <row r="71">
      <c r="A71" s="186" t="n"/>
      <c r="B71" s="186" t="n"/>
      <c r="C71" s="186" t="n"/>
      <c r="D71" s="186" t="n"/>
      <c r="E71" s="186" t="n"/>
      <c r="F71" s="213" t="n">
        <v>65</v>
      </c>
      <c r="G71" s="214">
        <f>$C$39</f>
        <v/>
      </c>
      <c r="H71" s="214">
        <f>(J70*$C$16)/12</f>
        <v/>
      </c>
      <c r="I71" s="214">
        <f>G71-H71</f>
        <v/>
      </c>
      <c r="J71" s="214">
        <f>J70-I71</f>
        <v/>
      </c>
      <c r="K71" s="946" t="n"/>
      <c r="L71" s="946" t="n"/>
      <c r="M71" s="946" t="n"/>
      <c r="N71" s="946" t="n"/>
      <c r="O71" s="946" t="n"/>
      <c r="P71" s="946" t="n"/>
      <c r="Q71" s="946" t="n"/>
      <c r="R71" s="946" t="n"/>
      <c r="S71" s="946" t="n"/>
      <c r="T71" s="946" t="n"/>
      <c r="U71" s="946" t="n"/>
      <c r="V71" s="946" t="n"/>
      <c r="W71" s="946" t="n"/>
      <c r="X71" s="946" t="n"/>
      <c r="Y71" s="946" t="n"/>
      <c r="Z71" s="946" t="n"/>
      <c r="AA71" s="946" t="n"/>
      <c r="AB71" s="946" t="n"/>
    </row>
    <row r="72">
      <c r="A72" s="186" t="n"/>
      <c r="B72" s="186" t="n"/>
      <c r="C72" s="186" t="n"/>
      <c r="D72" s="186" t="n"/>
      <c r="E72" s="186" t="n"/>
      <c r="F72" s="213" t="n">
        <v>66</v>
      </c>
      <c r="G72" s="214">
        <f>$C$39</f>
        <v/>
      </c>
      <c r="H72" s="214">
        <f>(J71*$C$16)/12</f>
        <v/>
      </c>
      <c r="I72" s="214">
        <f>G72-H72</f>
        <v/>
      </c>
      <c r="J72" s="214">
        <f>J71-I72</f>
        <v/>
      </c>
      <c r="K72" s="946" t="n"/>
      <c r="L72" s="946" t="n"/>
      <c r="M72" s="946" t="n"/>
      <c r="N72" s="946" t="n"/>
      <c r="O72" s="946" t="n"/>
      <c r="P72" s="946" t="n"/>
      <c r="Q72" s="946" t="n"/>
      <c r="R72" s="946" t="n"/>
      <c r="S72" s="946" t="n"/>
      <c r="T72" s="946" t="n"/>
      <c r="U72" s="946" t="n"/>
      <c r="V72" s="946" t="n"/>
      <c r="W72" s="946" t="n"/>
      <c r="X72" s="946" t="n"/>
      <c r="Y72" s="946" t="n"/>
      <c r="Z72" s="946" t="n"/>
      <c r="AA72" s="946" t="n"/>
      <c r="AB72" s="946" t="n"/>
    </row>
    <row r="73">
      <c r="A73" s="186" t="n"/>
      <c r="B73" s="186" t="n"/>
      <c r="C73" s="186" t="n"/>
      <c r="D73" s="186" t="n"/>
      <c r="E73" s="186" t="n"/>
      <c r="F73" s="213" t="n">
        <v>67</v>
      </c>
      <c r="G73" s="214">
        <f>$C$39</f>
        <v/>
      </c>
      <c r="H73" s="214">
        <f>(J72*$C$16)/12</f>
        <v/>
      </c>
      <c r="I73" s="214">
        <f>G73-H73</f>
        <v/>
      </c>
      <c r="J73" s="214">
        <f>J72-I73</f>
        <v/>
      </c>
      <c r="K73" s="946" t="n"/>
      <c r="L73" s="946" t="n"/>
      <c r="M73" s="946" t="n"/>
      <c r="N73" s="946" t="n"/>
      <c r="O73" s="946" t="n"/>
      <c r="P73" s="946" t="n"/>
      <c r="Q73" s="946" t="n"/>
      <c r="R73" s="946" t="n"/>
      <c r="S73" s="946" t="n"/>
      <c r="T73" s="946" t="n"/>
      <c r="U73" s="946" t="n"/>
      <c r="V73" s="946" t="n"/>
      <c r="W73" s="946" t="n"/>
      <c r="X73" s="946" t="n"/>
      <c r="Y73" s="946" t="n"/>
      <c r="Z73" s="946" t="n"/>
      <c r="AA73" s="946" t="n"/>
      <c r="AB73" s="946" t="n"/>
    </row>
    <row r="74">
      <c r="A74" s="186" t="n"/>
      <c r="B74" s="186" t="n"/>
      <c r="C74" s="186" t="n"/>
      <c r="D74" s="186" t="n"/>
      <c r="E74" s="186" t="n"/>
      <c r="F74" s="213" t="n">
        <v>68</v>
      </c>
      <c r="G74" s="214">
        <f>$C$39</f>
        <v/>
      </c>
      <c r="H74" s="214">
        <f>(J73*$C$16)/12</f>
        <v/>
      </c>
      <c r="I74" s="214">
        <f>G74-H74</f>
        <v/>
      </c>
      <c r="J74" s="214">
        <f>J73-I74</f>
        <v/>
      </c>
      <c r="K74" s="946" t="n"/>
      <c r="L74" s="946" t="n"/>
      <c r="M74" s="946" t="n"/>
      <c r="N74" s="946" t="n"/>
      <c r="O74" s="946" t="n"/>
      <c r="P74" s="946" t="n"/>
      <c r="Q74" s="946" t="n"/>
      <c r="R74" s="946" t="n"/>
      <c r="S74" s="946" t="n"/>
      <c r="T74" s="946" t="n"/>
      <c r="U74" s="946" t="n"/>
      <c r="V74" s="946" t="n"/>
      <c r="W74" s="946" t="n"/>
      <c r="X74" s="946" t="n"/>
      <c r="Y74" s="946" t="n"/>
      <c r="Z74" s="946" t="n"/>
      <c r="AA74" s="946" t="n"/>
      <c r="AB74" s="946" t="n"/>
    </row>
    <row r="75">
      <c r="A75" s="186" t="n"/>
      <c r="B75" s="186" t="n"/>
      <c r="C75" s="186" t="n"/>
      <c r="D75" s="186" t="n"/>
      <c r="E75" s="186" t="n"/>
      <c r="F75" s="213" t="n">
        <v>69</v>
      </c>
      <c r="G75" s="214">
        <f>$C$39</f>
        <v/>
      </c>
      <c r="H75" s="214">
        <f>(J74*$C$16)/12</f>
        <v/>
      </c>
      <c r="I75" s="214">
        <f>G75-H75</f>
        <v/>
      </c>
      <c r="J75" s="214">
        <f>J74-I75</f>
        <v/>
      </c>
      <c r="K75" s="946" t="n"/>
      <c r="L75" s="946" t="n"/>
      <c r="M75" s="946" t="n"/>
      <c r="N75" s="946" t="n"/>
      <c r="O75" s="946" t="n"/>
      <c r="P75" s="946" t="n"/>
      <c r="Q75" s="946" t="n"/>
      <c r="R75" s="946" t="n"/>
      <c r="S75" s="946" t="n"/>
      <c r="T75" s="946" t="n"/>
      <c r="U75" s="946" t="n"/>
      <c r="V75" s="946" t="n"/>
      <c r="W75" s="946" t="n"/>
      <c r="X75" s="946" t="n"/>
      <c r="Y75" s="946" t="n"/>
      <c r="Z75" s="946" t="n"/>
      <c r="AA75" s="946" t="n"/>
      <c r="AB75" s="946" t="n"/>
    </row>
    <row r="76">
      <c r="A76" s="186" t="n"/>
      <c r="B76" s="186" t="n"/>
      <c r="C76" s="186" t="n"/>
      <c r="D76" s="186" t="n"/>
      <c r="E76" s="186" t="n"/>
      <c r="F76" s="213" t="n">
        <v>70</v>
      </c>
      <c r="G76" s="214">
        <f>$C$39</f>
        <v/>
      </c>
      <c r="H76" s="214">
        <f>(J75*$C$16)/12</f>
        <v/>
      </c>
      <c r="I76" s="214">
        <f>G76-H76</f>
        <v/>
      </c>
      <c r="J76" s="214">
        <f>J75-I76</f>
        <v/>
      </c>
      <c r="K76" s="946" t="n"/>
      <c r="L76" s="946" t="n"/>
      <c r="M76" s="946" t="n"/>
      <c r="N76" s="946" t="n"/>
      <c r="O76" s="946" t="n"/>
      <c r="P76" s="946" t="n"/>
      <c r="Q76" s="946" t="n"/>
      <c r="R76" s="946" t="n"/>
      <c r="S76" s="946" t="n"/>
      <c r="T76" s="946" t="n"/>
      <c r="U76" s="946" t="n"/>
      <c r="V76" s="946" t="n"/>
      <c r="W76" s="946" t="n"/>
      <c r="X76" s="946" t="n"/>
      <c r="Y76" s="946" t="n"/>
      <c r="Z76" s="946" t="n"/>
      <c r="AA76" s="946" t="n"/>
      <c r="AB76" s="946" t="n"/>
    </row>
    <row r="77">
      <c r="A77" s="186" t="n"/>
      <c r="B77" s="186" t="n"/>
      <c r="C77" s="186" t="n"/>
      <c r="D77" s="186" t="n"/>
      <c r="E77" s="186" t="n"/>
      <c r="F77" s="213" t="n">
        <v>71</v>
      </c>
      <c r="G77" s="214">
        <f>$C$39</f>
        <v/>
      </c>
      <c r="H77" s="214">
        <f>(J76*$C$16)/12</f>
        <v/>
      </c>
      <c r="I77" s="214">
        <f>G77-H77</f>
        <v/>
      </c>
      <c r="J77" s="214">
        <f>J76-I77</f>
        <v/>
      </c>
      <c r="K77" s="946" t="n"/>
      <c r="L77" s="946" t="n"/>
      <c r="M77" s="946" t="n"/>
      <c r="N77" s="946" t="n"/>
      <c r="O77" s="946" t="n"/>
      <c r="P77" s="946" t="n"/>
      <c r="Q77" s="946" t="n"/>
      <c r="R77" s="946" t="n"/>
      <c r="S77" s="946" t="n"/>
      <c r="T77" s="946" t="n"/>
      <c r="U77" s="946" t="n"/>
      <c r="V77" s="946" t="n"/>
      <c r="W77" s="946" t="n"/>
      <c r="X77" s="946" t="n"/>
      <c r="Y77" s="946" t="n"/>
      <c r="Z77" s="946" t="n"/>
      <c r="AA77" s="946" t="n"/>
      <c r="AB77" s="946" t="n"/>
    </row>
    <row r="78">
      <c r="A78" s="186" t="n"/>
      <c r="B78" s="186" t="n"/>
      <c r="C78" s="186" t="n"/>
      <c r="D78" s="186" t="n"/>
      <c r="E78" s="186" t="n"/>
      <c r="F78" s="504" t="n">
        <v>72</v>
      </c>
      <c r="G78" s="505">
        <f>$C$39</f>
        <v/>
      </c>
      <c r="H78" s="505">
        <f>(J77*$C$16)/12</f>
        <v/>
      </c>
      <c r="I78" s="505">
        <f>G78-H78</f>
        <v/>
      </c>
      <c r="J78" s="505">
        <f>J77-I78</f>
        <v/>
      </c>
      <c r="K78" s="946" t="n"/>
      <c r="L78" s="946" t="n"/>
      <c r="M78" s="946" t="n"/>
      <c r="N78" s="946" t="n"/>
      <c r="O78" s="946" t="n"/>
      <c r="P78" s="946" t="n"/>
      <c r="Q78" s="946" t="n"/>
      <c r="R78" s="946" t="n"/>
      <c r="S78" s="946" t="n"/>
      <c r="T78" s="946" t="n"/>
      <c r="U78" s="946" t="n"/>
      <c r="V78" s="946" t="n"/>
      <c r="W78" s="946" t="n"/>
      <c r="X78" s="946" t="n"/>
      <c r="Y78" s="946" t="n"/>
      <c r="Z78" s="946" t="n"/>
      <c r="AA78" s="946" t="n"/>
      <c r="AB78" s="946" t="n"/>
    </row>
    <row r="79">
      <c r="A79" s="186" t="n"/>
      <c r="B79" s="186" t="n"/>
      <c r="C79" s="186" t="n"/>
      <c r="D79" s="186" t="n"/>
      <c r="E79" s="186" t="n"/>
      <c r="F79" s="213" t="inlineStr">
        <is>
          <t>10yrs</t>
        </is>
      </c>
      <c r="G79" s="214">
        <f>$C$39</f>
        <v/>
      </c>
      <c r="H79" s="214">
        <f>(J78*$C$16)/12</f>
        <v/>
      </c>
      <c r="I79" s="214">
        <f>G79-H79</f>
        <v/>
      </c>
      <c r="J79" s="214">
        <f>J78-I79</f>
        <v/>
      </c>
      <c r="K79" s="946" t="n"/>
      <c r="L79" s="946" t="n"/>
      <c r="M79" s="946" t="n"/>
      <c r="N79" s="946" t="n"/>
      <c r="O79" s="946" t="n"/>
      <c r="P79" s="946" t="n"/>
      <c r="Q79" s="946" t="n"/>
      <c r="R79" s="946" t="n"/>
      <c r="S79" s="946" t="n"/>
      <c r="T79" s="946" t="n"/>
      <c r="U79" s="946" t="n"/>
      <c r="V79" s="946" t="n"/>
      <c r="W79" s="946" t="n"/>
      <c r="X79" s="946" t="n"/>
      <c r="Y79" s="946" t="n"/>
      <c r="Z79" s="946" t="n"/>
      <c r="AA79" s="946" t="n"/>
      <c r="AB79" s="946" t="n"/>
    </row>
    <row r="80">
      <c r="A80" s="186" t="n"/>
      <c r="B80" s="186" t="n"/>
      <c r="C80" s="186" t="n"/>
      <c r="D80" s="186" t="n"/>
      <c r="E80" s="186" t="n"/>
      <c r="F80" s="213" t="n">
        <v>74</v>
      </c>
      <c r="G80" s="214">
        <f>$C$39</f>
        <v/>
      </c>
      <c r="H80" s="214">
        <f>(J79*$C$16)/12</f>
        <v/>
      </c>
      <c r="I80" s="214">
        <f>G80-H80</f>
        <v/>
      </c>
      <c r="J80" s="214">
        <f>J79-I80</f>
        <v/>
      </c>
      <c r="K80" s="946" t="n"/>
      <c r="L80" s="946" t="n"/>
      <c r="M80" s="946" t="n"/>
      <c r="N80" s="946" t="n"/>
      <c r="O80" s="946" t="n"/>
      <c r="P80" s="946" t="n"/>
      <c r="Q80" s="946" t="n"/>
      <c r="R80" s="946" t="n"/>
      <c r="S80" s="946" t="n"/>
      <c r="T80" s="946" t="n"/>
      <c r="U80" s="946" t="n"/>
      <c r="V80" s="946" t="n"/>
      <c r="W80" s="946" t="n"/>
      <c r="X80" s="946" t="n"/>
      <c r="Y80" s="946" t="n"/>
      <c r="Z80" s="946" t="n"/>
      <c r="AA80" s="946" t="n"/>
      <c r="AB80" s="946" t="n"/>
    </row>
    <row r="81">
      <c r="A81" s="186" t="n"/>
      <c r="B81" s="186" t="n"/>
      <c r="C81" s="186" t="n"/>
      <c r="D81" s="186" t="n"/>
      <c r="E81" s="186" t="n"/>
      <c r="F81" s="213" t="n">
        <v>75</v>
      </c>
      <c r="G81" s="214">
        <f>$C$39</f>
        <v/>
      </c>
      <c r="H81" s="214">
        <f>(J80*$C$16)/12</f>
        <v/>
      </c>
      <c r="I81" s="214">
        <f>G81-H81</f>
        <v/>
      </c>
      <c r="J81" s="214">
        <f>J80-I81</f>
        <v/>
      </c>
      <c r="K81" s="946" t="n"/>
      <c r="L81" s="946" t="n"/>
      <c r="M81" s="946" t="n"/>
      <c r="N81" s="946" t="n"/>
      <c r="O81" s="946" t="n"/>
      <c r="P81" s="946" t="n"/>
      <c r="Q81" s="946" t="n"/>
      <c r="R81" s="946" t="n"/>
      <c r="S81" s="946" t="n"/>
      <c r="T81" s="946" t="n"/>
      <c r="U81" s="946" t="n"/>
      <c r="V81" s="946" t="n"/>
      <c r="W81" s="946" t="n"/>
      <c r="X81" s="946" t="n"/>
      <c r="Y81" s="946" t="n"/>
      <c r="Z81" s="946" t="n"/>
      <c r="AA81" s="946" t="n"/>
      <c r="AB81" s="946" t="n"/>
    </row>
    <row r="82">
      <c r="A82" s="186" t="n"/>
      <c r="B82" s="186" t="n"/>
      <c r="C82" s="186" t="n"/>
      <c r="D82" s="186" t="n"/>
      <c r="E82" s="186" t="n"/>
      <c r="F82" s="213" t="n">
        <v>76</v>
      </c>
      <c r="G82" s="214">
        <f>$C$39</f>
        <v/>
      </c>
      <c r="H82" s="214">
        <f>(J81*$C$16)/12</f>
        <v/>
      </c>
      <c r="I82" s="214">
        <f>G82-H82</f>
        <v/>
      </c>
      <c r="J82" s="214">
        <f>J81-I82</f>
        <v/>
      </c>
      <c r="K82" s="946" t="n"/>
      <c r="L82" s="946" t="n"/>
      <c r="M82" s="946" t="n"/>
      <c r="N82" s="946" t="n"/>
      <c r="O82" s="946" t="n"/>
      <c r="P82" s="946" t="n"/>
      <c r="Q82" s="946" t="n"/>
      <c r="R82" s="946" t="n"/>
      <c r="S82" s="946" t="n"/>
      <c r="T82" s="946" t="n"/>
      <c r="U82" s="946" t="n"/>
      <c r="V82" s="946" t="n"/>
      <c r="W82" s="946" t="n"/>
      <c r="X82" s="946" t="n"/>
      <c r="Y82" s="946" t="n"/>
      <c r="Z82" s="946" t="n"/>
      <c r="AA82" s="946" t="n"/>
      <c r="AB82" s="946" t="n"/>
    </row>
    <row r="83">
      <c r="A83" s="186" t="n"/>
      <c r="B83" s="186" t="n"/>
      <c r="C83" s="186" t="n"/>
      <c r="D83" s="186" t="n"/>
      <c r="E83" s="186" t="n"/>
      <c r="F83" s="213" t="n">
        <v>77</v>
      </c>
      <c r="G83" s="214">
        <f>$C$39</f>
        <v/>
      </c>
      <c r="H83" s="214">
        <f>(J82*$C$16)/12</f>
        <v/>
      </c>
      <c r="I83" s="214">
        <f>G83-H83</f>
        <v/>
      </c>
      <c r="J83" s="214">
        <f>J82-I83</f>
        <v/>
      </c>
      <c r="K83" s="946" t="n"/>
      <c r="L83" s="946" t="n"/>
      <c r="M83" s="946" t="n"/>
      <c r="N83" s="946" t="n"/>
      <c r="O83" s="946" t="n"/>
      <c r="P83" s="946" t="n"/>
      <c r="Q83" s="946" t="n"/>
      <c r="R83" s="946" t="n"/>
      <c r="S83" s="946" t="n"/>
      <c r="T83" s="946" t="n"/>
      <c r="U83" s="946" t="n"/>
      <c r="V83" s="946" t="n"/>
      <c r="W83" s="946" t="n"/>
      <c r="X83" s="946" t="n"/>
      <c r="Y83" s="946" t="n"/>
      <c r="Z83" s="946" t="n"/>
      <c r="AA83" s="946" t="n"/>
      <c r="AB83" s="946" t="n"/>
    </row>
    <row r="84">
      <c r="A84" s="186" t="n"/>
      <c r="B84" s="186" t="n"/>
      <c r="C84" s="186" t="n"/>
      <c r="D84" s="186" t="n"/>
      <c r="E84" s="186" t="n"/>
      <c r="F84" s="213" t="n">
        <v>78</v>
      </c>
      <c r="G84" s="214">
        <f>$C$39</f>
        <v/>
      </c>
      <c r="H84" s="214">
        <f>(J83*$C$16)/12</f>
        <v/>
      </c>
      <c r="I84" s="214">
        <f>G84-H84</f>
        <v/>
      </c>
      <c r="J84" s="214">
        <f>J83-I84</f>
        <v/>
      </c>
      <c r="K84" s="946" t="n"/>
      <c r="L84" s="946" t="n"/>
      <c r="M84" s="946" t="n"/>
      <c r="N84" s="946" t="n"/>
      <c r="O84" s="946" t="n"/>
      <c r="P84" s="946" t="n"/>
      <c r="Q84" s="946" t="n"/>
      <c r="R84" s="946" t="n"/>
      <c r="S84" s="946" t="n"/>
      <c r="T84" s="946" t="n"/>
      <c r="U84" s="946" t="n"/>
      <c r="V84" s="946" t="n"/>
      <c r="W84" s="946" t="n"/>
      <c r="X84" s="946" t="n"/>
      <c r="Y84" s="946" t="n"/>
      <c r="Z84" s="946" t="n"/>
      <c r="AA84" s="946" t="n"/>
      <c r="AB84" s="946" t="n"/>
    </row>
    <row r="85">
      <c r="A85" s="186" t="n"/>
      <c r="B85" s="186" t="n"/>
      <c r="C85" s="186" t="n"/>
      <c r="D85" s="186" t="n"/>
      <c r="E85" s="186" t="n"/>
      <c r="F85" s="213" t="n">
        <v>79</v>
      </c>
      <c r="G85" s="214">
        <f>$C$39</f>
        <v/>
      </c>
      <c r="H85" s="214">
        <f>(J84*$C$16)/12</f>
        <v/>
      </c>
      <c r="I85" s="214">
        <f>G85-H85</f>
        <v/>
      </c>
      <c r="J85" s="214">
        <f>J84-I85</f>
        <v/>
      </c>
      <c r="K85" s="946" t="n"/>
      <c r="L85" s="946" t="n"/>
      <c r="M85" s="946" t="n"/>
      <c r="N85" s="946" t="n"/>
      <c r="O85" s="946" t="n"/>
      <c r="P85" s="946" t="n"/>
      <c r="Q85" s="946" t="n"/>
      <c r="R85" s="946" t="n"/>
      <c r="S85" s="946" t="n"/>
      <c r="T85" s="946" t="n"/>
      <c r="U85" s="946" t="n"/>
      <c r="V85" s="946" t="n"/>
      <c r="W85" s="946" t="n"/>
      <c r="X85" s="946" t="n"/>
      <c r="Y85" s="946" t="n"/>
      <c r="Z85" s="946" t="n"/>
      <c r="AA85" s="946" t="n"/>
      <c r="AB85" s="946" t="n"/>
    </row>
    <row r="86">
      <c r="A86" s="186" t="n"/>
      <c r="B86" s="186" t="n"/>
      <c r="C86" s="186" t="n"/>
      <c r="D86" s="186" t="n"/>
      <c r="E86" s="186" t="n"/>
      <c r="F86" s="213" t="n">
        <v>80</v>
      </c>
      <c r="G86" s="214">
        <f>$C$39</f>
        <v/>
      </c>
      <c r="H86" s="214">
        <f>(J85*$C$16)/12</f>
        <v/>
      </c>
      <c r="I86" s="214">
        <f>G86-H86</f>
        <v/>
      </c>
      <c r="J86" s="214">
        <f>J85-I86</f>
        <v/>
      </c>
      <c r="K86" s="946" t="n"/>
      <c r="L86" s="946" t="n"/>
      <c r="M86" s="946" t="n"/>
      <c r="N86" s="946" t="n"/>
      <c r="O86" s="946" t="n"/>
      <c r="P86" s="946" t="n"/>
      <c r="Q86" s="946" t="n"/>
      <c r="R86" s="946" t="n"/>
      <c r="S86" s="946" t="n"/>
      <c r="T86" s="946" t="n"/>
      <c r="U86" s="946" t="n"/>
      <c r="V86" s="946" t="n"/>
      <c r="W86" s="946" t="n"/>
      <c r="X86" s="946" t="n"/>
      <c r="Y86" s="946" t="n"/>
      <c r="Z86" s="946" t="n"/>
      <c r="AA86" s="946" t="n"/>
      <c r="AB86" s="946" t="n"/>
    </row>
    <row r="87">
      <c r="A87" s="186" t="n"/>
      <c r="B87" s="186" t="n"/>
      <c r="C87" s="186" t="n"/>
      <c r="D87" s="186" t="n"/>
      <c r="E87" s="186" t="n"/>
      <c r="F87" s="213" t="n">
        <v>81</v>
      </c>
      <c r="G87" s="214">
        <f>$C$39</f>
        <v/>
      </c>
      <c r="H87" s="214">
        <f>(J86*$C$16)/12</f>
        <v/>
      </c>
      <c r="I87" s="214">
        <f>G87-H87</f>
        <v/>
      </c>
      <c r="J87" s="214">
        <f>J86-I87</f>
        <v/>
      </c>
      <c r="K87" s="946" t="n"/>
      <c r="L87" s="946" t="n"/>
      <c r="M87" s="946" t="n"/>
      <c r="N87" s="946" t="n"/>
      <c r="O87" s="946" t="n"/>
      <c r="P87" s="946" t="n"/>
      <c r="Q87" s="946" t="n"/>
      <c r="R87" s="946" t="n"/>
      <c r="S87" s="946" t="n"/>
      <c r="T87" s="946" t="n"/>
      <c r="U87" s="946" t="n"/>
      <c r="V87" s="946" t="n"/>
      <c r="W87" s="946" t="n"/>
      <c r="X87" s="946" t="n"/>
      <c r="Y87" s="946" t="n"/>
      <c r="Z87" s="946" t="n"/>
      <c r="AA87" s="946" t="n"/>
      <c r="AB87" s="946" t="n"/>
    </row>
    <row r="88">
      <c r="A88" s="186" t="n"/>
      <c r="B88" s="186" t="n"/>
      <c r="C88" s="186" t="n"/>
      <c r="D88" s="186" t="n"/>
      <c r="E88" s="186" t="n"/>
      <c r="F88" s="213" t="n">
        <v>82</v>
      </c>
      <c r="G88" s="214">
        <f>$C$39</f>
        <v/>
      </c>
      <c r="H88" s="214">
        <f>(J87*$C$16)/12</f>
        <v/>
      </c>
      <c r="I88" s="214">
        <f>G88-H88</f>
        <v/>
      </c>
      <c r="J88" s="214">
        <f>J87-I88</f>
        <v/>
      </c>
      <c r="K88" s="946" t="n"/>
      <c r="L88" s="946" t="n"/>
      <c r="M88" s="946" t="n"/>
      <c r="N88" s="946" t="n"/>
      <c r="O88" s="946" t="n"/>
      <c r="P88" s="946" t="n"/>
      <c r="Q88" s="946" t="n"/>
      <c r="R88" s="946" t="n"/>
      <c r="S88" s="946" t="n"/>
      <c r="T88" s="946" t="n"/>
      <c r="U88" s="946" t="n"/>
      <c r="V88" s="946" t="n"/>
      <c r="W88" s="946" t="n"/>
      <c r="X88" s="946" t="n"/>
      <c r="Y88" s="946" t="n"/>
      <c r="Z88" s="946" t="n"/>
      <c r="AA88" s="946" t="n"/>
      <c r="AB88" s="946" t="n"/>
    </row>
    <row r="89">
      <c r="A89" s="186" t="n"/>
      <c r="B89" s="186" t="n"/>
      <c r="C89" s="186" t="n"/>
      <c r="D89" s="186" t="n"/>
      <c r="E89" s="186" t="n"/>
      <c r="F89" s="213" t="n">
        <v>83</v>
      </c>
      <c r="G89" s="214">
        <f>$C$39</f>
        <v/>
      </c>
      <c r="H89" s="214">
        <f>(J88*$C$16)/12</f>
        <v/>
      </c>
      <c r="I89" s="214">
        <f>G89-H89</f>
        <v/>
      </c>
      <c r="J89" s="214" t="n"/>
      <c r="K89" s="946" t="n"/>
      <c r="L89" s="946" t="n"/>
      <c r="M89" s="946" t="n"/>
      <c r="N89" s="946" t="n"/>
      <c r="O89" s="946" t="n"/>
      <c r="P89" s="946" t="n"/>
      <c r="Q89" s="946" t="n"/>
      <c r="R89" s="946" t="n"/>
      <c r="S89" s="946" t="n"/>
      <c r="T89" s="946" t="n"/>
      <c r="U89" s="946" t="n"/>
      <c r="V89" s="946" t="n"/>
      <c r="W89" s="946" t="n"/>
      <c r="X89" s="946" t="n"/>
      <c r="Y89" s="946" t="n"/>
      <c r="Z89" s="946" t="n"/>
      <c r="AA89" s="946" t="n"/>
      <c r="AB89" s="946" t="n"/>
    </row>
    <row r="90">
      <c r="A90" s="186" t="n"/>
      <c r="B90" s="186" t="n"/>
      <c r="C90" s="186" t="n"/>
      <c r="D90" s="186" t="n"/>
      <c r="E90" s="186" t="n"/>
      <c r="F90" s="498" t="n">
        <v>84</v>
      </c>
      <c r="G90" s="499">
        <f>$C$39</f>
        <v/>
      </c>
      <c r="H90" s="499">
        <f>(J89*$C$16)/12</f>
        <v/>
      </c>
      <c r="I90" s="499">
        <f>G90-H90</f>
        <v/>
      </c>
      <c r="J90" s="499">
        <f>J89-I90</f>
        <v/>
      </c>
      <c r="K90" s="946" t="n"/>
      <c r="L90" s="946" t="n"/>
      <c r="M90" s="946" t="n"/>
      <c r="N90" s="946" t="n"/>
      <c r="O90" s="946" t="n"/>
      <c r="P90" s="946" t="n"/>
      <c r="Q90" s="946" t="n"/>
      <c r="R90" s="946" t="n"/>
      <c r="S90" s="946" t="n"/>
      <c r="T90" s="946" t="n"/>
      <c r="U90" s="946" t="n"/>
      <c r="V90" s="946" t="n"/>
      <c r="W90" s="946" t="n"/>
      <c r="X90" s="946" t="n"/>
      <c r="Y90" s="946" t="n"/>
      <c r="Z90" s="946" t="n"/>
      <c r="AA90" s="946" t="n"/>
      <c r="AB90" s="946" t="n"/>
    </row>
    <row r="91">
      <c r="A91" s="186" t="n"/>
      <c r="B91" s="186" t="n"/>
      <c r="C91" s="186" t="n"/>
      <c r="D91" s="186" t="n"/>
      <c r="E91" s="186" t="n"/>
      <c r="F91" s="213" t="n">
        <v>85</v>
      </c>
      <c r="G91" s="214">
        <f>$C$39</f>
        <v/>
      </c>
      <c r="H91" s="214">
        <f>(J90*$C$16)/12</f>
        <v/>
      </c>
      <c r="I91" s="214">
        <f>G91-H91</f>
        <v/>
      </c>
      <c r="J91" s="214">
        <f>J90-I91</f>
        <v/>
      </c>
      <c r="K91" s="946" t="n"/>
      <c r="L91" s="946" t="n"/>
      <c r="M91" s="946" t="n"/>
      <c r="N91" s="946" t="n"/>
      <c r="O91" s="946" t="n"/>
      <c r="P91" s="946" t="n"/>
      <c r="Q91" s="946" t="n"/>
      <c r="R91" s="946" t="n"/>
      <c r="S91" s="946" t="n"/>
      <c r="T91" s="946" t="n"/>
      <c r="U91" s="946" t="n"/>
      <c r="V91" s="946" t="n"/>
      <c r="W91" s="946" t="n"/>
      <c r="X91" s="946" t="n"/>
      <c r="Y91" s="946" t="n"/>
      <c r="Z91" s="946" t="n"/>
      <c r="AA91" s="946" t="n"/>
      <c r="AB91" s="946" t="n"/>
    </row>
    <row r="92">
      <c r="A92" s="186" t="n"/>
      <c r="B92" s="186" t="n"/>
      <c r="C92" s="186" t="n"/>
      <c r="D92" s="186" t="n"/>
      <c r="E92" s="186" t="n"/>
      <c r="F92" s="213" t="n">
        <v>86</v>
      </c>
      <c r="G92" s="214">
        <f>$C$39</f>
        <v/>
      </c>
      <c r="H92" s="214">
        <f>(J91*$C$16)/12</f>
        <v/>
      </c>
      <c r="I92" s="214">
        <f>G92-H92</f>
        <v/>
      </c>
      <c r="J92" s="214">
        <f>J91-I92</f>
        <v/>
      </c>
      <c r="K92" s="946" t="n"/>
      <c r="L92" s="946" t="n"/>
      <c r="M92" s="946" t="n"/>
      <c r="N92" s="946" t="n"/>
      <c r="O92" s="946" t="n"/>
      <c r="P92" s="946" t="n"/>
      <c r="Q92" s="946" t="n"/>
      <c r="R92" s="946" t="n"/>
      <c r="S92" s="946" t="n"/>
      <c r="T92" s="946" t="n"/>
      <c r="U92" s="946" t="n"/>
      <c r="V92" s="946" t="n"/>
      <c r="W92" s="946" t="n"/>
      <c r="X92" s="946" t="n"/>
      <c r="Y92" s="946" t="n"/>
      <c r="Z92" s="946" t="n"/>
      <c r="AA92" s="946" t="n"/>
      <c r="AB92" s="946" t="n"/>
    </row>
    <row r="93">
      <c r="A93" s="186" t="n"/>
      <c r="B93" s="186" t="n"/>
      <c r="C93" s="186" t="n"/>
      <c r="D93" s="186" t="n"/>
      <c r="E93" s="186" t="n"/>
      <c r="F93" s="213" t="n">
        <v>87</v>
      </c>
      <c r="G93" s="214">
        <f>$C$39</f>
        <v/>
      </c>
      <c r="H93" s="214">
        <f>(J92*$C$16)/12</f>
        <v/>
      </c>
      <c r="I93" s="214">
        <f>G93-H93</f>
        <v/>
      </c>
      <c r="J93" s="214">
        <f>J92-I93</f>
        <v/>
      </c>
      <c r="K93" s="946" t="n"/>
      <c r="L93" s="946" t="n"/>
      <c r="M93" s="946" t="n"/>
      <c r="N93" s="946" t="n"/>
      <c r="O93" s="946" t="n"/>
      <c r="P93" s="946" t="n"/>
      <c r="Q93" s="946" t="n"/>
      <c r="R93" s="946" t="n"/>
      <c r="S93" s="946" t="n"/>
      <c r="T93" s="946" t="n"/>
      <c r="U93" s="946" t="n"/>
      <c r="V93" s="946" t="n"/>
      <c r="W93" s="946" t="n"/>
      <c r="X93" s="946" t="n"/>
      <c r="Y93" s="946" t="n"/>
      <c r="Z93" s="946" t="n"/>
      <c r="AA93" s="946" t="n"/>
      <c r="AB93" s="946" t="n"/>
    </row>
    <row r="94">
      <c r="A94" s="186" t="n"/>
      <c r="B94" s="186" t="n"/>
      <c r="C94" s="186" t="n"/>
      <c r="D94" s="186" t="n"/>
      <c r="E94" s="186" t="n"/>
      <c r="F94" s="213" t="n">
        <v>88</v>
      </c>
      <c r="G94" s="214">
        <f>$C$39</f>
        <v/>
      </c>
      <c r="H94" s="214">
        <f>(J93*$C$16)/12</f>
        <v/>
      </c>
      <c r="I94" s="214">
        <f>G94-H94</f>
        <v/>
      </c>
      <c r="J94" s="214">
        <f>J93-I94</f>
        <v/>
      </c>
      <c r="K94" s="946" t="n"/>
      <c r="L94" s="946" t="n"/>
      <c r="M94" s="946" t="n"/>
      <c r="N94" s="946" t="n"/>
      <c r="O94" s="946" t="n"/>
      <c r="P94" s="946" t="n"/>
      <c r="Q94" s="946" t="n"/>
      <c r="R94" s="946" t="n"/>
      <c r="S94" s="946" t="n"/>
      <c r="T94" s="946" t="n"/>
      <c r="U94" s="946" t="n"/>
      <c r="V94" s="946" t="n"/>
      <c r="W94" s="946" t="n"/>
      <c r="X94" s="946" t="n"/>
      <c r="Y94" s="946" t="n"/>
      <c r="Z94" s="946" t="n"/>
      <c r="AA94" s="946" t="n"/>
      <c r="AB94" s="946" t="n"/>
    </row>
    <row r="95">
      <c r="A95" s="186" t="n"/>
      <c r="B95" s="186" t="n"/>
      <c r="C95" s="186" t="n"/>
      <c r="D95" s="186" t="n"/>
      <c r="E95" s="186" t="n"/>
      <c r="F95" s="213" t="n">
        <v>89</v>
      </c>
      <c r="G95" s="214">
        <f>$C$39</f>
        <v/>
      </c>
      <c r="H95" s="214">
        <f>(J94*$C$16)/12</f>
        <v/>
      </c>
      <c r="I95" s="214">
        <f>G95-H95</f>
        <v/>
      </c>
      <c r="J95" s="214">
        <f>J94-I95</f>
        <v/>
      </c>
      <c r="K95" s="946" t="n"/>
      <c r="L95" s="946" t="n"/>
      <c r="M95" s="946" t="n"/>
      <c r="N95" s="946" t="n"/>
      <c r="O95" s="946" t="n"/>
      <c r="P95" s="946" t="n"/>
      <c r="Q95" s="946" t="n"/>
      <c r="R95" s="946" t="n"/>
      <c r="S95" s="946" t="n"/>
      <c r="T95" s="946" t="n"/>
      <c r="U95" s="946" t="n"/>
      <c r="V95" s="946" t="n"/>
      <c r="W95" s="946" t="n"/>
      <c r="X95" s="946" t="n"/>
      <c r="Y95" s="946" t="n"/>
      <c r="Z95" s="946" t="n"/>
      <c r="AA95" s="946" t="n"/>
      <c r="AB95" s="946" t="n"/>
    </row>
    <row r="96">
      <c r="A96" s="186" t="n"/>
      <c r="B96" s="186" t="n"/>
      <c r="C96" s="186" t="n"/>
      <c r="D96" s="186" t="n"/>
      <c r="E96" s="186" t="n"/>
      <c r="F96" s="213" t="n">
        <v>90</v>
      </c>
      <c r="G96" s="214">
        <f>$C$39</f>
        <v/>
      </c>
      <c r="H96" s="214">
        <f>(J95*$C$16)/12</f>
        <v/>
      </c>
      <c r="I96" s="214">
        <f>G96-H96</f>
        <v/>
      </c>
      <c r="J96" s="214">
        <f>J95-I96</f>
        <v/>
      </c>
      <c r="K96" s="946" t="n"/>
      <c r="L96" s="946" t="n"/>
      <c r="M96" s="946" t="n"/>
      <c r="N96" s="946" t="n"/>
      <c r="O96" s="946" t="n"/>
      <c r="P96" s="946" t="n"/>
      <c r="Q96" s="946" t="n"/>
      <c r="R96" s="946" t="n"/>
      <c r="S96" s="946" t="n"/>
      <c r="T96" s="946" t="n"/>
      <c r="U96" s="946" t="n"/>
      <c r="V96" s="946" t="n"/>
      <c r="W96" s="946" t="n"/>
      <c r="X96" s="946" t="n"/>
      <c r="Y96" s="946" t="n"/>
      <c r="Z96" s="946" t="n"/>
      <c r="AA96" s="946" t="n"/>
      <c r="AB96" s="946" t="n"/>
    </row>
    <row r="97">
      <c r="A97" s="186" t="n"/>
      <c r="B97" s="186" t="n"/>
      <c r="C97" s="186" t="n"/>
      <c r="D97" s="186" t="n"/>
      <c r="E97" s="186" t="n"/>
      <c r="F97" s="213" t="n">
        <v>91</v>
      </c>
      <c r="G97" s="214">
        <f>$C$39</f>
        <v/>
      </c>
      <c r="H97" s="214">
        <f>(J96*$C$16)/12</f>
        <v/>
      </c>
      <c r="I97" s="214">
        <f>G97-H97</f>
        <v/>
      </c>
      <c r="J97" s="214">
        <f>J96-I97</f>
        <v/>
      </c>
      <c r="K97" s="946" t="n"/>
      <c r="L97" s="946" t="n"/>
      <c r="M97" s="946" t="n"/>
      <c r="N97" s="946" t="n"/>
      <c r="O97" s="946" t="n"/>
      <c r="P97" s="946" t="n"/>
      <c r="Q97" s="946" t="n"/>
      <c r="R97" s="946" t="n"/>
      <c r="S97" s="946" t="n"/>
      <c r="T97" s="946" t="n"/>
      <c r="U97" s="946" t="n"/>
      <c r="V97" s="946" t="n"/>
      <c r="W97" s="946" t="n"/>
      <c r="X97" s="946" t="n"/>
      <c r="Y97" s="946" t="n"/>
      <c r="Z97" s="946" t="n"/>
      <c r="AA97" s="946" t="n"/>
      <c r="AB97" s="946" t="n"/>
    </row>
    <row r="98">
      <c r="A98" s="186" t="n"/>
      <c r="B98" s="186" t="n"/>
      <c r="C98" s="186" t="n"/>
      <c r="D98" s="186" t="n"/>
      <c r="E98" s="186" t="n"/>
      <c r="F98" s="213" t="n">
        <v>92</v>
      </c>
      <c r="G98" s="214">
        <f>$C$39</f>
        <v/>
      </c>
      <c r="H98" s="214">
        <f>(J97*$C$16)/12</f>
        <v/>
      </c>
      <c r="I98" s="214">
        <f>G98-H98</f>
        <v/>
      </c>
      <c r="J98" s="214">
        <f>J97-I98</f>
        <v/>
      </c>
      <c r="K98" s="946" t="n"/>
      <c r="L98" s="946" t="n"/>
      <c r="M98" s="946" t="n"/>
      <c r="N98" s="946" t="n"/>
      <c r="O98" s="946" t="n"/>
      <c r="P98" s="946" t="n"/>
      <c r="Q98" s="946" t="n"/>
      <c r="R98" s="946" t="n"/>
      <c r="S98" s="946" t="n"/>
      <c r="T98" s="946" t="n"/>
      <c r="U98" s="946" t="n"/>
      <c r="V98" s="946" t="n"/>
      <c r="W98" s="946" t="n"/>
      <c r="X98" s="946" t="n"/>
      <c r="Y98" s="946" t="n"/>
      <c r="Z98" s="946" t="n"/>
      <c r="AA98" s="946" t="n"/>
      <c r="AB98" s="946" t="n"/>
    </row>
    <row r="99">
      <c r="A99" s="186" t="n"/>
      <c r="B99" s="186" t="n"/>
      <c r="C99" s="186" t="n"/>
      <c r="D99" s="186" t="n"/>
      <c r="E99" s="186" t="n"/>
      <c r="F99" s="213" t="n">
        <v>93</v>
      </c>
      <c r="G99" s="214">
        <f>$C$39</f>
        <v/>
      </c>
      <c r="H99" s="214">
        <f>(J98*$C$16)/12</f>
        <v/>
      </c>
      <c r="I99" s="214">
        <f>G99-H99</f>
        <v/>
      </c>
      <c r="J99" s="214">
        <f>J98-I99</f>
        <v/>
      </c>
      <c r="K99" s="946" t="n"/>
      <c r="L99" s="946" t="n"/>
      <c r="M99" s="946" t="n"/>
      <c r="N99" s="946" t="n"/>
      <c r="O99" s="946" t="n"/>
      <c r="P99" s="946" t="n"/>
      <c r="Q99" s="946" t="n"/>
      <c r="R99" s="946" t="n"/>
      <c r="S99" s="946" t="n"/>
      <c r="T99" s="946" t="n"/>
      <c r="U99" s="946" t="n"/>
      <c r="V99" s="946" t="n"/>
      <c r="W99" s="946" t="n"/>
      <c r="X99" s="946" t="n"/>
      <c r="Y99" s="946" t="n"/>
      <c r="Z99" s="946" t="n"/>
      <c r="AA99" s="946" t="n"/>
      <c r="AB99" s="946" t="n"/>
    </row>
    <row r="100">
      <c r="A100" s="186" t="n"/>
      <c r="B100" s="186" t="n"/>
      <c r="C100" s="186" t="n"/>
      <c r="D100" s="186" t="n"/>
      <c r="E100" s="186" t="n"/>
      <c r="F100" s="213" t="n">
        <v>94</v>
      </c>
      <c r="G100" s="214">
        <f>$C$39</f>
        <v/>
      </c>
      <c r="H100" s="214">
        <f>(J99*$C$16)/12</f>
        <v/>
      </c>
      <c r="I100" s="214">
        <f>G100-H100</f>
        <v/>
      </c>
      <c r="J100" s="214">
        <f>J99-I100</f>
        <v/>
      </c>
      <c r="K100" s="946" t="n"/>
      <c r="L100" s="946" t="n"/>
      <c r="M100" s="946" t="n"/>
      <c r="N100" s="946" t="n"/>
      <c r="O100" s="946" t="n"/>
      <c r="P100" s="946" t="n"/>
      <c r="Q100" s="946" t="n"/>
      <c r="R100" s="946" t="n"/>
      <c r="S100" s="946" t="n"/>
      <c r="T100" s="946" t="n"/>
      <c r="U100" s="946" t="n"/>
      <c r="V100" s="946" t="n"/>
      <c r="W100" s="946" t="n"/>
      <c r="X100" s="946" t="n"/>
      <c r="Y100" s="946" t="n"/>
      <c r="Z100" s="946" t="n"/>
      <c r="AA100" s="946" t="n"/>
      <c r="AB100" s="946" t="n"/>
    </row>
    <row r="101">
      <c r="A101" s="186" t="n"/>
      <c r="B101" s="186" t="n"/>
      <c r="C101" s="186" t="n"/>
      <c r="D101" s="186" t="n"/>
      <c r="E101" s="186" t="n"/>
      <c r="F101" s="213" t="n">
        <v>95</v>
      </c>
      <c r="G101" s="214">
        <f>$C$39</f>
        <v/>
      </c>
      <c r="H101" s="214">
        <f>(J100*$C$16)/12</f>
        <v/>
      </c>
      <c r="I101" s="214">
        <f>G101-H101</f>
        <v/>
      </c>
      <c r="J101" s="214">
        <f>J100-I101</f>
        <v/>
      </c>
      <c r="K101" s="946" t="n"/>
      <c r="L101" s="946" t="n"/>
      <c r="M101" s="946" t="n"/>
      <c r="N101" s="946" t="n"/>
      <c r="O101" s="946" t="n"/>
      <c r="P101" s="946" t="n"/>
      <c r="Q101" s="946" t="n"/>
      <c r="R101" s="946" t="n"/>
      <c r="S101" s="946" t="n"/>
      <c r="T101" s="946" t="n"/>
      <c r="U101" s="946" t="n"/>
      <c r="V101" s="946" t="n"/>
      <c r="W101" s="946" t="n"/>
      <c r="X101" s="946" t="n"/>
      <c r="Y101" s="946" t="n"/>
      <c r="Z101" s="946" t="n"/>
      <c r="AA101" s="946" t="n"/>
      <c r="AB101" s="946" t="n"/>
    </row>
    <row r="102">
      <c r="A102" s="186" t="n"/>
      <c r="B102" s="186" t="n"/>
      <c r="C102" s="186" t="n"/>
      <c r="D102" s="186" t="n"/>
      <c r="E102" s="186" t="n"/>
      <c r="F102" s="504" t="n">
        <v>96</v>
      </c>
      <c r="G102" s="505">
        <f>$C$39</f>
        <v/>
      </c>
      <c r="H102" s="505">
        <f>(J101*$C$16)/12</f>
        <v/>
      </c>
      <c r="I102" s="505">
        <f>G102-H102</f>
        <v/>
      </c>
      <c r="J102" s="505">
        <f>J101-I102</f>
        <v/>
      </c>
      <c r="K102" s="946" t="n"/>
      <c r="L102" s="946" t="n"/>
      <c r="M102" s="946" t="n"/>
      <c r="N102" s="946" t="n"/>
      <c r="O102" s="946" t="n"/>
      <c r="P102" s="946" t="n"/>
      <c r="Q102" s="946" t="n"/>
      <c r="R102" s="946" t="n"/>
      <c r="S102" s="946" t="n"/>
      <c r="T102" s="946" t="n"/>
      <c r="U102" s="946" t="n"/>
      <c r="V102" s="946" t="n"/>
      <c r="W102" s="946" t="n"/>
      <c r="X102" s="946" t="n"/>
      <c r="Y102" s="946" t="n"/>
      <c r="Z102" s="946" t="n"/>
      <c r="AA102" s="946" t="n"/>
      <c r="AB102" s="946" t="n"/>
    </row>
    <row r="103">
      <c r="A103" s="186" t="n"/>
      <c r="B103" s="186" t="n"/>
      <c r="C103" s="186" t="n"/>
      <c r="D103" s="186" t="n"/>
      <c r="E103" s="186" t="n"/>
      <c r="F103" s="213" t="n">
        <v>97</v>
      </c>
      <c r="G103" s="214">
        <f>$C$39</f>
        <v/>
      </c>
      <c r="H103" s="214">
        <f>(J102*$C$16)/12</f>
        <v/>
      </c>
      <c r="I103" s="214">
        <f>G103-H103</f>
        <v/>
      </c>
      <c r="J103" s="214">
        <f>J102-I103</f>
        <v/>
      </c>
      <c r="K103" s="946" t="n"/>
      <c r="L103" s="946" t="n"/>
      <c r="M103" s="946" t="n"/>
      <c r="N103" s="946" t="n"/>
      <c r="O103" s="946" t="n"/>
      <c r="P103" s="946" t="n"/>
      <c r="Q103" s="946" t="n"/>
      <c r="R103" s="946" t="n"/>
      <c r="S103" s="946" t="n"/>
      <c r="T103" s="946" t="n"/>
      <c r="U103" s="946" t="n"/>
      <c r="V103" s="946" t="n"/>
      <c r="W103" s="946" t="n"/>
      <c r="X103" s="946" t="n"/>
      <c r="Y103" s="946" t="n"/>
      <c r="Z103" s="946" t="n"/>
      <c r="AA103" s="946" t="n"/>
      <c r="AB103" s="946" t="n"/>
    </row>
    <row r="104">
      <c r="A104" s="186" t="n"/>
      <c r="B104" s="186" t="n"/>
      <c r="C104" s="186" t="n"/>
      <c r="D104" s="186" t="n"/>
      <c r="E104" s="186" t="n"/>
      <c r="F104" s="213" t="n">
        <v>98</v>
      </c>
      <c r="G104" s="214">
        <f>$C$39</f>
        <v/>
      </c>
      <c r="H104" s="214">
        <f>(J103*$C$16)/12</f>
        <v/>
      </c>
      <c r="I104" s="214">
        <f>G104-H104</f>
        <v/>
      </c>
      <c r="J104" s="214">
        <f>J103-I104</f>
        <v/>
      </c>
      <c r="K104" s="946" t="n"/>
      <c r="L104" s="946" t="n"/>
      <c r="M104" s="946" t="n"/>
      <c r="N104" s="946" t="n"/>
      <c r="O104" s="946" t="n"/>
      <c r="P104" s="946" t="n"/>
      <c r="Q104" s="946" t="n"/>
      <c r="R104" s="946" t="n"/>
      <c r="S104" s="946" t="n"/>
      <c r="T104" s="946" t="n"/>
      <c r="U104" s="946" t="n"/>
      <c r="V104" s="946" t="n"/>
      <c r="W104" s="946" t="n"/>
      <c r="X104" s="946" t="n"/>
      <c r="Y104" s="946" t="n"/>
      <c r="Z104" s="946" t="n"/>
      <c r="AA104" s="946" t="n"/>
      <c r="AB104" s="946" t="n"/>
    </row>
    <row r="105">
      <c r="A105" s="186" t="n"/>
      <c r="B105" s="186" t="n"/>
      <c r="C105" s="186" t="n"/>
      <c r="D105" s="186" t="n"/>
      <c r="E105" s="186" t="n"/>
      <c r="F105" s="213" t="n">
        <v>99</v>
      </c>
      <c r="G105" s="214">
        <f>$C$39</f>
        <v/>
      </c>
      <c r="H105" s="214">
        <f>(J104*$C$16)/12</f>
        <v/>
      </c>
      <c r="I105" s="214">
        <f>G105-H105</f>
        <v/>
      </c>
      <c r="J105" s="214">
        <f>J104-I105</f>
        <v/>
      </c>
      <c r="K105" s="946" t="n"/>
      <c r="L105" s="946" t="n"/>
      <c r="M105" s="946" t="n"/>
      <c r="N105" s="946" t="n"/>
      <c r="O105" s="946" t="n"/>
      <c r="P105" s="946" t="n"/>
      <c r="Q105" s="946" t="n"/>
      <c r="R105" s="946" t="n"/>
      <c r="S105" s="946" t="n"/>
      <c r="T105" s="946" t="n"/>
      <c r="U105" s="946" t="n"/>
      <c r="V105" s="946" t="n"/>
      <c r="W105" s="946" t="n"/>
      <c r="X105" s="946" t="n"/>
      <c r="Y105" s="946" t="n"/>
      <c r="Z105" s="946" t="n"/>
      <c r="AA105" s="946" t="n"/>
      <c r="AB105" s="946" t="n"/>
    </row>
    <row r="106">
      <c r="A106" s="186" t="n"/>
      <c r="B106" s="186" t="n"/>
      <c r="C106" s="186" t="n"/>
      <c r="D106" s="186" t="n"/>
      <c r="E106" s="186" t="n"/>
      <c r="F106" s="213" t="n">
        <v>100</v>
      </c>
      <c r="G106" s="214">
        <f>$C$39</f>
        <v/>
      </c>
      <c r="H106" s="214">
        <f>(J105*$C$16)/12</f>
        <v/>
      </c>
      <c r="I106" s="214">
        <f>G106-H106</f>
        <v/>
      </c>
      <c r="J106" s="214">
        <f>J105-I106</f>
        <v/>
      </c>
      <c r="K106" s="946" t="n"/>
      <c r="L106" s="946" t="n"/>
      <c r="M106" s="946" t="n"/>
      <c r="N106" s="946" t="n"/>
      <c r="O106" s="946" t="n"/>
      <c r="P106" s="946" t="n"/>
      <c r="Q106" s="946" t="n"/>
      <c r="R106" s="946" t="n"/>
      <c r="S106" s="946" t="n"/>
      <c r="T106" s="946" t="n"/>
      <c r="U106" s="946" t="n"/>
      <c r="V106" s="946" t="n"/>
      <c r="W106" s="946" t="n"/>
      <c r="X106" s="946" t="n"/>
      <c r="Y106" s="946" t="n"/>
      <c r="Z106" s="946" t="n"/>
      <c r="AA106" s="946" t="n"/>
      <c r="AB106" s="946" t="n"/>
    </row>
    <row r="107">
      <c r="A107" s="186" t="n"/>
      <c r="B107" s="186" t="n"/>
      <c r="C107" s="186" t="n"/>
      <c r="D107" s="186" t="n"/>
      <c r="E107" s="186" t="n"/>
      <c r="F107" s="213" t="n">
        <v>101</v>
      </c>
      <c r="G107" s="214">
        <f>$C$39</f>
        <v/>
      </c>
      <c r="H107" s="214">
        <f>(J106*$C$16)/12</f>
        <v/>
      </c>
      <c r="I107" s="214">
        <f>G107-H107</f>
        <v/>
      </c>
      <c r="J107" s="214">
        <f>J106-I107</f>
        <v/>
      </c>
      <c r="K107" s="946" t="n"/>
      <c r="L107" s="946" t="n"/>
      <c r="M107" s="946" t="n"/>
      <c r="N107" s="946" t="n"/>
      <c r="O107" s="946" t="n"/>
      <c r="P107" s="946" t="n"/>
      <c r="Q107" s="946" t="n"/>
      <c r="R107" s="946" t="n"/>
      <c r="S107" s="946" t="n"/>
      <c r="T107" s="946" t="n"/>
      <c r="U107" s="946" t="n"/>
      <c r="V107" s="946" t="n"/>
      <c r="W107" s="946" t="n"/>
      <c r="X107" s="946" t="n"/>
      <c r="Y107" s="946" t="n"/>
      <c r="Z107" s="946" t="n"/>
      <c r="AA107" s="946" t="n"/>
      <c r="AB107" s="946" t="n"/>
    </row>
    <row r="108">
      <c r="A108" s="186" t="n"/>
      <c r="B108" s="186" t="n"/>
      <c r="C108" s="186" t="n"/>
      <c r="D108" s="186" t="n"/>
      <c r="E108" s="186" t="n"/>
      <c r="F108" s="213" t="n">
        <v>102</v>
      </c>
      <c r="G108" s="214">
        <f>$C$39</f>
        <v/>
      </c>
      <c r="H108" s="214">
        <f>(J107*$C$16)/12</f>
        <v/>
      </c>
      <c r="I108" s="214">
        <f>G108-H108</f>
        <v/>
      </c>
      <c r="J108" s="214">
        <f>J107-I108</f>
        <v/>
      </c>
      <c r="K108" s="946" t="n"/>
      <c r="L108" s="946" t="n"/>
      <c r="M108" s="946" t="n"/>
      <c r="N108" s="946" t="n"/>
      <c r="O108" s="946" t="n"/>
      <c r="P108" s="946" t="n"/>
      <c r="Q108" s="946" t="n"/>
      <c r="R108" s="946" t="n"/>
      <c r="S108" s="946" t="n"/>
      <c r="T108" s="946" t="n"/>
      <c r="U108" s="946" t="n"/>
      <c r="V108" s="946" t="n"/>
      <c r="W108" s="946" t="n"/>
      <c r="X108" s="946" t="n"/>
      <c r="Y108" s="946" t="n"/>
      <c r="Z108" s="946" t="n"/>
      <c r="AA108" s="946" t="n"/>
      <c r="AB108" s="946" t="n"/>
    </row>
    <row r="109">
      <c r="A109" s="186" t="n"/>
      <c r="B109" s="186" t="n"/>
      <c r="C109" s="186" t="n"/>
      <c r="D109" s="186" t="n"/>
      <c r="E109" s="186" t="n"/>
      <c r="F109" s="213" t="n">
        <v>103</v>
      </c>
      <c r="G109" s="214">
        <f>$C$39</f>
        <v/>
      </c>
      <c r="H109" s="214">
        <f>(J108*$C$16)/12</f>
        <v/>
      </c>
      <c r="I109" s="214">
        <f>G109-H109</f>
        <v/>
      </c>
      <c r="J109" s="214">
        <f>J108-I109</f>
        <v/>
      </c>
      <c r="K109" s="946" t="n"/>
      <c r="L109" s="946" t="n"/>
      <c r="M109" s="946" t="n"/>
      <c r="N109" s="946" t="n"/>
      <c r="O109" s="946" t="n"/>
      <c r="P109" s="946" t="n"/>
      <c r="Q109" s="946" t="n"/>
      <c r="R109" s="946" t="n"/>
      <c r="S109" s="946" t="n"/>
      <c r="T109" s="946" t="n"/>
      <c r="U109" s="946" t="n"/>
      <c r="V109" s="946" t="n"/>
      <c r="W109" s="946" t="n"/>
      <c r="X109" s="946" t="n"/>
      <c r="Y109" s="946" t="n"/>
      <c r="Z109" s="946" t="n"/>
      <c r="AA109" s="946" t="n"/>
      <c r="AB109" s="946" t="n"/>
    </row>
    <row r="110">
      <c r="A110" s="186" t="n"/>
      <c r="B110" s="186" t="n"/>
      <c r="C110" s="186" t="n"/>
      <c r="D110" s="186" t="n"/>
      <c r="E110" s="186" t="n"/>
      <c r="F110" s="213" t="n">
        <v>104</v>
      </c>
      <c r="G110" s="214">
        <f>$C$39</f>
        <v/>
      </c>
      <c r="H110" s="214">
        <f>(J109*$C$16)/12</f>
        <v/>
      </c>
      <c r="I110" s="214">
        <f>G110-H110</f>
        <v/>
      </c>
      <c r="J110" s="214">
        <f>J109-I110</f>
        <v/>
      </c>
      <c r="K110" s="946" t="n"/>
      <c r="L110" s="946" t="n"/>
      <c r="M110" s="946" t="n"/>
      <c r="N110" s="946" t="n"/>
      <c r="O110" s="946" t="n"/>
      <c r="P110" s="946" t="n"/>
      <c r="Q110" s="946" t="n"/>
      <c r="R110" s="946" t="n"/>
      <c r="S110" s="946" t="n"/>
      <c r="T110" s="946" t="n"/>
      <c r="U110" s="946" t="n"/>
      <c r="V110" s="946" t="n"/>
      <c r="W110" s="946" t="n"/>
      <c r="X110" s="946" t="n"/>
      <c r="Y110" s="946" t="n"/>
      <c r="Z110" s="946" t="n"/>
      <c r="AA110" s="946" t="n"/>
      <c r="AB110" s="946" t="n"/>
    </row>
    <row r="111">
      <c r="A111" s="186" t="n"/>
      <c r="B111" s="186" t="n"/>
      <c r="C111" s="186" t="n"/>
      <c r="D111" s="186" t="n"/>
      <c r="E111" s="186" t="n"/>
      <c r="F111" s="213" t="n">
        <v>105</v>
      </c>
      <c r="G111" s="214">
        <f>$C$39</f>
        <v/>
      </c>
      <c r="H111" s="214">
        <f>(J110*$C$16)/12</f>
        <v/>
      </c>
      <c r="I111" s="214">
        <f>G111-H111</f>
        <v/>
      </c>
      <c r="J111" s="214">
        <f>J110-I111</f>
        <v/>
      </c>
      <c r="K111" s="946" t="n"/>
      <c r="L111" s="946" t="n"/>
      <c r="M111" s="946" t="n"/>
      <c r="N111" s="946" t="n"/>
      <c r="O111" s="946" t="n"/>
      <c r="P111" s="946" t="n"/>
      <c r="Q111" s="946" t="n"/>
      <c r="R111" s="946" t="n"/>
      <c r="S111" s="946" t="n"/>
      <c r="T111" s="946" t="n"/>
      <c r="U111" s="946" t="n"/>
      <c r="V111" s="946" t="n"/>
      <c r="W111" s="946" t="n"/>
      <c r="X111" s="946" t="n"/>
      <c r="Y111" s="946" t="n"/>
      <c r="Z111" s="946" t="n"/>
      <c r="AA111" s="946" t="n"/>
      <c r="AB111" s="946" t="n"/>
    </row>
    <row r="112">
      <c r="A112" s="186" t="n"/>
      <c r="B112" s="186" t="n"/>
      <c r="C112" s="186" t="n"/>
      <c r="D112" s="186" t="n"/>
      <c r="E112" s="186" t="n"/>
      <c r="F112" s="213" t="n">
        <v>106</v>
      </c>
      <c r="G112" s="214">
        <f>$C$39</f>
        <v/>
      </c>
      <c r="H112" s="214">
        <f>(J111*$C$16)/12</f>
        <v/>
      </c>
      <c r="I112" s="214">
        <f>G112-H112</f>
        <v/>
      </c>
      <c r="J112" s="214">
        <f>J111-I112</f>
        <v/>
      </c>
      <c r="K112" s="946" t="n"/>
      <c r="L112" s="946" t="n"/>
      <c r="M112" s="946" t="n"/>
      <c r="N112" s="946" t="n"/>
      <c r="O112" s="946" t="n"/>
      <c r="P112" s="946" t="n"/>
      <c r="Q112" s="946" t="n"/>
      <c r="R112" s="946" t="n"/>
      <c r="S112" s="946" t="n"/>
      <c r="T112" s="946" t="n"/>
      <c r="U112" s="946" t="n"/>
      <c r="V112" s="946" t="n"/>
      <c r="W112" s="946" t="n"/>
      <c r="X112" s="946" t="n"/>
      <c r="Y112" s="946" t="n"/>
      <c r="Z112" s="946" t="n"/>
      <c r="AA112" s="946" t="n"/>
      <c r="AB112" s="946" t="n"/>
    </row>
    <row r="113">
      <c r="A113" s="186" t="n"/>
      <c r="B113" s="186" t="n"/>
      <c r="C113" s="186" t="n"/>
      <c r="D113" s="186" t="n"/>
      <c r="E113" s="186" t="n"/>
      <c r="F113" s="213" t="n">
        <v>107</v>
      </c>
      <c r="G113" s="214">
        <f>$C$39</f>
        <v/>
      </c>
      <c r="H113" s="214">
        <f>(J112*$C$16)/12</f>
        <v/>
      </c>
      <c r="I113" s="214">
        <f>G113-H113</f>
        <v/>
      </c>
      <c r="J113" s="214">
        <f>J112-I113</f>
        <v/>
      </c>
      <c r="K113" s="946" t="n"/>
      <c r="L113" s="946" t="n"/>
      <c r="M113" s="946" t="n"/>
      <c r="N113" s="946" t="n"/>
      <c r="O113" s="946" t="n"/>
      <c r="P113" s="946" t="n"/>
      <c r="Q113" s="946" t="n"/>
      <c r="R113" s="946" t="n"/>
      <c r="S113" s="946" t="n"/>
      <c r="T113" s="946" t="n"/>
      <c r="U113" s="946" t="n"/>
      <c r="V113" s="946" t="n"/>
      <c r="W113" s="946" t="n"/>
      <c r="X113" s="946" t="n"/>
      <c r="Y113" s="946" t="n"/>
      <c r="Z113" s="946" t="n"/>
      <c r="AA113" s="946" t="n"/>
      <c r="AB113" s="946" t="n"/>
    </row>
    <row r="114">
      <c r="A114" s="186" t="n"/>
      <c r="B114" s="186" t="n"/>
      <c r="C114" s="186" t="n"/>
      <c r="D114" s="186" t="n"/>
      <c r="E114" s="186" t="n"/>
      <c r="F114" s="504" t="n">
        <v>108</v>
      </c>
      <c r="G114" s="505">
        <f>$C$39</f>
        <v/>
      </c>
      <c r="H114" s="505">
        <f>(J113*$C$16)/12</f>
        <v/>
      </c>
      <c r="I114" s="505">
        <f>G114-H114</f>
        <v/>
      </c>
      <c r="J114" s="505">
        <f>J113-I114</f>
        <v/>
      </c>
      <c r="K114" s="946" t="n"/>
      <c r="L114" s="946" t="n"/>
      <c r="M114" s="946" t="n"/>
      <c r="N114" s="946" t="n"/>
      <c r="O114" s="946" t="n"/>
      <c r="P114" s="946" t="n"/>
      <c r="Q114" s="946" t="n"/>
      <c r="R114" s="946" t="n"/>
      <c r="S114" s="946" t="n"/>
      <c r="T114" s="946" t="n"/>
      <c r="U114" s="946" t="n"/>
      <c r="V114" s="946" t="n"/>
      <c r="W114" s="946" t="n"/>
      <c r="X114" s="946" t="n"/>
      <c r="Y114" s="946" t="n"/>
      <c r="Z114" s="946" t="n"/>
      <c r="AA114" s="946" t="n"/>
      <c r="AB114" s="946" t="n"/>
    </row>
    <row r="115">
      <c r="A115" s="186" t="n"/>
      <c r="B115" s="186" t="n"/>
      <c r="C115" s="186" t="n"/>
      <c r="D115" s="186" t="n"/>
      <c r="E115" s="186" t="n"/>
      <c r="F115" s="213" t="n">
        <v>109</v>
      </c>
      <c r="G115" s="214">
        <f>$C$39</f>
        <v/>
      </c>
      <c r="H115" s="214">
        <f>(J114*$C$16)/12</f>
        <v/>
      </c>
      <c r="I115" s="214">
        <f>G115-H115</f>
        <v/>
      </c>
      <c r="J115" s="214">
        <f>J114-I115</f>
        <v/>
      </c>
      <c r="K115" s="946" t="n"/>
      <c r="L115" s="946" t="n"/>
      <c r="M115" s="946" t="n"/>
      <c r="N115" s="946" t="n"/>
      <c r="O115" s="946" t="n"/>
      <c r="P115" s="946" t="n"/>
      <c r="Q115" s="946" t="n"/>
      <c r="R115" s="946" t="n"/>
      <c r="S115" s="946" t="n"/>
      <c r="T115" s="946" t="n"/>
      <c r="U115" s="946" t="n"/>
      <c r="V115" s="946" t="n"/>
      <c r="W115" s="946" t="n"/>
      <c r="X115" s="946" t="n"/>
      <c r="Y115" s="946" t="n"/>
      <c r="Z115" s="946" t="n"/>
      <c r="AA115" s="946" t="n"/>
      <c r="AB115" s="946" t="n"/>
    </row>
    <row r="116">
      <c r="A116" s="186" t="n"/>
      <c r="B116" s="186" t="n"/>
      <c r="C116" s="186" t="n"/>
      <c r="D116" s="186" t="n"/>
      <c r="E116" s="186" t="n"/>
      <c r="F116" s="213" t="n">
        <v>110</v>
      </c>
      <c r="G116" s="214">
        <f>$C$39</f>
        <v/>
      </c>
      <c r="H116" s="214">
        <f>(J115*$C$16)/12</f>
        <v/>
      </c>
      <c r="I116" s="214">
        <f>G116-H116</f>
        <v/>
      </c>
      <c r="J116" s="214">
        <f>J115-I116</f>
        <v/>
      </c>
      <c r="K116" s="946" t="n"/>
      <c r="L116" s="946" t="n"/>
      <c r="M116" s="946" t="n"/>
      <c r="N116" s="946" t="n"/>
      <c r="O116" s="946" t="n"/>
      <c r="P116" s="946" t="n"/>
      <c r="Q116" s="946" t="n"/>
      <c r="R116" s="946" t="n"/>
      <c r="S116" s="946" t="n"/>
      <c r="T116" s="946" t="n"/>
      <c r="U116" s="946" t="n"/>
      <c r="V116" s="946" t="n"/>
      <c r="W116" s="946" t="n"/>
      <c r="X116" s="946" t="n"/>
      <c r="Y116" s="946" t="n"/>
      <c r="Z116" s="946" t="n"/>
      <c r="AA116" s="946" t="n"/>
      <c r="AB116" s="946" t="n"/>
    </row>
    <row r="117">
      <c r="A117" s="186" t="n"/>
      <c r="B117" s="186" t="n"/>
      <c r="C117" s="186" t="n"/>
      <c r="D117" s="186" t="n"/>
      <c r="E117" s="186" t="n"/>
      <c r="F117" s="213" t="n">
        <v>111</v>
      </c>
      <c r="G117" s="214">
        <f>$C$39</f>
        <v/>
      </c>
      <c r="H117" s="214">
        <f>(J116*$C$16)/12</f>
        <v/>
      </c>
      <c r="I117" s="214">
        <f>G117-H117</f>
        <v/>
      </c>
      <c r="J117" s="214">
        <f>J116-I117</f>
        <v/>
      </c>
      <c r="K117" s="946" t="n"/>
      <c r="L117" s="946" t="n"/>
      <c r="M117" s="946" t="n"/>
      <c r="N117" s="946" t="n"/>
      <c r="O117" s="946" t="n"/>
      <c r="P117" s="946" t="n"/>
      <c r="Q117" s="946" t="n"/>
      <c r="R117" s="946" t="n"/>
      <c r="S117" s="946" t="n"/>
      <c r="T117" s="946" t="n"/>
      <c r="U117" s="946" t="n"/>
      <c r="V117" s="946" t="n"/>
      <c r="W117" s="946" t="n"/>
      <c r="X117" s="946" t="n"/>
      <c r="Y117" s="946" t="n"/>
      <c r="Z117" s="946" t="n"/>
      <c r="AA117" s="946" t="n"/>
      <c r="AB117" s="946" t="n"/>
    </row>
    <row r="118">
      <c r="A118" s="186" t="n"/>
      <c r="B118" s="186" t="n"/>
      <c r="C118" s="186" t="n"/>
      <c r="D118" s="186" t="n"/>
      <c r="E118" s="186" t="n"/>
      <c r="F118" s="213" t="n">
        <v>112</v>
      </c>
      <c r="G118" s="214">
        <f>$C$39</f>
        <v/>
      </c>
      <c r="H118" s="214">
        <f>(J117*$C$16)/12</f>
        <v/>
      </c>
      <c r="I118" s="214">
        <f>G118-H118</f>
        <v/>
      </c>
      <c r="J118" s="214">
        <f>J117-I118</f>
        <v/>
      </c>
      <c r="K118" s="946" t="n"/>
      <c r="L118" s="946" t="n"/>
      <c r="M118" s="946" t="n"/>
      <c r="N118" s="946" t="n"/>
      <c r="O118" s="946" t="n"/>
      <c r="P118" s="946" t="n"/>
      <c r="Q118" s="946" t="n"/>
      <c r="R118" s="946" t="n"/>
      <c r="S118" s="946" t="n"/>
      <c r="T118" s="946" t="n"/>
      <c r="U118" s="946" t="n"/>
      <c r="V118" s="946" t="n"/>
      <c r="W118" s="946" t="n"/>
      <c r="X118" s="946" t="n"/>
      <c r="Y118" s="946" t="n"/>
      <c r="Z118" s="946" t="n"/>
      <c r="AA118" s="946" t="n"/>
      <c r="AB118" s="946" t="n"/>
    </row>
    <row r="119">
      <c r="A119" s="186" t="n"/>
      <c r="B119" s="186" t="n"/>
      <c r="C119" s="186" t="n"/>
      <c r="D119" s="186" t="n"/>
      <c r="E119" s="186" t="n"/>
      <c r="F119" s="213" t="n">
        <v>113</v>
      </c>
      <c r="G119" s="214">
        <f>$C$39</f>
        <v/>
      </c>
      <c r="H119" s="214">
        <f>(J118*$C$16)/12</f>
        <v/>
      </c>
      <c r="I119" s="214">
        <f>G119-H119</f>
        <v/>
      </c>
      <c r="J119" s="214">
        <f>J118-I119</f>
        <v/>
      </c>
      <c r="K119" s="946" t="n"/>
      <c r="L119" s="946" t="n"/>
      <c r="M119" s="946" t="n"/>
      <c r="N119" s="946" t="n"/>
      <c r="O119" s="946" t="n"/>
      <c r="P119" s="946" t="n"/>
      <c r="Q119" s="946" t="n"/>
      <c r="R119" s="946" t="n"/>
      <c r="S119" s="946" t="n"/>
      <c r="T119" s="946" t="n"/>
      <c r="U119" s="946" t="n"/>
      <c r="V119" s="946" t="n"/>
      <c r="W119" s="946" t="n"/>
      <c r="X119" s="946" t="n"/>
      <c r="Y119" s="946" t="n"/>
      <c r="Z119" s="946" t="n"/>
      <c r="AA119" s="946" t="n"/>
      <c r="AB119" s="946" t="n"/>
    </row>
    <row r="120">
      <c r="A120" s="186" t="n"/>
      <c r="B120" s="186" t="n"/>
      <c r="C120" s="186" t="n"/>
      <c r="D120" s="186" t="n"/>
      <c r="E120" s="186" t="n"/>
      <c r="F120" s="213" t="n">
        <v>114</v>
      </c>
      <c r="G120" s="214">
        <f>$C$39</f>
        <v/>
      </c>
      <c r="H120" s="214">
        <f>(J119*$C$16)/12</f>
        <v/>
      </c>
      <c r="I120" s="214">
        <f>G120-H120</f>
        <v/>
      </c>
      <c r="J120" s="214">
        <f>J119-I120</f>
        <v/>
      </c>
      <c r="K120" s="946" t="n"/>
      <c r="L120" s="946" t="n"/>
      <c r="M120" s="946" t="n"/>
      <c r="N120" s="946" t="n"/>
      <c r="O120" s="946" t="n"/>
      <c r="P120" s="946" t="n"/>
      <c r="Q120" s="946" t="n"/>
      <c r="R120" s="946" t="n"/>
      <c r="S120" s="946" t="n"/>
      <c r="T120" s="946" t="n"/>
      <c r="U120" s="946" t="n"/>
      <c r="V120" s="946" t="n"/>
      <c r="W120" s="946" t="n"/>
      <c r="X120" s="946" t="n"/>
      <c r="Y120" s="946" t="n"/>
      <c r="Z120" s="946" t="n"/>
      <c r="AA120" s="946" t="n"/>
      <c r="AB120" s="946" t="n"/>
    </row>
    <row r="121">
      <c r="A121" s="186" t="n"/>
      <c r="B121" s="186" t="n"/>
      <c r="C121" s="186" t="n"/>
      <c r="D121" s="186" t="n"/>
      <c r="E121" s="186" t="n"/>
      <c r="F121" s="213" t="n">
        <v>115</v>
      </c>
      <c r="G121" s="214">
        <f>$C$39</f>
        <v/>
      </c>
      <c r="H121" s="214">
        <f>(J120*$C$16)/12</f>
        <v/>
      </c>
      <c r="I121" s="214">
        <f>G121-H121</f>
        <v/>
      </c>
      <c r="J121" s="214">
        <f>J120-I121</f>
        <v/>
      </c>
      <c r="K121" s="946" t="n"/>
      <c r="L121" s="946" t="n"/>
      <c r="M121" s="946" t="n"/>
      <c r="N121" s="946" t="n"/>
      <c r="O121" s="946" t="n"/>
      <c r="P121" s="946" t="n"/>
      <c r="Q121" s="946" t="n"/>
      <c r="R121" s="946" t="n"/>
      <c r="S121" s="946" t="n"/>
      <c r="T121" s="946" t="n"/>
      <c r="U121" s="946" t="n"/>
      <c r="V121" s="946" t="n"/>
      <c r="W121" s="946" t="n"/>
      <c r="X121" s="946" t="n"/>
      <c r="Y121" s="946" t="n"/>
      <c r="Z121" s="946" t="n"/>
      <c r="AA121" s="946" t="n"/>
      <c r="AB121" s="946" t="n"/>
    </row>
    <row r="122">
      <c r="A122" s="186" t="n"/>
      <c r="B122" s="186" t="n"/>
      <c r="C122" s="186" t="n"/>
      <c r="D122" s="186" t="n"/>
      <c r="E122" s="186" t="n"/>
      <c r="F122" s="213" t="n">
        <v>116</v>
      </c>
      <c r="G122" s="214">
        <f>$C$39</f>
        <v/>
      </c>
      <c r="H122" s="214">
        <f>(J121*$C$16)/12</f>
        <v/>
      </c>
      <c r="I122" s="214">
        <f>G122-H122</f>
        <v/>
      </c>
      <c r="J122" s="214">
        <f>J121-I122</f>
        <v/>
      </c>
      <c r="K122" s="946" t="n"/>
      <c r="L122" s="946" t="n"/>
      <c r="M122" s="946" t="n"/>
      <c r="N122" s="946" t="n"/>
      <c r="O122" s="946" t="n"/>
      <c r="P122" s="946" t="n"/>
      <c r="Q122" s="946" t="n"/>
      <c r="R122" s="946" t="n"/>
      <c r="S122" s="946" t="n"/>
      <c r="T122" s="946" t="n"/>
      <c r="U122" s="946" t="n"/>
      <c r="V122" s="946" t="n"/>
      <c r="W122" s="946" t="n"/>
      <c r="X122" s="946" t="n"/>
      <c r="Y122" s="946" t="n"/>
      <c r="Z122" s="946" t="n"/>
      <c r="AA122" s="946" t="n"/>
      <c r="AB122" s="946" t="n"/>
    </row>
    <row r="123">
      <c r="A123" s="186" t="n"/>
      <c r="B123" s="186" t="n"/>
      <c r="C123" s="186" t="n"/>
      <c r="D123" s="186" t="n"/>
      <c r="E123" s="186" t="n"/>
      <c r="F123" s="213" t="n">
        <v>117</v>
      </c>
      <c r="G123" s="214">
        <f>$C$39</f>
        <v/>
      </c>
      <c r="H123" s="214">
        <f>(J122*$C$16)/12</f>
        <v/>
      </c>
      <c r="I123" s="214">
        <f>G123-H123</f>
        <v/>
      </c>
      <c r="J123" s="214">
        <f>J122-I123</f>
        <v/>
      </c>
      <c r="K123" s="946" t="n"/>
      <c r="L123" s="946" t="n"/>
      <c r="M123" s="946" t="n"/>
      <c r="N123" s="946" t="n"/>
      <c r="O123" s="946" t="n"/>
      <c r="P123" s="946" t="n"/>
      <c r="Q123" s="946" t="n"/>
      <c r="R123" s="946" t="n"/>
      <c r="S123" s="946" t="n"/>
      <c r="T123" s="946" t="n"/>
      <c r="U123" s="946" t="n"/>
      <c r="V123" s="946" t="n"/>
      <c r="W123" s="946" t="n"/>
      <c r="X123" s="946" t="n"/>
      <c r="Y123" s="946" t="n"/>
      <c r="Z123" s="946" t="n"/>
      <c r="AA123" s="946" t="n"/>
      <c r="AB123" s="946" t="n"/>
    </row>
    <row r="124">
      <c r="A124" s="186" t="n"/>
      <c r="B124" s="186" t="n"/>
      <c r="C124" s="186" t="n"/>
      <c r="D124" s="186" t="n"/>
      <c r="E124" s="186" t="n"/>
      <c r="F124" s="213" t="n">
        <v>118</v>
      </c>
      <c r="G124" s="214">
        <f>$C$39</f>
        <v/>
      </c>
      <c r="H124" s="214">
        <f>(J123*$C$16)/12</f>
        <v/>
      </c>
      <c r="I124" s="214">
        <f>G124-H124</f>
        <v/>
      </c>
      <c r="J124" s="214">
        <f>J123-I124</f>
        <v/>
      </c>
      <c r="K124" s="946" t="n"/>
      <c r="L124" s="946" t="n"/>
      <c r="M124" s="946" t="n"/>
      <c r="N124" s="946" t="n"/>
      <c r="O124" s="946" t="n"/>
      <c r="P124" s="946" t="n"/>
      <c r="Q124" s="946" t="n"/>
      <c r="R124" s="946" t="n"/>
      <c r="S124" s="946" t="n"/>
      <c r="T124" s="946" t="n"/>
      <c r="U124" s="946" t="n"/>
      <c r="V124" s="946" t="n"/>
      <c r="W124" s="946" t="n"/>
      <c r="X124" s="946" t="n"/>
      <c r="Y124" s="946" t="n"/>
      <c r="Z124" s="946" t="n"/>
      <c r="AA124" s="946" t="n"/>
      <c r="AB124" s="946" t="n"/>
    </row>
    <row r="125">
      <c r="A125" s="186" t="n"/>
      <c r="B125" s="186" t="n"/>
      <c r="C125" s="186" t="n"/>
      <c r="D125" s="186" t="n"/>
      <c r="E125" s="186" t="n"/>
      <c r="F125" s="213" t="n">
        <v>119</v>
      </c>
      <c r="G125" s="214">
        <f>$C$39</f>
        <v/>
      </c>
      <c r="H125" s="214">
        <f>(J124*$C$16)/12</f>
        <v/>
      </c>
      <c r="I125" s="214">
        <f>G125-H125</f>
        <v/>
      </c>
      <c r="J125" s="214">
        <f>J124-I125</f>
        <v/>
      </c>
      <c r="K125" s="946" t="n"/>
      <c r="L125" s="946" t="n"/>
      <c r="M125" s="946" t="n"/>
      <c r="N125" s="946" t="n"/>
      <c r="O125" s="946" t="n"/>
      <c r="P125" s="946" t="n"/>
      <c r="Q125" s="946" t="n"/>
      <c r="R125" s="946" t="n"/>
      <c r="S125" s="946" t="n"/>
      <c r="T125" s="946" t="n"/>
      <c r="U125" s="946" t="n"/>
      <c r="V125" s="946" t="n"/>
      <c r="W125" s="946" t="n"/>
      <c r="X125" s="946" t="n"/>
      <c r="Y125" s="946" t="n"/>
      <c r="Z125" s="946" t="n"/>
      <c r="AA125" s="946" t="n"/>
      <c r="AB125" s="946" t="n"/>
    </row>
    <row r="126">
      <c r="A126" s="186" t="n"/>
      <c r="B126" s="186" t="n"/>
      <c r="C126" s="186" t="n"/>
      <c r="D126" s="186" t="n"/>
      <c r="E126" s="186" t="n"/>
      <c r="F126" s="213" t="n">
        <v>120</v>
      </c>
      <c r="G126" s="214">
        <f>$C$39</f>
        <v/>
      </c>
      <c r="H126" s="214">
        <f>(J125*$C$16)/12</f>
        <v/>
      </c>
      <c r="I126" s="214">
        <f>G126-H126</f>
        <v/>
      </c>
      <c r="J126" s="214">
        <f>J125-I126</f>
        <v/>
      </c>
      <c r="K126" s="946" t="n"/>
      <c r="L126" s="946" t="n"/>
      <c r="M126" s="946" t="n"/>
      <c r="N126" s="946" t="n"/>
      <c r="O126" s="946" t="n"/>
      <c r="P126" s="946" t="n"/>
      <c r="Q126" s="946" t="n"/>
      <c r="R126" s="946" t="n"/>
      <c r="S126" s="946" t="n"/>
      <c r="T126" s="946" t="n"/>
      <c r="U126" s="946" t="n"/>
      <c r="V126" s="946" t="n"/>
      <c r="W126" s="946" t="n"/>
      <c r="X126" s="946" t="n"/>
      <c r="Y126" s="946" t="n"/>
      <c r="Z126" s="946" t="n"/>
      <c r="AA126" s="946" t="n"/>
      <c r="AB126" s="946" t="n"/>
    </row>
    <row r="127">
      <c r="A127" s="186" t="n"/>
      <c r="B127" s="186" t="n"/>
      <c r="C127" s="186" t="n"/>
      <c r="D127" s="186" t="n"/>
      <c r="E127" s="186" t="n"/>
      <c r="F127" s="853" t="n"/>
      <c r="G127" s="853" t="n"/>
      <c r="H127" s="853" t="n"/>
      <c r="I127" s="853" t="n"/>
      <c r="J127" s="853" t="n"/>
      <c r="K127" s="946" t="n"/>
      <c r="L127" s="946" t="n"/>
      <c r="M127" s="946" t="n"/>
      <c r="N127" s="946" t="n"/>
      <c r="O127" s="946" t="n"/>
      <c r="P127" s="946" t="n"/>
      <c r="Q127" s="946" t="n"/>
      <c r="R127" s="946" t="n"/>
      <c r="S127" s="946" t="n"/>
      <c r="T127" s="946" t="n"/>
      <c r="U127" s="946" t="n"/>
      <c r="V127" s="946" t="n"/>
      <c r="W127" s="946" t="n"/>
      <c r="X127" s="946" t="n"/>
      <c r="Y127" s="946" t="n"/>
      <c r="Z127" s="946" t="n"/>
      <c r="AA127" s="946" t="n"/>
      <c r="AB127" s="946" t="n"/>
    </row>
    <row r="128">
      <c r="A128" s="186" t="n"/>
      <c r="B128" s="186" t="n"/>
      <c r="C128" s="186" t="n"/>
      <c r="D128" s="186" t="n"/>
      <c r="E128" s="186" t="n"/>
      <c r="F128" s="853" t="n"/>
      <c r="G128" s="853" t="n"/>
      <c r="H128" s="853" t="n"/>
      <c r="I128" s="853" t="n"/>
      <c r="J128" s="853" t="n"/>
      <c r="K128" s="946" t="n"/>
      <c r="L128" s="946" t="n"/>
      <c r="M128" s="946" t="n"/>
      <c r="N128" s="946" t="n"/>
      <c r="O128" s="946" t="n"/>
      <c r="P128" s="946" t="n"/>
      <c r="Q128" s="946" t="n"/>
      <c r="R128" s="946" t="n"/>
      <c r="S128" s="946" t="n"/>
      <c r="T128" s="946" t="n"/>
      <c r="U128" s="946" t="n"/>
      <c r="V128" s="946" t="n"/>
      <c r="W128" s="946" t="n"/>
      <c r="X128" s="946" t="n"/>
      <c r="Y128" s="946" t="n"/>
      <c r="Z128" s="946" t="n"/>
      <c r="AA128" s="946" t="n"/>
      <c r="AB128" s="946" t="n"/>
    </row>
    <row r="129">
      <c r="A129" s="186" t="n"/>
      <c r="B129" s="186" t="n"/>
      <c r="C129" s="186" t="n"/>
      <c r="D129" s="186" t="n"/>
      <c r="E129" s="186" t="n"/>
      <c r="F129" s="853" t="n"/>
      <c r="G129" s="853" t="n"/>
      <c r="H129" s="853" t="n"/>
      <c r="I129" s="853" t="n"/>
      <c r="J129" s="853" t="n"/>
      <c r="K129" s="946" t="n"/>
      <c r="L129" s="946" t="n"/>
      <c r="M129" s="946" t="n"/>
      <c r="N129" s="946" t="n"/>
      <c r="O129" s="946" t="n"/>
      <c r="P129" s="946" t="n"/>
      <c r="Q129" s="946" t="n"/>
      <c r="R129" s="946" t="n"/>
      <c r="S129" s="946" t="n"/>
      <c r="T129" s="946" t="n"/>
      <c r="U129" s="946" t="n"/>
      <c r="V129" s="946" t="n"/>
      <c r="W129" s="946" t="n"/>
      <c r="X129" s="946" t="n"/>
      <c r="Y129" s="946" t="n"/>
      <c r="Z129" s="946" t="n"/>
      <c r="AA129" s="946" t="n"/>
      <c r="AB129" s="946" t="n"/>
    </row>
    <row r="130">
      <c r="A130" s="186" t="n"/>
      <c r="B130" s="186" t="n"/>
      <c r="C130" s="186" t="n"/>
      <c r="D130" s="186" t="n"/>
      <c r="E130" s="186" t="n"/>
      <c r="F130" s="853" t="n"/>
      <c r="G130" s="853" t="n"/>
      <c r="H130" s="853" t="n"/>
      <c r="I130" s="853" t="n"/>
      <c r="J130" s="853" t="n"/>
      <c r="K130" s="946" t="n"/>
      <c r="L130" s="946" t="n"/>
      <c r="M130" s="946" t="n"/>
      <c r="N130" s="946" t="n"/>
      <c r="O130" s="946" t="n"/>
      <c r="P130" s="946" t="n"/>
      <c r="Q130" s="946" t="n"/>
      <c r="R130" s="946" t="n"/>
      <c r="S130" s="946" t="n"/>
      <c r="T130" s="946" t="n"/>
      <c r="U130" s="946" t="n"/>
      <c r="V130" s="946" t="n"/>
      <c r="W130" s="946" t="n"/>
      <c r="X130" s="946" t="n"/>
      <c r="Y130" s="946" t="n"/>
      <c r="Z130" s="946" t="n"/>
      <c r="AA130" s="946" t="n"/>
      <c r="AB130" s="946" t="n"/>
    </row>
    <row r="131">
      <c r="A131" s="186" t="n"/>
      <c r="B131" s="186" t="n"/>
      <c r="C131" s="186" t="n"/>
      <c r="D131" s="186" t="n"/>
      <c r="E131" s="186" t="n"/>
      <c r="F131" s="853" t="n"/>
      <c r="G131" s="853" t="n"/>
      <c r="H131" s="853" t="n"/>
      <c r="I131" s="853" t="n"/>
      <c r="J131" s="853" t="n"/>
      <c r="K131" s="946" t="n"/>
      <c r="L131" s="946" t="n"/>
      <c r="M131" s="946" t="n"/>
      <c r="N131" s="946" t="n"/>
      <c r="O131" s="946" t="n"/>
      <c r="P131" s="946" t="n"/>
      <c r="Q131" s="946" t="n"/>
      <c r="R131" s="946" t="n"/>
      <c r="S131" s="946" t="n"/>
      <c r="T131" s="946" t="n"/>
      <c r="U131" s="946" t="n"/>
      <c r="V131" s="946" t="n"/>
      <c r="W131" s="946" t="n"/>
      <c r="X131" s="946" t="n"/>
      <c r="Y131" s="946" t="n"/>
      <c r="Z131" s="946" t="n"/>
      <c r="AA131" s="946" t="n"/>
      <c r="AB131" s="946" t="n"/>
    </row>
    <row r="132">
      <c r="A132" s="186" t="n"/>
      <c r="B132" s="186" t="n"/>
      <c r="C132" s="186" t="n"/>
      <c r="D132" s="186" t="n"/>
      <c r="E132" s="186" t="n"/>
      <c r="F132" s="853" t="n"/>
      <c r="G132" s="853" t="n"/>
      <c r="H132" s="853" t="n"/>
      <c r="I132" s="853" t="n"/>
      <c r="J132" s="853" t="n"/>
      <c r="K132" s="946" t="n"/>
      <c r="L132" s="946" t="n"/>
      <c r="M132" s="946" t="n"/>
      <c r="N132" s="946" t="n"/>
      <c r="O132" s="946" t="n"/>
      <c r="P132" s="946" t="n"/>
      <c r="Q132" s="946" t="n"/>
      <c r="R132" s="946" t="n"/>
      <c r="S132" s="946" t="n"/>
      <c r="T132" s="946" t="n"/>
      <c r="U132" s="946" t="n"/>
      <c r="V132" s="946" t="n"/>
      <c r="W132" s="946" t="n"/>
      <c r="X132" s="946" t="n"/>
      <c r="Y132" s="946" t="n"/>
      <c r="Z132" s="946" t="n"/>
      <c r="AA132" s="946" t="n"/>
      <c r="AB132" s="946" t="n"/>
    </row>
    <row r="133">
      <c r="A133" s="186" t="n"/>
      <c r="B133" s="186" t="n"/>
      <c r="C133" s="186" t="n"/>
      <c r="D133" s="186" t="n"/>
      <c r="E133" s="186" t="n"/>
      <c r="F133" s="853" t="n"/>
      <c r="G133" s="853" t="n"/>
      <c r="H133" s="853" t="n"/>
      <c r="I133" s="853" t="n"/>
      <c r="J133" s="853" t="n"/>
      <c r="K133" s="946" t="n"/>
      <c r="L133" s="946" t="n"/>
      <c r="M133" s="946" t="n"/>
      <c r="N133" s="946" t="n"/>
      <c r="O133" s="946" t="n"/>
      <c r="P133" s="946" t="n"/>
      <c r="Q133" s="946" t="n"/>
      <c r="R133" s="946" t="n"/>
      <c r="S133" s="946" t="n"/>
      <c r="T133" s="946" t="n"/>
      <c r="U133" s="946" t="n"/>
      <c r="V133" s="946" t="n"/>
      <c r="W133" s="946" t="n"/>
      <c r="X133" s="946" t="n"/>
      <c r="Y133" s="946" t="n"/>
      <c r="Z133" s="946" t="n"/>
      <c r="AA133" s="946" t="n"/>
      <c r="AB133" s="946" t="n"/>
    </row>
    <row r="134">
      <c r="A134" s="186" t="n"/>
      <c r="B134" s="186" t="n"/>
      <c r="C134" s="186" t="n"/>
      <c r="D134" s="186" t="n"/>
      <c r="E134" s="186" t="n"/>
      <c r="F134" s="853" t="n"/>
      <c r="G134" s="853" t="n"/>
      <c r="H134" s="853" t="n"/>
      <c r="I134" s="853" t="n"/>
      <c r="J134" s="853" t="n"/>
      <c r="K134" s="946" t="n"/>
      <c r="L134" s="946" t="n"/>
      <c r="M134" s="946" t="n"/>
      <c r="N134" s="946" t="n"/>
      <c r="O134" s="946" t="n"/>
      <c r="P134" s="946" t="n"/>
      <c r="Q134" s="946" t="n"/>
      <c r="R134" s="946" t="n"/>
      <c r="S134" s="946" t="n"/>
      <c r="T134" s="946" t="n"/>
      <c r="U134" s="946" t="n"/>
      <c r="V134" s="946" t="n"/>
      <c r="W134" s="946" t="n"/>
      <c r="X134" s="946" t="n"/>
      <c r="Y134" s="946" t="n"/>
      <c r="Z134" s="946" t="n"/>
      <c r="AA134" s="946" t="n"/>
      <c r="AB134" s="946" t="n"/>
    </row>
    <row r="135">
      <c r="A135" s="186" t="n"/>
      <c r="B135" s="186" t="n"/>
      <c r="C135" s="186" t="n"/>
      <c r="D135" s="186" t="n"/>
      <c r="E135" s="186" t="n"/>
      <c r="F135" s="853" t="n"/>
      <c r="G135" s="853" t="n"/>
      <c r="H135" s="853" t="n"/>
      <c r="I135" s="853" t="n"/>
      <c r="J135" s="853" t="n"/>
      <c r="K135" s="946" t="n"/>
      <c r="L135" s="946" t="n"/>
      <c r="M135" s="946" t="n"/>
      <c r="N135" s="946" t="n"/>
      <c r="O135" s="946" t="n"/>
      <c r="P135" s="946" t="n"/>
      <c r="Q135" s="946" t="n"/>
      <c r="R135" s="946" t="n"/>
      <c r="S135" s="946" t="n"/>
      <c r="T135" s="946" t="n"/>
      <c r="U135" s="946" t="n"/>
      <c r="V135" s="946" t="n"/>
      <c r="W135" s="946" t="n"/>
      <c r="X135" s="946" t="n"/>
      <c r="Y135" s="946" t="n"/>
      <c r="Z135" s="946" t="n"/>
      <c r="AA135" s="946" t="n"/>
      <c r="AB135" s="946" t="n"/>
    </row>
    <row r="136">
      <c r="A136" s="186" t="n"/>
      <c r="B136" s="186" t="n"/>
      <c r="C136" s="186" t="n"/>
      <c r="D136" s="186" t="n"/>
      <c r="E136" s="186" t="n"/>
      <c r="F136" s="853" t="n"/>
      <c r="G136" s="853" t="n"/>
      <c r="H136" s="853" t="n"/>
      <c r="I136" s="853" t="n"/>
      <c r="J136" s="853" t="n"/>
      <c r="K136" s="946" t="n"/>
      <c r="L136" s="946" t="n"/>
      <c r="M136" s="946" t="n"/>
      <c r="N136" s="946" t="n"/>
      <c r="O136" s="946" t="n"/>
      <c r="P136" s="946" t="n"/>
      <c r="Q136" s="946" t="n"/>
      <c r="R136" s="946" t="n"/>
      <c r="S136" s="946" t="n"/>
      <c r="T136" s="946" t="n"/>
      <c r="U136" s="946" t="n"/>
      <c r="V136" s="946" t="n"/>
      <c r="W136" s="946" t="n"/>
      <c r="X136" s="946" t="n"/>
      <c r="Y136" s="946" t="n"/>
      <c r="Z136" s="946" t="n"/>
      <c r="AA136" s="946" t="n"/>
      <c r="AB136" s="946" t="n"/>
    </row>
    <row r="137">
      <c r="A137" s="186" t="n"/>
      <c r="B137" s="186" t="n"/>
      <c r="C137" s="186" t="n"/>
      <c r="D137" s="186" t="n"/>
      <c r="E137" s="186" t="n"/>
      <c r="F137" s="956" t="n"/>
      <c r="G137" s="956" t="n"/>
      <c r="H137" s="956" t="n"/>
      <c r="I137" s="956" t="n"/>
      <c r="J137" s="956" t="n"/>
      <c r="K137" s="946" t="n"/>
      <c r="L137" s="946" t="n"/>
      <c r="M137" s="946" t="n"/>
      <c r="N137" s="946" t="n"/>
      <c r="O137" s="946" t="n"/>
      <c r="P137" s="946" t="n"/>
      <c r="Q137" s="946" t="n"/>
      <c r="R137" s="946" t="n"/>
      <c r="S137" s="946" t="n"/>
      <c r="T137" s="946" t="n"/>
      <c r="U137" s="946" t="n"/>
      <c r="V137" s="946" t="n"/>
      <c r="W137" s="946" t="n"/>
      <c r="X137" s="946" t="n"/>
      <c r="Y137" s="946" t="n"/>
      <c r="Z137" s="946" t="n"/>
      <c r="AA137" s="946" t="n"/>
      <c r="AB137" s="946" t="n"/>
    </row>
    <row r="138">
      <c r="A138" s="186" t="n"/>
      <c r="B138" s="186" t="n"/>
      <c r="C138" s="186" t="n"/>
      <c r="D138" s="186" t="n"/>
      <c r="E138" s="186" t="n"/>
      <c r="F138" s="956" t="n"/>
      <c r="G138" s="956" t="n"/>
      <c r="H138" s="956" t="n"/>
      <c r="I138" s="956" t="n"/>
      <c r="J138" s="956" t="n"/>
      <c r="K138" s="946" t="n"/>
      <c r="L138" s="946" t="n"/>
      <c r="M138" s="946" t="n"/>
      <c r="N138" s="946" t="n"/>
      <c r="O138" s="946" t="n"/>
      <c r="P138" s="946" t="n"/>
      <c r="Q138" s="946" t="n"/>
      <c r="R138" s="946" t="n"/>
      <c r="S138" s="946" t="n"/>
      <c r="T138" s="946" t="n"/>
      <c r="U138" s="946" t="n"/>
      <c r="V138" s="946" t="n"/>
      <c r="W138" s="946" t="n"/>
      <c r="X138" s="946" t="n"/>
      <c r="Y138" s="946" t="n"/>
      <c r="Z138" s="946" t="n"/>
      <c r="AA138" s="946" t="n"/>
      <c r="AB138" s="946" t="n"/>
    </row>
    <row r="139">
      <c r="A139" s="186" t="n"/>
      <c r="B139" s="186" t="n"/>
      <c r="C139" s="186" t="n"/>
      <c r="D139" s="186" t="n"/>
      <c r="E139" s="186" t="n"/>
      <c r="F139" s="956" t="n"/>
      <c r="G139" s="956" t="n"/>
      <c r="H139" s="956" t="n"/>
      <c r="I139" s="956" t="n"/>
      <c r="J139" s="956" t="n"/>
      <c r="K139" s="946" t="n"/>
      <c r="L139" s="946" t="n"/>
      <c r="M139" s="946" t="n"/>
      <c r="N139" s="946" t="n"/>
      <c r="O139" s="946" t="n"/>
      <c r="P139" s="946" t="n"/>
      <c r="Q139" s="946" t="n"/>
      <c r="R139" s="946" t="n"/>
      <c r="S139" s="946" t="n"/>
      <c r="T139" s="946" t="n"/>
      <c r="U139" s="946" t="n"/>
      <c r="V139" s="946" t="n"/>
      <c r="W139" s="946" t="n"/>
      <c r="X139" s="946" t="n"/>
      <c r="Y139" s="946" t="n"/>
      <c r="Z139" s="946" t="n"/>
      <c r="AA139" s="946" t="n"/>
      <c r="AB139" s="946" t="n"/>
    </row>
    <row r="140">
      <c r="A140" s="186" t="n"/>
      <c r="B140" s="186" t="n"/>
      <c r="C140" s="186" t="n"/>
      <c r="D140" s="186" t="n"/>
      <c r="E140" s="186" t="n"/>
      <c r="F140" s="956" t="n"/>
      <c r="G140" s="956" t="n"/>
      <c r="H140" s="956" t="n"/>
      <c r="I140" s="956" t="n"/>
      <c r="J140" s="956" t="n"/>
      <c r="K140" s="946" t="n"/>
      <c r="L140" s="946" t="n"/>
      <c r="M140" s="946" t="n"/>
      <c r="N140" s="946" t="n"/>
      <c r="O140" s="946" t="n"/>
      <c r="P140" s="946" t="n"/>
      <c r="Q140" s="946" t="n"/>
      <c r="R140" s="946" t="n"/>
      <c r="S140" s="946" t="n"/>
      <c r="T140" s="946" t="n"/>
      <c r="U140" s="946" t="n"/>
      <c r="V140" s="946" t="n"/>
      <c r="W140" s="946" t="n"/>
      <c r="X140" s="946" t="n"/>
      <c r="Y140" s="946" t="n"/>
      <c r="Z140" s="946" t="n"/>
      <c r="AA140" s="946" t="n"/>
      <c r="AB140" s="946" t="n"/>
    </row>
    <row r="141">
      <c r="A141" s="186" t="n"/>
      <c r="B141" s="186" t="n"/>
      <c r="C141" s="186" t="n"/>
      <c r="D141" s="186" t="n"/>
      <c r="E141" s="186" t="n"/>
      <c r="F141" s="956" t="n"/>
      <c r="G141" s="956" t="n"/>
      <c r="H141" s="956" t="n"/>
      <c r="I141" s="956" t="n"/>
      <c r="J141" s="956" t="n"/>
      <c r="K141" s="946" t="n"/>
      <c r="L141" s="946" t="n"/>
      <c r="M141" s="946" t="n"/>
      <c r="N141" s="946" t="n"/>
      <c r="O141" s="946" t="n"/>
      <c r="P141" s="946" t="n"/>
      <c r="Q141" s="946" t="n"/>
      <c r="R141" s="946" t="n"/>
      <c r="S141" s="946" t="n"/>
      <c r="T141" s="946" t="n"/>
      <c r="U141" s="946" t="n"/>
      <c r="V141" s="946" t="n"/>
      <c r="W141" s="946" t="n"/>
      <c r="X141" s="946" t="n"/>
      <c r="Y141" s="946" t="n"/>
      <c r="Z141" s="946" t="n"/>
      <c r="AA141" s="946" t="n"/>
      <c r="AB141" s="946" t="n"/>
    </row>
    <row r="142">
      <c r="A142" s="186" t="n"/>
      <c r="B142" s="186" t="n"/>
      <c r="C142" s="186" t="n"/>
      <c r="D142" s="186" t="n"/>
      <c r="E142" s="186" t="n"/>
      <c r="F142" s="956" t="n"/>
      <c r="G142" s="956" t="n"/>
      <c r="H142" s="956" t="n"/>
      <c r="I142" s="956" t="n"/>
      <c r="J142" s="956" t="n"/>
      <c r="K142" s="946" t="n"/>
      <c r="L142" s="946" t="n"/>
      <c r="M142" s="946" t="n"/>
      <c r="N142" s="946" t="n"/>
      <c r="O142" s="946" t="n"/>
      <c r="P142" s="946" t="n"/>
      <c r="Q142" s="946" t="n"/>
      <c r="R142" s="946" t="n"/>
      <c r="S142" s="946" t="n"/>
      <c r="T142" s="946" t="n"/>
      <c r="U142" s="946" t="n"/>
      <c r="V142" s="946" t="n"/>
      <c r="W142" s="946" t="n"/>
      <c r="X142" s="946" t="n"/>
      <c r="Y142" s="946" t="n"/>
      <c r="Z142" s="946" t="n"/>
      <c r="AA142" s="946" t="n"/>
      <c r="AB142" s="946" t="n"/>
    </row>
    <row r="143">
      <c r="A143" s="186" t="n"/>
      <c r="B143" s="186" t="n"/>
      <c r="C143" s="186" t="n"/>
      <c r="D143" s="186" t="n"/>
      <c r="E143" s="186" t="n"/>
      <c r="F143" s="956" t="n"/>
      <c r="G143" s="956" t="n"/>
      <c r="H143" s="956" t="n"/>
      <c r="I143" s="956" t="n"/>
      <c r="J143" s="956" t="n"/>
      <c r="K143" s="946" t="n"/>
      <c r="L143" s="946" t="n"/>
      <c r="M143" s="946" t="n"/>
      <c r="N143" s="946" t="n"/>
      <c r="O143" s="946" t="n"/>
      <c r="P143" s="946" t="n"/>
      <c r="Q143" s="946" t="n"/>
      <c r="R143" s="946" t="n"/>
      <c r="S143" s="946" t="n"/>
      <c r="T143" s="946" t="n"/>
      <c r="U143" s="946" t="n"/>
      <c r="V143" s="946" t="n"/>
      <c r="W143" s="946" t="n"/>
      <c r="X143" s="946" t="n"/>
      <c r="Y143" s="946" t="n"/>
      <c r="Z143" s="946" t="n"/>
      <c r="AA143" s="946" t="n"/>
      <c r="AB143" s="946" t="n"/>
    </row>
    <row r="144">
      <c r="A144" s="186" t="n"/>
      <c r="B144" s="186" t="n"/>
      <c r="C144" s="186" t="n"/>
      <c r="D144" s="186" t="n"/>
      <c r="E144" s="186" t="n"/>
      <c r="F144" s="956" t="n"/>
      <c r="G144" s="956" t="n"/>
      <c r="H144" s="956" t="n"/>
      <c r="I144" s="956" t="n"/>
      <c r="J144" s="956" t="n"/>
      <c r="K144" s="946" t="n"/>
      <c r="L144" s="946" t="n"/>
      <c r="M144" s="946" t="n"/>
      <c r="N144" s="946" t="n"/>
      <c r="O144" s="946" t="n"/>
      <c r="P144" s="946" t="n"/>
      <c r="Q144" s="946" t="n"/>
      <c r="R144" s="946" t="n"/>
      <c r="S144" s="946" t="n"/>
      <c r="T144" s="946" t="n"/>
      <c r="U144" s="946" t="n"/>
      <c r="V144" s="946" t="n"/>
      <c r="W144" s="946" t="n"/>
      <c r="X144" s="946" t="n"/>
      <c r="Y144" s="946" t="n"/>
      <c r="Z144" s="946" t="n"/>
      <c r="AA144" s="946" t="n"/>
      <c r="AB144" s="946" t="n"/>
    </row>
    <row r="145">
      <c r="A145" s="186" t="n"/>
      <c r="B145" s="186" t="n"/>
      <c r="C145" s="186" t="n"/>
      <c r="D145" s="186" t="n"/>
      <c r="E145" s="186" t="n"/>
      <c r="F145" s="956" t="n"/>
      <c r="G145" s="956" t="n"/>
      <c r="H145" s="956" t="n"/>
      <c r="I145" s="956" t="n"/>
      <c r="J145" s="956" t="n"/>
      <c r="K145" s="946" t="n"/>
      <c r="L145" s="946" t="n"/>
      <c r="M145" s="946" t="n"/>
      <c r="N145" s="946" t="n"/>
      <c r="O145" s="946" t="n"/>
      <c r="P145" s="946" t="n"/>
      <c r="Q145" s="946" t="n"/>
      <c r="R145" s="946" t="n"/>
      <c r="S145" s="946" t="n"/>
      <c r="T145" s="946" t="n"/>
      <c r="U145" s="946" t="n"/>
      <c r="V145" s="946" t="n"/>
      <c r="W145" s="946" t="n"/>
      <c r="X145" s="946" t="n"/>
      <c r="Y145" s="946" t="n"/>
      <c r="Z145" s="946" t="n"/>
      <c r="AA145" s="946" t="n"/>
      <c r="AB145" s="946" t="n"/>
    </row>
    <row r="146">
      <c r="A146" s="186" t="n"/>
      <c r="B146" s="186" t="n"/>
      <c r="C146" s="186" t="n"/>
      <c r="D146" s="186" t="n"/>
      <c r="E146" s="186" t="n"/>
      <c r="F146" s="956" t="n"/>
      <c r="G146" s="956" t="n"/>
      <c r="H146" s="956" t="n"/>
      <c r="I146" s="956" t="n"/>
      <c r="J146" s="956" t="n"/>
      <c r="K146" s="946" t="n"/>
      <c r="L146" s="946" t="n"/>
      <c r="M146" s="946" t="n"/>
      <c r="N146" s="946" t="n"/>
      <c r="O146" s="946" t="n"/>
      <c r="P146" s="946" t="n"/>
      <c r="Q146" s="946" t="n"/>
      <c r="R146" s="946" t="n"/>
      <c r="S146" s="946" t="n"/>
      <c r="T146" s="946" t="n"/>
      <c r="U146" s="946" t="n"/>
      <c r="V146" s="946" t="n"/>
      <c r="W146" s="946" t="n"/>
      <c r="X146" s="946" t="n"/>
      <c r="Y146" s="946" t="n"/>
      <c r="Z146" s="946" t="n"/>
      <c r="AA146" s="946" t="n"/>
      <c r="AB146" s="946" t="n"/>
    </row>
    <row r="147">
      <c r="A147" s="186" t="n"/>
      <c r="B147" s="186" t="n"/>
      <c r="C147" s="186" t="n"/>
      <c r="D147" s="186" t="n"/>
      <c r="E147" s="186" t="n"/>
      <c r="F147" s="956" t="n"/>
      <c r="G147" s="956" t="n"/>
      <c r="H147" s="956" t="n"/>
      <c r="I147" s="956" t="n"/>
      <c r="J147" s="956" t="n"/>
      <c r="K147" s="946" t="n"/>
      <c r="L147" s="946" t="n"/>
      <c r="M147" s="946" t="n"/>
      <c r="N147" s="946" t="n"/>
      <c r="O147" s="946" t="n"/>
      <c r="P147" s="946" t="n"/>
      <c r="Q147" s="946" t="n"/>
      <c r="R147" s="946" t="n"/>
      <c r="S147" s="946" t="n"/>
      <c r="T147" s="946" t="n"/>
      <c r="U147" s="946" t="n"/>
      <c r="V147" s="946" t="n"/>
      <c r="W147" s="946" t="n"/>
      <c r="X147" s="946" t="n"/>
      <c r="Y147" s="946" t="n"/>
      <c r="Z147" s="946" t="n"/>
      <c r="AA147" s="946" t="n"/>
      <c r="AB147" s="946" t="n"/>
    </row>
    <row r="148">
      <c r="A148" s="186" t="n"/>
      <c r="B148" s="186" t="n"/>
      <c r="C148" s="186" t="n"/>
      <c r="D148" s="186" t="n"/>
      <c r="E148" s="186" t="n"/>
      <c r="F148" s="956" t="n"/>
      <c r="G148" s="956" t="n"/>
      <c r="H148" s="956" t="n"/>
      <c r="I148" s="956" t="n"/>
      <c r="J148" s="956" t="n"/>
      <c r="K148" s="946" t="n"/>
      <c r="L148" s="946" t="n"/>
      <c r="M148" s="946" t="n"/>
      <c r="N148" s="946" t="n"/>
      <c r="O148" s="946" t="n"/>
      <c r="P148" s="946" t="n"/>
      <c r="Q148" s="946" t="n"/>
      <c r="R148" s="946" t="n"/>
      <c r="S148" s="946" t="n"/>
      <c r="T148" s="946" t="n"/>
      <c r="U148" s="946" t="n"/>
      <c r="V148" s="946" t="n"/>
      <c r="W148" s="946" t="n"/>
      <c r="X148" s="946" t="n"/>
      <c r="Y148" s="946" t="n"/>
      <c r="Z148" s="946" t="n"/>
      <c r="AA148" s="946" t="n"/>
      <c r="AB148" s="946" t="n"/>
    </row>
    <row r="149">
      <c r="A149" s="186" t="n"/>
      <c r="B149" s="186" t="n"/>
      <c r="C149" s="186" t="n"/>
      <c r="D149" s="186" t="n"/>
      <c r="E149" s="186" t="n"/>
      <c r="F149" s="956" t="n"/>
      <c r="G149" s="956" t="n"/>
      <c r="H149" s="956" t="n"/>
      <c r="I149" s="956" t="n"/>
      <c r="J149" s="956" t="n"/>
      <c r="K149" s="946" t="n"/>
      <c r="L149" s="946" t="n"/>
      <c r="M149" s="946" t="n"/>
      <c r="N149" s="946" t="n"/>
      <c r="O149" s="946" t="n"/>
      <c r="P149" s="946" t="n"/>
      <c r="Q149" s="946" t="n"/>
      <c r="R149" s="946" t="n"/>
      <c r="S149" s="946" t="n"/>
      <c r="T149" s="946" t="n"/>
      <c r="U149" s="946" t="n"/>
      <c r="V149" s="946" t="n"/>
      <c r="W149" s="946" t="n"/>
      <c r="X149" s="946" t="n"/>
      <c r="Y149" s="946" t="n"/>
      <c r="Z149" s="946" t="n"/>
      <c r="AA149" s="946" t="n"/>
      <c r="AB149" s="946" t="n"/>
    </row>
    <row r="150">
      <c r="A150" s="186" t="n"/>
      <c r="B150" s="186" t="n"/>
      <c r="C150" s="186" t="n"/>
      <c r="D150" s="186" t="n"/>
      <c r="E150" s="186" t="n"/>
      <c r="F150" s="956" t="n"/>
      <c r="G150" s="956" t="n"/>
      <c r="H150" s="956" t="n"/>
      <c r="I150" s="956" t="n"/>
      <c r="J150" s="956" t="n"/>
      <c r="K150" s="946" t="n"/>
      <c r="L150" s="946" t="n"/>
      <c r="M150" s="946" t="n"/>
      <c r="N150" s="946" t="n"/>
      <c r="O150" s="946" t="n"/>
      <c r="P150" s="946" t="n"/>
      <c r="Q150" s="946" t="n"/>
      <c r="R150" s="946" t="n"/>
      <c r="S150" s="946" t="n"/>
      <c r="T150" s="946" t="n"/>
      <c r="U150" s="946" t="n"/>
      <c r="V150" s="946" t="n"/>
      <c r="W150" s="946" t="n"/>
      <c r="X150" s="946" t="n"/>
      <c r="Y150" s="946" t="n"/>
      <c r="Z150" s="946" t="n"/>
      <c r="AA150" s="946" t="n"/>
      <c r="AB150" s="946" t="n"/>
    </row>
    <row r="151">
      <c r="A151" s="186" t="n"/>
      <c r="B151" s="186" t="n"/>
      <c r="C151" s="186" t="n"/>
      <c r="D151" s="186" t="n"/>
      <c r="E151" s="186" t="n"/>
      <c r="F151" s="956" t="n"/>
      <c r="G151" s="956" t="n"/>
      <c r="H151" s="956" t="n"/>
      <c r="I151" s="956" t="n"/>
      <c r="J151" s="956" t="n"/>
      <c r="K151" s="946" t="n"/>
      <c r="L151" s="946" t="n"/>
      <c r="M151" s="946" t="n"/>
      <c r="N151" s="946" t="n"/>
      <c r="O151" s="946" t="n"/>
      <c r="P151" s="946" t="n"/>
      <c r="Q151" s="946" t="n"/>
      <c r="R151" s="946" t="n"/>
      <c r="S151" s="946" t="n"/>
      <c r="T151" s="946" t="n"/>
      <c r="U151" s="946" t="n"/>
      <c r="V151" s="946" t="n"/>
      <c r="W151" s="946" t="n"/>
      <c r="X151" s="946" t="n"/>
      <c r="Y151" s="946" t="n"/>
      <c r="Z151" s="946" t="n"/>
      <c r="AA151" s="946" t="n"/>
      <c r="AB151" s="946" t="n"/>
    </row>
    <row r="152">
      <c r="A152" s="186" t="n"/>
      <c r="B152" s="186" t="n"/>
      <c r="C152" s="186" t="n"/>
      <c r="D152" s="186" t="n"/>
      <c r="E152" s="186" t="n"/>
      <c r="F152" s="956" t="n"/>
      <c r="G152" s="956" t="n"/>
      <c r="H152" s="956" t="n"/>
      <c r="I152" s="956" t="n"/>
      <c r="J152" s="956" t="n"/>
      <c r="K152" s="946" t="n"/>
      <c r="L152" s="946" t="n"/>
      <c r="M152" s="946" t="n"/>
      <c r="N152" s="946" t="n"/>
      <c r="O152" s="946" t="n"/>
      <c r="P152" s="946" t="n"/>
      <c r="Q152" s="946" t="n"/>
      <c r="R152" s="946" t="n"/>
      <c r="S152" s="946" t="n"/>
      <c r="T152" s="946" t="n"/>
      <c r="U152" s="946" t="n"/>
      <c r="V152" s="946" t="n"/>
      <c r="W152" s="946" t="n"/>
      <c r="X152" s="946" t="n"/>
      <c r="Y152" s="946" t="n"/>
      <c r="Z152" s="946" t="n"/>
      <c r="AA152" s="946" t="n"/>
      <c r="AB152" s="946" t="n"/>
    </row>
    <row r="153">
      <c r="A153" s="186" t="n"/>
      <c r="B153" s="186" t="n"/>
      <c r="C153" s="186" t="n"/>
      <c r="D153" s="186" t="n"/>
      <c r="E153" s="186" t="n"/>
      <c r="F153" s="956" t="n"/>
      <c r="G153" s="956" t="n"/>
      <c r="H153" s="956" t="n"/>
      <c r="I153" s="956" t="n"/>
      <c r="J153" s="956" t="n"/>
      <c r="K153" s="946" t="n"/>
      <c r="L153" s="946" t="n"/>
      <c r="M153" s="946" t="n"/>
      <c r="N153" s="946" t="n"/>
      <c r="O153" s="946" t="n"/>
      <c r="P153" s="946" t="n"/>
      <c r="Q153" s="946" t="n"/>
      <c r="R153" s="946" t="n"/>
      <c r="S153" s="946" t="n"/>
      <c r="T153" s="946" t="n"/>
      <c r="U153" s="946" t="n"/>
      <c r="V153" s="946" t="n"/>
      <c r="W153" s="946" t="n"/>
      <c r="X153" s="946" t="n"/>
      <c r="Y153" s="946" t="n"/>
      <c r="Z153" s="946" t="n"/>
      <c r="AA153" s="946" t="n"/>
      <c r="AB153" s="946" t="n"/>
    </row>
    <row r="154">
      <c r="A154" s="186" t="n"/>
      <c r="B154" s="186" t="n"/>
      <c r="C154" s="186" t="n"/>
      <c r="D154" s="186" t="n"/>
      <c r="E154" s="186" t="n"/>
      <c r="F154" s="956" t="n"/>
      <c r="G154" s="956" t="n"/>
      <c r="H154" s="956" t="n"/>
      <c r="I154" s="956" t="n"/>
      <c r="J154" s="956" t="n"/>
      <c r="K154" s="946" t="n"/>
      <c r="L154" s="946" t="n"/>
      <c r="M154" s="946" t="n"/>
      <c r="N154" s="946" t="n"/>
      <c r="O154" s="946" t="n"/>
      <c r="P154" s="946" t="n"/>
      <c r="Q154" s="946" t="n"/>
      <c r="R154" s="946" t="n"/>
      <c r="S154" s="946" t="n"/>
      <c r="T154" s="946" t="n"/>
      <c r="U154" s="946" t="n"/>
      <c r="V154" s="946" t="n"/>
      <c r="W154" s="946" t="n"/>
      <c r="X154" s="946" t="n"/>
      <c r="Y154" s="946" t="n"/>
      <c r="Z154" s="946" t="n"/>
      <c r="AA154" s="946" t="n"/>
      <c r="AB154" s="946" t="n"/>
    </row>
    <row r="155">
      <c r="A155" s="186" t="n"/>
      <c r="B155" s="186" t="n"/>
      <c r="C155" s="186" t="n"/>
      <c r="D155" s="186" t="n"/>
      <c r="E155" s="186" t="n"/>
      <c r="F155" s="956" t="n"/>
      <c r="G155" s="956" t="n"/>
      <c r="H155" s="956" t="n"/>
      <c r="I155" s="956" t="n"/>
      <c r="J155" s="956" t="n"/>
      <c r="K155" s="946" t="n"/>
      <c r="L155" s="946" t="n"/>
      <c r="M155" s="946" t="n"/>
      <c r="N155" s="946" t="n"/>
      <c r="O155" s="946" t="n"/>
      <c r="P155" s="946" t="n"/>
      <c r="Q155" s="946" t="n"/>
      <c r="R155" s="946" t="n"/>
      <c r="S155" s="946" t="n"/>
      <c r="T155" s="946" t="n"/>
      <c r="U155" s="946" t="n"/>
      <c r="V155" s="946" t="n"/>
      <c r="W155" s="946" t="n"/>
      <c r="X155" s="946" t="n"/>
      <c r="Y155" s="946" t="n"/>
      <c r="Z155" s="946" t="n"/>
      <c r="AA155" s="946" t="n"/>
      <c r="AB155" s="946" t="n"/>
    </row>
    <row r="156">
      <c r="A156" s="186" t="n"/>
      <c r="B156" s="186" t="n"/>
      <c r="C156" s="186" t="n"/>
      <c r="D156" s="186" t="n"/>
      <c r="E156" s="186" t="n"/>
      <c r="F156" s="956" t="n"/>
      <c r="G156" s="956" t="n"/>
      <c r="H156" s="956" t="n"/>
      <c r="I156" s="956" t="n"/>
      <c r="J156" s="956" t="n"/>
      <c r="K156" s="946" t="n"/>
      <c r="L156" s="946" t="n"/>
      <c r="M156" s="946" t="n"/>
      <c r="N156" s="946" t="n"/>
      <c r="O156" s="946" t="n"/>
      <c r="P156" s="946" t="n"/>
      <c r="Q156" s="946" t="n"/>
      <c r="R156" s="946" t="n"/>
      <c r="S156" s="946" t="n"/>
      <c r="T156" s="946" t="n"/>
      <c r="U156" s="946" t="n"/>
      <c r="V156" s="946" t="n"/>
      <c r="W156" s="946" t="n"/>
      <c r="X156" s="946" t="n"/>
      <c r="Y156" s="946" t="n"/>
      <c r="Z156" s="946" t="n"/>
      <c r="AA156" s="946" t="n"/>
      <c r="AB156" s="946" t="n"/>
    </row>
    <row r="157">
      <c r="A157" s="186" t="n"/>
      <c r="B157" s="186" t="n"/>
      <c r="C157" s="186" t="n"/>
      <c r="D157" s="186" t="n"/>
      <c r="E157" s="186" t="n"/>
      <c r="F157" s="956" t="n"/>
      <c r="G157" s="956" t="n"/>
      <c r="H157" s="956" t="n"/>
      <c r="I157" s="956" t="n"/>
      <c r="J157" s="956" t="n"/>
      <c r="K157" s="946" t="n"/>
      <c r="L157" s="946" t="n"/>
      <c r="M157" s="946" t="n"/>
      <c r="N157" s="946" t="n"/>
      <c r="O157" s="946" t="n"/>
      <c r="P157" s="946" t="n"/>
      <c r="Q157" s="946" t="n"/>
      <c r="R157" s="946" t="n"/>
      <c r="S157" s="946" t="n"/>
      <c r="T157" s="946" t="n"/>
      <c r="U157" s="946" t="n"/>
      <c r="V157" s="946" t="n"/>
      <c r="W157" s="946" t="n"/>
      <c r="X157" s="946" t="n"/>
      <c r="Y157" s="946" t="n"/>
      <c r="Z157" s="946" t="n"/>
      <c r="AA157" s="946" t="n"/>
      <c r="AB157" s="946" t="n"/>
    </row>
    <row r="158">
      <c r="A158" s="186" t="n"/>
      <c r="B158" s="186" t="n"/>
      <c r="C158" s="186" t="n"/>
      <c r="D158" s="186" t="n"/>
      <c r="E158" s="186" t="n"/>
      <c r="F158" s="956" t="n"/>
      <c r="G158" s="956" t="n"/>
      <c r="H158" s="956" t="n"/>
      <c r="I158" s="956" t="n"/>
      <c r="J158" s="956" t="n"/>
      <c r="K158" s="946" t="n"/>
      <c r="L158" s="946" t="n"/>
      <c r="M158" s="946" t="n"/>
      <c r="N158" s="946" t="n"/>
      <c r="O158" s="946" t="n"/>
      <c r="P158" s="946" t="n"/>
      <c r="Q158" s="946" t="n"/>
      <c r="R158" s="946" t="n"/>
      <c r="S158" s="946" t="n"/>
      <c r="T158" s="946" t="n"/>
      <c r="U158" s="946" t="n"/>
      <c r="V158" s="946" t="n"/>
      <c r="W158" s="946" t="n"/>
      <c r="X158" s="946" t="n"/>
      <c r="Y158" s="946" t="n"/>
      <c r="Z158" s="946" t="n"/>
      <c r="AA158" s="946" t="n"/>
      <c r="AB158" s="946" t="n"/>
    </row>
    <row r="159">
      <c r="A159" s="186" t="n"/>
      <c r="B159" s="186" t="n"/>
      <c r="C159" s="186" t="n"/>
      <c r="D159" s="186" t="n"/>
      <c r="E159" s="186" t="n"/>
      <c r="F159" s="956" t="n"/>
      <c r="G159" s="956" t="n"/>
      <c r="H159" s="956" t="n"/>
      <c r="I159" s="956" t="n"/>
      <c r="J159" s="956" t="n"/>
      <c r="K159" s="946" t="n"/>
      <c r="L159" s="946" t="n"/>
      <c r="M159" s="946" t="n"/>
      <c r="N159" s="946" t="n"/>
      <c r="O159" s="946" t="n"/>
      <c r="P159" s="946" t="n"/>
      <c r="Q159" s="946" t="n"/>
      <c r="R159" s="946" t="n"/>
      <c r="S159" s="946" t="n"/>
      <c r="T159" s="946" t="n"/>
      <c r="U159" s="946" t="n"/>
      <c r="V159" s="946" t="n"/>
      <c r="W159" s="946" t="n"/>
      <c r="X159" s="946" t="n"/>
      <c r="Y159" s="946" t="n"/>
      <c r="Z159" s="946" t="n"/>
      <c r="AA159" s="946" t="n"/>
      <c r="AB159" s="946" t="n"/>
    </row>
    <row r="160">
      <c r="A160" s="186" t="n"/>
      <c r="B160" s="186" t="n"/>
      <c r="C160" s="186" t="n"/>
      <c r="D160" s="186" t="n"/>
      <c r="E160" s="186" t="n"/>
      <c r="F160" s="956" t="n"/>
      <c r="G160" s="956" t="n"/>
      <c r="H160" s="956" t="n"/>
      <c r="I160" s="956" t="n"/>
      <c r="J160" s="956" t="n"/>
      <c r="K160" s="946" t="n"/>
      <c r="L160" s="946" t="n"/>
      <c r="M160" s="946" t="n"/>
      <c r="N160" s="946" t="n"/>
      <c r="O160" s="946" t="n"/>
      <c r="P160" s="946" t="n"/>
      <c r="Q160" s="946" t="n"/>
      <c r="R160" s="946" t="n"/>
      <c r="S160" s="946" t="n"/>
      <c r="T160" s="946" t="n"/>
      <c r="U160" s="946" t="n"/>
      <c r="V160" s="946" t="n"/>
      <c r="W160" s="946" t="n"/>
      <c r="X160" s="946" t="n"/>
      <c r="Y160" s="946" t="n"/>
      <c r="Z160" s="946" t="n"/>
      <c r="AA160" s="946" t="n"/>
      <c r="AB160" s="946" t="n"/>
    </row>
    <row r="161">
      <c r="A161" s="186" t="n"/>
      <c r="B161" s="186" t="n"/>
      <c r="C161" s="186" t="n"/>
      <c r="D161" s="186" t="n"/>
      <c r="E161" s="186" t="n"/>
      <c r="F161" s="956" t="n"/>
      <c r="G161" s="956" t="n"/>
      <c r="H161" s="956" t="n"/>
      <c r="I161" s="956" t="n"/>
      <c r="J161" s="956" t="n"/>
      <c r="K161" s="946" t="n"/>
      <c r="L161" s="946" t="n"/>
      <c r="M161" s="946" t="n"/>
      <c r="N161" s="946" t="n"/>
      <c r="O161" s="946" t="n"/>
      <c r="P161" s="946" t="n"/>
      <c r="Q161" s="946" t="n"/>
      <c r="R161" s="946" t="n"/>
      <c r="S161" s="946" t="n"/>
      <c r="T161" s="946" t="n"/>
      <c r="U161" s="946" t="n"/>
      <c r="V161" s="946" t="n"/>
      <c r="W161" s="946" t="n"/>
      <c r="X161" s="946" t="n"/>
      <c r="Y161" s="946" t="n"/>
      <c r="Z161" s="946" t="n"/>
      <c r="AA161" s="946" t="n"/>
      <c r="AB161" s="946" t="n"/>
    </row>
    <row r="162">
      <c r="A162" s="186" t="n"/>
      <c r="B162" s="186" t="n"/>
      <c r="C162" s="186" t="n"/>
      <c r="D162" s="186" t="n"/>
      <c r="E162" s="186" t="n"/>
      <c r="F162" s="956" t="n"/>
      <c r="G162" s="956" t="n"/>
      <c r="H162" s="956" t="n"/>
      <c r="I162" s="956" t="n"/>
      <c r="J162" s="956" t="n"/>
      <c r="K162" s="946" t="n"/>
      <c r="L162" s="946" t="n"/>
      <c r="M162" s="946" t="n"/>
      <c r="N162" s="946" t="n"/>
      <c r="O162" s="946" t="n"/>
      <c r="P162" s="946" t="n"/>
      <c r="Q162" s="946" t="n"/>
      <c r="R162" s="946" t="n"/>
      <c r="S162" s="946" t="n"/>
      <c r="T162" s="946" t="n"/>
      <c r="U162" s="946" t="n"/>
      <c r="V162" s="946" t="n"/>
      <c r="W162" s="946" t="n"/>
      <c r="X162" s="946" t="n"/>
      <c r="Y162" s="946" t="n"/>
      <c r="Z162" s="946" t="n"/>
      <c r="AA162" s="946" t="n"/>
      <c r="AB162" s="946" t="n"/>
    </row>
    <row r="163">
      <c r="A163" s="186" t="n"/>
      <c r="B163" s="186" t="n"/>
      <c r="C163" s="186" t="n"/>
      <c r="D163" s="186" t="n"/>
      <c r="E163" s="186" t="n"/>
      <c r="F163" s="956" t="n"/>
      <c r="G163" s="956" t="n"/>
      <c r="H163" s="956" t="n"/>
      <c r="I163" s="956" t="n"/>
      <c r="J163" s="956" t="n"/>
      <c r="K163" s="946" t="n"/>
      <c r="L163" s="946" t="n"/>
      <c r="M163" s="946" t="n"/>
      <c r="N163" s="946" t="n"/>
      <c r="O163" s="946" t="n"/>
      <c r="P163" s="946" t="n"/>
      <c r="Q163" s="946" t="n"/>
      <c r="R163" s="946" t="n"/>
      <c r="S163" s="946" t="n"/>
      <c r="T163" s="946" t="n"/>
      <c r="U163" s="946" t="n"/>
      <c r="V163" s="946" t="n"/>
      <c r="W163" s="946" t="n"/>
      <c r="X163" s="946" t="n"/>
      <c r="Y163" s="946" t="n"/>
      <c r="Z163" s="946" t="n"/>
      <c r="AA163" s="946" t="n"/>
      <c r="AB163" s="946" t="n"/>
    </row>
    <row r="164">
      <c r="A164" s="186" t="n"/>
      <c r="B164" s="186" t="n"/>
      <c r="C164" s="186" t="n"/>
      <c r="D164" s="186" t="n"/>
      <c r="E164" s="186" t="n"/>
      <c r="F164" s="956" t="n"/>
      <c r="G164" s="956" t="n"/>
      <c r="H164" s="956" t="n"/>
      <c r="I164" s="956" t="n"/>
      <c r="J164" s="956" t="n"/>
      <c r="K164" s="946" t="n"/>
      <c r="L164" s="946" t="n"/>
      <c r="M164" s="946" t="n"/>
      <c r="N164" s="946" t="n"/>
      <c r="O164" s="946" t="n"/>
      <c r="P164" s="946" t="n"/>
      <c r="Q164" s="946" t="n"/>
      <c r="R164" s="946" t="n"/>
      <c r="S164" s="946" t="n"/>
      <c r="T164" s="946" t="n"/>
      <c r="U164" s="946" t="n"/>
      <c r="V164" s="946" t="n"/>
      <c r="W164" s="946" t="n"/>
      <c r="X164" s="946" t="n"/>
      <c r="Y164" s="946" t="n"/>
      <c r="Z164" s="946" t="n"/>
      <c r="AA164" s="946" t="n"/>
      <c r="AB164" s="946" t="n"/>
    </row>
    <row r="165">
      <c r="A165" s="186" t="n"/>
      <c r="B165" s="186" t="n"/>
      <c r="C165" s="186" t="n"/>
      <c r="D165" s="186" t="n"/>
      <c r="E165" s="186" t="n"/>
      <c r="F165" s="956" t="n"/>
      <c r="G165" s="956" t="n"/>
      <c r="H165" s="956" t="n"/>
      <c r="I165" s="956" t="n"/>
      <c r="J165" s="956" t="n"/>
      <c r="K165" s="946" t="n"/>
      <c r="L165" s="946" t="n"/>
      <c r="M165" s="946" t="n"/>
      <c r="N165" s="946" t="n"/>
      <c r="O165" s="946" t="n"/>
      <c r="P165" s="946" t="n"/>
      <c r="Q165" s="946" t="n"/>
      <c r="R165" s="946" t="n"/>
      <c r="S165" s="946" t="n"/>
      <c r="T165" s="946" t="n"/>
      <c r="U165" s="946" t="n"/>
      <c r="V165" s="946" t="n"/>
      <c r="W165" s="946" t="n"/>
      <c r="X165" s="946" t="n"/>
      <c r="Y165" s="946" t="n"/>
      <c r="Z165" s="946" t="n"/>
      <c r="AA165" s="946" t="n"/>
      <c r="AB165" s="946" t="n"/>
    </row>
    <row r="166">
      <c r="A166" s="186" t="n"/>
      <c r="B166" s="186" t="n"/>
      <c r="C166" s="186" t="n"/>
      <c r="D166" s="186" t="n"/>
      <c r="E166" s="186" t="n"/>
      <c r="F166" s="956" t="n"/>
      <c r="G166" s="956" t="n"/>
      <c r="H166" s="956" t="n"/>
      <c r="I166" s="956" t="n"/>
      <c r="J166" s="956" t="n"/>
      <c r="K166" s="946" t="n"/>
      <c r="L166" s="946" t="n"/>
      <c r="M166" s="946" t="n"/>
      <c r="N166" s="946" t="n"/>
      <c r="O166" s="946" t="n"/>
      <c r="P166" s="946" t="n"/>
      <c r="Q166" s="946" t="n"/>
      <c r="R166" s="946" t="n"/>
      <c r="S166" s="946" t="n"/>
      <c r="T166" s="946" t="n"/>
      <c r="U166" s="946" t="n"/>
      <c r="V166" s="946" t="n"/>
      <c r="W166" s="946" t="n"/>
      <c r="X166" s="946" t="n"/>
      <c r="Y166" s="946" t="n"/>
      <c r="Z166" s="946" t="n"/>
      <c r="AA166" s="946" t="n"/>
      <c r="AB166" s="946" t="n"/>
    </row>
    <row r="167">
      <c r="A167" s="186" t="n"/>
      <c r="B167" s="186" t="n"/>
      <c r="C167" s="186" t="n"/>
      <c r="D167" s="186" t="n"/>
      <c r="E167" s="186" t="n"/>
      <c r="F167" s="956" t="n"/>
      <c r="G167" s="956" t="n"/>
      <c r="H167" s="956" t="n"/>
      <c r="I167" s="956" t="n"/>
      <c r="J167" s="956" t="n"/>
      <c r="K167" s="946" t="n"/>
      <c r="L167" s="946" t="n"/>
      <c r="M167" s="946" t="n"/>
      <c r="N167" s="946" t="n"/>
      <c r="O167" s="946" t="n"/>
      <c r="P167" s="946" t="n"/>
      <c r="Q167" s="946" t="n"/>
      <c r="R167" s="946" t="n"/>
      <c r="S167" s="946" t="n"/>
      <c r="T167" s="946" t="n"/>
      <c r="U167" s="946" t="n"/>
      <c r="V167" s="946" t="n"/>
      <c r="W167" s="946" t="n"/>
      <c r="X167" s="946" t="n"/>
      <c r="Y167" s="946" t="n"/>
      <c r="Z167" s="946" t="n"/>
      <c r="AA167" s="946" t="n"/>
      <c r="AB167" s="946" t="n"/>
    </row>
    <row r="168">
      <c r="A168" s="186" t="n"/>
      <c r="B168" s="186" t="n"/>
      <c r="C168" s="186" t="n"/>
      <c r="D168" s="186" t="n"/>
      <c r="E168" s="186" t="n"/>
      <c r="F168" s="956" t="n"/>
      <c r="G168" s="956" t="n"/>
      <c r="H168" s="956" t="n"/>
      <c r="I168" s="956" t="n"/>
      <c r="J168" s="956" t="n"/>
      <c r="K168" s="946" t="n"/>
      <c r="L168" s="946" t="n"/>
      <c r="M168" s="946" t="n"/>
      <c r="N168" s="946" t="n"/>
      <c r="O168" s="946" t="n"/>
      <c r="P168" s="946" t="n"/>
      <c r="Q168" s="946" t="n"/>
      <c r="R168" s="946" t="n"/>
      <c r="S168" s="946" t="n"/>
      <c r="T168" s="946" t="n"/>
      <c r="U168" s="946" t="n"/>
      <c r="V168" s="946" t="n"/>
      <c r="W168" s="946" t="n"/>
      <c r="X168" s="946" t="n"/>
      <c r="Y168" s="946" t="n"/>
      <c r="Z168" s="946" t="n"/>
      <c r="AA168" s="946" t="n"/>
      <c r="AB168" s="946" t="n"/>
    </row>
    <row r="169">
      <c r="A169" s="186" t="n"/>
      <c r="B169" s="186" t="n"/>
      <c r="C169" s="186" t="n"/>
      <c r="D169" s="186" t="n"/>
      <c r="E169" s="186" t="n"/>
      <c r="F169" s="956" t="n"/>
      <c r="G169" s="956" t="n"/>
      <c r="H169" s="956" t="n"/>
      <c r="I169" s="956" t="n"/>
      <c r="J169" s="956" t="n"/>
      <c r="K169" s="946" t="n"/>
      <c r="L169" s="946" t="n"/>
      <c r="M169" s="946" t="n"/>
      <c r="N169" s="946" t="n"/>
      <c r="O169" s="946" t="n"/>
      <c r="P169" s="946" t="n"/>
      <c r="Q169" s="946" t="n"/>
      <c r="R169" s="946" t="n"/>
      <c r="S169" s="946" t="n"/>
      <c r="T169" s="946" t="n"/>
      <c r="U169" s="946" t="n"/>
      <c r="V169" s="946" t="n"/>
      <c r="W169" s="946" t="n"/>
      <c r="X169" s="946" t="n"/>
      <c r="Y169" s="946" t="n"/>
      <c r="Z169" s="946" t="n"/>
      <c r="AA169" s="946" t="n"/>
      <c r="AB169" s="946" t="n"/>
    </row>
    <row r="170">
      <c r="A170" s="186" t="n"/>
      <c r="B170" s="186" t="n"/>
      <c r="C170" s="186" t="n"/>
      <c r="D170" s="186" t="n"/>
      <c r="E170" s="186" t="n"/>
      <c r="F170" s="956" t="n"/>
      <c r="G170" s="956" t="n"/>
      <c r="H170" s="956" t="n"/>
      <c r="I170" s="956" t="n"/>
      <c r="J170" s="956" t="n"/>
      <c r="K170" s="946" t="n"/>
      <c r="L170" s="946" t="n"/>
      <c r="M170" s="946" t="n"/>
      <c r="N170" s="946" t="n"/>
      <c r="O170" s="946" t="n"/>
      <c r="P170" s="946" t="n"/>
      <c r="Q170" s="946" t="n"/>
      <c r="R170" s="946" t="n"/>
      <c r="S170" s="946" t="n"/>
      <c r="T170" s="946" t="n"/>
      <c r="U170" s="946" t="n"/>
      <c r="V170" s="946" t="n"/>
      <c r="W170" s="946" t="n"/>
      <c r="X170" s="946" t="n"/>
      <c r="Y170" s="946" t="n"/>
      <c r="Z170" s="946" t="n"/>
      <c r="AA170" s="946" t="n"/>
      <c r="AB170" s="946" t="n"/>
    </row>
    <row r="171">
      <c r="A171" s="186" t="n"/>
      <c r="B171" s="186" t="n"/>
      <c r="C171" s="186" t="n"/>
      <c r="D171" s="186" t="n"/>
      <c r="E171" s="186" t="n"/>
      <c r="F171" s="956" t="n"/>
      <c r="G171" s="956" t="n"/>
      <c r="H171" s="956" t="n"/>
      <c r="I171" s="956" t="n"/>
      <c r="J171" s="956" t="n"/>
      <c r="K171" s="946" t="n"/>
      <c r="L171" s="946" t="n"/>
      <c r="M171" s="946" t="n"/>
      <c r="N171" s="946" t="n"/>
      <c r="O171" s="946" t="n"/>
      <c r="P171" s="946" t="n"/>
      <c r="Q171" s="946" t="n"/>
      <c r="R171" s="946" t="n"/>
      <c r="S171" s="946" t="n"/>
      <c r="T171" s="946" t="n"/>
      <c r="U171" s="946" t="n"/>
      <c r="V171" s="946" t="n"/>
      <c r="W171" s="946" t="n"/>
      <c r="X171" s="946" t="n"/>
      <c r="Y171" s="946" t="n"/>
      <c r="Z171" s="946" t="n"/>
      <c r="AA171" s="946" t="n"/>
      <c r="AB171" s="946" t="n"/>
    </row>
    <row r="172">
      <c r="A172" s="186" t="n"/>
      <c r="B172" s="186" t="n"/>
      <c r="C172" s="186" t="n"/>
      <c r="D172" s="186" t="n"/>
      <c r="E172" s="186" t="n"/>
      <c r="F172" s="956" t="n"/>
      <c r="G172" s="956" t="n"/>
      <c r="H172" s="956" t="n"/>
      <c r="I172" s="956" t="n"/>
      <c r="J172" s="956" t="n"/>
      <c r="K172" s="946" t="n"/>
      <c r="L172" s="946" t="n"/>
      <c r="M172" s="946" t="n"/>
      <c r="N172" s="946" t="n"/>
      <c r="O172" s="946" t="n"/>
      <c r="P172" s="946" t="n"/>
      <c r="Q172" s="946" t="n"/>
      <c r="R172" s="946" t="n"/>
      <c r="S172" s="946" t="n"/>
      <c r="T172" s="946" t="n"/>
      <c r="U172" s="946" t="n"/>
      <c r="V172" s="946" t="n"/>
      <c r="W172" s="946" t="n"/>
      <c r="X172" s="946" t="n"/>
      <c r="Y172" s="946" t="n"/>
      <c r="Z172" s="946" t="n"/>
      <c r="AA172" s="946" t="n"/>
      <c r="AB172" s="946" t="n"/>
    </row>
    <row r="173">
      <c r="A173" s="186" t="n"/>
      <c r="B173" s="186" t="n"/>
      <c r="C173" s="186" t="n"/>
      <c r="D173" s="186" t="n"/>
      <c r="E173" s="186" t="n"/>
      <c r="F173" s="956" t="n"/>
      <c r="G173" s="956" t="n"/>
      <c r="H173" s="956" t="n"/>
      <c r="I173" s="956" t="n"/>
      <c r="J173" s="956" t="n"/>
      <c r="K173" s="946" t="n"/>
      <c r="L173" s="946" t="n"/>
      <c r="M173" s="946" t="n"/>
      <c r="N173" s="946" t="n"/>
      <c r="O173" s="946" t="n"/>
      <c r="P173" s="946" t="n"/>
      <c r="Q173" s="946" t="n"/>
      <c r="R173" s="946" t="n"/>
      <c r="S173" s="946" t="n"/>
      <c r="T173" s="946" t="n"/>
      <c r="U173" s="946" t="n"/>
      <c r="V173" s="946" t="n"/>
      <c r="W173" s="946" t="n"/>
      <c r="X173" s="946" t="n"/>
      <c r="Y173" s="946" t="n"/>
      <c r="Z173" s="946" t="n"/>
      <c r="AA173" s="946" t="n"/>
      <c r="AB173" s="946" t="n"/>
    </row>
    <row r="174">
      <c r="A174" s="186" t="n"/>
      <c r="B174" s="186" t="n"/>
      <c r="C174" s="186" t="n"/>
      <c r="D174" s="186" t="n"/>
      <c r="E174" s="186" t="n"/>
      <c r="F174" s="956" t="n"/>
      <c r="G174" s="956" t="n"/>
      <c r="H174" s="956" t="n"/>
      <c r="I174" s="956" t="n"/>
      <c r="J174" s="956" t="n"/>
      <c r="K174" s="946" t="n"/>
      <c r="L174" s="946" t="n"/>
      <c r="M174" s="946" t="n"/>
      <c r="N174" s="946" t="n"/>
      <c r="O174" s="946" t="n"/>
      <c r="P174" s="946" t="n"/>
      <c r="Q174" s="946" t="n"/>
      <c r="R174" s="946" t="n"/>
      <c r="S174" s="946" t="n"/>
      <c r="T174" s="946" t="n"/>
      <c r="U174" s="946" t="n"/>
      <c r="V174" s="946" t="n"/>
      <c r="W174" s="946" t="n"/>
      <c r="X174" s="946" t="n"/>
      <c r="Y174" s="946" t="n"/>
      <c r="Z174" s="946" t="n"/>
      <c r="AA174" s="946" t="n"/>
      <c r="AB174" s="946" t="n"/>
    </row>
    <row r="175">
      <c r="A175" s="186" t="n"/>
      <c r="B175" s="186" t="n"/>
      <c r="C175" s="186" t="n"/>
      <c r="D175" s="186" t="n"/>
      <c r="E175" s="186" t="n"/>
      <c r="F175" s="956" t="n"/>
      <c r="G175" s="956" t="n"/>
      <c r="H175" s="956" t="n"/>
      <c r="I175" s="956" t="n"/>
      <c r="J175" s="956" t="n"/>
      <c r="K175" s="946" t="n"/>
      <c r="L175" s="946" t="n"/>
      <c r="M175" s="946" t="n"/>
      <c r="N175" s="946" t="n"/>
      <c r="O175" s="946" t="n"/>
      <c r="P175" s="946" t="n"/>
      <c r="Q175" s="946" t="n"/>
      <c r="R175" s="946" t="n"/>
      <c r="S175" s="946" t="n"/>
      <c r="T175" s="946" t="n"/>
      <c r="U175" s="946" t="n"/>
      <c r="V175" s="946" t="n"/>
      <c r="W175" s="946" t="n"/>
      <c r="X175" s="946" t="n"/>
      <c r="Y175" s="946" t="n"/>
      <c r="Z175" s="946" t="n"/>
      <c r="AA175" s="946" t="n"/>
      <c r="AB175" s="946" t="n"/>
    </row>
    <row r="176">
      <c r="A176" s="186" t="n"/>
      <c r="B176" s="186" t="n"/>
      <c r="C176" s="186" t="n"/>
      <c r="D176" s="186" t="n"/>
      <c r="E176" s="186" t="n"/>
      <c r="F176" s="956" t="n"/>
      <c r="G176" s="956" t="n"/>
      <c r="H176" s="956" t="n"/>
      <c r="I176" s="956" t="n"/>
      <c r="J176" s="956" t="n"/>
      <c r="K176" s="946" t="n"/>
      <c r="L176" s="946" t="n"/>
      <c r="M176" s="946" t="n"/>
      <c r="N176" s="946" t="n"/>
      <c r="O176" s="946" t="n"/>
      <c r="P176" s="946" t="n"/>
      <c r="Q176" s="946" t="n"/>
      <c r="R176" s="946" t="n"/>
      <c r="S176" s="946" t="n"/>
      <c r="T176" s="946" t="n"/>
      <c r="U176" s="946" t="n"/>
      <c r="V176" s="946" t="n"/>
      <c r="W176" s="946" t="n"/>
      <c r="X176" s="946" t="n"/>
      <c r="Y176" s="946" t="n"/>
      <c r="Z176" s="946" t="n"/>
      <c r="AA176" s="946" t="n"/>
      <c r="AB176" s="946" t="n"/>
    </row>
    <row r="177">
      <c r="A177" s="186" t="n"/>
      <c r="B177" s="186" t="n"/>
      <c r="C177" s="186" t="n"/>
      <c r="D177" s="186" t="n"/>
      <c r="E177" s="186" t="n"/>
      <c r="F177" s="956" t="n"/>
      <c r="G177" s="956" t="n"/>
      <c r="H177" s="956" t="n"/>
      <c r="I177" s="956" t="n"/>
      <c r="J177" s="956" t="n"/>
      <c r="K177" s="946" t="n"/>
      <c r="L177" s="946" t="n"/>
      <c r="M177" s="946" t="n"/>
      <c r="N177" s="946" t="n"/>
      <c r="O177" s="946" t="n"/>
      <c r="P177" s="946" t="n"/>
      <c r="Q177" s="946" t="n"/>
      <c r="R177" s="946" t="n"/>
      <c r="S177" s="946" t="n"/>
      <c r="T177" s="946" t="n"/>
      <c r="U177" s="946" t="n"/>
      <c r="V177" s="946" t="n"/>
      <c r="W177" s="946" t="n"/>
      <c r="X177" s="946" t="n"/>
      <c r="Y177" s="946" t="n"/>
      <c r="Z177" s="946" t="n"/>
      <c r="AA177" s="946" t="n"/>
      <c r="AB177" s="946" t="n"/>
    </row>
    <row r="178">
      <c r="A178" s="186" t="n"/>
      <c r="B178" s="186" t="n"/>
      <c r="C178" s="186" t="n"/>
      <c r="D178" s="186" t="n"/>
      <c r="E178" s="186" t="n"/>
      <c r="F178" s="956" t="n"/>
      <c r="G178" s="956" t="n"/>
      <c r="H178" s="956" t="n"/>
      <c r="I178" s="956" t="n"/>
      <c r="J178" s="956" t="n"/>
      <c r="K178" s="946" t="n"/>
      <c r="L178" s="946" t="n"/>
      <c r="M178" s="946" t="n"/>
      <c r="N178" s="946" t="n"/>
      <c r="O178" s="946" t="n"/>
      <c r="P178" s="946" t="n"/>
      <c r="Q178" s="946" t="n"/>
      <c r="R178" s="946" t="n"/>
      <c r="S178" s="946" t="n"/>
      <c r="T178" s="946" t="n"/>
      <c r="U178" s="946" t="n"/>
      <c r="V178" s="946" t="n"/>
      <c r="W178" s="946" t="n"/>
      <c r="X178" s="946" t="n"/>
      <c r="Y178" s="946" t="n"/>
      <c r="Z178" s="946" t="n"/>
      <c r="AA178" s="946" t="n"/>
      <c r="AB178" s="946" t="n"/>
    </row>
    <row r="179">
      <c r="A179" s="186" t="n"/>
      <c r="B179" s="186" t="n"/>
      <c r="C179" s="186" t="n"/>
      <c r="D179" s="186" t="n"/>
      <c r="E179" s="186" t="n"/>
      <c r="F179" s="956" t="n"/>
      <c r="G179" s="956" t="n"/>
      <c r="H179" s="956" t="n"/>
      <c r="I179" s="956" t="n"/>
      <c r="J179" s="956" t="n"/>
      <c r="K179" s="946" t="n"/>
      <c r="L179" s="946" t="n"/>
      <c r="M179" s="946" t="n"/>
      <c r="N179" s="946" t="n"/>
      <c r="O179" s="946" t="n"/>
      <c r="P179" s="946" t="n"/>
      <c r="Q179" s="946" t="n"/>
      <c r="R179" s="946" t="n"/>
      <c r="S179" s="946" t="n"/>
      <c r="T179" s="946" t="n"/>
      <c r="U179" s="946" t="n"/>
      <c r="V179" s="946" t="n"/>
      <c r="W179" s="946" t="n"/>
      <c r="X179" s="946" t="n"/>
      <c r="Y179" s="946" t="n"/>
      <c r="Z179" s="946" t="n"/>
      <c r="AA179" s="946" t="n"/>
      <c r="AB179" s="946" t="n"/>
    </row>
    <row r="180">
      <c r="A180" s="186" t="n"/>
      <c r="B180" s="186" t="n"/>
      <c r="C180" s="186" t="n"/>
      <c r="D180" s="186" t="n"/>
      <c r="E180" s="186" t="n"/>
      <c r="F180" s="956" t="n"/>
      <c r="G180" s="956" t="n"/>
      <c r="H180" s="956" t="n"/>
      <c r="I180" s="956" t="n"/>
      <c r="J180" s="956" t="n"/>
      <c r="K180" s="946" t="n"/>
      <c r="L180" s="946" t="n"/>
      <c r="M180" s="946" t="n"/>
      <c r="N180" s="946" t="n"/>
      <c r="O180" s="946" t="n"/>
      <c r="P180" s="946" t="n"/>
      <c r="Q180" s="946" t="n"/>
      <c r="R180" s="946" t="n"/>
      <c r="S180" s="946" t="n"/>
      <c r="T180" s="946" t="n"/>
      <c r="U180" s="946" t="n"/>
      <c r="V180" s="946" t="n"/>
      <c r="W180" s="946" t="n"/>
      <c r="X180" s="946" t="n"/>
      <c r="Y180" s="946" t="n"/>
      <c r="Z180" s="946" t="n"/>
      <c r="AA180" s="946" t="n"/>
      <c r="AB180" s="946" t="n"/>
    </row>
    <row r="181">
      <c r="A181" s="186" t="n"/>
      <c r="B181" s="186" t="n"/>
      <c r="C181" s="186" t="n"/>
      <c r="D181" s="186" t="n"/>
      <c r="E181" s="186" t="n"/>
      <c r="F181" s="956" t="n"/>
      <c r="G181" s="956" t="n"/>
      <c r="H181" s="956" t="n"/>
      <c r="I181" s="956" t="n"/>
      <c r="J181" s="956" t="n"/>
      <c r="K181" s="946" t="n"/>
      <c r="L181" s="946" t="n"/>
      <c r="M181" s="946" t="n"/>
      <c r="N181" s="946" t="n"/>
      <c r="O181" s="946" t="n"/>
      <c r="P181" s="946" t="n"/>
      <c r="Q181" s="946" t="n"/>
      <c r="R181" s="946" t="n"/>
      <c r="S181" s="946" t="n"/>
      <c r="T181" s="946" t="n"/>
      <c r="U181" s="946" t="n"/>
      <c r="V181" s="946" t="n"/>
      <c r="W181" s="946" t="n"/>
      <c r="X181" s="946" t="n"/>
      <c r="Y181" s="946" t="n"/>
      <c r="Z181" s="946" t="n"/>
      <c r="AA181" s="946" t="n"/>
      <c r="AB181" s="946" t="n"/>
    </row>
    <row r="182">
      <c r="A182" s="186" t="n"/>
      <c r="B182" s="186" t="n"/>
      <c r="C182" s="186" t="n"/>
      <c r="D182" s="186" t="n"/>
      <c r="E182" s="186" t="n"/>
      <c r="F182" s="956" t="n"/>
      <c r="G182" s="956" t="n"/>
      <c r="H182" s="956" t="n"/>
      <c r="I182" s="956" t="n"/>
      <c r="J182" s="956" t="n"/>
      <c r="K182" s="946" t="n"/>
      <c r="L182" s="946" t="n"/>
      <c r="M182" s="946" t="n"/>
      <c r="N182" s="946" t="n"/>
      <c r="O182" s="946" t="n"/>
      <c r="P182" s="946" t="n"/>
      <c r="Q182" s="946" t="n"/>
      <c r="R182" s="946" t="n"/>
      <c r="S182" s="946" t="n"/>
      <c r="T182" s="946" t="n"/>
      <c r="U182" s="946" t="n"/>
      <c r="V182" s="946" t="n"/>
      <c r="W182" s="946" t="n"/>
      <c r="X182" s="946" t="n"/>
      <c r="Y182" s="946" t="n"/>
      <c r="Z182" s="946" t="n"/>
      <c r="AA182" s="946" t="n"/>
      <c r="AB182" s="946" t="n"/>
    </row>
    <row r="183">
      <c r="A183" s="186" t="n"/>
      <c r="B183" s="186" t="n"/>
      <c r="C183" s="186" t="n"/>
      <c r="D183" s="186" t="n"/>
      <c r="E183" s="186" t="n"/>
      <c r="F183" s="956" t="n"/>
      <c r="G183" s="956" t="n"/>
      <c r="H183" s="956" t="n"/>
      <c r="I183" s="956" t="n"/>
      <c r="J183" s="956" t="n"/>
      <c r="K183" s="946" t="n"/>
      <c r="L183" s="946" t="n"/>
      <c r="M183" s="946" t="n"/>
      <c r="N183" s="946" t="n"/>
      <c r="O183" s="946" t="n"/>
      <c r="P183" s="946" t="n"/>
      <c r="Q183" s="946" t="n"/>
      <c r="R183" s="946" t="n"/>
      <c r="S183" s="946" t="n"/>
      <c r="T183" s="946" t="n"/>
      <c r="U183" s="946" t="n"/>
      <c r="V183" s="946" t="n"/>
      <c r="W183" s="946" t="n"/>
      <c r="X183" s="946" t="n"/>
      <c r="Y183" s="946" t="n"/>
      <c r="Z183" s="946" t="n"/>
      <c r="AA183" s="946" t="n"/>
      <c r="AB183" s="946" t="n"/>
    </row>
    <row r="184">
      <c r="A184" s="186" t="n"/>
      <c r="B184" s="186" t="n"/>
      <c r="C184" s="186" t="n"/>
      <c r="D184" s="186" t="n"/>
      <c r="E184" s="186" t="n"/>
      <c r="F184" s="956" t="n"/>
      <c r="G184" s="956" t="n"/>
      <c r="H184" s="956" t="n"/>
      <c r="I184" s="956" t="n"/>
      <c r="J184" s="956" t="n"/>
      <c r="K184" s="946" t="n"/>
      <c r="L184" s="946" t="n"/>
      <c r="M184" s="946" t="n"/>
      <c r="N184" s="946" t="n"/>
      <c r="O184" s="946" t="n"/>
      <c r="P184" s="946" t="n"/>
      <c r="Q184" s="946" t="n"/>
      <c r="R184" s="946" t="n"/>
      <c r="S184" s="946" t="n"/>
      <c r="T184" s="946" t="n"/>
      <c r="U184" s="946" t="n"/>
      <c r="V184" s="946" t="n"/>
      <c r="W184" s="946" t="n"/>
      <c r="X184" s="946" t="n"/>
      <c r="Y184" s="946" t="n"/>
      <c r="Z184" s="946" t="n"/>
      <c r="AA184" s="946" t="n"/>
      <c r="AB184" s="946" t="n"/>
    </row>
    <row r="185">
      <c r="A185" s="186" t="n"/>
      <c r="B185" s="186" t="n"/>
      <c r="C185" s="186" t="n"/>
      <c r="D185" s="186" t="n"/>
      <c r="E185" s="186" t="n"/>
      <c r="F185" s="956" t="n"/>
      <c r="G185" s="956" t="n"/>
      <c r="H185" s="956" t="n"/>
      <c r="I185" s="956" t="n"/>
      <c r="J185" s="956" t="n"/>
      <c r="K185" s="946" t="n"/>
      <c r="L185" s="946" t="n"/>
      <c r="M185" s="946" t="n"/>
      <c r="N185" s="946" t="n"/>
      <c r="O185" s="946" t="n"/>
      <c r="P185" s="946" t="n"/>
      <c r="Q185" s="946" t="n"/>
      <c r="R185" s="946" t="n"/>
      <c r="S185" s="946" t="n"/>
      <c r="T185" s="946" t="n"/>
      <c r="U185" s="946" t="n"/>
      <c r="V185" s="946" t="n"/>
      <c r="W185" s="946" t="n"/>
      <c r="X185" s="946" t="n"/>
      <c r="Y185" s="946" t="n"/>
      <c r="Z185" s="946" t="n"/>
      <c r="AA185" s="946" t="n"/>
      <c r="AB185" s="946" t="n"/>
    </row>
    <row r="186">
      <c r="A186" s="186" t="n"/>
      <c r="B186" s="186" t="n"/>
      <c r="C186" s="186" t="n"/>
      <c r="D186" s="186" t="n"/>
      <c r="E186" s="186" t="n"/>
      <c r="F186" s="956" t="n"/>
      <c r="G186" s="956" t="n"/>
      <c r="H186" s="956" t="n"/>
      <c r="I186" s="956" t="n"/>
      <c r="J186" s="956" t="n"/>
      <c r="K186" s="946" t="n"/>
      <c r="L186" s="946" t="n"/>
      <c r="M186" s="946" t="n"/>
      <c r="N186" s="946" t="n"/>
      <c r="O186" s="946" t="n"/>
      <c r="P186" s="946" t="n"/>
      <c r="Q186" s="946" t="n"/>
      <c r="R186" s="946" t="n"/>
      <c r="S186" s="946" t="n"/>
      <c r="T186" s="946" t="n"/>
      <c r="U186" s="946" t="n"/>
      <c r="V186" s="946" t="n"/>
      <c r="W186" s="946" t="n"/>
      <c r="X186" s="946" t="n"/>
      <c r="Y186" s="946" t="n"/>
      <c r="Z186" s="946" t="n"/>
      <c r="AA186" s="946" t="n"/>
      <c r="AB186" s="946" t="n"/>
    </row>
    <row r="187">
      <c r="A187" s="186" t="n"/>
      <c r="B187" s="186" t="n"/>
      <c r="C187" s="186" t="n"/>
      <c r="D187" s="186" t="n"/>
      <c r="E187" s="186" t="n"/>
      <c r="F187" s="956" t="n"/>
      <c r="G187" s="956" t="n"/>
      <c r="H187" s="956" t="n"/>
      <c r="I187" s="956" t="n"/>
      <c r="J187" s="956" t="n"/>
      <c r="K187" s="946" t="n"/>
      <c r="L187" s="946" t="n"/>
      <c r="M187" s="946" t="n"/>
      <c r="N187" s="946" t="n"/>
      <c r="O187" s="946" t="n"/>
      <c r="P187" s="946" t="n"/>
      <c r="Q187" s="946" t="n"/>
      <c r="R187" s="946" t="n"/>
      <c r="S187" s="946" t="n"/>
      <c r="T187" s="946" t="n"/>
      <c r="U187" s="946" t="n"/>
      <c r="V187" s="946" t="n"/>
      <c r="W187" s="946" t="n"/>
      <c r="X187" s="946" t="n"/>
      <c r="Y187" s="946" t="n"/>
      <c r="Z187" s="946" t="n"/>
      <c r="AA187" s="946" t="n"/>
      <c r="AB187" s="946" t="n"/>
    </row>
    <row r="188">
      <c r="A188" s="186" t="n"/>
      <c r="B188" s="186" t="n"/>
      <c r="C188" s="186" t="n"/>
      <c r="D188" s="186" t="n"/>
      <c r="E188" s="186" t="n"/>
      <c r="F188" s="956" t="n"/>
      <c r="G188" s="956" t="n"/>
      <c r="H188" s="956" t="n"/>
      <c r="I188" s="956" t="n"/>
      <c r="J188" s="956" t="n"/>
      <c r="K188" s="946" t="n"/>
      <c r="L188" s="946" t="n"/>
      <c r="M188" s="946" t="n"/>
      <c r="N188" s="946" t="n"/>
      <c r="O188" s="946" t="n"/>
      <c r="P188" s="946" t="n"/>
      <c r="Q188" s="946" t="n"/>
      <c r="R188" s="946" t="n"/>
      <c r="S188" s="946" t="n"/>
      <c r="T188" s="946" t="n"/>
      <c r="U188" s="946" t="n"/>
      <c r="V188" s="946" t="n"/>
      <c r="W188" s="946" t="n"/>
      <c r="X188" s="946" t="n"/>
      <c r="Y188" s="946" t="n"/>
      <c r="Z188" s="946" t="n"/>
      <c r="AA188" s="946" t="n"/>
      <c r="AB188" s="946" t="n"/>
    </row>
    <row r="189">
      <c r="A189" s="186" t="n"/>
      <c r="B189" s="186" t="n"/>
      <c r="C189" s="186" t="n"/>
      <c r="D189" s="186" t="n"/>
      <c r="E189" s="186" t="n"/>
      <c r="F189" s="956" t="n"/>
      <c r="G189" s="956" t="n"/>
      <c r="H189" s="956" t="n"/>
      <c r="I189" s="956" t="n"/>
      <c r="J189" s="956" t="n"/>
      <c r="K189" s="946" t="n"/>
      <c r="L189" s="946" t="n"/>
      <c r="M189" s="946" t="n"/>
      <c r="N189" s="946" t="n"/>
      <c r="O189" s="946" t="n"/>
      <c r="P189" s="946" t="n"/>
      <c r="Q189" s="946" t="n"/>
      <c r="R189" s="946" t="n"/>
      <c r="S189" s="946" t="n"/>
      <c r="T189" s="946" t="n"/>
      <c r="U189" s="946" t="n"/>
      <c r="V189" s="946" t="n"/>
      <c r="W189" s="946" t="n"/>
      <c r="X189" s="946" t="n"/>
      <c r="Y189" s="946" t="n"/>
      <c r="Z189" s="946" t="n"/>
      <c r="AA189" s="946" t="n"/>
      <c r="AB189" s="946" t="n"/>
    </row>
    <row r="190">
      <c r="A190" s="186" t="n"/>
      <c r="B190" s="186" t="n"/>
      <c r="C190" s="186" t="n"/>
      <c r="D190" s="186" t="n"/>
      <c r="E190" s="186" t="n"/>
      <c r="F190" s="956" t="n"/>
      <c r="G190" s="956" t="n"/>
      <c r="H190" s="956" t="n"/>
      <c r="I190" s="956" t="n"/>
      <c r="J190" s="956" t="n"/>
      <c r="K190" s="946" t="n"/>
      <c r="L190" s="946" t="n"/>
      <c r="M190" s="946" t="n"/>
      <c r="N190" s="946" t="n"/>
      <c r="O190" s="946" t="n"/>
      <c r="P190" s="946" t="n"/>
      <c r="Q190" s="946" t="n"/>
      <c r="R190" s="946" t="n"/>
      <c r="S190" s="946" t="n"/>
      <c r="T190" s="946" t="n"/>
      <c r="U190" s="946" t="n"/>
      <c r="V190" s="946" t="n"/>
      <c r="W190" s="946" t="n"/>
      <c r="X190" s="946" t="n"/>
      <c r="Y190" s="946" t="n"/>
      <c r="Z190" s="946" t="n"/>
      <c r="AA190" s="946" t="n"/>
      <c r="AB190" s="946" t="n"/>
    </row>
    <row r="191">
      <c r="A191" s="186" t="n"/>
      <c r="B191" s="186" t="n"/>
      <c r="C191" s="186" t="n"/>
      <c r="D191" s="186" t="n"/>
      <c r="E191" s="186" t="n"/>
      <c r="F191" s="956" t="n"/>
      <c r="G191" s="956" t="n"/>
      <c r="H191" s="956" t="n"/>
      <c r="I191" s="956" t="n"/>
      <c r="J191" s="956" t="n"/>
      <c r="K191" s="946" t="n"/>
      <c r="L191" s="946" t="n"/>
      <c r="M191" s="946" t="n"/>
      <c r="N191" s="946" t="n"/>
      <c r="O191" s="946" t="n"/>
      <c r="P191" s="946" t="n"/>
      <c r="Q191" s="946" t="n"/>
      <c r="R191" s="946" t="n"/>
      <c r="S191" s="946" t="n"/>
      <c r="T191" s="946" t="n"/>
      <c r="U191" s="946" t="n"/>
      <c r="V191" s="946" t="n"/>
      <c r="W191" s="946" t="n"/>
      <c r="X191" s="946" t="n"/>
      <c r="Y191" s="946" t="n"/>
      <c r="Z191" s="946" t="n"/>
      <c r="AA191" s="946" t="n"/>
      <c r="AB191" s="946" t="n"/>
    </row>
    <row r="192">
      <c r="A192" s="186" t="n"/>
      <c r="B192" s="186" t="n"/>
      <c r="C192" s="186" t="n"/>
      <c r="D192" s="186" t="n"/>
      <c r="E192" s="186" t="n"/>
      <c r="F192" s="956" t="n"/>
      <c r="G192" s="956" t="n"/>
      <c r="H192" s="956" t="n"/>
      <c r="I192" s="956" t="n"/>
      <c r="J192" s="956" t="n"/>
      <c r="K192" s="946" t="n"/>
      <c r="L192" s="946" t="n"/>
      <c r="M192" s="946" t="n"/>
      <c r="N192" s="946" t="n"/>
      <c r="O192" s="946" t="n"/>
      <c r="P192" s="946" t="n"/>
      <c r="Q192" s="946" t="n"/>
      <c r="R192" s="946" t="n"/>
      <c r="S192" s="946" t="n"/>
      <c r="T192" s="946" t="n"/>
      <c r="U192" s="946" t="n"/>
      <c r="V192" s="946" t="n"/>
      <c r="W192" s="946" t="n"/>
      <c r="X192" s="946" t="n"/>
      <c r="Y192" s="946" t="n"/>
      <c r="Z192" s="946" t="n"/>
      <c r="AA192" s="946" t="n"/>
      <c r="AB192" s="946" t="n"/>
    </row>
    <row r="193">
      <c r="A193" s="186" t="n"/>
      <c r="B193" s="186" t="n"/>
      <c r="C193" s="186" t="n"/>
      <c r="D193" s="186" t="n"/>
      <c r="E193" s="186" t="n"/>
      <c r="F193" s="956" t="n"/>
      <c r="G193" s="956" t="n"/>
      <c r="H193" s="956" t="n"/>
      <c r="I193" s="956" t="n"/>
      <c r="J193" s="956" t="n"/>
      <c r="K193" s="946" t="n"/>
      <c r="L193" s="946" t="n"/>
      <c r="M193" s="946" t="n"/>
      <c r="N193" s="946" t="n"/>
      <c r="O193" s="946" t="n"/>
      <c r="P193" s="946" t="n"/>
      <c r="Q193" s="946" t="n"/>
      <c r="R193" s="946" t="n"/>
      <c r="S193" s="946" t="n"/>
      <c r="T193" s="946" t="n"/>
      <c r="U193" s="946" t="n"/>
      <c r="V193" s="946" t="n"/>
      <c r="W193" s="946" t="n"/>
      <c r="X193" s="946" t="n"/>
      <c r="Y193" s="946" t="n"/>
      <c r="Z193" s="946" t="n"/>
      <c r="AA193" s="946" t="n"/>
      <c r="AB193" s="946" t="n"/>
    </row>
    <row r="194">
      <c r="A194" s="186" t="n"/>
      <c r="B194" s="186" t="n"/>
      <c r="C194" s="186" t="n"/>
      <c r="D194" s="186" t="n"/>
      <c r="E194" s="186" t="n"/>
      <c r="F194" s="956" t="n"/>
      <c r="G194" s="956" t="n"/>
      <c r="H194" s="956" t="n"/>
      <c r="I194" s="956" t="n"/>
      <c r="J194" s="956" t="n"/>
      <c r="K194" s="946" t="n"/>
      <c r="L194" s="946" t="n"/>
      <c r="M194" s="946" t="n"/>
      <c r="N194" s="946" t="n"/>
      <c r="O194" s="946" t="n"/>
      <c r="P194" s="946" t="n"/>
      <c r="Q194" s="946" t="n"/>
      <c r="R194" s="946" t="n"/>
      <c r="S194" s="946" t="n"/>
      <c r="T194" s="946" t="n"/>
      <c r="U194" s="946" t="n"/>
      <c r="V194" s="946" t="n"/>
      <c r="W194" s="946" t="n"/>
      <c r="X194" s="946" t="n"/>
      <c r="Y194" s="946" t="n"/>
      <c r="Z194" s="946" t="n"/>
      <c r="AA194" s="946" t="n"/>
      <c r="AB194" s="946" t="n"/>
    </row>
    <row r="195">
      <c r="A195" s="186" t="n"/>
      <c r="B195" s="186" t="n"/>
      <c r="C195" s="186" t="n"/>
      <c r="D195" s="186" t="n"/>
      <c r="E195" s="186" t="n"/>
      <c r="F195" s="956" t="n"/>
      <c r="G195" s="956" t="n"/>
      <c r="H195" s="956" t="n"/>
      <c r="I195" s="956" t="n"/>
      <c r="J195" s="956" t="n"/>
      <c r="K195" s="946" t="n"/>
      <c r="L195" s="946" t="n"/>
      <c r="M195" s="946" t="n"/>
      <c r="N195" s="946" t="n"/>
      <c r="O195" s="946" t="n"/>
      <c r="P195" s="946" t="n"/>
      <c r="Q195" s="946" t="n"/>
      <c r="R195" s="946" t="n"/>
      <c r="S195" s="946" t="n"/>
      <c r="T195" s="946" t="n"/>
      <c r="U195" s="946" t="n"/>
      <c r="V195" s="946" t="n"/>
      <c r="W195" s="946" t="n"/>
      <c r="X195" s="946" t="n"/>
      <c r="Y195" s="946" t="n"/>
      <c r="Z195" s="946" t="n"/>
      <c r="AA195" s="946" t="n"/>
      <c r="AB195" s="946" t="n"/>
    </row>
    <row r="196">
      <c r="A196" s="186" t="n"/>
      <c r="B196" s="186" t="n"/>
      <c r="C196" s="186" t="n"/>
      <c r="D196" s="186" t="n"/>
      <c r="E196" s="186" t="n"/>
      <c r="F196" s="956" t="n"/>
      <c r="G196" s="956" t="n"/>
      <c r="H196" s="956" t="n"/>
      <c r="I196" s="956" t="n"/>
      <c r="J196" s="956" t="n"/>
      <c r="K196" s="946" t="n"/>
      <c r="L196" s="946" t="n"/>
      <c r="M196" s="946" t="n"/>
      <c r="N196" s="946" t="n"/>
      <c r="O196" s="946" t="n"/>
      <c r="P196" s="946" t="n"/>
      <c r="Q196" s="946" t="n"/>
      <c r="R196" s="946" t="n"/>
      <c r="S196" s="946" t="n"/>
      <c r="T196" s="946" t="n"/>
      <c r="U196" s="946" t="n"/>
      <c r="V196" s="946" t="n"/>
      <c r="W196" s="946" t="n"/>
      <c r="X196" s="946" t="n"/>
      <c r="Y196" s="946" t="n"/>
      <c r="Z196" s="946" t="n"/>
      <c r="AA196" s="946" t="n"/>
      <c r="AB196" s="946" t="n"/>
    </row>
    <row r="197">
      <c r="A197" s="186" t="n"/>
      <c r="B197" s="186" t="n"/>
      <c r="C197" s="186" t="n"/>
      <c r="D197" s="186" t="n"/>
      <c r="E197" s="186" t="n"/>
      <c r="F197" s="956" t="n"/>
      <c r="G197" s="956" t="n"/>
      <c r="H197" s="956" t="n"/>
      <c r="I197" s="956" t="n"/>
      <c r="J197" s="956" t="n"/>
      <c r="K197" s="946" t="n"/>
      <c r="L197" s="946" t="n"/>
      <c r="M197" s="946" t="n"/>
      <c r="N197" s="946" t="n"/>
      <c r="O197" s="946" t="n"/>
      <c r="P197" s="946" t="n"/>
      <c r="Q197" s="946" t="n"/>
      <c r="R197" s="946" t="n"/>
      <c r="S197" s="946" t="n"/>
      <c r="T197" s="946" t="n"/>
      <c r="U197" s="946" t="n"/>
      <c r="V197" s="946" t="n"/>
      <c r="W197" s="946" t="n"/>
      <c r="X197" s="946" t="n"/>
      <c r="Y197" s="946" t="n"/>
      <c r="Z197" s="946" t="n"/>
      <c r="AA197" s="946" t="n"/>
      <c r="AB197" s="946" t="n"/>
    </row>
    <row r="198">
      <c r="A198" s="186" t="n"/>
      <c r="B198" s="186" t="n"/>
      <c r="C198" s="186" t="n"/>
      <c r="D198" s="186" t="n"/>
      <c r="E198" s="186" t="n"/>
      <c r="F198" s="956" t="n"/>
      <c r="G198" s="956" t="n"/>
      <c r="H198" s="956" t="n"/>
      <c r="I198" s="956" t="n"/>
      <c r="J198" s="956" t="n"/>
      <c r="K198" s="946" t="n"/>
      <c r="L198" s="946" t="n"/>
      <c r="M198" s="946" t="n"/>
      <c r="N198" s="946" t="n"/>
      <c r="O198" s="946" t="n"/>
      <c r="P198" s="946" t="n"/>
      <c r="Q198" s="946" t="n"/>
      <c r="R198" s="946" t="n"/>
      <c r="S198" s="946" t="n"/>
      <c r="T198" s="946" t="n"/>
      <c r="U198" s="946" t="n"/>
      <c r="V198" s="946" t="n"/>
      <c r="W198" s="946" t="n"/>
      <c r="X198" s="946" t="n"/>
      <c r="Y198" s="946" t="n"/>
      <c r="Z198" s="946" t="n"/>
      <c r="AA198" s="946" t="n"/>
      <c r="AB198" s="946" t="n"/>
    </row>
    <row r="199">
      <c r="A199" s="186" t="n"/>
      <c r="B199" s="186" t="n"/>
      <c r="C199" s="186" t="n"/>
      <c r="D199" s="186" t="n"/>
      <c r="E199" s="186" t="n"/>
      <c r="F199" s="956" t="n"/>
      <c r="G199" s="956" t="n"/>
      <c r="H199" s="956" t="n"/>
      <c r="I199" s="956" t="n"/>
      <c r="J199" s="956" t="n"/>
      <c r="K199" s="946" t="n"/>
      <c r="L199" s="946" t="n"/>
      <c r="M199" s="946" t="n"/>
      <c r="N199" s="946" t="n"/>
      <c r="O199" s="946" t="n"/>
      <c r="P199" s="946" t="n"/>
      <c r="Q199" s="946" t="n"/>
      <c r="R199" s="946" t="n"/>
      <c r="S199" s="946" t="n"/>
      <c r="T199" s="946" t="n"/>
      <c r="U199" s="946" t="n"/>
      <c r="V199" s="946" t="n"/>
      <c r="W199" s="946" t="n"/>
      <c r="X199" s="946" t="n"/>
      <c r="Y199" s="946" t="n"/>
      <c r="Z199" s="946" t="n"/>
      <c r="AA199" s="946" t="n"/>
      <c r="AB199" s="946" t="n"/>
    </row>
    <row r="200">
      <c r="A200" s="186" t="n"/>
      <c r="B200" s="186" t="n"/>
      <c r="C200" s="186" t="n"/>
      <c r="D200" s="186" t="n"/>
      <c r="E200" s="186" t="n"/>
      <c r="F200" s="956" t="n"/>
      <c r="G200" s="956" t="n"/>
      <c r="H200" s="956" t="n"/>
      <c r="I200" s="956" t="n"/>
      <c r="J200" s="956" t="n"/>
      <c r="K200" s="946" t="n"/>
      <c r="L200" s="946" t="n"/>
      <c r="M200" s="946" t="n"/>
      <c r="N200" s="946" t="n"/>
      <c r="O200" s="946" t="n"/>
      <c r="P200" s="946" t="n"/>
      <c r="Q200" s="946" t="n"/>
      <c r="R200" s="946" t="n"/>
      <c r="S200" s="946" t="n"/>
      <c r="T200" s="946" t="n"/>
      <c r="U200" s="946" t="n"/>
      <c r="V200" s="946" t="n"/>
      <c r="W200" s="946" t="n"/>
      <c r="X200" s="946" t="n"/>
      <c r="Y200" s="946" t="n"/>
      <c r="Z200" s="946" t="n"/>
      <c r="AA200" s="946" t="n"/>
      <c r="AB200" s="946" t="n"/>
    </row>
    <row r="201">
      <c r="A201" s="186" t="n"/>
      <c r="B201" s="186" t="n"/>
      <c r="C201" s="186" t="n"/>
      <c r="D201" s="186" t="n"/>
      <c r="E201" s="186" t="n"/>
      <c r="F201" s="956" t="n"/>
      <c r="G201" s="956" t="n"/>
      <c r="H201" s="956" t="n"/>
      <c r="I201" s="956" t="n"/>
      <c r="J201" s="956" t="n"/>
      <c r="K201" s="946" t="n"/>
      <c r="L201" s="946" t="n"/>
      <c r="M201" s="946" t="n"/>
      <c r="N201" s="946" t="n"/>
      <c r="O201" s="946" t="n"/>
      <c r="P201" s="946" t="n"/>
      <c r="Q201" s="946" t="n"/>
      <c r="R201" s="946" t="n"/>
      <c r="S201" s="946" t="n"/>
      <c r="T201" s="946" t="n"/>
      <c r="U201" s="946" t="n"/>
      <c r="V201" s="946" t="n"/>
      <c r="W201" s="946" t="n"/>
      <c r="X201" s="946" t="n"/>
      <c r="Y201" s="946" t="n"/>
      <c r="Z201" s="946" t="n"/>
      <c r="AA201" s="946" t="n"/>
      <c r="AB201" s="946" t="n"/>
    </row>
    <row r="202">
      <c r="A202" s="186" t="n"/>
      <c r="B202" s="186" t="n"/>
      <c r="C202" s="186" t="n"/>
      <c r="D202" s="186" t="n"/>
      <c r="E202" s="186" t="n"/>
      <c r="F202" s="956" t="n"/>
      <c r="G202" s="956" t="n"/>
      <c r="H202" s="956" t="n"/>
      <c r="I202" s="956" t="n"/>
      <c r="J202" s="956" t="n"/>
      <c r="K202" s="946" t="n"/>
      <c r="L202" s="946" t="n"/>
      <c r="M202" s="946" t="n"/>
      <c r="N202" s="946" t="n"/>
      <c r="O202" s="946" t="n"/>
      <c r="P202" s="946" t="n"/>
      <c r="Q202" s="946" t="n"/>
      <c r="R202" s="946" t="n"/>
      <c r="S202" s="946" t="n"/>
      <c r="T202" s="946" t="n"/>
      <c r="U202" s="946" t="n"/>
      <c r="V202" s="946" t="n"/>
      <c r="W202" s="946" t="n"/>
      <c r="X202" s="946" t="n"/>
      <c r="Y202" s="946" t="n"/>
      <c r="Z202" s="946" t="n"/>
      <c r="AA202" s="946" t="n"/>
      <c r="AB202" s="946" t="n"/>
    </row>
    <row r="203">
      <c r="A203" s="186" t="n"/>
      <c r="B203" s="186" t="n"/>
      <c r="C203" s="186" t="n"/>
      <c r="D203" s="186" t="n"/>
      <c r="E203" s="186" t="n"/>
      <c r="F203" s="956" t="n"/>
      <c r="G203" s="956" t="n"/>
      <c r="H203" s="956" t="n"/>
      <c r="I203" s="956" t="n"/>
      <c r="J203" s="956" t="n"/>
      <c r="K203" s="946" t="n"/>
      <c r="L203" s="946" t="n"/>
      <c r="M203" s="946" t="n"/>
      <c r="N203" s="946" t="n"/>
      <c r="O203" s="946" t="n"/>
      <c r="P203" s="946" t="n"/>
      <c r="Q203" s="946" t="n"/>
      <c r="R203" s="946" t="n"/>
      <c r="S203" s="946" t="n"/>
      <c r="T203" s="946" t="n"/>
      <c r="U203" s="946" t="n"/>
      <c r="V203" s="946" t="n"/>
      <c r="W203" s="946" t="n"/>
      <c r="X203" s="946" t="n"/>
      <c r="Y203" s="946" t="n"/>
      <c r="Z203" s="946" t="n"/>
      <c r="AA203" s="946" t="n"/>
      <c r="AB203" s="946" t="n"/>
    </row>
    <row r="204">
      <c r="A204" s="186" t="n"/>
      <c r="B204" s="186" t="n"/>
      <c r="C204" s="186" t="n"/>
      <c r="D204" s="186" t="n"/>
      <c r="E204" s="186" t="n"/>
      <c r="F204" s="956" t="n"/>
      <c r="G204" s="956" t="n"/>
      <c r="H204" s="956" t="n"/>
      <c r="I204" s="956" t="n"/>
      <c r="J204" s="956" t="n"/>
      <c r="K204" s="946" t="n"/>
      <c r="L204" s="946" t="n"/>
      <c r="M204" s="946" t="n"/>
      <c r="N204" s="946" t="n"/>
      <c r="O204" s="946" t="n"/>
      <c r="P204" s="946" t="n"/>
      <c r="Q204" s="946" t="n"/>
      <c r="R204" s="946" t="n"/>
      <c r="S204" s="946" t="n"/>
      <c r="T204" s="946" t="n"/>
      <c r="U204" s="946" t="n"/>
      <c r="V204" s="946" t="n"/>
      <c r="W204" s="946" t="n"/>
      <c r="X204" s="946" t="n"/>
      <c r="Y204" s="946" t="n"/>
      <c r="Z204" s="946" t="n"/>
      <c r="AA204" s="946" t="n"/>
      <c r="AB204" s="946" t="n"/>
    </row>
    <row r="205">
      <c r="A205" s="186" t="n"/>
      <c r="B205" s="186" t="n"/>
      <c r="C205" s="186" t="n"/>
      <c r="D205" s="186" t="n"/>
      <c r="E205" s="186" t="n"/>
      <c r="F205" s="956" t="n"/>
      <c r="G205" s="956" t="n"/>
      <c r="H205" s="956" t="n"/>
      <c r="I205" s="956" t="n"/>
      <c r="J205" s="956" t="n"/>
      <c r="K205" s="946" t="n"/>
      <c r="L205" s="946" t="n"/>
      <c r="M205" s="946" t="n"/>
      <c r="N205" s="946" t="n"/>
      <c r="O205" s="946" t="n"/>
      <c r="P205" s="946" t="n"/>
      <c r="Q205" s="946" t="n"/>
      <c r="R205" s="946" t="n"/>
      <c r="S205" s="946" t="n"/>
      <c r="T205" s="946" t="n"/>
      <c r="U205" s="946" t="n"/>
      <c r="V205" s="946" t="n"/>
      <c r="W205" s="946" t="n"/>
      <c r="X205" s="946" t="n"/>
      <c r="Y205" s="946" t="n"/>
      <c r="Z205" s="946" t="n"/>
      <c r="AA205" s="946" t="n"/>
      <c r="AB205" s="946" t="n"/>
    </row>
    <row r="206">
      <c r="A206" s="186" t="n"/>
      <c r="B206" s="186" t="n"/>
      <c r="C206" s="186" t="n"/>
      <c r="D206" s="186" t="n"/>
      <c r="E206" s="186" t="n"/>
      <c r="F206" s="956" t="n"/>
      <c r="G206" s="956" t="n"/>
      <c r="H206" s="956" t="n"/>
      <c r="I206" s="956" t="n"/>
      <c r="J206" s="956" t="n"/>
      <c r="K206" s="946" t="n"/>
      <c r="L206" s="946" t="n"/>
      <c r="M206" s="946" t="n"/>
      <c r="N206" s="946" t="n"/>
      <c r="O206" s="946" t="n"/>
      <c r="P206" s="946" t="n"/>
      <c r="Q206" s="946" t="n"/>
      <c r="R206" s="946" t="n"/>
      <c r="S206" s="946" t="n"/>
      <c r="T206" s="946" t="n"/>
      <c r="U206" s="946" t="n"/>
      <c r="V206" s="946" t="n"/>
      <c r="W206" s="946" t="n"/>
      <c r="X206" s="946" t="n"/>
      <c r="Y206" s="946" t="n"/>
      <c r="Z206" s="946" t="n"/>
      <c r="AA206" s="946" t="n"/>
      <c r="AB206" s="946" t="n"/>
    </row>
    <row r="207">
      <c r="A207" s="186" t="n"/>
      <c r="B207" s="186" t="n"/>
      <c r="C207" s="186" t="n"/>
      <c r="D207" s="186" t="n"/>
      <c r="E207" s="186" t="n"/>
      <c r="F207" s="956" t="n"/>
      <c r="G207" s="956" t="n"/>
      <c r="H207" s="956" t="n"/>
      <c r="I207" s="956" t="n"/>
      <c r="J207" s="956" t="n"/>
      <c r="K207" s="946" t="n"/>
      <c r="L207" s="946" t="n"/>
      <c r="M207" s="946" t="n"/>
      <c r="N207" s="946" t="n"/>
      <c r="O207" s="946" t="n"/>
      <c r="P207" s="946" t="n"/>
      <c r="Q207" s="946" t="n"/>
      <c r="R207" s="946" t="n"/>
      <c r="S207" s="946" t="n"/>
      <c r="T207" s="946" t="n"/>
      <c r="U207" s="946" t="n"/>
      <c r="V207" s="946" t="n"/>
      <c r="W207" s="946" t="n"/>
      <c r="X207" s="946" t="n"/>
      <c r="Y207" s="946" t="n"/>
      <c r="Z207" s="946" t="n"/>
      <c r="AA207" s="946" t="n"/>
      <c r="AB207" s="946" t="n"/>
    </row>
    <row r="208">
      <c r="A208" s="186" t="n"/>
      <c r="B208" s="186" t="n"/>
      <c r="C208" s="186" t="n"/>
      <c r="D208" s="186" t="n"/>
      <c r="E208" s="186" t="n"/>
      <c r="F208" s="956" t="n"/>
      <c r="G208" s="956" t="n"/>
      <c r="H208" s="956" t="n"/>
      <c r="I208" s="956" t="n"/>
      <c r="J208" s="956" t="n"/>
      <c r="K208" s="946" t="n"/>
      <c r="L208" s="946" t="n"/>
      <c r="M208" s="946" t="n"/>
      <c r="N208" s="946" t="n"/>
      <c r="O208" s="946" t="n"/>
      <c r="P208" s="946" t="n"/>
      <c r="Q208" s="946" t="n"/>
      <c r="R208" s="946" t="n"/>
      <c r="S208" s="946" t="n"/>
      <c r="T208" s="946" t="n"/>
      <c r="U208" s="946" t="n"/>
      <c r="V208" s="946" t="n"/>
      <c r="W208" s="946" t="n"/>
      <c r="X208" s="946" t="n"/>
      <c r="Y208" s="946" t="n"/>
      <c r="Z208" s="946" t="n"/>
      <c r="AA208" s="946" t="n"/>
      <c r="AB208" s="946" t="n"/>
    </row>
    <row r="209">
      <c r="A209" s="186" t="n"/>
      <c r="B209" s="186" t="n"/>
      <c r="C209" s="186" t="n"/>
      <c r="D209" s="186" t="n"/>
      <c r="E209" s="186" t="n"/>
      <c r="F209" s="956" t="n"/>
      <c r="G209" s="956" t="n"/>
      <c r="H209" s="956" t="n"/>
      <c r="I209" s="956" t="n"/>
      <c r="J209" s="956" t="n"/>
      <c r="K209" s="946" t="n"/>
      <c r="L209" s="946" t="n"/>
      <c r="M209" s="946" t="n"/>
      <c r="N209" s="946" t="n"/>
      <c r="O209" s="946" t="n"/>
      <c r="P209" s="946" t="n"/>
      <c r="Q209" s="946" t="n"/>
      <c r="R209" s="946" t="n"/>
      <c r="S209" s="946" t="n"/>
      <c r="T209" s="946" t="n"/>
      <c r="U209" s="946" t="n"/>
      <c r="V209" s="946" t="n"/>
      <c r="W209" s="946" t="n"/>
      <c r="X209" s="946" t="n"/>
      <c r="Y209" s="946" t="n"/>
      <c r="Z209" s="946" t="n"/>
      <c r="AA209" s="946" t="n"/>
      <c r="AB209" s="946" t="n"/>
    </row>
    <row r="210">
      <c r="A210" s="186" t="n"/>
      <c r="B210" s="186" t="n"/>
      <c r="C210" s="186" t="n"/>
      <c r="D210" s="186" t="n"/>
      <c r="E210" s="186" t="n"/>
      <c r="F210" s="956" t="n"/>
      <c r="G210" s="956" t="n"/>
      <c r="H210" s="956" t="n"/>
      <c r="I210" s="956" t="n"/>
      <c r="J210" s="956" t="n"/>
      <c r="K210" s="946" t="n"/>
      <c r="L210" s="946" t="n"/>
      <c r="M210" s="946" t="n"/>
      <c r="N210" s="946" t="n"/>
      <c r="O210" s="946" t="n"/>
      <c r="P210" s="946" t="n"/>
      <c r="Q210" s="946" t="n"/>
      <c r="R210" s="946" t="n"/>
      <c r="S210" s="946" t="n"/>
      <c r="T210" s="946" t="n"/>
      <c r="U210" s="946" t="n"/>
      <c r="V210" s="946" t="n"/>
      <c r="W210" s="946" t="n"/>
      <c r="X210" s="946" t="n"/>
      <c r="Y210" s="946" t="n"/>
      <c r="Z210" s="946" t="n"/>
      <c r="AA210" s="946" t="n"/>
      <c r="AB210" s="946" t="n"/>
    </row>
    <row r="211">
      <c r="A211" s="186" t="n"/>
      <c r="B211" s="186" t="n"/>
      <c r="C211" s="186" t="n"/>
      <c r="D211" s="186" t="n"/>
      <c r="E211" s="186" t="n"/>
      <c r="F211" s="956" t="n"/>
      <c r="G211" s="956" t="n"/>
      <c r="H211" s="956" t="n"/>
      <c r="I211" s="956" t="n"/>
      <c r="J211" s="956" t="n"/>
      <c r="K211" s="946" t="n"/>
      <c r="L211" s="946" t="n"/>
      <c r="M211" s="946" t="n"/>
      <c r="N211" s="946" t="n"/>
      <c r="O211" s="946" t="n"/>
      <c r="P211" s="946" t="n"/>
      <c r="Q211" s="946" t="n"/>
      <c r="R211" s="946" t="n"/>
      <c r="S211" s="946" t="n"/>
      <c r="T211" s="946" t="n"/>
      <c r="U211" s="946" t="n"/>
      <c r="V211" s="946" t="n"/>
      <c r="W211" s="946" t="n"/>
      <c r="X211" s="946" t="n"/>
      <c r="Y211" s="946" t="n"/>
      <c r="Z211" s="946" t="n"/>
      <c r="AA211" s="946" t="n"/>
      <c r="AB211" s="946" t="n"/>
    </row>
    <row r="212">
      <c r="A212" s="186" t="n"/>
      <c r="B212" s="186" t="n"/>
      <c r="C212" s="186" t="n"/>
      <c r="D212" s="186" t="n"/>
      <c r="E212" s="186" t="n"/>
      <c r="F212" s="956" t="n"/>
      <c r="G212" s="956" t="n"/>
      <c r="H212" s="956" t="n"/>
      <c r="I212" s="956" t="n"/>
      <c r="J212" s="956" t="n"/>
      <c r="K212" s="946" t="n"/>
      <c r="L212" s="946" t="n"/>
      <c r="M212" s="946" t="n"/>
      <c r="N212" s="946" t="n"/>
      <c r="O212" s="946" t="n"/>
      <c r="P212" s="946" t="n"/>
      <c r="Q212" s="946" t="n"/>
      <c r="R212" s="946" t="n"/>
      <c r="S212" s="946" t="n"/>
      <c r="T212" s="946" t="n"/>
      <c r="U212" s="946" t="n"/>
      <c r="V212" s="946" t="n"/>
      <c r="W212" s="946" t="n"/>
      <c r="X212" s="946" t="n"/>
      <c r="Y212" s="946" t="n"/>
      <c r="Z212" s="946" t="n"/>
      <c r="AA212" s="946" t="n"/>
      <c r="AB212" s="946" t="n"/>
    </row>
    <row r="213">
      <c r="A213" s="186" t="n"/>
      <c r="B213" s="186" t="n"/>
      <c r="C213" s="186" t="n"/>
      <c r="D213" s="186" t="n"/>
      <c r="E213" s="186" t="n"/>
      <c r="F213" s="956" t="n"/>
      <c r="G213" s="956" t="n"/>
      <c r="H213" s="956" t="n"/>
      <c r="I213" s="956" t="n"/>
      <c r="J213" s="956" t="n"/>
      <c r="K213" s="946" t="n"/>
      <c r="L213" s="946" t="n"/>
      <c r="M213" s="946" t="n"/>
      <c r="N213" s="946" t="n"/>
      <c r="O213" s="946" t="n"/>
      <c r="P213" s="946" t="n"/>
      <c r="Q213" s="946" t="n"/>
      <c r="R213" s="946" t="n"/>
      <c r="S213" s="946" t="n"/>
      <c r="T213" s="946" t="n"/>
      <c r="U213" s="946" t="n"/>
      <c r="V213" s="946" t="n"/>
      <c r="W213" s="946" t="n"/>
      <c r="X213" s="946" t="n"/>
      <c r="Y213" s="946" t="n"/>
      <c r="Z213" s="946" t="n"/>
      <c r="AA213" s="946" t="n"/>
      <c r="AB213" s="946" t="n"/>
    </row>
    <row r="214">
      <c r="A214" s="186" t="n"/>
      <c r="B214" s="186" t="n"/>
      <c r="C214" s="186" t="n"/>
      <c r="D214" s="186" t="n"/>
      <c r="E214" s="186" t="n"/>
      <c r="F214" s="956" t="n"/>
      <c r="G214" s="956" t="n"/>
      <c r="H214" s="956" t="n"/>
      <c r="I214" s="956" t="n"/>
      <c r="J214" s="956" t="n"/>
      <c r="K214" s="946" t="n"/>
      <c r="L214" s="946" t="n"/>
      <c r="M214" s="946" t="n"/>
      <c r="N214" s="946" t="n"/>
      <c r="O214" s="946" t="n"/>
      <c r="P214" s="946" t="n"/>
      <c r="Q214" s="946" t="n"/>
      <c r="R214" s="946" t="n"/>
      <c r="S214" s="946" t="n"/>
      <c r="T214" s="946" t="n"/>
      <c r="U214" s="946" t="n"/>
      <c r="V214" s="946" t="n"/>
      <c r="W214" s="946" t="n"/>
      <c r="X214" s="946" t="n"/>
      <c r="Y214" s="946" t="n"/>
      <c r="Z214" s="946" t="n"/>
      <c r="AA214" s="946" t="n"/>
      <c r="AB214" s="946" t="n"/>
    </row>
    <row r="215">
      <c r="A215" s="186" t="n"/>
      <c r="B215" s="186" t="n"/>
      <c r="C215" s="186" t="n"/>
      <c r="D215" s="186" t="n"/>
      <c r="E215" s="186" t="n"/>
      <c r="F215" s="956" t="n"/>
      <c r="G215" s="956" t="n"/>
      <c r="H215" s="956" t="n"/>
      <c r="I215" s="956" t="n"/>
      <c r="J215" s="956" t="n"/>
      <c r="K215" s="946" t="n"/>
      <c r="L215" s="946" t="n"/>
      <c r="M215" s="946" t="n"/>
      <c r="N215" s="946" t="n"/>
      <c r="O215" s="946" t="n"/>
      <c r="P215" s="946" t="n"/>
      <c r="Q215" s="946" t="n"/>
      <c r="R215" s="946" t="n"/>
      <c r="S215" s="946" t="n"/>
      <c r="T215" s="946" t="n"/>
      <c r="U215" s="946" t="n"/>
      <c r="V215" s="946" t="n"/>
      <c r="W215" s="946" t="n"/>
      <c r="X215" s="946" t="n"/>
      <c r="Y215" s="946" t="n"/>
      <c r="Z215" s="946" t="n"/>
      <c r="AA215" s="946" t="n"/>
      <c r="AB215" s="946" t="n"/>
    </row>
    <row r="216">
      <c r="A216" s="186" t="n"/>
      <c r="B216" s="186" t="n"/>
      <c r="C216" s="186" t="n"/>
      <c r="D216" s="186" t="n"/>
      <c r="E216" s="186" t="n"/>
      <c r="F216" s="956" t="n"/>
      <c r="G216" s="956" t="n"/>
      <c r="H216" s="956" t="n"/>
      <c r="I216" s="956" t="n"/>
      <c r="J216" s="956" t="n"/>
      <c r="K216" s="946" t="n"/>
      <c r="L216" s="946" t="n"/>
      <c r="M216" s="946" t="n"/>
      <c r="N216" s="946" t="n"/>
      <c r="O216" s="946" t="n"/>
      <c r="P216" s="946" t="n"/>
      <c r="Q216" s="946" t="n"/>
      <c r="R216" s="946" t="n"/>
      <c r="S216" s="946" t="n"/>
      <c r="T216" s="946" t="n"/>
      <c r="U216" s="946" t="n"/>
      <c r="V216" s="946" t="n"/>
      <c r="W216" s="946" t="n"/>
      <c r="X216" s="946" t="n"/>
      <c r="Y216" s="946" t="n"/>
      <c r="Z216" s="946" t="n"/>
      <c r="AA216" s="946" t="n"/>
      <c r="AB216" s="946" t="n"/>
    </row>
    <row r="217">
      <c r="A217" s="186" t="n"/>
      <c r="B217" s="186" t="n"/>
      <c r="C217" s="186" t="n"/>
      <c r="D217" s="186" t="n"/>
      <c r="E217" s="186" t="n"/>
      <c r="F217" s="956" t="n"/>
      <c r="G217" s="956" t="n"/>
      <c r="H217" s="956" t="n"/>
      <c r="I217" s="956" t="n"/>
      <c r="J217" s="956" t="n"/>
      <c r="K217" s="946" t="n"/>
      <c r="L217" s="946" t="n"/>
      <c r="M217" s="946" t="n"/>
      <c r="N217" s="946" t="n"/>
      <c r="O217" s="946" t="n"/>
      <c r="P217" s="946" t="n"/>
      <c r="Q217" s="946" t="n"/>
      <c r="R217" s="946" t="n"/>
      <c r="S217" s="946" t="n"/>
      <c r="T217" s="946" t="n"/>
      <c r="U217" s="946" t="n"/>
      <c r="V217" s="946" t="n"/>
      <c r="W217" s="946" t="n"/>
      <c r="X217" s="946" t="n"/>
      <c r="Y217" s="946" t="n"/>
      <c r="Z217" s="946" t="n"/>
      <c r="AA217" s="946" t="n"/>
      <c r="AB217" s="946" t="n"/>
    </row>
    <row r="218">
      <c r="A218" s="186" t="n"/>
      <c r="B218" s="186" t="n"/>
      <c r="C218" s="186" t="n"/>
      <c r="D218" s="186" t="n"/>
      <c r="E218" s="186" t="n"/>
      <c r="F218" s="956" t="n"/>
      <c r="G218" s="956" t="n"/>
      <c r="H218" s="956" t="n"/>
      <c r="I218" s="956" t="n"/>
      <c r="J218" s="956" t="n"/>
      <c r="K218" s="946" t="n"/>
      <c r="L218" s="946" t="n"/>
      <c r="M218" s="946" t="n"/>
      <c r="N218" s="946" t="n"/>
      <c r="O218" s="946" t="n"/>
      <c r="P218" s="946" t="n"/>
      <c r="Q218" s="946" t="n"/>
      <c r="R218" s="946" t="n"/>
      <c r="S218" s="946" t="n"/>
      <c r="T218" s="946" t="n"/>
      <c r="U218" s="946" t="n"/>
      <c r="V218" s="946" t="n"/>
      <c r="W218" s="946" t="n"/>
      <c r="X218" s="946" t="n"/>
      <c r="Y218" s="946" t="n"/>
      <c r="Z218" s="946" t="n"/>
      <c r="AA218" s="946" t="n"/>
      <c r="AB218" s="946" t="n"/>
    </row>
    <row r="219">
      <c r="A219" s="186" t="n"/>
      <c r="B219" s="186" t="n"/>
      <c r="C219" s="186" t="n"/>
      <c r="D219" s="186" t="n"/>
      <c r="E219" s="186" t="n"/>
      <c r="F219" s="956" t="n"/>
      <c r="G219" s="956" t="n"/>
      <c r="H219" s="956" t="n"/>
      <c r="I219" s="956" t="n"/>
      <c r="J219" s="956" t="n"/>
      <c r="K219" s="946" t="n"/>
      <c r="L219" s="946" t="n"/>
      <c r="M219" s="946" t="n"/>
      <c r="N219" s="946" t="n"/>
      <c r="O219" s="946" t="n"/>
      <c r="P219" s="946" t="n"/>
      <c r="Q219" s="946" t="n"/>
      <c r="R219" s="946" t="n"/>
      <c r="S219" s="946" t="n"/>
      <c r="T219" s="946" t="n"/>
      <c r="U219" s="946" t="n"/>
      <c r="V219" s="946" t="n"/>
      <c r="W219" s="946" t="n"/>
      <c r="X219" s="946" t="n"/>
      <c r="Y219" s="946" t="n"/>
      <c r="Z219" s="946" t="n"/>
      <c r="AA219" s="946" t="n"/>
      <c r="AB219" s="946" t="n"/>
    </row>
    <row r="220">
      <c r="A220" s="186" t="n"/>
      <c r="B220" s="186" t="n"/>
      <c r="C220" s="186" t="n"/>
      <c r="D220" s="186" t="n"/>
      <c r="E220" s="186" t="n"/>
      <c r="F220" s="956" t="n"/>
      <c r="G220" s="956" t="n"/>
      <c r="H220" s="956" t="n"/>
      <c r="I220" s="956" t="n"/>
      <c r="J220" s="956" t="n"/>
      <c r="K220" s="946" t="n"/>
      <c r="L220" s="946" t="n"/>
      <c r="M220" s="946" t="n"/>
      <c r="N220" s="946" t="n"/>
      <c r="O220" s="946" t="n"/>
      <c r="P220" s="946" t="n"/>
      <c r="Q220" s="946" t="n"/>
      <c r="R220" s="946" t="n"/>
      <c r="S220" s="946" t="n"/>
      <c r="T220" s="946" t="n"/>
      <c r="U220" s="946" t="n"/>
      <c r="V220" s="946" t="n"/>
      <c r="W220" s="946" t="n"/>
      <c r="X220" s="946" t="n"/>
      <c r="Y220" s="946" t="n"/>
      <c r="Z220" s="946" t="n"/>
      <c r="AA220" s="946" t="n"/>
      <c r="AB220" s="946" t="n"/>
    </row>
    <row r="221">
      <c r="A221" s="186" t="n"/>
      <c r="B221" s="186" t="n"/>
      <c r="C221" s="186" t="n"/>
      <c r="D221" s="186" t="n"/>
      <c r="E221" s="186" t="n"/>
      <c r="F221" s="956" t="n"/>
      <c r="G221" s="956" t="n"/>
      <c r="H221" s="956" t="n"/>
      <c r="I221" s="956" t="n"/>
      <c r="J221" s="956" t="n"/>
      <c r="K221" s="946" t="n"/>
      <c r="L221" s="946" t="n"/>
      <c r="M221" s="946" t="n"/>
      <c r="N221" s="946" t="n"/>
      <c r="O221" s="946" t="n"/>
      <c r="P221" s="946" t="n"/>
      <c r="Q221" s="946" t="n"/>
      <c r="R221" s="946" t="n"/>
      <c r="S221" s="946" t="n"/>
      <c r="T221" s="946" t="n"/>
      <c r="U221" s="946" t="n"/>
      <c r="V221" s="946" t="n"/>
      <c r="W221" s="946" t="n"/>
      <c r="X221" s="946" t="n"/>
      <c r="Y221" s="946" t="n"/>
      <c r="Z221" s="946" t="n"/>
      <c r="AA221" s="946" t="n"/>
      <c r="AB221" s="946" t="n"/>
    </row>
    <row r="222">
      <c r="A222" s="186" t="n"/>
      <c r="B222" s="186" t="n"/>
      <c r="C222" s="186" t="n"/>
      <c r="D222" s="186" t="n"/>
      <c r="E222" s="186" t="n"/>
      <c r="F222" s="956" t="n"/>
      <c r="G222" s="956" t="n"/>
      <c r="H222" s="956" t="n"/>
      <c r="I222" s="956" t="n"/>
      <c r="J222" s="956" t="n"/>
      <c r="K222" s="946" t="n"/>
      <c r="L222" s="946" t="n"/>
      <c r="M222" s="946" t="n"/>
      <c r="N222" s="946" t="n"/>
      <c r="O222" s="946" t="n"/>
      <c r="P222" s="946" t="n"/>
      <c r="Q222" s="946" t="n"/>
      <c r="R222" s="946" t="n"/>
      <c r="S222" s="946" t="n"/>
      <c r="T222" s="946" t="n"/>
      <c r="U222" s="946" t="n"/>
      <c r="V222" s="946" t="n"/>
      <c r="W222" s="946" t="n"/>
      <c r="X222" s="946" t="n"/>
      <c r="Y222" s="946" t="n"/>
      <c r="Z222" s="946" t="n"/>
      <c r="AA222" s="946" t="n"/>
      <c r="AB222" s="946" t="n"/>
    </row>
    <row r="223">
      <c r="A223" s="186" t="n"/>
      <c r="B223" s="186" t="n"/>
      <c r="C223" s="186" t="n"/>
      <c r="D223" s="186" t="n"/>
      <c r="E223" s="186" t="n"/>
      <c r="F223" s="956" t="n"/>
      <c r="G223" s="956" t="n"/>
      <c r="H223" s="956" t="n"/>
      <c r="I223" s="956" t="n"/>
      <c r="J223" s="956" t="n"/>
      <c r="K223" s="946" t="n"/>
      <c r="L223" s="946" t="n"/>
      <c r="M223" s="946" t="n"/>
      <c r="N223" s="946" t="n"/>
      <c r="O223" s="946" t="n"/>
      <c r="P223" s="946" t="n"/>
      <c r="Q223" s="946" t="n"/>
      <c r="R223" s="946" t="n"/>
      <c r="S223" s="946" t="n"/>
      <c r="T223" s="946" t="n"/>
      <c r="U223" s="946" t="n"/>
      <c r="V223" s="946" t="n"/>
      <c r="W223" s="946" t="n"/>
      <c r="X223" s="946" t="n"/>
      <c r="Y223" s="946" t="n"/>
      <c r="Z223" s="946" t="n"/>
      <c r="AA223" s="946" t="n"/>
      <c r="AB223" s="946" t="n"/>
    </row>
    <row r="224">
      <c r="A224" s="186" t="n"/>
      <c r="B224" s="186" t="n"/>
      <c r="C224" s="186" t="n"/>
      <c r="D224" s="186" t="n"/>
      <c r="E224" s="186" t="n"/>
      <c r="F224" s="956" t="n"/>
      <c r="G224" s="956" t="n"/>
      <c r="H224" s="956" t="n"/>
      <c r="I224" s="956" t="n"/>
      <c r="J224" s="956" t="n"/>
      <c r="K224" s="946" t="n"/>
      <c r="L224" s="946" t="n"/>
      <c r="M224" s="946" t="n"/>
      <c r="N224" s="946" t="n"/>
      <c r="O224" s="946" t="n"/>
      <c r="P224" s="946" t="n"/>
      <c r="Q224" s="946" t="n"/>
      <c r="R224" s="946" t="n"/>
      <c r="S224" s="946" t="n"/>
      <c r="T224" s="946" t="n"/>
      <c r="U224" s="946" t="n"/>
      <c r="V224" s="946" t="n"/>
      <c r="W224" s="946" t="n"/>
      <c r="X224" s="946" t="n"/>
      <c r="Y224" s="946" t="n"/>
      <c r="Z224" s="946" t="n"/>
      <c r="AA224" s="946" t="n"/>
      <c r="AB224" s="946" t="n"/>
    </row>
    <row r="225">
      <c r="A225" s="186" t="n"/>
      <c r="B225" s="186" t="n"/>
      <c r="C225" s="186" t="n"/>
      <c r="D225" s="186" t="n"/>
      <c r="E225" s="186" t="n"/>
      <c r="F225" s="956" t="n"/>
      <c r="G225" s="956" t="n"/>
      <c r="H225" s="956" t="n"/>
      <c r="I225" s="956" t="n"/>
      <c r="J225" s="956" t="n"/>
      <c r="K225" s="946" t="n"/>
      <c r="L225" s="946" t="n"/>
      <c r="M225" s="946" t="n"/>
      <c r="N225" s="946" t="n"/>
      <c r="O225" s="946" t="n"/>
      <c r="P225" s="946" t="n"/>
      <c r="Q225" s="946" t="n"/>
      <c r="R225" s="946" t="n"/>
      <c r="S225" s="946" t="n"/>
      <c r="T225" s="946" t="n"/>
      <c r="U225" s="946" t="n"/>
      <c r="V225" s="946" t="n"/>
      <c r="W225" s="946" t="n"/>
      <c r="X225" s="946" t="n"/>
      <c r="Y225" s="946" t="n"/>
      <c r="Z225" s="946" t="n"/>
      <c r="AA225" s="946" t="n"/>
      <c r="AB225" s="946" t="n"/>
    </row>
    <row r="226">
      <c r="A226" s="186" t="n"/>
      <c r="B226" s="186" t="n"/>
      <c r="C226" s="186" t="n"/>
      <c r="D226" s="186" t="n"/>
      <c r="E226" s="186" t="n"/>
      <c r="F226" s="956" t="n"/>
      <c r="G226" s="956" t="n"/>
      <c r="H226" s="956" t="n"/>
      <c r="I226" s="956" t="n"/>
      <c r="J226" s="956" t="n"/>
      <c r="K226" s="946" t="n"/>
      <c r="L226" s="946" t="n"/>
      <c r="M226" s="946" t="n"/>
      <c r="N226" s="946" t="n"/>
      <c r="O226" s="946" t="n"/>
      <c r="P226" s="946" t="n"/>
      <c r="Q226" s="946" t="n"/>
      <c r="R226" s="946" t="n"/>
      <c r="S226" s="946" t="n"/>
      <c r="T226" s="946" t="n"/>
      <c r="U226" s="946" t="n"/>
      <c r="V226" s="946" t="n"/>
      <c r="W226" s="946" t="n"/>
      <c r="X226" s="946" t="n"/>
      <c r="Y226" s="946" t="n"/>
      <c r="Z226" s="946" t="n"/>
      <c r="AA226" s="946" t="n"/>
      <c r="AB226" s="946" t="n"/>
    </row>
    <row r="227">
      <c r="A227" s="186" t="n"/>
      <c r="B227" s="186" t="n"/>
      <c r="C227" s="186" t="n"/>
      <c r="D227" s="186" t="n"/>
      <c r="E227" s="186" t="n"/>
      <c r="F227" s="956" t="n"/>
      <c r="G227" s="956" t="n"/>
      <c r="H227" s="956" t="n"/>
      <c r="I227" s="956" t="n"/>
      <c r="J227" s="956" t="n"/>
      <c r="K227" s="946" t="n"/>
      <c r="L227" s="946" t="n"/>
      <c r="M227" s="946" t="n"/>
      <c r="N227" s="946" t="n"/>
      <c r="O227" s="946" t="n"/>
      <c r="P227" s="946" t="n"/>
      <c r="Q227" s="946" t="n"/>
      <c r="R227" s="946" t="n"/>
      <c r="S227" s="946" t="n"/>
      <c r="T227" s="946" t="n"/>
      <c r="U227" s="946" t="n"/>
      <c r="V227" s="946" t="n"/>
      <c r="W227" s="946" t="n"/>
      <c r="X227" s="946" t="n"/>
      <c r="Y227" s="946" t="n"/>
      <c r="Z227" s="946" t="n"/>
      <c r="AA227" s="946" t="n"/>
      <c r="AB227" s="946" t="n"/>
    </row>
    <row r="228">
      <c r="A228" s="186" t="n"/>
      <c r="B228" s="186" t="n"/>
      <c r="C228" s="186" t="n"/>
      <c r="D228" s="186" t="n"/>
      <c r="E228" s="186" t="n"/>
      <c r="F228" s="956" t="n"/>
      <c r="G228" s="956" t="n"/>
      <c r="H228" s="956" t="n"/>
      <c r="I228" s="956" t="n"/>
      <c r="J228" s="956" t="n"/>
      <c r="K228" s="946" t="n"/>
      <c r="L228" s="946" t="n"/>
      <c r="M228" s="946" t="n"/>
      <c r="N228" s="946" t="n"/>
      <c r="O228" s="946" t="n"/>
      <c r="P228" s="946" t="n"/>
      <c r="Q228" s="946" t="n"/>
      <c r="R228" s="946" t="n"/>
      <c r="S228" s="946" t="n"/>
      <c r="T228" s="946" t="n"/>
      <c r="U228" s="946" t="n"/>
      <c r="V228" s="946" t="n"/>
      <c r="W228" s="946" t="n"/>
      <c r="X228" s="946" t="n"/>
      <c r="Y228" s="946" t="n"/>
      <c r="Z228" s="946" t="n"/>
      <c r="AA228" s="946" t="n"/>
      <c r="AB228" s="946" t="n"/>
    </row>
    <row r="229">
      <c r="A229" s="186" t="n"/>
      <c r="B229" s="186" t="n"/>
      <c r="C229" s="186" t="n"/>
      <c r="D229" s="186" t="n"/>
      <c r="E229" s="186" t="n"/>
      <c r="F229" s="956" t="n"/>
      <c r="G229" s="956" t="n"/>
      <c r="H229" s="956" t="n"/>
      <c r="I229" s="956" t="n"/>
      <c r="J229" s="956" t="n"/>
      <c r="K229" s="946" t="n"/>
      <c r="L229" s="946" t="n"/>
      <c r="M229" s="946" t="n"/>
      <c r="N229" s="946" t="n"/>
      <c r="O229" s="946" t="n"/>
      <c r="P229" s="946" t="n"/>
      <c r="Q229" s="946" t="n"/>
      <c r="R229" s="946" t="n"/>
      <c r="S229" s="946" t="n"/>
      <c r="T229" s="946" t="n"/>
      <c r="U229" s="946" t="n"/>
      <c r="V229" s="946" t="n"/>
      <c r="W229" s="946" t="n"/>
      <c r="X229" s="946" t="n"/>
      <c r="Y229" s="946" t="n"/>
      <c r="Z229" s="946" t="n"/>
      <c r="AA229" s="946" t="n"/>
      <c r="AB229" s="946" t="n"/>
    </row>
    <row r="230">
      <c r="A230" s="186" t="n"/>
      <c r="B230" s="186" t="n"/>
      <c r="C230" s="186" t="n"/>
      <c r="D230" s="186" t="n"/>
      <c r="E230" s="186" t="n"/>
      <c r="F230" s="956" t="n"/>
      <c r="G230" s="956" t="n"/>
      <c r="H230" s="956" t="n"/>
      <c r="I230" s="956" t="n"/>
      <c r="J230" s="956" t="n"/>
      <c r="K230" s="946" t="n"/>
      <c r="L230" s="946" t="n"/>
      <c r="M230" s="946" t="n"/>
      <c r="N230" s="946" t="n"/>
      <c r="O230" s="946" t="n"/>
      <c r="P230" s="946" t="n"/>
      <c r="Q230" s="946" t="n"/>
      <c r="R230" s="946" t="n"/>
      <c r="S230" s="946" t="n"/>
      <c r="T230" s="946" t="n"/>
      <c r="U230" s="946" t="n"/>
      <c r="V230" s="946" t="n"/>
      <c r="W230" s="946" t="n"/>
      <c r="X230" s="946" t="n"/>
      <c r="Y230" s="946" t="n"/>
      <c r="Z230" s="946" t="n"/>
      <c r="AA230" s="946" t="n"/>
      <c r="AB230" s="946" t="n"/>
    </row>
    <row r="231">
      <c r="A231" s="186" t="n"/>
      <c r="B231" s="186" t="n"/>
      <c r="C231" s="186" t="n"/>
      <c r="D231" s="186" t="n"/>
      <c r="E231" s="186" t="n"/>
      <c r="F231" s="956" t="n"/>
      <c r="G231" s="956" t="n"/>
      <c r="H231" s="956" t="n"/>
      <c r="I231" s="956" t="n"/>
      <c r="J231" s="956" t="n"/>
      <c r="K231" s="946" t="n"/>
      <c r="L231" s="946" t="n"/>
      <c r="M231" s="946" t="n"/>
      <c r="N231" s="946" t="n"/>
      <c r="O231" s="946" t="n"/>
      <c r="P231" s="946" t="n"/>
      <c r="Q231" s="946" t="n"/>
      <c r="R231" s="946" t="n"/>
      <c r="S231" s="946" t="n"/>
      <c r="T231" s="946" t="n"/>
      <c r="U231" s="946" t="n"/>
      <c r="V231" s="946" t="n"/>
      <c r="W231" s="946" t="n"/>
      <c r="X231" s="946" t="n"/>
      <c r="Y231" s="946" t="n"/>
      <c r="Z231" s="946" t="n"/>
      <c r="AA231" s="946" t="n"/>
      <c r="AB231" s="946" t="n"/>
    </row>
    <row r="232">
      <c r="A232" s="186" t="n"/>
      <c r="B232" s="186" t="n"/>
      <c r="C232" s="186" t="n"/>
      <c r="D232" s="186" t="n"/>
      <c r="E232" s="186" t="n"/>
      <c r="F232" s="956" t="n"/>
      <c r="G232" s="956" t="n"/>
      <c r="H232" s="956" t="n"/>
      <c r="I232" s="956" t="n"/>
      <c r="J232" s="956" t="n"/>
      <c r="K232" s="946" t="n"/>
      <c r="L232" s="946" t="n"/>
      <c r="M232" s="946" t="n"/>
      <c r="N232" s="946" t="n"/>
      <c r="O232" s="946" t="n"/>
      <c r="P232" s="946" t="n"/>
      <c r="Q232" s="946" t="n"/>
      <c r="R232" s="946" t="n"/>
      <c r="S232" s="946" t="n"/>
      <c r="T232" s="946" t="n"/>
      <c r="U232" s="946" t="n"/>
      <c r="V232" s="946" t="n"/>
      <c r="W232" s="946" t="n"/>
      <c r="X232" s="946" t="n"/>
      <c r="Y232" s="946" t="n"/>
      <c r="Z232" s="946" t="n"/>
      <c r="AA232" s="946" t="n"/>
      <c r="AB232" s="946" t="n"/>
    </row>
    <row r="233">
      <c r="A233" s="186" t="n"/>
      <c r="B233" s="186" t="n"/>
      <c r="C233" s="186" t="n"/>
      <c r="D233" s="186" t="n"/>
      <c r="E233" s="186" t="n"/>
      <c r="F233" s="956" t="n"/>
      <c r="G233" s="956" t="n"/>
      <c r="H233" s="956" t="n"/>
      <c r="I233" s="956" t="n"/>
      <c r="J233" s="956" t="n"/>
      <c r="K233" s="946" t="n"/>
      <c r="L233" s="946" t="n"/>
      <c r="M233" s="946" t="n"/>
      <c r="N233" s="946" t="n"/>
      <c r="O233" s="946" t="n"/>
      <c r="P233" s="946" t="n"/>
      <c r="Q233" s="946" t="n"/>
      <c r="R233" s="946" t="n"/>
      <c r="S233" s="946" t="n"/>
      <c r="T233" s="946" t="n"/>
      <c r="U233" s="946" t="n"/>
      <c r="V233" s="946" t="n"/>
      <c r="W233" s="946" t="n"/>
      <c r="X233" s="946" t="n"/>
      <c r="Y233" s="946" t="n"/>
      <c r="Z233" s="946" t="n"/>
      <c r="AA233" s="946" t="n"/>
      <c r="AB233" s="946" t="n"/>
    </row>
    <row r="234">
      <c r="A234" s="186" t="n"/>
      <c r="B234" s="186" t="n"/>
      <c r="C234" s="186" t="n"/>
      <c r="D234" s="186" t="n"/>
      <c r="E234" s="186" t="n"/>
      <c r="F234" s="956" t="n"/>
      <c r="G234" s="956" t="n"/>
      <c r="H234" s="956" t="n"/>
      <c r="I234" s="956" t="n"/>
      <c r="J234" s="956" t="n"/>
      <c r="K234" s="946" t="n"/>
      <c r="L234" s="946" t="n"/>
      <c r="M234" s="946" t="n"/>
      <c r="N234" s="946" t="n"/>
      <c r="O234" s="946" t="n"/>
      <c r="P234" s="946" t="n"/>
      <c r="Q234" s="946" t="n"/>
      <c r="R234" s="946" t="n"/>
      <c r="S234" s="946" t="n"/>
      <c r="T234" s="946" t="n"/>
      <c r="U234" s="946" t="n"/>
      <c r="V234" s="946" t="n"/>
      <c r="W234" s="946" t="n"/>
      <c r="X234" s="946" t="n"/>
      <c r="Y234" s="946" t="n"/>
      <c r="Z234" s="946" t="n"/>
      <c r="AA234" s="946" t="n"/>
      <c r="AB234" s="946" t="n"/>
    </row>
    <row r="235">
      <c r="A235" s="186" t="n"/>
      <c r="B235" s="186" t="n"/>
      <c r="C235" s="186" t="n"/>
      <c r="D235" s="186" t="n"/>
      <c r="E235" s="186" t="n"/>
      <c r="F235" s="956" t="n"/>
      <c r="G235" s="956" t="n"/>
      <c r="H235" s="956" t="n"/>
      <c r="I235" s="956" t="n"/>
      <c r="J235" s="956" t="n"/>
      <c r="K235" s="946" t="n"/>
      <c r="L235" s="946" t="n"/>
      <c r="M235" s="946" t="n"/>
      <c r="N235" s="946" t="n"/>
      <c r="O235" s="946" t="n"/>
      <c r="P235" s="946" t="n"/>
      <c r="Q235" s="946" t="n"/>
      <c r="R235" s="946" t="n"/>
      <c r="S235" s="946" t="n"/>
      <c r="T235" s="946" t="n"/>
      <c r="U235" s="946" t="n"/>
      <c r="V235" s="946" t="n"/>
      <c r="W235" s="946" t="n"/>
      <c r="X235" s="946" t="n"/>
      <c r="Y235" s="946" t="n"/>
      <c r="Z235" s="946" t="n"/>
      <c r="AA235" s="946" t="n"/>
      <c r="AB235" s="946" t="n"/>
    </row>
    <row r="236">
      <c r="A236" s="186" t="n"/>
      <c r="B236" s="186" t="n"/>
      <c r="C236" s="186" t="n"/>
      <c r="D236" s="186" t="n"/>
      <c r="E236" s="186" t="n"/>
      <c r="F236" s="956" t="n"/>
      <c r="G236" s="956" t="n"/>
      <c r="H236" s="956" t="n"/>
      <c r="I236" s="956" t="n"/>
      <c r="J236" s="956" t="n"/>
      <c r="K236" s="946" t="n"/>
      <c r="L236" s="946" t="n"/>
      <c r="M236" s="946" t="n"/>
      <c r="N236" s="946" t="n"/>
      <c r="O236" s="946" t="n"/>
      <c r="P236" s="946" t="n"/>
      <c r="Q236" s="946" t="n"/>
      <c r="R236" s="946" t="n"/>
      <c r="S236" s="946" t="n"/>
      <c r="T236" s="946" t="n"/>
      <c r="U236" s="946" t="n"/>
      <c r="V236" s="946" t="n"/>
      <c r="W236" s="946" t="n"/>
      <c r="X236" s="946" t="n"/>
      <c r="Y236" s="946" t="n"/>
      <c r="Z236" s="946" t="n"/>
      <c r="AA236" s="946" t="n"/>
      <c r="AB236" s="946" t="n"/>
    </row>
    <row r="237">
      <c r="A237" s="186" t="n"/>
      <c r="B237" s="186" t="n"/>
      <c r="C237" s="186" t="n"/>
      <c r="D237" s="186" t="n"/>
      <c r="E237" s="186" t="n"/>
      <c r="F237" s="956" t="n"/>
      <c r="G237" s="956" t="n"/>
      <c r="H237" s="956" t="n"/>
      <c r="I237" s="956" t="n"/>
      <c r="J237" s="956" t="n"/>
      <c r="K237" s="946" t="n"/>
      <c r="L237" s="946" t="n"/>
      <c r="M237" s="946" t="n"/>
      <c r="N237" s="946" t="n"/>
      <c r="O237" s="946" t="n"/>
      <c r="P237" s="946" t="n"/>
      <c r="Q237" s="946" t="n"/>
      <c r="R237" s="946" t="n"/>
      <c r="S237" s="946" t="n"/>
      <c r="T237" s="946" t="n"/>
      <c r="U237" s="946" t="n"/>
      <c r="V237" s="946" t="n"/>
      <c r="W237" s="946" t="n"/>
      <c r="X237" s="946" t="n"/>
      <c r="Y237" s="946" t="n"/>
      <c r="Z237" s="946" t="n"/>
      <c r="AA237" s="946" t="n"/>
      <c r="AB237" s="946" t="n"/>
    </row>
    <row r="238">
      <c r="A238" s="186" t="n"/>
      <c r="B238" s="186" t="n"/>
      <c r="C238" s="186" t="n"/>
      <c r="D238" s="186" t="n"/>
      <c r="E238" s="186" t="n"/>
      <c r="F238" s="956" t="n"/>
      <c r="G238" s="956" t="n"/>
      <c r="H238" s="956" t="n"/>
      <c r="I238" s="956" t="n"/>
      <c r="J238" s="956" t="n"/>
      <c r="K238" s="946" t="n"/>
      <c r="L238" s="946" t="n"/>
      <c r="M238" s="946" t="n"/>
      <c r="N238" s="946" t="n"/>
      <c r="O238" s="946" t="n"/>
      <c r="P238" s="946" t="n"/>
      <c r="Q238" s="946" t="n"/>
      <c r="R238" s="946" t="n"/>
      <c r="S238" s="946" t="n"/>
      <c r="T238" s="946" t="n"/>
      <c r="U238" s="946" t="n"/>
      <c r="V238" s="946" t="n"/>
      <c r="W238" s="946" t="n"/>
      <c r="X238" s="946" t="n"/>
      <c r="Y238" s="946" t="n"/>
      <c r="Z238" s="946" t="n"/>
      <c r="AA238" s="946" t="n"/>
      <c r="AB238" s="946" t="n"/>
    </row>
    <row r="239">
      <c r="A239" s="186" t="n"/>
      <c r="B239" s="186" t="n"/>
      <c r="C239" s="186" t="n"/>
      <c r="D239" s="186" t="n"/>
      <c r="E239" s="186" t="n"/>
      <c r="F239" s="956" t="n"/>
      <c r="G239" s="956" t="n"/>
      <c r="H239" s="956" t="n"/>
      <c r="I239" s="956" t="n"/>
      <c r="J239" s="956" t="n"/>
      <c r="K239" s="946" t="n"/>
      <c r="L239" s="946" t="n"/>
      <c r="M239" s="946" t="n"/>
      <c r="N239" s="946" t="n"/>
      <c r="O239" s="946" t="n"/>
      <c r="P239" s="946" t="n"/>
      <c r="Q239" s="946" t="n"/>
      <c r="R239" s="946" t="n"/>
      <c r="S239" s="946" t="n"/>
      <c r="T239" s="946" t="n"/>
      <c r="U239" s="946" t="n"/>
      <c r="V239" s="946" t="n"/>
      <c r="W239" s="946" t="n"/>
      <c r="X239" s="946" t="n"/>
      <c r="Y239" s="946" t="n"/>
      <c r="Z239" s="946" t="n"/>
      <c r="AA239" s="946" t="n"/>
      <c r="AB239" s="946" t="n"/>
    </row>
    <row r="240">
      <c r="A240" s="186" t="n"/>
      <c r="B240" s="186" t="n"/>
      <c r="C240" s="186" t="n"/>
      <c r="D240" s="186" t="n"/>
      <c r="E240" s="186" t="n"/>
      <c r="F240" s="956" t="n"/>
      <c r="G240" s="956" t="n"/>
      <c r="H240" s="956" t="n"/>
      <c r="I240" s="956" t="n"/>
      <c r="J240" s="956" t="n"/>
      <c r="K240" s="946" t="n"/>
      <c r="L240" s="946" t="n"/>
      <c r="M240" s="946" t="n"/>
      <c r="N240" s="946" t="n"/>
      <c r="O240" s="946" t="n"/>
      <c r="P240" s="946" t="n"/>
      <c r="Q240" s="946" t="n"/>
      <c r="R240" s="946" t="n"/>
      <c r="S240" s="946" t="n"/>
      <c r="T240" s="946" t="n"/>
      <c r="U240" s="946" t="n"/>
      <c r="V240" s="946" t="n"/>
      <c r="W240" s="946" t="n"/>
      <c r="X240" s="946" t="n"/>
      <c r="Y240" s="946" t="n"/>
      <c r="Z240" s="946" t="n"/>
      <c r="AA240" s="946" t="n"/>
      <c r="AB240" s="946" t="n"/>
    </row>
    <row r="241">
      <c r="A241" s="186" t="n"/>
      <c r="B241" s="186" t="n"/>
      <c r="C241" s="186" t="n"/>
      <c r="D241" s="186" t="n"/>
      <c r="E241" s="186" t="n"/>
      <c r="F241" s="956" t="n"/>
      <c r="G241" s="956" t="n"/>
      <c r="H241" s="956" t="n"/>
      <c r="I241" s="956" t="n"/>
      <c r="J241" s="956" t="n"/>
      <c r="K241" s="946" t="n"/>
      <c r="L241" s="946" t="n"/>
      <c r="M241" s="946" t="n"/>
      <c r="N241" s="946" t="n"/>
      <c r="O241" s="946" t="n"/>
      <c r="P241" s="946" t="n"/>
      <c r="Q241" s="946" t="n"/>
      <c r="R241" s="946" t="n"/>
      <c r="S241" s="946" t="n"/>
      <c r="T241" s="946" t="n"/>
      <c r="U241" s="946" t="n"/>
      <c r="V241" s="946" t="n"/>
      <c r="W241" s="946" t="n"/>
      <c r="X241" s="946" t="n"/>
      <c r="Y241" s="946" t="n"/>
      <c r="Z241" s="946" t="n"/>
      <c r="AA241" s="946" t="n"/>
      <c r="AB241" s="946" t="n"/>
    </row>
    <row r="242">
      <c r="A242" s="186" t="n"/>
      <c r="B242" s="186" t="n"/>
      <c r="C242" s="186" t="n"/>
      <c r="D242" s="186" t="n"/>
      <c r="E242" s="186" t="n"/>
      <c r="F242" s="956" t="n"/>
      <c r="G242" s="956" t="n"/>
      <c r="H242" s="956" t="n"/>
      <c r="I242" s="956" t="n"/>
      <c r="J242" s="956" t="n"/>
      <c r="K242" s="946" t="n"/>
      <c r="L242" s="946" t="n"/>
      <c r="M242" s="946" t="n"/>
      <c r="N242" s="946" t="n"/>
      <c r="O242" s="946" t="n"/>
      <c r="P242" s="946" t="n"/>
      <c r="Q242" s="946" t="n"/>
      <c r="R242" s="946" t="n"/>
      <c r="S242" s="946" t="n"/>
      <c r="T242" s="946" t="n"/>
      <c r="U242" s="946" t="n"/>
      <c r="V242" s="946" t="n"/>
      <c r="W242" s="946" t="n"/>
      <c r="X242" s="946" t="n"/>
      <c r="Y242" s="946" t="n"/>
      <c r="Z242" s="946" t="n"/>
      <c r="AA242" s="946" t="n"/>
      <c r="AB242" s="946" t="n"/>
    </row>
    <row r="243">
      <c r="A243" s="186" t="n"/>
      <c r="B243" s="186" t="n"/>
      <c r="C243" s="186" t="n"/>
      <c r="D243" s="186" t="n"/>
      <c r="E243" s="186" t="n"/>
      <c r="F243" s="956" t="n"/>
      <c r="G243" s="956" t="n"/>
      <c r="H243" s="956" t="n"/>
      <c r="I243" s="956" t="n"/>
      <c r="J243" s="956" t="n"/>
      <c r="K243" s="946" t="n"/>
      <c r="L243" s="946" t="n"/>
      <c r="M243" s="946" t="n"/>
      <c r="N243" s="946" t="n"/>
      <c r="O243" s="946" t="n"/>
      <c r="P243" s="946" t="n"/>
      <c r="Q243" s="946" t="n"/>
      <c r="R243" s="946" t="n"/>
      <c r="S243" s="946" t="n"/>
      <c r="T243" s="946" t="n"/>
      <c r="U243" s="946" t="n"/>
      <c r="V243" s="946" t="n"/>
      <c r="W243" s="946" t="n"/>
      <c r="X243" s="946" t="n"/>
      <c r="Y243" s="946" t="n"/>
      <c r="Z243" s="946" t="n"/>
      <c r="AA243" s="946" t="n"/>
      <c r="AB243" s="946" t="n"/>
    </row>
    <row r="244">
      <c r="A244" s="186" t="n"/>
      <c r="B244" s="186" t="n"/>
      <c r="C244" s="186" t="n"/>
      <c r="D244" s="186" t="n"/>
      <c r="E244" s="186" t="n"/>
      <c r="F244" s="956" t="n"/>
      <c r="G244" s="956" t="n"/>
      <c r="H244" s="956" t="n"/>
      <c r="I244" s="956" t="n"/>
      <c r="J244" s="956" t="n"/>
      <c r="K244" s="946" t="n"/>
      <c r="L244" s="946" t="n"/>
      <c r="M244" s="946" t="n"/>
      <c r="N244" s="946" t="n"/>
      <c r="O244" s="946" t="n"/>
      <c r="P244" s="946" t="n"/>
      <c r="Q244" s="946" t="n"/>
      <c r="R244" s="946" t="n"/>
      <c r="S244" s="946" t="n"/>
      <c r="T244" s="946" t="n"/>
      <c r="U244" s="946" t="n"/>
      <c r="V244" s="946" t="n"/>
      <c r="W244" s="946" t="n"/>
      <c r="X244" s="946" t="n"/>
      <c r="Y244" s="946" t="n"/>
      <c r="Z244" s="946" t="n"/>
      <c r="AA244" s="946" t="n"/>
      <c r="AB244" s="946" t="n"/>
    </row>
    <row r="245">
      <c r="A245" s="186" t="n"/>
      <c r="B245" s="186" t="n"/>
      <c r="C245" s="186" t="n"/>
      <c r="D245" s="186" t="n"/>
      <c r="E245" s="186" t="n"/>
      <c r="F245" s="956" t="n"/>
      <c r="G245" s="956" t="n"/>
      <c r="H245" s="956" t="n"/>
      <c r="I245" s="956" t="n"/>
      <c r="J245" s="956" t="n"/>
      <c r="K245" s="946" t="n"/>
      <c r="L245" s="946" t="n"/>
      <c r="M245" s="946" t="n"/>
      <c r="N245" s="946" t="n"/>
      <c r="O245" s="946" t="n"/>
      <c r="P245" s="946" t="n"/>
      <c r="Q245" s="946" t="n"/>
      <c r="R245" s="946" t="n"/>
      <c r="S245" s="946" t="n"/>
      <c r="T245" s="946" t="n"/>
      <c r="U245" s="946" t="n"/>
      <c r="V245" s="946" t="n"/>
      <c r="W245" s="946" t="n"/>
      <c r="X245" s="946" t="n"/>
      <c r="Y245" s="946" t="n"/>
      <c r="Z245" s="946" t="n"/>
      <c r="AA245" s="946" t="n"/>
      <c r="AB245" s="946" t="n"/>
    </row>
    <row r="246">
      <c r="A246" s="186" t="n"/>
      <c r="B246" s="186" t="n"/>
      <c r="C246" s="186" t="n"/>
      <c r="D246" s="186" t="n"/>
      <c r="E246" s="186" t="n"/>
      <c r="F246" s="956" t="n"/>
      <c r="G246" s="956" t="n"/>
      <c r="H246" s="956" t="n"/>
      <c r="I246" s="956" t="n"/>
      <c r="J246" s="956" t="n"/>
      <c r="K246" s="946" t="n"/>
      <c r="L246" s="946" t="n"/>
      <c r="M246" s="946" t="n"/>
      <c r="N246" s="946" t="n"/>
      <c r="O246" s="946" t="n"/>
      <c r="P246" s="946" t="n"/>
      <c r="Q246" s="946" t="n"/>
      <c r="R246" s="946" t="n"/>
      <c r="S246" s="946" t="n"/>
      <c r="T246" s="946" t="n"/>
      <c r="U246" s="946" t="n"/>
      <c r="V246" s="946" t="n"/>
      <c r="W246" s="946" t="n"/>
      <c r="X246" s="946" t="n"/>
      <c r="Y246" s="946" t="n"/>
      <c r="Z246" s="946" t="n"/>
      <c r="AA246" s="946" t="n"/>
      <c r="AB246" s="946" t="n"/>
    </row>
    <row r="247">
      <c r="A247" s="186" t="n"/>
      <c r="B247" s="186" t="n"/>
      <c r="C247" s="186" t="n"/>
      <c r="D247" s="186" t="n"/>
      <c r="E247" s="186" t="n"/>
      <c r="F247" s="956" t="n"/>
      <c r="G247" s="956" t="n"/>
      <c r="H247" s="956" t="n"/>
      <c r="I247" s="956" t="n"/>
      <c r="J247" s="956" t="n"/>
      <c r="K247" s="946" t="n"/>
      <c r="L247" s="946" t="n"/>
      <c r="M247" s="946" t="n"/>
      <c r="N247" s="946" t="n"/>
      <c r="O247" s="946" t="n"/>
      <c r="P247" s="946" t="n"/>
      <c r="Q247" s="946" t="n"/>
      <c r="R247" s="946" t="n"/>
      <c r="S247" s="946" t="n"/>
      <c r="T247" s="946" t="n"/>
      <c r="U247" s="946" t="n"/>
      <c r="V247" s="946" t="n"/>
      <c r="W247" s="946" t="n"/>
      <c r="X247" s="946" t="n"/>
      <c r="Y247" s="946" t="n"/>
      <c r="Z247" s="946" t="n"/>
      <c r="AA247" s="946" t="n"/>
      <c r="AB247" s="946" t="n"/>
    </row>
    <row r="248">
      <c r="A248" s="186" t="n"/>
      <c r="B248" s="186" t="n"/>
      <c r="C248" s="186" t="n"/>
      <c r="D248" s="186" t="n"/>
      <c r="E248" s="186" t="n"/>
      <c r="F248" s="956" t="n"/>
      <c r="G248" s="956" t="n"/>
      <c r="H248" s="956" t="n"/>
      <c r="I248" s="956" t="n"/>
      <c r="J248" s="956" t="n"/>
      <c r="K248" s="946" t="n"/>
      <c r="L248" s="946" t="n"/>
      <c r="M248" s="946" t="n"/>
      <c r="N248" s="946" t="n"/>
      <c r="O248" s="946" t="n"/>
      <c r="P248" s="946" t="n"/>
      <c r="Q248" s="946" t="n"/>
      <c r="R248" s="946" t="n"/>
      <c r="S248" s="946" t="n"/>
      <c r="T248" s="946" t="n"/>
      <c r="U248" s="946" t="n"/>
      <c r="V248" s="946" t="n"/>
      <c r="W248" s="946" t="n"/>
      <c r="X248" s="946" t="n"/>
      <c r="Y248" s="946" t="n"/>
      <c r="Z248" s="946" t="n"/>
      <c r="AA248" s="946" t="n"/>
      <c r="AB248" s="946" t="n"/>
    </row>
    <row r="249">
      <c r="A249" s="186" t="n"/>
      <c r="B249" s="186" t="n"/>
      <c r="C249" s="186" t="n"/>
      <c r="D249" s="186" t="n"/>
      <c r="E249" s="186" t="n"/>
      <c r="F249" s="956" t="n"/>
      <c r="G249" s="956" t="n"/>
      <c r="H249" s="956" t="n"/>
      <c r="I249" s="956" t="n"/>
      <c r="J249" s="956" t="n"/>
      <c r="K249" s="946" t="n"/>
      <c r="L249" s="946" t="n"/>
      <c r="M249" s="946" t="n"/>
      <c r="N249" s="946" t="n"/>
      <c r="O249" s="946" t="n"/>
      <c r="P249" s="946" t="n"/>
      <c r="Q249" s="946" t="n"/>
      <c r="R249" s="946" t="n"/>
      <c r="S249" s="946" t="n"/>
      <c r="T249" s="946" t="n"/>
      <c r="U249" s="946" t="n"/>
      <c r="V249" s="946" t="n"/>
      <c r="W249" s="946" t="n"/>
      <c r="X249" s="946" t="n"/>
      <c r="Y249" s="946" t="n"/>
      <c r="Z249" s="946" t="n"/>
      <c r="AA249" s="946" t="n"/>
      <c r="AB249" s="946" t="n"/>
    </row>
    <row r="250">
      <c r="A250" s="186" t="n"/>
      <c r="B250" s="186" t="n"/>
      <c r="C250" s="186" t="n"/>
      <c r="D250" s="186" t="n"/>
      <c r="E250" s="186" t="n"/>
      <c r="F250" s="956" t="n"/>
      <c r="G250" s="956" t="n"/>
      <c r="H250" s="956" t="n"/>
      <c r="I250" s="956" t="n"/>
      <c r="J250" s="956" t="n"/>
      <c r="K250" s="946" t="n"/>
      <c r="L250" s="946" t="n"/>
      <c r="M250" s="946" t="n"/>
      <c r="N250" s="946" t="n"/>
      <c r="O250" s="946" t="n"/>
      <c r="P250" s="946" t="n"/>
      <c r="Q250" s="946" t="n"/>
      <c r="R250" s="946" t="n"/>
      <c r="S250" s="946" t="n"/>
      <c r="T250" s="946" t="n"/>
      <c r="U250" s="946" t="n"/>
      <c r="V250" s="946" t="n"/>
      <c r="W250" s="946" t="n"/>
      <c r="X250" s="946" t="n"/>
      <c r="Y250" s="946" t="n"/>
      <c r="Z250" s="946" t="n"/>
      <c r="AA250" s="946" t="n"/>
      <c r="AB250" s="946" t="n"/>
    </row>
    <row r="251">
      <c r="A251" s="186" t="n"/>
      <c r="B251" s="186" t="n"/>
      <c r="C251" s="186" t="n"/>
      <c r="D251" s="186" t="n"/>
      <c r="E251" s="186" t="n"/>
      <c r="F251" s="956" t="n"/>
      <c r="G251" s="956" t="n"/>
      <c r="H251" s="956" t="n"/>
      <c r="I251" s="956" t="n"/>
      <c r="J251" s="956" t="n"/>
      <c r="K251" s="946" t="n"/>
      <c r="L251" s="946" t="n"/>
      <c r="M251" s="946" t="n"/>
      <c r="N251" s="946" t="n"/>
      <c r="O251" s="946" t="n"/>
      <c r="P251" s="946" t="n"/>
      <c r="Q251" s="946" t="n"/>
      <c r="R251" s="946" t="n"/>
      <c r="S251" s="946" t="n"/>
      <c r="T251" s="946" t="n"/>
      <c r="U251" s="946" t="n"/>
      <c r="V251" s="946" t="n"/>
      <c r="W251" s="946" t="n"/>
      <c r="X251" s="946" t="n"/>
      <c r="Y251" s="946" t="n"/>
      <c r="Z251" s="946" t="n"/>
      <c r="AA251" s="946" t="n"/>
      <c r="AB251" s="946" t="n"/>
    </row>
    <row r="252">
      <c r="A252" s="186" t="n"/>
      <c r="B252" s="186" t="n"/>
      <c r="C252" s="186" t="n"/>
      <c r="D252" s="186" t="n"/>
      <c r="E252" s="186" t="n"/>
      <c r="F252" s="956" t="n"/>
      <c r="G252" s="956" t="n"/>
      <c r="H252" s="956" t="n"/>
      <c r="I252" s="956" t="n"/>
      <c r="J252" s="956" t="n"/>
      <c r="K252" s="946" t="n"/>
      <c r="L252" s="946" t="n"/>
      <c r="M252" s="946" t="n"/>
      <c r="N252" s="946" t="n"/>
      <c r="O252" s="946" t="n"/>
      <c r="P252" s="946" t="n"/>
      <c r="Q252" s="946" t="n"/>
      <c r="R252" s="946" t="n"/>
      <c r="S252" s="946" t="n"/>
      <c r="T252" s="946" t="n"/>
      <c r="U252" s="946" t="n"/>
      <c r="V252" s="946" t="n"/>
      <c r="W252" s="946" t="n"/>
      <c r="X252" s="946" t="n"/>
      <c r="Y252" s="946" t="n"/>
      <c r="Z252" s="946" t="n"/>
      <c r="AA252" s="946" t="n"/>
      <c r="AB252" s="946" t="n"/>
    </row>
    <row r="253">
      <c r="A253" s="186" t="n"/>
      <c r="B253" s="186" t="n"/>
      <c r="C253" s="186" t="n"/>
      <c r="D253" s="186" t="n"/>
      <c r="E253" s="186" t="n"/>
      <c r="F253" s="956" t="n"/>
      <c r="G253" s="956" t="n"/>
      <c r="H253" s="956" t="n"/>
      <c r="I253" s="956" t="n"/>
      <c r="J253" s="956" t="n"/>
      <c r="K253" s="946" t="n"/>
      <c r="L253" s="946" t="n"/>
      <c r="M253" s="946" t="n"/>
      <c r="N253" s="946" t="n"/>
      <c r="O253" s="946" t="n"/>
      <c r="P253" s="946" t="n"/>
      <c r="Q253" s="946" t="n"/>
      <c r="R253" s="946" t="n"/>
      <c r="S253" s="946" t="n"/>
      <c r="T253" s="946" t="n"/>
      <c r="U253" s="946" t="n"/>
      <c r="V253" s="946" t="n"/>
      <c r="W253" s="946" t="n"/>
      <c r="X253" s="946" t="n"/>
      <c r="Y253" s="946" t="n"/>
      <c r="Z253" s="946" t="n"/>
      <c r="AA253" s="946" t="n"/>
      <c r="AB253" s="946" t="n"/>
    </row>
    <row r="254">
      <c r="A254" s="186" t="n"/>
      <c r="B254" s="186" t="n"/>
      <c r="C254" s="186" t="n"/>
      <c r="D254" s="186" t="n"/>
      <c r="E254" s="186" t="n"/>
      <c r="F254" s="956" t="n"/>
      <c r="G254" s="956" t="n"/>
      <c r="H254" s="956" t="n"/>
      <c r="I254" s="956" t="n"/>
      <c r="J254" s="956" t="n"/>
      <c r="K254" s="946" t="n"/>
      <c r="L254" s="946" t="n"/>
      <c r="M254" s="946" t="n"/>
      <c r="N254" s="946" t="n"/>
      <c r="O254" s="946" t="n"/>
      <c r="P254" s="946" t="n"/>
      <c r="Q254" s="946" t="n"/>
      <c r="R254" s="946" t="n"/>
      <c r="S254" s="946" t="n"/>
      <c r="T254" s="946" t="n"/>
      <c r="U254" s="946" t="n"/>
      <c r="V254" s="946" t="n"/>
      <c r="W254" s="946" t="n"/>
      <c r="X254" s="946" t="n"/>
      <c r="Y254" s="946" t="n"/>
      <c r="Z254" s="946" t="n"/>
      <c r="AA254" s="946" t="n"/>
      <c r="AB254" s="946" t="n"/>
    </row>
    <row r="255">
      <c r="A255" s="186" t="n"/>
      <c r="B255" s="186" t="n"/>
      <c r="C255" s="186" t="n"/>
      <c r="D255" s="186" t="n"/>
      <c r="E255" s="186" t="n"/>
      <c r="F255" s="956" t="n"/>
      <c r="G255" s="956" t="n"/>
      <c r="H255" s="956" t="n"/>
      <c r="I255" s="956" t="n"/>
      <c r="J255" s="956" t="n"/>
      <c r="K255" s="946" t="n"/>
      <c r="L255" s="946" t="n"/>
      <c r="M255" s="946" t="n"/>
      <c r="N255" s="946" t="n"/>
      <c r="O255" s="946" t="n"/>
      <c r="P255" s="946" t="n"/>
      <c r="Q255" s="946" t="n"/>
      <c r="R255" s="946" t="n"/>
      <c r="S255" s="946" t="n"/>
      <c r="T255" s="946" t="n"/>
      <c r="U255" s="946" t="n"/>
      <c r="V255" s="946" t="n"/>
      <c r="W255" s="946" t="n"/>
      <c r="X255" s="946" t="n"/>
      <c r="Y255" s="946" t="n"/>
      <c r="Z255" s="946" t="n"/>
      <c r="AA255" s="946" t="n"/>
      <c r="AB255" s="946" t="n"/>
    </row>
    <row r="256">
      <c r="A256" s="186" t="n"/>
      <c r="B256" s="186" t="n"/>
      <c r="C256" s="186" t="n"/>
      <c r="D256" s="186" t="n"/>
      <c r="E256" s="186" t="n"/>
      <c r="F256" s="956" t="n"/>
      <c r="G256" s="956" t="n"/>
      <c r="H256" s="956" t="n"/>
      <c r="I256" s="956" t="n"/>
      <c r="J256" s="956" t="n"/>
      <c r="K256" s="946" t="n"/>
      <c r="L256" s="946" t="n"/>
      <c r="M256" s="946" t="n"/>
      <c r="N256" s="946" t="n"/>
      <c r="O256" s="946" t="n"/>
      <c r="P256" s="946" t="n"/>
      <c r="Q256" s="946" t="n"/>
      <c r="R256" s="946" t="n"/>
      <c r="S256" s="946" t="n"/>
      <c r="T256" s="946" t="n"/>
      <c r="U256" s="946" t="n"/>
      <c r="V256" s="946" t="n"/>
      <c r="W256" s="946" t="n"/>
      <c r="X256" s="946" t="n"/>
      <c r="Y256" s="946" t="n"/>
      <c r="Z256" s="946" t="n"/>
      <c r="AA256" s="946" t="n"/>
      <c r="AB256" s="946" t="n"/>
    </row>
    <row r="257">
      <c r="A257" s="186" t="n"/>
      <c r="B257" s="186" t="n"/>
      <c r="C257" s="186" t="n"/>
      <c r="D257" s="186" t="n"/>
      <c r="E257" s="186" t="n"/>
      <c r="F257" s="956" t="n"/>
      <c r="G257" s="956" t="n"/>
      <c r="H257" s="956" t="n"/>
      <c r="I257" s="956" t="n"/>
      <c r="J257" s="956" t="n"/>
      <c r="K257" s="946" t="n"/>
      <c r="L257" s="946" t="n"/>
      <c r="M257" s="946" t="n"/>
      <c r="N257" s="946" t="n"/>
      <c r="O257" s="946" t="n"/>
      <c r="P257" s="946" t="n"/>
      <c r="Q257" s="946" t="n"/>
      <c r="R257" s="946" t="n"/>
      <c r="S257" s="946" t="n"/>
      <c r="T257" s="946" t="n"/>
      <c r="U257" s="946" t="n"/>
      <c r="V257" s="946" t="n"/>
      <c r="W257" s="946" t="n"/>
      <c r="X257" s="946" t="n"/>
      <c r="Y257" s="946" t="n"/>
      <c r="Z257" s="946" t="n"/>
      <c r="AA257" s="946" t="n"/>
      <c r="AB257" s="946" t="n"/>
    </row>
    <row r="258">
      <c r="A258" s="186" t="n"/>
      <c r="B258" s="186" t="n"/>
      <c r="C258" s="186" t="n"/>
      <c r="D258" s="186" t="n"/>
      <c r="E258" s="186" t="n"/>
      <c r="F258" s="956" t="n"/>
      <c r="G258" s="956" t="n"/>
      <c r="H258" s="956" t="n"/>
      <c r="I258" s="956" t="n"/>
      <c r="J258" s="956" t="n"/>
      <c r="K258" s="946" t="n"/>
      <c r="L258" s="946" t="n"/>
      <c r="M258" s="946" t="n"/>
      <c r="N258" s="946" t="n"/>
      <c r="O258" s="946" t="n"/>
      <c r="P258" s="946" t="n"/>
      <c r="Q258" s="946" t="n"/>
      <c r="R258" s="946" t="n"/>
      <c r="S258" s="946" t="n"/>
      <c r="T258" s="946" t="n"/>
      <c r="U258" s="946" t="n"/>
      <c r="V258" s="946" t="n"/>
      <c r="W258" s="946" t="n"/>
      <c r="X258" s="946" t="n"/>
      <c r="Y258" s="946" t="n"/>
      <c r="Z258" s="946" t="n"/>
      <c r="AA258" s="946" t="n"/>
      <c r="AB258" s="946" t="n"/>
    </row>
    <row r="259">
      <c r="A259" s="186" t="n"/>
      <c r="B259" s="186" t="n"/>
      <c r="C259" s="186" t="n"/>
      <c r="D259" s="186" t="n"/>
      <c r="E259" s="186" t="n"/>
      <c r="F259" s="956" t="n"/>
      <c r="G259" s="956" t="n"/>
      <c r="H259" s="956" t="n"/>
      <c r="I259" s="956" t="n"/>
      <c r="J259" s="956" t="n"/>
      <c r="K259" s="946" t="n"/>
      <c r="L259" s="946" t="n"/>
      <c r="M259" s="946" t="n"/>
      <c r="N259" s="946" t="n"/>
      <c r="O259" s="946" t="n"/>
      <c r="P259" s="946" t="n"/>
      <c r="Q259" s="946" t="n"/>
      <c r="R259" s="946" t="n"/>
      <c r="S259" s="946" t="n"/>
      <c r="T259" s="946" t="n"/>
      <c r="U259" s="946" t="n"/>
      <c r="V259" s="946" t="n"/>
      <c r="W259" s="946" t="n"/>
      <c r="X259" s="946" t="n"/>
      <c r="Y259" s="946" t="n"/>
      <c r="Z259" s="946" t="n"/>
      <c r="AA259" s="946" t="n"/>
      <c r="AB259" s="946" t="n"/>
    </row>
    <row r="260">
      <c r="A260" s="186" t="n"/>
      <c r="B260" s="186" t="n"/>
      <c r="C260" s="186" t="n"/>
      <c r="D260" s="186" t="n"/>
      <c r="E260" s="186" t="n"/>
      <c r="F260" s="956" t="n"/>
      <c r="G260" s="956" t="n"/>
      <c r="H260" s="956" t="n"/>
      <c r="I260" s="956" t="n"/>
      <c r="J260" s="956" t="n"/>
      <c r="K260" s="946" t="n"/>
      <c r="L260" s="946" t="n"/>
      <c r="M260" s="946" t="n"/>
      <c r="N260" s="946" t="n"/>
      <c r="O260" s="946" t="n"/>
      <c r="P260" s="946" t="n"/>
      <c r="Q260" s="946" t="n"/>
      <c r="R260" s="946" t="n"/>
      <c r="S260" s="946" t="n"/>
      <c r="T260" s="946" t="n"/>
      <c r="U260" s="946" t="n"/>
      <c r="V260" s="946" t="n"/>
      <c r="W260" s="946" t="n"/>
      <c r="X260" s="946" t="n"/>
      <c r="Y260" s="946" t="n"/>
      <c r="Z260" s="946" t="n"/>
      <c r="AA260" s="946" t="n"/>
      <c r="AB260" s="946" t="n"/>
    </row>
    <row r="261">
      <c r="A261" s="186" t="n"/>
      <c r="B261" s="186" t="n"/>
      <c r="C261" s="186" t="n"/>
      <c r="D261" s="186" t="n"/>
      <c r="E261" s="186" t="n"/>
      <c r="F261" s="956" t="n"/>
      <c r="G261" s="956" t="n"/>
      <c r="H261" s="956" t="n"/>
      <c r="I261" s="956" t="n"/>
      <c r="J261" s="956" t="n"/>
      <c r="K261" s="946" t="n"/>
      <c r="L261" s="946" t="n"/>
      <c r="M261" s="946" t="n"/>
      <c r="N261" s="946" t="n"/>
      <c r="O261" s="946" t="n"/>
      <c r="P261" s="946" t="n"/>
      <c r="Q261" s="946" t="n"/>
      <c r="R261" s="946" t="n"/>
      <c r="S261" s="946" t="n"/>
      <c r="T261" s="946" t="n"/>
      <c r="U261" s="946" t="n"/>
      <c r="V261" s="946" t="n"/>
      <c r="W261" s="946" t="n"/>
      <c r="X261" s="946" t="n"/>
      <c r="Y261" s="946" t="n"/>
      <c r="Z261" s="946" t="n"/>
      <c r="AA261" s="946" t="n"/>
      <c r="AB261" s="946" t="n"/>
    </row>
    <row r="262">
      <c r="A262" s="186" t="n"/>
      <c r="B262" s="186" t="n"/>
      <c r="C262" s="186" t="n"/>
      <c r="D262" s="186" t="n"/>
      <c r="E262" s="186" t="n"/>
      <c r="F262" s="956" t="n"/>
      <c r="G262" s="956" t="n"/>
      <c r="H262" s="956" t="n"/>
      <c r="I262" s="956" t="n"/>
      <c r="J262" s="956" t="n"/>
      <c r="K262" s="946" t="n"/>
      <c r="L262" s="946" t="n"/>
      <c r="M262" s="946" t="n"/>
      <c r="N262" s="946" t="n"/>
      <c r="O262" s="946" t="n"/>
      <c r="P262" s="946" t="n"/>
      <c r="Q262" s="946" t="n"/>
      <c r="R262" s="946" t="n"/>
      <c r="S262" s="946" t="n"/>
      <c r="T262" s="946" t="n"/>
      <c r="U262" s="946" t="n"/>
      <c r="V262" s="946" t="n"/>
      <c r="W262" s="946" t="n"/>
      <c r="X262" s="946" t="n"/>
      <c r="Y262" s="946" t="n"/>
      <c r="Z262" s="946" t="n"/>
      <c r="AA262" s="946" t="n"/>
      <c r="AB262" s="946" t="n"/>
    </row>
    <row r="263">
      <c r="A263" s="186" t="n"/>
      <c r="B263" s="186" t="n"/>
      <c r="C263" s="186" t="n"/>
      <c r="D263" s="186" t="n"/>
      <c r="E263" s="186" t="n"/>
      <c r="F263" s="956" t="n"/>
      <c r="G263" s="956" t="n"/>
      <c r="H263" s="956" t="n"/>
      <c r="I263" s="956" t="n"/>
      <c r="J263" s="956" t="n"/>
      <c r="K263" s="946" t="n"/>
      <c r="L263" s="946" t="n"/>
      <c r="M263" s="946" t="n"/>
      <c r="N263" s="946" t="n"/>
      <c r="O263" s="946" t="n"/>
      <c r="P263" s="946" t="n"/>
      <c r="Q263" s="946" t="n"/>
      <c r="R263" s="946" t="n"/>
      <c r="S263" s="946" t="n"/>
      <c r="T263" s="946" t="n"/>
      <c r="U263" s="946" t="n"/>
      <c r="V263" s="946" t="n"/>
      <c r="W263" s="946" t="n"/>
      <c r="X263" s="946" t="n"/>
      <c r="Y263" s="946" t="n"/>
      <c r="Z263" s="946" t="n"/>
      <c r="AA263" s="946" t="n"/>
      <c r="AB263" s="946" t="n"/>
    </row>
    <row r="264">
      <c r="A264" s="186" t="n"/>
      <c r="B264" s="186" t="n"/>
      <c r="C264" s="186" t="n"/>
      <c r="D264" s="186" t="n"/>
      <c r="E264" s="186" t="n"/>
      <c r="F264" s="956" t="n"/>
      <c r="G264" s="956" t="n"/>
      <c r="H264" s="956" t="n"/>
      <c r="I264" s="956" t="n"/>
      <c r="J264" s="956" t="n"/>
      <c r="K264" s="946" t="n"/>
      <c r="L264" s="946" t="n"/>
      <c r="M264" s="946" t="n"/>
      <c r="N264" s="946" t="n"/>
      <c r="O264" s="946" t="n"/>
      <c r="P264" s="946" t="n"/>
      <c r="Q264" s="946" t="n"/>
      <c r="R264" s="946" t="n"/>
      <c r="S264" s="946" t="n"/>
      <c r="T264" s="946" t="n"/>
      <c r="U264" s="946" t="n"/>
      <c r="V264" s="946" t="n"/>
      <c r="W264" s="946" t="n"/>
      <c r="X264" s="946" t="n"/>
      <c r="Y264" s="946" t="n"/>
      <c r="Z264" s="946" t="n"/>
      <c r="AA264" s="946" t="n"/>
      <c r="AB264" s="946" t="n"/>
    </row>
    <row r="265">
      <c r="A265" s="186" t="n"/>
      <c r="B265" s="186" t="n"/>
      <c r="C265" s="186" t="n"/>
      <c r="D265" s="186" t="n"/>
      <c r="E265" s="186" t="n"/>
      <c r="F265" s="956" t="n"/>
      <c r="G265" s="956" t="n"/>
      <c r="H265" s="956" t="n"/>
      <c r="I265" s="956" t="n"/>
      <c r="J265" s="956" t="n"/>
      <c r="K265" s="946" t="n"/>
      <c r="L265" s="946" t="n"/>
      <c r="M265" s="946" t="n"/>
      <c r="N265" s="946" t="n"/>
      <c r="O265" s="946" t="n"/>
      <c r="P265" s="946" t="n"/>
      <c r="Q265" s="946" t="n"/>
      <c r="R265" s="946" t="n"/>
      <c r="S265" s="946" t="n"/>
      <c r="T265" s="946" t="n"/>
      <c r="U265" s="946" t="n"/>
      <c r="V265" s="946" t="n"/>
      <c r="W265" s="946" t="n"/>
      <c r="X265" s="946" t="n"/>
      <c r="Y265" s="946" t="n"/>
      <c r="Z265" s="946" t="n"/>
      <c r="AA265" s="946" t="n"/>
      <c r="AB265" s="946" t="n"/>
    </row>
    <row r="266">
      <c r="A266" s="186" t="n"/>
      <c r="B266" s="186" t="n"/>
      <c r="C266" s="186" t="n"/>
      <c r="D266" s="186" t="n"/>
      <c r="E266" s="186" t="n"/>
      <c r="F266" s="956" t="n"/>
      <c r="G266" s="956" t="n"/>
      <c r="H266" s="956" t="n"/>
      <c r="I266" s="956" t="n"/>
      <c r="J266" s="956" t="n"/>
      <c r="K266" s="946" t="n"/>
      <c r="L266" s="946" t="n"/>
      <c r="M266" s="946" t="n"/>
      <c r="N266" s="946" t="n"/>
      <c r="O266" s="946" t="n"/>
      <c r="P266" s="946" t="n"/>
      <c r="Q266" s="946" t="n"/>
      <c r="R266" s="946" t="n"/>
      <c r="S266" s="946" t="n"/>
      <c r="T266" s="946" t="n"/>
      <c r="U266" s="946" t="n"/>
      <c r="V266" s="946" t="n"/>
      <c r="W266" s="946" t="n"/>
      <c r="X266" s="946" t="n"/>
      <c r="Y266" s="946" t="n"/>
      <c r="Z266" s="946" t="n"/>
      <c r="AA266" s="946" t="n"/>
      <c r="AB266" s="946" t="n"/>
    </row>
    <row r="267">
      <c r="A267" s="186" t="n"/>
      <c r="B267" s="186" t="n"/>
      <c r="C267" s="186" t="n"/>
      <c r="D267" s="186" t="n"/>
      <c r="E267" s="186" t="n"/>
      <c r="F267" s="956" t="n"/>
      <c r="G267" s="956" t="n"/>
      <c r="H267" s="956" t="n"/>
      <c r="I267" s="956" t="n"/>
      <c r="J267" s="956" t="n"/>
      <c r="K267" s="946" t="n"/>
      <c r="L267" s="946" t="n"/>
      <c r="M267" s="946" t="n"/>
      <c r="N267" s="946" t="n"/>
      <c r="O267" s="946" t="n"/>
      <c r="P267" s="946" t="n"/>
      <c r="Q267" s="946" t="n"/>
      <c r="R267" s="946" t="n"/>
      <c r="S267" s="946" t="n"/>
      <c r="T267" s="946" t="n"/>
      <c r="U267" s="946" t="n"/>
      <c r="V267" s="946" t="n"/>
      <c r="W267" s="946" t="n"/>
      <c r="X267" s="946" t="n"/>
      <c r="Y267" s="946" t="n"/>
      <c r="Z267" s="946" t="n"/>
      <c r="AA267" s="946" t="n"/>
      <c r="AB267" s="946" t="n"/>
    </row>
    <row r="268">
      <c r="A268" s="186" t="n"/>
      <c r="B268" s="186" t="n"/>
      <c r="C268" s="186" t="n"/>
      <c r="D268" s="186" t="n"/>
      <c r="E268" s="186" t="n"/>
      <c r="F268" s="956" t="n"/>
      <c r="G268" s="956" t="n"/>
      <c r="H268" s="956" t="n"/>
      <c r="I268" s="956" t="n"/>
      <c r="J268" s="956" t="n"/>
      <c r="K268" s="946" t="n"/>
      <c r="L268" s="946" t="n"/>
      <c r="M268" s="946" t="n"/>
      <c r="N268" s="946" t="n"/>
      <c r="O268" s="946" t="n"/>
      <c r="P268" s="946" t="n"/>
      <c r="Q268" s="946" t="n"/>
      <c r="R268" s="946" t="n"/>
      <c r="S268" s="946" t="n"/>
      <c r="T268" s="946" t="n"/>
      <c r="U268" s="946" t="n"/>
      <c r="V268" s="946" t="n"/>
      <c r="W268" s="946" t="n"/>
      <c r="X268" s="946" t="n"/>
      <c r="Y268" s="946" t="n"/>
      <c r="Z268" s="946" t="n"/>
      <c r="AA268" s="946" t="n"/>
      <c r="AB268" s="946" t="n"/>
    </row>
    <row r="269">
      <c r="A269" s="186" t="n"/>
      <c r="B269" s="186" t="n"/>
      <c r="C269" s="186" t="n"/>
      <c r="D269" s="186" t="n"/>
      <c r="E269" s="186" t="n"/>
      <c r="F269" s="956" t="n"/>
      <c r="G269" s="956" t="n"/>
      <c r="H269" s="956" t="n"/>
      <c r="I269" s="956" t="n"/>
      <c r="J269" s="956" t="n"/>
      <c r="K269" s="946" t="n"/>
      <c r="L269" s="946" t="n"/>
      <c r="M269" s="946" t="n"/>
      <c r="N269" s="946" t="n"/>
      <c r="O269" s="946" t="n"/>
      <c r="P269" s="946" t="n"/>
      <c r="Q269" s="946" t="n"/>
      <c r="R269" s="946" t="n"/>
      <c r="S269" s="946" t="n"/>
      <c r="T269" s="946" t="n"/>
      <c r="U269" s="946" t="n"/>
      <c r="V269" s="946" t="n"/>
      <c r="W269" s="946" t="n"/>
      <c r="X269" s="946" t="n"/>
      <c r="Y269" s="946" t="n"/>
      <c r="Z269" s="946" t="n"/>
      <c r="AA269" s="946" t="n"/>
      <c r="AB269" s="946" t="n"/>
    </row>
    <row r="270">
      <c r="A270" s="186" t="n"/>
      <c r="B270" s="186" t="n"/>
      <c r="C270" s="186" t="n"/>
      <c r="D270" s="186" t="n"/>
      <c r="E270" s="186" t="n"/>
      <c r="F270" s="956" t="n"/>
      <c r="G270" s="956" t="n"/>
      <c r="H270" s="956" t="n"/>
      <c r="I270" s="956" t="n"/>
      <c r="J270" s="956" t="n"/>
      <c r="K270" s="946" t="n"/>
      <c r="L270" s="946" t="n"/>
      <c r="M270" s="946" t="n"/>
      <c r="N270" s="946" t="n"/>
      <c r="O270" s="946" t="n"/>
      <c r="P270" s="946" t="n"/>
      <c r="Q270" s="946" t="n"/>
      <c r="R270" s="946" t="n"/>
      <c r="S270" s="946" t="n"/>
      <c r="T270" s="946" t="n"/>
      <c r="U270" s="946" t="n"/>
      <c r="V270" s="946" t="n"/>
      <c r="W270" s="946" t="n"/>
      <c r="X270" s="946" t="n"/>
      <c r="Y270" s="946" t="n"/>
      <c r="Z270" s="946" t="n"/>
      <c r="AA270" s="946" t="n"/>
      <c r="AB270" s="946" t="n"/>
    </row>
    <row r="271">
      <c r="A271" s="186" t="n"/>
      <c r="B271" s="186" t="n"/>
      <c r="C271" s="186" t="n"/>
      <c r="D271" s="186" t="n"/>
      <c r="E271" s="186" t="n"/>
      <c r="F271" s="956" t="n"/>
      <c r="G271" s="956" t="n"/>
      <c r="H271" s="956" t="n"/>
      <c r="I271" s="956" t="n"/>
      <c r="J271" s="956" t="n"/>
      <c r="K271" s="946" t="n"/>
      <c r="L271" s="946" t="n"/>
      <c r="M271" s="946" t="n"/>
      <c r="N271" s="946" t="n"/>
      <c r="O271" s="946" t="n"/>
      <c r="P271" s="946" t="n"/>
      <c r="Q271" s="946" t="n"/>
      <c r="R271" s="946" t="n"/>
      <c r="S271" s="946" t="n"/>
      <c r="T271" s="946" t="n"/>
      <c r="U271" s="946" t="n"/>
      <c r="V271" s="946" t="n"/>
      <c r="W271" s="946" t="n"/>
      <c r="X271" s="946" t="n"/>
      <c r="Y271" s="946" t="n"/>
      <c r="Z271" s="946" t="n"/>
      <c r="AA271" s="946" t="n"/>
      <c r="AB271" s="946" t="n"/>
    </row>
    <row r="272">
      <c r="A272" s="186" t="n"/>
      <c r="B272" s="186" t="n"/>
      <c r="C272" s="186" t="n"/>
      <c r="D272" s="186" t="n"/>
      <c r="E272" s="186" t="n"/>
      <c r="F272" s="956" t="n"/>
      <c r="G272" s="956" t="n"/>
      <c r="H272" s="956" t="n"/>
      <c r="I272" s="956" t="n"/>
      <c r="J272" s="956" t="n"/>
      <c r="K272" s="946" t="n"/>
      <c r="L272" s="946" t="n"/>
      <c r="M272" s="946" t="n"/>
      <c r="N272" s="946" t="n"/>
      <c r="O272" s="946" t="n"/>
      <c r="P272" s="946" t="n"/>
      <c r="Q272" s="946" t="n"/>
      <c r="R272" s="946" t="n"/>
      <c r="S272" s="946" t="n"/>
      <c r="T272" s="946" t="n"/>
      <c r="U272" s="946" t="n"/>
      <c r="V272" s="946" t="n"/>
      <c r="W272" s="946" t="n"/>
      <c r="X272" s="946" t="n"/>
      <c r="Y272" s="946" t="n"/>
      <c r="Z272" s="946" t="n"/>
      <c r="AA272" s="946" t="n"/>
      <c r="AB272" s="946" t="n"/>
    </row>
    <row r="273">
      <c r="A273" s="186" t="n"/>
      <c r="B273" s="186" t="n"/>
      <c r="C273" s="186" t="n"/>
      <c r="D273" s="186" t="n"/>
      <c r="E273" s="186" t="n"/>
      <c r="F273" s="956" t="n"/>
      <c r="G273" s="956" t="n"/>
      <c r="H273" s="956" t="n"/>
      <c r="I273" s="956" t="n"/>
      <c r="J273" s="956" t="n"/>
      <c r="K273" s="946" t="n"/>
      <c r="L273" s="946" t="n"/>
      <c r="M273" s="946" t="n"/>
      <c r="N273" s="946" t="n"/>
      <c r="O273" s="946" t="n"/>
      <c r="P273" s="946" t="n"/>
      <c r="Q273" s="946" t="n"/>
      <c r="R273" s="946" t="n"/>
      <c r="S273" s="946" t="n"/>
      <c r="T273" s="946" t="n"/>
      <c r="U273" s="946" t="n"/>
      <c r="V273" s="946" t="n"/>
      <c r="W273" s="946" t="n"/>
      <c r="X273" s="946" t="n"/>
      <c r="Y273" s="946" t="n"/>
      <c r="Z273" s="946" t="n"/>
      <c r="AA273" s="946" t="n"/>
      <c r="AB273" s="946" t="n"/>
    </row>
    <row r="274">
      <c r="A274" s="186" t="n"/>
      <c r="B274" s="186" t="n"/>
      <c r="C274" s="186" t="n"/>
      <c r="D274" s="186" t="n"/>
      <c r="E274" s="186" t="n"/>
      <c r="F274" s="956" t="n"/>
      <c r="G274" s="956" t="n"/>
      <c r="H274" s="956" t="n"/>
      <c r="I274" s="956" t="n"/>
      <c r="J274" s="956" t="n"/>
      <c r="K274" s="946" t="n"/>
      <c r="L274" s="946" t="n"/>
      <c r="M274" s="946" t="n"/>
      <c r="N274" s="946" t="n"/>
      <c r="O274" s="946" t="n"/>
      <c r="P274" s="946" t="n"/>
      <c r="Q274" s="946" t="n"/>
      <c r="R274" s="946" t="n"/>
      <c r="S274" s="946" t="n"/>
      <c r="T274" s="946" t="n"/>
      <c r="U274" s="946" t="n"/>
      <c r="V274" s="946" t="n"/>
      <c r="W274" s="946" t="n"/>
      <c r="X274" s="946" t="n"/>
      <c r="Y274" s="946" t="n"/>
      <c r="Z274" s="946" t="n"/>
      <c r="AA274" s="946" t="n"/>
      <c r="AB274" s="946" t="n"/>
    </row>
    <row r="275">
      <c r="A275" s="186" t="n"/>
      <c r="B275" s="186" t="n"/>
      <c r="C275" s="186" t="n"/>
      <c r="D275" s="186" t="n"/>
      <c r="E275" s="186" t="n"/>
      <c r="F275" s="956" t="n"/>
      <c r="G275" s="956" t="n"/>
      <c r="H275" s="956" t="n"/>
      <c r="I275" s="956" t="n"/>
      <c r="J275" s="956" t="n"/>
      <c r="K275" s="946" t="n"/>
      <c r="L275" s="946" t="n"/>
      <c r="M275" s="946" t="n"/>
      <c r="N275" s="946" t="n"/>
      <c r="O275" s="946" t="n"/>
      <c r="P275" s="946" t="n"/>
      <c r="Q275" s="946" t="n"/>
      <c r="R275" s="946" t="n"/>
      <c r="S275" s="946" t="n"/>
      <c r="T275" s="946" t="n"/>
      <c r="U275" s="946" t="n"/>
      <c r="V275" s="946" t="n"/>
      <c r="W275" s="946" t="n"/>
      <c r="X275" s="946" t="n"/>
      <c r="Y275" s="946" t="n"/>
      <c r="Z275" s="946" t="n"/>
      <c r="AA275" s="946" t="n"/>
      <c r="AB275" s="946" t="n"/>
    </row>
    <row r="276">
      <c r="A276" s="186" t="n"/>
      <c r="B276" s="186" t="n"/>
      <c r="C276" s="186" t="n"/>
      <c r="D276" s="186" t="n"/>
      <c r="E276" s="186" t="n"/>
      <c r="F276" s="956" t="n"/>
      <c r="G276" s="956" t="n"/>
      <c r="H276" s="956" t="n"/>
      <c r="I276" s="956" t="n"/>
      <c r="J276" s="956" t="n"/>
      <c r="K276" s="946" t="n"/>
      <c r="L276" s="946" t="n"/>
      <c r="M276" s="946" t="n"/>
      <c r="N276" s="946" t="n"/>
      <c r="O276" s="946" t="n"/>
      <c r="P276" s="946" t="n"/>
      <c r="Q276" s="946" t="n"/>
      <c r="R276" s="946" t="n"/>
      <c r="S276" s="946" t="n"/>
      <c r="T276" s="946" t="n"/>
      <c r="U276" s="946" t="n"/>
      <c r="V276" s="946" t="n"/>
      <c r="W276" s="946" t="n"/>
      <c r="X276" s="946" t="n"/>
      <c r="Y276" s="946" t="n"/>
      <c r="Z276" s="946" t="n"/>
      <c r="AA276" s="946" t="n"/>
      <c r="AB276" s="946" t="n"/>
    </row>
    <row r="277">
      <c r="A277" s="186" t="n"/>
      <c r="B277" s="186" t="n"/>
      <c r="C277" s="186" t="n"/>
      <c r="D277" s="186" t="n"/>
      <c r="E277" s="186" t="n"/>
      <c r="F277" s="956" t="n"/>
      <c r="G277" s="956" t="n"/>
      <c r="H277" s="956" t="n"/>
      <c r="I277" s="956" t="n"/>
      <c r="J277" s="956" t="n"/>
      <c r="K277" s="946" t="n"/>
      <c r="L277" s="946" t="n"/>
      <c r="M277" s="946" t="n"/>
      <c r="N277" s="946" t="n"/>
      <c r="O277" s="946" t="n"/>
      <c r="P277" s="946" t="n"/>
      <c r="Q277" s="946" t="n"/>
      <c r="R277" s="946" t="n"/>
      <c r="S277" s="946" t="n"/>
      <c r="T277" s="946" t="n"/>
      <c r="U277" s="946" t="n"/>
      <c r="V277" s="946" t="n"/>
      <c r="W277" s="946" t="n"/>
      <c r="X277" s="946" t="n"/>
      <c r="Y277" s="946" t="n"/>
      <c r="Z277" s="946" t="n"/>
      <c r="AA277" s="946" t="n"/>
      <c r="AB277" s="946" t="n"/>
    </row>
    <row r="278">
      <c r="A278" s="186" t="n"/>
      <c r="B278" s="186" t="n"/>
      <c r="C278" s="186" t="n"/>
      <c r="D278" s="186" t="n"/>
      <c r="E278" s="186" t="n"/>
      <c r="F278" s="956" t="n"/>
      <c r="G278" s="956" t="n"/>
      <c r="H278" s="956" t="n"/>
      <c r="I278" s="956" t="n"/>
      <c r="J278" s="956" t="n"/>
      <c r="K278" s="946" t="n"/>
      <c r="L278" s="946" t="n"/>
      <c r="M278" s="946" t="n"/>
      <c r="N278" s="946" t="n"/>
      <c r="O278" s="946" t="n"/>
      <c r="P278" s="946" t="n"/>
      <c r="Q278" s="946" t="n"/>
      <c r="R278" s="946" t="n"/>
      <c r="S278" s="946" t="n"/>
      <c r="T278" s="946" t="n"/>
      <c r="U278" s="946" t="n"/>
      <c r="V278" s="946" t="n"/>
      <c r="W278" s="946" t="n"/>
      <c r="X278" s="946" t="n"/>
      <c r="Y278" s="946" t="n"/>
      <c r="Z278" s="946" t="n"/>
      <c r="AA278" s="946" t="n"/>
      <c r="AB278" s="946" t="n"/>
    </row>
    <row r="279">
      <c r="A279" s="186" t="n"/>
      <c r="B279" s="186" t="n"/>
      <c r="C279" s="186" t="n"/>
      <c r="D279" s="186" t="n"/>
      <c r="E279" s="186" t="n"/>
      <c r="F279" s="956" t="n"/>
      <c r="G279" s="956" t="n"/>
      <c r="H279" s="956" t="n"/>
      <c r="I279" s="956" t="n"/>
      <c r="J279" s="956" t="n"/>
      <c r="K279" s="946" t="n"/>
      <c r="L279" s="946" t="n"/>
      <c r="M279" s="946" t="n"/>
      <c r="N279" s="946" t="n"/>
      <c r="O279" s="946" t="n"/>
      <c r="P279" s="946" t="n"/>
      <c r="Q279" s="946" t="n"/>
      <c r="R279" s="946" t="n"/>
      <c r="S279" s="946" t="n"/>
      <c r="T279" s="946" t="n"/>
      <c r="U279" s="946" t="n"/>
      <c r="V279" s="946" t="n"/>
      <c r="W279" s="946" t="n"/>
      <c r="X279" s="946" t="n"/>
      <c r="Y279" s="946" t="n"/>
      <c r="Z279" s="946" t="n"/>
      <c r="AA279" s="946" t="n"/>
      <c r="AB279" s="946" t="n"/>
    </row>
    <row r="280">
      <c r="A280" s="186" t="n"/>
      <c r="B280" s="186" t="n"/>
      <c r="C280" s="186" t="n"/>
      <c r="D280" s="186" t="n"/>
      <c r="E280" s="186" t="n"/>
      <c r="F280" s="956" t="n"/>
      <c r="G280" s="956" t="n"/>
      <c r="H280" s="956" t="n"/>
      <c r="I280" s="956" t="n"/>
      <c r="J280" s="956" t="n"/>
      <c r="K280" s="946" t="n"/>
      <c r="L280" s="946" t="n"/>
      <c r="M280" s="946" t="n"/>
      <c r="N280" s="946" t="n"/>
      <c r="O280" s="946" t="n"/>
      <c r="P280" s="946" t="n"/>
      <c r="Q280" s="946" t="n"/>
      <c r="R280" s="946" t="n"/>
      <c r="S280" s="946" t="n"/>
      <c r="T280" s="946" t="n"/>
      <c r="U280" s="946" t="n"/>
      <c r="V280" s="946" t="n"/>
      <c r="W280" s="946" t="n"/>
      <c r="X280" s="946" t="n"/>
      <c r="Y280" s="946" t="n"/>
      <c r="Z280" s="946" t="n"/>
      <c r="AA280" s="946" t="n"/>
      <c r="AB280" s="946" t="n"/>
    </row>
    <row r="281">
      <c r="A281" s="186" t="n"/>
      <c r="B281" s="186" t="n"/>
      <c r="C281" s="186" t="n"/>
      <c r="D281" s="186" t="n"/>
      <c r="E281" s="186" t="n"/>
      <c r="F281" s="956" t="n"/>
      <c r="G281" s="956" t="n"/>
      <c r="H281" s="956" t="n"/>
      <c r="I281" s="956" t="n"/>
      <c r="J281" s="956" t="n"/>
      <c r="K281" s="946" t="n"/>
      <c r="L281" s="946" t="n"/>
      <c r="M281" s="946" t="n"/>
      <c r="N281" s="946" t="n"/>
      <c r="O281" s="946" t="n"/>
      <c r="P281" s="946" t="n"/>
      <c r="Q281" s="946" t="n"/>
      <c r="R281" s="946" t="n"/>
      <c r="S281" s="946" t="n"/>
      <c r="T281" s="946" t="n"/>
      <c r="U281" s="946" t="n"/>
      <c r="V281" s="946" t="n"/>
      <c r="W281" s="946" t="n"/>
      <c r="X281" s="946" t="n"/>
      <c r="Y281" s="946" t="n"/>
      <c r="Z281" s="946" t="n"/>
      <c r="AA281" s="946" t="n"/>
      <c r="AB281" s="946" t="n"/>
    </row>
    <row r="282">
      <c r="A282" s="186" t="n"/>
      <c r="B282" s="186" t="n"/>
      <c r="C282" s="186" t="n"/>
      <c r="D282" s="186" t="n"/>
      <c r="E282" s="186" t="n"/>
      <c r="F282" s="956" t="n"/>
      <c r="G282" s="956" t="n"/>
      <c r="H282" s="956" t="n"/>
      <c r="I282" s="956" t="n"/>
      <c r="J282" s="956" t="n"/>
      <c r="K282" s="946" t="n"/>
      <c r="L282" s="946" t="n"/>
      <c r="M282" s="946" t="n"/>
      <c r="N282" s="946" t="n"/>
      <c r="O282" s="946" t="n"/>
      <c r="P282" s="946" t="n"/>
      <c r="Q282" s="946" t="n"/>
      <c r="R282" s="946" t="n"/>
      <c r="S282" s="946" t="n"/>
      <c r="T282" s="946" t="n"/>
      <c r="U282" s="946" t="n"/>
      <c r="V282" s="946" t="n"/>
      <c r="W282" s="946" t="n"/>
      <c r="X282" s="946" t="n"/>
      <c r="Y282" s="946" t="n"/>
      <c r="Z282" s="946" t="n"/>
      <c r="AA282" s="946" t="n"/>
      <c r="AB282" s="946" t="n"/>
    </row>
    <row r="283">
      <c r="A283" s="186" t="n"/>
      <c r="B283" s="186" t="n"/>
      <c r="C283" s="186" t="n"/>
      <c r="D283" s="186" t="n"/>
      <c r="E283" s="186" t="n"/>
      <c r="F283" s="956" t="n"/>
      <c r="G283" s="956" t="n"/>
      <c r="H283" s="956" t="n"/>
      <c r="I283" s="956" t="n"/>
      <c r="J283" s="956" t="n"/>
      <c r="K283" s="946" t="n"/>
      <c r="L283" s="946" t="n"/>
      <c r="M283" s="946" t="n"/>
      <c r="N283" s="946" t="n"/>
      <c r="O283" s="946" t="n"/>
      <c r="P283" s="946" t="n"/>
      <c r="Q283" s="946" t="n"/>
      <c r="R283" s="946" t="n"/>
      <c r="S283" s="946" t="n"/>
      <c r="T283" s="946" t="n"/>
      <c r="U283" s="946" t="n"/>
      <c r="V283" s="946" t="n"/>
      <c r="W283" s="946" t="n"/>
      <c r="X283" s="946" t="n"/>
      <c r="Y283" s="946" t="n"/>
      <c r="Z283" s="946" t="n"/>
      <c r="AA283" s="946" t="n"/>
      <c r="AB283" s="946" t="n"/>
    </row>
    <row r="284">
      <c r="A284" s="186" t="n"/>
      <c r="B284" s="186" t="n"/>
      <c r="C284" s="186" t="n"/>
      <c r="D284" s="186" t="n"/>
      <c r="E284" s="186" t="n"/>
      <c r="F284" s="956" t="n"/>
      <c r="G284" s="956" t="n"/>
      <c r="H284" s="956" t="n"/>
      <c r="I284" s="956" t="n"/>
      <c r="J284" s="956" t="n"/>
      <c r="K284" s="946" t="n"/>
      <c r="L284" s="946" t="n"/>
      <c r="M284" s="946" t="n"/>
      <c r="N284" s="946" t="n"/>
      <c r="O284" s="946" t="n"/>
      <c r="P284" s="946" t="n"/>
      <c r="Q284" s="946" t="n"/>
      <c r="R284" s="946" t="n"/>
      <c r="S284" s="946" t="n"/>
      <c r="T284" s="946" t="n"/>
      <c r="U284" s="946" t="n"/>
      <c r="V284" s="946" t="n"/>
      <c r="W284" s="946" t="n"/>
      <c r="X284" s="946" t="n"/>
      <c r="Y284" s="946" t="n"/>
      <c r="Z284" s="946" t="n"/>
      <c r="AA284" s="946" t="n"/>
      <c r="AB284" s="946" t="n"/>
    </row>
    <row r="285">
      <c r="A285" s="186" t="n"/>
      <c r="B285" s="186" t="n"/>
      <c r="C285" s="186" t="n"/>
      <c r="D285" s="186" t="n"/>
      <c r="E285" s="186" t="n"/>
      <c r="F285" s="956" t="n"/>
      <c r="G285" s="956" t="n"/>
      <c r="H285" s="956" t="n"/>
      <c r="I285" s="956" t="n"/>
      <c r="J285" s="956" t="n"/>
      <c r="K285" s="946" t="n"/>
      <c r="L285" s="946" t="n"/>
      <c r="M285" s="946" t="n"/>
      <c r="N285" s="946" t="n"/>
      <c r="O285" s="946" t="n"/>
      <c r="P285" s="946" t="n"/>
      <c r="Q285" s="946" t="n"/>
      <c r="R285" s="946" t="n"/>
      <c r="S285" s="946" t="n"/>
      <c r="T285" s="946" t="n"/>
      <c r="U285" s="946" t="n"/>
      <c r="V285" s="946" t="n"/>
      <c r="W285" s="946" t="n"/>
      <c r="X285" s="946" t="n"/>
      <c r="Y285" s="946" t="n"/>
      <c r="Z285" s="946" t="n"/>
      <c r="AA285" s="946" t="n"/>
      <c r="AB285" s="946" t="n"/>
    </row>
    <row r="286">
      <c r="A286" s="186" t="n"/>
      <c r="B286" s="186" t="n"/>
      <c r="C286" s="186" t="n"/>
      <c r="D286" s="186" t="n"/>
      <c r="E286" s="186" t="n"/>
      <c r="F286" s="956" t="n"/>
      <c r="G286" s="956" t="n"/>
      <c r="H286" s="956" t="n"/>
      <c r="I286" s="956" t="n"/>
      <c r="J286" s="956" t="n"/>
      <c r="K286" s="946" t="n"/>
      <c r="L286" s="946" t="n"/>
      <c r="M286" s="946" t="n"/>
      <c r="N286" s="946" t="n"/>
      <c r="O286" s="946" t="n"/>
      <c r="P286" s="946" t="n"/>
      <c r="Q286" s="946" t="n"/>
      <c r="R286" s="946" t="n"/>
      <c r="S286" s="946" t="n"/>
      <c r="T286" s="946" t="n"/>
      <c r="U286" s="946" t="n"/>
      <c r="V286" s="946" t="n"/>
      <c r="W286" s="946" t="n"/>
      <c r="X286" s="946" t="n"/>
      <c r="Y286" s="946" t="n"/>
      <c r="Z286" s="946" t="n"/>
      <c r="AA286" s="946" t="n"/>
      <c r="AB286" s="946" t="n"/>
    </row>
    <row r="287">
      <c r="A287" s="186" t="n"/>
      <c r="B287" s="186" t="n"/>
      <c r="C287" s="186" t="n"/>
      <c r="D287" s="186" t="n"/>
      <c r="E287" s="186" t="n"/>
      <c r="F287" s="956" t="n"/>
      <c r="G287" s="956" t="n"/>
      <c r="H287" s="956" t="n"/>
      <c r="I287" s="956" t="n"/>
      <c r="J287" s="956" t="n"/>
      <c r="K287" s="946" t="n"/>
      <c r="L287" s="946" t="n"/>
      <c r="M287" s="946" t="n"/>
      <c r="N287" s="946" t="n"/>
      <c r="O287" s="946" t="n"/>
      <c r="P287" s="946" t="n"/>
      <c r="Q287" s="946" t="n"/>
      <c r="R287" s="946" t="n"/>
      <c r="S287" s="946" t="n"/>
      <c r="T287" s="946" t="n"/>
      <c r="U287" s="946" t="n"/>
      <c r="V287" s="946" t="n"/>
      <c r="W287" s="946" t="n"/>
      <c r="X287" s="946" t="n"/>
      <c r="Y287" s="946" t="n"/>
      <c r="Z287" s="946" t="n"/>
      <c r="AA287" s="946" t="n"/>
      <c r="AB287" s="946" t="n"/>
    </row>
    <row r="288">
      <c r="A288" s="186" t="n"/>
      <c r="B288" s="186" t="n"/>
      <c r="C288" s="186" t="n"/>
      <c r="D288" s="186" t="n"/>
      <c r="E288" s="186" t="n"/>
      <c r="F288" s="956" t="n"/>
      <c r="G288" s="956" t="n"/>
      <c r="H288" s="956" t="n"/>
      <c r="I288" s="956" t="n"/>
      <c r="J288" s="956" t="n"/>
      <c r="K288" s="946" t="n"/>
      <c r="L288" s="946" t="n"/>
      <c r="M288" s="946" t="n"/>
      <c r="N288" s="946" t="n"/>
      <c r="O288" s="946" t="n"/>
      <c r="P288" s="946" t="n"/>
      <c r="Q288" s="946" t="n"/>
      <c r="R288" s="946" t="n"/>
      <c r="S288" s="946" t="n"/>
      <c r="T288" s="946" t="n"/>
      <c r="U288" s="946" t="n"/>
      <c r="V288" s="946" t="n"/>
      <c r="W288" s="946" t="n"/>
      <c r="X288" s="946" t="n"/>
      <c r="Y288" s="946" t="n"/>
      <c r="Z288" s="946" t="n"/>
      <c r="AA288" s="946" t="n"/>
      <c r="AB288" s="946" t="n"/>
    </row>
    <row r="289">
      <c r="A289" s="186" t="n"/>
      <c r="B289" s="186" t="n"/>
      <c r="C289" s="186" t="n"/>
      <c r="D289" s="186" t="n"/>
      <c r="E289" s="186" t="n"/>
      <c r="F289" s="956" t="n"/>
      <c r="G289" s="956" t="n"/>
      <c r="H289" s="956" t="n"/>
      <c r="I289" s="956" t="n"/>
      <c r="J289" s="956" t="n"/>
      <c r="K289" s="946" t="n"/>
      <c r="L289" s="946" t="n"/>
      <c r="M289" s="946" t="n"/>
      <c r="N289" s="946" t="n"/>
      <c r="O289" s="946" t="n"/>
      <c r="P289" s="946" t="n"/>
      <c r="Q289" s="946" t="n"/>
      <c r="R289" s="946" t="n"/>
      <c r="S289" s="946" t="n"/>
      <c r="T289" s="946" t="n"/>
      <c r="U289" s="946" t="n"/>
      <c r="V289" s="946" t="n"/>
      <c r="W289" s="946" t="n"/>
      <c r="X289" s="946" t="n"/>
      <c r="Y289" s="946" t="n"/>
      <c r="Z289" s="946" t="n"/>
      <c r="AA289" s="946" t="n"/>
      <c r="AB289" s="946" t="n"/>
    </row>
    <row r="290">
      <c r="A290" s="186" t="n"/>
      <c r="B290" s="186" t="n"/>
      <c r="C290" s="186" t="n"/>
      <c r="D290" s="186" t="n"/>
      <c r="E290" s="186" t="n"/>
      <c r="F290" s="956" t="n"/>
      <c r="G290" s="956" t="n"/>
      <c r="H290" s="956" t="n"/>
      <c r="I290" s="956" t="n"/>
      <c r="J290" s="956" t="n"/>
      <c r="K290" s="946" t="n"/>
      <c r="L290" s="946" t="n"/>
      <c r="M290" s="946" t="n"/>
      <c r="N290" s="946" t="n"/>
      <c r="O290" s="946" t="n"/>
      <c r="P290" s="946" t="n"/>
      <c r="Q290" s="946" t="n"/>
      <c r="R290" s="946" t="n"/>
      <c r="S290" s="946" t="n"/>
      <c r="T290" s="946" t="n"/>
      <c r="U290" s="946" t="n"/>
      <c r="V290" s="946" t="n"/>
      <c r="W290" s="946" t="n"/>
      <c r="X290" s="946" t="n"/>
      <c r="Y290" s="946" t="n"/>
      <c r="Z290" s="946" t="n"/>
      <c r="AA290" s="946" t="n"/>
      <c r="AB290" s="946" t="n"/>
    </row>
    <row r="291">
      <c r="A291" s="186" t="n"/>
      <c r="B291" s="186" t="n"/>
      <c r="C291" s="186" t="n"/>
      <c r="D291" s="186" t="n"/>
      <c r="E291" s="186" t="n"/>
      <c r="F291" s="956" t="n"/>
      <c r="G291" s="956" t="n"/>
      <c r="H291" s="956" t="n"/>
      <c r="I291" s="956" t="n"/>
      <c r="J291" s="956" t="n"/>
      <c r="K291" s="946" t="n"/>
      <c r="L291" s="946" t="n"/>
      <c r="M291" s="946" t="n"/>
      <c r="N291" s="946" t="n"/>
      <c r="O291" s="946" t="n"/>
      <c r="P291" s="946" t="n"/>
      <c r="Q291" s="946" t="n"/>
      <c r="R291" s="946" t="n"/>
      <c r="S291" s="946" t="n"/>
      <c r="T291" s="946" t="n"/>
      <c r="U291" s="946" t="n"/>
      <c r="V291" s="946" t="n"/>
      <c r="W291" s="946" t="n"/>
      <c r="X291" s="946" t="n"/>
      <c r="Y291" s="946" t="n"/>
      <c r="Z291" s="946" t="n"/>
      <c r="AA291" s="946" t="n"/>
      <c r="AB291" s="946" t="n"/>
    </row>
    <row r="292">
      <c r="A292" s="186" t="n"/>
      <c r="B292" s="186" t="n"/>
      <c r="C292" s="186" t="n"/>
      <c r="D292" s="186" t="n"/>
      <c r="E292" s="186" t="n"/>
      <c r="F292" s="956" t="n"/>
      <c r="G292" s="956" t="n"/>
      <c r="H292" s="956" t="n"/>
      <c r="I292" s="956" t="n"/>
      <c r="J292" s="956" t="n"/>
      <c r="K292" s="946" t="n"/>
      <c r="L292" s="946" t="n"/>
      <c r="M292" s="946" t="n"/>
      <c r="N292" s="946" t="n"/>
      <c r="O292" s="946" t="n"/>
      <c r="P292" s="946" t="n"/>
      <c r="Q292" s="946" t="n"/>
      <c r="R292" s="946" t="n"/>
      <c r="S292" s="946" t="n"/>
      <c r="T292" s="946" t="n"/>
      <c r="U292" s="946" t="n"/>
      <c r="V292" s="946" t="n"/>
      <c r="W292" s="946" t="n"/>
      <c r="X292" s="946" t="n"/>
      <c r="Y292" s="946" t="n"/>
      <c r="Z292" s="946" t="n"/>
      <c r="AA292" s="946" t="n"/>
      <c r="AB292" s="946" t="n"/>
    </row>
    <row r="293">
      <c r="A293" s="186" t="n"/>
      <c r="B293" s="186" t="n"/>
      <c r="C293" s="186" t="n"/>
      <c r="D293" s="186" t="n"/>
      <c r="E293" s="186" t="n"/>
      <c r="F293" s="956" t="n"/>
      <c r="G293" s="956" t="n"/>
      <c r="H293" s="956" t="n"/>
      <c r="I293" s="956" t="n"/>
      <c r="J293" s="956" t="n"/>
      <c r="K293" s="946" t="n"/>
      <c r="L293" s="946" t="n"/>
      <c r="M293" s="946" t="n"/>
      <c r="N293" s="946" t="n"/>
      <c r="O293" s="946" t="n"/>
      <c r="P293" s="946" t="n"/>
      <c r="Q293" s="946" t="n"/>
      <c r="R293" s="946" t="n"/>
      <c r="S293" s="946" t="n"/>
      <c r="T293" s="946" t="n"/>
      <c r="U293" s="946" t="n"/>
      <c r="V293" s="946" t="n"/>
      <c r="W293" s="946" t="n"/>
      <c r="X293" s="946" t="n"/>
      <c r="Y293" s="946" t="n"/>
      <c r="Z293" s="946" t="n"/>
      <c r="AA293" s="946" t="n"/>
      <c r="AB293" s="946" t="n"/>
    </row>
    <row r="294">
      <c r="A294" s="186" t="n"/>
      <c r="B294" s="186" t="n"/>
      <c r="C294" s="186" t="n"/>
      <c r="D294" s="186" t="n"/>
      <c r="E294" s="186" t="n"/>
      <c r="F294" s="956" t="n"/>
      <c r="G294" s="956" t="n"/>
      <c r="H294" s="956" t="n"/>
      <c r="I294" s="956" t="n"/>
      <c r="J294" s="956" t="n"/>
      <c r="K294" s="946" t="n"/>
      <c r="L294" s="946" t="n"/>
      <c r="M294" s="946" t="n"/>
      <c r="N294" s="946" t="n"/>
      <c r="O294" s="946" t="n"/>
      <c r="P294" s="946" t="n"/>
      <c r="Q294" s="946" t="n"/>
      <c r="R294" s="946" t="n"/>
      <c r="S294" s="946" t="n"/>
      <c r="T294" s="946" t="n"/>
      <c r="U294" s="946" t="n"/>
      <c r="V294" s="946" t="n"/>
      <c r="W294" s="946" t="n"/>
      <c r="X294" s="946" t="n"/>
      <c r="Y294" s="946" t="n"/>
      <c r="Z294" s="946" t="n"/>
      <c r="AA294" s="946" t="n"/>
      <c r="AB294" s="946" t="n"/>
    </row>
    <row r="295">
      <c r="A295" s="186" t="n"/>
      <c r="B295" s="186" t="n"/>
      <c r="C295" s="186" t="n"/>
      <c r="D295" s="186" t="n"/>
      <c r="E295" s="186" t="n"/>
      <c r="F295" s="956" t="n"/>
      <c r="G295" s="956" t="n"/>
      <c r="H295" s="956" t="n"/>
      <c r="I295" s="956" t="n"/>
      <c r="J295" s="956" t="n"/>
      <c r="K295" s="946" t="n"/>
      <c r="L295" s="946" t="n"/>
      <c r="M295" s="946" t="n"/>
      <c r="N295" s="946" t="n"/>
      <c r="O295" s="946" t="n"/>
      <c r="P295" s="946" t="n"/>
      <c r="Q295" s="946" t="n"/>
      <c r="R295" s="946" t="n"/>
      <c r="S295" s="946" t="n"/>
      <c r="T295" s="946" t="n"/>
      <c r="U295" s="946" t="n"/>
      <c r="V295" s="946" t="n"/>
      <c r="W295" s="946" t="n"/>
      <c r="X295" s="946" t="n"/>
      <c r="Y295" s="946" t="n"/>
      <c r="Z295" s="946" t="n"/>
      <c r="AA295" s="946" t="n"/>
      <c r="AB295" s="946" t="n"/>
    </row>
    <row r="296">
      <c r="A296" s="186" t="n"/>
      <c r="B296" s="186" t="n"/>
      <c r="C296" s="186" t="n"/>
      <c r="D296" s="186" t="n"/>
      <c r="E296" s="186" t="n"/>
      <c r="F296" s="956" t="n"/>
      <c r="G296" s="956" t="n"/>
      <c r="H296" s="956" t="n"/>
      <c r="I296" s="956" t="n"/>
      <c r="J296" s="956" t="n"/>
      <c r="K296" s="946" t="n"/>
      <c r="L296" s="946" t="n"/>
      <c r="M296" s="946" t="n"/>
      <c r="N296" s="946" t="n"/>
      <c r="O296" s="946" t="n"/>
      <c r="P296" s="946" t="n"/>
      <c r="Q296" s="946" t="n"/>
      <c r="R296" s="946" t="n"/>
      <c r="S296" s="946" t="n"/>
      <c r="T296" s="946" t="n"/>
      <c r="U296" s="946" t="n"/>
      <c r="V296" s="946" t="n"/>
      <c r="W296" s="946" t="n"/>
      <c r="X296" s="946" t="n"/>
      <c r="Y296" s="946" t="n"/>
      <c r="Z296" s="946" t="n"/>
      <c r="AA296" s="946" t="n"/>
      <c r="AB296" s="946" t="n"/>
    </row>
    <row r="297">
      <c r="A297" s="186" t="n"/>
      <c r="B297" s="186" t="n"/>
      <c r="C297" s="186" t="n"/>
      <c r="D297" s="186" t="n"/>
      <c r="E297" s="186" t="n"/>
      <c r="F297" s="956" t="n"/>
      <c r="G297" s="956" t="n"/>
      <c r="H297" s="956" t="n"/>
      <c r="I297" s="956" t="n"/>
      <c r="J297" s="956" t="n"/>
      <c r="K297" s="946" t="n"/>
      <c r="L297" s="946" t="n"/>
      <c r="M297" s="946" t="n"/>
      <c r="N297" s="946" t="n"/>
      <c r="O297" s="946" t="n"/>
      <c r="P297" s="946" t="n"/>
      <c r="Q297" s="946" t="n"/>
      <c r="R297" s="946" t="n"/>
      <c r="S297" s="946" t="n"/>
      <c r="T297" s="946" t="n"/>
      <c r="U297" s="946" t="n"/>
      <c r="V297" s="946" t="n"/>
      <c r="W297" s="946" t="n"/>
      <c r="X297" s="946" t="n"/>
      <c r="Y297" s="946" t="n"/>
      <c r="Z297" s="946" t="n"/>
      <c r="AA297" s="946" t="n"/>
      <c r="AB297" s="946" t="n"/>
    </row>
    <row r="298">
      <c r="A298" s="186" t="n"/>
      <c r="B298" s="186" t="n"/>
      <c r="C298" s="186" t="n"/>
      <c r="D298" s="186" t="n"/>
      <c r="E298" s="186" t="n"/>
      <c r="F298" s="956" t="n"/>
      <c r="G298" s="956" t="n"/>
      <c r="H298" s="956" t="n"/>
      <c r="I298" s="956" t="n"/>
      <c r="J298" s="956" t="n"/>
      <c r="K298" s="946" t="n"/>
      <c r="L298" s="946" t="n"/>
      <c r="M298" s="946" t="n"/>
      <c r="N298" s="946" t="n"/>
      <c r="O298" s="946" t="n"/>
      <c r="P298" s="946" t="n"/>
      <c r="Q298" s="946" t="n"/>
      <c r="R298" s="946" t="n"/>
      <c r="S298" s="946" t="n"/>
      <c r="T298" s="946" t="n"/>
      <c r="U298" s="946" t="n"/>
      <c r="V298" s="946" t="n"/>
      <c r="W298" s="946" t="n"/>
      <c r="X298" s="946" t="n"/>
      <c r="Y298" s="946" t="n"/>
      <c r="Z298" s="946" t="n"/>
      <c r="AA298" s="946" t="n"/>
      <c r="AB298" s="946" t="n"/>
    </row>
    <row r="299">
      <c r="A299" s="186" t="n"/>
      <c r="B299" s="186" t="n"/>
      <c r="C299" s="186" t="n"/>
      <c r="D299" s="186" t="n"/>
      <c r="E299" s="186" t="n"/>
      <c r="F299" s="956" t="n"/>
      <c r="G299" s="956" t="n"/>
      <c r="H299" s="956" t="n"/>
      <c r="I299" s="956" t="n"/>
      <c r="J299" s="956" t="n"/>
      <c r="K299" s="946" t="n"/>
      <c r="L299" s="946" t="n"/>
      <c r="M299" s="946" t="n"/>
      <c r="N299" s="946" t="n"/>
      <c r="O299" s="946" t="n"/>
      <c r="P299" s="946" t="n"/>
      <c r="Q299" s="946" t="n"/>
      <c r="R299" s="946" t="n"/>
      <c r="S299" s="946" t="n"/>
      <c r="T299" s="946" t="n"/>
      <c r="U299" s="946" t="n"/>
      <c r="V299" s="946" t="n"/>
      <c r="W299" s="946" t="n"/>
      <c r="X299" s="946" t="n"/>
      <c r="Y299" s="946" t="n"/>
      <c r="Z299" s="946" t="n"/>
      <c r="AA299" s="946" t="n"/>
      <c r="AB299" s="946" t="n"/>
    </row>
    <row r="300">
      <c r="A300" s="186" t="n"/>
      <c r="B300" s="186" t="n"/>
      <c r="C300" s="186" t="n"/>
      <c r="D300" s="186" t="n"/>
      <c r="E300" s="186" t="n"/>
      <c r="F300" s="956" t="n"/>
      <c r="G300" s="956" t="n"/>
      <c r="H300" s="956" t="n"/>
      <c r="I300" s="956" t="n"/>
      <c r="J300" s="956" t="n"/>
      <c r="K300" s="946" t="n"/>
      <c r="L300" s="946" t="n"/>
      <c r="M300" s="946" t="n"/>
      <c r="N300" s="946" t="n"/>
      <c r="O300" s="946" t="n"/>
      <c r="P300" s="946" t="n"/>
      <c r="Q300" s="946" t="n"/>
      <c r="R300" s="946" t="n"/>
      <c r="S300" s="946" t="n"/>
      <c r="T300" s="946" t="n"/>
      <c r="U300" s="946" t="n"/>
      <c r="V300" s="946" t="n"/>
      <c r="W300" s="946" t="n"/>
      <c r="X300" s="946" t="n"/>
      <c r="Y300" s="946" t="n"/>
      <c r="Z300" s="946" t="n"/>
      <c r="AA300" s="946" t="n"/>
      <c r="AB300" s="946" t="n"/>
    </row>
    <row r="301">
      <c r="A301" s="186" t="n"/>
      <c r="B301" s="186" t="n"/>
      <c r="C301" s="186" t="n"/>
      <c r="D301" s="186" t="n"/>
      <c r="E301" s="186" t="n"/>
      <c r="F301" s="956" t="n"/>
      <c r="G301" s="956" t="n"/>
      <c r="H301" s="956" t="n"/>
      <c r="I301" s="956" t="n"/>
      <c r="J301" s="956" t="n"/>
      <c r="K301" s="946" t="n"/>
      <c r="L301" s="946" t="n"/>
      <c r="M301" s="946" t="n"/>
      <c r="N301" s="946" t="n"/>
      <c r="O301" s="946" t="n"/>
      <c r="P301" s="946" t="n"/>
      <c r="Q301" s="946" t="n"/>
      <c r="R301" s="946" t="n"/>
      <c r="S301" s="946" t="n"/>
      <c r="T301" s="946" t="n"/>
      <c r="U301" s="946" t="n"/>
      <c r="V301" s="946" t="n"/>
      <c r="W301" s="946" t="n"/>
      <c r="X301" s="946" t="n"/>
      <c r="Y301" s="946" t="n"/>
      <c r="Z301" s="946" t="n"/>
      <c r="AA301" s="946" t="n"/>
      <c r="AB301" s="946" t="n"/>
    </row>
    <row r="302">
      <c r="A302" s="186" t="n"/>
      <c r="B302" s="186" t="n"/>
      <c r="C302" s="186" t="n"/>
      <c r="D302" s="186" t="n"/>
      <c r="E302" s="186" t="n"/>
      <c r="F302" s="956" t="n"/>
      <c r="G302" s="956" t="n"/>
      <c r="H302" s="956" t="n"/>
      <c r="I302" s="956" t="n"/>
      <c r="J302" s="956" t="n"/>
      <c r="K302" s="946" t="n"/>
      <c r="L302" s="946" t="n"/>
      <c r="M302" s="946" t="n"/>
      <c r="N302" s="946" t="n"/>
      <c r="O302" s="946" t="n"/>
      <c r="P302" s="946" t="n"/>
      <c r="Q302" s="946" t="n"/>
      <c r="R302" s="946" t="n"/>
      <c r="S302" s="946" t="n"/>
      <c r="T302" s="946" t="n"/>
      <c r="U302" s="946" t="n"/>
      <c r="V302" s="946" t="n"/>
      <c r="W302" s="946" t="n"/>
      <c r="X302" s="946" t="n"/>
      <c r="Y302" s="946" t="n"/>
      <c r="Z302" s="946" t="n"/>
      <c r="AA302" s="946" t="n"/>
      <c r="AB302" s="946" t="n"/>
    </row>
    <row r="303">
      <c r="A303" s="186" t="n"/>
      <c r="B303" s="186" t="n"/>
      <c r="C303" s="186" t="n"/>
      <c r="D303" s="186" t="n"/>
      <c r="E303" s="186" t="n"/>
      <c r="F303" s="956" t="n"/>
      <c r="G303" s="956" t="n"/>
      <c r="H303" s="956" t="n"/>
      <c r="I303" s="956" t="n"/>
      <c r="J303" s="956" t="n"/>
      <c r="K303" s="946" t="n"/>
      <c r="L303" s="946" t="n"/>
      <c r="M303" s="946" t="n"/>
      <c r="N303" s="946" t="n"/>
      <c r="O303" s="946" t="n"/>
      <c r="P303" s="946" t="n"/>
      <c r="Q303" s="946" t="n"/>
      <c r="R303" s="946" t="n"/>
      <c r="S303" s="946" t="n"/>
      <c r="T303" s="946" t="n"/>
      <c r="U303" s="946" t="n"/>
      <c r="V303" s="946" t="n"/>
      <c r="W303" s="946" t="n"/>
      <c r="X303" s="946" t="n"/>
      <c r="Y303" s="946" t="n"/>
      <c r="Z303" s="946" t="n"/>
      <c r="AA303" s="946" t="n"/>
      <c r="AB303" s="946" t="n"/>
    </row>
    <row r="304">
      <c r="A304" s="186" t="n"/>
      <c r="B304" s="186" t="n"/>
      <c r="C304" s="186" t="n"/>
      <c r="D304" s="186" t="n"/>
      <c r="E304" s="186" t="n"/>
      <c r="F304" s="956" t="n"/>
      <c r="G304" s="956" t="n"/>
      <c r="H304" s="956" t="n"/>
      <c r="I304" s="956" t="n"/>
      <c r="J304" s="956" t="n"/>
      <c r="K304" s="946" t="n"/>
      <c r="L304" s="946" t="n"/>
      <c r="M304" s="946" t="n"/>
      <c r="N304" s="946" t="n"/>
      <c r="O304" s="946" t="n"/>
      <c r="P304" s="946" t="n"/>
      <c r="Q304" s="946" t="n"/>
      <c r="R304" s="946" t="n"/>
      <c r="S304" s="946" t="n"/>
      <c r="T304" s="946" t="n"/>
      <c r="U304" s="946" t="n"/>
      <c r="V304" s="946" t="n"/>
      <c r="W304" s="946" t="n"/>
      <c r="X304" s="946" t="n"/>
      <c r="Y304" s="946" t="n"/>
      <c r="Z304" s="946" t="n"/>
      <c r="AA304" s="946" t="n"/>
      <c r="AB304" s="946" t="n"/>
    </row>
    <row r="305">
      <c r="A305" s="186" t="n"/>
      <c r="B305" s="186" t="n"/>
      <c r="C305" s="186" t="n"/>
      <c r="D305" s="186" t="n"/>
      <c r="E305" s="186" t="n"/>
      <c r="F305" s="956" t="n"/>
      <c r="G305" s="956" t="n"/>
      <c r="H305" s="956" t="n"/>
      <c r="I305" s="956" t="n"/>
      <c r="J305" s="956" t="n"/>
      <c r="K305" s="946" t="n"/>
      <c r="L305" s="946" t="n"/>
      <c r="M305" s="946" t="n"/>
      <c r="N305" s="946" t="n"/>
      <c r="O305" s="946" t="n"/>
      <c r="P305" s="946" t="n"/>
      <c r="Q305" s="946" t="n"/>
      <c r="R305" s="946" t="n"/>
      <c r="S305" s="946" t="n"/>
      <c r="T305" s="946" t="n"/>
      <c r="U305" s="946" t="n"/>
      <c r="V305" s="946" t="n"/>
      <c r="W305" s="946" t="n"/>
      <c r="X305" s="946" t="n"/>
      <c r="Y305" s="946" t="n"/>
      <c r="Z305" s="946" t="n"/>
      <c r="AA305" s="946" t="n"/>
      <c r="AB305" s="946" t="n"/>
    </row>
    <row r="306">
      <c r="A306" s="186" t="n"/>
      <c r="B306" s="186" t="n"/>
      <c r="C306" s="186" t="n"/>
      <c r="D306" s="186" t="n"/>
      <c r="E306" s="186" t="n"/>
      <c r="F306" s="956" t="n"/>
      <c r="G306" s="956" t="n"/>
      <c r="H306" s="956" t="n"/>
      <c r="I306" s="956" t="n"/>
      <c r="J306" s="956" t="n"/>
      <c r="K306" s="946" t="n"/>
      <c r="L306" s="946" t="n"/>
      <c r="M306" s="946" t="n"/>
      <c r="N306" s="946" t="n"/>
      <c r="O306" s="946" t="n"/>
      <c r="P306" s="946" t="n"/>
      <c r="Q306" s="946" t="n"/>
      <c r="R306" s="946" t="n"/>
      <c r="S306" s="946" t="n"/>
      <c r="T306" s="946" t="n"/>
      <c r="U306" s="946" t="n"/>
      <c r="V306" s="946" t="n"/>
      <c r="W306" s="946" t="n"/>
      <c r="X306" s="946" t="n"/>
      <c r="Y306" s="946" t="n"/>
      <c r="Z306" s="946" t="n"/>
      <c r="AA306" s="946" t="n"/>
      <c r="AB306" s="946" t="n"/>
    </row>
    <row r="307">
      <c r="A307" s="186" t="n"/>
      <c r="B307" s="186" t="n"/>
      <c r="C307" s="186" t="n"/>
      <c r="D307" s="186" t="n"/>
      <c r="E307" s="186" t="n"/>
      <c r="F307" s="956" t="n"/>
      <c r="G307" s="956" t="n"/>
      <c r="H307" s="956" t="n"/>
      <c r="I307" s="956" t="n"/>
      <c r="J307" s="956" t="n"/>
      <c r="K307" s="946" t="n"/>
      <c r="L307" s="946" t="n"/>
      <c r="M307" s="946" t="n"/>
      <c r="N307" s="946" t="n"/>
      <c r="O307" s="946" t="n"/>
      <c r="P307" s="946" t="n"/>
      <c r="Q307" s="946" t="n"/>
      <c r="R307" s="946" t="n"/>
      <c r="S307" s="946" t="n"/>
      <c r="T307" s="946" t="n"/>
      <c r="U307" s="946" t="n"/>
      <c r="V307" s="946" t="n"/>
      <c r="W307" s="946" t="n"/>
      <c r="X307" s="946" t="n"/>
      <c r="Y307" s="946" t="n"/>
      <c r="Z307" s="946" t="n"/>
      <c r="AA307" s="946" t="n"/>
      <c r="AB307" s="946" t="n"/>
    </row>
    <row r="308">
      <c r="A308" s="186" t="n"/>
      <c r="B308" s="186" t="n"/>
      <c r="C308" s="186" t="n"/>
      <c r="D308" s="186" t="n"/>
      <c r="E308" s="186" t="n"/>
      <c r="F308" s="956" t="n"/>
      <c r="G308" s="956" t="n"/>
      <c r="H308" s="956" t="n"/>
      <c r="I308" s="956" t="n"/>
      <c r="J308" s="956" t="n"/>
      <c r="K308" s="946" t="n"/>
      <c r="L308" s="946" t="n"/>
      <c r="M308" s="946" t="n"/>
      <c r="N308" s="946" t="n"/>
      <c r="O308" s="946" t="n"/>
      <c r="P308" s="946" t="n"/>
      <c r="Q308" s="946" t="n"/>
      <c r="R308" s="946" t="n"/>
      <c r="S308" s="946" t="n"/>
      <c r="T308" s="946" t="n"/>
      <c r="U308" s="946" t="n"/>
      <c r="V308" s="946" t="n"/>
      <c r="W308" s="946" t="n"/>
      <c r="X308" s="946" t="n"/>
      <c r="Y308" s="946" t="n"/>
      <c r="Z308" s="946" t="n"/>
      <c r="AA308" s="946" t="n"/>
      <c r="AB308" s="946" t="n"/>
    </row>
    <row r="309">
      <c r="A309" s="186" t="n"/>
      <c r="B309" s="186" t="n"/>
      <c r="C309" s="186" t="n"/>
      <c r="D309" s="186" t="n"/>
      <c r="E309" s="186" t="n"/>
      <c r="F309" s="956" t="n"/>
      <c r="G309" s="956" t="n"/>
      <c r="H309" s="956" t="n"/>
      <c r="I309" s="956" t="n"/>
      <c r="J309" s="956" t="n"/>
      <c r="K309" s="946" t="n"/>
      <c r="L309" s="946" t="n"/>
      <c r="M309" s="946" t="n"/>
      <c r="N309" s="946" t="n"/>
      <c r="O309" s="946" t="n"/>
      <c r="P309" s="946" t="n"/>
      <c r="Q309" s="946" t="n"/>
      <c r="R309" s="946" t="n"/>
      <c r="S309" s="946" t="n"/>
      <c r="T309" s="946" t="n"/>
      <c r="U309" s="946" t="n"/>
      <c r="V309" s="946" t="n"/>
      <c r="W309" s="946" t="n"/>
      <c r="X309" s="946" t="n"/>
      <c r="Y309" s="946" t="n"/>
      <c r="Z309" s="946" t="n"/>
      <c r="AA309" s="946" t="n"/>
      <c r="AB309" s="946" t="n"/>
    </row>
    <row r="310">
      <c r="A310" s="186" t="n"/>
      <c r="B310" s="186" t="n"/>
      <c r="C310" s="186" t="n"/>
      <c r="D310" s="186" t="n"/>
      <c r="E310" s="186" t="n"/>
      <c r="F310" s="956" t="n"/>
      <c r="G310" s="956" t="n"/>
      <c r="H310" s="956" t="n"/>
      <c r="I310" s="956" t="n"/>
      <c r="J310" s="956" t="n"/>
      <c r="K310" s="946" t="n"/>
      <c r="L310" s="946" t="n"/>
      <c r="M310" s="946" t="n"/>
      <c r="N310" s="946" t="n"/>
      <c r="O310" s="946" t="n"/>
      <c r="P310" s="946" t="n"/>
      <c r="Q310" s="946" t="n"/>
      <c r="R310" s="946" t="n"/>
      <c r="S310" s="946" t="n"/>
      <c r="T310" s="946" t="n"/>
      <c r="U310" s="946" t="n"/>
      <c r="V310" s="946" t="n"/>
      <c r="W310" s="946" t="n"/>
      <c r="X310" s="946" t="n"/>
      <c r="Y310" s="946" t="n"/>
      <c r="Z310" s="946" t="n"/>
      <c r="AA310" s="946" t="n"/>
      <c r="AB310" s="946" t="n"/>
    </row>
    <row r="311">
      <c r="A311" s="186" t="n"/>
      <c r="B311" s="186" t="n"/>
      <c r="C311" s="186" t="n"/>
      <c r="D311" s="186" t="n"/>
      <c r="E311" s="186" t="n"/>
      <c r="F311" s="956" t="n"/>
      <c r="G311" s="956" t="n"/>
      <c r="H311" s="956" t="n"/>
      <c r="I311" s="956" t="n"/>
      <c r="J311" s="956" t="n"/>
      <c r="K311" s="946" t="n"/>
      <c r="L311" s="946" t="n"/>
      <c r="M311" s="946" t="n"/>
      <c r="N311" s="946" t="n"/>
      <c r="O311" s="946" t="n"/>
      <c r="P311" s="946" t="n"/>
      <c r="Q311" s="946" t="n"/>
      <c r="R311" s="946" t="n"/>
      <c r="S311" s="946" t="n"/>
      <c r="T311" s="946" t="n"/>
      <c r="U311" s="946" t="n"/>
      <c r="V311" s="946" t="n"/>
      <c r="W311" s="946" t="n"/>
      <c r="X311" s="946" t="n"/>
      <c r="Y311" s="946" t="n"/>
      <c r="Z311" s="946" t="n"/>
      <c r="AA311" s="946" t="n"/>
      <c r="AB311" s="946" t="n"/>
    </row>
    <row r="312">
      <c r="A312" s="186" t="n"/>
      <c r="B312" s="186" t="n"/>
      <c r="C312" s="186" t="n"/>
      <c r="D312" s="186" t="n"/>
      <c r="E312" s="186" t="n"/>
      <c r="F312" s="956" t="n"/>
      <c r="G312" s="956" t="n"/>
      <c r="H312" s="956" t="n"/>
      <c r="I312" s="956" t="n"/>
      <c r="J312" s="956" t="n"/>
      <c r="K312" s="946" t="n"/>
      <c r="L312" s="946" t="n"/>
      <c r="M312" s="946" t="n"/>
      <c r="N312" s="946" t="n"/>
      <c r="O312" s="946" t="n"/>
      <c r="P312" s="946" t="n"/>
      <c r="Q312" s="946" t="n"/>
      <c r="R312" s="946" t="n"/>
      <c r="S312" s="946" t="n"/>
      <c r="T312" s="946" t="n"/>
      <c r="U312" s="946" t="n"/>
      <c r="V312" s="946" t="n"/>
      <c r="W312" s="946" t="n"/>
      <c r="X312" s="946" t="n"/>
      <c r="Y312" s="946" t="n"/>
      <c r="Z312" s="946" t="n"/>
      <c r="AA312" s="946" t="n"/>
      <c r="AB312" s="946" t="n"/>
    </row>
    <row r="313">
      <c r="A313" s="186" t="n"/>
      <c r="B313" s="186" t="n"/>
      <c r="C313" s="186" t="n"/>
      <c r="D313" s="186" t="n"/>
      <c r="E313" s="186" t="n"/>
      <c r="F313" s="956" t="n"/>
      <c r="G313" s="956" t="n"/>
      <c r="H313" s="956" t="n"/>
      <c r="I313" s="956" t="n"/>
      <c r="J313" s="956" t="n"/>
      <c r="K313" s="946" t="n"/>
      <c r="L313" s="946" t="n"/>
      <c r="M313" s="946" t="n"/>
      <c r="N313" s="946" t="n"/>
      <c r="O313" s="946" t="n"/>
      <c r="P313" s="946" t="n"/>
      <c r="Q313" s="946" t="n"/>
      <c r="R313" s="946" t="n"/>
      <c r="S313" s="946" t="n"/>
      <c r="T313" s="946" t="n"/>
      <c r="U313" s="946" t="n"/>
      <c r="V313" s="946" t="n"/>
      <c r="W313" s="946" t="n"/>
      <c r="X313" s="946" t="n"/>
      <c r="Y313" s="946" t="n"/>
      <c r="Z313" s="946" t="n"/>
      <c r="AA313" s="946" t="n"/>
      <c r="AB313" s="946" t="n"/>
    </row>
    <row r="314">
      <c r="A314" s="186" t="n"/>
      <c r="B314" s="186" t="n"/>
      <c r="C314" s="186" t="n"/>
      <c r="D314" s="186" t="n"/>
      <c r="E314" s="186" t="n"/>
      <c r="F314" s="956" t="n"/>
      <c r="G314" s="956" t="n"/>
      <c r="H314" s="956" t="n"/>
      <c r="I314" s="956" t="n"/>
      <c r="J314" s="956" t="n"/>
      <c r="K314" s="946" t="n"/>
      <c r="L314" s="946" t="n"/>
      <c r="M314" s="946" t="n"/>
      <c r="N314" s="946" t="n"/>
      <c r="O314" s="946" t="n"/>
      <c r="P314" s="946" t="n"/>
      <c r="Q314" s="946" t="n"/>
      <c r="R314" s="946" t="n"/>
      <c r="S314" s="946" t="n"/>
      <c r="T314" s="946" t="n"/>
      <c r="U314" s="946" t="n"/>
      <c r="V314" s="946" t="n"/>
      <c r="W314" s="946" t="n"/>
      <c r="X314" s="946" t="n"/>
      <c r="Y314" s="946" t="n"/>
      <c r="Z314" s="946" t="n"/>
      <c r="AA314" s="946" t="n"/>
      <c r="AB314" s="946" t="n"/>
    </row>
    <row r="315">
      <c r="A315" s="186" t="n"/>
      <c r="B315" s="186" t="n"/>
      <c r="C315" s="186" t="n"/>
      <c r="D315" s="186" t="n"/>
      <c r="E315" s="186" t="n"/>
      <c r="F315" s="956" t="n"/>
      <c r="G315" s="956" t="n"/>
      <c r="H315" s="956" t="n"/>
      <c r="I315" s="956" t="n"/>
      <c r="J315" s="956" t="n"/>
      <c r="K315" s="946" t="n"/>
      <c r="L315" s="946" t="n"/>
      <c r="M315" s="946" t="n"/>
      <c r="N315" s="946" t="n"/>
      <c r="O315" s="946" t="n"/>
      <c r="P315" s="946" t="n"/>
      <c r="Q315" s="946" t="n"/>
      <c r="R315" s="946" t="n"/>
      <c r="S315" s="946" t="n"/>
      <c r="T315" s="946" t="n"/>
      <c r="U315" s="946" t="n"/>
      <c r="V315" s="946" t="n"/>
      <c r="W315" s="946" t="n"/>
      <c r="X315" s="946" t="n"/>
      <c r="Y315" s="946" t="n"/>
      <c r="Z315" s="946" t="n"/>
      <c r="AA315" s="946" t="n"/>
      <c r="AB315" s="946" t="n"/>
    </row>
    <row r="316">
      <c r="A316" s="186" t="n"/>
      <c r="B316" s="186" t="n"/>
      <c r="C316" s="186" t="n"/>
      <c r="D316" s="186" t="n"/>
      <c r="E316" s="186" t="n"/>
      <c r="F316" s="956" t="n"/>
      <c r="G316" s="956" t="n"/>
      <c r="H316" s="956" t="n"/>
      <c r="I316" s="956" t="n"/>
      <c r="J316" s="956" t="n"/>
      <c r="K316" s="946" t="n"/>
      <c r="L316" s="946" t="n"/>
      <c r="M316" s="946" t="n"/>
      <c r="N316" s="946" t="n"/>
      <c r="O316" s="946" t="n"/>
      <c r="P316" s="946" t="n"/>
      <c r="Q316" s="946" t="n"/>
      <c r="R316" s="946" t="n"/>
      <c r="S316" s="946" t="n"/>
      <c r="T316" s="946" t="n"/>
      <c r="U316" s="946" t="n"/>
      <c r="V316" s="946" t="n"/>
      <c r="W316" s="946" t="n"/>
      <c r="X316" s="946" t="n"/>
      <c r="Y316" s="946" t="n"/>
      <c r="Z316" s="946" t="n"/>
      <c r="AA316" s="946" t="n"/>
      <c r="AB316" s="946" t="n"/>
    </row>
    <row r="317">
      <c r="A317" s="186" t="n"/>
      <c r="B317" s="186" t="n"/>
      <c r="C317" s="186" t="n"/>
      <c r="D317" s="186" t="n"/>
      <c r="E317" s="186" t="n"/>
      <c r="F317" s="956" t="n"/>
      <c r="G317" s="956" t="n"/>
      <c r="H317" s="956" t="n"/>
      <c r="I317" s="956" t="n"/>
      <c r="J317" s="956" t="n"/>
      <c r="K317" s="946" t="n"/>
      <c r="L317" s="946" t="n"/>
      <c r="M317" s="946" t="n"/>
      <c r="N317" s="946" t="n"/>
      <c r="O317" s="946" t="n"/>
      <c r="P317" s="946" t="n"/>
      <c r="Q317" s="946" t="n"/>
      <c r="R317" s="946" t="n"/>
      <c r="S317" s="946" t="n"/>
      <c r="T317" s="946" t="n"/>
      <c r="U317" s="946" t="n"/>
      <c r="V317" s="946" t="n"/>
      <c r="W317" s="946" t="n"/>
      <c r="X317" s="946" t="n"/>
      <c r="Y317" s="946" t="n"/>
      <c r="Z317" s="946" t="n"/>
      <c r="AA317" s="946" t="n"/>
      <c r="AB317" s="946" t="n"/>
    </row>
    <row r="318">
      <c r="A318" s="186" t="n"/>
      <c r="B318" s="186" t="n"/>
      <c r="C318" s="186" t="n"/>
      <c r="D318" s="186" t="n"/>
      <c r="E318" s="186" t="n"/>
      <c r="F318" s="956" t="n"/>
      <c r="G318" s="956" t="n"/>
      <c r="H318" s="956" t="n"/>
      <c r="I318" s="956" t="n"/>
      <c r="J318" s="956" t="n"/>
      <c r="K318" s="946" t="n"/>
      <c r="L318" s="946" t="n"/>
      <c r="M318" s="946" t="n"/>
      <c r="N318" s="946" t="n"/>
      <c r="O318" s="946" t="n"/>
      <c r="P318" s="946" t="n"/>
      <c r="Q318" s="946" t="n"/>
      <c r="R318" s="946" t="n"/>
      <c r="S318" s="946" t="n"/>
      <c r="T318" s="946" t="n"/>
      <c r="U318" s="946" t="n"/>
      <c r="V318" s="946" t="n"/>
      <c r="W318" s="946" t="n"/>
      <c r="X318" s="946" t="n"/>
      <c r="Y318" s="946" t="n"/>
      <c r="Z318" s="946" t="n"/>
      <c r="AA318" s="946" t="n"/>
      <c r="AB318" s="946" t="n"/>
    </row>
    <row r="319">
      <c r="A319" s="186" t="n"/>
      <c r="B319" s="186" t="n"/>
      <c r="C319" s="186" t="n"/>
      <c r="D319" s="186" t="n"/>
      <c r="E319" s="186" t="n"/>
      <c r="F319" s="956" t="n"/>
      <c r="G319" s="956" t="n"/>
      <c r="H319" s="956" t="n"/>
      <c r="I319" s="956" t="n"/>
      <c r="J319" s="956" t="n"/>
      <c r="K319" s="946" t="n"/>
      <c r="L319" s="946" t="n"/>
      <c r="M319" s="946" t="n"/>
      <c r="N319" s="946" t="n"/>
      <c r="O319" s="946" t="n"/>
      <c r="P319" s="946" t="n"/>
      <c r="Q319" s="946" t="n"/>
      <c r="R319" s="946" t="n"/>
      <c r="S319" s="946" t="n"/>
      <c r="T319" s="946" t="n"/>
      <c r="U319" s="946" t="n"/>
      <c r="V319" s="946" t="n"/>
      <c r="W319" s="946" t="n"/>
      <c r="X319" s="946" t="n"/>
      <c r="Y319" s="946" t="n"/>
      <c r="Z319" s="946" t="n"/>
      <c r="AA319" s="946" t="n"/>
      <c r="AB319" s="946" t="n"/>
    </row>
    <row r="320">
      <c r="A320" s="186" t="n"/>
      <c r="B320" s="186" t="n"/>
      <c r="C320" s="186" t="n"/>
      <c r="D320" s="186" t="n"/>
      <c r="E320" s="186" t="n"/>
      <c r="F320" s="956" t="n"/>
      <c r="G320" s="956" t="n"/>
      <c r="H320" s="956" t="n"/>
      <c r="I320" s="956" t="n"/>
      <c r="J320" s="956" t="n"/>
      <c r="K320" s="946" t="n"/>
      <c r="L320" s="946" t="n"/>
      <c r="M320" s="946" t="n"/>
      <c r="N320" s="946" t="n"/>
      <c r="O320" s="946" t="n"/>
      <c r="P320" s="946" t="n"/>
      <c r="Q320" s="946" t="n"/>
      <c r="R320" s="946" t="n"/>
      <c r="S320" s="946" t="n"/>
      <c r="T320" s="946" t="n"/>
      <c r="U320" s="946" t="n"/>
      <c r="V320" s="946" t="n"/>
      <c r="W320" s="946" t="n"/>
      <c r="X320" s="946" t="n"/>
      <c r="Y320" s="946" t="n"/>
      <c r="Z320" s="946" t="n"/>
      <c r="AA320" s="946" t="n"/>
      <c r="AB320" s="946" t="n"/>
    </row>
    <row r="321">
      <c r="A321" s="186" t="n"/>
      <c r="B321" s="186" t="n"/>
      <c r="C321" s="186" t="n"/>
      <c r="D321" s="186" t="n"/>
      <c r="E321" s="186" t="n"/>
      <c r="F321" s="956" t="n"/>
      <c r="G321" s="956" t="n"/>
      <c r="H321" s="956" t="n"/>
      <c r="I321" s="956" t="n"/>
      <c r="J321" s="956" t="n"/>
      <c r="K321" s="946" t="n"/>
      <c r="L321" s="946" t="n"/>
      <c r="M321" s="946" t="n"/>
      <c r="N321" s="946" t="n"/>
      <c r="O321" s="946" t="n"/>
      <c r="P321" s="946" t="n"/>
      <c r="Q321" s="946" t="n"/>
      <c r="R321" s="946" t="n"/>
      <c r="S321" s="946" t="n"/>
      <c r="T321" s="946" t="n"/>
      <c r="U321" s="946" t="n"/>
      <c r="V321" s="946" t="n"/>
      <c r="W321" s="946" t="n"/>
      <c r="X321" s="946" t="n"/>
      <c r="Y321" s="946" t="n"/>
      <c r="Z321" s="946" t="n"/>
      <c r="AA321" s="946" t="n"/>
      <c r="AB321" s="946" t="n"/>
    </row>
    <row r="322">
      <c r="A322" s="186" t="n"/>
      <c r="B322" s="186" t="n"/>
      <c r="C322" s="186" t="n"/>
      <c r="D322" s="186" t="n"/>
      <c r="E322" s="186" t="n"/>
      <c r="F322" s="956" t="n"/>
      <c r="G322" s="956" t="n"/>
      <c r="H322" s="956" t="n"/>
      <c r="I322" s="956" t="n"/>
      <c r="J322" s="956" t="n"/>
      <c r="K322" s="946" t="n"/>
      <c r="L322" s="946" t="n"/>
      <c r="M322" s="946" t="n"/>
      <c r="N322" s="946" t="n"/>
      <c r="O322" s="946" t="n"/>
      <c r="P322" s="946" t="n"/>
      <c r="Q322" s="946" t="n"/>
      <c r="R322" s="946" t="n"/>
      <c r="S322" s="946" t="n"/>
      <c r="T322" s="946" t="n"/>
      <c r="U322" s="946" t="n"/>
      <c r="V322" s="946" t="n"/>
      <c r="W322" s="946" t="n"/>
      <c r="X322" s="946" t="n"/>
      <c r="Y322" s="946" t="n"/>
      <c r="Z322" s="946" t="n"/>
      <c r="AA322" s="946" t="n"/>
      <c r="AB322" s="946" t="n"/>
    </row>
    <row r="323">
      <c r="A323" s="186" t="n"/>
      <c r="B323" s="186" t="n"/>
      <c r="C323" s="186" t="n"/>
      <c r="D323" s="186" t="n"/>
      <c r="E323" s="186" t="n"/>
      <c r="F323" s="956" t="n"/>
      <c r="G323" s="956" t="n"/>
      <c r="H323" s="956" t="n"/>
      <c r="I323" s="956" t="n"/>
      <c r="J323" s="956" t="n"/>
      <c r="K323" s="946" t="n"/>
      <c r="L323" s="946" t="n"/>
      <c r="M323" s="946" t="n"/>
      <c r="N323" s="946" t="n"/>
      <c r="O323" s="946" t="n"/>
      <c r="P323" s="946" t="n"/>
      <c r="Q323" s="946" t="n"/>
      <c r="R323" s="946" t="n"/>
      <c r="S323" s="946" t="n"/>
      <c r="T323" s="946" t="n"/>
      <c r="U323" s="946" t="n"/>
      <c r="V323" s="946" t="n"/>
      <c r="W323" s="946" t="n"/>
      <c r="X323" s="946" t="n"/>
      <c r="Y323" s="946" t="n"/>
      <c r="Z323" s="946" t="n"/>
      <c r="AA323" s="946" t="n"/>
      <c r="AB323" s="946" t="n"/>
    </row>
    <row r="324">
      <c r="A324" s="186" t="n"/>
      <c r="B324" s="186" t="n"/>
      <c r="C324" s="186" t="n"/>
      <c r="D324" s="186" t="n"/>
      <c r="E324" s="186" t="n"/>
      <c r="F324" s="956" t="n"/>
      <c r="G324" s="956" t="n"/>
      <c r="H324" s="956" t="n"/>
      <c r="I324" s="956" t="n"/>
      <c r="J324" s="956" t="n"/>
      <c r="K324" s="946" t="n"/>
      <c r="L324" s="946" t="n"/>
      <c r="M324" s="946" t="n"/>
      <c r="N324" s="946" t="n"/>
      <c r="O324" s="946" t="n"/>
      <c r="P324" s="946" t="n"/>
      <c r="Q324" s="946" t="n"/>
      <c r="R324" s="946" t="n"/>
      <c r="S324" s="946" t="n"/>
      <c r="T324" s="946" t="n"/>
      <c r="U324" s="946" t="n"/>
      <c r="V324" s="946" t="n"/>
      <c r="W324" s="946" t="n"/>
      <c r="X324" s="946" t="n"/>
      <c r="Y324" s="946" t="n"/>
      <c r="Z324" s="946" t="n"/>
      <c r="AA324" s="946" t="n"/>
      <c r="AB324" s="946" t="n"/>
    </row>
    <row r="325">
      <c r="A325" s="186" t="n"/>
      <c r="B325" s="186" t="n"/>
      <c r="C325" s="186" t="n"/>
      <c r="D325" s="186" t="n"/>
      <c r="E325" s="186" t="n"/>
      <c r="F325" s="956" t="n"/>
      <c r="G325" s="956" t="n"/>
      <c r="H325" s="956" t="n"/>
      <c r="I325" s="956" t="n"/>
      <c r="J325" s="956" t="n"/>
      <c r="K325" s="946" t="n"/>
      <c r="L325" s="946" t="n"/>
      <c r="M325" s="946" t="n"/>
      <c r="N325" s="946" t="n"/>
      <c r="O325" s="946" t="n"/>
      <c r="P325" s="946" t="n"/>
      <c r="Q325" s="946" t="n"/>
      <c r="R325" s="946" t="n"/>
      <c r="S325" s="946" t="n"/>
      <c r="T325" s="946" t="n"/>
      <c r="U325" s="946" t="n"/>
      <c r="V325" s="946" t="n"/>
      <c r="W325" s="946" t="n"/>
      <c r="X325" s="946" t="n"/>
      <c r="Y325" s="946" t="n"/>
      <c r="Z325" s="946" t="n"/>
      <c r="AA325" s="946" t="n"/>
      <c r="AB325" s="946" t="n"/>
    </row>
    <row r="326">
      <c r="A326" s="186" t="n"/>
      <c r="B326" s="186" t="n"/>
      <c r="C326" s="186" t="n"/>
      <c r="D326" s="186" t="n"/>
      <c r="E326" s="186" t="n"/>
      <c r="F326" s="956" t="n"/>
      <c r="G326" s="956" t="n"/>
      <c r="H326" s="956" t="n"/>
      <c r="I326" s="956" t="n"/>
      <c r="J326" s="956" t="n"/>
      <c r="K326" s="946" t="n"/>
      <c r="L326" s="946" t="n"/>
      <c r="M326" s="946" t="n"/>
      <c r="N326" s="946" t="n"/>
      <c r="O326" s="946" t="n"/>
      <c r="P326" s="946" t="n"/>
      <c r="Q326" s="946" t="n"/>
      <c r="R326" s="946" t="n"/>
      <c r="S326" s="946" t="n"/>
      <c r="T326" s="946" t="n"/>
      <c r="U326" s="946" t="n"/>
      <c r="V326" s="946" t="n"/>
      <c r="W326" s="946" t="n"/>
      <c r="X326" s="946" t="n"/>
      <c r="Y326" s="946" t="n"/>
      <c r="Z326" s="946" t="n"/>
      <c r="AA326" s="946" t="n"/>
      <c r="AB326" s="946" t="n"/>
    </row>
    <row r="327">
      <c r="A327" s="186" t="n"/>
      <c r="B327" s="186" t="n"/>
      <c r="C327" s="186" t="n"/>
      <c r="D327" s="186" t="n"/>
      <c r="E327" s="186" t="n"/>
      <c r="F327" s="956" t="n"/>
      <c r="G327" s="956" t="n"/>
      <c r="H327" s="956" t="n"/>
      <c r="I327" s="956" t="n"/>
      <c r="J327" s="956" t="n"/>
      <c r="K327" s="946" t="n"/>
      <c r="L327" s="946" t="n"/>
      <c r="M327" s="946" t="n"/>
      <c r="N327" s="946" t="n"/>
      <c r="O327" s="946" t="n"/>
      <c r="P327" s="946" t="n"/>
      <c r="Q327" s="946" t="n"/>
      <c r="R327" s="946" t="n"/>
      <c r="S327" s="946" t="n"/>
      <c r="T327" s="946" t="n"/>
      <c r="U327" s="946" t="n"/>
      <c r="V327" s="946" t="n"/>
      <c r="W327" s="946" t="n"/>
      <c r="X327" s="946" t="n"/>
      <c r="Y327" s="946" t="n"/>
      <c r="Z327" s="946" t="n"/>
      <c r="AA327" s="946" t="n"/>
      <c r="AB327" s="946" t="n"/>
    </row>
    <row r="328">
      <c r="A328" s="186" t="n"/>
      <c r="B328" s="186" t="n"/>
      <c r="C328" s="186" t="n"/>
      <c r="D328" s="186" t="n"/>
      <c r="E328" s="186" t="n"/>
      <c r="F328" s="956" t="n"/>
      <c r="G328" s="956" t="n"/>
      <c r="H328" s="956" t="n"/>
      <c r="I328" s="956" t="n"/>
      <c r="J328" s="956" t="n"/>
      <c r="K328" s="946" t="n"/>
      <c r="L328" s="946" t="n"/>
      <c r="M328" s="946" t="n"/>
      <c r="N328" s="946" t="n"/>
      <c r="O328" s="946" t="n"/>
      <c r="P328" s="946" t="n"/>
      <c r="Q328" s="946" t="n"/>
      <c r="R328" s="946" t="n"/>
      <c r="S328" s="946" t="n"/>
      <c r="T328" s="946" t="n"/>
      <c r="U328" s="946" t="n"/>
      <c r="V328" s="946" t="n"/>
      <c r="W328" s="946" t="n"/>
      <c r="X328" s="946" t="n"/>
      <c r="Y328" s="946" t="n"/>
      <c r="Z328" s="946" t="n"/>
      <c r="AA328" s="946" t="n"/>
      <c r="AB328" s="946" t="n"/>
    </row>
    <row r="329">
      <c r="A329" s="186" t="n"/>
      <c r="B329" s="186" t="n"/>
      <c r="C329" s="186" t="n"/>
      <c r="D329" s="186" t="n"/>
      <c r="E329" s="186" t="n"/>
      <c r="F329" s="956" t="n"/>
      <c r="G329" s="956" t="n"/>
      <c r="H329" s="956" t="n"/>
      <c r="I329" s="956" t="n"/>
      <c r="J329" s="956" t="n"/>
      <c r="K329" s="946" t="n"/>
      <c r="L329" s="946" t="n"/>
      <c r="M329" s="946" t="n"/>
      <c r="N329" s="946" t="n"/>
      <c r="O329" s="946" t="n"/>
      <c r="P329" s="946" t="n"/>
      <c r="Q329" s="946" t="n"/>
      <c r="R329" s="946" t="n"/>
      <c r="S329" s="946" t="n"/>
      <c r="T329" s="946" t="n"/>
      <c r="U329" s="946" t="n"/>
      <c r="V329" s="946" t="n"/>
      <c r="W329" s="946" t="n"/>
      <c r="X329" s="946" t="n"/>
      <c r="Y329" s="946" t="n"/>
      <c r="Z329" s="946" t="n"/>
      <c r="AA329" s="946" t="n"/>
      <c r="AB329" s="946" t="n"/>
    </row>
    <row r="330">
      <c r="A330" s="186" t="n"/>
      <c r="B330" s="186" t="n"/>
      <c r="C330" s="186" t="n"/>
      <c r="D330" s="186" t="n"/>
      <c r="E330" s="186" t="n"/>
      <c r="F330" s="956" t="n"/>
      <c r="G330" s="956" t="n"/>
      <c r="H330" s="956" t="n"/>
      <c r="I330" s="956" t="n"/>
      <c r="J330" s="956" t="n"/>
      <c r="K330" s="946" t="n"/>
      <c r="L330" s="946" t="n"/>
      <c r="M330" s="946" t="n"/>
      <c r="N330" s="946" t="n"/>
      <c r="O330" s="946" t="n"/>
      <c r="P330" s="946" t="n"/>
      <c r="Q330" s="946" t="n"/>
      <c r="R330" s="946" t="n"/>
      <c r="S330" s="946" t="n"/>
      <c r="T330" s="946" t="n"/>
      <c r="U330" s="946" t="n"/>
      <c r="V330" s="946" t="n"/>
      <c r="W330" s="946" t="n"/>
      <c r="X330" s="946" t="n"/>
      <c r="Y330" s="946" t="n"/>
      <c r="Z330" s="946" t="n"/>
      <c r="AA330" s="946" t="n"/>
      <c r="AB330" s="946" t="n"/>
    </row>
    <row r="331">
      <c r="A331" s="186" t="n"/>
      <c r="B331" s="186" t="n"/>
      <c r="C331" s="186" t="n"/>
      <c r="D331" s="186" t="n"/>
      <c r="E331" s="186" t="n"/>
      <c r="F331" s="956" t="n"/>
      <c r="G331" s="956" t="n"/>
      <c r="H331" s="956" t="n"/>
      <c r="I331" s="956" t="n"/>
      <c r="J331" s="956" t="n"/>
      <c r="K331" s="946" t="n"/>
      <c r="L331" s="946" t="n"/>
      <c r="M331" s="946" t="n"/>
      <c r="N331" s="946" t="n"/>
      <c r="O331" s="946" t="n"/>
      <c r="P331" s="946" t="n"/>
      <c r="Q331" s="946" t="n"/>
      <c r="R331" s="946" t="n"/>
      <c r="S331" s="946" t="n"/>
      <c r="T331" s="946" t="n"/>
      <c r="U331" s="946" t="n"/>
      <c r="V331" s="946" t="n"/>
      <c r="W331" s="946" t="n"/>
      <c r="X331" s="946" t="n"/>
      <c r="Y331" s="946" t="n"/>
      <c r="Z331" s="946" t="n"/>
      <c r="AA331" s="946" t="n"/>
      <c r="AB331" s="946" t="n"/>
    </row>
    <row r="332">
      <c r="A332" s="186" t="n"/>
      <c r="B332" s="186" t="n"/>
      <c r="C332" s="186" t="n"/>
      <c r="D332" s="186" t="n"/>
      <c r="E332" s="186" t="n"/>
      <c r="F332" s="956" t="n"/>
      <c r="G332" s="956" t="n"/>
      <c r="H332" s="956" t="n"/>
      <c r="I332" s="956" t="n"/>
      <c r="J332" s="956" t="n"/>
      <c r="K332" s="946" t="n"/>
      <c r="L332" s="946" t="n"/>
      <c r="M332" s="946" t="n"/>
      <c r="N332" s="946" t="n"/>
      <c r="O332" s="946" t="n"/>
      <c r="P332" s="946" t="n"/>
      <c r="Q332" s="946" t="n"/>
      <c r="R332" s="946" t="n"/>
      <c r="S332" s="946" t="n"/>
      <c r="T332" s="946" t="n"/>
      <c r="U332" s="946" t="n"/>
      <c r="V332" s="946" t="n"/>
      <c r="W332" s="946" t="n"/>
      <c r="X332" s="946" t="n"/>
      <c r="Y332" s="946" t="n"/>
      <c r="Z332" s="946" t="n"/>
      <c r="AA332" s="946" t="n"/>
      <c r="AB332" s="946" t="n"/>
    </row>
    <row r="333">
      <c r="A333" s="186" t="n"/>
      <c r="B333" s="186" t="n"/>
      <c r="C333" s="186" t="n"/>
      <c r="D333" s="186" t="n"/>
      <c r="E333" s="186" t="n"/>
      <c r="F333" s="956" t="n"/>
      <c r="G333" s="956" t="n"/>
      <c r="H333" s="956" t="n"/>
      <c r="I333" s="956" t="n"/>
      <c r="J333" s="956" t="n"/>
      <c r="K333" s="946" t="n"/>
      <c r="L333" s="946" t="n"/>
      <c r="M333" s="946" t="n"/>
      <c r="N333" s="946" t="n"/>
      <c r="O333" s="946" t="n"/>
      <c r="P333" s="946" t="n"/>
      <c r="Q333" s="946" t="n"/>
      <c r="R333" s="946" t="n"/>
      <c r="S333" s="946" t="n"/>
      <c r="T333" s="946" t="n"/>
      <c r="U333" s="946" t="n"/>
      <c r="V333" s="946" t="n"/>
      <c r="W333" s="946" t="n"/>
      <c r="X333" s="946" t="n"/>
      <c r="Y333" s="946" t="n"/>
      <c r="Z333" s="946" t="n"/>
      <c r="AA333" s="946" t="n"/>
      <c r="AB333" s="946" t="n"/>
    </row>
    <row r="334">
      <c r="A334" s="186" t="n"/>
      <c r="B334" s="186" t="n"/>
      <c r="C334" s="186" t="n"/>
      <c r="D334" s="186" t="n"/>
      <c r="E334" s="186" t="n"/>
      <c r="F334" s="956" t="n"/>
      <c r="G334" s="956" t="n"/>
      <c r="H334" s="956" t="n"/>
      <c r="I334" s="956" t="n"/>
      <c r="J334" s="956" t="n"/>
      <c r="K334" s="946" t="n"/>
      <c r="L334" s="946" t="n"/>
      <c r="M334" s="946" t="n"/>
      <c r="N334" s="946" t="n"/>
      <c r="O334" s="946" t="n"/>
      <c r="P334" s="946" t="n"/>
      <c r="Q334" s="946" t="n"/>
      <c r="R334" s="946" t="n"/>
      <c r="S334" s="946" t="n"/>
      <c r="T334" s="946" t="n"/>
      <c r="U334" s="946" t="n"/>
      <c r="V334" s="946" t="n"/>
      <c r="W334" s="946" t="n"/>
      <c r="X334" s="946" t="n"/>
      <c r="Y334" s="946" t="n"/>
      <c r="Z334" s="946" t="n"/>
      <c r="AA334" s="946" t="n"/>
      <c r="AB334" s="946" t="n"/>
    </row>
    <row r="335">
      <c r="A335" s="186" t="n"/>
      <c r="B335" s="186" t="n"/>
      <c r="C335" s="186" t="n"/>
      <c r="D335" s="186" t="n"/>
      <c r="E335" s="186" t="n"/>
      <c r="F335" s="956" t="n"/>
      <c r="G335" s="956" t="n"/>
      <c r="H335" s="956" t="n"/>
      <c r="I335" s="956" t="n"/>
      <c r="J335" s="956" t="n"/>
      <c r="K335" s="946" t="n"/>
      <c r="L335" s="946" t="n"/>
      <c r="M335" s="946" t="n"/>
      <c r="N335" s="946" t="n"/>
      <c r="O335" s="946" t="n"/>
      <c r="P335" s="946" t="n"/>
      <c r="Q335" s="946" t="n"/>
      <c r="R335" s="946" t="n"/>
      <c r="S335" s="946" t="n"/>
      <c r="T335" s="946" t="n"/>
      <c r="U335" s="946" t="n"/>
      <c r="V335" s="946" t="n"/>
      <c r="W335" s="946" t="n"/>
      <c r="X335" s="946" t="n"/>
      <c r="Y335" s="946" t="n"/>
      <c r="Z335" s="946" t="n"/>
      <c r="AA335" s="946" t="n"/>
      <c r="AB335" s="946" t="n"/>
    </row>
    <row r="336">
      <c r="A336" s="186" t="n"/>
      <c r="B336" s="186" t="n"/>
      <c r="C336" s="186" t="n"/>
      <c r="D336" s="186" t="n"/>
      <c r="E336" s="186" t="n"/>
      <c r="F336" s="956" t="n"/>
      <c r="G336" s="956" t="n"/>
      <c r="H336" s="956" t="n"/>
      <c r="I336" s="956" t="n"/>
      <c r="J336" s="956" t="n"/>
      <c r="K336" s="946" t="n"/>
      <c r="L336" s="946" t="n"/>
      <c r="M336" s="946" t="n"/>
      <c r="N336" s="946" t="n"/>
      <c r="O336" s="946" t="n"/>
      <c r="P336" s="946" t="n"/>
      <c r="Q336" s="946" t="n"/>
      <c r="R336" s="946" t="n"/>
      <c r="S336" s="946" t="n"/>
      <c r="T336" s="946" t="n"/>
      <c r="U336" s="946" t="n"/>
      <c r="V336" s="946" t="n"/>
      <c r="W336" s="946" t="n"/>
      <c r="X336" s="946" t="n"/>
      <c r="Y336" s="946" t="n"/>
      <c r="Z336" s="946" t="n"/>
      <c r="AA336" s="946" t="n"/>
      <c r="AB336" s="946" t="n"/>
    </row>
    <row r="337">
      <c r="A337" s="186" t="n"/>
      <c r="B337" s="186" t="n"/>
      <c r="C337" s="186" t="n"/>
      <c r="D337" s="186" t="n"/>
      <c r="E337" s="186" t="n"/>
      <c r="F337" s="956" t="n"/>
      <c r="G337" s="956" t="n"/>
      <c r="H337" s="956" t="n"/>
      <c r="I337" s="956" t="n"/>
      <c r="J337" s="956" t="n"/>
      <c r="K337" s="946" t="n"/>
      <c r="L337" s="946" t="n"/>
      <c r="M337" s="946" t="n"/>
      <c r="N337" s="946" t="n"/>
      <c r="O337" s="946" t="n"/>
      <c r="P337" s="946" t="n"/>
      <c r="Q337" s="946" t="n"/>
      <c r="R337" s="946" t="n"/>
      <c r="S337" s="946" t="n"/>
      <c r="T337" s="946" t="n"/>
      <c r="U337" s="946" t="n"/>
      <c r="V337" s="946" t="n"/>
      <c r="W337" s="946" t="n"/>
      <c r="X337" s="946" t="n"/>
      <c r="Y337" s="946" t="n"/>
      <c r="Z337" s="946" t="n"/>
      <c r="AA337" s="946" t="n"/>
      <c r="AB337" s="946" t="n"/>
    </row>
    <row r="338">
      <c r="A338" s="186" t="n"/>
      <c r="B338" s="186" t="n"/>
      <c r="C338" s="186" t="n"/>
      <c r="D338" s="186" t="n"/>
      <c r="E338" s="186" t="n"/>
      <c r="F338" s="956" t="n"/>
      <c r="G338" s="956" t="n"/>
      <c r="H338" s="956" t="n"/>
      <c r="I338" s="956" t="n"/>
      <c r="J338" s="956" t="n"/>
      <c r="K338" s="946" t="n"/>
      <c r="L338" s="946" t="n"/>
      <c r="M338" s="946" t="n"/>
      <c r="N338" s="946" t="n"/>
      <c r="O338" s="946" t="n"/>
      <c r="P338" s="946" t="n"/>
      <c r="Q338" s="946" t="n"/>
      <c r="R338" s="946" t="n"/>
      <c r="S338" s="946" t="n"/>
      <c r="T338" s="946" t="n"/>
      <c r="U338" s="946" t="n"/>
      <c r="V338" s="946" t="n"/>
      <c r="W338" s="946" t="n"/>
      <c r="X338" s="946" t="n"/>
      <c r="Y338" s="946" t="n"/>
      <c r="Z338" s="946" t="n"/>
      <c r="AA338" s="946" t="n"/>
      <c r="AB338" s="946" t="n"/>
    </row>
    <row r="339">
      <c r="A339" s="186" t="n"/>
      <c r="B339" s="186" t="n"/>
      <c r="C339" s="186" t="n"/>
      <c r="D339" s="186" t="n"/>
      <c r="E339" s="186" t="n"/>
      <c r="F339" s="956" t="n"/>
      <c r="G339" s="956" t="n"/>
      <c r="H339" s="956" t="n"/>
      <c r="I339" s="956" t="n"/>
      <c r="J339" s="956" t="n"/>
      <c r="K339" s="946" t="n"/>
      <c r="L339" s="946" t="n"/>
      <c r="M339" s="946" t="n"/>
      <c r="N339" s="946" t="n"/>
      <c r="O339" s="946" t="n"/>
      <c r="P339" s="946" t="n"/>
      <c r="Q339" s="946" t="n"/>
      <c r="R339" s="946" t="n"/>
      <c r="S339" s="946" t="n"/>
      <c r="T339" s="946" t="n"/>
      <c r="U339" s="946" t="n"/>
      <c r="V339" s="946" t="n"/>
      <c r="W339" s="946" t="n"/>
      <c r="X339" s="946" t="n"/>
      <c r="Y339" s="946" t="n"/>
      <c r="Z339" s="946" t="n"/>
      <c r="AA339" s="946" t="n"/>
      <c r="AB339" s="946" t="n"/>
    </row>
    <row r="340">
      <c r="A340" s="186" t="n"/>
      <c r="B340" s="186" t="n"/>
      <c r="C340" s="186" t="n"/>
      <c r="D340" s="186" t="n"/>
      <c r="E340" s="186" t="n"/>
      <c r="F340" s="956" t="n"/>
      <c r="G340" s="956" t="n"/>
      <c r="H340" s="956" t="n"/>
      <c r="I340" s="956" t="n"/>
      <c r="J340" s="956" t="n"/>
      <c r="K340" s="946" t="n"/>
      <c r="L340" s="946" t="n"/>
      <c r="M340" s="946" t="n"/>
      <c r="N340" s="946" t="n"/>
      <c r="O340" s="946" t="n"/>
      <c r="P340" s="946" t="n"/>
      <c r="Q340" s="946" t="n"/>
      <c r="R340" s="946" t="n"/>
      <c r="S340" s="946" t="n"/>
      <c r="T340" s="946" t="n"/>
      <c r="U340" s="946" t="n"/>
      <c r="V340" s="946" t="n"/>
      <c r="W340" s="946" t="n"/>
      <c r="X340" s="946" t="n"/>
      <c r="Y340" s="946" t="n"/>
      <c r="Z340" s="946" t="n"/>
      <c r="AA340" s="946" t="n"/>
      <c r="AB340" s="946" t="n"/>
    </row>
    <row r="341">
      <c r="A341" s="186" t="n"/>
      <c r="B341" s="186" t="n"/>
      <c r="C341" s="186" t="n"/>
      <c r="D341" s="186" t="n"/>
      <c r="E341" s="186" t="n"/>
      <c r="F341" s="956" t="n"/>
      <c r="G341" s="956" t="n"/>
      <c r="H341" s="956" t="n"/>
      <c r="I341" s="956" t="n"/>
      <c r="J341" s="956" t="n"/>
      <c r="K341" s="946" t="n"/>
      <c r="L341" s="946" t="n"/>
      <c r="M341" s="946" t="n"/>
      <c r="N341" s="946" t="n"/>
      <c r="O341" s="946" t="n"/>
      <c r="P341" s="946" t="n"/>
      <c r="Q341" s="946" t="n"/>
      <c r="R341" s="946" t="n"/>
      <c r="S341" s="946" t="n"/>
      <c r="T341" s="946" t="n"/>
      <c r="U341" s="946" t="n"/>
      <c r="V341" s="946" t="n"/>
      <c r="W341" s="946" t="n"/>
      <c r="X341" s="946" t="n"/>
      <c r="Y341" s="946" t="n"/>
      <c r="Z341" s="946" t="n"/>
      <c r="AA341" s="946" t="n"/>
      <c r="AB341" s="946" t="n"/>
    </row>
    <row r="342">
      <c r="A342" s="186" t="n"/>
      <c r="B342" s="186" t="n"/>
      <c r="C342" s="186" t="n"/>
      <c r="D342" s="186" t="n"/>
      <c r="E342" s="186" t="n"/>
      <c r="F342" s="956" t="n"/>
      <c r="G342" s="956" t="n"/>
      <c r="H342" s="956" t="n"/>
      <c r="I342" s="956" t="n"/>
      <c r="J342" s="956" t="n"/>
      <c r="K342" s="946" t="n"/>
      <c r="L342" s="946" t="n"/>
      <c r="M342" s="946" t="n"/>
      <c r="N342" s="946" t="n"/>
      <c r="O342" s="946" t="n"/>
      <c r="P342" s="946" t="n"/>
      <c r="Q342" s="946" t="n"/>
      <c r="R342" s="946" t="n"/>
      <c r="S342" s="946" t="n"/>
      <c r="T342" s="946" t="n"/>
      <c r="U342" s="946" t="n"/>
      <c r="V342" s="946" t="n"/>
      <c r="W342" s="946" t="n"/>
      <c r="X342" s="946" t="n"/>
      <c r="Y342" s="946" t="n"/>
      <c r="Z342" s="946" t="n"/>
      <c r="AA342" s="946" t="n"/>
      <c r="AB342" s="946" t="n"/>
    </row>
    <row r="343">
      <c r="A343" s="186" t="n"/>
      <c r="B343" s="186" t="n"/>
      <c r="C343" s="186" t="n"/>
      <c r="D343" s="186" t="n"/>
      <c r="E343" s="186" t="n"/>
      <c r="F343" s="956" t="n"/>
      <c r="G343" s="956" t="n"/>
      <c r="H343" s="956" t="n"/>
      <c r="I343" s="956" t="n"/>
      <c r="J343" s="956" t="n"/>
      <c r="K343" s="946" t="n"/>
      <c r="L343" s="946" t="n"/>
      <c r="M343" s="946" t="n"/>
      <c r="N343" s="946" t="n"/>
      <c r="O343" s="946" t="n"/>
      <c r="P343" s="946" t="n"/>
      <c r="Q343" s="946" t="n"/>
      <c r="R343" s="946" t="n"/>
      <c r="S343" s="946" t="n"/>
      <c r="T343" s="946" t="n"/>
      <c r="U343" s="946" t="n"/>
      <c r="V343" s="946" t="n"/>
      <c r="W343" s="946" t="n"/>
      <c r="X343" s="946" t="n"/>
      <c r="Y343" s="946" t="n"/>
      <c r="Z343" s="946" t="n"/>
      <c r="AA343" s="946" t="n"/>
      <c r="AB343" s="946" t="n"/>
    </row>
    <row r="344">
      <c r="A344" s="186" t="n"/>
      <c r="B344" s="186" t="n"/>
      <c r="C344" s="186" t="n"/>
      <c r="D344" s="186" t="n"/>
      <c r="E344" s="186" t="n"/>
      <c r="F344" s="956" t="n"/>
      <c r="G344" s="956" t="n"/>
      <c r="H344" s="956" t="n"/>
      <c r="I344" s="956" t="n"/>
      <c r="J344" s="956" t="n"/>
      <c r="K344" s="946" t="n"/>
      <c r="L344" s="946" t="n"/>
      <c r="M344" s="946" t="n"/>
      <c r="N344" s="946" t="n"/>
      <c r="O344" s="946" t="n"/>
      <c r="P344" s="946" t="n"/>
      <c r="Q344" s="946" t="n"/>
      <c r="R344" s="946" t="n"/>
      <c r="S344" s="946" t="n"/>
      <c r="T344" s="946" t="n"/>
      <c r="U344" s="946" t="n"/>
      <c r="V344" s="946" t="n"/>
      <c r="W344" s="946" t="n"/>
      <c r="X344" s="946" t="n"/>
      <c r="Y344" s="946" t="n"/>
      <c r="Z344" s="946" t="n"/>
      <c r="AA344" s="946" t="n"/>
      <c r="AB344" s="946" t="n"/>
    </row>
    <row r="345">
      <c r="A345" s="186" t="n"/>
      <c r="B345" s="186" t="n"/>
      <c r="C345" s="186" t="n"/>
      <c r="D345" s="186" t="n"/>
      <c r="E345" s="186" t="n"/>
      <c r="F345" s="956" t="n"/>
      <c r="G345" s="956" t="n"/>
      <c r="H345" s="956" t="n"/>
      <c r="I345" s="956" t="n"/>
      <c r="J345" s="956" t="n"/>
      <c r="K345" s="946" t="n"/>
      <c r="L345" s="946" t="n"/>
      <c r="M345" s="946" t="n"/>
      <c r="N345" s="946" t="n"/>
      <c r="O345" s="946" t="n"/>
      <c r="P345" s="946" t="n"/>
      <c r="Q345" s="946" t="n"/>
      <c r="R345" s="946" t="n"/>
      <c r="S345" s="946" t="n"/>
      <c r="T345" s="946" t="n"/>
      <c r="U345" s="946" t="n"/>
      <c r="V345" s="946" t="n"/>
      <c r="W345" s="946" t="n"/>
      <c r="X345" s="946" t="n"/>
      <c r="Y345" s="946" t="n"/>
      <c r="Z345" s="946" t="n"/>
      <c r="AA345" s="946" t="n"/>
      <c r="AB345" s="946" t="n"/>
    </row>
    <row r="346">
      <c r="A346" s="186" t="n"/>
      <c r="B346" s="186" t="n"/>
      <c r="C346" s="186" t="n"/>
      <c r="D346" s="186" t="n"/>
      <c r="E346" s="186" t="n"/>
      <c r="F346" s="956" t="n"/>
      <c r="G346" s="956" t="n"/>
      <c r="H346" s="956" t="n"/>
      <c r="I346" s="956" t="n"/>
      <c r="J346" s="956" t="n"/>
      <c r="K346" s="946" t="n"/>
      <c r="L346" s="946" t="n"/>
      <c r="M346" s="946" t="n"/>
      <c r="N346" s="946" t="n"/>
      <c r="O346" s="946" t="n"/>
      <c r="P346" s="946" t="n"/>
      <c r="Q346" s="946" t="n"/>
      <c r="R346" s="946" t="n"/>
      <c r="S346" s="946" t="n"/>
      <c r="T346" s="946" t="n"/>
      <c r="U346" s="946" t="n"/>
      <c r="V346" s="946" t="n"/>
      <c r="W346" s="946" t="n"/>
      <c r="X346" s="946" t="n"/>
      <c r="Y346" s="946" t="n"/>
      <c r="Z346" s="946" t="n"/>
      <c r="AA346" s="946" t="n"/>
      <c r="AB346" s="946" t="n"/>
    </row>
    <row r="347">
      <c r="A347" s="186" t="n"/>
      <c r="B347" s="186" t="n"/>
      <c r="C347" s="186" t="n"/>
      <c r="D347" s="186" t="n"/>
      <c r="E347" s="186" t="n"/>
      <c r="F347" s="956" t="n"/>
      <c r="G347" s="956" t="n"/>
      <c r="H347" s="956" t="n"/>
      <c r="I347" s="956" t="n"/>
      <c r="J347" s="956" t="n"/>
      <c r="K347" s="946" t="n"/>
      <c r="L347" s="946" t="n"/>
      <c r="M347" s="946" t="n"/>
      <c r="N347" s="946" t="n"/>
      <c r="O347" s="946" t="n"/>
      <c r="P347" s="946" t="n"/>
      <c r="Q347" s="946" t="n"/>
      <c r="R347" s="946" t="n"/>
      <c r="S347" s="946" t="n"/>
      <c r="T347" s="946" t="n"/>
      <c r="U347" s="946" t="n"/>
      <c r="V347" s="946" t="n"/>
      <c r="W347" s="946" t="n"/>
      <c r="X347" s="946" t="n"/>
      <c r="Y347" s="946" t="n"/>
      <c r="Z347" s="946" t="n"/>
      <c r="AA347" s="946" t="n"/>
      <c r="AB347" s="946" t="n"/>
    </row>
    <row r="348">
      <c r="A348" s="186" t="n"/>
      <c r="B348" s="186" t="n"/>
      <c r="C348" s="186" t="n"/>
      <c r="D348" s="186" t="n"/>
      <c r="E348" s="186" t="n"/>
      <c r="F348" s="956" t="n"/>
      <c r="G348" s="956" t="n"/>
      <c r="H348" s="956" t="n"/>
      <c r="I348" s="956" t="n"/>
      <c r="J348" s="956" t="n"/>
      <c r="K348" s="946" t="n"/>
      <c r="L348" s="946" t="n"/>
      <c r="M348" s="946" t="n"/>
      <c r="N348" s="946" t="n"/>
      <c r="O348" s="946" t="n"/>
      <c r="P348" s="946" t="n"/>
      <c r="Q348" s="946" t="n"/>
      <c r="R348" s="946" t="n"/>
      <c r="S348" s="946" t="n"/>
      <c r="T348" s="946" t="n"/>
      <c r="U348" s="946" t="n"/>
      <c r="V348" s="946" t="n"/>
      <c r="W348" s="946" t="n"/>
      <c r="X348" s="946" t="n"/>
      <c r="Y348" s="946" t="n"/>
      <c r="Z348" s="946" t="n"/>
      <c r="AA348" s="946" t="n"/>
      <c r="AB348" s="946" t="n"/>
    </row>
    <row r="349">
      <c r="A349" s="186" t="n"/>
      <c r="B349" s="186" t="n"/>
      <c r="C349" s="186" t="n"/>
      <c r="D349" s="186" t="n"/>
      <c r="E349" s="186" t="n"/>
      <c r="F349" s="956" t="n"/>
      <c r="G349" s="956" t="n"/>
      <c r="H349" s="956" t="n"/>
      <c r="I349" s="956" t="n"/>
      <c r="J349" s="956" t="n"/>
      <c r="K349" s="946" t="n"/>
      <c r="L349" s="946" t="n"/>
      <c r="M349" s="946" t="n"/>
      <c r="N349" s="946" t="n"/>
      <c r="O349" s="946" t="n"/>
      <c r="P349" s="946" t="n"/>
      <c r="Q349" s="946" t="n"/>
      <c r="R349" s="946" t="n"/>
      <c r="S349" s="946" t="n"/>
      <c r="T349" s="946" t="n"/>
      <c r="U349" s="946" t="n"/>
      <c r="V349" s="946" t="n"/>
      <c r="W349" s="946" t="n"/>
      <c r="X349" s="946" t="n"/>
      <c r="Y349" s="946" t="n"/>
      <c r="Z349" s="946" t="n"/>
      <c r="AA349" s="946" t="n"/>
      <c r="AB349" s="946" t="n"/>
    </row>
    <row r="350">
      <c r="A350" s="186" t="n"/>
      <c r="B350" s="186" t="n"/>
      <c r="C350" s="186" t="n"/>
      <c r="D350" s="186" t="n"/>
      <c r="E350" s="186" t="n"/>
      <c r="F350" s="956" t="n"/>
      <c r="G350" s="956" t="n"/>
      <c r="H350" s="956" t="n"/>
      <c r="I350" s="956" t="n"/>
      <c r="J350" s="956" t="n"/>
      <c r="K350" s="946" t="n"/>
      <c r="L350" s="946" t="n"/>
      <c r="M350" s="946" t="n"/>
      <c r="N350" s="946" t="n"/>
      <c r="O350" s="946" t="n"/>
      <c r="P350" s="946" t="n"/>
      <c r="Q350" s="946" t="n"/>
      <c r="R350" s="946" t="n"/>
      <c r="S350" s="946" t="n"/>
      <c r="T350" s="946" t="n"/>
      <c r="U350" s="946" t="n"/>
      <c r="V350" s="946" t="n"/>
      <c r="W350" s="946" t="n"/>
      <c r="X350" s="946" t="n"/>
      <c r="Y350" s="946" t="n"/>
      <c r="Z350" s="946" t="n"/>
      <c r="AA350" s="946" t="n"/>
      <c r="AB350" s="946" t="n"/>
    </row>
    <row r="351">
      <c r="A351" s="186" t="n"/>
      <c r="B351" s="186" t="n"/>
      <c r="C351" s="186" t="n"/>
      <c r="D351" s="186" t="n"/>
      <c r="E351" s="186" t="n"/>
      <c r="F351" s="956" t="n"/>
      <c r="G351" s="956" t="n"/>
      <c r="H351" s="956" t="n"/>
      <c r="I351" s="956" t="n"/>
      <c r="J351" s="956" t="n"/>
      <c r="K351" s="946" t="n"/>
      <c r="L351" s="946" t="n"/>
      <c r="M351" s="946" t="n"/>
      <c r="N351" s="946" t="n"/>
      <c r="O351" s="946" t="n"/>
      <c r="P351" s="946" t="n"/>
      <c r="Q351" s="946" t="n"/>
      <c r="R351" s="946" t="n"/>
      <c r="S351" s="946" t="n"/>
      <c r="T351" s="946" t="n"/>
      <c r="U351" s="946" t="n"/>
      <c r="V351" s="946" t="n"/>
      <c r="W351" s="946" t="n"/>
      <c r="X351" s="946" t="n"/>
      <c r="Y351" s="946" t="n"/>
      <c r="Z351" s="946" t="n"/>
      <c r="AA351" s="946" t="n"/>
      <c r="AB351" s="946" t="n"/>
    </row>
    <row r="352">
      <c r="A352" s="186" t="n"/>
      <c r="B352" s="186" t="n"/>
      <c r="C352" s="186" t="n"/>
      <c r="D352" s="186" t="n"/>
      <c r="E352" s="186" t="n"/>
      <c r="F352" s="956" t="n"/>
      <c r="G352" s="956" t="n"/>
      <c r="H352" s="956" t="n"/>
      <c r="I352" s="956" t="n"/>
      <c r="J352" s="956" t="n"/>
      <c r="K352" s="946" t="n"/>
      <c r="L352" s="946" t="n"/>
      <c r="M352" s="946" t="n"/>
      <c r="N352" s="946" t="n"/>
      <c r="O352" s="946" t="n"/>
      <c r="P352" s="946" t="n"/>
      <c r="Q352" s="946" t="n"/>
      <c r="R352" s="946" t="n"/>
      <c r="S352" s="946" t="n"/>
      <c r="T352" s="946" t="n"/>
      <c r="U352" s="946" t="n"/>
      <c r="V352" s="946" t="n"/>
      <c r="W352" s="946" t="n"/>
      <c r="X352" s="946" t="n"/>
      <c r="Y352" s="946" t="n"/>
      <c r="Z352" s="946" t="n"/>
      <c r="AA352" s="946" t="n"/>
      <c r="AB352" s="946" t="n"/>
    </row>
    <row r="353">
      <c r="A353" s="186" t="n"/>
      <c r="B353" s="186" t="n"/>
      <c r="C353" s="186" t="n"/>
      <c r="D353" s="186" t="n"/>
      <c r="E353" s="186" t="n"/>
      <c r="F353" s="956" t="n"/>
      <c r="G353" s="956" t="n"/>
      <c r="H353" s="956" t="n"/>
      <c r="I353" s="956" t="n"/>
      <c r="J353" s="956" t="n"/>
      <c r="K353" s="946" t="n"/>
      <c r="L353" s="946" t="n"/>
      <c r="M353" s="946" t="n"/>
      <c r="N353" s="946" t="n"/>
      <c r="O353" s="946" t="n"/>
      <c r="P353" s="946" t="n"/>
      <c r="Q353" s="946" t="n"/>
      <c r="R353" s="946" t="n"/>
      <c r="S353" s="946" t="n"/>
      <c r="T353" s="946" t="n"/>
      <c r="U353" s="946" t="n"/>
      <c r="V353" s="946" t="n"/>
      <c r="W353" s="946" t="n"/>
      <c r="X353" s="946" t="n"/>
      <c r="Y353" s="946" t="n"/>
      <c r="Z353" s="946" t="n"/>
      <c r="AA353" s="946" t="n"/>
      <c r="AB353" s="946" t="n"/>
    </row>
    <row r="354">
      <c r="A354" s="186" t="n"/>
      <c r="B354" s="186" t="n"/>
      <c r="C354" s="186" t="n"/>
      <c r="D354" s="186" t="n"/>
      <c r="E354" s="186" t="n"/>
      <c r="F354" s="956" t="n"/>
      <c r="G354" s="956" t="n"/>
      <c r="H354" s="956" t="n"/>
      <c r="I354" s="956" t="n"/>
      <c r="J354" s="956" t="n"/>
      <c r="K354" s="946" t="n"/>
      <c r="L354" s="946" t="n"/>
      <c r="M354" s="946" t="n"/>
      <c r="N354" s="946" t="n"/>
      <c r="O354" s="946" t="n"/>
      <c r="P354" s="946" t="n"/>
      <c r="Q354" s="946" t="n"/>
      <c r="R354" s="946" t="n"/>
      <c r="S354" s="946" t="n"/>
      <c r="T354" s="946" t="n"/>
      <c r="U354" s="946" t="n"/>
      <c r="V354" s="946" t="n"/>
      <c r="W354" s="946" t="n"/>
      <c r="X354" s="946" t="n"/>
      <c r="Y354" s="946" t="n"/>
      <c r="Z354" s="946" t="n"/>
      <c r="AA354" s="946" t="n"/>
      <c r="AB354" s="946" t="n"/>
    </row>
    <row r="355">
      <c r="A355" s="186" t="n"/>
      <c r="B355" s="186" t="n"/>
      <c r="C355" s="186" t="n"/>
      <c r="D355" s="186" t="n"/>
      <c r="E355" s="186" t="n"/>
      <c r="F355" s="956" t="n"/>
      <c r="G355" s="956" t="n"/>
      <c r="H355" s="956" t="n"/>
      <c r="I355" s="956" t="n"/>
      <c r="J355" s="956" t="n"/>
      <c r="K355" s="946" t="n"/>
      <c r="L355" s="946" t="n"/>
      <c r="M355" s="946" t="n"/>
      <c r="N355" s="946" t="n"/>
      <c r="O355" s="946" t="n"/>
      <c r="P355" s="946" t="n"/>
      <c r="Q355" s="946" t="n"/>
      <c r="R355" s="946" t="n"/>
      <c r="S355" s="946" t="n"/>
      <c r="T355" s="946" t="n"/>
      <c r="U355" s="946" t="n"/>
      <c r="V355" s="946" t="n"/>
      <c r="W355" s="946" t="n"/>
      <c r="X355" s="946" t="n"/>
      <c r="Y355" s="946" t="n"/>
      <c r="Z355" s="946" t="n"/>
      <c r="AA355" s="946" t="n"/>
      <c r="AB355" s="946" t="n"/>
    </row>
    <row r="356">
      <c r="A356" s="186" t="n"/>
      <c r="B356" s="186" t="n"/>
      <c r="C356" s="186" t="n"/>
      <c r="D356" s="186" t="n"/>
      <c r="E356" s="186" t="n"/>
      <c r="F356" s="956" t="n"/>
      <c r="G356" s="956" t="n"/>
      <c r="H356" s="956" t="n"/>
      <c r="I356" s="956" t="n"/>
      <c r="J356" s="956" t="n"/>
      <c r="K356" s="946" t="n"/>
      <c r="L356" s="946" t="n"/>
      <c r="M356" s="946" t="n"/>
      <c r="N356" s="946" t="n"/>
      <c r="O356" s="946" t="n"/>
      <c r="P356" s="946" t="n"/>
      <c r="Q356" s="946" t="n"/>
      <c r="R356" s="946" t="n"/>
      <c r="S356" s="946" t="n"/>
      <c r="T356" s="946" t="n"/>
      <c r="U356" s="946" t="n"/>
      <c r="V356" s="946" t="n"/>
      <c r="W356" s="946" t="n"/>
      <c r="X356" s="946" t="n"/>
      <c r="Y356" s="946" t="n"/>
      <c r="Z356" s="946" t="n"/>
      <c r="AA356" s="946" t="n"/>
      <c r="AB356" s="946" t="n"/>
    </row>
    <row r="357">
      <c r="A357" s="186" t="n"/>
      <c r="B357" s="186" t="n"/>
      <c r="C357" s="186" t="n"/>
      <c r="D357" s="186" t="n"/>
      <c r="E357" s="186" t="n"/>
      <c r="F357" s="956" t="n"/>
      <c r="G357" s="956" t="n"/>
      <c r="H357" s="956" t="n"/>
      <c r="I357" s="956" t="n"/>
      <c r="J357" s="956" t="n"/>
      <c r="K357" s="946" t="n"/>
      <c r="L357" s="946" t="n"/>
      <c r="M357" s="946" t="n"/>
      <c r="N357" s="946" t="n"/>
      <c r="O357" s="946" t="n"/>
      <c r="P357" s="946" t="n"/>
      <c r="Q357" s="946" t="n"/>
      <c r="R357" s="946" t="n"/>
      <c r="S357" s="946" t="n"/>
      <c r="T357" s="946" t="n"/>
      <c r="U357" s="946" t="n"/>
      <c r="V357" s="946" t="n"/>
      <c r="W357" s="946" t="n"/>
      <c r="X357" s="946" t="n"/>
      <c r="Y357" s="946" t="n"/>
      <c r="Z357" s="946" t="n"/>
      <c r="AA357" s="946" t="n"/>
      <c r="AB357" s="946" t="n"/>
    </row>
    <row r="358">
      <c r="A358" s="186" t="n"/>
      <c r="B358" s="186" t="n"/>
      <c r="C358" s="186" t="n"/>
      <c r="D358" s="186" t="n"/>
      <c r="E358" s="186" t="n"/>
      <c r="F358" s="956" t="n"/>
      <c r="G358" s="956" t="n"/>
      <c r="H358" s="956" t="n"/>
      <c r="I358" s="956" t="n"/>
      <c r="J358" s="956" t="n"/>
      <c r="K358" s="946" t="n"/>
      <c r="L358" s="946" t="n"/>
      <c r="M358" s="946" t="n"/>
      <c r="N358" s="946" t="n"/>
      <c r="O358" s="946" t="n"/>
      <c r="P358" s="946" t="n"/>
      <c r="Q358" s="946" t="n"/>
      <c r="R358" s="946" t="n"/>
      <c r="S358" s="946" t="n"/>
      <c r="T358" s="946" t="n"/>
      <c r="U358" s="946" t="n"/>
      <c r="V358" s="946" t="n"/>
      <c r="W358" s="946" t="n"/>
      <c r="X358" s="946" t="n"/>
      <c r="Y358" s="946" t="n"/>
      <c r="Z358" s="946" t="n"/>
      <c r="AA358" s="946" t="n"/>
      <c r="AB358" s="946" t="n"/>
    </row>
    <row r="359">
      <c r="A359" s="186" t="n"/>
      <c r="B359" s="186" t="n"/>
      <c r="C359" s="186" t="n"/>
      <c r="D359" s="186" t="n"/>
      <c r="E359" s="186" t="n"/>
      <c r="F359" s="956" t="n"/>
      <c r="G359" s="956" t="n"/>
      <c r="H359" s="956" t="n"/>
      <c r="I359" s="956" t="n"/>
      <c r="J359" s="956" t="n"/>
      <c r="K359" s="946" t="n"/>
      <c r="L359" s="946" t="n"/>
      <c r="M359" s="946" t="n"/>
      <c r="N359" s="946" t="n"/>
      <c r="O359" s="946" t="n"/>
      <c r="P359" s="946" t="n"/>
      <c r="Q359" s="946" t="n"/>
      <c r="R359" s="946" t="n"/>
      <c r="S359" s="946" t="n"/>
      <c r="T359" s="946" t="n"/>
      <c r="U359" s="946" t="n"/>
      <c r="V359" s="946" t="n"/>
      <c r="W359" s="946" t="n"/>
      <c r="X359" s="946" t="n"/>
      <c r="Y359" s="946" t="n"/>
      <c r="Z359" s="946" t="n"/>
      <c r="AA359" s="946" t="n"/>
      <c r="AB359" s="946" t="n"/>
    </row>
    <row r="360">
      <c r="A360" s="186" t="n"/>
      <c r="B360" s="186" t="n"/>
      <c r="C360" s="186" t="n"/>
      <c r="D360" s="186" t="n"/>
      <c r="E360" s="186" t="n"/>
      <c r="F360" s="956" t="n"/>
      <c r="G360" s="956" t="n"/>
      <c r="H360" s="956" t="n"/>
      <c r="I360" s="956" t="n"/>
      <c r="J360" s="956" t="n"/>
      <c r="K360" s="946" t="n"/>
      <c r="L360" s="946" t="n"/>
      <c r="M360" s="946" t="n"/>
      <c r="N360" s="946" t="n"/>
      <c r="O360" s="946" t="n"/>
      <c r="P360" s="946" t="n"/>
      <c r="Q360" s="946" t="n"/>
      <c r="R360" s="946" t="n"/>
      <c r="S360" s="946" t="n"/>
      <c r="T360" s="946" t="n"/>
      <c r="U360" s="946" t="n"/>
      <c r="V360" s="946" t="n"/>
      <c r="W360" s="946" t="n"/>
      <c r="X360" s="946" t="n"/>
      <c r="Y360" s="946" t="n"/>
      <c r="Z360" s="946" t="n"/>
      <c r="AA360" s="946" t="n"/>
      <c r="AB360" s="946" t="n"/>
    </row>
    <row r="361">
      <c r="A361" s="186" t="n"/>
      <c r="B361" s="186" t="n"/>
      <c r="C361" s="186" t="n"/>
      <c r="D361" s="186" t="n"/>
      <c r="E361" s="186" t="n"/>
      <c r="F361" s="956" t="n"/>
      <c r="G361" s="956" t="n"/>
      <c r="H361" s="956" t="n"/>
      <c r="I361" s="956" t="n"/>
      <c r="J361" s="956" t="n"/>
      <c r="K361" s="946" t="n"/>
      <c r="L361" s="946" t="n"/>
      <c r="M361" s="946" t="n"/>
      <c r="N361" s="946" t="n"/>
      <c r="O361" s="946" t="n"/>
      <c r="P361" s="946" t="n"/>
      <c r="Q361" s="946" t="n"/>
      <c r="R361" s="946" t="n"/>
      <c r="S361" s="946" t="n"/>
      <c r="T361" s="946" t="n"/>
      <c r="U361" s="946" t="n"/>
      <c r="V361" s="946" t="n"/>
      <c r="W361" s="946" t="n"/>
      <c r="X361" s="946" t="n"/>
      <c r="Y361" s="946" t="n"/>
      <c r="Z361" s="946" t="n"/>
      <c r="AA361" s="946" t="n"/>
      <c r="AB361" s="946" t="n"/>
    </row>
    <row r="362">
      <c r="A362" s="186" t="n"/>
      <c r="B362" s="186" t="n"/>
      <c r="C362" s="186" t="n"/>
      <c r="D362" s="186" t="n"/>
      <c r="E362" s="186" t="n"/>
      <c r="F362" s="956" t="n"/>
      <c r="G362" s="956" t="n"/>
      <c r="H362" s="956" t="n"/>
      <c r="I362" s="956" t="n"/>
      <c r="J362" s="956" t="n"/>
      <c r="K362" s="946" t="n"/>
      <c r="L362" s="946" t="n"/>
      <c r="M362" s="946" t="n"/>
      <c r="N362" s="946" t="n"/>
      <c r="O362" s="946" t="n"/>
      <c r="P362" s="946" t="n"/>
      <c r="Q362" s="946" t="n"/>
      <c r="R362" s="946" t="n"/>
      <c r="S362" s="946" t="n"/>
      <c r="T362" s="946" t="n"/>
      <c r="U362" s="946" t="n"/>
      <c r="V362" s="946" t="n"/>
      <c r="W362" s="946" t="n"/>
      <c r="X362" s="946" t="n"/>
      <c r="Y362" s="946" t="n"/>
      <c r="Z362" s="946" t="n"/>
      <c r="AA362" s="946" t="n"/>
      <c r="AB362" s="946" t="n"/>
    </row>
    <row r="363">
      <c r="A363" s="186" t="n"/>
      <c r="B363" s="186" t="n"/>
      <c r="C363" s="186" t="n"/>
      <c r="D363" s="186" t="n"/>
      <c r="E363" s="186" t="n"/>
      <c r="F363" s="956" t="n"/>
      <c r="G363" s="956" t="n"/>
      <c r="H363" s="956" t="n"/>
      <c r="I363" s="956" t="n"/>
      <c r="J363" s="956" t="n"/>
      <c r="K363" s="946" t="n"/>
      <c r="L363" s="946" t="n"/>
      <c r="M363" s="946" t="n"/>
      <c r="N363" s="946" t="n"/>
      <c r="O363" s="946" t="n"/>
      <c r="P363" s="946" t="n"/>
      <c r="Q363" s="946" t="n"/>
      <c r="R363" s="946" t="n"/>
      <c r="S363" s="946" t="n"/>
      <c r="T363" s="946" t="n"/>
      <c r="U363" s="946" t="n"/>
      <c r="V363" s="946" t="n"/>
      <c r="W363" s="946" t="n"/>
      <c r="X363" s="946" t="n"/>
      <c r="Y363" s="946" t="n"/>
      <c r="Z363" s="946" t="n"/>
      <c r="AA363" s="946" t="n"/>
      <c r="AB363" s="946" t="n"/>
    </row>
    <row r="364">
      <c r="A364" s="186" t="n"/>
      <c r="B364" s="186" t="n"/>
      <c r="C364" s="186" t="n"/>
      <c r="D364" s="186" t="n"/>
      <c r="E364" s="186" t="n"/>
      <c r="F364" s="956" t="n"/>
      <c r="G364" s="956" t="n"/>
      <c r="H364" s="956" t="n"/>
      <c r="I364" s="956" t="n"/>
      <c r="J364" s="956" t="n"/>
      <c r="K364" s="946" t="n"/>
      <c r="L364" s="946" t="n"/>
      <c r="M364" s="946" t="n"/>
      <c r="N364" s="946" t="n"/>
      <c r="O364" s="946" t="n"/>
      <c r="P364" s="946" t="n"/>
      <c r="Q364" s="946" t="n"/>
      <c r="R364" s="946" t="n"/>
      <c r="S364" s="946" t="n"/>
      <c r="T364" s="946" t="n"/>
      <c r="U364" s="946" t="n"/>
      <c r="V364" s="946" t="n"/>
      <c r="W364" s="946" t="n"/>
      <c r="X364" s="946" t="n"/>
      <c r="Y364" s="946" t="n"/>
      <c r="Z364" s="946" t="n"/>
      <c r="AA364" s="946" t="n"/>
      <c r="AB364" s="946" t="n"/>
    </row>
    <row r="365">
      <c r="A365" s="186" t="n"/>
      <c r="B365" s="186" t="n"/>
      <c r="C365" s="186" t="n"/>
      <c r="D365" s="186" t="n"/>
      <c r="E365" s="186" t="n"/>
      <c r="F365" s="956" t="n"/>
      <c r="G365" s="956" t="n"/>
      <c r="H365" s="956" t="n"/>
      <c r="I365" s="956" t="n"/>
      <c r="J365" s="956" t="n"/>
      <c r="K365" s="946" t="n"/>
      <c r="L365" s="946" t="n"/>
      <c r="M365" s="946" t="n"/>
      <c r="N365" s="946" t="n"/>
      <c r="O365" s="946" t="n"/>
      <c r="P365" s="946" t="n"/>
      <c r="Q365" s="946" t="n"/>
      <c r="R365" s="946" t="n"/>
      <c r="S365" s="946" t="n"/>
      <c r="T365" s="946" t="n"/>
      <c r="U365" s="946" t="n"/>
      <c r="V365" s="946" t="n"/>
      <c r="W365" s="946" t="n"/>
      <c r="X365" s="946" t="n"/>
      <c r="Y365" s="946" t="n"/>
      <c r="Z365" s="946" t="n"/>
      <c r="AA365" s="946" t="n"/>
      <c r="AB365" s="946" t="n"/>
    </row>
    <row r="366">
      <c r="A366" s="186" t="n"/>
      <c r="B366" s="186" t="n"/>
      <c r="C366" s="186" t="n"/>
      <c r="D366" s="186" t="n"/>
      <c r="E366" s="186" t="n"/>
      <c r="F366" s="956" t="n"/>
      <c r="G366" s="956" t="n"/>
      <c r="H366" s="956" t="n"/>
      <c r="I366" s="956" t="n"/>
      <c r="J366" s="956" t="n"/>
      <c r="K366" s="946" t="n"/>
      <c r="L366" s="946" t="n"/>
      <c r="M366" s="946" t="n"/>
      <c r="N366" s="946" t="n"/>
      <c r="O366" s="946" t="n"/>
      <c r="P366" s="946" t="n"/>
      <c r="Q366" s="946" t="n"/>
      <c r="R366" s="946" t="n"/>
      <c r="S366" s="946" t="n"/>
      <c r="T366" s="946" t="n"/>
      <c r="U366" s="946" t="n"/>
      <c r="V366" s="946" t="n"/>
      <c r="W366" s="946" t="n"/>
      <c r="X366" s="946" t="n"/>
      <c r="Y366" s="946" t="n"/>
      <c r="Z366" s="946" t="n"/>
      <c r="AA366" s="946" t="n"/>
      <c r="AB366" s="946" t="n"/>
    </row>
    <row r="367">
      <c r="A367" s="186" t="n"/>
      <c r="B367" s="186" t="n"/>
      <c r="C367" s="186" t="n"/>
      <c r="D367" s="186" t="n"/>
      <c r="E367" s="186" t="n"/>
      <c r="F367" s="956" t="n"/>
      <c r="G367" s="956" t="n"/>
      <c r="H367" s="956" t="n"/>
      <c r="I367" s="956" t="n"/>
      <c r="J367" s="956" t="n"/>
      <c r="K367" s="946" t="n"/>
      <c r="L367" s="946" t="n"/>
      <c r="M367" s="946" t="n"/>
      <c r="N367" s="946" t="n"/>
      <c r="O367" s="946" t="n"/>
      <c r="P367" s="946" t="n"/>
      <c r="Q367" s="946" t="n"/>
      <c r="R367" s="946" t="n"/>
      <c r="S367" s="946" t="n"/>
      <c r="T367" s="946" t="n"/>
      <c r="U367" s="946" t="n"/>
      <c r="V367" s="946" t="n"/>
      <c r="W367" s="946" t="n"/>
      <c r="X367" s="946" t="n"/>
      <c r="Y367" s="946" t="n"/>
      <c r="Z367" s="946" t="n"/>
      <c r="AA367" s="946" t="n"/>
      <c r="AB367" s="946" t="n"/>
    </row>
    <row r="368">
      <c r="A368" s="186" t="n"/>
      <c r="B368" s="186" t="n"/>
      <c r="C368" s="186" t="n"/>
      <c r="D368" s="186" t="n"/>
      <c r="E368" s="186" t="n"/>
      <c r="F368" s="956" t="n"/>
      <c r="G368" s="956" t="n"/>
      <c r="H368" s="956" t="n"/>
      <c r="I368" s="956" t="n"/>
      <c r="J368" s="956" t="n"/>
      <c r="K368" s="946" t="n"/>
      <c r="L368" s="946" t="n"/>
      <c r="M368" s="946" t="n"/>
      <c r="N368" s="946" t="n"/>
      <c r="O368" s="946" t="n"/>
      <c r="P368" s="946" t="n"/>
      <c r="Q368" s="946" t="n"/>
      <c r="R368" s="946" t="n"/>
      <c r="S368" s="946" t="n"/>
      <c r="T368" s="946" t="n"/>
      <c r="U368" s="946" t="n"/>
      <c r="V368" s="946" t="n"/>
      <c r="W368" s="946" t="n"/>
      <c r="X368" s="946" t="n"/>
      <c r="Y368" s="946" t="n"/>
      <c r="Z368" s="946" t="n"/>
      <c r="AA368" s="946" t="n"/>
      <c r="AB368" s="946" t="n"/>
    </row>
    <row r="369">
      <c r="A369" s="186" t="n"/>
      <c r="B369" s="186" t="n"/>
      <c r="C369" s="186" t="n"/>
      <c r="D369" s="186" t="n"/>
      <c r="E369" s="186" t="n"/>
      <c r="F369" s="956" t="n"/>
      <c r="G369" s="956" t="n"/>
      <c r="H369" s="956" t="n"/>
      <c r="I369" s="956" t="n"/>
      <c r="J369" s="956" t="n"/>
      <c r="K369" s="946" t="n"/>
      <c r="L369" s="946" t="n"/>
      <c r="M369" s="946" t="n"/>
      <c r="N369" s="946" t="n"/>
      <c r="O369" s="946" t="n"/>
      <c r="P369" s="946" t="n"/>
      <c r="Q369" s="946" t="n"/>
      <c r="R369" s="946" t="n"/>
      <c r="S369" s="946" t="n"/>
      <c r="T369" s="946" t="n"/>
      <c r="U369" s="946" t="n"/>
      <c r="V369" s="946" t="n"/>
      <c r="W369" s="946" t="n"/>
      <c r="X369" s="946" t="n"/>
      <c r="Y369" s="946" t="n"/>
      <c r="Z369" s="946" t="n"/>
      <c r="AA369" s="946" t="n"/>
      <c r="AB369" s="946" t="n"/>
    </row>
    <row r="370">
      <c r="A370" s="186" t="n"/>
      <c r="B370" s="186" t="n"/>
      <c r="C370" s="186" t="n"/>
      <c r="D370" s="186" t="n"/>
      <c r="E370" s="186" t="n"/>
      <c r="F370" s="956" t="n"/>
      <c r="G370" s="956" t="n"/>
      <c r="H370" s="956" t="n"/>
      <c r="I370" s="956" t="n"/>
      <c r="J370" s="956" t="n"/>
      <c r="K370" s="946" t="n"/>
      <c r="L370" s="946" t="n"/>
      <c r="M370" s="946" t="n"/>
      <c r="N370" s="946" t="n"/>
      <c r="O370" s="946" t="n"/>
      <c r="P370" s="946" t="n"/>
      <c r="Q370" s="946" t="n"/>
      <c r="R370" s="946" t="n"/>
      <c r="S370" s="946" t="n"/>
      <c r="T370" s="946" t="n"/>
      <c r="U370" s="946" t="n"/>
      <c r="V370" s="946" t="n"/>
      <c r="W370" s="946" t="n"/>
      <c r="X370" s="946" t="n"/>
      <c r="Y370" s="946" t="n"/>
      <c r="Z370" s="946" t="n"/>
      <c r="AA370" s="946" t="n"/>
      <c r="AB370" s="946" t="n"/>
    </row>
    <row r="371">
      <c r="A371" s="186" t="n"/>
      <c r="B371" s="186" t="n"/>
      <c r="C371" s="186" t="n"/>
      <c r="D371" s="186" t="n"/>
      <c r="E371" s="186" t="n"/>
      <c r="F371" s="956" t="n"/>
      <c r="G371" s="956" t="n"/>
      <c r="H371" s="956" t="n"/>
      <c r="I371" s="956" t="n"/>
      <c r="J371" s="956" t="n"/>
      <c r="K371" s="946" t="n"/>
      <c r="L371" s="946" t="n"/>
      <c r="M371" s="946" t="n"/>
      <c r="N371" s="946" t="n"/>
      <c r="O371" s="946" t="n"/>
      <c r="P371" s="946" t="n"/>
      <c r="Q371" s="946" t="n"/>
      <c r="R371" s="946" t="n"/>
      <c r="S371" s="946" t="n"/>
      <c r="T371" s="946" t="n"/>
      <c r="U371" s="946" t="n"/>
      <c r="V371" s="946" t="n"/>
      <c r="W371" s="946" t="n"/>
      <c r="X371" s="946" t="n"/>
      <c r="Y371" s="946" t="n"/>
      <c r="Z371" s="946" t="n"/>
      <c r="AA371" s="946" t="n"/>
      <c r="AB371" s="946" t="n"/>
    </row>
    <row r="372">
      <c r="A372" s="186" t="n"/>
      <c r="B372" s="186" t="n"/>
      <c r="C372" s="186" t="n"/>
      <c r="D372" s="186" t="n"/>
      <c r="E372" s="186" t="n"/>
      <c r="F372" s="956" t="n"/>
      <c r="G372" s="956" t="n"/>
      <c r="H372" s="956" t="n"/>
      <c r="I372" s="956" t="n"/>
      <c r="J372" s="956" t="n"/>
      <c r="K372" s="946" t="n"/>
      <c r="L372" s="946" t="n"/>
      <c r="M372" s="946" t="n"/>
      <c r="N372" s="946" t="n"/>
      <c r="O372" s="946" t="n"/>
      <c r="P372" s="946" t="n"/>
      <c r="Q372" s="946" t="n"/>
      <c r="R372" s="946" t="n"/>
      <c r="S372" s="946" t="n"/>
      <c r="T372" s="946" t="n"/>
      <c r="U372" s="946" t="n"/>
      <c r="V372" s="946" t="n"/>
      <c r="W372" s="946" t="n"/>
      <c r="X372" s="946" t="n"/>
      <c r="Y372" s="946" t="n"/>
      <c r="Z372" s="946" t="n"/>
      <c r="AA372" s="946" t="n"/>
      <c r="AB372" s="946" t="n"/>
    </row>
    <row r="373">
      <c r="A373" s="186" t="n"/>
      <c r="B373" s="186" t="n"/>
      <c r="C373" s="186" t="n"/>
      <c r="D373" s="186" t="n"/>
      <c r="E373" s="186" t="n"/>
      <c r="F373" s="956" t="n"/>
      <c r="G373" s="956" t="n"/>
      <c r="H373" s="956" t="n"/>
      <c r="I373" s="956" t="n"/>
      <c r="J373" s="956" t="n"/>
      <c r="K373" s="946" t="n"/>
      <c r="L373" s="946" t="n"/>
      <c r="M373" s="946" t="n"/>
      <c r="N373" s="946" t="n"/>
      <c r="O373" s="946" t="n"/>
      <c r="P373" s="946" t="n"/>
      <c r="Q373" s="946" t="n"/>
      <c r="R373" s="946" t="n"/>
      <c r="S373" s="946" t="n"/>
      <c r="T373" s="946" t="n"/>
      <c r="U373" s="946" t="n"/>
      <c r="V373" s="946" t="n"/>
      <c r="W373" s="946" t="n"/>
      <c r="X373" s="946" t="n"/>
      <c r="Y373" s="946" t="n"/>
      <c r="Z373" s="946" t="n"/>
      <c r="AA373" s="946" t="n"/>
      <c r="AB373" s="946" t="n"/>
    </row>
    <row r="374">
      <c r="A374" s="186" t="n"/>
      <c r="B374" s="186" t="n"/>
      <c r="C374" s="186" t="n"/>
      <c r="D374" s="186" t="n"/>
      <c r="E374" s="186" t="n"/>
      <c r="F374" s="956" t="n"/>
      <c r="G374" s="956" t="n"/>
      <c r="H374" s="956" t="n"/>
      <c r="I374" s="956" t="n"/>
      <c r="J374" s="956" t="n"/>
      <c r="K374" s="946" t="n"/>
      <c r="L374" s="946" t="n"/>
      <c r="M374" s="946" t="n"/>
      <c r="N374" s="946" t="n"/>
      <c r="O374" s="946" t="n"/>
      <c r="P374" s="946" t="n"/>
      <c r="Q374" s="946" t="n"/>
      <c r="R374" s="946" t="n"/>
      <c r="S374" s="946" t="n"/>
      <c r="T374" s="946" t="n"/>
      <c r="U374" s="946" t="n"/>
      <c r="V374" s="946" t="n"/>
      <c r="W374" s="946" t="n"/>
      <c r="X374" s="946" t="n"/>
      <c r="Y374" s="946" t="n"/>
      <c r="Z374" s="946" t="n"/>
      <c r="AA374" s="946" t="n"/>
      <c r="AB374" s="946" t="n"/>
    </row>
    <row r="375">
      <c r="A375" s="186" t="n"/>
      <c r="B375" s="186" t="n"/>
      <c r="C375" s="186" t="n"/>
      <c r="D375" s="186" t="n"/>
      <c r="E375" s="186" t="n"/>
      <c r="F375" s="956" t="n"/>
      <c r="G375" s="956" t="n"/>
      <c r="H375" s="956" t="n"/>
      <c r="I375" s="956" t="n"/>
      <c r="J375" s="956" t="n"/>
      <c r="K375" s="946" t="n"/>
      <c r="L375" s="946" t="n"/>
      <c r="M375" s="946" t="n"/>
      <c r="N375" s="946" t="n"/>
      <c r="O375" s="946" t="n"/>
      <c r="P375" s="946" t="n"/>
      <c r="Q375" s="946" t="n"/>
      <c r="R375" s="946" t="n"/>
      <c r="S375" s="946" t="n"/>
      <c r="T375" s="946" t="n"/>
      <c r="U375" s="946" t="n"/>
      <c r="V375" s="946" t="n"/>
      <c r="W375" s="946" t="n"/>
      <c r="X375" s="946" t="n"/>
      <c r="Y375" s="946" t="n"/>
      <c r="Z375" s="946" t="n"/>
      <c r="AA375" s="946" t="n"/>
      <c r="AB375" s="946" t="n"/>
    </row>
    <row r="376">
      <c r="A376" s="186" t="n"/>
      <c r="B376" s="186" t="n"/>
      <c r="C376" s="186" t="n"/>
      <c r="D376" s="186" t="n"/>
      <c r="E376" s="186" t="n"/>
      <c r="F376" s="956" t="n"/>
      <c r="G376" s="956" t="n"/>
      <c r="H376" s="956" t="n"/>
      <c r="I376" s="956" t="n"/>
      <c r="J376" s="956" t="n"/>
      <c r="K376" s="946" t="n"/>
      <c r="L376" s="946" t="n"/>
      <c r="M376" s="946" t="n"/>
      <c r="N376" s="946" t="n"/>
      <c r="O376" s="946" t="n"/>
      <c r="P376" s="946" t="n"/>
      <c r="Q376" s="946" t="n"/>
      <c r="R376" s="946" t="n"/>
      <c r="S376" s="946" t="n"/>
      <c r="T376" s="946" t="n"/>
      <c r="U376" s="946" t="n"/>
      <c r="V376" s="946" t="n"/>
      <c r="W376" s="946" t="n"/>
      <c r="X376" s="946" t="n"/>
      <c r="Y376" s="946" t="n"/>
      <c r="Z376" s="946" t="n"/>
      <c r="AA376" s="946" t="n"/>
      <c r="AB376" s="946" t="n"/>
    </row>
    <row r="377">
      <c r="A377" s="186" t="n"/>
      <c r="B377" s="186" t="n"/>
      <c r="C377" s="186" t="n"/>
      <c r="D377" s="186" t="n"/>
      <c r="E377" s="186" t="n"/>
      <c r="F377" s="956" t="n"/>
      <c r="G377" s="956" t="n"/>
      <c r="H377" s="956" t="n"/>
      <c r="I377" s="956" t="n"/>
      <c r="J377" s="956" t="n"/>
      <c r="K377" s="946" t="n"/>
      <c r="L377" s="946" t="n"/>
      <c r="M377" s="946" t="n"/>
      <c r="N377" s="946" t="n"/>
      <c r="O377" s="946" t="n"/>
      <c r="P377" s="946" t="n"/>
      <c r="Q377" s="946" t="n"/>
      <c r="R377" s="946" t="n"/>
      <c r="S377" s="946" t="n"/>
      <c r="T377" s="946" t="n"/>
      <c r="U377" s="946" t="n"/>
      <c r="V377" s="946" t="n"/>
      <c r="W377" s="946" t="n"/>
      <c r="X377" s="946" t="n"/>
      <c r="Y377" s="946" t="n"/>
      <c r="Z377" s="946" t="n"/>
      <c r="AA377" s="946" t="n"/>
      <c r="AB377" s="946" t="n"/>
    </row>
    <row r="378">
      <c r="A378" s="186" t="n"/>
      <c r="B378" s="186" t="n"/>
      <c r="C378" s="186" t="n"/>
      <c r="D378" s="186" t="n"/>
      <c r="E378" s="186" t="n"/>
      <c r="F378" s="956" t="n"/>
      <c r="G378" s="956" t="n"/>
      <c r="H378" s="956" t="n"/>
      <c r="I378" s="956" t="n"/>
      <c r="J378" s="956" t="n"/>
      <c r="K378" s="946" t="n"/>
      <c r="L378" s="946" t="n"/>
      <c r="M378" s="946" t="n"/>
      <c r="N378" s="946" t="n"/>
      <c r="O378" s="946" t="n"/>
      <c r="P378" s="946" t="n"/>
      <c r="Q378" s="946" t="n"/>
      <c r="R378" s="946" t="n"/>
      <c r="S378" s="946" t="n"/>
      <c r="T378" s="946" t="n"/>
      <c r="U378" s="946" t="n"/>
      <c r="V378" s="946" t="n"/>
      <c r="W378" s="946" t="n"/>
      <c r="X378" s="946" t="n"/>
      <c r="Y378" s="946" t="n"/>
      <c r="Z378" s="946" t="n"/>
      <c r="AA378" s="946" t="n"/>
      <c r="AB378" s="946" t="n"/>
    </row>
    <row r="379">
      <c r="A379" s="186" t="n"/>
      <c r="B379" s="186" t="n"/>
      <c r="C379" s="186" t="n"/>
      <c r="D379" s="186" t="n"/>
      <c r="E379" s="186" t="n"/>
      <c r="F379" s="956" t="n"/>
      <c r="G379" s="956" t="n"/>
      <c r="H379" s="956" t="n"/>
      <c r="I379" s="956" t="n"/>
      <c r="J379" s="956" t="n"/>
      <c r="K379" s="946" t="n"/>
      <c r="L379" s="946" t="n"/>
      <c r="M379" s="946" t="n"/>
      <c r="N379" s="946" t="n"/>
      <c r="O379" s="946" t="n"/>
      <c r="P379" s="946" t="n"/>
      <c r="Q379" s="946" t="n"/>
      <c r="R379" s="946" t="n"/>
      <c r="S379" s="946" t="n"/>
      <c r="T379" s="946" t="n"/>
      <c r="U379" s="946" t="n"/>
      <c r="V379" s="946" t="n"/>
      <c r="W379" s="946" t="n"/>
      <c r="X379" s="946" t="n"/>
      <c r="Y379" s="946" t="n"/>
      <c r="Z379" s="946" t="n"/>
      <c r="AA379" s="946" t="n"/>
      <c r="AB379" s="946" t="n"/>
    </row>
    <row r="380">
      <c r="A380" s="186" t="n"/>
      <c r="B380" s="186" t="n"/>
      <c r="C380" s="186" t="n"/>
      <c r="D380" s="186" t="n"/>
      <c r="E380" s="186" t="n"/>
      <c r="F380" s="956" t="n"/>
      <c r="G380" s="956" t="n"/>
      <c r="H380" s="956" t="n"/>
      <c r="I380" s="956" t="n"/>
      <c r="J380" s="956" t="n"/>
      <c r="K380" s="946" t="n"/>
      <c r="L380" s="946" t="n"/>
      <c r="M380" s="946" t="n"/>
      <c r="N380" s="946" t="n"/>
      <c r="O380" s="946" t="n"/>
      <c r="P380" s="946" t="n"/>
      <c r="Q380" s="946" t="n"/>
      <c r="R380" s="946" t="n"/>
      <c r="S380" s="946" t="n"/>
      <c r="T380" s="946" t="n"/>
      <c r="U380" s="946" t="n"/>
      <c r="V380" s="946" t="n"/>
      <c r="W380" s="946" t="n"/>
      <c r="X380" s="946" t="n"/>
      <c r="Y380" s="946" t="n"/>
      <c r="Z380" s="946" t="n"/>
      <c r="AA380" s="946" t="n"/>
      <c r="AB380" s="946" t="n"/>
    </row>
    <row r="381">
      <c r="A381" s="186" t="n"/>
      <c r="B381" s="186" t="n"/>
      <c r="C381" s="186" t="n"/>
      <c r="D381" s="186" t="n"/>
      <c r="E381" s="186" t="n"/>
      <c r="F381" s="956" t="n"/>
      <c r="G381" s="956" t="n"/>
      <c r="H381" s="956" t="n"/>
      <c r="I381" s="956" t="n"/>
      <c r="J381" s="956" t="n"/>
      <c r="K381" s="946" t="n"/>
      <c r="L381" s="946" t="n"/>
      <c r="M381" s="946" t="n"/>
      <c r="N381" s="946" t="n"/>
      <c r="O381" s="946" t="n"/>
      <c r="P381" s="946" t="n"/>
      <c r="Q381" s="946" t="n"/>
      <c r="R381" s="946" t="n"/>
      <c r="S381" s="946" t="n"/>
      <c r="T381" s="946" t="n"/>
      <c r="U381" s="946" t="n"/>
      <c r="V381" s="946" t="n"/>
      <c r="W381" s="946" t="n"/>
      <c r="X381" s="946" t="n"/>
      <c r="Y381" s="946" t="n"/>
      <c r="Z381" s="946" t="n"/>
      <c r="AA381" s="946" t="n"/>
      <c r="AB381" s="946" t="n"/>
    </row>
    <row r="382">
      <c r="A382" s="186" t="n"/>
      <c r="B382" s="186" t="n"/>
      <c r="C382" s="186" t="n"/>
      <c r="D382" s="186" t="n"/>
      <c r="E382" s="186" t="n"/>
      <c r="F382" s="956" t="n"/>
      <c r="G382" s="956" t="n"/>
      <c r="H382" s="956" t="n"/>
      <c r="I382" s="956" t="n"/>
      <c r="J382" s="956" t="n"/>
      <c r="K382" s="946" t="n"/>
      <c r="L382" s="946" t="n"/>
      <c r="M382" s="946" t="n"/>
      <c r="N382" s="946" t="n"/>
      <c r="O382" s="946" t="n"/>
      <c r="P382" s="946" t="n"/>
      <c r="Q382" s="946" t="n"/>
      <c r="R382" s="946" t="n"/>
      <c r="S382" s="946" t="n"/>
      <c r="T382" s="946" t="n"/>
      <c r="U382" s="946" t="n"/>
      <c r="V382" s="946" t="n"/>
      <c r="W382" s="946" t="n"/>
      <c r="X382" s="946" t="n"/>
      <c r="Y382" s="946" t="n"/>
      <c r="Z382" s="946" t="n"/>
      <c r="AA382" s="946" t="n"/>
      <c r="AB382" s="946" t="n"/>
    </row>
    <row r="383">
      <c r="A383" s="186" t="n"/>
      <c r="B383" s="186" t="n"/>
      <c r="C383" s="186" t="n"/>
      <c r="D383" s="186" t="n"/>
      <c r="E383" s="186" t="n"/>
      <c r="F383" s="956" t="n"/>
      <c r="G383" s="956" t="n"/>
      <c r="H383" s="956" t="n"/>
      <c r="I383" s="956" t="n"/>
      <c r="J383" s="956" t="n"/>
      <c r="K383" s="946" t="n"/>
      <c r="L383" s="946" t="n"/>
      <c r="M383" s="946" t="n"/>
      <c r="N383" s="946" t="n"/>
      <c r="O383" s="946" t="n"/>
      <c r="P383" s="946" t="n"/>
      <c r="Q383" s="946" t="n"/>
      <c r="R383" s="946" t="n"/>
      <c r="S383" s="946" t="n"/>
      <c r="T383" s="946" t="n"/>
      <c r="U383" s="946" t="n"/>
      <c r="V383" s="946" t="n"/>
      <c r="W383" s="946" t="n"/>
      <c r="X383" s="946" t="n"/>
      <c r="Y383" s="946" t="n"/>
      <c r="Z383" s="946" t="n"/>
      <c r="AA383" s="946" t="n"/>
      <c r="AB383" s="946" t="n"/>
    </row>
    <row r="384">
      <c r="A384" s="186" t="n"/>
      <c r="B384" s="186" t="n"/>
      <c r="C384" s="186" t="n"/>
      <c r="D384" s="186" t="n"/>
      <c r="E384" s="186" t="n"/>
      <c r="F384" s="956" t="n"/>
      <c r="G384" s="956" t="n"/>
      <c r="H384" s="956" t="n"/>
      <c r="I384" s="956" t="n"/>
      <c r="J384" s="956" t="n"/>
      <c r="K384" s="946" t="n"/>
      <c r="L384" s="946" t="n"/>
      <c r="M384" s="946" t="n"/>
      <c r="N384" s="946" t="n"/>
      <c r="O384" s="946" t="n"/>
      <c r="P384" s="946" t="n"/>
      <c r="Q384" s="946" t="n"/>
      <c r="R384" s="946" t="n"/>
      <c r="S384" s="946" t="n"/>
      <c r="T384" s="946" t="n"/>
      <c r="U384" s="946" t="n"/>
      <c r="V384" s="946" t="n"/>
      <c r="W384" s="946" t="n"/>
      <c r="X384" s="946" t="n"/>
      <c r="Y384" s="946" t="n"/>
      <c r="Z384" s="946" t="n"/>
      <c r="AA384" s="946" t="n"/>
      <c r="AB384" s="946" t="n"/>
    </row>
    <row r="385">
      <c r="A385" s="186" t="n"/>
      <c r="B385" s="186" t="n"/>
      <c r="C385" s="186" t="n"/>
      <c r="D385" s="186" t="n"/>
      <c r="E385" s="186" t="n"/>
      <c r="F385" s="956" t="n"/>
      <c r="G385" s="956" t="n"/>
      <c r="H385" s="956" t="n"/>
      <c r="I385" s="956" t="n"/>
      <c r="J385" s="956" t="n"/>
      <c r="K385" s="946" t="n"/>
      <c r="L385" s="946" t="n"/>
      <c r="M385" s="946" t="n"/>
      <c r="N385" s="946" t="n"/>
      <c r="O385" s="946" t="n"/>
      <c r="P385" s="946" t="n"/>
      <c r="Q385" s="946" t="n"/>
      <c r="R385" s="946" t="n"/>
      <c r="S385" s="946" t="n"/>
      <c r="T385" s="946" t="n"/>
      <c r="U385" s="946" t="n"/>
      <c r="V385" s="946" t="n"/>
      <c r="W385" s="946" t="n"/>
      <c r="X385" s="946" t="n"/>
      <c r="Y385" s="946" t="n"/>
      <c r="Z385" s="946" t="n"/>
      <c r="AA385" s="946" t="n"/>
      <c r="AB385" s="946" t="n"/>
    </row>
    <row r="386">
      <c r="A386" s="186" t="n"/>
      <c r="B386" s="186" t="n"/>
      <c r="C386" s="186" t="n"/>
      <c r="D386" s="186" t="n"/>
      <c r="E386" s="186" t="n"/>
      <c r="F386" s="956" t="n"/>
      <c r="G386" s="956" t="n"/>
      <c r="H386" s="956" t="n"/>
      <c r="I386" s="956" t="n"/>
      <c r="J386" s="956" t="n"/>
      <c r="K386" s="946" t="n"/>
      <c r="L386" s="946" t="n"/>
      <c r="M386" s="946" t="n"/>
      <c r="N386" s="946" t="n"/>
      <c r="O386" s="946" t="n"/>
      <c r="P386" s="946" t="n"/>
      <c r="Q386" s="946" t="n"/>
      <c r="R386" s="946" t="n"/>
      <c r="S386" s="946" t="n"/>
      <c r="T386" s="946" t="n"/>
      <c r="U386" s="946" t="n"/>
      <c r="V386" s="946" t="n"/>
      <c r="W386" s="946" t="n"/>
      <c r="X386" s="946" t="n"/>
      <c r="Y386" s="946" t="n"/>
      <c r="Z386" s="946" t="n"/>
      <c r="AA386" s="946" t="n"/>
      <c r="AB386" s="946" t="n"/>
    </row>
    <row r="387">
      <c r="A387" s="186" t="n"/>
      <c r="B387" s="186" t="n"/>
      <c r="C387" s="186" t="n"/>
      <c r="D387" s="186" t="n"/>
      <c r="E387" s="186" t="n"/>
      <c r="F387" s="956" t="n"/>
      <c r="G387" s="956" t="n"/>
      <c r="H387" s="956" t="n"/>
      <c r="I387" s="956" t="n"/>
      <c r="J387" s="956" t="n"/>
      <c r="K387" s="946" t="n"/>
      <c r="L387" s="946" t="n"/>
      <c r="M387" s="946" t="n"/>
      <c r="N387" s="946" t="n"/>
      <c r="O387" s="946" t="n"/>
      <c r="P387" s="946" t="n"/>
      <c r="Q387" s="946" t="n"/>
      <c r="R387" s="946" t="n"/>
      <c r="S387" s="946" t="n"/>
      <c r="T387" s="946" t="n"/>
      <c r="U387" s="946" t="n"/>
      <c r="V387" s="946" t="n"/>
      <c r="W387" s="946" t="n"/>
      <c r="X387" s="946" t="n"/>
      <c r="Y387" s="946" t="n"/>
      <c r="Z387" s="946" t="n"/>
      <c r="AA387" s="946" t="n"/>
      <c r="AB387" s="946" t="n"/>
    </row>
    <row r="388">
      <c r="A388" s="186" t="n"/>
      <c r="B388" s="186" t="n"/>
      <c r="C388" s="186" t="n"/>
      <c r="D388" s="186" t="n"/>
      <c r="E388" s="186" t="n"/>
      <c r="F388" s="956" t="n"/>
      <c r="G388" s="956" t="n"/>
      <c r="H388" s="956" t="n"/>
      <c r="I388" s="956" t="n"/>
      <c r="J388" s="956" t="n"/>
      <c r="K388" s="946" t="n"/>
      <c r="L388" s="946" t="n"/>
      <c r="M388" s="946" t="n"/>
      <c r="N388" s="946" t="n"/>
      <c r="O388" s="946" t="n"/>
      <c r="P388" s="946" t="n"/>
      <c r="Q388" s="946" t="n"/>
      <c r="R388" s="946" t="n"/>
      <c r="S388" s="946" t="n"/>
      <c r="T388" s="946" t="n"/>
      <c r="U388" s="946" t="n"/>
      <c r="V388" s="946" t="n"/>
      <c r="W388" s="946" t="n"/>
      <c r="X388" s="946" t="n"/>
      <c r="Y388" s="946" t="n"/>
      <c r="Z388" s="946" t="n"/>
      <c r="AA388" s="946" t="n"/>
      <c r="AB388" s="946" t="n"/>
    </row>
    <row r="389">
      <c r="A389" s="186" t="n"/>
      <c r="B389" s="186" t="n"/>
      <c r="C389" s="186" t="n"/>
      <c r="D389" s="186" t="n"/>
      <c r="E389" s="186" t="n"/>
      <c r="F389" s="956" t="n"/>
      <c r="G389" s="956" t="n"/>
      <c r="H389" s="956" t="n"/>
      <c r="I389" s="956" t="n"/>
      <c r="J389" s="956" t="n"/>
      <c r="K389" s="946" t="n"/>
      <c r="L389" s="946" t="n"/>
      <c r="M389" s="946" t="n"/>
      <c r="N389" s="946" t="n"/>
      <c r="O389" s="946" t="n"/>
      <c r="P389" s="946" t="n"/>
      <c r="Q389" s="946" t="n"/>
      <c r="R389" s="946" t="n"/>
      <c r="S389" s="946" t="n"/>
      <c r="T389" s="946" t="n"/>
      <c r="U389" s="946" t="n"/>
      <c r="V389" s="946" t="n"/>
      <c r="W389" s="946" t="n"/>
      <c r="X389" s="946" t="n"/>
      <c r="Y389" s="946" t="n"/>
      <c r="Z389" s="946" t="n"/>
      <c r="AA389" s="946" t="n"/>
      <c r="AB389" s="946" t="n"/>
    </row>
    <row r="390">
      <c r="A390" s="186" t="n"/>
      <c r="B390" s="186" t="n"/>
      <c r="C390" s="186" t="n"/>
      <c r="D390" s="186" t="n"/>
      <c r="E390" s="186" t="n"/>
      <c r="F390" s="956" t="n"/>
      <c r="G390" s="956" t="n"/>
      <c r="H390" s="956" t="n"/>
      <c r="I390" s="956" t="n"/>
      <c r="J390" s="956" t="n"/>
      <c r="K390" s="946" t="n"/>
      <c r="L390" s="946" t="n"/>
      <c r="M390" s="946" t="n"/>
      <c r="N390" s="946" t="n"/>
      <c r="O390" s="946" t="n"/>
      <c r="P390" s="946" t="n"/>
      <c r="Q390" s="946" t="n"/>
      <c r="R390" s="946" t="n"/>
      <c r="S390" s="946" t="n"/>
      <c r="T390" s="946" t="n"/>
      <c r="U390" s="946" t="n"/>
      <c r="V390" s="946" t="n"/>
      <c r="W390" s="946" t="n"/>
      <c r="X390" s="946" t="n"/>
      <c r="Y390" s="946" t="n"/>
      <c r="Z390" s="946" t="n"/>
      <c r="AA390" s="946" t="n"/>
      <c r="AB390" s="946" t="n"/>
    </row>
    <row r="391">
      <c r="A391" s="186" t="n"/>
      <c r="B391" s="186" t="n"/>
      <c r="C391" s="186" t="n"/>
      <c r="D391" s="186" t="n"/>
      <c r="E391" s="186" t="n"/>
      <c r="F391" s="956" t="n"/>
      <c r="G391" s="956" t="n"/>
      <c r="H391" s="956" t="n"/>
      <c r="I391" s="956" t="n"/>
      <c r="J391" s="956" t="n"/>
      <c r="K391" s="946" t="n"/>
      <c r="L391" s="946" t="n"/>
      <c r="M391" s="946" t="n"/>
      <c r="N391" s="946" t="n"/>
      <c r="O391" s="946" t="n"/>
      <c r="P391" s="946" t="n"/>
      <c r="Q391" s="946" t="n"/>
      <c r="R391" s="946" t="n"/>
      <c r="S391" s="946" t="n"/>
      <c r="T391" s="946" t="n"/>
      <c r="U391" s="946" t="n"/>
      <c r="V391" s="946" t="n"/>
      <c r="W391" s="946" t="n"/>
      <c r="X391" s="946" t="n"/>
      <c r="Y391" s="946" t="n"/>
      <c r="Z391" s="946" t="n"/>
      <c r="AA391" s="946" t="n"/>
      <c r="AB391" s="946" t="n"/>
    </row>
    <row r="392">
      <c r="A392" s="186" t="n"/>
      <c r="B392" s="186" t="n"/>
      <c r="C392" s="186" t="n"/>
      <c r="D392" s="186" t="n"/>
      <c r="E392" s="186" t="n"/>
      <c r="F392" s="956" t="n"/>
      <c r="G392" s="956" t="n"/>
      <c r="H392" s="956" t="n"/>
      <c r="I392" s="956" t="n"/>
      <c r="J392" s="956" t="n"/>
      <c r="K392" s="946" t="n"/>
      <c r="L392" s="946" t="n"/>
      <c r="M392" s="946" t="n"/>
      <c r="N392" s="946" t="n"/>
      <c r="O392" s="946" t="n"/>
      <c r="P392" s="946" t="n"/>
      <c r="Q392" s="946" t="n"/>
      <c r="R392" s="946" t="n"/>
      <c r="S392" s="946" t="n"/>
      <c r="T392" s="946" t="n"/>
      <c r="U392" s="946" t="n"/>
      <c r="V392" s="946" t="n"/>
      <c r="W392" s="946" t="n"/>
      <c r="X392" s="946" t="n"/>
      <c r="Y392" s="946" t="n"/>
      <c r="Z392" s="946" t="n"/>
      <c r="AA392" s="946" t="n"/>
      <c r="AB392" s="946" t="n"/>
    </row>
    <row r="393">
      <c r="A393" s="186" t="n"/>
      <c r="B393" s="186" t="n"/>
      <c r="C393" s="186" t="n"/>
      <c r="D393" s="186" t="n"/>
      <c r="E393" s="186" t="n"/>
      <c r="F393" s="956" t="n"/>
      <c r="G393" s="956" t="n"/>
      <c r="H393" s="956" t="n"/>
      <c r="I393" s="956" t="n"/>
      <c r="J393" s="956" t="n"/>
      <c r="K393" s="946" t="n"/>
      <c r="L393" s="946" t="n"/>
      <c r="M393" s="946" t="n"/>
      <c r="N393" s="946" t="n"/>
      <c r="O393" s="946" t="n"/>
      <c r="P393" s="946" t="n"/>
      <c r="Q393" s="946" t="n"/>
      <c r="R393" s="946" t="n"/>
      <c r="S393" s="946" t="n"/>
      <c r="T393" s="946" t="n"/>
      <c r="U393" s="946" t="n"/>
      <c r="V393" s="946" t="n"/>
      <c r="W393" s="946" t="n"/>
      <c r="X393" s="946" t="n"/>
      <c r="Y393" s="946" t="n"/>
      <c r="Z393" s="946" t="n"/>
      <c r="AA393" s="946" t="n"/>
      <c r="AB393" s="946" t="n"/>
    </row>
    <row r="394">
      <c r="A394" s="186" t="n"/>
      <c r="B394" s="186" t="n"/>
      <c r="C394" s="186" t="n"/>
      <c r="D394" s="186" t="n"/>
      <c r="E394" s="186" t="n"/>
      <c r="F394" s="956" t="n"/>
      <c r="G394" s="956" t="n"/>
      <c r="H394" s="956" t="n"/>
      <c r="I394" s="956" t="n"/>
      <c r="J394" s="956" t="n"/>
      <c r="K394" s="946" t="n"/>
      <c r="L394" s="946" t="n"/>
      <c r="M394" s="946" t="n"/>
      <c r="N394" s="946" t="n"/>
      <c r="O394" s="946" t="n"/>
      <c r="P394" s="946" t="n"/>
      <c r="Q394" s="946" t="n"/>
      <c r="R394" s="946" t="n"/>
      <c r="S394" s="946" t="n"/>
      <c r="T394" s="946" t="n"/>
      <c r="U394" s="946" t="n"/>
      <c r="V394" s="946" t="n"/>
      <c r="W394" s="946" t="n"/>
      <c r="X394" s="946" t="n"/>
      <c r="Y394" s="946" t="n"/>
      <c r="Z394" s="946" t="n"/>
      <c r="AA394" s="946" t="n"/>
      <c r="AB394" s="946" t="n"/>
    </row>
    <row r="395">
      <c r="A395" s="186" t="n"/>
      <c r="B395" s="186" t="n"/>
      <c r="C395" s="186" t="n"/>
      <c r="D395" s="186" t="n"/>
      <c r="E395" s="186" t="n"/>
      <c r="F395" s="956" t="n"/>
      <c r="G395" s="956" t="n"/>
      <c r="H395" s="956" t="n"/>
      <c r="I395" s="956" t="n"/>
      <c r="J395" s="956" t="n"/>
      <c r="K395" s="946" t="n"/>
      <c r="L395" s="946" t="n"/>
      <c r="M395" s="946" t="n"/>
      <c r="N395" s="946" t="n"/>
      <c r="O395" s="946" t="n"/>
      <c r="P395" s="946" t="n"/>
      <c r="Q395" s="946" t="n"/>
      <c r="R395" s="946" t="n"/>
      <c r="S395" s="946" t="n"/>
      <c r="T395" s="946" t="n"/>
      <c r="U395" s="946" t="n"/>
      <c r="V395" s="946" t="n"/>
      <c r="W395" s="946" t="n"/>
      <c r="X395" s="946" t="n"/>
      <c r="Y395" s="946" t="n"/>
      <c r="Z395" s="946" t="n"/>
      <c r="AA395" s="946" t="n"/>
      <c r="AB395" s="946" t="n"/>
    </row>
    <row r="396">
      <c r="A396" s="186" t="n"/>
      <c r="B396" s="186" t="n"/>
      <c r="C396" s="186" t="n"/>
      <c r="D396" s="186" t="n"/>
      <c r="E396" s="186" t="n"/>
      <c r="F396" s="956" t="n"/>
      <c r="G396" s="956" t="n"/>
      <c r="H396" s="956" t="n"/>
      <c r="I396" s="956" t="n"/>
      <c r="J396" s="956" t="n"/>
      <c r="K396" s="946" t="n"/>
      <c r="L396" s="946" t="n"/>
      <c r="M396" s="946" t="n"/>
      <c r="N396" s="946" t="n"/>
      <c r="O396" s="946" t="n"/>
      <c r="P396" s="946" t="n"/>
      <c r="Q396" s="946" t="n"/>
      <c r="R396" s="946" t="n"/>
      <c r="S396" s="946" t="n"/>
      <c r="T396" s="946" t="n"/>
      <c r="U396" s="946" t="n"/>
      <c r="V396" s="946" t="n"/>
      <c r="W396" s="946" t="n"/>
      <c r="X396" s="946" t="n"/>
      <c r="Y396" s="946" t="n"/>
      <c r="Z396" s="946" t="n"/>
      <c r="AA396" s="946" t="n"/>
      <c r="AB396" s="946" t="n"/>
    </row>
    <row r="397">
      <c r="A397" s="186" t="n"/>
      <c r="B397" s="186" t="n"/>
      <c r="C397" s="186" t="n"/>
      <c r="D397" s="186" t="n"/>
      <c r="E397" s="186" t="n"/>
      <c r="F397" s="956" t="n"/>
      <c r="G397" s="956" t="n"/>
      <c r="H397" s="956" t="n"/>
      <c r="I397" s="956" t="n"/>
      <c r="J397" s="956" t="n"/>
      <c r="K397" s="946" t="n"/>
      <c r="L397" s="946" t="n"/>
      <c r="M397" s="946" t="n"/>
      <c r="N397" s="946" t="n"/>
      <c r="O397" s="946" t="n"/>
      <c r="P397" s="946" t="n"/>
      <c r="Q397" s="946" t="n"/>
      <c r="R397" s="946" t="n"/>
      <c r="S397" s="946" t="n"/>
      <c r="T397" s="946" t="n"/>
      <c r="U397" s="946" t="n"/>
      <c r="V397" s="946" t="n"/>
      <c r="W397" s="946" t="n"/>
      <c r="X397" s="946" t="n"/>
      <c r="Y397" s="946" t="n"/>
      <c r="Z397" s="946" t="n"/>
      <c r="AA397" s="946" t="n"/>
      <c r="AB397" s="946" t="n"/>
    </row>
    <row r="398">
      <c r="A398" s="186" t="n"/>
      <c r="B398" s="186" t="n"/>
      <c r="C398" s="186" t="n"/>
      <c r="D398" s="186" t="n"/>
      <c r="E398" s="186" t="n"/>
      <c r="F398" s="956" t="n"/>
      <c r="G398" s="956" t="n"/>
      <c r="H398" s="956" t="n"/>
      <c r="I398" s="956" t="n"/>
      <c r="J398" s="956" t="n"/>
      <c r="K398" s="946" t="n"/>
      <c r="L398" s="946" t="n"/>
      <c r="M398" s="946" t="n"/>
      <c r="N398" s="946" t="n"/>
      <c r="O398" s="946" t="n"/>
      <c r="P398" s="946" t="n"/>
      <c r="Q398" s="946" t="n"/>
      <c r="R398" s="946" t="n"/>
      <c r="S398" s="946" t="n"/>
      <c r="T398" s="946" t="n"/>
      <c r="U398" s="946" t="n"/>
      <c r="V398" s="946" t="n"/>
      <c r="W398" s="946" t="n"/>
      <c r="X398" s="946" t="n"/>
      <c r="Y398" s="946" t="n"/>
      <c r="Z398" s="946" t="n"/>
      <c r="AA398" s="946" t="n"/>
      <c r="AB398" s="946" t="n"/>
    </row>
    <row r="399">
      <c r="A399" s="186" t="n"/>
      <c r="B399" s="186" t="n"/>
      <c r="C399" s="186" t="n"/>
      <c r="D399" s="186" t="n"/>
      <c r="E399" s="186" t="n"/>
      <c r="F399" s="956" t="n"/>
      <c r="G399" s="956" t="n"/>
      <c r="H399" s="956" t="n"/>
      <c r="I399" s="956" t="n"/>
      <c r="J399" s="956" t="n"/>
      <c r="K399" s="946" t="n"/>
      <c r="L399" s="946" t="n"/>
      <c r="M399" s="946" t="n"/>
      <c r="N399" s="946" t="n"/>
      <c r="O399" s="946" t="n"/>
      <c r="P399" s="946" t="n"/>
      <c r="Q399" s="946" t="n"/>
      <c r="R399" s="946" t="n"/>
      <c r="S399" s="946" t="n"/>
      <c r="T399" s="946" t="n"/>
      <c r="U399" s="946" t="n"/>
      <c r="V399" s="946" t="n"/>
      <c r="W399" s="946" t="n"/>
      <c r="X399" s="946" t="n"/>
      <c r="Y399" s="946" t="n"/>
      <c r="Z399" s="946" t="n"/>
      <c r="AA399" s="946" t="n"/>
      <c r="AB399" s="946" t="n"/>
    </row>
    <row r="400">
      <c r="A400" s="186" t="n"/>
      <c r="B400" s="186" t="n"/>
      <c r="C400" s="186" t="n"/>
      <c r="D400" s="186" t="n"/>
      <c r="E400" s="186" t="n"/>
      <c r="F400" s="956" t="n"/>
      <c r="G400" s="956" t="n"/>
      <c r="H400" s="956" t="n"/>
      <c r="I400" s="956" t="n"/>
      <c r="J400" s="956" t="n"/>
      <c r="K400" s="946" t="n"/>
      <c r="L400" s="946" t="n"/>
      <c r="M400" s="946" t="n"/>
      <c r="N400" s="946" t="n"/>
      <c r="O400" s="946" t="n"/>
      <c r="P400" s="946" t="n"/>
      <c r="Q400" s="946" t="n"/>
      <c r="R400" s="946" t="n"/>
      <c r="S400" s="946" t="n"/>
      <c r="T400" s="946" t="n"/>
      <c r="U400" s="946" t="n"/>
      <c r="V400" s="946" t="n"/>
      <c r="W400" s="946" t="n"/>
      <c r="X400" s="946" t="n"/>
      <c r="Y400" s="946" t="n"/>
      <c r="Z400" s="946" t="n"/>
      <c r="AA400" s="946" t="n"/>
      <c r="AB400" s="946" t="n"/>
    </row>
    <row r="401">
      <c r="A401" s="186" t="n"/>
      <c r="B401" s="186" t="n"/>
      <c r="C401" s="186" t="n"/>
      <c r="D401" s="186" t="n"/>
      <c r="E401" s="186" t="n"/>
      <c r="F401" s="956" t="n"/>
      <c r="G401" s="956" t="n"/>
      <c r="H401" s="956" t="n"/>
      <c r="I401" s="956" t="n"/>
      <c r="J401" s="956" t="n"/>
      <c r="K401" s="946" t="n"/>
      <c r="L401" s="946" t="n"/>
      <c r="M401" s="946" t="n"/>
      <c r="N401" s="946" t="n"/>
      <c r="O401" s="946" t="n"/>
      <c r="P401" s="946" t="n"/>
      <c r="Q401" s="946" t="n"/>
      <c r="R401" s="946" t="n"/>
      <c r="S401" s="946" t="n"/>
      <c r="T401" s="946" t="n"/>
      <c r="U401" s="946" t="n"/>
      <c r="V401" s="946" t="n"/>
      <c r="W401" s="946" t="n"/>
      <c r="X401" s="946" t="n"/>
      <c r="Y401" s="946" t="n"/>
      <c r="Z401" s="946" t="n"/>
      <c r="AA401" s="946" t="n"/>
      <c r="AB401" s="946" t="n"/>
    </row>
    <row r="402">
      <c r="A402" s="186" t="n"/>
      <c r="B402" s="186" t="n"/>
      <c r="C402" s="186" t="n"/>
      <c r="D402" s="186" t="n"/>
      <c r="E402" s="186" t="n"/>
      <c r="F402" s="956" t="n"/>
      <c r="G402" s="956" t="n"/>
      <c r="H402" s="956" t="n"/>
      <c r="I402" s="956" t="n"/>
      <c r="J402" s="956" t="n"/>
      <c r="K402" s="946" t="n"/>
      <c r="L402" s="946" t="n"/>
      <c r="M402" s="946" t="n"/>
      <c r="N402" s="946" t="n"/>
      <c r="O402" s="946" t="n"/>
      <c r="P402" s="946" t="n"/>
      <c r="Q402" s="946" t="n"/>
      <c r="R402" s="946" t="n"/>
      <c r="S402" s="946" t="n"/>
      <c r="T402" s="946" t="n"/>
      <c r="U402" s="946" t="n"/>
      <c r="V402" s="946" t="n"/>
      <c r="W402" s="946" t="n"/>
      <c r="X402" s="946" t="n"/>
      <c r="Y402" s="946" t="n"/>
      <c r="Z402" s="946" t="n"/>
      <c r="AA402" s="946" t="n"/>
      <c r="AB402" s="946" t="n"/>
    </row>
    <row r="403">
      <c r="A403" s="186" t="n"/>
      <c r="B403" s="186" t="n"/>
      <c r="C403" s="176" t="n"/>
      <c r="D403" s="176" t="n"/>
      <c r="E403" s="186" t="n"/>
      <c r="F403" s="956" t="n"/>
      <c r="G403" s="956" t="n"/>
      <c r="H403" s="956" t="n"/>
      <c r="I403" s="956" t="n"/>
      <c r="J403" s="956" t="n"/>
      <c r="K403" s="946" t="n"/>
      <c r="L403" s="946" t="n"/>
      <c r="M403" s="946" t="n"/>
      <c r="N403" s="946" t="n"/>
      <c r="O403" s="946" t="n"/>
      <c r="P403" s="946" t="n"/>
      <c r="Q403" s="946" t="n"/>
      <c r="R403" s="946" t="n"/>
      <c r="S403" s="946" t="n"/>
      <c r="T403" s="946" t="n"/>
      <c r="U403" s="946" t="n"/>
      <c r="V403" s="946" t="n"/>
      <c r="W403" s="946" t="n"/>
      <c r="X403" s="946" t="n"/>
      <c r="Y403" s="946" t="n"/>
      <c r="Z403" s="946" t="n"/>
      <c r="AA403" s="946" t="n"/>
      <c r="AB403" s="946" t="n"/>
    </row>
    <row r="404">
      <c r="A404" s="186" t="n"/>
      <c r="B404" s="186" t="n"/>
      <c r="C404" s="176" t="n"/>
      <c r="D404" s="176" t="n"/>
      <c r="E404" s="186" t="n"/>
      <c r="F404" s="956" t="n"/>
      <c r="G404" s="956" t="n"/>
      <c r="H404" s="956" t="n"/>
      <c r="I404" s="956" t="n"/>
      <c r="J404" s="956" t="n"/>
      <c r="K404" s="946" t="n"/>
      <c r="L404" s="946" t="n"/>
      <c r="M404" s="946" t="n"/>
      <c r="N404" s="946" t="n"/>
      <c r="O404" s="946" t="n"/>
      <c r="P404" s="946" t="n"/>
      <c r="Q404" s="946" t="n"/>
      <c r="R404" s="946" t="n"/>
      <c r="S404" s="946" t="n"/>
      <c r="T404" s="946" t="n"/>
      <c r="U404" s="946" t="n"/>
      <c r="V404" s="946" t="n"/>
      <c r="W404" s="946" t="n"/>
      <c r="X404" s="946" t="n"/>
      <c r="Y404" s="946" t="n"/>
      <c r="Z404" s="946" t="n"/>
      <c r="AA404" s="946" t="n"/>
      <c r="AB404" s="946" t="n"/>
    </row>
    <row r="405">
      <c r="A405" s="186" t="n"/>
      <c r="B405" s="186" t="n"/>
      <c r="C405" s="176" t="n"/>
      <c r="D405" s="176" t="n"/>
      <c r="E405" s="186" t="n"/>
      <c r="F405" s="956" t="n"/>
      <c r="G405" s="956" t="n"/>
      <c r="H405" s="956" t="n"/>
      <c r="I405" s="956" t="n"/>
      <c r="J405" s="956" t="n"/>
      <c r="K405" s="946" t="n"/>
      <c r="L405" s="946" t="n"/>
      <c r="M405" s="946" t="n"/>
      <c r="N405" s="946" t="n"/>
      <c r="O405" s="946" t="n"/>
      <c r="P405" s="946" t="n"/>
      <c r="Q405" s="946" t="n"/>
      <c r="R405" s="946" t="n"/>
      <c r="S405" s="946" t="n"/>
      <c r="T405" s="946" t="n"/>
      <c r="U405" s="946" t="n"/>
      <c r="V405" s="946" t="n"/>
      <c r="W405" s="946" t="n"/>
      <c r="X405" s="946" t="n"/>
      <c r="Y405" s="946" t="n"/>
      <c r="Z405" s="946" t="n"/>
      <c r="AA405" s="946" t="n"/>
      <c r="AB405" s="946" t="n"/>
    </row>
    <row r="406">
      <c r="A406" s="186" t="n"/>
      <c r="B406" s="186" t="n"/>
      <c r="C406" s="176" t="n"/>
      <c r="D406" s="176" t="n"/>
      <c r="E406" s="186" t="n"/>
      <c r="F406" s="956" t="n"/>
      <c r="G406" s="956" t="n"/>
      <c r="H406" s="956" t="n"/>
      <c r="I406" s="956" t="n"/>
      <c r="J406" s="956" t="n"/>
      <c r="K406" s="946" t="n"/>
      <c r="L406" s="946" t="n"/>
      <c r="M406" s="946" t="n"/>
      <c r="N406" s="946" t="n"/>
      <c r="O406" s="946" t="n"/>
      <c r="P406" s="946" t="n"/>
      <c r="Q406" s="946" t="n"/>
      <c r="R406" s="946" t="n"/>
      <c r="S406" s="946" t="n"/>
      <c r="T406" s="946" t="n"/>
      <c r="U406" s="946" t="n"/>
      <c r="V406" s="946" t="n"/>
      <c r="W406" s="946" t="n"/>
      <c r="X406" s="946" t="n"/>
      <c r="Y406" s="946" t="n"/>
      <c r="Z406" s="946" t="n"/>
      <c r="AA406" s="946" t="n"/>
      <c r="AB406" s="946" t="n"/>
    </row>
    <row r="407">
      <c r="A407" s="186" t="n"/>
      <c r="B407" s="186" t="n"/>
      <c r="C407" s="176" t="n"/>
      <c r="D407" s="176" t="n"/>
      <c r="E407" s="186" t="n"/>
      <c r="F407" s="956" t="n"/>
      <c r="G407" s="956" t="n"/>
      <c r="H407" s="956" t="n"/>
      <c r="I407" s="956" t="n"/>
      <c r="J407" s="956" t="n"/>
      <c r="K407" s="946" t="n"/>
      <c r="L407" s="946" t="n"/>
      <c r="M407" s="946" t="n"/>
      <c r="N407" s="946" t="n"/>
      <c r="O407" s="946" t="n"/>
      <c r="P407" s="946" t="n"/>
      <c r="Q407" s="946" t="n"/>
      <c r="R407" s="946" t="n"/>
      <c r="S407" s="946" t="n"/>
      <c r="T407" s="946" t="n"/>
      <c r="U407" s="946" t="n"/>
      <c r="V407" s="946" t="n"/>
      <c r="W407" s="946" t="n"/>
      <c r="X407" s="946" t="n"/>
      <c r="Y407" s="946" t="n"/>
      <c r="Z407" s="946" t="n"/>
      <c r="AA407" s="946" t="n"/>
      <c r="AB407" s="946" t="n"/>
    </row>
    <row r="408">
      <c r="A408" s="186" t="n"/>
      <c r="B408" s="186" t="n"/>
      <c r="C408" s="176" t="n"/>
      <c r="D408" s="176" t="n"/>
      <c r="E408" s="186" t="n"/>
      <c r="F408" s="956" t="n"/>
      <c r="G408" s="956" t="n"/>
      <c r="H408" s="956" t="n"/>
      <c r="I408" s="956" t="n"/>
      <c r="J408" s="956" t="n"/>
      <c r="K408" s="946" t="n"/>
      <c r="L408" s="946" t="n"/>
      <c r="M408" s="946" t="n"/>
      <c r="N408" s="946" t="n"/>
      <c r="O408" s="946" t="n"/>
      <c r="P408" s="946" t="n"/>
      <c r="Q408" s="946" t="n"/>
      <c r="R408" s="946" t="n"/>
      <c r="S408" s="946" t="n"/>
      <c r="T408" s="946" t="n"/>
      <c r="U408" s="946" t="n"/>
      <c r="V408" s="946" t="n"/>
      <c r="W408" s="946" t="n"/>
      <c r="X408" s="946" t="n"/>
      <c r="Y408" s="946" t="n"/>
      <c r="Z408" s="946" t="n"/>
      <c r="AA408" s="946" t="n"/>
      <c r="AB408" s="946" t="n"/>
    </row>
    <row r="409">
      <c r="A409" s="186" t="n"/>
      <c r="B409" s="186" t="n"/>
      <c r="C409" s="176" t="n"/>
      <c r="D409" s="176" t="n"/>
      <c r="E409" s="186" t="n"/>
      <c r="F409" s="956" t="n"/>
      <c r="G409" s="956" t="n"/>
      <c r="H409" s="956" t="n"/>
      <c r="I409" s="956" t="n"/>
      <c r="J409" s="956" t="n"/>
      <c r="K409" s="946" t="n"/>
      <c r="L409" s="946" t="n"/>
      <c r="M409" s="946" t="n"/>
      <c r="N409" s="946" t="n"/>
      <c r="O409" s="946" t="n"/>
      <c r="P409" s="946" t="n"/>
      <c r="Q409" s="946" t="n"/>
      <c r="R409" s="946" t="n"/>
      <c r="S409" s="946" t="n"/>
      <c r="T409" s="946" t="n"/>
      <c r="U409" s="946" t="n"/>
      <c r="V409" s="946" t="n"/>
      <c r="W409" s="946" t="n"/>
      <c r="X409" s="946" t="n"/>
      <c r="Y409" s="946" t="n"/>
      <c r="Z409" s="946" t="n"/>
      <c r="AA409" s="946" t="n"/>
      <c r="AB409" s="946" t="n"/>
    </row>
    <row r="410">
      <c r="A410" s="186" t="n"/>
      <c r="B410" s="186" t="n"/>
      <c r="C410" s="176" t="n"/>
      <c r="D410" s="176" t="n"/>
      <c r="E410" s="186" t="n"/>
      <c r="F410" s="956" t="n"/>
      <c r="G410" s="956" t="n"/>
      <c r="H410" s="956" t="n"/>
      <c r="I410" s="956" t="n"/>
      <c r="J410" s="956" t="n"/>
      <c r="K410" s="946" t="n"/>
      <c r="L410" s="946" t="n"/>
      <c r="M410" s="946" t="n"/>
      <c r="N410" s="946" t="n"/>
      <c r="O410" s="946" t="n"/>
      <c r="P410" s="946" t="n"/>
      <c r="Q410" s="946" t="n"/>
      <c r="R410" s="946" t="n"/>
      <c r="S410" s="946" t="n"/>
      <c r="T410" s="946" t="n"/>
      <c r="U410" s="946" t="n"/>
      <c r="V410" s="946" t="n"/>
      <c r="W410" s="946" t="n"/>
      <c r="X410" s="946" t="n"/>
      <c r="Y410" s="946" t="n"/>
      <c r="Z410" s="946" t="n"/>
      <c r="AA410" s="946" t="n"/>
      <c r="AB410" s="946" t="n"/>
    </row>
    <row r="411">
      <c r="A411" s="186" t="n"/>
      <c r="B411" s="186" t="n"/>
      <c r="C411" s="176" t="n"/>
      <c r="D411" s="176" t="n"/>
      <c r="E411" s="186" t="n"/>
      <c r="F411" s="956" t="n"/>
      <c r="G411" s="956" t="n"/>
      <c r="H411" s="956" t="n"/>
      <c r="I411" s="956" t="n"/>
      <c r="J411" s="956" t="n"/>
      <c r="K411" s="946" t="n"/>
      <c r="L411" s="946" t="n"/>
      <c r="M411" s="946" t="n"/>
      <c r="N411" s="946" t="n"/>
      <c r="O411" s="946" t="n"/>
      <c r="P411" s="946" t="n"/>
      <c r="Q411" s="946" t="n"/>
      <c r="R411" s="946" t="n"/>
      <c r="S411" s="946" t="n"/>
      <c r="T411" s="946" t="n"/>
      <c r="U411" s="946" t="n"/>
      <c r="V411" s="946" t="n"/>
      <c r="W411" s="946" t="n"/>
      <c r="X411" s="946" t="n"/>
      <c r="Y411" s="946" t="n"/>
      <c r="Z411" s="946" t="n"/>
      <c r="AA411" s="946" t="n"/>
      <c r="AB411" s="946" t="n"/>
    </row>
    <row r="412">
      <c r="A412" s="186" t="n"/>
      <c r="B412" s="186" t="n"/>
      <c r="C412" s="176" t="n"/>
      <c r="D412" s="176" t="n"/>
      <c r="E412" s="186" t="n"/>
      <c r="F412" s="956" t="n"/>
      <c r="G412" s="956" t="n"/>
      <c r="H412" s="956" t="n"/>
      <c r="I412" s="956" t="n"/>
      <c r="J412" s="956" t="n"/>
      <c r="K412" s="946" t="n"/>
      <c r="L412" s="946" t="n"/>
      <c r="M412" s="946" t="n"/>
      <c r="N412" s="946" t="n"/>
      <c r="O412" s="946" t="n"/>
      <c r="P412" s="946" t="n"/>
      <c r="Q412" s="946" t="n"/>
      <c r="R412" s="946" t="n"/>
      <c r="S412" s="946" t="n"/>
      <c r="T412" s="946" t="n"/>
      <c r="U412" s="946" t="n"/>
      <c r="V412" s="946" t="n"/>
      <c r="W412" s="946" t="n"/>
      <c r="X412" s="946" t="n"/>
      <c r="Y412" s="946" t="n"/>
      <c r="Z412" s="946" t="n"/>
      <c r="AA412" s="946" t="n"/>
      <c r="AB412" s="946" t="n"/>
    </row>
    <row r="413">
      <c r="A413" s="186" t="n"/>
      <c r="B413" s="186" t="n"/>
      <c r="C413" s="176" t="n"/>
      <c r="D413" s="176" t="n"/>
      <c r="E413" s="186" t="n"/>
      <c r="F413" s="956" t="n"/>
      <c r="G413" s="956" t="n"/>
      <c r="H413" s="956" t="n"/>
      <c r="I413" s="956" t="n"/>
      <c r="J413" s="956" t="n"/>
      <c r="K413" s="946" t="n"/>
      <c r="L413" s="946" t="n"/>
      <c r="M413" s="946" t="n"/>
      <c r="N413" s="946" t="n"/>
      <c r="O413" s="946" t="n"/>
      <c r="P413" s="946" t="n"/>
      <c r="Q413" s="946" t="n"/>
      <c r="R413" s="946" t="n"/>
      <c r="S413" s="946" t="n"/>
      <c r="T413" s="946" t="n"/>
      <c r="U413" s="946" t="n"/>
      <c r="V413" s="946" t="n"/>
      <c r="W413" s="946" t="n"/>
      <c r="X413" s="946" t="n"/>
      <c r="Y413" s="946" t="n"/>
      <c r="Z413" s="946" t="n"/>
      <c r="AA413" s="946" t="n"/>
      <c r="AB413" s="946" t="n"/>
    </row>
    <row r="414">
      <c r="A414" s="186" t="n"/>
      <c r="B414" s="186" t="n"/>
      <c r="C414" s="176" t="n"/>
      <c r="D414" s="176" t="n"/>
      <c r="E414" s="186" t="n"/>
      <c r="F414" s="956" t="n"/>
      <c r="G414" s="956" t="n"/>
      <c r="H414" s="956" t="n"/>
      <c r="I414" s="956" t="n"/>
      <c r="J414" s="956" t="n"/>
      <c r="K414" s="946" t="n"/>
      <c r="L414" s="946" t="n"/>
      <c r="M414" s="946" t="n"/>
      <c r="N414" s="946" t="n"/>
      <c r="O414" s="946" t="n"/>
      <c r="P414" s="946" t="n"/>
      <c r="Q414" s="946" t="n"/>
      <c r="R414" s="946" t="n"/>
      <c r="S414" s="946" t="n"/>
      <c r="T414" s="946" t="n"/>
      <c r="U414" s="946" t="n"/>
      <c r="V414" s="946" t="n"/>
      <c r="W414" s="946" t="n"/>
      <c r="X414" s="946" t="n"/>
      <c r="Y414" s="946" t="n"/>
      <c r="Z414" s="946" t="n"/>
      <c r="AA414" s="946" t="n"/>
      <c r="AB414" s="946" t="n"/>
    </row>
    <row r="415">
      <c r="A415" s="186" t="n"/>
      <c r="B415" s="186" t="n"/>
      <c r="C415" s="176" t="n"/>
      <c r="D415" s="176" t="n"/>
      <c r="E415" s="186" t="n"/>
      <c r="F415" s="956" t="n"/>
      <c r="G415" s="956" t="n"/>
      <c r="H415" s="956" t="n"/>
      <c r="I415" s="956" t="n"/>
      <c r="J415" s="956" t="n"/>
      <c r="K415" s="946" t="n"/>
      <c r="L415" s="946" t="n"/>
      <c r="M415" s="946" t="n"/>
      <c r="N415" s="946" t="n"/>
      <c r="O415" s="946" t="n"/>
      <c r="P415" s="946" t="n"/>
      <c r="Q415" s="946" t="n"/>
      <c r="R415" s="946" t="n"/>
      <c r="S415" s="946" t="n"/>
      <c r="T415" s="946" t="n"/>
      <c r="U415" s="946" t="n"/>
      <c r="V415" s="946" t="n"/>
      <c r="W415" s="946" t="n"/>
      <c r="X415" s="946" t="n"/>
      <c r="Y415" s="946" t="n"/>
      <c r="Z415" s="946" t="n"/>
      <c r="AA415" s="946" t="n"/>
      <c r="AB415" s="946" t="n"/>
    </row>
    <row r="416">
      <c r="A416" s="186" t="n"/>
      <c r="B416" s="186" t="n"/>
      <c r="C416" s="176" t="n"/>
      <c r="D416" s="176" t="n"/>
      <c r="E416" s="186" t="n"/>
      <c r="F416" s="956" t="n"/>
      <c r="G416" s="956" t="n"/>
      <c r="H416" s="956" t="n"/>
      <c r="I416" s="956" t="n"/>
      <c r="J416" s="956" t="n"/>
      <c r="K416" s="946" t="n"/>
      <c r="L416" s="946" t="n"/>
      <c r="M416" s="946" t="n"/>
      <c r="N416" s="946" t="n"/>
      <c r="O416" s="946" t="n"/>
      <c r="P416" s="946" t="n"/>
      <c r="Q416" s="946" t="n"/>
      <c r="R416" s="946" t="n"/>
      <c r="S416" s="946" t="n"/>
      <c r="T416" s="946" t="n"/>
      <c r="U416" s="946" t="n"/>
      <c r="V416" s="946" t="n"/>
      <c r="W416" s="946" t="n"/>
      <c r="X416" s="946" t="n"/>
      <c r="Y416" s="946" t="n"/>
      <c r="Z416" s="946" t="n"/>
      <c r="AA416" s="946" t="n"/>
      <c r="AB416" s="946" t="n"/>
    </row>
    <row r="417">
      <c r="A417" s="186" t="n"/>
      <c r="B417" s="186" t="n"/>
      <c r="C417" s="176" t="n"/>
      <c r="D417" s="176" t="n"/>
      <c r="E417" s="186" t="n"/>
      <c r="F417" s="956" t="n"/>
      <c r="G417" s="956" t="n"/>
      <c r="H417" s="956" t="n"/>
      <c r="I417" s="956" t="n"/>
      <c r="J417" s="956" t="n"/>
      <c r="K417" s="946" t="n"/>
      <c r="L417" s="946" t="n"/>
      <c r="M417" s="946" t="n"/>
      <c r="N417" s="946" t="n"/>
      <c r="O417" s="946" t="n"/>
      <c r="P417" s="946" t="n"/>
      <c r="Q417" s="946" t="n"/>
      <c r="R417" s="946" t="n"/>
      <c r="S417" s="946" t="n"/>
      <c r="T417" s="946" t="n"/>
      <c r="U417" s="946" t="n"/>
      <c r="V417" s="946" t="n"/>
      <c r="W417" s="946" t="n"/>
      <c r="X417" s="946" t="n"/>
      <c r="Y417" s="946" t="n"/>
      <c r="Z417" s="946" t="n"/>
      <c r="AA417" s="946" t="n"/>
      <c r="AB417" s="946" t="n"/>
    </row>
    <row r="418">
      <c r="A418" s="186" t="n"/>
      <c r="B418" s="186" t="n"/>
      <c r="C418" s="176" t="n"/>
      <c r="D418" s="176" t="n"/>
      <c r="E418" s="186" t="n"/>
      <c r="F418" s="956" t="n"/>
      <c r="G418" s="956" t="n"/>
      <c r="H418" s="956" t="n"/>
      <c r="I418" s="956" t="n"/>
      <c r="J418" s="956" t="n"/>
      <c r="K418" s="946" t="n"/>
      <c r="L418" s="946" t="n"/>
      <c r="M418" s="946" t="n"/>
      <c r="N418" s="946" t="n"/>
      <c r="O418" s="946" t="n"/>
      <c r="P418" s="946" t="n"/>
      <c r="Q418" s="946" t="n"/>
      <c r="R418" s="946" t="n"/>
      <c r="S418" s="946" t="n"/>
      <c r="T418" s="946" t="n"/>
      <c r="U418" s="946" t="n"/>
      <c r="V418" s="946" t="n"/>
      <c r="W418" s="946" t="n"/>
      <c r="X418" s="946" t="n"/>
      <c r="Y418" s="946" t="n"/>
      <c r="Z418" s="946" t="n"/>
      <c r="AA418" s="946" t="n"/>
      <c r="AB418" s="946" t="n"/>
    </row>
    <row r="419">
      <c r="A419" s="176" t="n"/>
      <c r="B419" s="176" t="n"/>
      <c r="C419" s="176" t="n"/>
      <c r="D419" s="176" t="n"/>
      <c r="E419" s="186" t="n"/>
      <c r="F419" s="956" t="n"/>
      <c r="G419" s="956" t="n"/>
      <c r="H419" s="956" t="n"/>
      <c r="I419" s="956" t="n"/>
      <c r="J419" s="956" t="n"/>
      <c r="K419" s="946" t="n"/>
      <c r="L419" s="946" t="n"/>
      <c r="M419" s="946" t="n"/>
      <c r="N419" s="946" t="n"/>
      <c r="O419" s="946" t="n"/>
      <c r="P419" s="946" t="n"/>
      <c r="Q419" s="946" t="n"/>
      <c r="R419" s="946" t="n"/>
      <c r="S419" s="946" t="n"/>
      <c r="T419" s="946" t="n"/>
      <c r="U419" s="946" t="n"/>
      <c r="V419" s="946" t="n"/>
      <c r="W419" s="946" t="n"/>
      <c r="X419" s="946" t="n"/>
      <c r="Y419" s="946" t="n"/>
      <c r="Z419" s="946" t="n"/>
      <c r="AA419" s="946" t="n"/>
      <c r="AB419" s="946" t="n"/>
    </row>
    <row r="420">
      <c r="A420" s="176" t="n"/>
      <c r="B420" s="176" t="n"/>
      <c r="C420" s="176" t="n"/>
      <c r="D420" s="176" t="n"/>
      <c r="E420" s="186" t="n"/>
      <c r="F420" s="956" t="n"/>
      <c r="G420" s="956" t="n"/>
      <c r="H420" s="956" t="n"/>
      <c r="I420" s="956" t="n"/>
      <c r="J420" s="956" t="n"/>
      <c r="K420" s="946" t="n"/>
      <c r="L420" s="946" t="n"/>
      <c r="M420" s="946" t="n"/>
      <c r="N420" s="946" t="n"/>
      <c r="O420" s="946" t="n"/>
      <c r="P420" s="946" t="n"/>
      <c r="Q420" s="946" t="n"/>
      <c r="R420" s="946" t="n"/>
      <c r="S420" s="946" t="n"/>
      <c r="T420" s="946" t="n"/>
      <c r="U420" s="946" t="n"/>
      <c r="V420" s="946" t="n"/>
      <c r="W420" s="946" t="n"/>
      <c r="X420" s="946" t="n"/>
      <c r="Y420" s="946" t="n"/>
      <c r="Z420" s="946" t="n"/>
      <c r="AA420" s="946" t="n"/>
      <c r="AB420" s="946" t="n"/>
    </row>
    <row r="421">
      <c r="A421" s="176" t="n"/>
      <c r="B421" s="176" t="n"/>
      <c r="C421" s="176" t="n"/>
      <c r="D421" s="176" t="n"/>
      <c r="E421" s="186" t="n"/>
      <c r="F421" s="956" t="n"/>
      <c r="G421" s="956" t="n"/>
      <c r="H421" s="956" t="n"/>
      <c r="I421" s="956" t="n"/>
      <c r="J421" s="956" t="n"/>
      <c r="K421" s="946" t="n"/>
      <c r="L421" s="946" t="n"/>
      <c r="M421" s="946" t="n"/>
      <c r="N421" s="946" t="n"/>
      <c r="O421" s="946" t="n"/>
      <c r="P421" s="946" t="n"/>
      <c r="Q421" s="946" t="n"/>
      <c r="R421" s="946" t="n"/>
      <c r="S421" s="946" t="n"/>
      <c r="T421" s="946" t="n"/>
      <c r="U421" s="946" t="n"/>
      <c r="V421" s="946" t="n"/>
      <c r="W421" s="946" t="n"/>
      <c r="X421" s="946" t="n"/>
      <c r="Y421" s="946" t="n"/>
      <c r="Z421" s="946" t="n"/>
      <c r="AA421" s="946" t="n"/>
      <c r="AB421" s="946" t="n"/>
    </row>
    <row r="422">
      <c r="A422" s="176" t="n"/>
      <c r="B422" s="176" t="n"/>
      <c r="C422" s="176" t="n"/>
      <c r="D422" s="176" t="n"/>
      <c r="E422" s="186" t="n"/>
      <c r="F422" s="956" t="n"/>
      <c r="G422" s="956" t="n"/>
      <c r="H422" s="956" t="n"/>
      <c r="I422" s="956" t="n"/>
      <c r="J422" s="956" t="n"/>
      <c r="K422" s="946" t="n"/>
      <c r="L422" s="176" t="n"/>
      <c r="M422" s="176" t="n"/>
      <c r="N422" s="176" t="n"/>
      <c r="O422" s="176" t="n"/>
      <c r="P422" s="176" t="n"/>
      <c r="Q422" s="176" t="n"/>
      <c r="R422" s="176" t="n"/>
      <c r="S422" s="176" t="n"/>
      <c r="T422" s="176" t="n"/>
      <c r="U422" s="176" t="n"/>
      <c r="V422" s="176" t="n"/>
      <c r="W422" s="176" t="n"/>
      <c r="X422" s="176" t="n"/>
      <c r="Y422" s="176" t="n"/>
      <c r="Z422" s="176" t="n"/>
      <c r="AA422" s="176" t="n"/>
      <c r="AB422" s="176" t="n"/>
    </row>
    <row r="423">
      <c r="A423" s="176" t="n"/>
      <c r="B423" s="176" t="n"/>
      <c r="C423" s="176" t="n"/>
      <c r="D423" s="176" t="n"/>
      <c r="E423" s="186" t="n"/>
      <c r="F423" s="956" t="n"/>
      <c r="G423" s="956" t="n"/>
      <c r="H423" s="956" t="n"/>
      <c r="I423" s="956" t="n"/>
      <c r="J423" s="956" t="n"/>
      <c r="K423" s="946" t="n"/>
      <c r="L423" s="176" t="n"/>
      <c r="M423" s="176" t="n"/>
      <c r="N423" s="176" t="n"/>
      <c r="O423" s="176" t="n"/>
      <c r="P423" s="176" t="n"/>
      <c r="Q423" s="176" t="n"/>
      <c r="R423" s="176" t="n"/>
      <c r="S423" s="176" t="n"/>
      <c r="T423" s="176" t="n"/>
      <c r="U423" s="176" t="n"/>
      <c r="V423" s="176" t="n"/>
      <c r="W423" s="176" t="n"/>
      <c r="X423" s="176" t="n"/>
      <c r="Y423" s="176" t="n"/>
      <c r="Z423" s="176" t="n"/>
      <c r="AA423" s="176" t="n"/>
      <c r="AB423" s="176" t="n"/>
    </row>
    <row r="424">
      <c r="A424" s="176" t="n"/>
      <c r="B424" s="176" t="n"/>
      <c r="C424" s="176" t="n"/>
      <c r="D424" s="176" t="n"/>
      <c r="E424" s="186" t="n"/>
      <c r="F424" s="956" t="n"/>
      <c r="G424" s="956" t="n"/>
      <c r="H424" s="956" t="n"/>
      <c r="I424" s="956" t="n"/>
      <c r="J424" s="956" t="n"/>
      <c r="K424" s="946" t="n"/>
      <c r="L424" s="176" t="n"/>
      <c r="M424" s="176" t="n"/>
      <c r="N424" s="176" t="n"/>
      <c r="O424" s="176" t="n"/>
      <c r="P424" s="176" t="n"/>
      <c r="Q424" s="176" t="n"/>
      <c r="R424" s="176" t="n"/>
      <c r="S424" s="176" t="n"/>
      <c r="T424" s="176" t="n"/>
      <c r="U424" s="176" t="n"/>
      <c r="V424" s="176" t="n"/>
      <c r="W424" s="176" t="n"/>
      <c r="X424" s="176" t="n"/>
      <c r="Y424" s="176" t="n"/>
      <c r="Z424" s="176" t="n"/>
      <c r="AA424" s="176" t="n"/>
      <c r="AB424" s="176" t="n"/>
    </row>
    <row r="425">
      <c r="A425" s="176" t="n"/>
      <c r="B425" s="176" t="n"/>
      <c r="C425" s="176" t="n"/>
      <c r="D425" s="176" t="n"/>
      <c r="E425" s="186" t="n"/>
      <c r="F425" s="956" t="n"/>
      <c r="G425" s="956" t="n"/>
      <c r="H425" s="956" t="n"/>
      <c r="I425" s="956" t="n"/>
      <c r="J425" s="956" t="n"/>
      <c r="K425" s="946" t="n"/>
      <c r="L425" s="176" t="n"/>
      <c r="M425" s="176" t="n"/>
      <c r="N425" s="176" t="n"/>
      <c r="O425" s="176" t="n"/>
      <c r="P425" s="176" t="n"/>
      <c r="Q425" s="176" t="n"/>
      <c r="R425" s="176" t="n"/>
      <c r="S425" s="176" t="n"/>
      <c r="T425" s="176" t="n"/>
      <c r="U425" s="176" t="n"/>
      <c r="V425" s="176" t="n"/>
      <c r="W425" s="176" t="n"/>
      <c r="X425" s="176" t="n"/>
      <c r="Y425" s="176" t="n"/>
      <c r="Z425" s="176" t="n"/>
      <c r="AA425" s="176" t="n"/>
      <c r="AB425" s="176" t="n"/>
    </row>
    <row r="426">
      <c r="A426" s="176" t="n"/>
      <c r="B426" s="176" t="n"/>
      <c r="C426" s="176" t="n"/>
      <c r="D426" s="176" t="n"/>
      <c r="E426" s="186" t="n"/>
      <c r="F426" s="956" t="n"/>
      <c r="G426" s="956" t="n"/>
      <c r="H426" s="956" t="n"/>
      <c r="I426" s="956" t="n"/>
      <c r="J426" s="956" t="n"/>
      <c r="K426" s="946" t="n"/>
      <c r="L426" s="176" t="n"/>
      <c r="M426" s="176" t="n"/>
      <c r="N426" s="176" t="n"/>
      <c r="O426" s="176" t="n"/>
      <c r="P426" s="176" t="n"/>
      <c r="Q426" s="176" t="n"/>
      <c r="R426" s="176" t="n"/>
      <c r="S426" s="176" t="n"/>
      <c r="T426" s="176" t="n"/>
      <c r="U426" s="176" t="n"/>
      <c r="V426" s="176" t="n"/>
      <c r="W426" s="176" t="n"/>
      <c r="X426" s="176" t="n"/>
      <c r="Y426" s="176" t="n"/>
      <c r="Z426" s="176" t="n"/>
      <c r="AA426" s="176" t="n"/>
      <c r="AB426" s="176" t="n"/>
    </row>
    <row r="427">
      <c r="A427" s="176" t="n"/>
      <c r="B427" s="176" t="n"/>
      <c r="C427" s="176" t="n"/>
      <c r="D427" s="176" t="n"/>
      <c r="E427" s="186" t="n"/>
      <c r="F427" s="956" t="n"/>
      <c r="G427" s="956" t="n"/>
      <c r="H427" s="956" t="n"/>
      <c r="I427" s="956" t="n"/>
      <c r="J427" s="956" t="n"/>
      <c r="K427" s="946" t="n"/>
      <c r="L427" s="176" t="n"/>
      <c r="M427" s="176" t="n"/>
      <c r="N427" s="176" t="n"/>
      <c r="O427" s="176" t="n"/>
      <c r="P427" s="176" t="n"/>
      <c r="Q427" s="176" t="n"/>
      <c r="R427" s="176" t="n"/>
      <c r="S427" s="176" t="n"/>
      <c r="T427" s="176" t="n"/>
      <c r="U427" s="176" t="n"/>
      <c r="V427" s="176" t="n"/>
      <c r="W427" s="176" t="n"/>
      <c r="X427" s="176" t="n"/>
      <c r="Y427" s="176" t="n"/>
      <c r="Z427" s="176" t="n"/>
      <c r="AA427" s="176" t="n"/>
      <c r="AB427" s="176" t="n"/>
    </row>
    <row r="428">
      <c r="A428" s="176" t="n"/>
      <c r="B428" s="176" t="n"/>
      <c r="C428" s="176" t="n"/>
      <c r="D428" s="176" t="n"/>
      <c r="E428" s="186" t="n"/>
      <c r="F428" s="956" t="n"/>
      <c r="G428" s="956" t="n"/>
      <c r="H428" s="956" t="n"/>
      <c r="I428" s="956" t="n"/>
      <c r="J428" s="956" t="n"/>
      <c r="K428" s="946" t="n"/>
      <c r="L428" s="176" t="n"/>
      <c r="M428" s="176" t="n"/>
      <c r="N428" s="176" t="n"/>
      <c r="O428" s="176" t="n"/>
      <c r="P428" s="176" t="n"/>
      <c r="Q428" s="176" t="n"/>
      <c r="R428" s="176" t="n"/>
      <c r="S428" s="176" t="n"/>
      <c r="T428" s="176" t="n"/>
      <c r="U428" s="176" t="n"/>
      <c r="V428" s="176" t="n"/>
      <c r="W428" s="176" t="n"/>
      <c r="X428" s="176" t="n"/>
      <c r="Y428" s="176" t="n"/>
      <c r="Z428" s="176" t="n"/>
      <c r="AA428" s="176" t="n"/>
      <c r="AB428" s="176" t="n"/>
    </row>
    <row r="429">
      <c r="A429" s="176" t="n"/>
      <c r="B429" s="176" t="n"/>
      <c r="C429" s="176" t="n"/>
      <c r="D429" s="176" t="n"/>
      <c r="E429" s="186" t="n"/>
      <c r="F429" s="956" t="n"/>
      <c r="G429" s="956" t="n"/>
      <c r="H429" s="956" t="n"/>
      <c r="I429" s="956" t="n"/>
      <c r="J429" s="956" t="n"/>
      <c r="K429" s="946" t="n"/>
      <c r="L429" s="176" t="n"/>
      <c r="M429" s="176" t="n"/>
      <c r="N429" s="176" t="n"/>
      <c r="O429" s="176" t="n"/>
      <c r="P429" s="176" t="n"/>
      <c r="Q429" s="176" t="n"/>
      <c r="R429" s="176" t="n"/>
      <c r="S429" s="176" t="n"/>
      <c r="T429" s="176" t="n"/>
      <c r="U429" s="176" t="n"/>
      <c r="V429" s="176" t="n"/>
      <c r="W429" s="176" t="n"/>
      <c r="X429" s="176" t="n"/>
      <c r="Y429" s="176" t="n"/>
      <c r="Z429" s="176" t="n"/>
      <c r="AA429" s="176" t="n"/>
      <c r="AB429" s="176" t="n"/>
    </row>
    <row r="430">
      <c r="A430" s="176" t="n"/>
      <c r="B430" s="176" t="n"/>
      <c r="C430" s="176" t="n"/>
      <c r="D430" s="176" t="n"/>
      <c r="E430" s="186" t="n"/>
      <c r="F430" s="956" t="n"/>
      <c r="G430" s="956" t="n"/>
      <c r="H430" s="956" t="n"/>
      <c r="I430" s="956" t="n"/>
      <c r="J430" s="956" t="n"/>
      <c r="K430" s="946" t="n"/>
      <c r="L430" s="176" t="n"/>
      <c r="M430" s="176" t="n"/>
      <c r="N430" s="176" t="n"/>
      <c r="O430" s="176" t="n"/>
      <c r="P430" s="176" t="n"/>
      <c r="Q430" s="176" t="n"/>
      <c r="R430" s="176" t="n"/>
      <c r="S430" s="176" t="n"/>
      <c r="T430" s="176" t="n"/>
      <c r="U430" s="176" t="n"/>
      <c r="V430" s="176" t="n"/>
      <c r="W430" s="176" t="n"/>
      <c r="X430" s="176" t="n"/>
      <c r="Y430" s="176" t="n"/>
      <c r="Z430" s="176" t="n"/>
      <c r="AA430" s="176" t="n"/>
      <c r="AB430" s="176" t="n"/>
    </row>
    <row r="431">
      <c r="A431" s="176" t="n"/>
      <c r="B431" s="176" t="n"/>
      <c r="C431" s="176" t="n"/>
      <c r="D431" s="176" t="n"/>
      <c r="E431" s="186" t="n"/>
      <c r="F431" s="956" t="n"/>
      <c r="G431" s="956" t="n"/>
      <c r="H431" s="956" t="n"/>
      <c r="I431" s="956" t="n"/>
      <c r="J431" s="956" t="n"/>
      <c r="K431" s="946" t="n"/>
      <c r="L431" s="176" t="n"/>
      <c r="M431" s="176" t="n"/>
      <c r="N431" s="176" t="n"/>
      <c r="O431" s="176" t="n"/>
      <c r="P431" s="176" t="n"/>
      <c r="Q431" s="176" t="n"/>
      <c r="R431" s="176" t="n"/>
      <c r="S431" s="176" t="n"/>
      <c r="T431" s="176" t="n"/>
      <c r="U431" s="176" t="n"/>
      <c r="V431" s="176" t="n"/>
      <c r="W431" s="176" t="n"/>
      <c r="X431" s="176" t="n"/>
      <c r="Y431" s="176" t="n"/>
      <c r="Z431" s="176" t="n"/>
      <c r="AA431" s="176" t="n"/>
      <c r="AB431" s="176" t="n"/>
    </row>
    <row r="432">
      <c r="A432" s="176" t="n"/>
      <c r="B432" s="176" t="n"/>
      <c r="C432" s="176" t="n"/>
      <c r="D432" s="176" t="n"/>
      <c r="E432" s="186" t="n"/>
      <c r="F432" s="956" t="n"/>
      <c r="G432" s="956" t="n"/>
      <c r="H432" s="956" t="n"/>
      <c r="I432" s="956" t="n"/>
      <c r="J432" s="956" t="n"/>
      <c r="K432" s="946" t="n"/>
      <c r="L432" s="176" t="n"/>
      <c r="M432" s="176" t="n"/>
      <c r="N432" s="176" t="n"/>
      <c r="O432" s="176" t="n"/>
      <c r="P432" s="176" t="n"/>
      <c r="Q432" s="176" t="n"/>
      <c r="R432" s="176" t="n"/>
      <c r="S432" s="176" t="n"/>
      <c r="T432" s="176" t="n"/>
      <c r="U432" s="176" t="n"/>
      <c r="V432" s="176" t="n"/>
      <c r="W432" s="176" t="n"/>
      <c r="X432" s="176" t="n"/>
      <c r="Y432" s="176" t="n"/>
      <c r="Z432" s="176" t="n"/>
      <c r="AA432" s="176" t="n"/>
      <c r="AB432" s="176" t="n"/>
    </row>
    <row r="433">
      <c r="A433" s="176" t="n"/>
      <c r="B433" s="176" t="n"/>
      <c r="C433" s="176" t="n"/>
      <c r="D433" s="176" t="n"/>
      <c r="E433" s="186" t="n"/>
      <c r="F433" s="956" t="n"/>
      <c r="G433" s="956" t="n"/>
      <c r="H433" s="956" t="n"/>
      <c r="I433" s="956" t="n"/>
      <c r="J433" s="956" t="n"/>
      <c r="K433" s="946" t="n"/>
      <c r="L433" s="176" t="n"/>
      <c r="M433" s="176" t="n"/>
      <c r="N433" s="176" t="n"/>
      <c r="O433" s="176" t="n"/>
      <c r="P433" s="176" t="n"/>
      <c r="Q433" s="176" t="n"/>
      <c r="R433" s="176" t="n"/>
      <c r="S433" s="176" t="n"/>
      <c r="T433" s="176" t="n"/>
      <c r="U433" s="176" t="n"/>
      <c r="V433" s="176" t="n"/>
      <c r="W433" s="176" t="n"/>
      <c r="X433" s="176" t="n"/>
      <c r="Y433" s="176" t="n"/>
      <c r="Z433" s="176" t="n"/>
      <c r="AA433" s="176" t="n"/>
      <c r="AB433" s="176" t="n"/>
    </row>
    <row r="434">
      <c r="A434" s="176" t="n"/>
      <c r="B434" s="176" t="n"/>
      <c r="C434" s="176" t="n"/>
      <c r="D434" s="176" t="n"/>
      <c r="E434" s="186" t="n"/>
      <c r="F434" s="956" t="n"/>
      <c r="G434" s="956" t="n"/>
      <c r="H434" s="956" t="n"/>
      <c r="I434" s="956" t="n"/>
      <c r="J434" s="956" t="n"/>
      <c r="K434" s="946" t="n"/>
      <c r="L434" s="176" t="n"/>
      <c r="M434" s="176" t="n"/>
      <c r="N434" s="176" t="n"/>
      <c r="O434" s="176" t="n"/>
      <c r="P434" s="176" t="n"/>
      <c r="Q434" s="176" t="n"/>
      <c r="R434" s="176" t="n"/>
      <c r="S434" s="176" t="n"/>
      <c r="T434" s="176" t="n"/>
      <c r="U434" s="176" t="n"/>
      <c r="V434" s="176" t="n"/>
      <c r="W434" s="176" t="n"/>
      <c r="X434" s="176" t="n"/>
      <c r="Y434" s="176" t="n"/>
      <c r="Z434" s="176" t="n"/>
      <c r="AA434" s="176" t="n"/>
      <c r="AB434" s="176" t="n"/>
    </row>
    <row r="435">
      <c r="A435" s="176" t="n"/>
      <c r="B435" s="176" t="n"/>
      <c r="C435" s="176" t="n"/>
      <c r="D435" s="176" t="n"/>
      <c r="E435" s="186" t="n"/>
      <c r="F435" s="956" t="n"/>
      <c r="G435" s="956" t="n"/>
      <c r="H435" s="956" t="n"/>
      <c r="I435" s="956" t="n"/>
      <c r="J435" s="956" t="n"/>
      <c r="K435" s="946" t="n"/>
      <c r="L435" s="176" t="n"/>
      <c r="M435" s="176" t="n"/>
      <c r="N435" s="176" t="n"/>
      <c r="O435" s="176" t="n"/>
      <c r="P435" s="176" t="n"/>
      <c r="Q435" s="176" t="n"/>
      <c r="R435" s="176" t="n"/>
      <c r="S435" s="176" t="n"/>
      <c r="T435" s="176" t="n"/>
      <c r="U435" s="176" t="n"/>
      <c r="V435" s="176" t="n"/>
      <c r="W435" s="176" t="n"/>
      <c r="X435" s="176" t="n"/>
      <c r="Y435" s="176" t="n"/>
      <c r="Z435" s="176" t="n"/>
      <c r="AA435" s="176" t="n"/>
      <c r="AB435" s="176" t="n"/>
    </row>
    <row r="436">
      <c r="A436" s="176" t="n"/>
      <c r="B436" s="176" t="n"/>
      <c r="C436" s="176" t="n"/>
      <c r="D436" s="176" t="n"/>
      <c r="E436" s="186" t="n"/>
      <c r="F436" s="956" t="n"/>
      <c r="G436" s="956" t="n"/>
      <c r="H436" s="956" t="n"/>
      <c r="I436" s="956" t="n"/>
      <c r="J436" s="956" t="n"/>
      <c r="K436" s="946" t="n"/>
      <c r="L436" s="176" t="n"/>
      <c r="M436" s="176" t="n"/>
      <c r="N436" s="176" t="n"/>
      <c r="O436" s="176" t="n"/>
      <c r="P436" s="176" t="n"/>
      <c r="Q436" s="176" t="n"/>
      <c r="R436" s="176" t="n"/>
      <c r="S436" s="176" t="n"/>
      <c r="T436" s="176" t="n"/>
      <c r="U436" s="176" t="n"/>
      <c r="V436" s="176" t="n"/>
      <c r="W436" s="176" t="n"/>
      <c r="X436" s="176" t="n"/>
      <c r="Y436" s="176" t="n"/>
      <c r="Z436" s="176" t="n"/>
      <c r="AA436" s="176" t="n"/>
      <c r="AB436" s="176" t="n"/>
    </row>
    <row r="437">
      <c r="A437" s="176" t="n"/>
      <c r="B437" s="176" t="n"/>
      <c r="C437" s="176" t="n"/>
      <c r="D437" s="176" t="n"/>
      <c r="E437" s="186" t="n"/>
      <c r="F437" s="956" t="n"/>
      <c r="G437" s="956" t="n"/>
      <c r="H437" s="956" t="n"/>
      <c r="I437" s="956" t="n"/>
      <c r="J437" s="956" t="n"/>
      <c r="K437" s="946" t="n"/>
      <c r="L437" s="176" t="n"/>
      <c r="M437" s="176" t="n"/>
      <c r="N437" s="176" t="n"/>
      <c r="O437" s="176" t="n"/>
      <c r="P437" s="176" t="n"/>
      <c r="Q437" s="176" t="n"/>
      <c r="R437" s="176" t="n"/>
      <c r="S437" s="176" t="n"/>
      <c r="T437" s="176" t="n"/>
      <c r="U437" s="176" t="n"/>
      <c r="V437" s="176" t="n"/>
      <c r="W437" s="176" t="n"/>
      <c r="X437" s="176" t="n"/>
      <c r="Y437" s="176" t="n"/>
      <c r="Z437" s="176" t="n"/>
      <c r="AA437" s="176" t="n"/>
      <c r="AB437" s="176" t="n"/>
    </row>
    <row r="438">
      <c r="A438" s="176" t="n"/>
      <c r="B438" s="176" t="n"/>
      <c r="C438" s="176" t="n"/>
      <c r="D438" s="176" t="n"/>
      <c r="E438" s="186" t="n"/>
      <c r="F438" s="956" t="n"/>
      <c r="G438" s="956" t="n"/>
      <c r="H438" s="956" t="n"/>
      <c r="I438" s="956" t="n"/>
      <c r="J438" s="956" t="n"/>
      <c r="K438" s="946" t="n"/>
      <c r="L438" s="176" t="n"/>
      <c r="M438" s="176" t="n"/>
      <c r="N438" s="176" t="n"/>
      <c r="O438" s="176" t="n"/>
      <c r="P438" s="176" t="n"/>
      <c r="Q438" s="176" t="n"/>
      <c r="R438" s="176" t="n"/>
      <c r="S438" s="176" t="n"/>
      <c r="T438" s="176" t="n"/>
      <c r="U438" s="176" t="n"/>
      <c r="V438" s="176" t="n"/>
      <c r="W438" s="176" t="n"/>
      <c r="X438" s="176" t="n"/>
      <c r="Y438" s="176" t="n"/>
      <c r="Z438" s="176" t="n"/>
      <c r="AA438" s="176" t="n"/>
      <c r="AB438" s="176" t="n"/>
    </row>
    <row r="439">
      <c r="A439" s="176" t="n"/>
      <c r="B439" s="176" t="n"/>
      <c r="C439" s="176" t="n"/>
      <c r="D439" s="176" t="n"/>
      <c r="E439" s="186" t="n"/>
      <c r="F439" s="956" t="n"/>
      <c r="G439" s="956" t="n"/>
      <c r="H439" s="956" t="n"/>
      <c r="I439" s="956" t="n"/>
      <c r="J439" s="956" t="n"/>
      <c r="K439" s="946" t="n"/>
      <c r="L439" s="176" t="n"/>
      <c r="M439" s="176" t="n"/>
      <c r="N439" s="176" t="n"/>
      <c r="O439" s="176" t="n"/>
      <c r="P439" s="176" t="n"/>
      <c r="Q439" s="176" t="n"/>
      <c r="R439" s="176" t="n"/>
      <c r="S439" s="176" t="n"/>
      <c r="T439" s="176" t="n"/>
      <c r="U439" s="176" t="n"/>
      <c r="V439" s="176" t="n"/>
      <c r="W439" s="176" t="n"/>
      <c r="X439" s="176" t="n"/>
      <c r="Y439" s="176" t="n"/>
      <c r="Z439" s="176" t="n"/>
      <c r="AA439" s="176" t="n"/>
      <c r="AB439" s="176" t="n"/>
    </row>
    <row r="440">
      <c r="A440" s="176" t="n"/>
      <c r="B440" s="176" t="n"/>
      <c r="C440" s="176" t="n"/>
      <c r="D440" s="176" t="n"/>
      <c r="E440" s="186" t="n"/>
      <c r="F440" s="956" t="n"/>
      <c r="G440" s="956" t="n"/>
      <c r="H440" s="956" t="n"/>
      <c r="I440" s="956" t="n"/>
      <c r="J440" s="956" t="n"/>
      <c r="K440" s="946" t="n"/>
      <c r="L440" s="176" t="n"/>
      <c r="M440" s="176" t="n"/>
      <c r="N440" s="176" t="n"/>
      <c r="O440" s="176" t="n"/>
      <c r="P440" s="176" t="n"/>
      <c r="Q440" s="176" t="n"/>
      <c r="R440" s="176" t="n"/>
      <c r="S440" s="176" t="n"/>
      <c r="T440" s="176" t="n"/>
      <c r="U440" s="176" t="n"/>
      <c r="V440" s="176" t="n"/>
      <c r="W440" s="176" t="n"/>
      <c r="X440" s="176" t="n"/>
      <c r="Y440" s="176" t="n"/>
      <c r="Z440" s="176" t="n"/>
      <c r="AA440" s="176" t="n"/>
      <c r="AB440" s="176" t="n"/>
    </row>
    <row r="441">
      <c r="A441" s="176" t="n"/>
      <c r="B441" s="176" t="n"/>
      <c r="C441" s="176" t="n"/>
      <c r="D441" s="176" t="n"/>
      <c r="E441" s="186" t="n"/>
      <c r="F441" s="956" t="n"/>
      <c r="G441" s="956" t="n"/>
      <c r="H441" s="956" t="n"/>
      <c r="I441" s="956" t="n"/>
      <c r="J441" s="956" t="n"/>
      <c r="K441" s="946" t="n"/>
      <c r="L441" s="176" t="n"/>
      <c r="M441" s="176" t="n"/>
      <c r="N441" s="176" t="n"/>
      <c r="O441" s="176" t="n"/>
      <c r="P441" s="176" t="n"/>
      <c r="Q441" s="176" t="n"/>
      <c r="R441" s="176" t="n"/>
      <c r="S441" s="176" t="n"/>
      <c r="T441" s="176" t="n"/>
      <c r="U441" s="176" t="n"/>
      <c r="V441" s="176" t="n"/>
      <c r="W441" s="176" t="n"/>
      <c r="X441" s="176" t="n"/>
      <c r="Y441" s="176" t="n"/>
      <c r="Z441" s="176" t="n"/>
      <c r="AA441" s="176" t="n"/>
      <c r="AB441" s="176" t="n"/>
    </row>
    <row r="442">
      <c r="A442" s="176" t="n"/>
      <c r="B442" s="176" t="n"/>
      <c r="C442" s="176" t="n"/>
      <c r="D442" s="176" t="n"/>
      <c r="E442" s="186" t="n"/>
      <c r="F442" s="956" t="n"/>
      <c r="G442" s="956" t="n"/>
      <c r="H442" s="956" t="n"/>
      <c r="I442" s="956" t="n"/>
      <c r="J442" s="956" t="n"/>
      <c r="K442" s="946" t="n"/>
      <c r="L442" s="176" t="n"/>
      <c r="M442" s="176" t="n"/>
      <c r="N442" s="176" t="n"/>
      <c r="O442" s="176" t="n"/>
      <c r="P442" s="176" t="n"/>
      <c r="Q442" s="176" t="n"/>
      <c r="R442" s="176" t="n"/>
      <c r="S442" s="176" t="n"/>
      <c r="T442" s="176" t="n"/>
      <c r="U442" s="176" t="n"/>
      <c r="V442" s="176" t="n"/>
      <c r="W442" s="176" t="n"/>
      <c r="X442" s="176" t="n"/>
      <c r="Y442" s="176" t="n"/>
      <c r="Z442" s="176" t="n"/>
      <c r="AA442" s="176" t="n"/>
      <c r="AB442" s="176" t="n"/>
    </row>
    <row r="443">
      <c r="A443" s="176" t="n"/>
      <c r="B443" s="176" t="n"/>
      <c r="C443" s="176" t="n"/>
      <c r="D443" s="176" t="n"/>
      <c r="E443" s="186" t="n"/>
      <c r="F443" s="956" t="n"/>
      <c r="G443" s="956" t="n"/>
      <c r="H443" s="956" t="n"/>
      <c r="I443" s="956" t="n"/>
      <c r="J443" s="956" t="n"/>
      <c r="K443" s="946" t="n"/>
      <c r="L443" s="176" t="n"/>
      <c r="M443" s="176" t="n"/>
      <c r="N443" s="176" t="n"/>
      <c r="O443" s="176" t="n"/>
      <c r="P443" s="176" t="n"/>
      <c r="Q443" s="176" t="n"/>
      <c r="R443" s="176" t="n"/>
      <c r="S443" s="176" t="n"/>
      <c r="T443" s="176" t="n"/>
      <c r="U443" s="176" t="n"/>
      <c r="V443" s="176" t="n"/>
      <c r="W443" s="176" t="n"/>
      <c r="X443" s="176" t="n"/>
      <c r="Y443" s="176" t="n"/>
      <c r="Z443" s="176" t="n"/>
      <c r="AA443" s="176" t="n"/>
      <c r="AB443" s="176" t="n"/>
    </row>
    <row r="444">
      <c r="A444" s="176" t="n"/>
      <c r="B444" s="176" t="n"/>
      <c r="C444" s="176" t="n"/>
      <c r="D444" s="176" t="n"/>
      <c r="E444" s="186" t="n"/>
      <c r="F444" s="956" t="n"/>
      <c r="G444" s="956" t="n"/>
      <c r="H444" s="956" t="n"/>
      <c r="I444" s="956" t="n"/>
      <c r="J444" s="956" t="n"/>
      <c r="K444" s="946" t="n"/>
      <c r="L444" s="176" t="n"/>
      <c r="M444" s="176" t="n"/>
      <c r="N444" s="176" t="n"/>
      <c r="O444" s="176" t="n"/>
      <c r="P444" s="176" t="n"/>
      <c r="Q444" s="176" t="n"/>
      <c r="R444" s="176" t="n"/>
      <c r="S444" s="176" t="n"/>
      <c r="T444" s="176" t="n"/>
      <c r="U444" s="176" t="n"/>
      <c r="V444" s="176" t="n"/>
      <c r="W444" s="176" t="n"/>
      <c r="X444" s="176" t="n"/>
      <c r="Y444" s="176" t="n"/>
      <c r="Z444" s="176" t="n"/>
      <c r="AA444" s="176" t="n"/>
      <c r="AB444" s="176" t="n"/>
    </row>
    <row r="445">
      <c r="A445" s="176" t="n"/>
      <c r="B445" s="176" t="n"/>
      <c r="C445" s="176" t="n"/>
      <c r="D445" s="176" t="n"/>
      <c r="E445" s="186" t="n"/>
      <c r="F445" s="956" t="n"/>
      <c r="G445" s="956" t="n"/>
      <c r="H445" s="956" t="n"/>
      <c r="I445" s="956" t="n"/>
      <c r="J445" s="956" t="n"/>
      <c r="K445" s="946" t="n"/>
      <c r="L445" s="176" t="n"/>
      <c r="M445" s="176" t="n"/>
      <c r="N445" s="176" t="n"/>
      <c r="O445" s="176" t="n"/>
      <c r="P445" s="176" t="n"/>
      <c r="Q445" s="176" t="n"/>
      <c r="R445" s="176" t="n"/>
      <c r="S445" s="176" t="n"/>
      <c r="T445" s="176" t="n"/>
      <c r="U445" s="176" t="n"/>
      <c r="V445" s="176" t="n"/>
      <c r="W445" s="176" t="n"/>
      <c r="X445" s="176" t="n"/>
      <c r="Y445" s="176" t="n"/>
      <c r="Z445" s="176" t="n"/>
      <c r="AA445" s="176" t="n"/>
      <c r="AB445" s="176" t="n"/>
    </row>
    <row r="446">
      <c r="A446" s="176" t="n"/>
      <c r="B446" s="176" t="n"/>
      <c r="C446" s="176" t="n"/>
      <c r="D446" s="176" t="n"/>
      <c r="E446" s="186" t="n"/>
      <c r="F446" s="956" t="n"/>
      <c r="G446" s="956" t="n"/>
      <c r="H446" s="956" t="n"/>
      <c r="I446" s="956" t="n"/>
      <c r="J446" s="956" t="n"/>
      <c r="K446" s="946" t="n"/>
      <c r="L446" s="176" t="n"/>
      <c r="M446" s="176" t="n"/>
      <c r="N446" s="176" t="n"/>
      <c r="O446" s="176" t="n"/>
      <c r="P446" s="176" t="n"/>
      <c r="Q446" s="176" t="n"/>
      <c r="R446" s="176" t="n"/>
      <c r="S446" s="176" t="n"/>
      <c r="T446" s="176" t="n"/>
      <c r="U446" s="176" t="n"/>
      <c r="V446" s="176" t="n"/>
      <c r="W446" s="176" t="n"/>
      <c r="X446" s="176" t="n"/>
      <c r="Y446" s="176" t="n"/>
      <c r="Z446" s="176" t="n"/>
      <c r="AA446" s="176" t="n"/>
      <c r="AB446" s="176" t="n"/>
    </row>
    <row r="447">
      <c r="A447" s="176" t="n"/>
      <c r="B447" s="176" t="n"/>
      <c r="C447" s="176" t="n"/>
      <c r="D447" s="176" t="n"/>
      <c r="E447" s="186" t="n"/>
      <c r="F447" s="956" t="n"/>
      <c r="G447" s="956" t="n"/>
      <c r="H447" s="956" t="n"/>
      <c r="I447" s="956" t="n"/>
      <c r="J447" s="956" t="n"/>
      <c r="K447" s="946" t="n"/>
      <c r="L447" s="176" t="n"/>
      <c r="M447" s="176" t="n"/>
      <c r="N447" s="176" t="n"/>
      <c r="O447" s="176" t="n"/>
      <c r="P447" s="176" t="n"/>
      <c r="Q447" s="176" t="n"/>
      <c r="R447" s="176" t="n"/>
      <c r="S447" s="176" t="n"/>
      <c r="T447" s="176" t="n"/>
      <c r="U447" s="176" t="n"/>
      <c r="V447" s="176" t="n"/>
      <c r="W447" s="176" t="n"/>
      <c r="X447" s="176" t="n"/>
      <c r="Y447" s="176" t="n"/>
      <c r="Z447" s="176" t="n"/>
      <c r="AA447" s="176" t="n"/>
      <c r="AB447" s="176" t="n"/>
    </row>
    <row r="448">
      <c r="A448" s="176" t="n"/>
      <c r="B448" s="176" t="n"/>
      <c r="C448" s="176" t="n"/>
      <c r="D448" s="176" t="n"/>
      <c r="E448" s="186" t="n"/>
      <c r="F448" s="956" t="n"/>
      <c r="G448" s="956" t="n"/>
      <c r="H448" s="956" t="n"/>
      <c r="I448" s="956" t="n"/>
      <c r="J448" s="956" t="n"/>
      <c r="K448" s="946" t="n"/>
      <c r="L448" s="176" t="n"/>
      <c r="M448" s="176" t="n"/>
      <c r="N448" s="176" t="n"/>
      <c r="O448" s="176" t="n"/>
      <c r="P448" s="176" t="n"/>
      <c r="Q448" s="176" t="n"/>
      <c r="R448" s="176" t="n"/>
      <c r="S448" s="176" t="n"/>
      <c r="T448" s="176" t="n"/>
      <c r="U448" s="176" t="n"/>
      <c r="V448" s="176" t="n"/>
      <c r="W448" s="176" t="n"/>
      <c r="X448" s="176" t="n"/>
      <c r="Y448" s="176" t="n"/>
      <c r="Z448" s="176" t="n"/>
      <c r="AA448" s="176" t="n"/>
      <c r="AB448" s="176" t="n"/>
    </row>
    <row r="449">
      <c r="A449" s="176" t="n"/>
      <c r="B449" s="176" t="n"/>
      <c r="C449" s="176" t="n"/>
      <c r="D449" s="176" t="n"/>
      <c r="E449" s="186" t="n"/>
      <c r="F449" s="956" t="n"/>
      <c r="G449" s="956" t="n"/>
      <c r="H449" s="956" t="n"/>
      <c r="I449" s="956" t="n"/>
      <c r="J449" s="956" t="n"/>
      <c r="K449" s="946" t="n"/>
      <c r="L449" s="176" t="n"/>
      <c r="M449" s="176" t="n"/>
      <c r="N449" s="176" t="n"/>
      <c r="O449" s="176" t="n"/>
      <c r="P449" s="176" t="n"/>
      <c r="Q449" s="176" t="n"/>
      <c r="R449" s="176" t="n"/>
      <c r="S449" s="176" t="n"/>
      <c r="T449" s="176" t="n"/>
      <c r="U449" s="176" t="n"/>
      <c r="V449" s="176" t="n"/>
      <c r="W449" s="176" t="n"/>
      <c r="X449" s="176" t="n"/>
      <c r="Y449" s="176" t="n"/>
      <c r="Z449" s="176" t="n"/>
      <c r="AA449" s="176" t="n"/>
      <c r="AB449" s="176" t="n"/>
    </row>
    <row r="450">
      <c r="A450" s="176" t="n"/>
      <c r="B450" s="176" t="n"/>
      <c r="C450" s="176" t="n"/>
      <c r="D450" s="176" t="n"/>
      <c r="E450" s="186" t="n"/>
      <c r="F450" s="956" t="n"/>
      <c r="G450" s="956" t="n"/>
      <c r="H450" s="956" t="n"/>
      <c r="I450" s="956" t="n"/>
      <c r="J450" s="956" t="n"/>
      <c r="K450" s="946" t="n"/>
      <c r="L450" s="176" t="n"/>
      <c r="M450" s="176" t="n"/>
      <c r="N450" s="176" t="n"/>
      <c r="O450" s="176" t="n"/>
      <c r="P450" s="176" t="n"/>
      <c r="Q450" s="176" t="n"/>
      <c r="R450" s="176" t="n"/>
      <c r="S450" s="176" t="n"/>
      <c r="T450" s="176" t="n"/>
      <c r="U450" s="176" t="n"/>
      <c r="V450" s="176" t="n"/>
      <c r="W450" s="176" t="n"/>
      <c r="X450" s="176" t="n"/>
      <c r="Y450" s="176" t="n"/>
      <c r="Z450" s="176" t="n"/>
      <c r="AA450" s="176" t="n"/>
      <c r="AB450" s="176" t="n"/>
    </row>
    <row r="451">
      <c r="A451" s="176" t="n"/>
      <c r="B451" s="176" t="n"/>
      <c r="C451" s="176" t="n"/>
      <c r="D451" s="176" t="n"/>
      <c r="E451" s="186" t="n"/>
      <c r="F451" s="956" t="n"/>
      <c r="G451" s="956" t="n"/>
      <c r="H451" s="956" t="n"/>
      <c r="I451" s="956" t="n"/>
      <c r="J451" s="956" t="n"/>
      <c r="K451" s="946" t="n"/>
      <c r="L451" s="176" t="n"/>
      <c r="M451" s="176" t="n"/>
      <c r="N451" s="176" t="n"/>
      <c r="O451" s="176" t="n"/>
      <c r="P451" s="176" t="n"/>
      <c r="Q451" s="176" t="n"/>
      <c r="R451" s="176" t="n"/>
      <c r="S451" s="176" t="n"/>
      <c r="T451" s="176" t="n"/>
      <c r="U451" s="176" t="n"/>
      <c r="V451" s="176" t="n"/>
      <c r="W451" s="176" t="n"/>
      <c r="X451" s="176" t="n"/>
      <c r="Y451" s="176" t="n"/>
      <c r="Z451" s="176" t="n"/>
      <c r="AA451" s="176" t="n"/>
      <c r="AB451" s="176" t="n"/>
    </row>
    <row r="452">
      <c r="A452" s="176" t="n"/>
      <c r="B452" s="176" t="n"/>
      <c r="C452" s="176" t="n"/>
      <c r="D452" s="176" t="n"/>
      <c r="E452" s="186" t="n"/>
      <c r="F452" s="956" t="n"/>
      <c r="G452" s="956" t="n"/>
      <c r="H452" s="956" t="n"/>
      <c r="I452" s="956" t="n"/>
      <c r="J452" s="956" t="n"/>
      <c r="K452" s="946" t="n"/>
      <c r="L452" s="176" t="n"/>
      <c r="M452" s="176" t="n"/>
      <c r="N452" s="176" t="n"/>
      <c r="O452" s="176" t="n"/>
      <c r="P452" s="176" t="n"/>
      <c r="Q452" s="176" t="n"/>
      <c r="R452" s="176" t="n"/>
      <c r="S452" s="176" t="n"/>
      <c r="T452" s="176" t="n"/>
      <c r="U452" s="176" t="n"/>
      <c r="V452" s="176" t="n"/>
      <c r="W452" s="176" t="n"/>
      <c r="X452" s="176" t="n"/>
      <c r="Y452" s="176" t="n"/>
      <c r="Z452" s="176" t="n"/>
      <c r="AA452" s="176" t="n"/>
      <c r="AB452" s="176" t="n"/>
    </row>
    <row r="453">
      <c r="A453" s="176" t="n"/>
      <c r="B453" s="176" t="n"/>
      <c r="C453" s="176" t="n"/>
      <c r="D453" s="176" t="n"/>
      <c r="E453" s="186" t="n"/>
      <c r="F453" s="956" t="n"/>
      <c r="G453" s="956" t="n"/>
      <c r="H453" s="956" t="n"/>
      <c r="I453" s="956" t="n"/>
      <c r="J453" s="956" t="n"/>
      <c r="K453" s="946" t="n"/>
      <c r="L453" s="176" t="n"/>
      <c r="M453" s="176" t="n"/>
      <c r="N453" s="176" t="n"/>
      <c r="O453" s="176" t="n"/>
      <c r="P453" s="176" t="n"/>
      <c r="Q453" s="176" t="n"/>
      <c r="R453" s="176" t="n"/>
      <c r="S453" s="176" t="n"/>
      <c r="T453" s="176" t="n"/>
      <c r="U453" s="176" t="n"/>
      <c r="V453" s="176" t="n"/>
      <c r="W453" s="176" t="n"/>
      <c r="X453" s="176" t="n"/>
      <c r="Y453" s="176" t="n"/>
      <c r="Z453" s="176" t="n"/>
      <c r="AA453" s="176" t="n"/>
      <c r="AB453" s="176" t="n"/>
    </row>
    <row r="454">
      <c r="A454" s="176" t="n"/>
      <c r="B454" s="176" t="n"/>
      <c r="C454" s="176" t="n"/>
      <c r="D454" s="176" t="n"/>
      <c r="E454" s="186" t="n"/>
      <c r="F454" s="956" t="n"/>
      <c r="G454" s="956" t="n"/>
      <c r="H454" s="956" t="n"/>
      <c r="I454" s="956" t="n"/>
      <c r="J454" s="956" t="n"/>
      <c r="K454" s="946" t="n"/>
      <c r="L454" s="176" t="n"/>
      <c r="M454" s="176" t="n"/>
      <c r="N454" s="176" t="n"/>
      <c r="O454" s="176" t="n"/>
      <c r="P454" s="176" t="n"/>
      <c r="Q454" s="176" t="n"/>
      <c r="R454" s="176" t="n"/>
      <c r="S454" s="176" t="n"/>
      <c r="T454" s="176" t="n"/>
      <c r="U454" s="176" t="n"/>
      <c r="V454" s="176" t="n"/>
      <c r="W454" s="176" t="n"/>
      <c r="X454" s="176" t="n"/>
      <c r="Y454" s="176" t="n"/>
      <c r="Z454" s="176" t="n"/>
      <c r="AA454" s="176" t="n"/>
      <c r="AB454" s="176" t="n"/>
    </row>
    <row r="455">
      <c r="A455" s="176" t="n"/>
      <c r="B455" s="176" t="n"/>
      <c r="C455" s="176" t="n"/>
      <c r="D455" s="176" t="n"/>
      <c r="E455" s="186" t="n"/>
      <c r="F455" s="956" t="n"/>
      <c r="G455" s="956" t="n"/>
      <c r="H455" s="956" t="n"/>
      <c r="I455" s="956" t="n"/>
      <c r="J455" s="956" t="n"/>
      <c r="K455" s="946" t="n"/>
      <c r="L455" s="176" t="n"/>
      <c r="M455" s="176" t="n"/>
      <c r="N455" s="176" t="n"/>
      <c r="O455" s="176" t="n"/>
      <c r="P455" s="176" t="n"/>
      <c r="Q455" s="176" t="n"/>
      <c r="R455" s="176" t="n"/>
      <c r="S455" s="176" t="n"/>
      <c r="T455" s="176" t="n"/>
      <c r="U455" s="176" t="n"/>
      <c r="V455" s="176" t="n"/>
      <c r="W455" s="176" t="n"/>
      <c r="X455" s="176" t="n"/>
      <c r="Y455" s="176" t="n"/>
      <c r="Z455" s="176" t="n"/>
      <c r="AA455" s="176" t="n"/>
      <c r="AB455" s="176" t="n"/>
    </row>
    <row r="456">
      <c r="A456" s="176" t="n"/>
      <c r="B456" s="176" t="n"/>
      <c r="C456" s="176" t="n"/>
      <c r="D456" s="176" t="n"/>
      <c r="E456" s="186" t="n"/>
      <c r="F456" s="956" t="n"/>
      <c r="G456" s="956" t="n"/>
      <c r="H456" s="956" t="n"/>
      <c r="I456" s="956" t="n"/>
      <c r="J456" s="956" t="n"/>
      <c r="K456" s="946" t="n"/>
      <c r="L456" s="176" t="n"/>
      <c r="M456" s="176" t="n"/>
      <c r="N456" s="176" t="n"/>
      <c r="O456" s="176" t="n"/>
      <c r="P456" s="176" t="n"/>
      <c r="Q456" s="176" t="n"/>
      <c r="R456" s="176" t="n"/>
      <c r="S456" s="176" t="n"/>
      <c r="T456" s="176" t="n"/>
      <c r="U456" s="176" t="n"/>
      <c r="V456" s="176" t="n"/>
      <c r="W456" s="176" t="n"/>
      <c r="X456" s="176" t="n"/>
      <c r="Y456" s="176" t="n"/>
      <c r="Z456" s="176" t="n"/>
      <c r="AA456" s="176" t="n"/>
      <c r="AB456" s="176" t="n"/>
    </row>
    <row r="457">
      <c r="A457" s="176" t="n"/>
      <c r="B457" s="176" t="n"/>
      <c r="C457" s="176" t="n"/>
      <c r="D457" s="176" t="n"/>
      <c r="E457" s="186" t="n"/>
      <c r="F457" s="956" t="n"/>
      <c r="G457" s="956" t="n"/>
      <c r="H457" s="956" t="n"/>
      <c r="I457" s="956" t="n"/>
      <c r="J457" s="956" t="n"/>
      <c r="K457" s="946" t="n"/>
      <c r="L457" s="176" t="n"/>
      <c r="M457" s="176" t="n"/>
      <c r="N457" s="176" t="n"/>
      <c r="O457" s="176" t="n"/>
      <c r="P457" s="176" t="n"/>
      <c r="Q457" s="176" t="n"/>
      <c r="R457" s="176" t="n"/>
      <c r="S457" s="176" t="n"/>
      <c r="T457" s="176" t="n"/>
      <c r="U457" s="176" t="n"/>
      <c r="V457" s="176" t="n"/>
      <c r="W457" s="176" t="n"/>
      <c r="X457" s="176" t="n"/>
      <c r="Y457" s="176" t="n"/>
      <c r="Z457" s="176" t="n"/>
      <c r="AA457" s="176" t="n"/>
      <c r="AB457" s="176" t="n"/>
    </row>
    <row r="458">
      <c r="A458" s="176" t="n"/>
      <c r="B458" s="176" t="n"/>
      <c r="C458" s="176" t="n"/>
      <c r="D458" s="176" t="n"/>
      <c r="E458" s="186" t="n"/>
      <c r="F458" s="956" t="n"/>
      <c r="G458" s="956" t="n"/>
      <c r="H458" s="956" t="n"/>
      <c r="I458" s="956" t="n"/>
      <c r="J458" s="956" t="n"/>
      <c r="K458" s="946" t="n"/>
      <c r="L458" s="176" t="n"/>
      <c r="M458" s="176" t="n"/>
      <c r="N458" s="176" t="n"/>
      <c r="O458" s="176" t="n"/>
      <c r="P458" s="176" t="n"/>
      <c r="Q458" s="176" t="n"/>
      <c r="R458" s="176" t="n"/>
      <c r="S458" s="176" t="n"/>
      <c r="T458" s="176" t="n"/>
      <c r="U458" s="176" t="n"/>
      <c r="V458" s="176" t="n"/>
      <c r="W458" s="176" t="n"/>
      <c r="X458" s="176" t="n"/>
      <c r="Y458" s="176" t="n"/>
      <c r="Z458" s="176" t="n"/>
      <c r="AA458" s="176" t="n"/>
      <c r="AB458" s="176" t="n"/>
    </row>
    <row r="459">
      <c r="A459" s="176" t="n"/>
      <c r="B459" s="176" t="n"/>
      <c r="C459" s="176" t="n"/>
      <c r="D459" s="176" t="n"/>
      <c r="E459" s="186" t="n"/>
      <c r="F459" s="956" t="n"/>
      <c r="G459" s="956" t="n"/>
      <c r="H459" s="956" t="n"/>
      <c r="I459" s="956" t="n"/>
      <c r="J459" s="956" t="n"/>
      <c r="K459" s="946" t="n"/>
      <c r="L459" s="176" t="n"/>
      <c r="M459" s="176" t="n"/>
      <c r="N459" s="176" t="n"/>
      <c r="O459" s="176" t="n"/>
      <c r="P459" s="176" t="n"/>
      <c r="Q459" s="176" t="n"/>
      <c r="R459" s="176" t="n"/>
      <c r="S459" s="176" t="n"/>
      <c r="T459" s="176" t="n"/>
      <c r="U459" s="176" t="n"/>
      <c r="V459" s="176" t="n"/>
      <c r="W459" s="176" t="n"/>
      <c r="X459" s="176" t="n"/>
      <c r="Y459" s="176" t="n"/>
      <c r="Z459" s="176" t="n"/>
      <c r="AA459" s="176" t="n"/>
      <c r="AB459" s="176" t="n"/>
    </row>
    <row r="460">
      <c r="A460" s="176" t="n"/>
      <c r="B460" s="176" t="n"/>
      <c r="C460" s="176" t="n"/>
      <c r="D460" s="176" t="n"/>
      <c r="E460" s="186" t="n"/>
      <c r="F460" s="956" t="n"/>
      <c r="G460" s="956" t="n"/>
      <c r="H460" s="956" t="n"/>
      <c r="I460" s="956" t="n"/>
      <c r="J460" s="956" t="n"/>
      <c r="K460" s="946" t="n"/>
      <c r="L460" s="176" t="n"/>
      <c r="M460" s="176" t="n"/>
      <c r="N460" s="176" t="n"/>
      <c r="O460" s="176" t="n"/>
      <c r="P460" s="176" t="n"/>
      <c r="Q460" s="176" t="n"/>
      <c r="R460" s="176" t="n"/>
      <c r="S460" s="176" t="n"/>
      <c r="T460" s="176" t="n"/>
      <c r="U460" s="176" t="n"/>
      <c r="V460" s="176" t="n"/>
      <c r="W460" s="176" t="n"/>
      <c r="X460" s="176" t="n"/>
      <c r="Y460" s="176" t="n"/>
      <c r="Z460" s="176" t="n"/>
      <c r="AA460" s="176" t="n"/>
      <c r="AB460" s="176" t="n"/>
    </row>
    <row r="461">
      <c r="A461" s="176" t="n"/>
      <c r="B461" s="176" t="n"/>
      <c r="C461" s="176" t="n"/>
      <c r="D461" s="176" t="n"/>
      <c r="E461" s="186" t="n"/>
      <c r="F461" s="956" t="n"/>
      <c r="G461" s="956" t="n"/>
      <c r="H461" s="956" t="n"/>
      <c r="I461" s="956" t="n"/>
      <c r="J461" s="956" t="n"/>
      <c r="K461" s="946" t="n"/>
      <c r="L461" s="176" t="n"/>
      <c r="M461" s="176" t="n"/>
      <c r="N461" s="176" t="n"/>
      <c r="O461" s="176" t="n"/>
      <c r="P461" s="176" t="n"/>
      <c r="Q461" s="176" t="n"/>
      <c r="R461" s="176" t="n"/>
      <c r="S461" s="176" t="n"/>
      <c r="T461" s="176" t="n"/>
      <c r="U461" s="176" t="n"/>
      <c r="V461" s="176" t="n"/>
      <c r="W461" s="176" t="n"/>
      <c r="X461" s="176" t="n"/>
      <c r="Y461" s="176" t="n"/>
      <c r="Z461" s="176" t="n"/>
      <c r="AA461" s="176" t="n"/>
      <c r="AB461" s="176" t="n"/>
    </row>
    <row r="462">
      <c r="A462" s="176" t="n"/>
      <c r="B462" s="176" t="n"/>
      <c r="C462" s="176" t="n"/>
      <c r="D462" s="176" t="n"/>
      <c r="E462" s="186" t="n"/>
      <c r="F462" s="956" t="n"/>
      <c r="G462" s="956" t="n"/>
      <c r="H462" s="956" t="n"/>
      <c r="I462" s="956" t="n"/>
      <c r="J462" s="956" t="n"/>
      <c r="K462" s="946" t="n"/>
      <c r="L462" s="176" t="n"/>
      <c r="M462" s="176" t="n"/>
      <c r="N462" s="176" t="n"/>
      <c r="O462" s="176" t="n"/>
      <c r="P462" s="176" t="n"/>
      <c r="Q462" s="176" t="n"/>
      <c r="R462" s="176" t="n"/>
      <c r="S462" s="176" t="n"/>
      <c r="T462" s="176" t="n"/>
      <c r="U462" s="176" t="n"/>
      <c r="V462" s="176" t="n"/>
      <c r="W462" s="176" t="n"/>
      <c r="X462" s="176" t="n"/>
      <c r="Y462" s="176" t="n"/>
      <c r="Z462" s="176" t="n"/>
      <c r="AA462" s="176" t="n"/>
      <c r="AB462" s="176" t="n"/>
    </row>
    <row r="463">
      <c r="A463" s="176" t="n"/>
      <c r="B463" s="176" t="n"/>
      <c r="C463" s="176" t="n"/>
      <c r="D463" s="176" t="n"/>
      <c r="E463" s="186" t="n"/>
      <c r="F463" s="956" t="n"/>
      <c r="G463" s="956" t="n"/>
      <c r="H463" s="956" t="n"/>
      <c r="I463" s="956" t="n"/>
      <c r="J463" s="956" t="n"/>
      <c r="K463" s="946" t="n"/>
      <c r="L463" s="176" t="n"/>
      <c r="M463" s="176" t="n"/>
      <c r="N463" s="176" t="n"/>
      <c r="O463" s="176" t="n"/>
      <c r="P463" s="176" t="n"/>
      <c r="Q463" s="176" t="n"/>
      <c r="R463" s="176" t="n"/>
      <c r="S463" s="176" t="n"/>
      <c r="T463" s="176" t="n"/>
      <c r="U463" s="176" t="n"/>
      <c r="V463" s="176" t="n"/>
      <c r="W463" s="176" t="n"/>
      <c r="X463" s="176" t="n"/>
      <c r="Y463" s="176" t="n"/>
      <c r="Z463" s="176" t="n"/>
      <c r="AA463" s="176" t="n"/>
      <c r="AB463" s="176" t="n"/>
    </row>
    <row r="464">
      <c r="A464" s="176" t="n"/>
      <c r="B464" s="176" t="n"/>
      <c r="C464" s="176" t="n"/>
      <c r="D464" s="176" t="n"/>
      <c r="E464" s="186" t="n"/>
      <c r="F464" s="956" t="n"/>
      <c r="G464" s="956" t="n"/>
      <c r="H464" s="956" t="n"/>
      <c r="I464" s="956" t="n"/>
      <c r="J464" s="956" t="n"/>
      <c r="K464" s="946" t="n"/>
      <c r="L464" s="176" t="n"/>
      <c r="M464" s="176" t="n"/>
      <c r="N464" s="176" t="n"/>
      <c r="O464" s="176" t="n"/>
      <c r="P464" s="176" t="n"/>
      <c r="Q464" s="176" t="n"/>
      <c r="R464" s="176" t="n"/>
      <c r="S464" s="176" t="n"/>
      <c r="T464" s="176" t="n"/>
      <c r="U464" s="176" t="n"/>
      <c r="V464" s="176" t="n"/>
      <c r="W464" s="176" t="n"/>
      <c r="X464" s="176" t="n"/>
      <c r="Y464" s="176" t="n"/>
      <c r="Z464" s="176" t="n"/>
      <c r="AA464" s="176" t="n"/>
      <c r="AB464" s="176" t="n"/>
    </row>
    <row r="465">
      <c r="A465" s="176" t="n"/>
      <c r="B465" s="176" t="n"/>
      <c r="C465" s="176" t="n"/>
      <c r="D465" s="176" t="n"/>
      <c r="E465" s="186" t="n"/>
      <c r="F465" s="956" t="n"/>
      <c r="G465" s="956" t="n"/>
      <c r="H465" s="956" t="n"/>
      <c r="I465" s="956" t="n"/>
      <c r="J465" s="956" t="n"/>
      <c r="K465" s="946" t="n"/>
      <c r="L465" s="176" t="n"/>
      <c r="M465" s="176" t="n"/>
      <c r="N465" s="176" t="n"/>
      <c r="O465" s="176" t="n"/>
      <c r="P465" s="176" t="n"/>
      <c r="Q465" s="176" t="n"/>
      <c r="R465" s="176" t="n"/>
      <c r="S465" s="176" t="n"/>
      <c r="T465" s="176" t="n"/>
      <c r="U465" s="176" t="n"/>
      <c r="V465" s="176" t="n"/>
      <c r="W465" s="176" t="n"/>
      <c r="X465" s="176" t="n"/>
      <c r="Y465" s="176" t="n"/>
      <c r="Z465" s="176" t="n"/>
      <c r="AA465" s="176" t="n"/>
      <c r="AB465" s="176" t="n"/>
    </row>
    <row r="466">
      <c r="A466" s="176" t="n"/>
      <c r="B466" s="176" t="n"/>
      <c r="C466" s="176" t="n"/>
      <c r="D466" s="176" t="n"/>
      <c r="E466" s="186" t="n"/>
      <c r="F466" s="956" t="n"/>
      <c r="G466" s="956" t="n"/>
      <c r="H466" s="956" t="n"/>
      <c r="I466" s="956" t="n"/>
      <c r="J466" s="956" t="n"/>
      <c r="K466" s="946" t="n"/>
      <c r="L466" s="176" t="n"/>
      <c r="M466" s="176" t="n"/>
      <c r="N466" s="176" t="n"/>
      <c r="O466" s="176" t="n"/>
      <c r="P466" s="176" t="n"/>
      <c r="Q466" s="176" t="n"/>
      <c r="R466" s="176" t="n"/>
      <c r="S466" s="176" t="n"/>
      <c r="T466" s="176" t="n"/>
      <c r="U466" s="176" t="n"/>
      <c r="V466" s="176" t="n"/>
      <c r="W466" s="176" t="n"/>
      <c r="X466" s="176" t="n"/>
      <c r="Y466" s="176" t="n"/>
      <c r="Z466" s="176" t="n"/>
      <c r="AA466" s="176" t="n"/>
      <c r="AB466" s="176" t="n"/>
    </row>
    <row r="467">
      <c r="A467" s="176" t="n"/>
      <c r="B467" s="176" t="n"/>
      <c r="C467" s="176" t="n"/>
      <c r="D467" s="176" t="n"/>
      <c r="E467" s="186" t="n"/>
      <c r="F467" s="956" t="n"/>
      <c r="G467" s="956" t="n"/>
      <c r="H467" s="956" t="n"/>
      <c r="I467" s="956" t="n"/>
      <c r="J467" s="956" t="n"/>
      <c r="K467" s="946" t="n"/>
      <c r="L467" s="176" t="n"/>
      <c r="M467" s="176" t="n"/>
      <c r="N467" s="176" t="n"/>
      <c r="O467" s="176" t="n"/>
      <c r="P467" s="176" t="n"/>
      <c r="Q467" s="176" t="n"/>
      <c r="R467" s="176" t="n"/>
      <c r="S467" s="176" t="n"/>
      <c r="T467" s="176" t="n"/>
      <c r="U467" s="176" t="n"/>
      <c r="V467" s="176" t="n"/>
      <c r="W467" s="176" t="n"/>
      <c r="X467" s="176" t="n"/>
      <c r="Y467" s="176" t="n"/>
      <c r="Z467" s="176" t="n"/>
      <c r="AA467" s="176" t="n"/>
      <c r="AB467" s="176" t="n"/>
    </row>
    <row r="468">
      <c r="A468" s="176" t="n"/>
      <c r="B468" s="176" t="n"/>
      <c r="C468" s="176" t="n"/>
      <c r="D468" s="176" t="n"/>
      <c r="E468" s="186" t="n"/>
      <c r="F468" s="956" t="n"/>
      <c r="G468" s="956" t="n"/>
      <c r="H468" s="956" t="n"/>
      <c r="I468" s="956" t="n"/>
      <c r="J468" s="956" t="n"/>
      <c r="K468" s="946" t="n"/>
      <c r="L468" s="176" t="n"/>
      <c r="M468" s="176" t="n"/>
      <c r="N468" s="176" t="n"/>
      <c r="O468" s="176" t="n"/>
      <c r="P468" s="176" t="n"/>
      <c r="Q468" s="176" t="n"/>
      <c r="R468" s="176" t="n"/>
      <c r="S468" s="176" t="n"/>
      <c r="T468" s="176" t="n"/>
      <c r="U468" s="176" t="n"/>
      <c r="V468" s="176" t="n"/>
      <c r="W468" s="176" t="n"/>
      <c r="X468" s="176" t="n"/>
      <c r="Y468" s="176" t="n"/>
      <c r="Z468" s="176" t="n"/>
      <c r="AA468" s="176" t="n"/>
      <c r="AB468" s="176" t="n"/>
    </row>
    <row r="469">
      <c r="A469" s="176" t="n"/>
      <c r="B469" s="176" t="n"/>
      <c r="C469" s="176" t="n"/>
      <c r="D469" s="176" t="n"/>
      <c r="E469" s="186" t="n"/>
      <c r="F469" s="956" t="n"/>
      <c r="G469" s="956" t="n"/>
      <c r="H469" s="956" t="n"/>
      <c r="I469" s="956" t="n"/>
      <c r="J469" s="956" t="n"/>
      <c r="K469" s="946" t="n"/>
      <c r="L469" s="176" t="n"/>
      <c r="M469" s="176" t="n"/>
      <c r="N469" s="176" t="n"/>
      <c r="O469" s="176" t="n"/>
      <c r="P469" s="176" t="n"/>
      <c r="Q469" s="176" t="n"/>
      <c r="R469" s="176" t="n"/>
      <c r="S469" s="176" t="n"/>
      <c r="T469" s="176" t="n"/>
      <c r="U469" s="176" t="n"/>
      <c r="V469" s="176" t="n"/>
      <c r="W469" s="176" t="n"/>
      <c r="X469" s="176" t="n"/>
      <c r="Y469" s="176" t="n"/>
      <c r="Z469" s="176" t="n"/>
      <c r="AA469" s="176" t="n"/>
      <c r="AB469" s="176" t="n"/>
    </row>
    <row r="470">
      <c r="A470" s="176" t="n"/>
      <c r="B470" s="176" t="n"/>
      <c r="C470" s="176" t="n"/>
      <c r="D470" s="176" t="n"/>
      <c r="E470" s="186" t="n"/>
      <c r="F470" s="956" t="n"/>
      <c r="G470" s="956" t="n"/>
      <c r="H470" s="956" t="n"/>
      <c r="I470" s="956" t="n"/>
      <c r="J470" s="956" t="n"/>
      <c r="K470" s="946" t="n"/>
      <c r="L470" s="176" t="n"/>
      <c r="M470" s="176" t="n"/>
      <c r="N470" s="176" t="n"/>
      <c r="O470" s="176" t="n"/>
      <c r="P470" s="176" t="n"/>
      <c r="Q470" s="176" t="n"/>
      <c r="R470" s="176" t="n"/>
      <c r="S470" s="176" t="n"/>
      <c r="T470" s="176" t="n"/>
      <c r="U470" s="176" t="n"/>
      <c r="V470" s="176" t="n"/>
      <c r="W470" s="176" t="n"/>
      <c r="X470" s="176" t="n"/>
      <c r="Y470" s="176" t="n"/>
      <c r="Z470" s="176" t="n"/>
      <c r="AA470" s="176" t="n"/>
      <c r="AB470" s="176" t="n"/>
    </row>
    <row r="471">
      <c r="A471" s="176" t="n"/>
      <c r="B471" s="176" t="n"/>
      <c r="C471" s="176" t="n"/>
      <c r="D471" s="176" t="n"/>
      <c r="E471" s="186" t="n"/>
      <c r="F471" s="956" t="n"/>
      <c r="G471" s="956" t="n"/>
      <c r="H471" s="956" t="n"/>
      <c r="I471" s="956" t="n"/>
      <c r="J471" s="956" t="n"/>
      <c r="K471" s="946" t="n"/>
      <c r="L471" s="176" t="n"/>
      <c r="M471" s="176" t="n"/>
      <c r="N471" s="176" t="n"/>
      <c r="O471" s="176" t="n"/>
      <c r="P471" s="176" t="n"/>
      <c r="Q471" s="176" t="n"/>
      <c r="R471" s="176" t="n"/>
      <c r="S471" s="176" t="n"/>
      <c r="T471" s="176" t="n"/>
      <c r="U471" s="176" t="n"/>
      <c r="V471" s="176" t="n"/>
      <c r="W471" s="176" t="n"/>
      <c r="X471" s="176" t="n"/>
      <c r="Y471" s="176" t="n"/>
      <c r="Z471" s="176" t="n"/>
      <c r="AA471" s="176" t="n"/>
      <c r="AB471" s="176" t="n"/>
    </row>
    <row r="472">
      <c r="A472" s="176" t="n"/>
      <c r="B472" s="176" t="n"/>
      <c r="C472" s="176" t="n"/>
      <c r="D472" s="176" t="n"/>
      <c r="E472" s="186" t="n"/>
      <c r="F472" s="956" t="n"/>
      <c r="G472" s="956" t="n"/>
      <c r="H472" s="956" t="n"/>
      <c r="I472" s="956" t="n"/>
      <c r="J472" s="956" t="n"/>
      <c r="K472" s="946" t="n"/>
      <c r="L472" s="176" t="n"/>
      <c r="M472" s="176" t="n"/>
      <c r="N472" s="176" t="n"/>
      <c r="O472" s="176" t="n"/>
      <c r="P472" s="176" t="n"/>
      <c r="Q472" s="176" t="n"/>
      <c r="R472" s="176" t="n"/>
      <c r="S472" s="176" t="n"/>
      <c r="T472" s="176" t="n"/>
      <c r="U472" s="176" t="n"/>
      <c r="V472" s="176" t="n"/>
      <c r="W472" s="176" t="n"/>
      <c r="X472" s="176" t="n"/>
      <c r="Y472" s="176" t="n"/>
      <c r="Z472" s="176" t="n"/>
      <c r="AA472" s="176" t="n"/>
      <c r="AB472" s="176" t="n"/>
    </row>
    <row r="473">
      <c r="A473" s="176" t="n"/>
      <c r="B473" s="176" t="n"/>
      <c r="C473" s="176" t="n"/>
      <c r="D473" s="176" t="n"/>
      <c r="E473" s="186" t="n"/>
      <c r="F473" s="956" t="n"/>
      <c r="G473" s="956" t="n"/>
      <c r="H473" s="956" t="n"/>
      <c r="I473" s="956" t="n"/>
      <c r="J473" s="956" t="n"/>
      <c r="K473" s="946" t="n"/>
      <c r="L473" s="176" t="n"/>
      <c r="M473" s="176" t="n"/>
      <c r="N473" s="176" t="n"/>
      <c r="O473" s="176" t="n"/>
      <c r="P473" s="176" t="n"/>
      <c r="Q473" s="176" t="n"/>
      <c r="R473" s="176" t="n"/>
      <c r="S473" s="176" t="n"/>
      <c r="T473" s="176" t="n"/>
      <c r="U473" s="176" t="n"/>
      <c r="V473" s="176" t="n"/>
      <c r="W473" s="176" t="n"/>
      <c r="X473" s="176" t="n"/>
      <c r="Y473" s="176" t="n"/>
      <c r="Z473" s="176" t="n"/>
      <c r="AA473" s="176" t="n"/>
      <c r="AB473" s="176" t="n"/>
    </row>
    <row r="474">
      <c r="A474" s="176" t="n"/>
      <c r="B474" s="176" t="n"/>
      <c r="C474" s="176" t="n"/>
      <c r="D474" s="176" t="n"/>
      <c r="E474" s="186" t="n"/>
      <c r="F474" s="956" t="n"/>
      <c r="G474" s="956" t="n"/>
      <c r="H474" s="956" t="n"/>
      <c r="I474" s="956" t="n"/>
      <c r="J474" s="956" t="n"/>
      <c r="K474" s="946" t="n"/>
      <c r="L474" s="176" t="n"/>
      <c r="M474" s="176" t="n"/>
      <c r="N474" s="176" t="n"/>
      <c r="O474" s="176" t="n"/>
      <c r="P474" s="176" t="n"/>
      <c r="Q474" s="176" t="n"/>
      <c r="R474" s="176" t="n"/>
      <c r="S474" s="176" t="n"/>
      <c r="T474" s="176" t="n"/>
      <c r="U474" s="176" t="n"/>
      <c r="V474" s="176" t="n"/>
      <c r="W474" s="176" t="n"/>
      <c r="X474" s="176" t="n"/>
      <c r="Y474" s="176" t="n"/>
      <c r="Z474" s="176" t="n"/>
      <c r="AA474" s="176" t="n"/>
      <c r="AB474" s="176" t="n"/>
    </row>
    <row r="475">
      <c r="A475" s="176" t="n"/>
      <c r="B475" s="176" t="n"/>
      <c r="C475" s="176" t="n"/>
      <c r="D475" s="176" t="n"/>
      <c r="E475" s="186" t="n"/>
      <c r="F475" s="956" t="n"/>
      <c r="G475" s="956" t="n"/>
      <c r="H475" s="956" t="n"/>
      <c r="I475" s="956" t="n"/>
      <c r="J475" s="956" t="n"/>
      <c r="K475" s="946" t="n"/>
      <c r="L475" s="176" t="n"/>
      <c r="M475" s="176" t="n"/>
      <c r="N475" s="176" t="n"/>
      <c r="O475" s="176" t="n"/>
      <c r="P475" s="176" t="n"/>
      <c r="Q475" s="176" t="n"/>
      <c r="R475" s="176" t="n"/>
      <c r="S475" s="176" t="n"/>
      <c r="T475" s="176" t="n"/>
      <c r="U475" s="176" t="n"/>
      <c r="V475" s="176" t="n"/>
      <c r="W475" s="176" t="n"/>
      <c r="X475" s="176" t="n"/>
      <c r="Y475" s="176" t="n"/>
      <c r="Z475" s="176" t="n"/>
      <c r="AA475" s="176" t="n"/>
      <c r="AB475" s="176" t="n"/>
    </row>
    <row r="476">
      <c r="A476" s="176" t="n"/>
      <c r="B476" s="176" t="n"/>
      <c r="C476" s="176" t="n"/>
      <c r="D476" s="176" t="n"/>
      <c r="E476" s="186" t="n"/>
      <c r="F476" s="956" t="n"/>
      <c r="G476" s="956" t="n"/>
      <c r="H476" s="956" t="n"/>
      <c r="I476" s="956" t="n"/>
      <c r="J476" s="956" t="n"/>
      <c r="K476" s="946" t="n"/>
      <c r="L476" s="176" t="n"/>
      <c r="M476" s="176" t="n"/>
      <c r="N476" s="176" t="n"/>
      <c r="O476" s="176" t="n"/>
      <c r="P476" s="176" t="n"/>
      <c r="Q476" s="176" t="n"/>
      <c r="R476" s="176" t="n"/>
      <c r="S476" s="176" t="n"/>
      <c r="T476" s="176" t="n"/>
      <c r="U476" s="176" t="n"/>
      <c r="V476" s="176" t="n"/>
      <c r="W476" s="176" t="n"/>
      <c r="X476" s="176" t="n"/>
      <c r="Y476" s="176" t="n"/>
      <c r="Z476" s="176" t="n"/>
      <c r="AA476" s="176" t="n"/>
      <c r="AB476" s="176" t="n"/>
    </row>
    <row r="477">
      <c r="A477" s="176" t="n"/>
      <c r="B477" s="176" t="n"/>
      <c r="C477" s="176" t="n"/>
      <c r="D477" s="176" t="n"/>
      <c r="E477" s="186" t="n"/>
      <c r="F477" s="956" t="n"/>
      <c r="G477" s="956" t="n"/>
      <c r="H477" s="956" t="n"/>
      <c r="I477" s="956" t="n"/>
      <c r="J477" s="956" t="n"/>
      <c r="K477" s="946" t="n"/>
      <c r="L477" s="176" t="n"/>
      <c r="M477" s="176" t="n"/>
      <c r="N477" s="176" t="n"/>
      <c r="O477" s="176" t="n"/>
      <c r="P477" s="176" t="n"/>
      <c r="Q477" s="176" t="n"/>
      <c r="R477" s="176" t="n"/>
      <c r="S477" s="176" t="n"/>
      <c r="T477" s="176" t="n"/>
      <c r="U477" s="176" t="n"/>
      <c r="V477" s="176" t="n"/>
      <c r="W477" s="176" t="n"/>
      <c r="X477" s="176" t="n"/>
      <c r="Y477" s="176" t="n"/>
      <c r="Z477" s="176" t="n"/>
      <c r="AA477" s="176" t="n"/>
      <c r="AB477" s="176" t="n"/>
    </row>
    <row r="478">
      <c r="A478" s="176" t="n"/>
      <c r="B478" s="176" t="n"/>
      <c r="C478" s="176" t="n"/>
      <c r="D478" s="176" t="n"/>
      <c r="E478" s="186" t="n"/>
      <c r="F478" s="956" t="n"/>
      <c r="G478" s="956" t="n"/>
      <c r="H478" s="956" t="n"/>
      <c r="I478" s="956" t="n"/>
      <c r="J478" s="956" t="n"/>
      <c r="K478" s="946" t="n"/>
      <c r="L478" s="176" t="n"/>
      <c r="M478" s="176" t="n"/>
      <c r="N478" s="176" t="n"/>
      <c r="O478" s="176" t="n"/>
      <c r="P478" s="176" t="n"/>
      <c r="Q478" s="176" t="n"/>
      <c r="R478" s="176" t="n"/>
      <c r="S478" s="176" t="n"/>
      <c r="T478" s="176" t="n"/>
      <c r="U478" s="176" t="n"/>
      <c r="V478" s="176" t="n"/>
      <c r="W478" s="176" t="n"/>
      <c r="X478" s="176" t="n"/>
      <c r="Y478" s="176" t="n"/>
      <c r="Z478" s="176" t="n"/>
      <c r="AA478" s="176" t="n"/>
      <c r="AB478" s="176" t="n"/>
    </row>
    <row r="479">
      <c r="A479" s="176" t="n"/>
      <c r="B479" s="176" t="n"/>
      <c r="C479" s="176" t="n"/>
      <c r="D479" s="176" t="n"/>
      <c r="E479" s="186" t="n"/>
      <c r="F479" s="956" t="n"/>
      <c r="G479" s="956" t="n"/>
      <c r="H479" s="956" t="n"/>
      <c r="I479" s="956" t="n"/>
      <c r="J479" s="956" t="n"/>
      <c r="K479" s="946" t="n"/>
      <c r="L479" s="176" t="n"/>
      <c r="M479" s="176" t="n"/>
      <c r="N479" s="176" t="n"/>
      <c r="O479" s="176" t="n"/>
      <c r="P479" s="176" t="n"/>
      <c r="Q479" s="176" t="n"/>
      <c r="R479" s="176" t="n"/>
      <c r="S479" s="176" t="n"/>
      <c r="T479" s="176" t="n"/>
      <c r="U479" s="176" t="n"/>
      <c r="V479" s="176" t="n"/>
      <c r="W479" s="176" t="n"/>
      <c r="X479" s="176" t="n"/>
      <c r="Y479" s="176" t="n"/>
      <c r="Z479" s="176" t="n"/>
      <c r="AA479" s="176" t="n"/>
      <c r="AB479" s="176" t="n"/>
    </row>
    <row r="480">
      <c r="A480" s="176" t="n"/>
      <c r="B480" s="176" t="n"/>
      <c r="C480" s="176" t="n"/>
      <c r="D480" s="176" t="n"/>
      <c r="E480" s="186" t="n"/>
      <c r="F480" s="956" t="n"/>
      <c r="G480" s="956" t="n"/>
      <c r="H480" s="956" t="n"/>
      <c r="I480" s="956" t="n"/>
      <c r="J480" s="956" t="n"/>
      <c r="K480" s="946" t="n"/>
      <c r="L480" s="176" t="n"/>
      <c r="M480" s="176" t="n"/>
      <c r="N480" s="176" t="n"/>
      <c r="O480" s="176" t="n"/>
      <c r="P480" s="176" t="n"/>
      <c r="Q480" s="176" t="n"/>
      <c r="R480" s="176" t="n"/>
      <c r="S480" s="176" t="n"/>
      <c r="T480" s="176" t="n"/>
      <c r="U480" s="176" t="n"/>
      <c r="V480" s="176" t="n"/>
      <c r="W480" s="176" t="n"/>
      <c r="X480" s="176" t="n"/>
      <c r="Y480" s="176" t="n"/>
      <c r="Z480" s="176" t="n"/>
      <c r="AA480" s="176" t="n"/>
      <c r="AB480" s="176" t="n"/>
    </row>
    <row r="481">
      <c r="A481" s="176" t="n"/>
      <c r="B481" s="176" t="n"/>
      <c r="C481" s="176" t="n"/>
      <c r="D481" s="176" t="n"/>
      <c r="E481" s="186" t="n"/>
      <c r="F481" s="956" t="n"/>
      <c r="G481" s="956" t="n"/>
      <c r="H481" s="956" t="n"/>
      <c r="I481" s="956" t="n"/>
      <c r="J481" s="956" t="n"/>
      <c r="K481" s="946" t="n"/>
      <c r="L481" s="176" t="n"/>
      <c r="M481" s="176" t="n"/>
      <c r="N481" s="176" t="n"/>
      <c r="O481" s="176" t="n"/>
      <c r="P481" s="176" t="n"/>
      <c r="Q481" s="176" t="n"/>
      <c r="R481" s="176" t="n"/>
      <c r="S481" s="176" t="n"/>
      <c r="T481" s="176" t="n"/>
      <c r="U481" s="176" t="n"/>
      <c r="V481" s="176" t="n"/>
      <c r="W481" s="176" t="n"/>
      <c r="X481" s="176" t="n"/>
      <c r="Y481" s="176" t="n"/>
      <c r="Z481" s="176" t="n"/>
      <c r="AA481" s="176" t="n"/>
      <c r="AB481" s="176" t="n"/>
    </row>
    <row r="482">
      <c r="A482" s="176" t="n"/>
      <c r="B482" s="176" t="n"/>
      <c r="C482" s="176" t="n"/>
      <c r="D482" s="176" t="n"/>
      <c r="E482" s="186" t="n"/>
      <c r="F482" s="956" t="n"/>
      <c r="G482" s="956" t="n"/>
      <c r="H482" s="956" t="n"/>
      <c r="I482" s="956" t="n"/>
      <c r="J482" s="956" t="n"/>
      <c r="K482" s="946" t="n"/>
      <c r="L482" s="176" t="n"/>
      <c r="M482" s="176" t="n"/>
      <c r="N482" s="176" t="n"/>
      <c r="O482" s="176" t="n"/>
      <c r="P482" s="176" t="n"/>
      <c r="Q482" s="176" t="n"/>
      <c r="R482" s="176" t="n"/>
      <c r="S482" s="176" t="n"/>
      <c r="T482" s="176" t="n"/>
      <c r="U482" s="176" t="n"/>
      <c r="V482" s="176" t="n"/>
      <c r="W482" s="176" t="n"/>
      <c r="X482" s="176" t="n"/>
      <c r="Y482" s="176" t="n"/>
      <c r="Z482" s="176" t="n"/>
      <c r="AA482" s="176" t="n"/>
      <c r="AB482" s="176" t="n"/>
    </row>
    <row r="483">
      <c r="A483" s="176" t="n"/>
      <c r="B483" s="176" t="n"/>
      <c r="C483" s="176" t="n"/>
      <c r="D483" s="176" t="n"/>
      <c r="E483" s="186" t="n"/>
      <c r="F483" s="956" t="n"/>
      <c r="G483" s="956" t="n"/>
      <c r="H483" s="956" t="n"/>
      <c r="I483" s="956" t="n"/>
      <c r="J483" s="956" t="n"/>
      <c r="K483" s="946" t="n"/>
      <c r="L483" s="176" t="n"/>
      <c r="M483" s="176" t="n"/>
      <c r="N483" s="176" t="n"/>
      <c r="O483" s="176" t="n"/>
      <c r="P483" s="176" t="n"/>
      <c r="Q483" s="176" t="n"/>
      <c r="R483" s="176" t="n"/>
      <c r="S483" s="176" t="n"/>
      <c r="T483" s="176" t="n"/>
      <c r="U483" s="176" t="n"/>
      <c r="V483" s="176" t="n"/>
      <c r="W483" s="176" t="n"/>
      <c r="X483" s="176" t="n"/>
      <c r="Y483" s="176" t="n"/>
      <c r="Z483" s="176" t="n"/>
      <c r="AA483" s="176" t="n"/>
      <c r="AB483" s="176" t="n"/>
    </row>
    <row r="484">
      <c r="A484" s="176" t="n"/>
      <c r="B484" s="176" t="n"/>
      <c r="C484" s="176" t="n"/>
      <c r="D484" s="176" t="n"/>
      <c r="E484" s="186" t="n"/>
      <c r="F484" s="956" t="n"/>
      <c r="G484" s="956" t="n"/>
      <c r="H484" s="956" t="n"/>
      <c r="I484" s="956" t="n"/>
      <c r="J484" s="956" t="n"/>
      <c r="K484" s="946" t="n"/>
      <c r="L484" s="176" t="n"/>
      <c r="M484" s="176" t="n"/>
      <c r="N484" s="176" t="n"/>
      <c r="O484" s="176" t="n"/>
      <c r="P484" s="176" t="n"/>
      <c r="Q484" s="176" t="n"/>
      <c r="R484" s="176" t="n"/>
      <c r="S484" s="176" t="n"/>
      <c r="T484" s="176" t="n"/>
      <c r="U484" s="176" t="n"/>
      <c r="V484" s="176" t="n"/>
      <c r="W484" s="176" t="n"/>
      <c r="X484" s="176" t="n"/>
      <c r="Y484" s="176" t="n"/>
      <c r="Z484" s="176" t="n"/>
      <c r="AA484" s="176" t="n"/>
      <c r="AB484" s="176" t="n"/>
    </row>
    <row r="485">
      <c r="A485" s="176" t="n"/>
      <c r="B485" s="176" t="n"/>
      <c r="C485" s="176" t="n"/>
      <c r="D485" s="176" t="n"/>
      <c r="E485" s="186" t="n"/>
      <c r="F485" s="956" t="n"/>
      <c r="G485" s="956" t="n"/>
      <c r="H485" s="956" t="n"/>
      <c r="I485" s="956" t="n"/>
      <c r="J485" s="956" t="n"/>
      <c r="K485" s="946" t="n"/>
      <c r="L485" s="176" t="n"/>
      <c r="M485" s="176" t="n"/>
      <c r="N485" s="176" t="n"/>
      <c r="O485" s="176" t="n"/>
      <c r="P485" s="176" t="n"/>
      <c r="Q485" s="176" t="n"/>
      <c r="R485" s="176" t="n"/>
      <c r="S485" s="176" t="n"/>
      <c r="T485" s="176" t="n"/>
      <c r="U485" s="176" t="n"/>
      <c r="V485" s="176" t="n"/>
      <c r="W485" s="176" t="n"/>
      <c r="X485" s="176" t="n"/>
      <c r="Y485" s="176" t="n"/>
      <c r="Z485" s="176" t="n"/>
      <c r="AA485" s="176" t="n"/>
      <c r="AB485" s="176" t="n"/>
    </row>
    <row r="486">
      <c r="A486" s="176" t="n"/>
      <c r="B486" s="176" t="n"/>
      <c r="C486" s="176" t="n"/>
      <c r="D486" s="176" t="n"/>
      <c r="E486" s="186" t="n"/>
      <c r="F486" s="956" t="n"/>
      <c r="G486" s="956" t="n"/>
      <c r="H486" s="956" t="n"/>
      <c r="I486" s="956" t="n"/>
      <c r="J486" s="956" t="n"/>
      <c r="K486" s="946" t="n"/>
      <c r="L486" s="176" t="n"/>
      <c r="M486" s="176" t="n"/>
      <c r="N486" s="176" t="n"/>
      <c r="O486" s="176" t="n"/>
      <c r="P486" s="176" t="n"/>
      <c r="Q486" s="176" t="n"/>
      <c r="R486" s="176" t="n"/>
      <c r="S486" s="176" t="n"/>
      <c r="T486" s="176" t="n"/>
      <c r="U486" s="176" t="n"/>
      <c r="V486" s="176" t="n"/>
      <c r="W486" s="176" t="n"/>
      <c r="X486" s="176" t="n"/>
      <c r="Y486" s="176" t="n"/>
      <c r="Z486" s="176" t="n"/>
      <c r="AA486" s="176" t="n"/>
      <c r="AB486" s="176" t="n"/>
    </row>
    <row r="487">
      <c r="A487" s="176" t="n"/>
      <c r="B487" s="176" t="n"/>
      <c r="C487" s="176" t="n"/>
      <c r="D487" s="176" t="n"/>
      <c r="E487" s="186" t="n"/>
      <c r="F487" s="956" t="n"/>
      <c r="G487" s="956" t="n"/>
      <c r="H487" s="956" t="n"/>
      <c r="I487" s="956" t="n"/>
      <c r="J487" s="956" t="n"/>
      <c r="K487" s="946" t="n"/>
      <c r="L487" s="176" t="n"/>
      <c r="M487" s="176" t="n"/>
      <c r="N487" s="176" t="n"/>
      <c r="O487" s="176" t="n"/>
      <c r="P487" s="176" t="n"/>
      <c r="Q487" s="176" t="n"/>
      <c r="R487" s="176" t="n"/>
      <c r="S487" s="176" t="n"/>
      <c r="T487" s="176" t="n"/>
      <c r="U487" s="176" t="n"/>
      <c r="V487" s="176" t="n"/>
      <c r="W487" s="176" t="n"/>
      <c r="X487" s="176" t="n"/>
      <c r="Y487" s="176" t="n"/>
      <c r="Z487" s="176" t="n"/>
      <c r="AA487" s="176" t="n"/>
      <c r="AB487" s="176" t="n"/>
    </row>
    <row r="488">
      <c r="A488" s="176" t="n"/>
      <c r="B488" s="176" t="n"/>
      <c r="C488" s="176" t="n"/>
      <c r="D488" s="176" t="n"/>
      <c r="E488" s="186" t="n"/>
      <c r="F488" s="956" t="n"/>
      <c r="G488" s="956" t="n"/>
      <c r="H488" s="956" t="n"/>
      <c r="I488" s="956" t="n"/>
      <c r="J488" s="956" t="n"/>
      <c r="K488" s="946" t="n"/>
      <c r="L488" s="176" t="n"/>
      <c r="M488" s="176" t="n"/>
      <c r="N488" s="176" t="n"/>
      <c r="O488" s="176" t="n"/>
      <c r="P488" s="176" t="n"/>
      <c r="Q488" s="176" t="n"/>
      <c r="R488" s="176" t="n"/>
      <c r="S488" s="176" t="n"/>
      <c r="T488" s="176" t="n"/>
      <c r="U488" s="176" t="n"/>
      <c r="V488" s="176" t="n"/>
      <c r="W488" s="176" t="n"/>
      <c r="X488" s="176" t="n"/>
      <c r="Y488" s="176" t="n"/>
      <c r="Z488" s="176" t="n"/>
      <c r="AA488" s="176" t="n"/>
      <c r="AB488" s="176" t="n"/>
    </row>
    <row r="489">
      <c r="A489" s="176" t="n"/>
      <c r="B489" s="176" t="n"/>
      <c r="C489" s="176" t="n"/>
      <c r="D489" s="176" t="n"/>
      <c r="E489" s="186" t="n"/>
      <c r="F489" s="956" t="n"/>
      <c r="G489" s="956" t="n"/>
      <c r="H489" s="956" t="n"/>
      <c r="I489" s="956" t="n"/>
      <c r="J489" s="956" t="n"/>
      <c r="K489" s="946" t="n"/>
      <c r="L489" s="176" t="n"/>
      <c r="M489" s="176" t="n"/>
      <c r="N489" s="176" t="n"/>
      <c r="O489" s="176" t="n"/>
      <c r="P489" s="176" t="n"/>
      <c r="Q489" s="176" t="n"/>
      <c r="R489" s="176" t="n"/>
      <c r="S489" s="176" t="n"/>
      <c r="T489" s="176" t="n"/>
      <c r="U489" s="176" t="n"/>
      <c r="V489" s="176" t="n"/>
      <c r="W489" s="176" t="n"/>
      <c r="X489" s="176" t="n"/>
      <c r="Y489" s="176" t="n"/>
      <c r="Z489" s="176" t="n"/>
      <c r="AA489" s="176" t="n"/>
      <c r="AB489" s="176" t="n"/>
    </row>
    <row r="490">
      <c r="A490" s="176" t="n"/>
      <c r="B490" s="176" t="n"/>
      <c r="C490" s="176" t="n"/>
      <c r="D490" s="176" t="n"/>
      <c r="E490" s="186" t="n"/>
      <c r="F490" s="956" t="n"/>
      <c r="G490" s="956" t="n"/>
      <c r="H490" s="956" t="n"/>
      <c r="I490" s="956" t="n"/>
      <c r="J490" s="956" t="n"/>
      <c r="K490" s="946" t="n"/>
      <c r="L490" s="176" t="n"/>
      <c r="M490" s="176" t="n"/>
      <c r="N490" s="176" t="n"/>
      <c r="O490" s="176" t="n"/>
      <c r="P490" s="176" t="n"/>
      <c r="Q490" s="176" t="n"/>
      <c r="R490" s="176" t="n"/>
      <c r="S490" s="176" t="n"/>
      <c r="T490" s="176" t="n"/>
      <c r="U490" s="176" t="n"/>
      <c r="V490" s="176" t="n"/>
      <c r="W490" s="176" t="n"/>
      <c r="X490" s="176" t="n"/>
      <c r="Y490" s="176" t="n"/>
      <c r="Z490" s="176" t="n"/>
      <c r="AA490" s="176" t="n"/>
      <c r="AB490" s="176" t="n"/>
    </row>
    <row r="491">
      <c r="A491" s="176" t="n"/>
      <c r="B491" s="176" t="n"/>
      <c r="C491" s="176" t="n"/>
      <c r="D491" s="176" t="n"/>
      <c r="E491" s="186" t="n"/>
      <c r="F491" s="956" t="n"/>
      <c r="G491" s="956" t="n"/>
      <c r="H491" s="956" t="n"/>
      <c r="I491" s="956" t="n"/>
      <c r="J491" s="956" t="n"/>
      <c r="K491" s="946" t="n"/>
      <c r="L491" s="176" t="n"/>
      <c r="M491" s="176" t="n"/>
      <c r="N491" s="176" t="n"/>
      <c r="O491" s="176" t="n"/>
      <c r="P491" s="176" t="n"/>
      <c r="Q491" s="176" t="n"/>
      <c r="R491" s="176" t="n"/>
      <c r="S491" s="176" t="n"/>
      <c r="T491" s="176" t="n"/>
      <c r="U491" s="176" t="n"/>
      <c r="V491" s="176" t="n"/>
      <c r="W491" s="176" t="n"/>
      <c r="X491" s="176" t="n"/>
      <c r="Y491" s="176" t="n"/>
      <c r="Z491" s="176" t="n"/>
      <c r="AA491" s="176" t="n"/>
      <c r="AB491" s="176" t="n"/>
    </row>
    <row r="492">
      <c r="A492" s="176" t="n"/>
      <c r="B492" s="176" t="n"/>
      <c r="C492" s="176" t="n"/>
      <c r="D492" s="176" t="n"/>
      <c r="E492" s="186" t="n"/>
      <c r="F492" s="956" t="n"/>
      <c r="G492" s="956" t="n"/>
      <c r="H492" s="956" t="n"/>
      <c r="I492" s="956" t="n"/>
      <c r="J492" s="956" t="n"/>
      <c r="K492" s="946" t="n"/>
      <c r="L492" s="176" t="n"/>
      <c r="M492" s="176" t="n"/>
      <c r="N492" s="176" t="n"/>
      <c r="O492" s="176" t="n"/>
      <c r="P492" s="176" t="n"/>
      <c r="Q492" s="176" t="n"/>
      <c r="R492" s="176" t="n"/>
      <c r="S492" s="176" t="n"/>
      <c r="T492" s="176" t="n"/>
      <c r="U492" s="176" t="n"/>
      <c r="V492" s="176" t="n"/>
      <c r="W492" s="176" t="n"/>
      <c r="X492" s="176" t="n"/>
      <c r="Y492" s="176" t="n"/>
      <c r="Z492" s="176" t="n"/>
      <c r="AA492" s="176" t="n"/>
      <c r="AB492" s="176" t="n"/>
    </row>
    <row r="493">
      <c r="A493" s="176" t="n"/>
      <c r="B493" s="176" t="n"/>
      <c r="C493" s="176" t="n"/>
      <c r="D493" s="176" t="n"/>
      <c r="E493" s="186" t="n"/>
      <c r="F493" s="956" t="n"/>
      <c r="G493" s="956" t="n"/>
      <c r="H493" s="956" t="n"/>
      <c r="I493" s="956" t="n"/>
      <c r="J493" s="956" t="n"/>
      <c r="K493" s="946" t="n"/>
      <c r="L493" s="176" t="n"/>
      <c r="M493" s="176" t="n"/>
      <c r="N493" s="176" t="n"/>
      <c r="O493" s="176" t="n"/>
      <c r="P493" s="176" t="n"/>
      <c r="Q493" s="176" t="n"/>
      <c r="R493" s="176" t="n"/>
      <c r="S493" s="176" t="n"/>
      <c r="T493" s="176" t="n"/>
      <c r="U493" s="176" t="n"/>
      <c r="V493" s="176" t="n"/>
      <c r="W493" s="176" t="n"/>
      <c r="X493" s="176" t="n"/>
      <c r="Y493" s="176" t="n"/>
      <c r="Z493" s="176" t="n"/>
      <c r="AA493" s="176" t="n"/>
      <c r="AB493" s="176" t="n"/>
    </row>
    <row r="494">
      <c r="A494" s="176" t="n"/>
      <c r="B494" s="176" t="n"/>
      <c r="C494" s="176" t="n"/>
      <c r="D494" s="176" t="n"/>
      <c r="E494" s="186" t="n"/>
      <c r="F494" s="956" t="n"/>
      <c r="G494" s="956" t="n"/>
      <c r="H494" s="956" t="n"/>
      <c r="I494" s="956" t="n"/>
      <c r="J494" s="956" t="n"/>
      <c r="K494" s="946" t="n"/>
      <c r="L494" s="176" t="n"/>
      <c r="M494" s="176" t="n"/>
      <c r="N494" s="176" t="n"/>
      <c r="O494" s="176" t="n"/>
      <c r="P494" s="176" t="n"/>
      <c r="Q494" s="176" t="n"/>
      <c r="R494" s="176" t="n"/>
      <c r="S494" s="176" t="n"/>
      <c r="T494" s="176" t="n"/>
      <c r="U494" s="176" t="n"/>
      <c r="V494" s="176" t="n"/>
      <c r="W494" s="176" t="n"/>
      <c r="X494" s="176" t="n"/>
      <c r="Y494" s="176" t="n"/>
      <c r="Z494" s="176" t="n"/>
      <c r="AA494" s="176" t="n"/>
      <c r="AB494" s="176" t="n"/>
    </row>
    <row r="495">
      <c r="A495" s="176" t="n"/>
      <c r="B495" s="176" t="n"/>
      <c r="C495" s="176" t="n"/>
      <c r="D495" s="176" t="n"/>
      <c r="E495" s="186" t="n"/>
      <c r="F495" s="956" t="n"/>
      <c r="G495" s="956" t="n"/>
      <c r="H495" s="956" t="n"/>
      <c r="I495" s="956" t="n"/>
      <c r="J495" s="956" t="n"/>
      <c r="K495" s="946" t="n"/>
      <c r="L495" s="176" t="n"/>
      <c r="M495" s="176" t="n"/>
      <c r="N495" s="176" t="n"/>
      <c r="O495" s="176" t="n"/>
      <c r="P495" s="176" t="n"/>
      <c r="Q495" s="176" t="n"/>
      <c r="R495" s="176" t="n"/>
      <c r="S495" s="176" t="n"/>
      <c r="T495" s="176" t="n"/>
      <c r="U495" s="176" t="n"/>
      <c r="V495" s="176" t="n"/>
      <c r="W495" s="176" t="n"/>
      <c r="X495" s="176" t="n"/>
      <c r="Y495" s="176" t="n"/>
      <c r="Z495" s="176" t="n"/>
      <c r="AA495" s="176" t="n"/>
      <c r="AB495" s="176" t="n"/>
    </row>
    <row r="496">
      <c r="A496" s="176" t="n"/>
      <c r="B496" s="176" t="n"/>
      <c r="C496" s="176" t="n"/>
      <c r="D496" s="176" t="n"/>
      <c r="E496" s="186" t="n"/>
      <c r="F496" s="956" t="n"/>
      <c r="G496" s="956" t="n"/>
      <c r="H496" s="956" t="n"/>
      <c r="I496" s="956" t="n"/>
      <c r="J496" s="956" t="n"/>
      <c r="K496" s="946" t="n"/>
      <c r="L496" s="176" t="n"/>
      <c r="M496" s="176" t="n"/>
      <c r="N496" s="176" t="n"/>
      <c r="O496" s="176" t="n"/>
      <c r="P496" s="176" t="n"/>
      <c r="Q496" s="176" t="n"/>
      <c r="R496" s="176" t="n"/>
      <c r="S496" s="176" t="n"/>
      <c r="T496" s="176" t="n"/>
      <c r="U496" s="176" t="n"/>
      <c r="V496" s="176" t="n"/>
      <c r="W496" s="176" t="n"/>
      <c r="X496" s="176" t="n"/>
      <c r="Y496" s="176" t="n"/>
      <c r="Z496" s="176" t="n"/>
      <c r="AA496" s="176" t="n"/>
      <c r="AB496" s="176" t="n"/>
    </row>
    <row r="497">
      <c r="A497" s="176" t="n"/>
      <c r="B497" s="176" t="n"/>
      <c r="C497" s="176" t="n"/>
      <c r="D497" s="176" t="n"/>
      <c r="E497" s="186" t="n"/>
      <c r="F497" s="956" t="n"/>
      <c r="G497" s="956" t="n"/>
      <c r="H497" s="956" t="n"/>
      <c r="I497" s="956" t="n"/>
      <c r="J497" s="956" t="n"/>
      <c r="K497" s="946" t="n"/>
      <c r="L497" s="176" t="n"/>
      <c r="M497" s="176" t="n"/>
      <c r="N497" s="176" t="n"/>
      <c r="O497" s="176" t="n"/>
      <c r="P497" s="176" t="n"/>
      <c r="Q497" s="176" t="n"/>
      <c r="R497" s="176" t="n"/>
      <c r="S497" s="176" t="n"/>
      <c r="T497" s="176" t="n"/>
      <c r="U497" s="176" t="n"/>
      <c r="V497" s="176" t="n"/>
      <c r="W497" s="176" t="n"/>
      <c r="X497" s="176" t="n"/>
      <c r="Y497" s="176" t="n"/>
      <c r="Z497" s="176" t="n"/>
      <c r="AA497" s="176" t="n"/>
      <c r="AB497" s="176" t="n"/>
    </row>
    <row r="498">
      <c r="A498" s="176" t="n"/>
      <c r="B498" s="176" t="n"/>
      <c r="C498" s="176" t="n"/>
      <c r="D498" s="176" t="n"/>
      <c r="E498" s="186" t="n"/>
      <c r="F498" s="956" t="n"/>
      <c r="G498" s="956" t="n"/>
      <c r="H498" s="956" t="n"/>
      <c r="I498" s="956" t="n"/>
      <c r="J498" s="956" t="n"/>
      <c r="K498" s="946" t="n"/>
      <c r="L498" s="176" t="n"/>
      <c r="M498" s="176" t="n"/>
      <c r="N498" s="176" t="n"/>
      <c r="O498" s="176" t="n"/>
      <c r="P498" s="176" t="n"/>
      <c r="Q498" s="176" t="n"/>
      <c r="R498" s="176" t="n"/>
      <c r="S498" s="176" t="n"/>
      <c r="T498" s="176" t="n"/>
      <c r="U498" s="176" t="n"/>
      <c r="V498" s="176" t="n"/>
      <c r="W498" s="176" t="n"/>
      <c r="X498" s="176" t="n"/>
      <c r="Y498" s="176" t="n"/>
      <c r="Z498" s="176" t="n"/>
      <c r="AA498" s="176" t="n"/>
      <c r="AB498" s="176" t="n"/>
    </row>
    <row r="499">
      <c r="A499" s="176" t="n"/>
      <c r="B499" s="176" t="n"/>
      <c r="C499" s="176" t="n"/>
      <c r="D499" s="176" t="n"/>
      <c r="E499" s="186" t="n"/>
      <c r="F499" s="956" t="n"/>
      <c r="G499" s="956" t="n"/>
      <c r="H499" s="956" t="n"/>
      <c r="I499" s="956" t="n"/>
      <c r="J499" s="956" t="n"/>
      <c r="K499" s="946" t="n"/>
      <c r="L499" s="176" t="n"/>
      <c r="M499" s="176" t="n"/>
      <c r="N499" s="176" t="n"/>
      <c r="O499" s="176" t="n"/>
      <c r="P499" s="176" t="n"/>
      <c r="Q499" s="176" t="n"/>
      <c r="R499" s="176" t="n"/>
      <c r="S499" s="176" t="n"/>
      <c r="T499" s="176" t="n"/>
      <c r="U499" s="176" t="n"/>
      <c r="V499" s="176" t="n"/>
      <c r="W499" s="176" t="n"/>
      <c r="X499" s="176" t="n"/>
      <c r="Y499" s="176" t="n"/>
      <c r="Z499" s="176" t="n"/>
      <c r="AA499" s="176" t="n"/>
      <c r="AB499" s="176" t="n"/>
    </row>
    <row r="500">
      <c r="A500" s="176" t="n"/>
      <c r="B500" s="176" t="n"/>
      <c r="C500" s="176" t="n"/>
      <c r="D500" s="176" t="n"/>
      <c r="E500" s="186" t="n"/>
      <c r="F500" s="956" t="n"/>
      <c r="G500" s="956" t="n"/>
      <c r="H500" s="956" t="n"/>
      <c r="I500" s="956" t="n"/>
      <c r="J500" s="956" t="n"/>
      <c r="K500" s="946" t="n"/>
      <c r="L500" s="176" t="n"/>
      <c r="M500" s="176" t="n"/>
      <c r="N500" s="176" t="n"/>
      <c r="O500" s="176" t="n"/>
      <c r="P500" s="176" t="n"/>
      <c r="Q500" s="176" t="n"/>
      <c r="R500" s="176" t="n"/>
      <c r="S500" s="176" t="n"/>
      <c r="T500" s="176" t="n"/>
      <c r="U500" s="176" t="n"/>
      <c r="V500" s="176" t="n"/>
      <c r="W500" s="176" t="n"/>
      <c r="X500" s="176" t="n"/>
      <c r="Y500" s="176" t="n"/>
      <c r="Z500" s="176" t="n"/>
      <c r="AA500" s="176" t="n"/>
      <c r="AB500" s="176" t="n"/>
    </row>
    <row r="501">
      <c r="A501" s="176" t="n"/>
      <c r="B501" s="176" t="n"/>
      <c r="C501" s="176" t="n"/>
      <c r="D501" s="176" t="n"/>
      <c r="E501" s="186" t="n"/>
      <c r="F501" s="956" t="n"/>
      <c r="G501" s="956" t="n"/>
      <c r="H501" s="956" t="n"/>
      <c r="I501" s="956" t="n"/>
      <c r="J501" s="956" t="n"/>
      <c r="K501" s="946" t="n"/>
      <c r="L501" s="176" t="n"/>
      <c r="M501" s="176" t="n"/>
      <c r="N501" s="176" t="n"/>
      <c r="O501" s="176" t="n"/>
      <c r="P501" s="176" t="n"/>
      <c r="Q501" s="176" t="n"/>
      <c r="R501" s="176" t="n"/>
      <c r="S501" s="176" t="n"/>
      <c r="T501" s="176" t="n"/>
      <c r="U501" s="176" t="n"/>
      <c r="V501" s="176" t="n"/>
      <c r="W501" s="176" t="n"/>
      <c r="X501" s="176" t="n"/>
      <c r="Y501" s="176" t="n"/>
      <c r="Z501" s="176" t="n"/>
      <c r="AA501" s="176" t="n"/>
      <c r="AB501" s="176" t="n"/>
    </row>
    <row r="502">
      <c r="A502" s="176" t="n"/>
      <c r="B502" s="176" t="n"/>
      <c r="C502" s="176" t="n"/>
      <c r="D502" s="176" t="n"/>
      <c r="E502" s="186" t="n"/>
      <c r="F502" s="956" t="n"/>
      <c r="G502" s="956" t="n"/>
      <c r="H502" s="956" t="n"/>
      <c r="I502" s="956" t="n"/>
      <c r="J502" s="956" t="n"/>
      <c r="K502" s="946" t="n"/>
      <c r="L502" s="176" t="n"/>
      <c r="M502" s="176" t="n"/>
      <c r="N502" s="176" t="n"/>
      <c r="O502" s="176" t="n"/>
      <c r="P502" s="176" t="n"/>
      <c r="Q502" s="176" t="n"/>
      <c r="R502" s="176" t="n"/>
      <c r="S502" s="176" t="n"/>
      <c r="T502" s="176" t="n"/>
      <c r="U502" s="176" t="n"/>
      <c r="V502" s="176" t="n"/>
      <c r="W502" s="176" t="n"/>
      <c r="X502" s="176" t="n"/>
      <c r="Y502" s="176" t="n"/>
      <c r="Z502" s="176" t="n"/>
      <c r="AA502" s="176" t="n"/>
      <c r="AB502" s="176" t="n"/>
    </row>
    <row r="503">
      <c r="A503" s="176" t="n"/>
      <c r="B503" s="176" t="n"/>
      <c r="C503" s="176" t="n"/>
      <c r="D503" s="176" t="n"/>
      <c r="E503" s="186" t="n"/>
      <c r="F503" s="956" t="n"/>
      <c r="G503" s="956" t="n"/>
      <c r="H503" s="956" t="n"/>
      <c r="I503" s="956" t="n"/>
      <c r="J503" s="956" t="n"/>
      <c r="K503" s="946" t="n"/>
      <c r="L503" s="176" t="n"/>
      <c r="M503" s="176" t="n"/>
      <c r="N503" s="176" t="n"/>
      <c r="O503" s="176" t="n"/>
      <c r="P503" s="176" t="n"/>
      <c r="Q503" s="176" t="n"/>
      <c r="R503" s="176" t="n"/>
      <c r="S503" s="176" t="n"/>
      <c r="T503" s="176" t="n"/>
      <c r="U503" s="176" t="n"/>
      <c r="V503" s="176" t="n"/>
      <c r="W503" s="176" t="n"/>
      <c r="X503" s="176" t="n"/>
      <c r="Y503" s="176" t="n"/>
      <c r="Z503" s="176" t="n"/>
      <c r="AA503" s="176" t="n"/>
      <c r="AB503" s="176" t="n"/>
    </row>
    <row r="504">
      <c r="A504" s="176" t="n"/>
      <c r="B504" s="176" t="n"/>
      <c r="C504" s="176" t="n"/>
      <c r="D504" s="176" t="n"/>
      <c r="E504" s="186" t="n"/>
      <c r="F504" s="956" t="n"/>
      <c r="G504" s="956" t="n"/>
      <c r="H504" s="956" t="n"/>
      <c r="I504" s="956" t="n"/>
      <c r="J504" s="956" t="n"/>
      <c r="K504" s="946" t="n"/>
      <c r="L504" s="176" t="n"/>
      <c r="M504" s="176" t="n"/>
      <c r="N504" s="176" t="n"/>
      <c r="O504" s="176" t="n"/>
      <c r="P504" s="176" t="n"/>
      <c r="Q504" s="176" t="n"/>
      <c r="R504" s="176" t="n"/>
      <c r="S504" s="176" t="n"/>
      <c r="T504" s="176" t="n"/>
      <c r="U504" s="176" t="n"/>
      <c r="V504" s="176" t="n"/>
      <c r="W504" s="176" t="n"/>
      <c r="X504" s="176" t="n"/>
      <c r="Y504" s="176" t="n"/>
      <c r="Z504" s="176" t="n"/>
      <c r="AA504" s="176" t="n"/>
      <c r="AB504" s="176" t="n"/>
    </row>
    <row r="505">
      <c r="A505" s="176" t="n"/>
      <c r="B505" s="176" t="n"/>
      <c r="C505" s="176" t="n"/>
      <c r="D505" s="176" t="n"/>
      <c r="E505" s="186" t="n"/>
      <c r="F505" s="956" t="n"/>
      <c r="G505" s="956" t="n"/>
      <c r="H505" s="956" t="n"/>
      <c r="I505" s="956" t="n"/>
      <c r="J505" s="956" t="n"/>
      <c r="K505" s="946" t="n"/>
      <c r="L505" s="176" t="n"/>
      <c r="M505" s="176" t="n"/>
      <c r="N505" s="176" t="n"/>
      <c r="O505" s="176" t="n"/>
      <c r="P505" s="176" t="n"/>
      <c r="Q505" s="176" t="n"/>
      <c r="R505" s="176" t="n"/>
      <c r="S505" s="176" t="n"/>
      <c r="T505" s="176" t="n"/>
      <c r="U505" s="176" t="n"/>
      <c r="V505" s="176" t="n"/>
      <c r="W505" s="176" t="n"/>
      <c r="X505" s="176" t="n"/>
      <c r="Y505" s="176" t="n"/>
      <c r="Z505" s="176" t="n"/>
      <c r="AA505" s="176" t="n"/>
      <c r="AB505" s="176" t="n"/>
    </row>
    <row r="506">
      <c r="A506" s="176" t="n"/>
      <c r="B506" s="176" t="n"/>
      <c r="C506" s="176" t="n"/>
      <c r="D506" s="176" t="n"/>
      <c r="E506" s="186" t="n"/>
      <c r="F506" s="956" t="n"/>
      <c r="G506" s="956" t="n"/>
      <c r="H506" s="956" t="n"/>
      <c r="I506" s="956" t="n"/>
      <c r="J506" s="956" t="n"/>
      <c r="K506" s="946" t="n"/>
      <c r="L506" s="176" t="n"/>
      <c r="M506" s="176" t="n"/>
      <c r="N506" s="176" t="n"/>
      <c r="O506" s="176" t="n"/>
      <c r="P506" s="176" t="n"/>
      <c r="Q506" s="176" t="n"/>
      <c r="R506" s="176" t="n"/>
      <c r="S506" s="176" t="n"/>
      <c r="T506" s="176" t="n"/>
      <c r="U506" s="176" t="n"/>
      <c r="V506" s="176" t="n"/>
      <c r="W506" s="176" t="n"/>
      <c r="X506" s="176" t="n"/>
      <c r="Y506" s="176" t="n"/>
      <c r="Z506" s="176" t="n"/>
      <c r="AA506" s="176" t="n"/>
      <c r="AB506" s="176" t="n"/>
    </row>
    <row r="507">
      <c r="A507" s="176" t="n"/>
      <c r="B507" s="176" t="n"/>
      <c r="C507" s="176" t="n"/>
      <c r="D507" s="176" t="n"/>
      <c r="E507" s="186" t="n"/>
      <c r="F507" s="956" t="n"/>
      <c r="G507" s="956" t="n"/>
      <c r="H507" s="956" t="n"/>
      <c r="I507" s="956" t="n"/>
      <c r="J507" s="956" t="n"/>
      <c r="K507" s="946" t="n"/>
      <c r="L507" s="176" t="n"/>
      <c r="M507" s="176" t="n"/>
      <c r="N507" s="176" t="n"/>
      <c r="O507" s="176" t="n"/>
      <c r="P507" s="176" t="n"/>
      <c r="Q507" s="176" t="n"/>
      <c r="R507" s="176" t="n"/>
      <c r="S507" s="176" t="n"/>
      <c r="T507" s="176" t="n"/>
      <c r="U507" s="176" t="n"/>
      <c r="V507" s="176" t="n"/>
      <c r="W507" s="176" t="n"/>
      <c r="X507" s="176" t="n"/>
      <c r="Y507" s="176" t="n"/>
      <c r="Z507" s="176" t="n"/>
      <c r="AA507" s="176" t="n"/>
      <c r="AB507" s="176" t="n"/>
    </row>
    <row r="508">
      <c r="A508" s="176" t="n"/>
      <c r="B508" s="176" t="n"/>
      <c r="C508" s="176" t="n"/>
      <c r="D508" s="176" t="n"/>
      <c r="E508" s="186" t="n"/>
      <c r="F508" s="956" t="n"/>
      <c r="G508" s="956" t="n"/>
      <c r="H508" s="956" t="n"/>
      <c r="I508" s="956" t="n"/>
      <c r="J508" s="956" t="n"/>
      <c r="K508" s="946" t="n"/>
      <c r="L508" s="176" t="n"/>
      <c r="M508" s="176" t="n"/>
      <c r="N508" s="176" t="n"/>
      <c r="O508" s="176" t="n"/>
      <c r="P508" s="176" t="n"/>
      <c r="Q508" s="176" t="n"/>
      <c r="R508" s="176" t="n"/>
      <c r="S508" s="176" t="n"/>
      <c r="T508" s="176" t="n"/>
      <c r="U508" s="176" t="n"/>
      <c r="V508" s="176" t="n"/>
      <c r="W508" s="176" t="n"/>
      <c r="X508" s="176" t="n"/>
      <c r="Y508" s="176" t="n"/>
      <c r="Z508" s="176" t="n"/>
      <c r="AA508" s="176" t="n"/>
      <c r="AB508" s="176" t="n"/>
    </row>
    <row r="509">
      <c r="A509" s="176" t="n"/>
      <c r="B509" s="176" t="n"/>
      <c r="C509" s="176" t="n"/>
      <c r="D509" s="176" t="n"/>
      <c r="E509" s="186" t="n"/>
      <c r="F509" s="956" t="n"/>
      <c r="G509" s="956" t="n"/>
      <c r="H509" s="956" t="n"/>
      <c r="I509" s="956" t="n"/>
      <c r="J509" s="956" t="n"/>
      <c r="K509" s="946" t="n"/>
      <c r="L509" s="176" t="n"/>
      <c r="M509" s="176" t="n"/>
      <c r="N509" s="176" t="n"/>
      <c r="O509" s="176" t="n"/>
      <c r="P509" s="176" t="n"/>
      <c r="Q509" s="176" t="n"/>
      <c r="R509" s="176" t="n"/>
      <c r="S509" s="176" t="n"/>
      <c r="T509" s="176" t="n"/>
      <c r="U509" s="176" t="n"/>
      <c r="V509" s="176" t="n"/>
      <c r="W509" s="176" t="n"/>
      <c r="X509" s="176" t="n"/>
      <c r="Y509" s="176" t="n"/>
      <c r="Z509" s="176" t="n"/>
      <c r="AA509" s="176" t="n"/>
      <c r="AB509" s="176" t="n"/>
    </row>
    <row r="510">
      <c r="A510" s="176" t="n"/>
      <c r="B510" s="176" t="n"/>
      <c r="C510" s="176" t="n"/>
      <c r="D510" s="176" t="n"/>
      <c r="E510" s="186" t="n"/>
      <c r="F510" s="956" t="n"/>
      <c r="G510" s="956" t="n"/>
      <c r="H510" s="956" t="n"/>
      <c r="I510" s="956" t="n"/>
      <c r="J510" s="956" t="n"/>
      <c r="K510" s="946" t="n"/>
      <c r="L510" s="176" t="n"/>
      <c r="M510" s="176" t="n"/>
      <c r="N510" s="176" t="n"/>
      <c r="O510" s="176" t="n"/>
      <c r="P510" s="176" t="n"/>
      <c r="Q510" s="176" t="n"/>
      <c r="R510" s="176" t="n"/>
      <c r="S510" s="176" t="n"/>
      <c r="T510" s="176" t="n"/>
      <c r="U510" s="176" t="n"/>
      <c r="V510" s="176" t="n"/>
      <c r="W510" s="176" t="n"/>
      <c r="X510" s="176" t="n"/>
      <c r="Y510" s="176" t="n"/>
      <c r="Z510" s="176" t="n"/>
      <c r="AA510" s="176" t="n"/>
      <c r="AB510" s="176" t="n"/>
    </row>
    <row r="511">
      <c r="A511" s="176" t="n"/>
      <c r="B511" s="176" t="n"/>
      <c r="C511" s="176" t="n"/>
      <c r="D511" s="176" t="n"/>
      <c r="E511" s="186" t="n"/>
      <c r="F511" s="956" t="n"/>
      <c r="G511" s="956" t="n"/>
      <c r="H511" s="956" t="n"/>
      <c r="I511" s="956" t="n"/>
      <c r="J511" s="956" t="n"/>
      <c r="K511" s="946" t="n"/>
      <c r="L511" s="176" t="n"/>
      <c r="M511" s="176" t="n"/>
      <c r="N511" s="176" t="n"/>
      <c r="O511" s="176" t="n"/>
      <c r="P511" s="176" t="n"/>
      <c r="Q511" s="176" t="n"/>
      <c r="R511" s="176" t="n"/>
      <c r="S511" s="176" t="n"/>
      <c r="T511" s="176" t="n"/>
      <c r="U511" s="176" t="n"/>
      <c r="V511" s="176" t="n"/>
      <c r="W511" s="176" t="n"/>
      <c r="X511" s="176" t="n"/>
      <c r="Y511" s="176" t="n"/>
      <c r="Z511" s="176" t="n"/>
      <c r="AA511" s="176" t="n"/>
      <c r="AB511" s="176" t="n"/>
    </row>
    <row r="512">
      <c r="A512" s="176" t="n"/>
      <c r="B512" s="176" t="n"/>
      <c r="C512" s="176" t="n"/>
      <c r="D512" s="176" t="n"/>
      <c r="E512" s="186" t="n"/>
      <c r="F512" s="956" t="n"/>
      <c r="G512" s="956" t="n"/>
      <c r="H512" s="956" t="n"/>
      <c r="I512" s="956" t="n"/>
      <c r="J512" s="956" t="n"/>
      <c r="K512" s="946" t="n"/>
      <c r="L512" s="176" t="n"/>
      <c r="M512" s="176" t="n"/>
      <c r="N512" s="176" t="n"/>
      <c r="O512" s="176" t="n"/>
      <c r="P512" s="176" t="n"/>
      <c r="Q512" s="176" t="n"/>
      <c r="R512" s="176" t="n"/>
      <c r="S512" s="176" t="n"/>
      <c r="T512" s="176" t="n"/>
      <c r="U512" s="176" t="n"/>
      <c r="V512" s="176" t="n"/>
      <c r="W512" s="176" t="n"/>
      <c r="X512" s="176" t="n"/>
      <c r="Y512" s="176" t="n"/>
      <c r="Z512" s="176" t="n"/>
      <c r="AA512" s="176" t="n"/>
      <c r="AB512" s="176" t="n"/>
    </row>
    <row r="513">
      <c r="A513" s="176" t="n"/>
      <c r="B513" s="176" t="n"/>
      <c r="C513" s="176" t="n"/>
      <c r="D513" s="176" t="n"/>
      <c r="E513" s="186" t="n"/>
      <c r="F513" s="956" t="n"/>
      <c r="G513" s="956" t="n"/>
      <c r="H513" s="956" t="n"/>
      <c r="I513" s="956" t="n"/>
      <c r="J513" s="956" t="n"/>
      <c r="K513" s="946" t="n"/>
      <c r="L513" s="176" t="n"/>
      <c r="M513" s="176" t="n"/>
      <c r="N513" s="176" t="n"/>
      <c r="O513" s="176" t="n"/>
      <c r="P513" s="176" t="n"/>
      <c r="Q513" s="176" t="n"/>
      <c r="R513" s="176" t="n"/>
      <c r="S513" s="176" t="n"/>
      <c r="T513" s="176" t="n"/>
      <c r="U513" s="176" t="n"/>
      <c r="V513" s="176" t="n"/>
      <c r="W513" s="176" t="n"/>
      <c r="X513" s="176" t="n"/>
      <c r="Y513" s="176" t="n"/>
      <c r="Z513" s="176" t="n"/>
      <c r="AA513" s="176" t="n"/>
      <c r="AB513" s="176" t="n"/>
    </row>
    <row r="514">
      <c r="A514" s="176" t="n"/>
      <c r="B514" s="176" t="n"/>
      <c r="C514" s="176" t="n"/>
      <c r="D514" s="176" t="n"/>
      <c r="E514" s="186" t="n"/>
      <c r="F514" s="956" t="n"/>
      <c r="G514" s="956" t="n"/>
      <c r="H514" s="956" t="n"/>
      <c r="I514" s="956" t="n"/>
      <c r="J514" s="956" t="n"/>
      <c r="K514" s="946" t="n"/>
      <c r="L514" s="176" t="n"/>
      <c r="M514" s="176" t="n"/>
      <c r="N514" s="176" t="n"/>
      <c r="O514" s="176" t="n"/>
      <c r="P514" s="176" t="n"/>
      <c r="Q514" s="176" t="n"/>
      <c r="R514" s="176" t="n"/>
      <c r="S514" s="176" t="n"/>
      <c r="T514" s="176" t="n"/>
      <c r="U514" s="176" t="n"/>
      <c r="V514" s="176" t="n"/>
      <c r="W514" s="176" t="n"/>
      <c r="X514" s="176" t="n"/>
      <c r="Y514" s="176" t="n"/>
      <c r="Z514" s="176" t="n"/>
      <c r="AA514" s="176" t="n"/>
      <c r="AB514" s="176" t="n"/>
    </row>
    <row r="515">
      <c r="A515" s="176" t="n"/>
      <c r="B515" s="176" t="n"/>
      <c r="C515" s="176" t="n"/>
      <c r="D515" s="176" t="n"/>
      <c r="E515" s="186" t="n"/>
      <c r="F515" s="956" t="n"/>
      <c r="G515" s="956" t="n"/>
      <c r="H515" s="956" t="n"/>
      <c r="I515" s="956" t="n"/>
      <c r="J515" s="956" t="n"/>
      <c r="K515" s="946" t="n"/>
      <c r="L515" s="176" t="n"/>
      <c r="M515" s="176" t="n"/>
      <c r="N515" s="176" t="n"/>
      <c r="O515" s="176" t="n"/>
      <c r="P515" s="176" t="n"/>
      <c r="Q515" s="176" t="n"/>
      <c r="R515" s="176" t="n"/>
      <c r="S515" s="176" t="n"/>
      <c r="T515" s="176" t="n"/>
      <c r="U515" s="176" t="n"/>
      <c r="V515" s="176" t="n"/>
      <c r="W515" s="176" t="n"/>
      <c r="X515" s="176" t="n"/>
      <c r="Y515" s="176" t="n"/>
      <c r="Z515" s="176" t="n"/>
      <c r="AA515" s="176" t="n"/>
      <c r="AB515" s="176" t="n"/>
    </row>
    <row r="516">
      <c r="A516" s="176" t="n"/>
      <c r="B516" s="176" t="n"/>
      <c r="C516" s="176" t="n"/>
      <c r="D516" s="176" t="n"/>
      <c r="E516" s="186" t="n"/>
      <c r="F516" s="956" t="n"/>
      <c r="G516" s="956" t="n"/>
      <c r="H516" s="956" t="n"/>
      <c r="I516" s="956" t="n"/>
      <c r="J516" s="956" t="n"/>
      <c r="K516" s="946" t="n"/>
      <c r="L516" s="176" t="n"/>
      <c r="M516" s="176" t="n"/>
      <c r="N516" s="176" t="n"/>
      <c r="O516" s="176" t="n"/>
      <c r="P516" s="176" t="n"/>
      <c r="Q516" s="176" t="n"/>
      <c r="R516" s="176" t="n"/>
      <c r="S516" s="176" t="n"/>
      <c r="T516" s="176" t="n"/>
      <c r="U516" s="176" t="n"/>
      <c r="V516" s="176" t="n"/>
      <c r="W516" s="176" t="n"/>
      <c r="X516" s="176" t="n"/>
      <c r="Y516" s="176" t="n"/>
      <c r="Z516" s="176" t="n"/>
      <c r="AA516" s="176" t="n"/>
      <c r="AB516" s="176" t="n"/>
    </row>
    <row r="517">
      <c r="A517" s="176" t="n"/>
      <c r="B517" s="176" t="n"/>
      <c r="C517" s="176" t="n"/>
      <c r="D517" s="176" t="n"/>
      <c r="E517" s="186" t="n"/>
      <c r="F517" s="956" t="n"/>
      <c r="G517" s="956" t="n"/>
      <c r="H517" s="956" t="n"/>
      <c r="I517" s="956" t="n"/>
      <c r="J517" s="956" t="n"/>
      <c r="K517" s="946" t="n"/>
      <c r="L517" s="176" t="n"/>
      <c r="M517" s="176" t="n"/>
      <c r="N517" s="176" t="n"/>
      <c r="O517" s="176" t="n"/>
      <c r="P517" s="176" t="n"/>
      <c r="Q517" s="176" t="n"/>
      <c r="R517" s="176" t="n"/>
      <c r="S517" s="176" t="n"/>
      <c r="T517" s="176" t="n"/>
      <c r="U517" s="176" t="n"/>
      <c r="V517" s="176" t="n"/>
      <c r="W517" s="176" t="n"/>
      <c r="X517" s="176" t="n"/>
      <c r="Y517" s="176" t="n"/>
      <c r="Z517" s="176" t="n"/>
      <c r="AA517" s="176" t="n"/>
      <c r="AB517" s="176" t="n"/>
    </row>
    <row r="518">
      <c r="A518" s="176" t="n"/>
      <c r="B518" s="176" t="n"/>
      <c r="C518" s="176" t="n"/>
      <c r="D518" s="176" t="n"/>
      <c r="E518" s="186" t="n"/>
      <c r="F518" s="956" t="n"/>
      <c r="G518" s="956" t="n"/>
      <c r="H518" s="956" t="n"/>
      <c r="I518" s="956" t="n"/>
      <c r="J518" s="956" t="n"/>
      <c r="K518" s="946" t="n"/>
      <c r="L518" s="176" t="n"/>
      <c r="M518" s="176" t="n"/>
      <c r="N518" s="176" t="n"/>
      <c r="O518" s="176" t="n"/>
      <c r="P518" s="176" t="n"/>
      <c r="Q518" s="176" t="n"/>
      <c r="R518" s="176" t="n"/>
      <c r="S518" s="176" t="n"/>
      <c r="T518" s="176" t="n"/>
      <c r="U518" s="176" t="n"/>
      <c r="V518" s="176" t="n"/>
      <c r="W518" s="176" t="n"/>
      <c r="X518" s="176" t="n"/>
      <c r="Y518" s="176" t="n"/>
      <c r="Z518" s="176" t="n"/>
      <c r="AA518" s="176" t="n"/>
      <c r="AB518" s="176" t="n"/>
    </row>
    <row r="519">
      <c r="A519" s="176" t="n"/>
      <c r="B519" s="176" t="n"/>
      <c r="C519" s="176" t="n"/>
      <c r="D519" s="176" t="n"/>
      <c r="E519" s="186" t="n"/>
      <c r="F519" s="956" t="n"/>
      <c r="G519" s="956" t="n"/>
      <c r="H519" s="956" t="n"/>
      <c r="I519" s="956" t="n"/>
      <c r="J519" s="956" t="n"/>
      <c r="K519" s="946" t="n"/>
      <c r="L519" s="176" t="n"/>
      <c r="M519" s="176" t="n"/>
      <c r="N519" s="176" t="n"/>
      <c r="O519" s="176" t="n"/>
      <c r="P519" s="176" t="n"/>
      <c r="Q519" s="176" t="n"/>
      <c r="R519" s="176" t="n"/>
      <c r="S519" s="176" t="n"/>
      <c r="T519" s="176" t="n"/>
      <c r="U519" s="176" t="n"/>
      <c r="V519" s="176" t="n"/>
      <c r="W519" s="176" t="n"/>
      <c r="X519" s="176" t="n"/>
      <c r="Y519" s="176" t="n"/>
      <c r="Z519" s="176" t="n"/>
      <c r="AA519" s="176" t="n"/>
      <c r="AB519" s="176" t="n"/>
    </row>
    <row r="520">
      <c r="A520" s="176" t="n"/>
      <c r="B520" s="176" t="n"/>
      <c r="C520" s="176" t="n"/>
      <c r="D520" s="176" t="n"/>
      <c r="E520" s="186" t="n"/>
      <c r="F520" s="956" t="n"/>
      <c r="G520" s="956" t="n"/>
      <c r="H520" s="956" t="n"/>
      <c r="I520" s="956" t="n"/>
      <c r="J520" s="956" t="n"/>
      <c r="K520" s="946" t="n"/>
      <c r="L520" s="176" t="n"/>
      <c r="M520" s="176" t="n"/>
      <c r="N520" s="176" t="n"/>
      <c r="O520" s="176" t="n"/>
      <c r="P520" s="176" t="n"/>
      <c r="Q520" s="176" t="n"/>
      <c r="R520" s="176" t="n"/>
      <c r="S520" s="176" t="n"/>
      <c r="T520" s="176" t="n"/>
      <c r="U520" s="176" t="n"/>
      <c r="V520" s="176" t="n"/>
      <c r="W520" s="176" t="n"/>
      <c r="X520" s="176" t="n"/>
      <c r="Y520" s="176" t="n"/>
      <c r="Z520" s="176" t="n"/>
      <c r="AA520" s="176" t="n"/>
      <c r="AB520" s="176" t="n"/>
    </row>
    <row r="521">
      <c r="A521" s="176" t="n"/>
      <c r="B521" s="176" t="n"/>
      <c r="C521" s="176" t="n"/>
      <c r="D521" s="176" t="n"/>
      <c r="E521" s="186" t="n"/>
      <c r="F521" s="956" t="n"/>
      <c r="G521" s="956" t="n"/>
      <c r="H521" s="956" t="n"/>
      <c r="I521" s="956" t="n"/>
      <c r="J521" s="956" t="n"/>
      <c r="K521" s="946" t="n"/>
      <c r="L521" s="176" t="n"/>
      <c r="M521" s="176" t="n"/>
      <c r="N521" s="176" t="n"/>
      <c r="O521" s="176" t="n"/>
      <c r="P521" s="176" t="n"/>
      <c r="Q521" s="176" t="n"/>
      <c r="R521" s="176" t="n"/>
      <c r="S521" s="176" t="n"/>
      <c r="T521" s="176" t="n"/>
      <c r="U521" s="176" t="n"/>
      <c r="V521" s="176" t="n"/>
      <c r="W521" s="176" t="n"/>
      <c r="X521" s="176" t="n"/>
      <c r="Y521" s="176" t="n"/>
      <c r="Z521" s="176" t="n"/>
      <c r="AA521" s="176" t="n"/>
      <c r="AB521" s="176" t="n"/>
    </row>
    <row r="522">
      <c r="A522" s="176" t="n"/>
      <c r="B522" s="176" t="n"/>
      <c r="C522" s="176" t="n"/>
      <c r="D522" s="176" t="n"/>
      <c r="E522" s="186" t="n"/>
      <c r="F522" s="956" t="n"/>
      <c r="G522" s="956" t="n"/>
      <c r="H522" s="956" t="n"/>
      <c r="I522" s="956" t="n"/>
      <c r="J522" s="956" t="n"/>
      <c r="K522" s="946" t="n"/>
      <c r="L522" s="176" t="n"/>
      <c r="M522" s="176" t="n"/>
      <c r="N522" s="176" t="n"/>
      <c r="O522" s="176" t="n"/>
      <c r="P522" s="176" t="n"/>
      <c r="Q522" s="176" t="n"/>
      <c r="R522" s="176" t="n"/>
      <c r="S522" s="176" t="n"/>
      <c r="T522" s="176" t="n"/>
      <c r="U522" s="176" t="n"/>
      <c r="V522" s="176" t="n"/>
      <c r="W522" s="176" t="n"/>
      <c r="X522" s="176" t="n"/>
      <c r="Y522" s="176" t="n"/>
      <c r="Z522" s="176" t="n"/>
      <c r="AA522" s="176" t="n"/>
      <c r="AB522" s="176" t="n"/>
    </row>
    <row r="523">
      <c r="A523" s="176" t="n"/>
      <c r="B523" s="176" t="n"/>
      <c r="C523" s="176" t="n"/>
      <c r="D523" s="176" t="n"/>
      <c r="E523" s="186" t="n"/>
      <c r="F523" s="956" t="n"/>
      <c r="G523" s="956" t="n"/>
      <c r="H523" s="956" t="n"/>
      <c r="I523" s="956" t="n"/>
      <c r="J523" s="956" t="n"/>
      <c r="K523" s="946" t="n"/>
      <c r="L523" s="176" t="n"/>
      <c r="M523" s="176" t="n"/>
      <c r="N523" s="176" t="n"/>
      <c r="O523" s="176" t="n"/>
      <c r="P523" s="176" t="n"/>
      <c r="Q523" s="176" t="n"/>
      <c r="R523" s="176" t="n"/>
      <c r="S523" s="176" t="n"/>
      <c r="T523" s="176" t="n"/>
      <c r="U523" s="176" t="n"/>
      <c r="V523" s="176" t="n"/>
      <c r="W523" s="176" t="n"/>
      <c r="X523" s="176" t="n"/>
      <c r="Y523" s="176" t="n"/>
      <c r="Z523" s="176" t="n"/>
      <c r="AA523" s="176" t="n"/>
      <c r="AB523" s="176" t="n"/>
    </row>
    <row r="524">
      <c r="A524" s="176" t="n"/>
      <c r="B524" s="176" t="n"/>
      <c r="C524" s="176" t="n"/>
      <c r="D524" s="176" t="n"/>
      <c r="E524" s="186" t="n"/>
      <c r="F524" s="956" t="n"/>
      <c r="G524" s="956" t="n"/>
      <c r="H524" s="956" t="n"/>
      <c r="I524" s="956" t="n"/>
      <c r="J524" s="956" t="n"/>
      <c r="K524" s="946" t="n"/>
      <c r="L524" s="176" t="n"/>
      <c r="M524" s="176" t="n"/>
      <c r="N524" s="176" t="n"/>
      <c r="O524" s="176" t="n"/>
      <c r="P524" s="176" t="n"/>
      <c r="Q524" s="176" t="n"/>
      <c r="R524" s="176" t="n"/>
      <c r="S524" s="176" t="n"/>
      <c r="T524" s="176" t="n"/>
      <c r="U524" s="176" t="n"/>
      <c r="V524" s="176" t="n"/>
      <c r="W524" s="176" t="n"/>
      <c r="X524" s="176" t="n"/>
      <c r="Y524" s="176" t="n"/>
      <c r="Z524" s="176" t="n"/>
      <c r="AA524" s="176" t="n"/>
      <c r="AB524" s="176" t="n"/>
    </row>
    <row r="525">
      <c r="A525" s="176" t="n"/>
      <c r="B525" s="176" t="n"/>
      <c r="C525" s="176" t="n"/>
      <c r="D525" s="176" t="n"/>
      <c r="E525" s="186" t="n"/>
      <c r="F525" s="956" t="n"/>
      <c r="G525" s="956" t="n"/>
      <c r="H525" s="956" t="n"/>
      <c r="I525" s="956" t="n"/>
      <c r="J525" s="956" t="n"/>
      <c r="K525" s="946" t="n"/>
      <c r="L525" s="176" t="n"/>
      <c r="M525" s="176" t="n"/>
      <c r="N525" s="176" t="n"/>
      <c r="O525" s="176" t="n"/>
      <c r="P525" s="176" t="n"/>
      <c r="Q525" s="176" t="n"/>
      <c r="R525" s="176" t="n"/>
      <c r="S525" s="176" t="n"/>
      <c r="T525" s="176" t="n"/>
      <c r="U525" s="176" t="n"/>
      <c r="V525" s="176" t="n"/>
      <c r="W525" s="176" t="n"/>
      <c r="X525" s="176" t="n"/>
      <c r="Y525" s="176" t="n"/>
      <c r="Z525" s="176" t="n"/>
      <c r="AA525" s="176" t="n"/>
      <c r="AB525" s="176" t="n"/>
    </row>
    <row r="526">
      <c r="A526" s="176" t="n"/>
      <c r="B526" s="176" t="n"/>
      <c r="C526" s="176" t="n"/>
      <c r="D526" s="176" t="n"/>
      <c r="E526" s="186" t="n"/>
      <c r="F526" s="956" t="n"/>
      <c r="G526" s="956" t="n"/>
      <c r="H526" s="956" t="n"/>
      <c r="I526" s="956" t="n"/>
      <c r="J526" s="956" t="n"/>
      <c r="K526" s="946" t="n"/>
      <c r="L526" s="176" t="n"/>
      <c r="M526" s="176" t="n"/>
      <c r="N526" s="176" t="n"/>
      <c r="O526" s="176" t="n"/>
      <c r="P526" s="176" t="n"/>
      <c r="Q526" s="176" t="n"/>
      <c r="R526" s="176" t="n"/>
      <c r="S526" s="176" t="n"/>
      <c r="T526" s="176" t="n"/>
      <c r="U526" s="176" t="n"/>
      <c r="V526" s="176" t="n"/>
      <c r="W526" s="176" t="n"/>
      <c r="X526" s="176" t="n"/>
      <c r="Y526" s="176" t="n"/>
      <c r="Z526" s="176" t="n"/>
      <c r="AA526" s="176" t="n"/>
      <c r="AB526" s="176" t="n"/>
    </row>
    <row r="527">
      <c r="A527" s="176" t="n"/>
      <c r="B527" s="176" t="n"/>
      <c r="C527" s="176" t="n"/>
      <c r="D527" s="176" t="n"/>
      <c r="E527" s="186" t="n"/>
      <c r="F527" s="956" t="n"/>
      <c r="G527" s="956" t="n"/>
      <c r="H527" s="956" t="n"/>
      <c r="I527" s="956" t="n"/>
      <c r="J527" s="956" t="n"/>
      <c r="K527" s="946" t="n"/>
      <c r="L527" s="176" t="n"/>
      <c r="M527" s="176" t="n"/>
      <c r="N527" s="176" t="n"/>
      <c r="O527" s="176" t="n"/>
      <c r="P527" s="176" t="n"/>
      <c r="Q527" s="176" t="n"/>
      <c r="R527" s="176" t="n"/>
      <c r="S527" s="176" t="n"/>
      <c r="T527" s="176" t="n"/>
      <c r="U527" s="176" t="n"/>
      <c r="V527" s="176" t="n"/>
      <c r="W527" s="176" t="n"/>
      <c r="X527" s="176" t="n"/>
      <c r="Y527" s="176" t="n"/>
      <c r="Z527" s="176" t="n"/>
      <c r="AA527" s="176" t="n"/>
      <c r="AB527" s="176" t="n"/>
    </row>
    <row r="528">
      <c r="A528" s="176" t="n"/>
      <c r="B528" s="176" t="n"/>
      <c r="C528" s="176" t="n"/>
      <c r="D528" s="176" t="n"/>
      <c r="E528" s="186" t="n"/>
      <c r="F528" s="956" t="n"/>
      <c r="G528" s="956" t="n"/>
      <c r="H528" s="956" t="n"/>
      <c r="I528" s="956" t="n"/>
      <c r="J528" s="956" t="n"/>
      <c r="K528" s="946" t="n"/>
      <c r="L528" s="176" t="n"/>
      <c r="M528" s="176" t="n"/>
      <c r="N528" s="176" t="n"/>
      <c r="O528" s="176" t="n"/>
      <c r="P528" s="176" t="n"/>
      <c r="Q528" s="176" t="n"/>
      <c r="R528" s="176" t="n"/>
      <c r="S528" s="176" t="n"/>
      <c r="T528" s="176" t="n"/>
      <c r="U528" s="176" t="n"/>
      <c r="V528" s="176" t="n"/>
      <c r="W528" s="176" t="n"/>
      <c r="X528" s="176" t="n"/>
      <c r="Y528" s="176" t="n"/>
      <c r="Z528" s="176" t="n"/>
      <c r="AA528" s="176" t="n"/>
      <c r="AB528" s="176" t="n"/>
    </row>
    <row r="529">
      <c r="A529" s="176" t="n"/>
      <c r="B529" s="176" t="n"/>
      <c r="C529" s="176" t="n"/>
      <c r="D529" s="176" t="n"/>
      <c r="E529" s="186" t="n"/>
      <c r="F529" s="956" t="n"/>
      <c r="G529" s="956" t="n"/>
      <c r="H529" s="956" t="n"/>
      <c r="I529" s="956" t="n"/>
      <c r="J529" s="956" t="n"/>
      <c r="K529" s="946" t="n"/>
      <c r="L529" s="176" t="n"/>
      <c r="M529" s="176" t="n"/>
      <c r="N529" s="176" t="n"/>
      <c r="O529" s="176" t="n"/>
      <c r="P529" s="176" t="n"/>
      <c r="Q529" s="176" t="n"/>
      <c r="R529" s="176" t="n"/>
      <c r="S529" s="176" t="n"/>
      <c r="T529" s="176" t="n"/>
      <c r="U529" s="176" t="n"/>
      <c r="V529" s="176" t="n"/>
      <c r="W529" s="176" t="n"/>
      <c r="X529" s="176" t="n"/>
      <c r="Y529" s="176" t="n"/>
      <c r="Z529" s="176" t="n"/>
      <c r="AA529" s="176" t="n"/>
      <c r="AB529" s="176" t="n"/>
    </row>
    <row r="530">
      <c r="A530" s="176" t="n"/>
      <c r="B530" s="176" t="n"/>
      <c r="C530" s="176" t="n"/>
      <c r="D530" s="176" t="n"/>
      <c r="E530" s="186" t="n"/>
      <c r="F530" s="956" t="n"/>
      <c r="G530" s="956" t="n"/>
      <c r="H530" s="956" t="n"/>
      <c r="I530" s="956" t="n"/>
      <c r="J530" s="956" t="n"/>
      <c r="K530" s="946" t="n"/>
      <c r="L530" s="176" t="n"/>
      <c r="M530" s="176" t="n"/>
      <c r="N530" s="176" t="n"/>
      <c r="O530" s="176" t="n"/>
      <c r="P530" s="176" t="n"/>
      <c r="Q530" s="176" t="n"/>
      <c r="R530" s="176" t="n"/>
      <c r="S530" s="176" t="n"/>
      <c r="T530" s="176" t="n"/>
      <c r="U530" s="176" t="n"/>
      <c r="V530" s="176" t="n"/>
      <c r="W530" s="176" t="n"/>
      <c r="X530" s="176" t="n"/>
      <c r="Y530" s="176" t="n"/>
      <c r="Z530" s="176" t="n"/>
      <c r="AA530" s="176" t="n"/>
      <c r="AB530" s="176" t="n"/>
    </row>
    <row r="531">
      <c r="A531" s="176" t="n"/>
      <c r="B531" s="176" t="n"/>
      <c r="C531" s="176" t="n"/>
      <c r="D531" s="176" t="n"/>
      <c r="E531" s="186" t="n"/>
      <c r="F531" s="956" t="n"/>
      <c r="G531" s="956" t="n"/>
      <c r="H531" s="956" t="n"/>
      <c r="I531" s="956" t="n"/>
      <c r="J531" s="956" t="n"/>
      <c r="K531" s="946" t="n"/>
      <c r="L531" s="176" t="n"/>
      <c r="M531" s="176" t="n"/>
      <c r="N531" s="176" t="n"/>
      <c r="O531" s="176" t="n"/>
      <c r="P531" s="176" t="n"/>
      <c r="Q531" s="176" t="n"/>
      <c r="R531" s="176" t="n"/>
      <c r="S531" s="176" t="n"/>
      <c r="T531" s="176" t="n"/>
      <c r="U531" s="176" t="n"/>
      <c r="V531" s="176" t="n"/>
      <c r="W531" s="176" t="n"/>
      <c r="X531" s="176" t="n"/>
      <c r="Y531" s="176" t="n"/>
      <c r="Z531" s="176" t="n"/>
      <c r="AA531" s="176" t="n"/>
      <c r="AB531" s="176" t="n"/>
    </row>
    <row r="532">
      <c r="A532" s="176" t="n"/>
      <c r="B532" s="176" t="n"/>
      <c r="C532" s="176" t="n"/>
      <c r="D532" s="176" t="n"/>
      <c r="E532" s="186" t="n"/>
      <c r="F532" s="956" t="n"/>
      <c r="G532" s="956" t="n"/>
      <c r="H532" s="956" t="n"/>
      <c r="I532" s="956" t="n"/>
      <c r="J532" s="956" t="n"/>
      <c r="K532" s="946" t="n"/>
      <c r="L532" s="176" t="n"/>
      <c r="M532" s="176" t="n"/>
      <c r="N532" s="176" t="n"/>
      <c r="O532" s="176" t="n"/>
      <c r="P532" s="176" t="n"/>
      <c r="Q532" s="176" t="n"/>
      <c r="R532" s="176" t="n"/>
      <c r="S532" s="176" t="n"/>
      <c r="T532" s="176" t="n"/>
      <c r="U532" s="176" t="n"/>
      <c r="V532" s="176" t="n"/>
      <c r="W532" s="176" t="n"/>
      <c r="X532" s="176" t="n"/>
      <c r="Y532" s="176" t="n"/>
      <c r="Z532" s="176" t="n"/>
      <c r="AA532" s="176" t="n"/>
      <c r="AB532" s="176" t="n"/>
    </row>
    <row r="533">
      <c r="A533" s="176" t="n"/>
      <c r="B533" s="176" t="n"/>
      <c r="C533" s="176" t="n"/>
      <c r="D533" s="176" t="n"/>
      <c r="E533" s="186" t="n"/>
      <c r="F533" s="956" t="n"/>
      <c r="G533" s="956" t="n"/>
      <c r="H533" s="956" t="n"/>
      <c r="I533" s="956" t="n"/>
      <c r="J533" s="956" t="n"/>
      <c r="K533" s="946" t="n"/>
      <c r="L533" s="176" t="n"/>
      <c r="M533" s="176" t="n"/>
      <c r="N533" s="176" t="n"/>
      <c r="O533" s="176" t="n"/>
      <c r="P533" s="176" t="n"/>
      <c r="Q533" s="176" t="n"/>
      <c r="R533" s="176" t="n"/>
      <c r="S533" s="176" t="n"/>
      <c r="T533" s="176" t="n"/>
      <c r="U533" s="176" t="n"/>
      <c r="V533" s="176" t="n"/>
      <c r="W533" s="176" t="n"/>
      <c r="X533" s="176" t="n"/>
      <c r="Y533" s="176" t="n"/>
      <c r="Z533" s="176" t="n"/>
      <c r="AA533" s="176" t="n"/>
      <c r="AB533" s="176" t="n"/>
    </row>
    <row r="534">
      <c r="A534" s="176" t="n"/>
      <c r="B534" s="176" t="n"/>
      <c r="C534" s="176" t="n"/>
      <c r="D534" s="176" t="n"/>
      <c r="E534" s="186" t="n"/>
      <c r="F534" s="956" t="n"/>
      <c r="G534" s="956" t="n"/>
      <c r="H534" s="956" t="n"/>
      <c r="I534" s="956" t="n"/>
      <c r="J534" s="956" t="n"/>
      <c r="K534" s="946" t="n"/>
      <c r="L534" s="176" t="n"/>
      <c r="M534" s="176" t="n"/>
      <c r="N534" s="176" t="n"/>
      <c r="O534" s="176" t="n"/>
      <c r="P534" s="176" t="n"/>
      <c r="Q534" s="176" t="n"/>
      <c r="R534" s="176" t="n"/>
      <c r="S534" s="176" t="n"/>
      <c r="T534" s="176" t="n"/>
      <c r="U534" s="176" t="n"/>
      <c r="V534" s="176" t="n"/>
      <c r="W534" s="176" t="n"/>
      <c r="X534" s="176" t="n"/>
      <c r="Y534" s="176" t="n"/>
      <c r="Z534" s="176" t="n"/>
      <c r="AA534" s="176" t="n"/>
      <c r="AB534" s="176" t="n"/>
    </row>
    <row r="535">
      <c r="A535" s="176" t="n"/>
      <c r="B535" s="176" t="n"/>
      <c r="C535" s="176" t="n"/>
      <c r="D535" s="176" t="n"/>
      <c r="E535" s="186" t="n"/>
      <c r="F535" s="956" t="n"/>
      <c r="G535" s="956" t="n"/>
      <c r="H535" s="956" t="n"/>
      <c r="I535" s="956" t="n"/>
      <c r="J535" s="956" t="n"/>
      <c r="K535" s="946" t="n"/>
      <c r="L535" s="176" t="n"/>
      <c r="M535" s="176" t="n"/>
      <c r="N535" s="176" t="n"/>
      <c r="O535" s="176" t="n"/>
      <c r="P535" s="176" t="n"/>
      <c r="Q535" s="176" t="n"/>
      <c r="R535" s="176" t="n"/>
      <c r="S535" s="176" t="n"/>
      <c r="T535" s="176" t="n"/>
      <c r="U535" s="176" t="n"/>
      <c r="V535" s="176" t="n"/>
      <c r="W535" s="176" t="n"/>
      <c r="X535" s="176" t="n"/>
      <c r="Y535" s="176" t="n"/>
      <c r="Z535" s="176" t="n"/>
      <c r="AA535" s="176" t="n"/>
      <c r="AB535" s="176" t="n"/>
    </row>
    <row r="536">
      <c r="A536" s="176" t="n"/>
      <c r="B536" s="176" t="n"/>
      <c r="C536" s="176" t="n"/>
      <c r="D536" s="176" t="n"/>
      <c r="E536" s="186" t="n"/>
      <c r="F536" s="956" t="n"/>
      <c r="G536" s="956" t="n"/>
      <c r="H536" s="956" t="n"/>
      <c r="I536" s="956" t="n"/>
      <c r="J536" s="956" t="n"/>
      <c r="K536" s="946" t="n"/>
      <c r="L536" s="176" t="n"/>
      <c r="M536" s="176" t="n"/>
      <c r="N536" s="176" t="n"/>
      <c r="O536" s="176" t="n"/>
      <c r="P536" s="176" t="n"/>
      <c r="Q536" s="176" t="n"/>
      <c r="R536" s="176" t="n"/>
      <c r="S536" s="176" t="n"/>
      <c r="T536" s="176" t="n"/>
      <c r="U536" s="176" t="n"/>
      <c r="V536" s="176" t="n"/>
      <c r="W536" s="176" t="n"/>
      <c r="X536" s="176" t="n"/>
      <c r="Y536" s="176" t="n"/>
      <c r="Z536" s="176" t="n"/>
      <c r="AA536" s="176" t="n"/>
      <c r="AB536" s="176" t="n"/>
    </row>
    <row r="537">
      <c r="A537" s="176" t="n"/>
      <c r="B537" s="176" t="n"/>
      <c r="C537" s="176" t="n"/>
      <c r="D537" s="176" t="n"/>
      <c r="E537" s="186" t="n"/>
      <c r="F537" s="956" t="n"/>
      <c r="G537" s="956" t="n"/>
      <c r="H537" s="956" t="n"/>
      <c r="I537" s="956" t="n"/>
      <c r="J537" s="956" t="n"/>
      <c r="K537" s="946" t="n"/>
      <c r="L537" s="176" t="n"/>
      <c r="M537" s="176" t="n"/>
      <c r="N537" s="176" t="n"/>
      <c r="O537" s="176" t="n"/>
      <c r="P537" s="176" t="n"/>
      <c r="Q537" s="176" t="n"/>
      <c r="R537" s="176" t="n"/>
      <c r="S537" s="176" t="n"/>
      <c r="T537" s="176" t="n"/>
      <c r="U537" s="176" t="n"/>
      <c r="V537" s="176" t="n"/>
      <c r="W537" s="176" t="n"/>
      <c r="X537" s="176" t="n"/>
      <c r="Y537" s="176" t="n"/>
      <c r="Z537" s="176" t="n"/>
      <c r="AA537" s="176" t="n"/>
      <c r="AB537" s="176" t="n"/>
    </row>
    <row r="538">
      <c r="A538" s="176" t="n"/>
      <c r="B538" s="176" t="n"/>
      <c r="C538" s="176" t="n"/>
      <c r="D538" s="176" t="n"/>
      <c r="E538" s="186" t="n"/>
      <c r="F538" s="956" t="n"/>
      <c r="G538" s="956" t="n"/>
      <c r="H538" s="956" t="n"/>
      <c r="I538" s="956" t="n"/>
      <c r="J538" s="956" t="n"/>
      <c r="K538" s="946" t="n"/>
      <c r="L538" s="176" t="n"/>
      <c r="M538" s="176" t="n"/>
      <c r="N538" s="176" t="n"/>
      <c r="O538" s="176" t="n"/>
      <c r="P538" s="176" t="n"/>
      <c r="Q538" s="176" t="n"/>
      <c r="R538" s="176" t="n"/>
      <c r="S538" s="176" t="n"/>
      <c r="T538" s="176" t="n"/>
      <c r="U538" s="176" t="n"/>
      <c r="V538" s="176" t="n"/>
      <c r="W538" s="176" t="n"/>
      <c r="X538" s="176" t="n"/>
      <c r="Y538" s="176" t="n"/>
      <c r="Z538" s="176" t="n"/>
      <c r="AA538" s="176" t="n"/>
      <c r="AB538" s="176" t="n"/>
    </row>
    <row r="539">
      <c r="A539" s="176" t="n"/>
      <c r="B539" s="176" t="n"/>
      <c r="C539" s="176" t="n"/>
      <c r="D539" s="176" t="n"/>
      <c r="E539" s="186" t="n"/>
      <c r="F539" s="956" t="n"/>
      <c r="G539" s="956" t="n"/>
      <c r="H539" s="956" t="n"/>
      <c r="I539" s="956" t="n"/>
      <c r="J539" s="956" t="n"/>
      <c r="K539" s="946" t="n"/>
      <c r="L539" s="176" t="n"/>
      <c r="M539" s="176" t="n"/>
      <c r="N539" s="176" t="n"/>
      <c r="O539" s="176" t="n"/>
      <c r="P539" s="176" t="n"/>
      <c r="Q539" s="176" t="n"/>
      <c r="R539" s="176" t="n"/>
      <c r="S539" s="176" t="n"/>
      <c r="T539" s="176" t="n"/>
      <c r="U539" s="176" t="n"/>
      <c r="V539" s="176" t="n"/>
      <c r="W539" s="176" t="n"/>
      <c r="X539" s="176" t="n"/>
      <c r="Y539" s="176" t="n"/>
      <c r="Z539" s="176" t="n"/>
      <c r="AA539" s="176" t="n"/>
      <c r="AB539" s="176" t="n"/>
    </row>
    <row r="540">
      <c r="A540" s="176" t="n"/>
      <c r="B540" s="176" t="n"/>
      <c r="C540" s="176" t="n"/>
      <c r="D540" s="176" t="n"/>
      <c r="E540" s="186" t="n"/>
      <c r="F540" s="956" t="n"/>
      <c r="G540" s="956" t="n"/>
      <c r="H540" s="956" t="n"/>
      <c r="I540" s="956" t="n"/>
      <c r="J540" s="956" t="n"/>
      <c r="K540" s="946" t="n"/>
      <c r="L540" s="176" t="n"/>
      <c r="M540" s="176" t="n"/>
      <c r="N540" s="176" t="n"/>
      <c r="O540" s="176" t="n"/>
      <c r="P540" s="176" t="n"/>
      <c r="Q540" s="176" t="n"/>
      <c r="R540" s="176" t="n"/>
      <c r="S540" s="176" t="n"/>
      <c r="T540" s="176" t="n"/>
      <c r="U540" s="176" t="n"/>
      <c r="V540" s="176" t="n"/>
      <c r="W540" s="176" t="n"/>
      <c r="X540" s="176" t="n"/>
      <c r="Y540" s="176" t="n"/>
      <c r="Z540" s="176" t="n"/>
      <c r="AA540" s="176" t="n"/>
      <c r="AB540" s="176" t="n"/>
    </row>
    <row r="541">
      <c r="A541" s="176" t="n"/>
      <c r="B541" s="176" t="n"/>
      <c r="C541" s="176" t="n"/>
      <c r="D541" s="176" t="n"/>
      <c r="E541" s="186" t="n"/>
      <c r="F541" s="956" t="n"/>
      <c r="G541" s="956" t="n"/>
      <c r="H541" s="956" t="n"/>
      <c r="I541" s="956" t="n"/>
      <c r="J541" s="956" t="n"/>
      <c r="K541" s="946" t="n"/>
      <c r="L541" s="176" t="n"/>
      <c r="M541" s="176" t="n"/>
      <c r="N541" s="176" t="n"/>
      <c r="O541" s="176" t="n"/>
      <c r="P541" s="176" t="n"/>
      <c r="Q541" s="176" t="n"/>
      <c r="R541" s="176" t="n"/>
      <c r="S541" s="176" t="n"/>
      <c r="T541" s="176" t="n"/>
      <c r="U541" s="176" t="n"/>
      <c r="V541" s="176" t="n"/>
      <c r="W541" s="176" t="n"/>
      <c r="X541" s="176" t="n"/>
      <c r="Y541" s="176" t="n"/>
      <c r="Z541" s="176" t="n"/>
      <c r="AA541" s="176" t="n"/>
      <c r="AB541" s="176" t="n"/>
    </row>
    <row r="542">
      <c r="A542" s="176" t="n"/>
      <c r="B542" s="176" t="n"/>
      <c r="C542" s="176" t="n"/>
      <c r="D542" s="176" t="n"/>
      <c r="E542" s="186" t="n"/>
      <c r="F542" s="956" t="n"/>
      <c r="G542" s="956" t="n"/>
      <c r="H542" s="956" t="n"/>
      <c r="I542" s="956" t="n"/>
      <c r="J542" s="956" t="n"/>
      <c r="K542" s="946" t="n"/>
      <c r="L542" s="176" t="n"/>
      <c r="M542" s="176" t="n"/>
      <c r="N542" s="176" t="n"/>
      <c r="O542" s="176" t="n"/>
      <c r="P542" s="176" t="n"/>
      <c r="Q542" s="176" t="n"/>
      <c r="R542" s="176" t="n"/>
      <c r="S542" s="176" t="n"/>
      <c r="T542" s="176" t="n"/>
      <c r="U542" s="176" t="n"/>
      <c r="V542" s="176" t="n"/>
      <c r="W542" s="176" t="n"/>
      <c r="X542" s="176" t="n"/>
      <c r="Y542" s="176" t="n"/>
      <c r="Z542" s="176" t="n"/>
      <c r="AA542" s="176" t="n"/>
      <c r="AB542" s="176" t="n"/>
    </row>
    <row r="543">
      <c r="A543" s="176" t="n"/>
      <c r="B543" s="176" t="n"/>
      <c r="C543" s="176" t="n"/>
      <c r="D543" s="176" t="n"/>
      <c r="E543" s="186" t="n"/>
      <c r="F543" s="956" t="n"/>
      <c r="G543" s="956" t="n"/>
      <c r="H543" s="956" t="n"/>
      <c r="I543" s="956" t="n"/>
      <c r="J543" s="956" t="n"/>
      <c r="K543" s="946" t="n"/>
      <c r="L543" s="176" t="n"/>
      <c r="M543" s="176" t="n"/>
      <c r="N543" s="176" t="n"/>
      <c r="O543" s="176" t="n"/>
      <c r="P543" s="176" t="n"/>
      <c r="Q543" s="176" t="n"/>
      <c r="R543" s="176" t="n"/>
      <c r="S543" s="176" t="n"/>
      <c r="T543" s="176" t="n"/>
      <c r="U543" s="176" t="n"/>
      <c r="V543" s="176" t="n"/>
      <c r="W543" s="176" t="n"/>
      <c r="X543" s="176" t="n"/>
      <c r="Y543" s="176" t="n"/>
      <c r="Z543" s="176" t="n"/>
      <c r="AA543" s="176" t="n"/>
      <c r="AB543" s="176" t="n"/>
    </row>
    <row r="544">
      <c r="A544" s="176" t="n"/>
      <c r="B544" s="176" t="n"/>
      <c r="C544" s="176" t="n"/>
      <c r="D544" s="176" t="n"/>
      <c r="E544" s="186" t="n"/>
      <c r="F544" s="956" t="n"/>
      <c r="G544" s="956" t="n"/>
      <c r="H544" s="956" t="n"/>
      <c r="I544" s="956" t="n"/>
      <c r="J544" s="956" t="n"/>
      <c r="K544" s="946" t="n"/>
      <c r="L544" s="176" t="n"/>
      <c r="M544" s="176" t="n"/>
      <c r="N544" s="176" t="n"/>
      <c r="O544" s="176" t="n"/>
      <c r="P544" s="176" t="n"/>
      <c r="Q544" s="176" t="n"/>
      <c r="R544" s="176" t="n"/>
      <c r="S544" s="176" t="n"/>
      <c r="T544" s="176" t="n"/>
      <c r="U544" s="176" t="n"/>
      <c r="V544" s="176" t="n"/>
      <c r="W544" s="176" t="n"/>
      <c r="X544" s="176" t="n"/>
      <c r="Y544" s="176" t="n"/>
      <c r="Z544" s="176" t="n"/>
      <c r="AA544" s="176" t="n"/>
      <c r="AB544" s="176" t="n"/>
    </row>
    <row r="545">
      <c r="A545" s="176" t="n"/>
      <c r="B545" s="176" t="n"/>
      <c r="C545" s="176" t="n"/>
      <c r="D545" s="176" t="n"/>
      <c r="E545" s="186" t="n"/>
      <c r="F545" s="956" t="n"/>
      <c r="G545" s="956" t="n"/>
      <c r="H545" s="956" t="n"/>
      <c r="I545" s="956" t="n"/>
      <c r="J545" s="956" t="n"/>
      <c r="K545" s="946" t="n"/>
      <c r="L545" s="176" t="n"/>
      <c r="M545" s="176" t="n"/>
      <c r="N545" s="176" t="n"/>
      <c r="O545" s="176" t="n"/>
      <c r="P545" s="176" t="n"/>
      <c r="Q545" s="176" t="n"/>
      <c r="R545" s="176" t="n"/>
      <c r="S545" s="176" t="n"/>
      <c r="T545" s="176" t="n"/>
      <c r="U545" s="176" t="n"/>
      <c r="V545" s="176" t="n"/>
      <c r="W545" s="176" t="n"/>
      <c r="X545" s="176" t="n"/>
      <c r="Y545" s="176" t="n"/>
      <c r="Z545" s="176" t="n"/>
      <c r="AA545" s="176" t="n"/>
      <c r="AB545" s="176" t="n"/>
    </row>
    <row r="546">
      <c r="A546" s="176" t="n"/>
      <c r="B546" s="176" t="n"/>
      <c r="C546" s="176" t="n"/>
      <c r="D546" s="176" t="n"/>
      <c r="E546" s="186" t="n"/>
      <c r="F546" s="956" t="n"/>
      <c r="G546" s="956" t="n"/>
      <c r="H546" s="956" t="n"/>
      <c r="I546" s="956" t="n"/>
      <c r="J546" s="956" t="n"/>
      <c r="K546" s="946" t="n"/>
      <c r="L546" s="176" t="n"/>
      <c r="M546" s="176" t="n"/>
      <c r="N546" s="176" t="n"/>
      <c r="O546" s="176" t="n"/>
      <c r="P546" s="176" t="n"/>
      <c r="Q546" s="176" t="n"/>
      <c r="R546" s="176" t="n"/>
      <c r="S546" s="176" t="n"/>
      <c r="T546" s="176" t="n"/>
      <c r="U546" s="176" t="n"/>
      <c r="V546" s="176" t="n"/>
      <c r="W546" s="176" t="n"/>
      <c r="X546" s="176" t="n"/>
      <c r="Y546" s="176" t="n"/>
      <c r="Z546" s="176" t="n"/>
      <c r="AA546" s="176" t="n"/>
      <c r="AB546" s="176" t="n"/>
    </row>
    <row r="547">
      <c r="A547" s="176" t="n"/>
      <c r="B547" s="176" t="n"/>
      <c r="C547" s="176" t="n"/>
      <c r="D547" s="176" t="n"/>
      <c r="E547" s="186" t="n"/>
      <c r="F547" s="956" t="n"/>
      <c r="G547" s="956" t="n"/>
      <c r="H547" s="956" t="n"/>
      <c r="I547" s="956" t="n"/>
      <c r="J547" s="956" t="n"/>
      <c r="K547" s="946" t="n"/>
      <c r="L547" s="176" t="n"/>
      <c r="M547" s="176" t="n"/>
      <c r="N547" s="176" t="n"/>
      <c r="O547" s="176" t="n"/>
      <c r="P547" s="176" t="n"/>
      <c r="Q547" s="176" t="n"/>
      <c r="R547" s="176" t="n"/>
      <c r="S547" s="176" t="n"/>
      <c r="T547" s="176" t="n"/>
      <c r="U547" s="176" t="n"/>
      <c r="V547" s="176" t="n"/>
      <c r="W547" s="176" t="n"/>
      <c r="X547" s="176" t="n"/>
      <c r="Y547" s="176" t="n"/>
      <c r="Z547" s="176" t="n"/>
      <c r="AA547" s="176" t="n"/>
      <c r="AB547" s="176" t="n"/>
    </row>
    <row r="548">
      <c r="A548" s="176" t="n"/>
      <c r="B548" s="176" t="n"/>
      <c r="C548" s="176" t="n"/>
      <c r="D548" s="176" t="n"/>
      <c r="E548" s="186" t="n"/>
      <c r="F548" s="956" t="n"/>
      <c r="G548" s="956" t="n"/>
      <c r="H548" s="956" t="n"/>
      <c r="I548" s="956" t="n"/>
      <c r="J548" s="956" t="n"/>
      <c r="K548" s="946" t="n"/>
      <c r="L548" s="176" t="n"/>
      <c r="M548" s="176" t="n"/>
      <c r="N548" s="176" t="n"/>
      <c r="O548" s="176" t="n"/>
      <c r="P548" s="176" t="n"/>
      <c r="Q548" s="176" t="n"/>
      <c r="R548" s="176" t="n"/>
      <c r="S548" s="176" t="n"/>
      <c r="T548" s="176" t="n"/>
      <c r="U548" s="176" t="n"/>
      <c r="V548" s="176" t="n"/>
      <c r="W548" s="176" t="n"/>
      <c r="X548" s="176" t="n"/>
      <c r="Y548" s="176" t="n"/>
      <c r="Z548" s="176" t="n"/>
      <c r="AA548" s="176" t="n"/>
      <c r="AB548" s="176" t="n"/>
    </row>
    <row r="549">
      <c r="A549" s="176" t="n"/>
      <c r="B549" s="176" t="n"/>
      <c r="C549" s="176" t="n"/>
      <c r="D549" s="176" t="n"/>
      <c r="E549" s="186" t="n"/>
      <c r="F549" s="956" t="n"/>
      <c r="G549" s="956" t="n"/>
      <c r="H549" s="956" t="n"/>
      <c r="I549" s="956" t="n"/>
      <c r="J549" s="956" t="n"/>
      <c r="K549" s="946" t="n"/>
      <c r="L549" s="176" t="n"/>
      <c r="M549" s="176" t="n"/>
      <c r="N549" s="176" t="n"/>
      <c r="O549" s="176" t="n"/>
      <c r="P549" s="176" t="n"/>
      <c r="Q549" s="176" t="n"/>
      <c r="R549" s="176" t="n"/>
      <c r="S549" s="176" t="n"/>
      <c r="T549" s="176" t="n"/>
      <c r="U549" s="176" t="n"/>
      <c r="V549" s="176" t="n"/>
      <c r="W549" s="176" t="n"/>
      <c r="X549" s="176" t="n"/>
      <c r="Y549" s="176" t="n"/>
      <c r="Z549" s="176" t="n"/>
      <c r="AA549" s="176" t="n"/>
      <c r="AB549" s="176" t="n"/>
    </row>
    <row r="550">
      <c r="A550" s="176" t="n"/>
      <c r="B550" s="176" t="n"/>
      <c r="C550" s="176" t="n"/>
      <c r="D550" s="176" t="n"/>
      <c r="E550" s="186" t="n"/>
      <c r="F550" s="956" t="n"/>
      <c r="G550" s="956" t="n"/>
      <c r="H550" s="956" t="n"/>
      <c r="I550" s="956" t="n"/>
      <c r="J550" s="956" t="n"/>
      <c r="K550" s="946" t="n"/>
      <c r="L550" s="176" t="n"/>
      <c r="M550" s="176" t="n"/>
      <c r="N550" s="176" t="n"/>
      <c r="O550" s="176" t="n"/>
      <c r="P550" s="176" t="n"/>
      <c r="Q550" s="176" t="n"/>
      <c r="R550" s="176" t="n"/>
      <c r="S550" s="176" t="n"/>
      <c r="T550" s="176" t="n"/>
      <c r="U550" s="176" t="n"/>
      <c r="V550" s="176" t="n"/>
      <c r="W550" s="176" t="n"/>
      <c r="X550" s="176" t="n"/>
      <c r="Y550" s="176" t="n"/>
      <c r="Z550" s="176" t="n"/>
      <c r="AA550" s="176" t="n"/>
      <c r="AB550" s="176" t="n"/>
    </row>
    <row r="551">
      <c r="A551" s="176" t="n"/>
      <c r="B551" s="176" t="n"/>
      <c r="C551" s="176" t="n"/>
      <c r="D551" s="176" t="n"/>
      <c r="E551" s="186" t="n"/>
      <c r="F551" s="956" t="n"/>
      <c r="G551" s="956" t="n"/>
      <c r="H551" s="956" t="n"/>
      <c r="I551" s="956" t="n"/>
      <c r="J551" s="956" t="n"/>
      <c r="K551" s="946" t="n"/>
      <c r="L551" s="176" t="n"/>
      <c r="M551" s="176" t="n"/>
      <c r="N551" s="176" t="n"/>
      <c r="O551" s="176" t="n"/>
      <c r="P551" s="176" t="n"/>
      <c r="Q551" s="176" t="n"/>
      <c r="R551" s="176" t="n"/>
      <c r="S551" s="176" t="n"/>
      <c r="T551" s="176" t="n"/>
      <c r="U551" s="176" t="n"/>
      <c r="V551" s="176" t="n"/>
      <c r="W551" s="176" t="n"/>
      <c r="X551" s="176" t="n"/>
      <c r="Y551" s="176" t="n"/>
      <c r="Z551" s="176" t="n"/>
      <c r="AA551" s="176" t="n"/>
      <c r="AB551" s="176" t="n"/>
    </row>
    <row r="552">
      <c r="A552" s="176" t="n"/>
      <c r="B552" s="176" t="n"/>
      <c r="C552" s="176" t="n"/>
      <c r="D552" s="176" t="n"/>
      <c r="E552" s="186" t="n"/>
      <c r="F552" s="956" t="n"/>
      <c r="G552" s="956" t="n"/>
      <c r="H552" s="956" t="n"/>
      <c r="I552" s="956" t="n"/>
      <c r="J552" s="956" t="n"/>
      <c r="K552" s="946" t="n"/>
      <c r="L552" s="176" t="n"/>
      <c r="M552" s="176" t="n"/>
      <c r="N552" s="176" t="n"/>
      <c r="O552" s="176" t="n"/>
      <c r="P552" s="176" t="n"/>
      <c r="Q552" s="176" t="n"/>
      <c r="R552" s="176" t="n"/>
      <c r="S552" s="176" t="n"/>
      <c r="T552" s="176" t="n"/>
      <c r="U552" s="176" t="n"/>
      <c r="V552" s="176" t="n"/>
      <c r="W552" s="176" t="n"/>
      <c r="X552" s="176" t="n"/>
      <c r="Y552" s="176" t="n"/>
      <c r="Z552" s="176" t="n"/>
      <c r="AA552" s="176" t="n"/>
      <c r="AB552" s="176" t="n"/>
    </row>
    <row r="553">
      <c r="A553" s="176" t="n"/>
      <c r="B553" s="176" t="n"/>
      <c r="C553" s="176" t="n"/>
      <c r="D553" s="176" t="n"/>
      <c r="E553" s="186" t="n"/>
      <c r="F553" s="956" t="n"/>
      <c r="G553" s="956" t="n"/>
      <c r="H553" s="956" t="n"/>
      <c r="I553" s="956" t="n"/>
      <c r="J553" s="956" t="n"/>
      <c r="K553" s="946" t="n"/>
      <c r="L553" s="176" t="n"/>
      <c r="M553" s="176" t="n"/>
      <c r="N553" s="176" t="n"/>
      <c r="O553" s="176" t="n"/>
      <c r="P553" s="176" t="n"/>
      <c r="Q553" s="176" t="n"/>
      <c r="R553" s="176" t="n"/>
      <c r="S553" s="176" t="n"/>
      <c r="T553" s="176" t="n"/>
      <c r="U553" s="176" t="n"/>
      <c r="V553" s="176" t="n"/>
      <c r="W553" s="176" t="n"/>
      <c r="X553" s="176" t="n"/>
      <c r="Y553" s="176" t="n"/>
      <c r="Z553" s="176" t="n"/>
      <c r="AA553" s="176" t="n"/>
      <c r="AB553" s="176" t="n"/>
    </row>
    <row r="554">
      <c r="A554" s="176" t="n"/>
      <c r="B554" s="176" t="n"/>
      <c r="C554" s="176" t="n"/>
      <c r="D554" s="176" t="n"/>
      <c r="E554" s="186" t="n"/>
      <c r="F554" s="956" t="n"/>
      <c r="G554" s="956" t="n"/>
      <c r="H554" s="956" t="n"/>
      <c r="I554" s="956" t="n"/>
      <c r="J554" s="956" t="n"/>
      <c r="K554" s="946" t="n"/>
      <c r="L554" s="176" t="n"/>
      <c r="M554" s="176" t="n"/>
      <c r="N554" s="176" t="n"/>
      <c r="O554" s="176" t="n"/>
      <c r="P554" s="176" t="n"/>
      <c r="Q554" s="176" t="n"/>
      <c r="R554" s="176" t="n"/>
      <c r="S554" s="176" t="n"/>
      <c r="T554" s="176" t="n"/>
      <c r="U554" s="176" t="n"/>
      <c r="V554" s="176" t="n"/>
      <c r="W554" s="176" t="n"/>
      <c r="X554" s="176" t="n"/>
      <c r="Y554" s="176" t="n"/>
      <c r="Z554" s="176" t="n"/>
      <c r="AA554" s="176" t="n"/>
      <c r="AB554" s="176" t="n"/>
    </row>
    <row r="555">
      <c r="A555" s="176" t="n"/>
      <c r="B555" s="176" t="n"/>
      <c r="C555" s="176" t="n"/>
      <c r="D555" s="176" t="n"/>
      <c r="E555" s="186" t="n"/>
      <c r="F555" s="956" t="n"/>
      <c r="G555" s="956" t="n"/>
      <c r="H555" s="956" t="n"/>
      <c r="I555" s="956" t="n"/>
      <c r="J555" s="956" t="n"/>
      <c r="K555" s="946" t="n"/>
      <c r="L555" s="176" t="n"/>
      <c r="M555" s="176" t="n"/>
      <c r="N555" s="176" t="n"/>
      <c r="O555" s="176" t="n"/>
      <c r="P555" s="176" t="n"/>
      <c r="Q555" s="176" t="n"/>
      <c r="R555" s="176" t="n"/>
      <c r="S555" s="176" t="n"/>
      <c r="T555" s="176" t="n"/>
      <c r="U555" s="176" t="n"/>
      <c r="V555" s="176" t="n"/>
      <c r="W555" s="176" t="n"/>
      <c r="X555" s="176" t="n"/>
      <c r="Y555" s="176" t="n"/>
      <c r="Z555" s="176" t="n"/>
      <c r="AA555" s="176" t="n"/>
      <c r="AB555" s="176" t="n"/>
    </row>
    <row r="556">
      <c r="A556" s="176" t="n"/>
      <c r="B556" s="176" t="n"/>
      <c r="C556" s="176" t="n"/>
      <c r="D556" s="176" t="n"/>
      <c r="E556" s="186" t="n"/>
      <c r="F556" s="956" t="n"/>
      <c r="G556" s="956" t="n"/>
      <c r="H556" s="956" t="n"/>
      <c r="I556" s="956" t="n"/>
      <c r="J556" s="956" t="n"/>
      <c r="K556" s="946" t="n"/>
      <c r="L556" s="176" t="n"/>
      <c r="M556" s="176" t="n"/>
      <c r="N556" s="176" t="n"/>
      <c r="O556" s="176" t="n"/>
      <c r="P556" s="176" t="n"/>
      <c r="Q556" s="176" t="n"/>
      <c r="R556" s="176" t="n"/>
      <c r="S556" s="176" t="n"/>
      <c r="T556" s="176" t="n"/>
      <c r="U556" s="176" t="n"/>
      <c r="V556" s="176" t="n"/>
      <c r="W556" s="176" t="n"/>
      <c r="X556" s="176" t="n"/>
      <c r="Y556" s="176" t="n"/>
      <c r="Z556" s="176" t="n"/>
      <c r="AA556" s="176" t="n"/>
      <c r="AB556" s="176" t="n"/>
    </row>
    <row r="557">
      <c r="A557" s="176" t="n"/>
      <c r="B557" s="176" t="n"/>
      <c r="C557" s="176" t="n"/>
      <c r="D557" s="176" t="n"/>
      <c r="E557" s="186" t="n"/>
      <c r="F557" s="956" t="n"/>
      <c r="G557" s="956" t="n"/>
      <c r="H557" s="956" t="n"/>
      <c r="I557" s="956" t="n"/>
      <c r="J557" s="956" t="n"/>
      <c r="K557" s="946" t="n"/>
      <c r="L557" s="176" t="n"/>
      <c r="M557" s="176" t="n"/>
      <c r="N557" s="176" t="n"/>
      <c r="O557" s="176" t="n"/>
      <c r="P557" s="176" t="n"/>
      <c r="Q557" s="176" t="n"/>
      <c r="R557" s="176" t="n"/>
      <c r="S557" s="176" t="n"/>
      <c r="T557" s="176" t="n"/>
      <c r="U557" s="176" t="n"/>
      <c r="V557" s="176" t="n"/>
      <c r="W557" s="176" t="n"/>
      <c r="X557" s="176" t="n"/>
      <c r="Y557" s="176" t="n"/>
      <c r="Z557" s="176" t="n"/>
      <c r="AA557" s="176" t="n"/>
      <c r="AB557" s="176" t="n"/>
    </row>
    <row r="558">
      <c r="A558" s="176" t="n"/>
      <c r="B558" s="176" t="n"/>
      <c r="C558" s="176" t="n"/>
      <c r="D558" s="176" t="n"/>
      <c r="E558" s="186" t="n"/>
      <c r="F558" s="956" t="n"/>
      <c r="G558" s="956" t="n"/>
      <c r="H558" s="956" t="n"/>
      <c r="I558" s="956" t="n"/>
      <c r="J558" s="956" t="n"/>
      <c r="K558" s="946" t="n"/>
      <c r="L558" s="176" t="n"/>
      <c r="M558" s="176" t="n"/>
      <c r="N558" s="176" t="n"/>
      <c r="O558" s="176" t="n"/>
      <c r="P558" s="176" t="n"/>
      <c r="Q558" s="176" t="n"/>
      <c r="R558" s="176" t="n"/>
      <c r="S558" s="176" t="n"/>
      <c r="T558" s="176" t="n"/>
      <c r="U558" s="176" t="n"/>
      <c r="V558" s="176" t="n"/>
      <c r="W558" s="176" t="n"/>
      <c r="X558" s="176" t="n"/>
      <c r="Y558" s="176" t="n"/>
      <c r="Z558" s="176" t="n"/>
      <c r="AA558" s="176" t="n"/>
      <c r="AB558" s="176" t="n"/>
    </row>
    <row r="559">
      <c r="A559" s="176" t="n"/>
      <c r="B559" s="176" t="n"/>
      <c r="C559" s="176" t="n"/>
      <c r="D559" s="176" t="n"/>
      <c r="E559" s="186" t="n"/>
      <c r="F559" s="956" t="n"/>
      <c r="G559" s="956" t="n"/>
      <c r="H559" s="956" t="n"/>
      <c r="I559" s="956" t="n"/>
      <c r="J559" s="956" t="n"/>
      <c r="K559" s="946" t="n"/>
      <c r="L559" s="176" t="n"/>
      <c r="M559" s="176" t="n"/>
      <c r="N559" s="176" t="n"/>
      <c r="O559" s="176" t="n"/>
      <c r="P559" s="176" t="n"/>
      <c r="Q559" s="176" t="n"/>
      <c r="R559" s="176" t="n"/>
      <c r="S559" s="176" t="n"/>
      <c r="T559" s="176" t="n"/>
      <c r="U559" s="176" t="n"/>
      <c r="V559" s="176" t="n"/>
      <c r="W559" s="176" t="n"/>
      <c r="X559" s="176" t="n"/>
      <c r="Y559" s="176" t="n"/>
      <c r="Z559" s="176" t="n"/>
      <c r="AA559" s="176" t="n"/>
      <c r="AB559" s="176" t="n"/>
    </row>
    <row r="560">
      <c r="A560" s="176" t="n"/>
      <c r="B560" s="176" t="n"/>
      <c r="C560" s="176" t="n"/>
      <c r="D560" s="176" t="n"/>
      <c r="E560" s="186" t="n"/>
      <c r="F560" s="956" t="n"/>
      <c r="G560" s="956" t="n"/>
      <c r="H560" s="956" t="n"/>
      <c r="I560" s="956" t="n"/>
      <c r="J560" s="956" t="n"/>
      <c r="K560" s="946" t="n"/>
      <c r="L560" s="176" t="n"/>
      <c r="M560" s="176" t="n"/>
      <c r="N560" s="176" t="n"/>
      <c r="O560" s="176" t="n"/>
      <c r="P560" s="176" t="n"/>
      <c r="Q560" s="176" t="n"/>
      <c r="R560" s="176" t="n"/>
      <c r="S560" s="176" t="n"/>
      <c r="T560" s="176" t="n"/>
      <c r="U560" s="176" t="n"/>
      <c r="V560" s="176" t="n"/>
      <c r="W560" s="176" t="n"/>
      <c r="X560" s="176" t="n"/>
      <c r="Y560" s="176" t="n"/>
      <c r="Z560" s="176" t="n"/>
      <c r="AA560" s="176" t="n"/>
      <c r="AB560" s="176" t="n"/>
    </row>
    <row r="561">
      <c r="A561" s="176" t="n"/>
      <c r="B561" s="176" t="n"/>
      <c r="C561" s="176" t="n"/>
      <c r="D561" s="176" t="n"/>
      <c r="E561" s="186" t="n"/>
      <c r="F561" s="956" t="n"/>
      <c r="G561" s="956" t="n"/>
      <c r="H561" s="956" t="n"/>
      <c r="I561" s="956" t="n"/>
      <c r="J561" s="956" t="n"/>
      <c r="K561" s="946" t="n"/>
      <c r="L561" s="176" t="n"/>
      <c r="M561" s="176" t="n"/>
      <c r="N561" s="176" t="n"/>
      <c r="O561" s="176" t="n"/>
      <c r="P561" s="176" t="n"/>
      <c r="Q561" s="176" t="n"/>
      <c r="R561" s="176" t="n"/>
      <c r="S561" s="176" t="n"/>
      <c r="T561" s="176" t="n"/>
      <c r="U561" s="176" t="n"/>
      <c r="V561" s="176" t="n"/>
      <c r="W561" s="176" t="n"/>
      <c r="X561" s="176" t="n"/>
      <c r="Y561" s="176" t="n"/>
      <c r="Z561" s="176" t="n"/>
      <c r="AA561" s="176" t="n"/>
      <c r="AB561" s="176" t="n"/>
    </row>
    <row r="562">
      <c r="A562" s="176" t="n"/>
      <c r="B562" s="176" t="n"/>
      <c r="C562" s="176" t="n"/>
      <c r="D562" s="176" t="n"/>
      <c r="E562" s="186" t="n"/>
      <c r="F562" s="956" t="n"/>
      <c r="G562" s="956" t="n"/>
      <c r="H562" s="956" t="n"/>
      <c r="I562" s="956" t="n"/>
      <c r="J562" s="956" t="n"/>
      <c r="K562" s="946" t="n"/>
      <c r="L562" s="176" t="n"/>
      <c r="M562" s="176" t="n"/>
      <c r="N562" s="176" t="n"/>
      <c r="O562" s="176" t="n"/>
      <c r="P562" s="176" t="n"/>
      <c r="Q562" s="176" t="n"/>
      <c r="R562" s="176" t="n"/>
      <c r="S562" s="176" t="n"/>
      <c r="T562" s="176" t="n"/>
      <c r="U562" s="176" t="n"/>
      <c r="V562" s="176" t="n"/>
      <c r="W562" s="176" t="n"/>
      <c r="X562" s="176" t="n"/>
      <c r="Y562" s="176" t="n"/>
      <c r="Z562" s="176" t="n"/>
      <c r="AA562" s="176" t="n"/>
      <c r="AB562" s="176" t="n"/>
    </row>
    <row r="563">
      <c r="A563" s="176" t="n"/>
      <c r="B563" s="176" t="n"/>
      <c r="C563" s="176" t="n"/>
      <c r="D563" s="176" t="n"/>
      <c r="E563" s="186" t="n"/>
      <c r="F563" s="956" t="n"/>
      <c r="G563" s="956" t="n"/>
      <c r="H563" s="956" t="n"/>
      <c r="I563" s="956" t="n"/>
      <c r="J563" s="956" t="n"/>
      <c r="K563" s="946" t="n"/>
      <c r="L563" s="176" t="n"/>
      <c r="M563" s="176" t="n"/>
      <c r="N563" s="176" t="n"/>
      <c r="O563" s="176" t="n"/>
      <c r="P563" s="176" t="n"/>
      <c r="Q563" s="176" t="n"/>
      <c r="R563" s="176" t="n"/>
      <c r="S563" s="176" t="n"/>
      <c r="T563" s="176" t="n"/>
      <c r="U563" s="176" t="n"/>
      <c r="V563" s="176" t="n"/>
      <c r="W563" s="176" t="n"/>
      <c r="X563" s="176" t="n"/>
      <c r="Y563" s="176" t="n"/>
      <c r="Z563" s="176" t="n"/>
      <c r="AA563" s="176" t="n"/>
      <c r="AB563" s="176" t="n"/>
    </row>
    <row r="564">
      <c r="A564" s="176" t="n"/>
      <c r="B564" s="176" t="n"/>
      <c r="C564" s="176" t="n"/>
      <c r="D564" s="176" t="n"/>
      <c r="E564" s="186" t="n"/>
      <c r="F564" s="956" t="n"/>
      <c r="G564" s="956" t="n"/>
      <c r="H564" s="956" t="n"/>
      <c r="I564" s="956" t="n"/>
      <c r="J564" s="956" t="n"/>
      <c r="K564" s="946" t="n"/>
      <c r="L564" s="176" t="n"/>
      <c r="M564" s="176" t="n"/>
      <c r="N564" s="176" t="n"/>
      <c r="O564" s="176" t="n"/>
      <c r="P564" s="176" t="n"/>
      <c r="Q564" s="176" t="n"/>
      <c r="R564" s="176" t="n"/>
      <c r="S564" s="176" t="n"/>
      <c r="T564" s="176" t="n"/>
      <c r="U564" s="176" t="n"/>
      <c r="V564" s="176" t="n"/>
      <c r="W564" s="176" t="n"/>
      <c r="X564" s="176" t="n"/>
      <c r="Y564" s="176" t="n"/>
      <c r="Z564" s="176" t="n"/>
      <c r="AA564" s="176" t="n"/>
      <c r="AB564" s="176" t="n"/>
    </row>
    <row r="565">
      <c r="A565" s="176" t="n"/>
      <c r="B565" s="176" t="n"/>
      <c r="C565" s="176" t="n"/>
      <c r="D565" s="176" t="n"/>
      <c r="E565" s="186" t="n"/>
      <c r="F565" s="956" t="n"/>
      <c r="G565" s="956" t="n"/>
      <c r="H565" s="956" t="n"/>
      <c r="I565" s="956" t="n"/>
      <c r="J565" s="956" t="n"/>
      <c r="K565" s="946" t="n"/>
      <c r="L565" s="176" t="n"/>
      <c r="M565" s="176" t="n"/>
      <c r="N565" s="176" t="n"/>
      <c r="O565" s="176" t="n"/>
      <c r="P565" s="176" t="n"/>
      <c r="Q565" s="176" t="n"/>
      <c r="R565" s="176" t="n"/>
      <c r="S565" s="176" t="n"/>
      <c r="T565" s="176" t="n"/>
      <c r="U565" s="176" t="n"/>
      <c r="V565" s="176" t="n"/>
      <c r="W565" s="176" t="n"/>
      <c r="X565" s="176" t="n"/>
      <c r="Y565" s="176" t="n"/>
      <c r="Z565" s="176" t="n"/>
      <c r="AA565" s="176" t="n"/>
      <c r="AB565" s="176" t="n"/>
    </row>
    <row r="566">
      <c r="A566" s="176" t="n"/>
      <c r="B566" s="176" t="n"/>
      <c r="C566" s="176" t="n"/>
      <c r="D566" s="176" t="n"/>
      <c r="E566" s="186" t="n"/>
      <c r="F566" s="956" t="n"/>
      <c r="G566" s="956" t="n"/>
      <c r="H566" s="956" t="n"/>
      <c r="I566" s="956" t="n"/>
      <c r="J566" s="956" t="n"/>
      <c r="K566" s="946" t="n"/>
      <c r="L566" s="176" t="n"/>
      <c r="M566" s="176" t="n"/>
      <c r="N566" s="176" t="n"/>
      <c r="O566" s="176" t="n"/>
      <c r="P566" s="176" t="n"/>
      <c r="Q566" s="176" t="n"/>
      <c r="R566" s="176" t="n"/>
      <c r="S566" s="176" t="n"/>
      <c r="T566" s="176" t="n"/>
      <c r="U566" s="176" t="n"/>
      <c r="V566" s="176" t="n"/>
      <c r="W566" s="176" t="n"/>
      <c r="X566" s="176" t="n"/>
      <c r="Y566" s="176" t="n"/>
      <c r="Z566" s="176" t="n"/>
      <c r="AA566" s="176" t="n"/>
      <c r="AB566" s="176" t="n"/>
    </row>
    <row r="567">
      <c r="A567" s="176" t="n"/>
      <c r="B567" s="176" t="n"/>
      <c r="C567" s="176" t="n"/>
      <c r="D567" s="176" t="n"/>
      <c r="E567" s="186" t="n"/>
      <c r="F567" s="956" t="n"/>
      <c r="G567" s="956" t="n"/>
      <c r="H567" s="956" t="n"/>
      <c r="I567" s="956" t="n"/>
      <c r="J567" s="956" t="n"/>
      <c r="K567" s="946" t="n"/>
      <c r="L567" s="176" t="n"/>
      <c r="M567" s="176" t="n"/>
      <c r="N567" s="176" t="n"/>
      <c r="O567" s="176" t="n"/>
      <c r="P567" s="176" t="n"/>
      <c r="Q567" s="176" t="n"/>
      <c r="R567" s="176" t="n"/>
      <c r="S567" s="176" t="n"/>
      <c r="T567" s="176" t="n"/>
      <c r="U567" s="176" t="n"/>
      <c r="V567" s="176" t="n"/>
      <c r="W567" s="176" t="n"/>
      <c r="X567" s="176" t="n"/>
      <c r="Y567" s="176" t="n"/>
      <c r="Z567" s="176" t="n"/>
      <c r="AA567" s="176" t="n"/>
      <c r="AB567" s="176" t="n"/>
    </row>
    <row r="568">
      <c r="A568" s="176" t="n"/>
      <c r="B568" s="176" t="n"/>
      <c r="C568" s="176" t="n"/>
      <c r="D568" s="176" t="n"/>
      <c r="E568" s="186" t="n"/>
      <c r="F568" s="956" t="n"/>
      <c r="G568" s="956" t="n"/>
      <c r="H568" s="956" t="n"/>
      <c r="I568" s="956" t="n"/>
      <c r="J568" s="956" t="n"/>
      <c r="K568" s="946" t="n"/>
      <c r="L568" s="176" t="n"/>
      <c r="M568" s="176" t="n"/>
      <c r="N568" s="176" t="n"/>
      <c r="O568" s="176" t="n"/>
      <c r="P568" s="176" t="n"/>
      <c r="Q568" s="176" t="n"/>
      <c r="R568" s="176" t="n"/>
      <c r="S568" s="176" t="n"/>
      <c r="T568" s="176" t="n"/>
      <c r="U568" s="176" t="n"/>
      <c r="V568" s="176" t="n"/>
      <c r="W568" s="176" t="n"/>
      <c r="X568" s="176" t="n"/>
      <c r="Y568" s="176" t="n"/>
      <c r="Z568" s="176" t="n"/>
      <c r="AA568" s="176" t="n"/>
      <c r="AB568" s="176" t="n"/>
    </row>
    <row r="569">
      <c r="A569" s="176" t="n"/>
      <c r="B569" s="176" t="n"/>
      <c r="C569" s="176" t="n"/>
      <c r="D569" s="176" t="n"/>
      <c r="E569" s="186" t="n"/>
      <c r="F569" s="956" t="n"/>
      <c r="G569" s="956" t="n"/>
      <c r="H569" s="956" t="n"/>
      <c r="I569" s="956" t="n"/>
      <c r="J569" s="956" t="n"/>
      <c r="K569" s="946" t="n"/>
      <c r="L569" s="176" t="n"/>
      <c r="M569" s="176" t="n"/>
      <c r="N569" s="176" t="n"/>
      <c r="O569" s="176" t="n"/>
      <c r="P569" s="176" t="n"/>
      <c r="Q569" s="176" t="n"/>
      <c r="R569" s="176" t="n"/>
      <c r="S569" s="176" t="n"/>
      <c r="T569" s="176" t="n"/>
      <c r="U569" s="176" t="n"/>
      <c r="V569" s="176" t="n"/>
      <c r="W569" s="176" t="n"/>
      <c r="X569" s="176" t="n"/>
      <c r="Y569" s="176" t="n"/>
      <c r="Z569" s="176" t="n"/>
      <c r="AA569" s="176" t="n"/>
      <c r="AB569" s="176" t="n"/>
    </row>
    <row r="570">
      <c r="A570" s="176" t="n"/>
      <c r="B570" s="176" t="n"/>
      <c r="C570" s="176" t="n"/>
      <c r="D570" s="176" t="n"/>
      <c r="E570" s="186" t="n"/>
      <c r="F570" s="956" t="n"/>
      <c r="G570" s="956" t="n"/>
      <c r="H570" s="956" t="n"/>
      <c r="I570" s="956" t="n"/>
      <c r="J570" s="956" t="n"/>
      <c r="K570" s="946" t="n"/>
      <c r="L570" s="176" t="n"/>
      <c r="M570" s="176" t="n"/>
      <c r="N570" s="176" t="n"/>
      <c r="O570" s="176" t="n"/>
      <c r="P570" s="176" t="n"/>
      <c r="Q570" s="176" t="n"/>
      <c r="R570" s="176" t="n"/>
      <c r="S570" s="176" t="n"/>
      <c r="T570" s="176" t="n"/>
      <c r="U570" s="176" t="n"/>
      <c r="V570" s="176" t="n"/>
      <c r="W570" s="176" t="n"/>
      <c r="X570" s="176" t="n"/>
      <c r="Y570" s="176" t="n"/>
      <c r="Z570" s="176" t="n"/>
      <c r="AA570" s="176" t="n"/>
      <c r="AB570" s="176" t="n"/>
    </row>
    <row r="571">
      <c r="A571" s="176" t="n"/>
      <c r="B571" s="176" t="n"/>
      <c r="C571" s="176" t="n"/>
      <c r="D571" s="176" t="n"/>
      <c r="E571" s="186" t="n"/>
      <c r="F571" s="956" t="n"/>
      <c r="G571" s="956" t="n"/>
      <c r="H571" s="956" t="n"/>
      <c r="I571" s="956" t="n"/>
      <c r="J571" s="956" t="n"/>
      <c r="K571" s="946" t="n"/>
      <c r="L571" s="176" t="n"/>
      <c r="M571" s="176" t="n"/>
      <c r="N571" s="176" t="n"/>
      <c r="O571" s="176" t="n"/>
      <c r="P571" s="176" t="n"/>
      <c r="Q571" s="176" t="n"/>
      <c r="R571" s="176" t="n"/>
      <c r="S571" s="176" t="n"/>
      <c r="T571" s="176" t="n"/>
      <c r="U571" s="176" t="n"/>
      <c r="V571" s="176" t="n"/>
      <c r="W571" s="176" t="n"/>
      <c r="X571" s="176" t="n"/>
      <c r="Y571" s="176" t="n"/>
      <c r="Z571" s="176" t="n"/>
      <c r="AA571" s="176" t="n"/>
      <c r="AB571" s="176" t="n"/>
    </row>
    <row r="572">
      <c r="A572" s="176" t="n"/>
      <c r="B572" s="176" t="n"/>
      <c r="C572" s="176" t="n"/>
      <c r="D572" s="176" t="n"/>
      <c r="E572" s="186" t="n"/>
      <c r="F572" s="956" t="n"/>
      <c r="G572" s="956" t="n"/>
      <c r="H572" s="956" t="n"/>
      <c r="I572" s="956" t="n"/>
      <c r="J572" s="956" t="n"/>
      <c r="K572" s="946" t="n"/>
      <c r="L572" s="176" t="n"/>
      <c r="M572" s="176" t="n"/>
      <c r="N572" s="176" t="n"/>
      <c r="O572" s="176" t="n"/>
      <c r="P572" s="176" t="n"/>
      <c r="Q572" s="176" t="n"/>
      <c r="R572" s="176" t="n"/>
      <c r="S572" s="176" t="n"/>
      <c r="T572" s="176" t="n"/>
      <c r="U572" s="176" t="n"/>
      <c r="V572" s="176" t="n"/>
      <c r="W572" s="176" t="n"/>
      <c r="X572" s="176" t="n"/>
      <c r="Y572" s="176" t="n"/>
      <c r="Z572" s="176" t="n"/>
      <c r="AA572" s="176" t="n"/>
      <c r="AB572" s="176" t="n"/>
    </row>
    <row r="573">
      <c r="A573" s="176" t="n"/>
      <c r="B573" s="176" t="n"/>
      <c r="C573" s="176" t="n"/>
      <c r="D573" s="176" t="n"/>
      <c r="E573" s="186" t="n"/>
      <c r="F573" s="956" t="n"/>
      <c r="G573" s="956" t="n"/>
      <c r="H573" s="956" t="n"/>
      <c r="I573" s="956" t="n"/>
      <c r="J573" s="956" t="n"/>
      <c r="K573" s="946" t="n"/>
      <c r="L573" s="176" t="n"/>
      <c r="M573" s="176" t="n"/>
      <c r="N573" s="176" t="n"/>
      <c r="O573" s="176" t="n"/>
      <c r="P573" s="176" t="n"/>
      <c r="Q573" s="176" t="n"/>
      <c r="R573" s="176" t="n"/>
      <c r="S573" s="176" t="n"/>
      <c r="T573" s="176" t="n"/>
      <c r="U573" s="176" t="n"/>
      <c r="V573" s="176" t="n"/>
      <c r="W573" s="176" t="n"/>
      <c r="X573" s="176" t="n"/>
      <c r="Y573" s="176" t="n"/>
      <c r="Z573" s="176" t="n"/>
      <c r="AA573" s="176" t="n"/>
      <c r="AB573" s="176" t="n"/>
    </row>
    <row r="574">
      <c r="A574" s="176" t="n"/>
      <c r="B574" s="176" t="n"/>
      <c r="C574" s="176" t="n"/>
      <c r="D574" s="176" t="n"/>
      <c r="E574" s="186" t="n"/>
      <c r="F574" s="956" t="n"/>
      <c r="G574" s="956" t="n"/>
      <c r="H574" s="956" t="n"/>
      <c r="I574" s="956" t="n"/>
      <c r="J574" s="956" t="n"/>
      <c r="K574" s="946" t="n"/>
      <c r="L574" s="176" t="n"/>
      <c r="M574" s="176" t="n"/>
      <c r="N574" s="176" t="n"/>
      <c r="O574" s="176" t="n"/>
      <c r="P574" s="176" t="n"/>
      <c r="Q574" s="176" t="n"/>
      <c r="R574" s="176" t="n"/>
      <c r="S574" s="176" t="n"/>
      <c r="T574" s="176" t="n"/>
      <c r="U574" s="176" t="n"/>
      <c r="V574" s="176" t="n"/>
      <c r="W574" s="176" t="n"/>
      <c r="X574" s="176" t="n"/>
      <c r="Y574" s="176" t="n"/>
      <c r="Z574" s="176" t="n"/>
      <c r="AA574" s="176" t="n"/>
      <c r="AB574" s="176" t="n"/>
    </row>
    <row r="575">
      <c r="A575" s="176" t="n"/>
      <c r="B575" s="176" t="n"/>
      <c r="C575" s="176" t="n"/>
      <c r="D575" s="176" t="n"/>
      <c r="E575" s="186" t="n"/>
      <c r="F575" s="956" t="n"/>
      <c r="G575" s="956" t="n"/>
      <c r="H575" s="956" t="n"/>
      <c r="I575" s="956" t="n"/>
      <c r="J575" s="956" t="n"/>
      <c r="K575" s="946" t="n"/>
      <c r="L575" s="176" t="n"/>
      <c r="M575" s="176" t="n"/>
      <c r="N575" s="176" t="n"/>
      <c r="O575" s="176" t="n"/>
      <c r="P575" s="176" t="n"/>
      <c r="Q575" s="176" t="n"/>
      <c r="R575" s="176" t="n"/>
      <c r="S575" s="176" t="n"/>
      <c r="T575" s="176" t="n"/>
      <c r="U575" s="176" t="n"/>
      <c r="V575" s="176" t="n"/>
      <c r="W575" s="176" t="n"/>
      <c r="X575" s="176" t="n"/>
      <c r="Y575" s="176" t="n"/>
      <c r="Z575" s="176" t="n"/>
      <c r="AA575" s="176" t="n"/>
      <c r="AB575" s="176" t="n"/>
    </row>
    <row r="576">
      <c r="A576" s="176" t="n"/>
      <c r="B576" s="176" t="n"/>
      <c r="C576" s="176" t="n"/>
      <c r="D576" s="176" t="n"/>
      <c r="E576" s="186" t="n"/>
      <c r="F576" s="956" t="n"/>
      <c r="G576" s="956" t="n"/>
      <c r="H576" s="956" t="n"/>
      <c r="I576" s="956" t="n"/>
      <c r="J576" s="956" t="n"/>
      <c r="K576" s="946" t="n"/>
      <c r="L576" s="176" t="n"/>
      <c r="M576" s="176" t="n"/>
      <c r="N576" s="176" t="n"/>
      <c r="O576" s="176" t="n"/>
      <c r="P576" s="176" t="n"/>
      <c r="Q576" s="176" t="n"/>
      <c r="R576" s="176" t="n"/>
      <c r="S576" s="176" t="n"/>
      <c r="T576" s="176" t="n"/>
      <c r="U576" s="176" t="n"/>
      <c r="V576" s="176" t="n"/>
      <c r="W576" s="176" t="n"/>
      <c r="X576" s="176" t="n"/>
      <c r="Y576" s="176" t="n"/>
      <c r="Z576" s="176" t="n"/>
      <c r="AA576" s="176" t="n"/>
      <c r="AB576" s="176" t="n"/>
    </row>
    <row r="577">
      <c r="A577" s="176" t="n"/>
      <c r="B577" s="176" t="n"/>
      <c r="C577" s="176" t="n"/>
      <c r="D577" s="176" t="n"/>
      <c r="E577" s="186" t="n"/>
      <c r="F577" s="956" t="n"/>
      <c r="G577" s="956" t="n"/>
      <c r="H577" s="956" t="n"/>
      <c r="I577" s="956" t="n"/>
      <c r="J577" s="956" t="n"/>
      <c r="K577" s="946" t="n"/>
      <c r="L577" s="176" t="n"/>
      <c r="M577" s="176" t="n"/>
      <c r="N577" s="176" t="n"/>
      <c r="O577" s="176" t="n"/>
      <c r="P577" s="176" t="n"/>
      <c r="Q577" s="176" t="n"/>
      <c r="R577" s="176" t="n"/>
      <c r="S577" s="176" t="n"/>
      <c r="T577" s="176" t="n"/>
      <c r="U577" s="176" t="n"/>
      <c r="V577" s="176" t="n"/>
      <c r="W577" s="176" t="n"/>
      <c r="X577" s="176" t="n"/>
      <c r="Y577" s="176" t="n"/>
      <c r="Z577" s="176" t="n"/>
      <c r="AA577" s="176" t="n"/>
      <c r="AB577" s="176" t="n"/>
    </row>
    <row r="578">
      <c r="A578" s="176" t="n"/>
      <c r="B578" s="176" t="n"/>
      <c r="C578" s="176" t="n"/>
      <c r="D578" s="176" t="n"/>
      <c r="E578" s="186" t="n"/>
      <c r="F578" s="956" t="n"/>
      <c r="G578" s="956" t="n"/>
      <c r="H578" s="956" t="n"/>
      <c r="I578" s="956" t="n"/>
      <c r="J578" s="956" t="n"/>
      <c r="K578" s="946" t="n"/>
      <c r="L578" s="176" t="n"/>
      <c r="M578" s="176" t="n"/>
      <c r="N578" s="176" t="n"/>
      <c r="O578" s="176" t="n"/>
      <c r="P578" s="176" t="n"/>
      <c r="Q578" s="176" t="n"/>
      <c r="R578" s="176" t="n"/>
      <c r="S578" s="176" t="n"/>
      <c r="T578" s="176" t="n"/>
      <c r="U578" s="176" t="n"/>
      <c r="V578" s="176" t="n"/>
      <c r="W578" s="176" t="n"/>
      <c r="X578" s="176" t="n"/>
      <c r="Y578" s="176" t="n"/>
      <c r="Z578" s="176" t="n"/>
      <c r="AA578" s="176" t="n"/>
      <c r="AB578" s="176" t="n"/>
    </row>
    <row r="579">
      <c r="A579" s="176" t="n"/>
      <c r="B579" s="176" t="n"/>
      <c r="C579" s="176" t="n"/>
      <c r="D579" s="176" t="n"/>
      <c r="E579" s="186" t="n"/>
      <c r="F579" s="956" t="n"/>
      <c r="G579" s="956" t="n"/>
      <c r="H579" s="956" t="n"/>
      <c r="I579" s="956" t="n"/>
      <c r="J579" s="956" t="n"/>
      <c r="K579" s="946" t="n"/>
      <c r="L579" s="176" t="n"/>
      <c r="M579" s="176" t="n"/>
      <c r="N579" s="176" t="n"/>
      <c r="O579" s="176" t="n"/>
      <c r="P579" s="176" t="n"/>
      <c r="Q579" s="176" t="n"/>
      <c r="R579" s="176" t="n"/>
      <c r="S579" s="176" t="n"/>
      <c r="T579" s="176" t="n"/>
      <c r="U579" s="176" t="n"/>
      <c r="V579" s="176" t="n"/>
      <c r="W579" s="176" t="n"/>
      <c r="X579" s="176" t="n"/>
      <c r="Y579" s="176" t="n"/>
      <c r="Z579" s="176" t="n"/>
      <c r="AA579" s="176" t="n"/>
      <c r="AB579" s="176" t="n"/>
    </row>
    <row r="580">
      <c r="A580" s="176" t="n"/>
      <c r="B580" s="176" t="n"/>
      <c r="C580" s="176" t="n"/>
      <c r="D580" s="176" t="n"/>
      <c r="E580" s="186" t="n"/>
      <c r="F580" s="956" t="n"/>
      <c r="G580" s="956" t="n"/>
      <c r="H580" s="956" t="n"/>
      <c r="I580" s="956" t="n"/>
      <c r="J580" s="956" t="n"/>
      <c r="K580" s="946" t="n"/>
      <c r="L580" s="176" t="n"/>
      <c r="M580" s="176" t="n"/>
      <c r="N580" s="176" t="n"/>
      <c r="O580" s="176" t="n"/>
      <c r="P580" s="176" t="n"/>
      <c r="Q580" s="176" t="n"/>
      <c r="R580" s="176" t="n"/>
      <c r="S580" s="176" t="n"/>
      <c r="T580" s="176" t="n"/>
      <c r="U580" s="176" t="n"/>
      <c r="V580" s="176" t="n"/>
      <c r="W580" s="176" t="n"/>
      <c r="X580" s="176" t="n"/>
      <c r="Y580" s="176" t="n"/>
      <c r="Z580" s="176" t="n"/>
      <c r="AA580" s="176" t="n"/>
      <c r="AB580" s="176" t="n"/>
    </row>
    <row r="581">
      <c r="A581" s="176" t="n"/>
      <c r="B581" s="176" t="n"/>
      <c r="C581" s="176" t="n"/>
      <c r="D581" s="176" t="n"/>
      <c r="E581" s="186" t="n"/>
      <c r="F581" s="956" t="n"/>
      <c r="G581" s="956" t="n"/>
      <c r="H581" s="956" t="n"/>
      <c r="I581" s="956" t="n"/>
      <c r="J581" s="956" t="n"/>
      <c r="K581" s="946" t="n"/>
      <c r="L581" s="176" t="n"/>
      <c r="M581" s="176" t="n"/>
      <c r="N581" s="176" t="n"/>
      <c r="O581" s="176" t="n"/>
      <c r="P581" s="176" t="n"/>
      <c r="Q581" s="176" t="n"/>
      <c r="R581" s="176" t="n"/>
      <c r="S581" s="176" t="n"/>
      <c r="T581" s="176" t="n"/>
      <c r="U581" s="176" t="n"/>
      <c r="V581" s="176" t="n"/>
      <c r="W581" s="176" t="n"/>
      <c r="X581" s="176" t="n"/>
      <c r="Y581" s="176" t="n"/>
      <c r="Z581" s="176" t="n"/>
      <c r="AA581" s="176" t="n"/>
      <c r="AB581" s="176" t="n"/>
    </row>
    <row r="582">
      <c r="A582" s="176" t="n"/>
      <c r="B582" s="176" t="n"/>
      <c r="C582" s="176" t="n"/>
      <c r="D582" s="176" t="n"/>
      <c r="E582" s="186" t="n"/>
      <c r="F582" s="956" t="n"/>
      <c r="G582" s="956" t="n"/>
      <c r="H582" s="956" t="n"/>
      <c r="I582" s="956" t="n"/>
      <c r="J582" s="956" t="n"/>
      <c r="K582" s="946" t="n"/>
      <c r="L582" s="176" t="n"/>
      <c r="M582" s="176" t="n"/>
      <c r="N582" s="176" t="n"/>
      <c r="O582" s="176" t="n"/>
      <c r="P582" s="176" t="n"/>
      <c r="Q582" s="176" t="n"/>
      <c r="R582" s="176" t="n"/>
      <c r="S582" s="176" t="n"/>
      <c r="T582" s="176" t="n"/>
      <c r="U582" s="176" t="n"/>
      <c r="V582" s="176" t="n"/>
      <c r="W582" s="176" t="n"/>
      <c r="X582" s="176" t="n"/>
      <c r="Y582" s="176" t="n"/>
      <c r="Z582" s="176" t="n"/>
      <c r="AA582" s="176" t="n"/>
      <c r="AB582" s="176" t="n"/>
    </row>
    <row r="583">
      <c r="A583" s="176" t="n"/>
      <c r="B583" s="176" t="n"/>
      <c r="C583" s="176" t="n"/>
      <c r="D583" s="176" t="n"/>
      <c r="E583" s="186" t="n"/>
      <c r="F583" s="956" t="n"/>
      <c r="G583" s="956" t="n"/>
      <c r="H583" s="956" t="n"/>
      <c r="I583" s="956" t="n"/>
      <c r="J583" s="956" t="n"/>
      <c r="K583" s="946" t="n"/>
      <c r="L583" s="176" t="n"/>
      <c r="M583" s="176" t="n"/>
      <c r="N583" s="176" t="n"/>
      <c r="O583" s="176" t="n"/>
      <c r="P583" s="176" t="n"/>
      <c r="Q583" s="176" t="n"/>
      <c r="R583" s="176" t="n"/>
      <c r="S583" s="176" t="n"/>
      <c r="T583" s="176" t="n"/>
      <c r="U583" s="176" t="n"/>
      <c r="V583" s="176" t="n"/>
      <c r="W583" s="176" t="n"/>
      <c r="X583" s="176" t="n"/>
      <c r="Y583" s="176" t="n"/>
      <c r="Z583" s="176" t="n"/>
      <c r="AA583" s="176" t="n"/>
      <c r="AB583" s="176" t="n"/>
    </row>
    <row r="584">
      <c r="A584" s="176" t="n"/>
      <c r="B584" s="176" t="n"/>
      <c r="C584" s="176" t="n"/>
      <c r="D584" s="176" t="n"/>
      <c r="E584" s="186" t="n"/>
      <c r="F584" s="956" t="n"/>
      <c r="G584" s="956" t="n"/>
      <c r="H584" s="956" t="n"/>
      <c r="I584" s="956" t="n"/>
      <c r="J584" s="956" t="n"/>
      <c r="K584" s="946" t="n"/>
      <c r="L584" s="176" t="n"/>
      <c r="M584" s="176" t="n"/>
      <c r="N584" s="176" t="n"/>
      <c r="O584" s="176" t="n"/>
      <c r="P584" s="176" t="n"/>
      <c r="Q584" s="176" t="n"/>
      <c r="R584" s="176" t="n"/>
      <c r="S584" s="176" t="n"/>
      <c r="T584" s="176" t="n"/>
      <c r="U584" s="176" t="n"/>
      <c r="V584" s="176" t="n"/>
      <c r="W584" s="176" t="n"/>
      <c r="X584" s="176" t="n"/>
      <c r="Y584" s="176" t="n"/>
      <c r="Z584" s="176" t="n"/>
      <c r="AA584" s="176" t="n"/>
      <c r="AB584" s="176" t="n"/>
    </row>
    <row r="585">
      <c r="A585" s="176" t="n"/>
      <c r="B585" s="176" t="n"/>
      <c r="C585" s="176" t="n"/>
      <c r="D585" s="176" t="n"/>
      <c r="E585" s="186" t="n"/>
      <c r="F585" s="956" t="n"/>
      <c r="G585" s="956" t="n"/>
      <c r="H585" s="956" t="n"/>
      <c r="I585" s="956" t="n"/>
      <c r="J585" s="956" t="n"/>
      <c r="K585" s="946" t="n"/>
      <c r="L585" s="176" t="n"/>
      <c r="M585" s="176" t="n"/>
      <c r="N585" s="176" t="n"/>
      <c r="O585" s="176" t="n"/>
      <c r="P585" s="176" t="n"/>
      <c r="Q585" s="176" t="n"/>
      <c r="R585" s="176" t="n"/>
      <c r="S585" s="176" t="n"/>
      <c r="T585" s="176" t="n"/>
      <c r="U585" s="176" t="n"/>
      <c r="V585" s="176" t="n"/>
      <c r="W585" s="176" t="n"/>
      <c r="X585" s="176" t="n"/>
      <c r="Y585" s="176" t="n"/>
      <c r="Z585" s="176" t="n"/>
      <c r="AA585" s="176" t="n"/>
      <c r="AB585" s="176" t="n"/>
    </row>
    <row r="586">
      <c r="A586" s="176" t="n"/>
      <c r="B586" s="176" t="n"/>
      <c r="C586" s="176" t="n"/>
      <c r="D586" s="176" t="n"/>
      <c r="E586" s="186" t="n"/>
      <c r="F586" s="956" t="n"/>
      <c r="G586" s="956" t="n"/>
      <c r="H586" s="956" t="n"/>
      <c r="I586" s="956" t="n"/>
      <c r="J586" s="956" t="n"/>
      <c r="K586" s="946" t="n"/>
      <c r="L586" s="176" t="n"/>
      <c r="M586" s="176" t="n"/>
      <c r="N586" s="176" t="n"/>
      <c r="O586" s="176" t="n"/>
      <c r="P586" s="176" t="n"/>
      <c r="Q586" s="176" t="n"/>
      <c r="R586" s="176" t="n"/>
      <c r="S586" s="176" t="n"/>
      <c r="T586" s="176" t="n"/>
      <c r="U586" s="176" t="n"/>
      <c r="V586" s="176" t="n"/>
      <c r="W586" s="176" t="n"/>
      <c r="X586" s="176" t="n"/>
      <c r="Y586" s="176" t="n"/>
      <c r="Z586" s="176" t="n"/>
      <c r="AA586" s="176" t="n"/>
      <c r="AB586" s="176" t="n"/>
    </row>
    <row r="587">
      <c r="A587" s="176" t="n"/>
      <c r="B587" s="176" t="n"/>
      <c r="C587" s="176" t="n"/>
      <c r="D587" s="176" t="n"/>
      <c r="E587" s="186" t="n"/>
      <c r="F587" s="956" t="n"/>
      <c r="G587" s="956" t="n"/>
      <c r="H587" s="956" t="n"/>
      <c r="I587" s="956" t="n"/>
      <c r="J587" s="956" t="n"/>
      <c r="K587" s="946" t="n"/>
      <c r="L587" s="176" t="n"/>
      <c r="M587" s="176" t="n"/>
      <c r="N587" s="176" t="n"/>
      <c r="O587" s="176" t="n"/>
      <c r="P587" s="176" t="n"/>
      <c r="Q587" s="176" t="n"/>
      <c r="R587" s="176" t="n"/>
      <c r="S587" s="176" t="n"/>
      <c r="T587" s="176" t="n"/>
      <c r="U587" s="176" t="n"/>
      <c r="V587" s="176" t="n"/>
      <c r="W587" s="176" t="n"/>
      <c r="X587" s="176" t="n"/>
      <c r="Y587" s="176" t="n"/>
      <c r="Z587" s="176" t="n"/>
      <c r="AA587" s="176" t="n"/>
      <c r="AB587" s="176" t="n"/>
    </row>
    <row r="588">
      <c r="A588" s="176" t="n"/>
      <c r="B588" s="176" t="n"/>
      <c r="C588" s="176" t="n"/>
      <c r="D588" s="176" t="n"/>
      <c r="E588" s="186" t="n"/>
      <c r="F588" s="956" t="n"/>
      <c r="G588" s="956" t="n"/>
      <c r="H588" s="956" t="n"/>
      <c r="I588" s="956" t="n"/>
      <c r="J588" s="956" t="n"/>
      <c r="K588" s="946" t="n"/>
      <c r="L588" s="176" t="n"/>
      <c r="M588" s="176" t="n"/>
      <c r="N588" s="176" t="n"/>
      <c r="O588" s="176" t="n"/>
      <c r="P588" s="176" t="n"/>
      <c r="Q588" s="176" t="n"/>
      <c r="R588" s="176" t="n"/>
      <c r="S588" s="176" t="n"/>
      <c r="T588" s="176" t="n"/>
      <c r="U588" s="176" t="n"/>
      <c r="V588" s="176" t="n"/>
      <c r="W588" s="176" t="n"/>
      <c r="X588" s="176" t="n"/>
      <c r="Y588" s="176" t="n"/>
      <c r="Z588" s="176" t="n"/>
      <c r="AA588" s="176" t="n"/>
      <c r="AB588" s="176" t="n"/>
    </row>
    <row r="589">
      <c r="A589" s="176" t="n"/>
      <c r="B589" s="176" t="n"/>
      <c r="C589" s="176" t="n"/>
      <c r="D589" s="176" t="n"/>
      <c r="E589" s="186" t="n"/>
      <c r="F589" s="956" t="n"/>
      <c r="G589" s="956" t="n"/>
      <c r="H589" s="956" t="n"/>
      <c r="I589" s="956" t="n"/>
      <c r="J589" s="956" t="n"/>
      <c r="K589" s="946" t="n"/>
      <c r="L589" s="176" t="n"/>
      <c r="M589" s="176" t="n"/>
      <c r="N589" s="176" t="n"/>
      <c r="O589" s="176" t="n"/>
      <c r="P589" s="176" t="n"/>
      <c r="Q589" s="176" t="n"/>
      <c r="R589" s="176" t="n"/>
      <c r="S589" s="176" t="n"/>
      <c r="T589" s="176" t="n"/>
      <c r="U589" s="176" t="n"/>
      <c r="V589" s="176" t="n"/>
      <c r="W589" s="176" t="n"/>
      <c r="X589" s="176" t="n"/>
      <c r="Y589" s="176" t="n"/>
      <c r="Z589" s="176" t="n"/>
      <c r="AA589" s="176" t="n"/>
      <c r="AB589" s="176" t="n"/>
    </row>
    <row r="590">
      <c r="A590" s="176" t="n"/>
      <c r="B590" s="176" t="n"/>
      <c r="C590" s="176" t="n"/>
      <c r="D590" s="176" t="n"/>
      <c r="E590" s="186" t="n"/>
      <c r="F590" s="956" t="n"/>
      <c r="G590" s="956" t="n"/>
      <c r="H590" s="956" t="n"/>
      <c r="I590" s="956" t="n"/>
      <c r="J590" s="956" t="n"/>
      <c r="K590" s="946" t="n"/>
      <c r="L590" s="176" t="n"/>
      <c r="M590" s="176" t="n"/>
      <c r="N590" s="176" t="n"/>
      <c r="O590" s="176" t="n"/>
      <c r="P590" s="176" t="n"/>
      <c r="Q590" s="176" t="n"/>
      <c r="R590" s="176" t="n"/>
      <c r="S590" s="176" t="n"/>
      <c r="T590" s="176" t="n"/>
      <c r="U590" s="176" t="n"/>
      <c r="V590" s="176" t="n"/>
      <c r="W590" s="176" t="n"/>
      <c r="X590" s="176" t="n"/>
      <c r="Y590" s="176" t="n"/>
      <c r="Z590" s="176" t="n"/>
      <c r="AA590" s="176" t="n"/>
      <c r="AB590" s="176" t="n"/>
    </row>
    <row r="591">
      <c r="A591" s="176" t="n"/>
      <c r="B591" s="176" t="n"/>
      <c r="C591" s="176" t="n"/>
      <c r="D591" s="176" t="n"/>
      <c r="E591" s="186" t="n"/>
      <c r="F591" s="956" t="n"/>
      <c r="G591" s="956" t="n"/>
      <c r="H591" s="956" t="n"/>
      <c r="I591" s="956" t="n"/>
      <c r="J591" s="956" t="n"/>
      <c r="K591" s="946" t="n"/>
      <c r="L591" s="176" t="n"/>
      <c r="M591" s="176" t="n"/>
      <c r="N591" s="176" t="n"/>
      <c r="O591" s="176" t="n"/>
      <c r="P591" s="176" t="n"/>
      <c r="Q591" s="176" t="n"/>
      <c r="R591" s="176" t="n"/>
      <c r="S591" s="176" t="n"/>
      <c r="T591" s="176" t="n"/>
      <c r="U591" s="176" t="n"/>
      <c r="V591" s="176" t="n"/>
      <c r="W591" s="176" t="n"/>
      <c r="X591" s="176" t="n"/>
      <c r="Y591" s="176" t="n"/>
      <c r="Z591" s="176" t="n"/>
      <c r="AA591" s="176" t="n"/>
      <c r="AB591" s="176" t="n"/>
    </row>
    <row r="592">
      <c r="A592" s="176" t="n"/>
      <c r="B592" s="176" t="n"/>
      <c r="C592" s="176" t="n"/>
      <c r="D592" s="176" t="n"/>
      <c r="E592" s="186" t="n"/>
      <c r="F592" s="956" t="n"/>
      <c r="G592" s="956" t="n"/>
      <c r="H592" s="956" t="n"/>
      <c r="I592" s="956" t="n"/>
      <c r="J592" s="956" t="n"/>
      <c r="K592" s="946" t="n"/>
      <c r="L592" s="176" t="n"/>
      <c r="M592" s="176" t="n"/>
      <c r="N592" s="176" t="n"/>
      <c r="O592" s="176" t="n"/>
      <c r="P592" s="176" t="n"/>
      <c r="Q592" s="176" t="n"/>
      <c r="R592" s="176" t="n"/>
      <c r="S592" s="176" t="n"/>
      <c r="T592" s="176" t="n"/>
      <c r="U592" s="176" t="n"/>
      <c r="V592" s="176" t="n"/>
      <c r="W592" s="176" t="n"/>
      <c r="X592" s="176" t="n"/>
      <c r="Y592" s="176" t="n"/>
      <c r="Z592" s="176" t="n"/>
      <c r="AA592" s="176" t="n"/>
      <c r="AB592" s="176" t="n"/>
    </row>
    <row r="593">
      <c r="A593" s="176" t="n"/>
      <c r="B593" s="176" t="n"/>
      <c r="C593" s="176" t="n"/>
      <c r="D593" s="176" t="n"/>
      <c r="E593" s="186" t="n"/>
      <c r="F593" s="956" t="n"/>
      <c r="G593" s="956" t="n"/>
      <c r="H593" s="956" t="n"/>
      <c r="I593" s="956" t="n"/>
      <c r="J593" s="956" t="n"/>
      <c r="K593" s="946" t="n"/>
      <c r="L593" s="176" t="n"/>
      <c r="M593" s="176" t="n"/>
      <c r="N593" s="176" t="n"/>
      <c r="O593" s="176" t="n"/>
      <c r="P593" s="176" t="n"/>
      <c r="Q593" s="176" t="n"/>
      <c r="R593" s="176" t="n"/>
      <c r="S593" s="176" t="n"/>
      <c r="T593" s="176" t="n"/>
      <c r="U593" s="176" t="n"/>
      <c r="V593" s="176" t="n"/>
      <c r="W593" s="176" t="n"/>
      <c r="X593" s="176" t="n"/>
      <c r="Y593" s="176" t="n"/>
      <c r="Z593" s="176" t="n"/>
      <c r="AA593" s="176" t="n"/>
      <c r="AB593" s="176" t="n"/>
    </row>
    <row r="594">
      <c r="A594" s="176" t="n"/>
      <c r="B594" s="176" t="n"/>
      <c r="C594" s="176" t="n"/>
      <c r="D594" s="176" t="n"/>
      <c r="E594" s="186" t="n"/>
      <c r="F594" s="956" t="n"/>
      <c r="G594" s="956" t="n"/>
      <c r="H594" s="956" t="n"/>
      <c r="I594" s="956" t="n"/>
      <c r="J594" s="956" t="n"/>
      <c r="K594" s="946" t="n"/>
      <c r="L594" s="176" t="n"/>
      <c r="M594" s="176" t="n"/>
      <c r="N594" s="176" t="n"/>
      <c r="O594" s="176" t="n"/>
      <c r="P594" s="176" t="n"/>
      <c r="Q594" s="176" t="n"/>
      <c r="R594" s="176" t="n"/>
      <c r="S594" s="176" t="n"/>
      <c r="T594" s="176" t="n"/>
      <c r="U594" s="176" t="n"/>
      <c r="V594" s="176" t="n"/>
      <c r="W594" s="176" t="n"/>
      <c r="X594" s="176" t="n"/>
      <c r="Y594" s="176" t="n"/>
      <c r="Z594" s="176" t="n"/>
      <c r="AA594" s="176" t="n"/>
      <c r="AB594" s="176" t="n"/>
    </row>
    <row r="595">
      <c r="A595" s="176" t="n"/>
      <c r="B595" s="176" t="n"/>
      <c r="C595" s="176" t="n"/>
      <c r="D595" s="176" t="n"/>
      <c r="E595" s="186" t="n"/>
      <c r="F595" s="956" t="n"/>
      <c r="G595" s="956" t="n"/>
      <c r="H595" s="956" t="n"/>
      <c r="I595" s="956" t="n"/>
      <c r="J595" s="956" t="n"/>
      <c r="K595" s="946" t="n"/>
      <c r="L595" s="176" t="n"/>
      <c r="M595" s="176" t="n"/>
      <c r="N595" s="176" t="n"/>
      <c r="O595" s="176" t="n"/>
      <c r="P595" s="176" t="n"/>
      <c r="Q595" s="176" t="n"/>
      <c r="R595" s="176" t="n"/>
      <c r="S595" s="176" t="n"/>
      <c r="T595" s="176" t="n"/>
      <c r="U595" s="176" t="n"/>
      <c r="V595" s="176" t="n"/>
      <c r="W595" s="176" t="n"/>
      <c r="X595" s="176" t="n"/>
      <c r="Y595" s="176" t="n"/>
      <c r="Z595" s="176" t="n"/>
      <c r="AA595" s="176" t="n"/>
      <c r="AB595" s="176" t="n"/>
    </row>
    <row r="596">
      <c r="A596" s="176" t="n"/>
      <c r="B596" s="176" t="n"/>
      <c r="C596" s="176" t="n"/>
      <c r="D596" s="176" t="n"/>
      <c r="E596" s="186" t="n"/>
      <c r="F596" s="956" t="n"/>
      <c r="G596" s="956" t="n"/>
      <c r="H596" s="956" t="n"/>
      <c r="I596" s="956" t="n"/>
      <c r="J596" s="956" t="n"/>
      <c r="K596" s="946" t="n"/>
      <c r="L596" s="176" t="n"/>
      <c r="M596" s="176" t="n"/>
      <c r="N596" s="176" t="n"/>
      <c r="O596" s="176" t="n"/>
      <c r="P596" s="176" t="n"/>
      <c r="Q596" s="176" t="n"/>
      <c r="R596" s="176" t="n"/>
      <c r="S596" s="176" t="n"/>
      <c r="T596" s="176" t="n"/>
      <c r="U596" s="176" t="n"/>
      <c r="V596" s="176" t="n"/>
      <c r="W596" s="176" t="n"/>
      <c r="X596" s="176" t="n"/>
      <c r="Y596" s="176" t="n"/>
      <c r="Z596" s="176" t="n"/>
      <c r="AA596" s="176" t="n"/>
      <c r="AB596" s="176" t="n"/>
    </row>
    <row r="597">
      <c r="A597" s="176" t="n"/>
      <c r="B597" s="176" t="n"/>
      <c r="C597" s="176" t="n"/>
      <c r="D597" s="176" t="n"/>
      <c r="E597" s="186" t="n"/>
      <c r="F597" s="956" t="n"/>
      <c r="G597" s="956" t="n"/>
      <c r="H597" s="956" t="n"/>
      <c r="I597" s="956" t="n"/>
      <c r="J597" s="956" t="n"/>
      <c r="K597" s="946" t="n"/>
      <c r="L597" s="176" t="n"/>
      <c r="M597" s="176" t="n"/>
      <c r="N597" s="176" t="n"/>
      <c r="O597" s="176" t="n"/>
      <c r="P597" s="176" t="n"/>
      <c r="Q597" s="176" t="n"/>
      <c r="R597" s="176" t="n"/>
      <c r="S597" s="176" t="n"/>
      <c r="T597" s="176" t="n"/>
      <c r="U597" s="176" t="n"/>
      <c r="V597" s="176" t="n"/>
      <c r="W597" s="176" t="n"/>
      <c r="X597" s="176" t="n"/>
      <c r="Y597" s="176" t="n"/>
      <c r="Z597" s="176" t="n"/>
      <c r="AA597" s="176" t="n"/>
      <c r="AB597" s="176" t="n"/>
    </row>
    <row r="598">
      <c r="A598" s="176" t="n"/>
      <c r="B598" s="176" t="n"/>
      <c r="C598" s="176" t="n"/>
      <c r="D598" s="176" t="n"/>
      <c r="E598" s="186" t="n"/>
      <c r="F598" s="956" t="n"/>
      <c r="G598" s="956" t="n"/>
      <c r="H598" s="956" t="n"/>
      <c r="I598" s="956" t="n"/>
      <c r="J598" s="956" t="n"/>
      <c r="K598" s="946" t="n"/>
      <c r="L598" s="176" t="n"/>
      <c r="M598" s="176" t="n"/>
      <c r="N598" s="176" t="n"/>
      <c r="O598" s="176" t="n"/>
      <c r="P598" s="176" t="n"/>
      <c r="Q598" s="176" t="n"/>
      <c r="R598" s="176" t="n"/>
      <c r="S598" s="176" t="n"/>
      <c r="T598" s="176" t="n"/>
      <c r="U598" s="176" t="n"/>
      <c r="V598" s="176" t="n"/>
      <c r="W598" s="176" t="n"/>
      <c r="X598" s="176" t="n"/>
      <c r="Y598" s="176" t="n"/>
      <c r="Z598" s="176" t="n"/>
      <c r="AA598" s="176" t="n"/>
      <c r="AB598" s="176" t="n"/>
    </row>
    <row r="599">
      <c r="A599" s="176" t="n"/>
      <c r="B599" s="176" t="n"/>
      <c r="C599" s="176" t="n"/>
      <c r="D599" s="176" t="n"/>
      <c r="E599" s="186" t="n"/>
      <c r="F599" s="956" t="n"/>
      <c r="G599" s="956" t="n"/>
      <c r="H599" s="956" t="n"/>
      <c r="I599" s="956" t="n"/>
      <c r="J599" s="956" t="n"/>
      <c r="K599" s="946" t="n"/>
      <c r="L599" s="176" t="n"/>
      <c r="M599" s="176" t="n"/>
      <c r="N599" s="176" t="n"/>
      <c r="O599" s="176" t="n"/>
      <c r="P599" s="176" t="n"/>
      <c r="Q599" s="176" t="n"/>
      <c r="R599" s="176" t="n"/>
      <c r="S599" s="176" t="n"/>
      <c r="T599" s="176" t="n"/>
      <c r="U599" s="176" t="n"/>
      <c r="V599" s="176" t="n"/>
      <c r="W599" s="176" t="n"/>
      <c r="X599" s="176" t="n"/>
      <c r="Y599" s="176" t="n"/>
      <c r="Z599" s="176" t="n"/>
      <c r="AA599" s="176" t="n"/>
      <c r="AB599" s="176" t="n"/>
    </row>
    <row r="600">
      <c r="A600" s="176" t="n"/>
      <c r="B600" s="176" t="n"/>
      <c r="C600" s="176" t="n"/>
      <c r="D600" s="176" t="n"/>
      <c r="E600" s="186" t="n"/>
      <c r="F600" s="956" t="n"/>
      <c r="G600" s="956" t="n"/>
      <c r="H600" s="956" t="n"/>
      <c r="I600" s="956" t="n"/>
      <c r="J600" s="956" t="n"/>
      <c r="K600" s="946" t="n"/>
      <c r="L600" s="176" t="n"/>
      <c r="M600" s="176" t="n"/>
      <c r="N600" s="176" t="n"/>
      <c r="O600" s="176" t="n"/>
      <c r="P600" s="176" t="n"/>
      <c r="Q600" s="176" t="n"/>
      <c r="R600" s="176" t="n"/>
      <c r="S600" s="176" t="n"/>
      <c r="T600" s="176" t="n"/>
      <c r="U600" s="176" t="n"/>
      <c r="V600" s="176" t="n"/>
      <c r="W600" s="176" t="n"/>
      <c r="X600" s="176" t="n"/>
      <c r="Y600" s="176" t="n"/>
      <c r="Z600" s="176" t="n"/>
      <c r="AA600" s="176" t="n"/>
      <c r="AB600" s="176" t="n"/>
    </row>
    <row r="601">
      <c r="A601" s="176" t="n"/>
      <c r="B601" s="176" t="n"/>
      <c r="C601" s="176" t="n"/>
      <c r="D601" s="176" t="n"/>
      <c r="E601" s="186" t="n"/>
      <c r="F601" s="956" t="n"/>
      <c r="G601" s="956" t="n"/>
      <c r="H601" s="956" t="n"/>
      <c r="I601" s="956" t="n"/>
      <c r="J601" s="956" t="n"/>
      <c r="K601" s="946" t="n"/>
      <c r="L601" s="176" t="n"/>
      <c r="M601" s="176" t="n"/>
      <c r="N601" s="176" t="n"/>
      <c r="O601" s="176" t="n"/>
      <c r="P601" s="176" t="n"/>
      <c r="Q601" s="176" t="n"/>
      <c r="R601" s="176" t="n"/>
      <c r="S601" s="176" t="n"/>
      <c r="T601" s="176" t="n"/>
      <c r="U601" s="176" t="n"/>
      <c r="V601" s="176" t="n"/>
      <c r="W601" s="176" t="n"/>
      <c r="X601" s="176" t="n"/>
      <c r="Y601" s="176" t="n"/>
      <c r="Z601" s="176" t="n"/>
      <c r="AA601" s="176" t="n"/>
      <c r="AB601" s="176" t="n"/>
    </row>
    <row r="602">
      <c r="A602" s="176" t="n"/>
      <c r="B602" s="176" t="n"/>
      <c r="C602" s="176" t="n"/>
      <c r="D602" s="176" t="n"/>
      <c r="E602" s="186" t="n"/>
      <c r="F602" s="956" t="n"/>
      <c r="G602" s="956" t="n"/>
      <c r="H602" s="956" t="n"/>
      <c r="I602" s="956" t="n"/>
      <c r="J602" s="956" t="n"/>
      <c r="K602" s="946" t="n"/>
      <c r="L602" s="176" t="n"/>
      <c r="M602" s="176" t="n"/>
      <c r="N602" s="176" t="n"/>
      <c r="O602" s="176" t="n"/>
      <c r="P602" s="176" t="n"/>
      <c r="Q602" s="176" t="n"/>
      <c r="R602" s="176" t="n"/>
      <c r="S602" s="176" t="n"/>
      <c r="T602" s="176" t="n"/>
      <c r="U602" s="176" t="n"/>
      <c r="V602" s="176" t="n"/>
      <c r="W602" s="176" t="n"/>
      <c r="X602" s="176" t="n"/>
      <c r="Y602" s="176" t="n"/>
      <c r="Z602" s="176" t="n"/>
      <c r="AA602" s="176" t="n"/>
      <c r="AB602" s="176" t="n"/>
    </row>
    <row r="603">
      <c r="A603" s="176" t="n"/>
      <c r="B603" s="176" t="n"/>
      <c r="C603" s="176" t="n"/>
      <c r="D603" s="176" t="n"/>
      <c r="E603" s="186" t="n"/>
      <c r="F603" s="956" t="n"/>
      <c r="G603" s="956" t="n"/>
      <c r="H603" s="956" t="n"/>
      <c r="I603" s="956" t="n"/>
      <c r="J603" s="956" t="n"/>
      <c r="K603" s="946" t="n"/>
      <c r="L603" s="176" t="n"/>
      <c r="M603" s="176" t="n"/>
      <c r="N603" s="176" t="n"/>
      <c r="O603" s="176" t="n"/>
      <c r="P603" s="176" t="n"/>
      <c r="Q603" s="176" t="n"/>
      <c r="R603" s="176" t="n"/>
      <c r="S603" s="176" t="n"/>
      <c r="T603" s="176" t="n"/>
      <c r="U603" s="176" t="n"/>
      <c r="V603" s="176" t="n"/>
      <c r="W603" s="176" t="n"/>
      <c r="X603" s="176" t="n"/>
      <c r="Y603" s="176" t="n"/>
      <c r="Z603" s="176" t="n"/>
      <c r="AA603" s="176" t="n"/>
      <c r="AB603" s="176" t="n"/>
    </row>
    <row r="604">
      <c r="A604" s="176" t="n"/>
      <c r="B604" s="176" t="n"/>
      <c r="C604" s="176" t="n"/>
      <c r="D604" s="176" t="n"/>
      <c r="E604" s="186" t="n"/>
      <c r="F604" s="956" t="n"/>
      <c r="G604" s="956" t="n"/>
      <c r="H604" s="956" t="n"/>
      <c r="I604" s="956" t="n"/>
      <c r="J604" s="956" t="n"/>
      <c r="K604" s="946" t="n"/>
      <c r="L604" s="176" t="n"/>
      <c r="M604" s="176" t="n"/>
      <c r="N604" s="176" t="n"/>
      <c r="O604" s="176" t="n"/>
      <c r="P604" s="176" t="n"/>
      <c r="Q604" s="176" t="n"/>
      <c r="R604" s="176" t="n"/>
      <c r="S604" s="176" t="n"/>
      <c r="T604" s="176" t="n"/>
      <c r="U604" s="176" t="n"/>
      <c r="V604" s="176" t="n"/>
      <c r="W604" s="176" t="n"/>
      <c r="X604" s="176" t="n"/>
      <c r="Y604" s="176" t="n"/>
      <c r="Z604" s="176" t="n"/>
      <c r="AA604" s="176" t="n"/>
      <c r="AB604" s="176" t="n"/>
    </row>
    <row r="605">
      <c r="A605" s="176" t="n"/>
      <c r="B605" s="176" t="n"/>
      <c r="C605" s="176" t="n"/>
      <c r="D605" s="176" t="n"/>
      <c r="E605" s="186" t="n"/>
      <c r="F605" s="956" t="n"/>
      <c r="G605" s="956" t="n"/>
      <c r="H605" s="956" t="n"/>
      <c r="I605" s="956" t="n"/>
      <c r="J605" s="956" t="n"/>
      <c r="K605" s="946" t="n"/>
      <c r="L605" s="176" t="n"/>
      <c r="M605" s="176" t="n"/>
      <c r="N605" s="176" t="n"/>
      <c r="O605" s="176" t="n"/>
      <c r="P605" s="176" t="n"/>
      <c r="Q605" s="176" t="n"/>
      <c r="R605" s="176" t="n"/>
      <c r="S605" s="176" t="n"/>
      <c r="T605" s="176" t="n"/>
      <c r="U605" s="176" t="n"/>
      <c r="V605" s="176" t="n"/>
      <c r="W605" s="176" t="n"/>
      <c r="X605" s="176" t="n"/>
      <c r="Y605" s="176" t="n"/>
      <c r="Z605" s="176" t="n"/>
      <c r="AA605" s="176" t="n"/>
      <c r="AB605" s="176" t="n"/>
    </row>
    <row r="606">
      <c r="A606" s="176" t="n"/>
      <c r="B606" s="176" t="n"/>
      <c r="C606" s="176" t="n"/>
      <c r="D606" s="176" t="n"/>
      <c r="E606" s="186" t="n"/>
      <c r="F606" s="956" t="n"/>
      <c r="G606" s="956" t="n"/>
      <c r="H606" s="956" t="n"/>
      <c r="I606" s="956" t="n"/>
      <c r="J606" s="956" t="n"/>
      <c r="K606" s="946" t="n"/>
      <c r="L606" s="176" t="n"/>
      <c r="M606" s="176" t="n"/>
      <c r="N606" s="176" t="n"/>
      <c r="O606" s="176" t="n"/>
      <c r="P606" s="176" t="n"/>
      <c r="Q606" s="176" t="n"/>
      <c r="R606" s="176" t="n"/>
      <c r="S606" s="176" t="n"/>
      <c r="T606" s="176" t="n"/>
      <c r="U606" s="176" t="n"/>
      <c r="V606" s="176" t="n"/>
      <c r="W606" s="176" t="n"/>
      <c r="X606" s="176" t="n"/>
      <c r="Y606" s="176" t="n"/>
      <c r="Z606" s="176" t="n"/>
      <c r="AA606" s="176" t="n"/>
      <c r="AB606" s="176" t="n"/>
    </row>
    <row r="607">
      <c r="A607" s="176" t="n"/>
      <c r="B607" s="176" t="n"/>
      <c r="C607" s="176" t="n"/>
      <c r="D607" s="176" t="n"/>
      <c r="E607" s="186" t="n"/>
      <c r="F607" s="956" t="n"/>
      <c r="G607" s="956" t="n"/>
      <c r="H607" s="956" t="n"/>
      <c r="I607" s="956" t="n"/>
      <c r="J607" s="956" t="n"/>
      <c r="K607" s="946" t="n"/>
      <c r="L607" s="176" t="n"/>
      <c r="M607" s="176" t="n"/>
      <c r="N607" s="176" t="n"/>
      <c r="O607" s="176" t="n"/>
      <c r="P607" s="176" t="n"/>
      <c r="Q607" s="176" t="n"/>
      <c r="R607" s="176" t="n"/>
      <c r="S607" s="176" t="n"/>
      <c r="T607" s="176" t="n"/>
      <c r="U607" s="176" t="n"/>
      <c r="V607" s="176" t="n"/>
      <c r="W607" s="176" t="n"/>
      <c r="X607" s="176" t="n"/>
      <c r="Y607" s="176" t="n"/>
      <c r="Z607" s="176" t="n"/>
      <c r="AA607" s="176" t="n"/>
      <c r="AB607" s="176" t="n"/>
    </row>
    <row r="608">
      <c r="A608" s="176" t="n"/>
      <c r="B608" s="176" t="n"/>
      <c r="C608" s="176" t="n"/>
      <c r="D608" s="176" t="n"/>
      <c r="E608" s="186" t="n"/>
      <c r="F608" s="956" t="n"/>
      <c r="G608" s="956" t="n"/>
      <c r="H608" s="956" t="n"/>
      <c r="I608" s="956" t="n"/>
      <c r="J608" s="956" t="n"/>
      <c r="K608" s="946" t="n"/>
      <c r="L608" s="176" t="n"/>
      <c r="M608" s="176" t="n"/>
      <c r="N608" s="176" t="n"/>
      <c r="O608" s="176" t="n"/>
      <c r="P608" s="176" t="n"/>
      <c r="Q608" s="176" t="n"/>
      <c r="R608" s="176" t="n"/>
      <c r="S608" s="176" t="n"/>
      <c r="T608" s="176" t="n"/>
      <c r="U608" s="176" t="n"/>
      <c r="V608" s="176" t="n"/>
      <c r="W608" s="176" t="n"/>
      <c r="X608" s="176" t="n"/>
      <c r="Y608" s="176" t="n"/>
      <c r="Z608" s="176" t="n"/>
      <c r="AA608" s="176" t="n"/>
      <c r="AB608" s="176" t="n"/>
    </row>
    <row r="609">
      <c r="A609" s="176" t="n"/>
      <c r="B609" s="176" t="n"/>
      <c r="C609" s="176" t="n"/>
      <c r="D609" s="176" t="n"/>
      <c r="E609" s="186" t="n"/>
      <c r="F609" s="956" t="n"/>
      <c r="G609" s="956" t="n"/>
      <c r="H609" s="956" t="n"/>
      <c r="I609" s="956" t="n"/>
      <c r="J609" s="956" t="n"/>
      <c r="K609" s="946" t="n"/>
      <c r="L609" s="176" t="n"/>
      <c r="M609" s="176" t="n"/>
      <c r="N609" s="176" t="n"/>
      <c r="O609" s="176" t="n"/>
      <c r="P609" s="176" t="n"/>
      <c r="Q609" s="176" t="n"/>
      <c r="R609" s="176" t="n"/>
      <c r="S609" s="176" t="n"/>
      <c r="T609" s="176" t="n"/>
      <c r="U609" s="176" t="n"/>
      <c r="V609" s="176" t="n"/>
      <c r="W609" s="176" t="n"/>
      <c r="X609" s="176" t="n"/>
      <c r="Y609" s="176" t="n"/>
      <c r="Z609" s="176" t="n"/>
      <c r="AA609" s="176" t="n"/>
      <c r="AB609" s="176" t="n"/>
    </row>
    <row r="610">
      <c r="A610" s="176" t="n"/>
      <c r="B610" s="176" t="n"/>
      <c r="C610" s="176" t="n"/>
      <c r="D610" s="176" t="n"/>
      <c r="E610" s="186" t="n"/>
      <c r="F610" s="956" t="n"/>
      <c r="G610" s="956" t="n"/>
      <c r="H610" s="956" t="n"/>
      <c r="I610" s="956" t="n"/>
      <c r="J610" s="956" t="n"/>
      <c r="K610" s="946" t="n"/>
      <c r="L610" s="176" t="n"/>
      <c r="M610" s="176" t="n"/>
      <c r="N610" s="176" t="n"/>
      <c r="O610" s="176" t="n"/>
      <c r="P610" s="176" t="n"/>
      <c r="Q610" s="176" t="n"/>
      <c r="R610" s="176" t="n"/>
      <c r="S610" s="176" t="n"/>
      <c r="T610" s="176" t="n"/>
      <c r="U610" s="176" t="n"/>
      <c r="V610" s="176" t="n"/>
      <c r="W610" s="176" t="n"/>
      <c r="X610" s="176" t="n"/>
      <c r="Y610" s="176" t="n"/>
      <c r="Z610" s="176" t="n"/>
      <c r="AA610" s="176" t="n"/>
      <c r="AB610" s="176" t="n"/>
    </row>
    <row r="611">
      <c r="A611" s="176" t="n"/>
      <c r="B611" s="176" t="n"/>
      <c r="C611" s="176" t="n"/>
      <c r="D611" s="176" t="n"/>
      <c r="E611" s="186" t="n"/>
      <c r="F611" s="956" t="n"/>
      <c r="G611" s="956" t="n"/>
      <c r="H611" s="956" t="n"/>
      <c r="I611" s="956" t="n"/>
      <c r="J611" s="956" t="n"/>
      <c r="K611" s="946" t="n"/>
      <c r="L611" s="176" t="n"/>
      <c r="M611" s="176" t="n"/>
      <c r="N611" s="176" t="n"/>
      <c r="O611" s="176" t="n"/>
      <c r="P611" s="176" t="n"/>
      <c r="Q611" s="176" t="n"/>
      <c r="R611" s="176" t="n"/>
      <c r="S611" s="176" t="n"/>
      <c r="T611" s="176" t="n"/>
      <c r="U611" s="176" t="n"/>
      <c r="V611" s="176" t="n"/>
      <c r="W611" s="176" t="n"/>
      <c r="X611" s="176" t="n"/>
      <c r="Y611" s="176" t="n"/>
      <c r="Z611" s="176" t="n"/>
      <c r="AA611" s="176" t="n"/>
      <c r="AB611" s="176" t="n"/>
    </row>
    <row r="612">
      <c r="A612" s="176" t="n"/>
      <c r="B612" s="176" t="n"/>
      <c r="C612" s="176" t="n"/>
      <c r="D612" s="176" t="n"/>
      <c r="E612" s="186" t="n"/>
      <c r="F612" s="956" t="n"/>
      <c r="G612" s="956" t="n"/>
      <c r="H612" s="956" t="n"/>
      <c r="I612" s="956" t="n"/>
      <c r="J612" s="956" t="n"/>
      <c r="K612" s="946" t="n"/>
      <c r="L612" s="176" t="n"/>
      <c r="M612" s="176" t="n"/>
      <c r="N612" s="176" t="n"/>
      <c r="O612" s="176" t="n"/>
      <c r="P612" s="176" t="n"/>
      <c r="Q612" s="176" t="n"/>
      <c r="R612" s="176" t="n"/>
      <c r="S612" s="176" t="n"/>
      <c r="T612" s="176" t="n"/>
      <c r="U612" s="176" t="n"/>
      <c r="V612" s="176" t="n"/>
      <c r="W612" s="176" t="n"/>
      <c r="X612" s="176" t="n"/>
      <c r="Y612" s="176" t="n"/>
      <c r="Z612" s="176" t="n"/>
      <c r="AA612" s="176" t="n"/>
      <c r="AB612" s="176" t="n"/>
    </row>
    <row r="613">
      <c r="A613" s="176" t="n"/>
      <c r="B613" s="176" t="n"/>
      <c r="C613" s="176" t="n"/>
      <c r="D613" s="176" t="n"/>
      <c r="E613" s="186" t="n"/>
      <c r="F613" s="956" t="n"/>
      <c r="G613" s="956" t="n"/>
      <c r="H613" s="956" t="n"/>
      <c r="I613" s="956" t="n"/>
      <c r="J613" s="956" t="n"/>
      <c r="K613" s="946" t="n"/>
      <c r="L613" s="176" t="n"/>
      <c r="M613" s="176" t="n"/>
      <c r="N613" s="176" t="n"/>
      <c r="O613" s="176" t="n"/>
      <c r="P613" s="176" t="n"/>
      <c r="Q613" s="176" t="n"/>
      <c r="R613" s="176" t="n"/>
      <c r="S613" s="176" t="n"/>
      <c r="T613" s="176" t="n"/>
      <c r="U613" s="176" t="n"/>
      <c r="V613" s="176" t="n"/>
      <c r="W613" s="176" t="n"/>
      <c r="X613" s="176" t="n"/>
      <c r="Y613" s="176" t="n"/>
      <c r="Z613" s="176" t="n"/>
      <c r="AA613" s="176" t="n"/>
      <c r="AB613" s="176" t="n"/>
    </row>
    <row r="614">
      <c r="A614" s="176" t="n"/>
      <c r="B614" s="176" t="n"/>
      <c r="C614" s="176" t="n"/>
      <c r="D614" s="176" t="n"/>
      <c r="E614" s="186" t="n"/>
      <c r="F614" s="956" t="n"/>
      <c r="G614" s="956" t="n"/>
      <c r="H614" s="956" t="n"/>
      <c r="I614" s="956" t="n"/>
      <c r="J614" s="956" t="n"/>
      <c r="K614" s="946" t="n"/>
      <c r="L614" s="176" t="n"/>
      <c r="M614" s="176" t="n"/>
      <c r="N614" s="176" t="n"/>
      <c r="O614" s="176" t="n"/>
      <c r="P614" s="176" t="n"/>
      <c r="Q614" s="176" t="n"/>
      <c r="R614" s="176" t="n"/>
      <c r="S614" s="176" t="n"/>
      <c r="T614" s="176" t="n"/>
      <c r="U614" s="176" t="n"/>
      <c r="V614" s="176" t="n"/>
      <c r="W614" s="176" t="n"/>
      <c r="X614" s="176" t="n"/>
      <c r="Y614" s="176" t="n"/>
      <c r="Z614" s="176" t="n"/>
      <c r="AA614" s="176" t="n"/>
      <c r="AB614" s="176" t="n"/>
    </row>
    <row r="615">
      <c r="A615" s="176" t="n"/>
      <c r="B615" s="176" t="n"/>
      <c r="C615" s="176" t="n"/>
      <c r="D615" s="176" t="n"/>
      <c r="E615" s="186" t="n"/>
      <c r="F615" s="956" t="n"/>
      <c r="G615" s="956" t="n"/>
      <c r="H615" s="956" t="n"/>
      <c r="I615" s="956" t="n"/>
      <c r="J615" s="956" t="n"/>
      <c r="K615" s="946" t="n"/>
      <c r="L615" s="176" t="n"/>
      <c r="M615" s="176" t="n"/>
      <c r="N615" s="176" t="n"/>
      <c r="O615" s="176" t="n"/>
      <c r="P615" s="176" t="n"/>
      <c r="Q615" s="176" t="n"/>
      <c r="R615" s="176" t="n"/>
      <c r="S615" s="176" t="n"/>
      <c r="T615" s="176" t="n"/>
      <c r="U615" s="176" t="n"/>
      <c r="V615" s="176" t="n"/>
      <c r="W615" s="176" t="n"/>
      <c r="X615" s="176" t="n"/>
      <c r="Y615" s="176" t="n"/>
      <c r="Z615" s="176" t="n"/>
      <c r="AA615" s="176" t="n"/>
      <c r="AB615" s="176" t="n"/>
    </row>
    <row r="616">
      <c r="A616" s="176" t="n"/>
      <c r="B616" s="176" t="n"/>
      <c r="C616" s="176" t="n"/>
      <c r="D616" s="176" t="n"/>
      <c r="E616" s="186" t="n"/>
      <c r="F616" s="956" t="n"/>
      <c r="G616" s="956" t="n"/>
      <c r="H616" s="956" t="n"/>
      <c r="I616" s="956" t="n"/>
      <c r="J616" s="956" t="n"/>
      <c r="K616" s="946" t="n"/>
      <c r="L616" s="176" t="n"/>
      <c r="M616" s="176" t="n"/>
      <c r="N616" s="176" t="n"/>
      <c r="O616" s="176" t="n"/>
      <c r="P616" s="176" t="n"/>
      <c r="Q616" s="176" t="n"/>
      <c r="R616" s="176" t="n"/>
      <c r="S616" s="176" t="n"/>
      <c r="T616" s="176" t="n"/>
      <c r="U616" s="176" t="n"/>
      <c r="V616" s="176" t="n"/>
      <c r="W616" s="176" t="n"/>
      <c r="X616" s="176" t="n"/>
      <c r="Y616" s="176" t="n"/>
      <c r="Z616" s="176" t="n"/>
      <c r="AA616" s="176" t="n"/>
      <c r="AB616" s="176" t="n"/>
    </row>
    <row r="617">
      <c r="A617" s="176" t="n"/>
      <c r="B617" s="176" t="n"/>
      <c r="C617" s="176" t="n"/>
      <c r="D617" s="176" t="n"/>
      <c r="E617" s="186" t="n"/>
      <c r="F617" s="956" t="n"/>
      <c r="G617" s="956" t="n"/>
      <c r="H617" s="956" t="n"/>
      <c r="I617" s="956" t="n"/>
      <c r="J617" s="956" t="n"/>
      <c r="K617" s="946" t="n"/>
      <c r="L617" s="176" t="n"/>
      <c r="M617" s="176" t="n"/>
      <c r="N617" s="176" t="n"/>
      <c r="O617" s="176" t="n"/>
      <c r="P617" s="176" t="n"/>
      <c r="Q617" s="176" t="n"/>
      <c r="R617" s="176" t="n"/>
      <c r="S617" s="176" t="n"/>
      <c r="T617" s="176" t="n"/>
      <c r="U617" s="176" t="n"/>
      <c r="V617" s="176" t="n"/>
      <c r="W617" s="176" t="n"/>
      <c r="X617" s="176" t="n"/>
      <c r="Y617" s="176" t="n"/>
      <c r="Z617" s="176" t="n"/>
      <c r="AA617" s="176" t="n"/>
      <c r="AB617" s="176" t="n"/>
    </row>
    <row r="618">
      <c r="A618" s="176" t="n"/>
      <c r="B618" s="176" t="n"/>
      <c r="C618" s="176" t="n"/>
      <c r="D618" s="176" t="n"/>
      <c r="E618" s="186" t="n"/>
      <c r="F618" s="956" t="n"/>
      <c r="G618" s="956" t="n"/>
      <c r="H618" s="956" t="n"/>
      <c r="I618" s="956" t="n"/>
      <c r="J618" s="956" t="n"/>
      <c r="K618" s="946" t="n"/>
      <c r="L618" s="176" t="n"/>
      <c r="M618" s="176" t="n"/>
      <c r="N618" s="176" t="n"/>
      <c r="O618" s="176" t="n"/>
      <c r="P618" s="176" t="n"/>
      <c r="Q618" s="176" t="n"/>
      <c r="R618" s="176" t="n"/>
      <c r="S618" s="176" t="n"/>
      <c r="T618" s="176" t="n"/>
      <c r="U618" s="176" t="n"/>
      <c r="V618" s="176" t="n"/>
      <c r="W618" s="176" t="n"/>
      <c r="X618" s="176" t="n"/>
      <c r="Y618" s="176" t="n"/>
      <c r="Z618" s="176" t="n"/>
      <c r="AA618" s="176" t="n"/>
      <c r="AB618" s="176" t="n"/>
    </row>
    <row r="619">
      <c r="A619" s="176" t="n"/>
      <c r="B619" s="176" t="n"/>
      <c r="C619" s="176" t="n"/>
      <c r="D619" s="176" t="n"/>
      <c r="E619" s="186" t="n"/>
      <c r="F619" s="956" t="n"/>
      <c r="G619" s="956" t="n"/>
      <c r="H619" s="956" t="n"/>
      <c r="I619" s="956" t="n"/>
      <c r="J619" s="956" t="n"/>
      <c r="K619" s="946" t="n"/>
      <c r="L619" s="176" t="n"/>
      <c r="M619" s="176" t="n"/>
      <c r="N619" s="176" t="n"/>
      <c r="O619" s="176" t="n"/>
      <c r="P619" s="176" t="n"/>
      <c r="Q619" s="176" t="n"/>
      <c r="R619" s="176" t="n"/>
      <c r="S619" s="176" t="n"/>
      <c r="T619" s="176" t="n"/>
      <c r="U619" s="176" t="n"/>
      <c r="V619" s="176" t="n"/>
      <c r="W619" s="176" t="n"/>
      <c r="X619" s="176" t="n"/>
      <c r="Y619" s="176" t="n"/>
      <c r="Z619" s="176" t="n"/>
      <c r="AA619" s="176" t="n"/>
      <c r="AB619" s="176" t="n"/>
    </row>
    <row r="620">
      <c r="A620" s="176" t="n"/>
      <c r="B620" s="176" t="n"/>
      <c r="C620" s="176" t="n"/>
      <c r="D620" s="176" t="n"/>
      <c r="E620" s="186" t="n"/>
      <c r="F620" s="956" t="n"/>
      <c r="G620" s="956" t="n"/>
      <c r="H620" s="956" t="n"/>
      <c r="I620" s="956" t="n"/>
      <c r="J620" s="956" t="n"/>
      <c r="K620" s="946" t="n"/>
      <c r="L620" s="176" t="n"/>
      <c r="M620" s="176" t="n"/>
      <c r="N620" s="176" t="n"/>
      <c r="O620" s="176" t="n"/>
      <c r="P620" s="176" t="n"/>
      <c r="Q620" s="176" t="n"/>
      <c r="R620" s="176" t="n"/>
      <c r="S620" s="176" t="n"/>
      <c r="T620" s="176" t="n"/>
      <c r="U620" s="176" t="n"/>
      <c r="V620" s="176" t="n"/>
      <c r="W620" s="176" t="n"/>
      <c r="X620" s="176" t="n"/>
      <c r="Y620" s="176" t="n"/>
      <c r="Z620" s="176" t="n"/>
      <c r="AA620" s="176" t="n"/>
      <c r="AB620" s="176" t="n"/>
    </row>
    <row r="621">
      <c r="A621" s="176" t="n"/>
      <c r="B621" s="176" t="n"/>
      <c r="C621" s="176" t="n"/>
      <c r="D621" s="176" t="n"/>
      <c r="E621" s="186" t="n"/>
      <c r="F621" s="956" t="n"/>
      <c r="G621" s="956" t="n"/>
      <c r="H621" s="956" t="n"/>
      <c r="I621" s="956" t="n"/>
      <c r="J621" s="956" t="n"/>
      <c r="K621" s="946" t="n"/>
      <c r="L621" s="176" t="n"/>
      <c r="M621" s="176" t="n"/>
      <c r="N621" s="176" t="n"/>
      <c r="O621" s="176" t="n"/>
      <c r="P621" s="176" t="n"/>
      <c r="Q621" s="176" t="n"/>
      <c r="R621" s="176" t="n"/>
      <c r="S621" s="176" t="n"/>
      <c r="T621" s="176" t="n"/>
      <c r="U621" s="176" t="n"/>
      <c r="V621" s="176" t="n"/>
      <c r="W621" s="176" t="n"/>
      <c r="X621" s="176" t="n"/>
      <c r="Y621" s="176" t="n"/>
      <c r="Z621" s="176" t="n"/>
      <c r="AA621" s="176" t="n"/>
      <c r="AB621" s="176" t="n"/>
    </row>
    <row r="622">
      <c r="A622" s="176" t="n"/>
      <c r="B622" s="176" t="n"/>
      <c r="C622" s="176" t="n"/>
      <c r="D622" s="176" t="n"/>
      <c r="E622" s="186" t="n"/>
      <c r="F622" s="956" t="n"/>
      <c r="G622" s="956" t="n"/>
      <c r="H622" s="956" t="n"/>
      <c r="I622" s="956" t="n"/>
      <c r="J622" s="956" t="n"/>
      <c r="K622" s="946" t="n"/>
      <c r="L622" s="176" t="n"/>
      <c r="M622" s="176" t="n"/>
      <c r="N622" s="176" t="n"/>
      <c r="O622" s="176" t="n"/>
      <c r="P622" s="176" t="n"/>
      <c r="Q622" s="176" t="n"/>
      <c r="R622" s="176" t="n"/>
      <c r="S622" s="176" t="n"/>
      <c r="T622" s="176" t="n"/>
      <c r="U622" s="176" t="n"/>
      <c r="V622" s="176" t="n"/>
      <c r="W622" s="176" t="n"/>
      <c r="X622" s="176" t="n"/>
      <c r="Y622" s="176" t="n"/>
      <c r="Z622" s="176" t="n"/>
      <c r="AA622" s="176" t="n"/>
      <c r="AB622" s="176" t="n"/>
    </row>
    <row r="623">
      <c r="A623" s="176" t="n"/>
      <c r="B623" s="176" t="n"/>
      <c r="C623" s="176" t="n"/>
      <c r="D623" s="176" t="n"/>
      <c r="E623" s="186" t="n"/>
      <c r="F623" s="956" t="n"/>
      <c r="G623" s="956" t="n"/>
      <c r="H623" s="956" t="n"/>
      <c r="I623" s="956" t="n"/>
      <c r="J623" s="956" t="n"/>
      <c r="K623" s="946" t="n"/>
      <c r="L623" s="176" t="n"/>
      <c r="M623" s="176" t="n"/>
      <c r="N623" s="176" t="n"/>
      <c r="O623" s="176" t="n"/>
      <c r="P623" s="176" t="n"/>
      <c r="Q623" s="176" t="n"/>
      <c r="R623" s="176" t="n"/>
      <c r="S623" s="176" t="n"/>
      <c r="T623" s="176" t="n"/>
      <c r="U623" s="176" t="n"/>
      <c r="V623" s="176" t="n"/>
      <c r="W623" s="176" t="n"/>
      <c r="X623" s="176" t="n"/>
      <c r="Y623" s="176" t="n"/>
      <c r="Z623" s="176" t="n"/>
      <c r="AA623" s="176" t="n"/>
      <c r="AB623" s="176" t="n"/>
    </row>
    <row r="624">
      <c r="A624" s="176" t="n"/>
      <c r="B624" s="176" t="n"/>
      <c r="C624" s="176" t="n"/>
      <c r="D624" s="176" t="n"/>
      <c r="E624" s="186" t="n"/>
      <c r="F624" s="956" t="n"/>
      <c r="G624" s="956" t="n"/>
      <c r="H624" s="956" t="n"/>
      <c r="I624" s="956" t="n"/>
      <c r="J624" s="956" t="n"/>
      <c r="K624" s="946" t="n"/>
      <c r="L624" s="176" t="n"/>
      <c r="M624" s="176" t="n"/>
      <c r="N624" s="176" t="n"/>
      <c r="O624" s="176" t="n"/>
      <c r="P624" s="176" t="n"/>
      <c r="Q624" s="176" t="n"/>
      <c r="R624" s="176" t="n"/>
      <c r="S624" s="176" t="n"/>
      <c r="T624" s="176" t="n"/>
      <c r="U624" s="176" t="n"/>
      <c r="V624" s="176" t="n"/>
      <c r="W624" s="176" t="n"/>
      <c r="X624" s="176" t="n"/>
      <c r="Y624" s="176" t="n"/>
      <c r="Z624" s="176" t="n"/>
      <c r="AA624" s="176" t="n"/>
      <c r="AB624" s="176" t="n"/>
    </row>
    <row r="625">
      <c r="A625" s="176" t="n"/>
      <c r="B625" s="176" t="n"/>
      <c r="C625" s="176" t="n"/>
      <c r="D625" s="176" t="n"/>
      <c r="E625" s="186" t="n"/>
      <c r="F625" s="956" t="n"/>
      <c r="G625" s="956" t="n"/>
      <c r="H625" s="956" t="n"/>
      <c r="I625" s="956" t="n"/>
      <c r="J625" s="956" t="n"/>
      <c r="K625" s="946" t="n"/>
      <c r="L625" s="176" t="n"/>
      <c r="M625" s="176" t="n"/>
      <c r="N625" s="176" t="n"/>
      <c r="O625" s="176" t="n"/>
      <c r="P625" s="176" t="n"/>
      <c r="Q625" s="176" t="n"/>
      <c r="R625" s="176" t="n"/>
      <c r="S625" s="176" t="n"/>
      <c r="T625" s="176" t="n"/>
      <c r="U625" s="176" t="n"/>
      <c r="V625" s="176" t="n"/>
      <c r="W625" s="176" t="n"/>
      <c r="X625" s="176" t="n"/>
      <c r="Y625" s="176" t="n"/>
      <c r="Z625" s="176" t="n"/>
      <c r="AA625" s="176" t="n"/>
      <c r="AB625" s="176" t="n"/>
    </row>
    <row r="626">
      <c r="A626" s="176" t="n"/>
      <c r="B626" s="176" t="n"/>
      <c r="C626" s="176" t="n"/>
      <c r="D626" s="176" t="n"/>
      <c r="E626" s="186" t="n"/>
      <c r="F626" s="956" t="n"/>
      <c r="G626" s="956" t="n"/>
      <c r="H626" s="956" t="n"/>
      <c r="I626" s="956" t="n"/>
      <c r="J626" s="956" t="n"/>
      <c r="K626" s="946" t="n"/>
      <c r="L626" s="176" t="n"/>
      <c r="M626" s="176" t="n"/>
      <c r="N626" s="176" t="n"/>
      <c r="O626" s="176" t="n"/>
      <c r="P626" s="176" t="n"/>
      <c r="Q626" s="176" t="n"/>
      <c r="R626" s="176" t="n"/>
      <c r="S626" s="176" t="n"/>
      <c r="T626" s="176" t="n"/>
      <c r="U626" s="176" t="n"/>
      <c r="V626" s="176" t="n"/>
      <c r="W626" s="176" t="n"/>
      <c r="X626" s="176" t="n"/>
      <c r="Y626" s="176" t="n"/>
      <c r="Z626" s="176" t="n"/>
      <c r="AA626" s="176" t="n"/>
      <c r="AB626" s="176" t="n"/>
    </row>
    <row r="627">
      <c r="A627" s="176" t="n"/>
      <c r="B627" s="176" t="n"/>
      <c r="C627" s="176" t="n"/>
      <c r="D627" s="176" t="n"/>
      <c r="E627" s="186" t="n"/>
      <c r="F627" s="956" t="n"/>
      <c r="G627" s="956" t="n"/>
      <c r="H627" s="956" t="n"/>
      <c r="I627" s="956" t="n"/>
      <c r="J627" s="956" t="n"/>
      <c r="K627" s="946" t="n"/>
      <c r="L627" s="176" t="n"/>
      <c r="M627" s="176" t="n"/>
      <c r="N627" s="176" t="n"/>
      <c r="O627" s="176" t="n"/>
      <c r="P627" s="176" t="n"/>
      <c r="Q627" s="176" t="n"/>
      <c r="R627" s="176" t="n"/>
      <c r="S627" s="176" t="n"/>
      <c r="T627" s="176" t="n"/>
      <c r="U627" s="176" t="n"/>
      <c r="V627" s="176" t="n"/>
      <c r="W627" s="176" t="n"/>
      <c r="X627" s="176" t="n"/>
      <c r="Y627" s="176" t="n"/>
      <c r="Z627" s="176" t="n"/>
      <c r="AA627" s="176" t="n"/>
      <c r="AB627" s="176" t="n"/>
    </row>
    <row r="628">
      <c r="A628" s="176" t="n"/>
      <c r="B628" s="176" t="n"/>
      <c r="C628" s="176" t="n"/>
      <c r="D628" s="176" t="n"/>
      <c r="E628" s="186" t="n"/>
      <c r="F628" s="956" t="n"/>
      <c r="G628" s="956" t="n"/>
      <c r="H628" s="956" t="n"/>
      <c r="I628" s="956" t="n"/>
      <c r="J628" s="956" t="n"/>
      <c r="K628" s="946" t="n"/>
      <c r="L628" s="176" t="n"/>
      <c r="M628" s="176" t="n"/>
      <c r="N628" s="176" t="n"/>
      <c r="O628" s="176" t="n"/>
      <c r="P628" s="176" t="n"/>
      <c r="Q628" s="176" t="n"/>
      <c r="R628" s="176" t="n"/>
      <c r="S628" s="176" t="n"/>
      <c r="T628" s="176" t="n"/>
      <c r="U628" s="176" t="n"/>
      <c r="V628" s="176" t="n"/>
      <c r="W628" s="176" t="n"/>
      <c r="X628" s="176" t="n"/>
      <c r="Y628" s="176" t="n"/>
      <c r="Z628" s="176" t="n"/>
      <c r="AA628" s="176" t="n"/>
      <c r="AB628" s="176" t="n"/>
    </row>
    <row r="629">
      <c r="A629" s="176" t="n"/>
      <c r="B629" s="176" t="n"/>
      <c r="C629" s="176" t="n"/>
      <c r="D629" s="176" t="n"/>
      <c r="E629" s="186" t="n"/>
      <c r="F629" s="956" t="n"/>
      <c r="G629" s="956" t="n"/>
      <c r="H629" s="956" t="n"/>
      <c r="I629" s="956" t="n"/>
      <c r="J629" s="956" t="n"/>
      <c r="K629" s="946" t="n"/>
      <c r="L629" s="176" t="n"/>
      <c r="M629" s="176" t="n"/>
      <c r="N629" s="176" t="n"/>
      <c r="O629" s="176" t="n"/>
      <c r="P629" s="176" t="n"/>
      <c r="Q629" s="176" t="n"/>
      <c r="R629" s="176" t="n"/>
      <c r="S629" s="176" t="n"/>
      <c r="T629" s="176" t="n"/>
      <c r="U629" s="176" t="n"/>
      <c r="V629" s="176" t="n"/>
      <c r="W629" s="176" t="n"/>
      <c r="X629" s="176" t="n"/>
      <c r="Y629" s="176" t="n"/>
      <c r="Z629" s="176" t="n"/>
      <c r="AA629" s="176" t="n"/>
      <c r="AB629" s="176" t="n"/>
    </row>
    <row r="630">
      <c r="A630" s="176" t="n"/>
      <c r="B630" s="176" t="n"/>
      <c r="C630" s="176" t="n"/>
      <c r="D630" s="176" t="n"/>
      <c r="E630" s="186" t="n"/>
      <c r="F630" s="956" t="n"/>
      <c r="G630" s="956" t="n"/>
      <c r="H630" s="956" t="n"/>
      <c r="I630" s="956" t="n"/>
      <c r="J630" s="956" t="n"/>
      <c r="K630" s="946" t="n"/>
      <c r="L630" s="176" t="n"/>
      <c r="M630" s="176" t="n"/>
      <c r="N630" s="176" t="n"/>
      <c r="O630" s="176" t="n"/>
      <c r="P630" s="176" t="n"/>
      <c r="Q630" s="176" t="n"/>
      <c r="R630" s="176" t="n"/>
      <c r="S630" s="176" t="n"/>
      <c r="T630" s="176" t="n"/>
      <c r="U630" s="176" t="n"/>
      <c r="V630" s="176" t="n"/>
      <c r="W630" s="176" t="n"/>
      <c r="X630" s="176" t="n"/>
      <c r="Y630" s="176" t="n"/>
      <c r="Z630" s="176" t="n"/>
      <c r="AA630" s="176" t="n"/>
      <c r="AB630" s="176" t="n"/>
    </row>
    <row r="631">
      <c r="A631" s="176" t="n"/>
      <c r="B631" s="176" t="n"/>
      <c r="C631" s="176" t="n"/>
      <c r="D631" s="176" t="n"/>
      <c r="E631" s="186" t="n"/>
      <c r="F631" s="956" t="n"/>
      <c r="G631" s="956" t="n"/>
      <c r="H631" s="956" t="n"/>
      <c r="I631" s="956" t="n"/>
      <c r="J631" s="956" t="n"/>
      <c r="K631" s="946" t="n"/>
      <c r="L631" s="176" t="n"/>
      <c r="M631" s="176" t="n"/>
      <c r="N631" s="176" t="n"/>
      <c r="O631" s="176" t="n"/>
      <c r="P631" s="176" t="n"/>
      <c r="Q631" s="176" t="n"/>
      <c r="R631" s="176" t="n"/>
      <c r="S631" s="176" t="n"/>
      <c r="T631" s="176" t="n"/>
      <c r="U631" s="176" t="n"/>
      <c r="V631" s="176" t="n"/>
      <c r="W631" s="176" t="n"/>
      <c r="X631" s="176" t="n"/>
      <c r="Y631" s="176" t="n"/>
      <c r="Z631" s="176" t="n"/>
      <c r="AA631" s="176" t="n"/>
      <c r="AB631" s="176" t="n"/>
    </row>
    <row r="632">
      <c r="A632" s="176" t="n"/>
      <c r="B632" s="176" t="n"/>
      <c r="C632" s="176" t="n"/>
      <c r="D632" s="176" t="n"/>
      <c r="E632" s="186" t="n"/>
      <c r="F632" s="956" t="n"/>
      <c r="G632" s="956" t="n"/>
      <c r="H632" s="956" t="n"/>
      <c r="I632" s="956" t="n"/>
      <c r="J632" s="956" t="n"/>
      <c r="K632" s="946" t="n"/>
      <c r="L632" s="176" t="n"/>
      <c r="M632" s="176" t="n"/>
      <c r="N632" s="176" t="n"/>
      <c r="O632" s="176" t="n"/>
      <c r="P632" s="176" t="n"/>
      <c r="Q632" s="176" t="n"/>
      <c r="R632" s="176" t="n"/>
      <c r="S632" s="176" t="n"/>
      <c r="T632" s="176" t="n"/>
      <c r="U632" s="176" t="n"/>
      <c r="V632" s="176" t="n"/>
      <c r="W632" s="176" t="n"/>
      <c r="X632" s="176" t="n"/>
      <c r="Y632" s="176" t="n"/>
      <c r="Z632" s="176" t="n"/>
      <c r="AA632" s="176" t="n"/>
      <c r="AB632" s="176" t="n"/>
    </row>
    <row r="633">
      <c r="A633" s="176" t="n"/>
      <c r="B633" s="176" t="n"/>
      <c r="C633" s="176" t="n"/>
      <c r="D633" s="176" t="n"/>
      <c r="E633" s="186" t="n"/>
      <c r="F633" s="956" t="n"/>
      <c r="G633" s="956" t="n"/>
      <c r="H633" s="956" t="n"/>
      <c r="I633" s="956" t="n"/>
      <c r="J633" s="956" t="n"/>
      <c r="K633" s="946" t="n"/>
      <c r="L633" s="176" t="n"/>
      <c r="M633" s="176" t="n"/>
      <c r="N633" s="176" t="n"/>
      <c r="O633" s="176" t="n"/>
      <c r="P633" s="176" t="n"/>
      <c r="Q633" s="176" t="n"/>
      <c r="R633" s="176" t="n"/>
      <c r="S633" s="176" t="n"/>
      <c r="T633" s="176" t="n"/>
      <c r="U633" s="176" t="n"/>
      <c r="V633" s="176" t="n"/>
      <c r="W633" s="176" t="n"/>
      <c r="X633" s="176" t="n"/>
      <c r="Y633" s="176" t="n"/>
      <c r="Z633" s="176" t="n"/>
      <c r="AA633" s="176" t="n"/>
      <c r="AB633" s="176" t="n"/>
    </row>
    <row r="634">
      <c r="A634" s="176" t="n"/>
      <c r="B634" s="176" t="n"/>
      <c r="C634" s="176" t="n"/>
      <c r="D634" s="176" t="n"/>
      <c r="E634" s="186" t="n"/>
      <c r="F634" s="956" t="n"/>
      <c r="G634" s="956" t="n"/>
      <c r="H634" s="956" t="n"/>
      <c r="I634" s="956" t="n"/>
      <c r="J634" s="956" t="n"/>
      <c r="K634" s="946" t="n"/>
      <c r="L634" s="176" t="n"/>
      <c r="M634" s="176" t="n"/>
      <c r="N634" s="176" t="n"/>
      <c r="O634" s="176" t="n"/>
      <c r="P634" s="176" t="n"/>
      <c r="Q634" s="176" t="n"/>
      <c r="R634" s="176" t="n"/>
      <c r="S634" s="176" t="n"/>
      <c r="T634" s="176" t="n"/>
      <c r="U634" s="176" t="n"/>
      <c r="V634" s="176" t="n"/>
      <c r="W634" s="176" t="n"/>
      <c r="X634" s="176" t="n"/>
      <c r="Y634" s="176" t="n"/>
      <c r="Z634" s="176" t="n"/>
      <c r="AA634" s="176" t="n"/>
      <c r="AB634" s="176" t="n"/>
    </row>
    <row r="635">
      <c r="A635" s="176" t="n"/>
      <c r="B635" s="176" t="n"/>
      <c r="C635" s="176" t="n"/>
      <c r="D635" s="176" t="n"/>
      <c r="E635" s="186" t="n"/>
      <c r="F635" s="956" t="n"/>
      <c r="G635" s="956" t="n"/>
      <c r="H635" s="956" t="n"/>
      <c r="I635" s="956" t="n"/>
      <c r="J635" s="956" t="n"/>
      <c r="K635" s="946" t="n"/>
      <c r="L635" s="176" t="n"/>
      <c r="M635" s="176" t="n"/>
      <c r="N635" s="176" t="n"/>
      <c r="O635" s="176" t="n"/>
      <c r="P635" s="176" t="n"/>
      <c r="Q635" s="176" t="n"/>
      <c r="R635" s="176" t="n"/>
      <c r="S635" s="176" t="n"/>
      <c r="T635" s="176" t="n"/>
      <c r="U635" s="176" t="n"/>
      <c r="V635" s="176" t="n"/>
      <c r="W635" s="176" t="n"/>
      <c r="X635" s="176" t="n"/>
      <c r="Y635" s="176" t="n"/>
      <c r="Z635" s="176" t="n"/>
      <c r="AA635" s="176" t="n"/>
      <c r="AB635" s="176" t="n"/>
    </row>
    <row r="636">
      <c r="A636" s="176" t="n"/>
      <c r="B636" s="176" t="n"/>
      <c r="C636" s="176" t="n"/>
      <c r="D636" s="176" t="n"/>
      <c r="E636" s="186" t="n"/>
      <c r="F636" s="956" t="n"/>
      <c r="G636" s="956" t="n"/>
      <c r="H636" s="956" t="n"/>
      <c r="I636" s="956" t="n"/>
      <c r="J636" s="956" t="n"/>
      <c r="K636" s="946" t="n"/>
      <c r="L636" s="176" t="n"/>
      <c r="M636" s="176" t="n"/>
      <c r="N636" s="176" t="n"/>
      <c r="O636" s="176" t="n"/>
      <c r="P636" s="176" t="n"/>
      <c r="Q636" s="176" t="n"/>
      <c r="R636" s="176" t="n"/>
      <c r="S636" s="176" t="n"/>
      <c r="T636" s="176" t="n"/>
      <c r="U636" s="176" t="n"/>
      <c r="V636" s="176" t="n"/>
      <c r="W636" s="176" t="n"/>
      <c r="X636" s="176" t="n"/>
      <c r="Y636" s="176" t="n"/>
      <c r="Z636" s="176" t="n"/>
      <c r="AA636" s="176" t="n"/>
      <c r="AB636" s="176" t="n"/>
    </row>
    <row r="637">
      <c r="A637" s="176" t="n"/>
      <c r="B637" s="176" t="n"/>
      <c r="C637" s="176" t="n"/>
      <c r="D637" s="176" t="n"/>
      <c r="E637" s="186" t="n"/>
      <c r="F637" s="956" t="n"/>
      <c r="G637" s="956" t="n"/>
      <c r="H637" s="956" t="n"/>
      <c r="I637" s="956" t="n"/>
      <c r="J637" s="956" t="n"/>
      <c r="K637" s="946" t="n"/>
      <c r="L637" s="176" t="n"/>
      <c r="M637" s="176" t="n"/>
      <c r="N637" s="176" t="n"/>
      <c r="O637" s="176" t="n"/>
      <c r="P637" s="176" t="n"/>
      <c r="Q637" s="176" t="n"/>
      <c r="R637" s="176" t="n"/>
      <c r="S637" s="176" t="n"/>
      <c r="T637" s="176" t="n"/>
      <c r="U637" s="176" t="n"/>
      <c r="V637" s="176" t="n"/>
      <c r="W637" s="176" t="n"/>
      <c r="X637" s="176" t="n"/>
      <c r="Y637" s="176" t="n"/>
      <c r="Z637" s="176" t="n"/>
      <c r="AA637" s="176" t="n"/>
      <c r="AB637" s="176" t="n"/>
    </row>
    <row r="638">
      <c r="A638" s="176" t="n"/>
      <c r="B638" s="176" t="n"/>
      <c r="C638" s="176" t="n"/>
      <c r="D638" s="176" t="n"/>
      <c r="E638" s="186" t="n"/>
      <c r="F638" s="956" t="n"/>
      <c r="G638" s="956" t="n"/>
      <c r="H638" s="956" t="n"/>
      <c r="I638" s="956" t="n"/>
      <c r="J638" s="956" t="n"/>
      <c r="K638" s="946" t="n"/>
      <c r="L638" s="176" t="n"/>
      <c r="M638" s="176" t="n"/>
      <c r="N638" s="176" t="n"/>
      <c r="O638" s="176" t="n"/>
      <c r="P638" s="176" t="n"/>
      <c r="Q638" s="176" t="n"/>
      <c r="R638" s="176" t="n"/>
      <c r="S638" s="176" t="n"/>
      <c r="T638" s="176" t="n"/>
      <c r="U638" s="176" t="n"/>
      <c r="V638" s="176" t="n"/>
      <c r="W638" s="176" t="n"/>
      <c r="X638" s="176" t="n"/>
      <c r="Y638" s="176" t="n"/>
      <c r="Z638" s="176" t="n"/>
      <c r="AA638" s="176" t="n"/>
      <c r="AB638" s="176" t="n"/>
    </row>
    <row r="639">
      <c r="A639" s="176" t="n"/>
      <c r="B639" s="176" t="n"/>
      <c r="C639" s="176" t="n"/>
      <c r="D639" s="176" t="n"/>
      <c r="E639" s="186" t="n"/>
      <c r="F639" s="956" t="n"/>
      <c r="G639" s="956" t="n"/>
      <c r="H639" s="956" t="n"/>
      <c r="I639" s="956" t="n"/>
      <c r="J639" s="956" t="n"/>
      <c r="K639" s="946" t="n"/>
      <c r="L639" s="176" t="n"/>
      <c r="M639" s="176" t="n"/>
      <c r="N639" s="176" t="n"/>
      <c r="O639" s="176" t="n"/>
      <c r="P639" s="176" t="n"/>
      <c r="Q639" s="176" t="n"/>
      <c r="R639" s="176" t="n"/>
      <c r="S639" s="176" t="n"/>
      <c r="T639" s="176" t="n"/>
      <c r="U639" s="176" t="n"/>
      <c r="V639" s="176" t="n"/>
      <c r="W639" s="176" t="n"/>
      <c r="X639" s="176" t="n"/>
      <c r="Y639" s="176" t="n"/>
      <c r="Z639" s="176" t="n"/>
      <c r="AA639" s="176" t="n"/>
      <c r="AB639" s="176" t="n"/>
    </row>
    <row r="640">
      <c r="A640" s="176" t="n"/>
      <c r="B640" s="176" t="n"/>
      <c r="C640" s="176" t="n"/>
      <c r="D640" s="176" t="n"/>
      <c r="E640" s="186" t="n"/>
      <c r="F640" s="956" t="n"/>
      <c r="G640" s="956" t="n"/>
      <c r="H640" s="956" t="n"/>
      <c r="I640" s="956" t="n"/>
      <c r="J640" s="956" t="n"/>
      <c r="K640" s="946" t="n"/>
      <c r="L640" s="176" t="n"/>
      <c r="M640" s="176" t="n"/>
      <c r="N640" s="176" t="n"/>
      <c r="O640" s="176" t="n"/>
      <c r="P640" s="176" t="n"/>
      <c r="Q640" s="176" t="n"/>
      <c r="R640" s="176" t="n"/>
      <c r="S640" s="176" t="n"/>
      <c r="T640" s="176" t="n"/>
      <c r="U640" s="176" t="n"/>
      <c r="V640" s="176" t="n"/>
      <c r="W640" s="176" t="n"/>
      <c r="X640" s="176" t="n"/>
      <c r="Y640" s="176" t="n"/>
      <c r="Z640" s="176" t="n"/>
      <c r="AA640" s="176" t="n"/>
      <c r="AB640" s="176" t="n"/>
    </row>
    <row r="641">
      <c r="A641" s="176" t="n"/>
      <c r="B641" s="176" t="n"/>
      <c r="C641" s="176" t="n"/>
      <c r="D641" s="176" t="n"/>
      <c r="E641" s="186" t="n"/>
      <c r="F641" s="956" t="n"/>
      <c r="G641" s="956" t="n"/>
      <c r="H641" s="956" t="n"/>
      <c r="I641" s="956" t="n"/>
      <c r="J641" s="956" t="n"/>
      <c r="K641" s="946" t="n"/>
      <c r="L641" s="176" t="n"/>
      <c r="M641" s="176" t="n"/>
      <c r="N641" s="176" t="n"/>
      <c r="O641" s="176" t="n"/>
      <c r="P641" s="176" t="n"/>
      <c r="Q641" s="176" t="n"/>
      <c r="R641" s="176" t="n"/>
      <c r="S641" s="176" t="n"/>
      <c r="T641" s="176" t="n"/>
      <c r="U641" s="176" t="n"/>
      <c r="V641" s="176" t="n"/>
      <c r="W641" s="176" t="n"/>
      <c r="X641" s="176" t="n"/>
      <c r="Y641" s="176" t="n"/>
      <c r="Z641" s="176" t="n"/>
      <c r="AA641" s="176" t="n"/>
      <c r="AB641" s="176" t="n"/>
    </row>
    <row r="642">
      <c r="A642" s="176" t="n"/>
      <c r="B642" s="176" t="n"/>
      <c r="C642" s="176" t="n"/>
      <c r="D642" s="176" t="n"/>
      <c r="E642" s="186" t="n"/>
      <c r="F642" s="956" t="n"/>
      <c r="G642" s="956" t="n"/>
      <c r="H642" s="956" t="n"/>
      <c r="I642" s="956" t="n"/>
      <c r="J642" s="956" t="n"/>
      <c r="K642" s="946" t="n"/>
      <c r="L642" s="176" t="n"/>
      <c r="M642" s="176" t="n"/>
      <c r="N642" s="176" t="n"/>
      <c r="O642" s="176" t="n"/>
      <c r="P642" s="176" t="n"/>
      <c r="Q642" s="176" t="n"/>
      <c r="R642" s="176" t="n"/>
      <c r="S642" s="176" t="n"/>
      <c r="T642" s="176" t="n"/>
      <c r="U642" s="176" t="n"/>
      <c r="V642" s="176" t="n"/>
      <c r="W642" s="176" t="n"/>
      <c r="X642" s="176" t="n"/>
      <c r="Y642" s="176" t="n"/>
      <c r="Z642" s="176" t="n"/>
      <c r="AA642" s="176" t="n"/>
      <c r="AB642" s="176" t="n"/>
    </row>
    <row r="643">
      <c r="A643" s="176" t="n"/>
      <c r="B643" s="176" t="n"/>
      <c r="C643" s="176" t="n"/>
      <c r="D643" s="176" t="n"/>
      <c r="E643" s="186" t="n"/>
      <c r="F643" s="956" t="n"/>
      <c r="G643" s="956" t="n"/>
      <c r="H643" s="956" t="n"/>
      <c r="I643" s="956" t="n"/>
      <c r="J643" s="956" t="n"/>
      <c r="K643" s="946" t="n"/>
      <c r="L643" s="176" t="n"/>
      <c r="M643" s="176" t="n"/>
      <c r="N643" s="176" t="n"/>
      <c r="O643" s="176" t="n"/>
      <c r="P643" s="176" t="n"/>
      <c r="Q643" s="176" t="n"/>
      <c r="R643" s="176" t="n"/>
      <c r="S643" s="176" t="n"/>
      <c r="T643" s="176" t="n"/>
      <c r="U643" s="176" t="n"/>
      <c r="V643" s="176" t="n"/>
      <c r="W643" s="176" t="n"/>
      <c r="X643" s="176" t="n"/>
      <c r="Y643" s="176" t="n"/>
      <c r="Z643" s="176" t="n"/>
      <c r="AA643" s="176" t="n"/>
      <c r="AB643" s="176" t="n"/>
    </row>
    <row r="644">
      <c r="A644" s="176" t="n"/>
      <c r="B644" s="176" t="n"/>
      <c r="C644" s="176" t="n"/>
      <c r="D644" s="176" t="n"/>
      <c r="E644" s="186" t="n"/>
      <c r="F644" s="956" t="n"/>
      <c r="G644" s="956" t="n"/>
      <c r="H644" s="956" t="n"/>
      <c r="I644" s="956" t="n"/>
      <c r="J644" s="956" t="n"/>
      <c r="K644" s="946" t="n"/>
      <c r="L644" s="176" t="n"/>
      <c r="M644" s="176" t="n"/>
      <c r="N644" s="176" t="n"/>
      <c r="O644" s="176" t="n"/>
      <c r="P644" s="176" t="n"/>
      <c r="Q644" s="176" t="n"/>
      <c r="R644" s="176" t="n"/>
      <c r="S644" s="176" t="n"/>
      <c r="T644" s="176" t="n"/>
      <c r="U644" s="176" t="n"/>
      <c r="V644" s="176" t="n"/>
      <c r="W644" s="176" t="n"/>
      <c r="X644" s="176" t="n"/>
      <c r="Y644" s="176" t="n"/>
      <c r="Z644" s="176" t="n"/>
      <c r="AA644" s="176" t="n"/>
      <c r="AB644" s="176" t="n"/>
    </row>
    <row r="645">
      <c r="A645" s="176" t="n"/>
      <c r="B645" s="176" t="n"/>
      <c r="C645" s="176" t="n"/>
      <c r="D645" s="176" t="n"/>
      <c r="E645" s="186" t="n"/>
      <c r="F645" s="956" t="n"/>
      <c r="G645" s="956" t="n"/>
      <c r="H645" s="956" t="n"/>
      <c r="I645" s="956" t="n"/>
      <c r="J645" s="956" t="n"/>
      <c r="K645" s="946" t="n"/>
      <c r="L645" s="176" t="n"/>
      <c r="M645" s="176" t="n"/>
      <c r="N645" s="176" t="n"/>
      <c r="O645" s="176" t="n"/>
      <c r="P645" s="176" t="n"/>
      <c r="Q645" s="176" t="n"/>
      <c r="R645" s="176" t="n"/>
      <c r="S645" s="176" t="n"/>
      <c r="T645" s="176" t="n"/>
      <c r="U645" s="176" t="n"/>
      <c r="V645" s="176" t="n"/>
      <c r="W645" s="176" t="n"/>
      <c r="X645" s="176" t="n"/>
      <c r="Y645" s="176" t="n"/>
      <c r="Z645" s="176" t="n"/>
      <c r="AA645" s="176" t="n"/>
      <c r="AB645" s="176" t="n"/>
    </row>
    <row r="646">
      <c r="A646" s="176" t="n"/>
      <c r="B646" s="176" t="n"/>
      <c r="C646" s="176" t="n"/>
      <c r="D646" s="176" t="n"/>
      <c r="E646" s="186" t="n"/>
      <c r="F646" s="956" t="n"/>
      <c r="G646" s="956" t="n"/>
      <c r="H646" s="956" t="n"/>
      <c r="I646" s="956" t="n"/>
      <c r="J646" s="956" t="n"/>
      <c r="K646" s="946" t="n"/>
      <c r="L646" s="176" t="n"/>
      <c r="M646" s="176" t="n"/>
      <c r="N646" s="176" t="n"/>
      <c r="O646" s="176" t="n"/>
      <c r="P646" s="176" t="n"/>
      <c r="Q646" s="176" t="n"/>
      <c r="R646" s="176" t="n"/>
      <c r="S646" s="176" t="n"/>
      <c r="T646" s="176" t="n"/>
      <c r="U646" s="176" t="n"/>
      <c r="V646" s="176" t="n"/>
      <c r="W646" s="176" t="n"/>
      <c r="X646" s="176" t="n"/>
      <c r="Y646" s="176" t="n"/>
      <c r="Z646" s="176" t="n"/>
      <c r="AA646" s="176" t="n"/>
      <c r="AB646" s="176" t="n"/>
    </row>
    <row r="647">
      <c r="A647" s="176" t="n"/>
      <c r="B647" s="176" t="n"/>
      <c r="C647" s="176" t="n"/>
      <c r="D647" s="176" t="n"/>
      <c r="E647" s="186" t="n"/>
      <c r="F647" s="956" t="n"/>
      <c r="G647" s="956" t="n"/>
      <c r="H647" s="956" t="n"/>
      <c r="I647" s="956" t="n"/>
      <c r="J647" s="956" t="n"/>
      <c r="K647" s="946" t="n"/>
      <c r="L647" s="176" t="n"/>
      <c r="M647" s="176" t="n"/>
      <c r="N647" s="176" t="n"/>
      <c r="O647" s="176" t="n"/>
      <c r="P647" s="176" t="n"/>
      <c r="Q647" s="176" t="n"/>
      <c r="R647" s="176" t="n"/>
      <c r="S647" s="176" t="n"/>
      <c r="T647" s="176" t="n"/>
      <c r="U647" s="176" t="n"/>
      <c r="V647" s="176" t="n"/>
      <c r="W647" s="176" t="n"/>
      <c r="X647" s="176" t="n"/>
      <c r="Y647" s="176" t="n"/>
      <c r="Z647" s="176" t="n"/>
      <c r="AA647" s="176" t="n"/>
      <c r="AB647" s="176" t="n"/>
    </row>
    <row r="648">
      <c r="A648" s="176" t="n"/>
      <c r="B648" s="176" t="n"/>
      <c r="C648" s="176" t="n"/>
      <c r="D648" s="176" t="n"/>
      <c r="E648" s="186" t="n"/>
      <c r="F648" s="956" t="n"/>
      <c r="G648" s="956" t="n"/>
      <c r="H648" s="956" t="n"/>
      <c r="I648" s="956" t="n"/>
      <c r="J648" s="956" t="n"/>
      <c r="K648" s="946" t="n"/>
      <c r="L648" s="176" t="n"/>
      <c r="M648" s="176" t="n"/>
      <c r="N648" s="176" t="n"/>
      <c r="O648" s="176" t="n"/>
      <c r="P648" s="176" t="n"/>
      <c r="Q648" s="176" t="n"/>
      <c r="R648" s="176" t="n"/>
      <c r="S648" s="176" t="n"/>
      <c r="T648" s="176" t="n"/>
      <c r="U648" s="176" t="n"/>
      <c r="V648" s="176" t="n"/>
      <c r="W648" s="176" t="n"/>
      <c r="X648" s="176" t="n"/>
      <c r="Y648" s="176" t="n"/>
      <c r="Z648" s="176" t="n"/>
      <c r="AA648" s="176" t="n"/>
      <c r="AB648" s="176" t="n"/>
    </row>
    <row r="649">
      <c r="A649" s="176" t="n"/>
      <c r="B649" s="176" t="n"/>
      <c r="C649" s="176" t="n"/>
      <c r="D649" s="176" t="n"/>
      <c r="E649" s="186" t="n"/>
      <c r="F649" s="956" t="n"/>
      <c r="G649" s="956" t="n"/>
      <c r="H649" s="956" t="n"/>
      <c r="I649" s="956" t="n"/>
      <c r="J649" s="956" t="n"/>
      <c r="K649" s="946" t="n"/>
      <c r="L649" s="176" t="n"/>
      <c r="M649" s="176" t="n"/>
      <c r="N649" s="176" t="n"/>
      <c r="O649" s="176" t="n"/>
      <c r="P649" s="176" t="n"/>
      <c r="Q649" s="176" t="n"/>
      <c r="R649" s="176" t="n"/>
      <c r="S649" s="176" t="n"/>
      <c r="T649" s="176" t="n"/>
      <c r="U649" s="176" t="n"/>
      <c r="V649" s="176" t="n"/>
      <c r="W649" s="176" t="n"/>
      <c r="X649" s="176" t="n"/>
      <c r="Y649" s="176" t="n"/>
      <c r="Z649" s="176" t="n"/>
      <c r="AA649" s="176" t="n"/>
      <c r="AB649" s="176" t="n"/>
    </row>
    <row r="650">
      <c r="A650" s="176" t="n"/>
      <c r="B650" s="176" t="n"/>
      <c r="C650" s="176" t="n"/>
      <c r="D650" s="176" t="n"/>
      <c r="E650" s="186" t="n"/>
      <c r="F650" s="956" t="n"/>
      <c r="G650" s="956" t="n"/>
      <c r="H650" s="956" t="n"/>
      <c r="I650" s="956" t="n"/>
      <c r="J650" s="956" t="n"/>
      <c r="K650" s="946" t="n"/>
      <c r="L650" s="176" t="n"/>
      <c r="M650" s="176" t="n"/>
      <c r="N650" s="176" t="n"/>
      <c r="O650" s="176" t="n"/>
      <c r="P650" s="176" t="n"/>
      <c r="Q650" s="176" t="n"/>
      <c r="R650" s="176" t="n"/>
      <c r="S650" s="176" t="n"/>
      <c r="T650" s="176" t="n"/>
      <c r="U650" s="176" t="n"/>
      <c r="V650" s="176" t="n"/>
      <c r="W650" s="176" t="n"/>
      <c r="X650" s="176" t="n"/>
      <c r="Y650" s="176" t="n"/>
      <c r="Z650" s="176" t="n"/>
      <c r="AA650" s="176" t="n"/>
      <c r="AB650" s="176" t="n"/>
    </row>
    <row r="651">
      <c r="A651" s="176" t="n"/>
      <c r="B651" s="176" t="n"/>
      <c r="C651" s="176" t="n"/>
      <c r="D651" s="176" t="n"/>
      <c r="E651" s="186" t="n"/>
      <c r="F651" s="956" t="n"/>
      <c r="G651" s="956" t="n"/>
      <c r="H651" s="956" t="n"/>
      <c r="I651" s="956" t="n"/>
      <c r="J651" s="956" t="n"/>
      <c r="K651" s="946" t="n"/>
      <c r="L651" s="176" t="n"/>
      <c r="M651" s="176" t="n"/>
      <c r="N651" s="176" t="n"/>
      <c r="O651" s="176" t="n"/>
      <c r="P651" s="176" t="n"/>
      <c r="Q651" s="176" t="n"/>
      <c r="R651" s="176" t="n"/>
      <c r="S651" s="176" t="n"/>
      <c r="T651" s="176" t="n"/>
      <c r="U651" s="176" t="n"/>
      <c r="V651" s="176" t="n"/>
      <c r="W651" s="176" t="n"/>
      <c r="X651" s="176" t="n"/>
      <c r="Y651" s="176" t="n"/>
      <c r="Z651" s="176" t="n"/>
      <c r="AA651" s="176" t="n"/>
      <c r="AB651" s="176" t="n"/>
    </row>
    <row r="652">
      <c r="A652" s="176" t="n"/>
      <c r="B652" s="176" t="n"/>
      <c r="C652" s="176" t="n"/>
      <c r="D652" s="176" t="n"/>
      <c r="E652" s="186" t="n"/>
      <c r="F652" s="956" t="n"/>
      <c r="G652" s="956" t="n"/>
      <c r="H652" s="956" t="n"/>
      <c r="I652" s="956" t="n"/>
      <c r="J652" s="956" t="n"/>
      <c r="K652" s="946" t="n"/>
      <c r="L652" s="176" t="n"/>
      <c r="M652" s="176" t="n"/>
      <c r="N652" s="176" t="n"/>
      <c r="O652" s="176" t="n"/>
      <c r="P652" s="176" t="n"/>
      <c r="Q652" s="176" t="n"/>
      <c r="R652" s="176" t="n"/>
      <c r="S652" s="176" t="n"/>
      <c r="T652" s="176" t="n"/>
      <c r="U652" s="176" t="n"/>
      <c r="V652" s="176" t="n"/>
      <c r="W652" s="176" t="n"/>
      <c r="X652" s="176" t="n"/>
      <c r="Y652" s="176" t="n"/>
      <c r="Z652" s="176" t="n"/>
      <c r="AA652" s="176" t="n"/>
      <c r="AB652" s="176" t="n"/>
    </row>
    <row r="653">
      <c r="A653" s="176" t="n"/>
      <c r="B653" s="176" t="n"/>
      <c r="C653" s="176" t="n"/>
      <c r="D653" s="176" t="n"/>
      <c r="E653" s="186" t="n"/>
      <c r="F653" s="956" t="n"/>
      <c r="G653" s="956" t="n"/>
      <c r="H653" s="956" t="n"/>
      <c r="I653" s="956" t="n"/>
      <c r="J653" s="956" t="n"/>
      <c r="K653" s="946" t="n"/>
      <c r="L653" s="176" t="n"/>
      <c r="M653" s="176" t="n"/>
      <c r="N653" s="176" t="n"/>
      <c r="O653" s="176" t="n"/>
      <c r="P653" s="176" t="n"/>
      <c r="Q653" s="176" t="n"/>
      <c r="R653" s="176" t="n"/>
      <c r="S653" s="176" t="n"/>
      <c r="T653" s="176" t="n"/>
      <c r="U653" s="176" t="n"/>
      <c r="V653" s="176" t="n"/>
      <c r="W653" s="176" t="n"/>
      <c r="X653" s="176" t="n"/>
      <c r="Y653" s="176" t="n"/>
      <c r="Z653" s="176" t="n"/>
      <c r="AA653" s="176" t="n"/>
      <c r="AB653" s="176" t="n"/>
    </row>
    <row r="654">
      <c r="A654" s="176" t="n"/>
      <c r="B654" s="176" t="n"/>
      <c r="C654" s="176" t="n"/>
      <c r="D654" s="176" t="n"/>
      <c r="E654" s="186" t="n"/>
      <c r="F654" s="956" t="n"/>
      <c r="G654" s="956" t="n"/>
      <c r="H654" s="956" t="n"/>
      <c r="I654" s="956" t="n"/>
      <c r="J654" s="956" t="n"/>
      <c r="K654" s="946" t="n"/>
      <c r="L654" s="176" t="n"/>
      <c r="M654" s="176" t="n"/>
      <c r="N654" s="176" t="n"/>
      <c r="O654" s="176" t="n"/>
      <c r="P654" s="176" t="n"/>
      <c r="Q654" s="176" t="n"/>
      <c r="R654" s="176" t="n"/>
      <c r="S654" s="176" t="n"/>
      <c r="T654" s="176" t="n"/>
      <c r="U654" s="176" t="n"/>
      <c r="V654" s="176" t="n"/>
      <c r="W654" s="176" t="n"/>
      <c r="X654" s="176" t="n"/>
      <c r="Y654" s="176" t="n"/>
      <c r="Z654" s="176" t="n"/>
      <c r="AA654" s="176" t="n"/>
      <c r="AB654" s="176" t="n"/>
    </row>
    <row r="655">
      <c r="A655" s="176" t="n"/>
      <c r="B655" s="176" t="n"/>
      <c r="C655" s="176" t="n"/>
      <c r="D655" s="176" t="n"/>
      <c r="E655" s="186" t="n"/>
      <c r="F655" s="956" t="n"/>
      <c r="G655" s="956" t="n"/>
      <c r="H655" s="956" t="n"/>
      <c r="I655" s="956" t="n"/>
      <c r="J655" s="956" t="n"/>
      <c r="K655" s="946" t="n"/>
      <c r="L655" s="176" t="n"/>
      <c r="M655" s="176" t="n"/>
      <c r="N655" s="176" t="n"/>
      <c r="O655" s="176" t="n"/>
      <c r="P655" s="176" t="n"/>
      <c r="Q655" s="176" t="n"/>
      <c r="R655" s="176" t="n"/>
      <c r="S655" s="176" t="n"/>
      <c r="T655" s="176" t="n"/>
      <c r="U655" s="176" t="n"/>
      <c r="V655" s="176" t="n"/>
      <c r="W655" s="176" t="n"/>
      <c r="X655" s="176" t="n"/>
      <c r="Y655" s="176" t="n"/>
      <c r="Z655" s="176" t="n"/>
      <c r="AA655" s="176" t="n"/>
      <c r="AB655" s="176" t="n"/>
    </row>
    <row r="656">
      <c r="A656" s="176" t="n"/>
      <c r="B656" s="176" t="n"/>
      <c r="C656" s="176" t="n"/>
      <c r="D656" s="176" t="n"/>
      <c r="E656" s="186" t="n"/>
      <c r="F656" s="956" t="n"/>
      <c r="G656" s="956" t="n"/>
      <c r="H656" s="956" t="n"/>
      <c r="I656" s="956" t="n"/>
      <c r="J656" s="956" t="n"/>
      <c r="K656" s="946" t="n"/>
      <c r="L656" s="176" t="n"/>
      <c r="M656" s="176" t="n"/>
      <c r="N656" s="176" t="n"/>
      <c r="O656" s="176" t="n"/>
      <c r="P656" s="176" t="n"/>
      <c r="Q656" s="176" t="n"/>
      <c r="R656" s="176" t="n"/>
      <c r="S656" s="176" t="n"/>
      <c r="T656" s="176" t="n"/>
      <c r="U656" s="176" t="n"/>
      <c r="V656" s="176" t="n"/>
      <c r="W656" s="176" t="n"/>
      <c r="X656" s="176" t="n"/>
      <c r="Y656" s="176" t="n"/>
      <c r="Z656" s="176" t="n"/>
      <c r="AA656" s="176" t="n"/>
      <c r="AB656" s="176" t="n"/>
    </row>
    <row r="657">
      <c r="A657" s="176" t="n"/>
      <c r="B657" s="176" t="n"/>
      <c r="C657" s="176" t="n"/>
      <c r="D657" s="176" t="n"/>
      <c r="E657" s="186" t="n"/>
      <c r="F657" s="956" t="n"/>
      <c r="G657" s="956" t="n"/>
      <c r="H657" s="956" t="n"/>
      <c r="I657" s="956" t="n"/>
      <c r="J657" s="956" t="n"/>
      <c r="K657" s="946" t="n"/>
      <c r="L657" s="176" t="n"/>
      <c r="M657" s="176" t="n"/>
      <c r="N657" s="176" t="n"/>
      <c r="O657" s="176" t="n"/>
      <c r="P657" s="176" t="n"/>
      <c r="Q657" s="176" t="n"/>
      <c r="R657" s="176" t="n"/>
      <c r="S657" s="176" t="n"/>
      <c r="T657" s="176" t="n"/>
      <c r="U657" s="176" t="n"/>
      <c r="V657" s="176" t="n"/>
      <c r="W657" s="176" t="n"/>
      <c r="X657" s="176" t="n"/>
      <c r="Y657" s="176" t="n"/>
      <c r="Z657" s="176" t="n"/>
      <c r="AA657" s="176" t="n"/>
      <c r="AB657" s="176" t="n"/>
    </row>
    <row r="658">
      <c r="A658" s="176" t="n"/>
      <c r="B658" s="176" t="n"/>
      <c r="C658" s="176" t="n"/>
      <c r="D658" s="176" t="n"/>
      <c r="E658" s="186" t="n"/>
      <c r="F658" s="956" t="n"/>
      <c r="G658" s="956" t="n"/>
      <c r="H658" s="956" t="n"/>
      <c r="I658" s="956" t="n"/>
      <c r="J658" s="956" t="n"/>
      <c r="K658" s="946" t="n"/>
      <c r="L658" s="176" t="n"/>
      <c r="M658" s="176" t="n"/>
      <c r="N658" s="176" t="n"/>
      <c r="O658" s="176" t="n"/>
      <c r="P658" s="176" t="n"/>
      <c r="Q658" s="176" t="n"/>
      <c r="R658" s="176" t="n"/>
      <c r="S658" s="176" t="n"/>
      <c r="T658" s="176" t="n"/>
      <c r="U658" s="176" t="n"/>
      <c r="V658" s="176" t="n"/>
      <c r="W658" s="176" t="n"/>
      <c r="X658" s="176" t="n"/>
      <c r="Y658" s="176" t="n"/>
      <c r="Z658" s="176" t="n"/>
      <c r="AA658" s="176" t="n"/>
      <c r="AB658" s="176" t="n"/>
    </row>
    <row r="659">
      <c r="A659" s="176" t="n"/>
      <c r="B659" s="176" t="n"/>
      <c r="C659" s="176" t="n"/>
      <c r="D659" s="176" t="n"/>
      <c r="E659" s="186" t="n"/>
      <c r="F659" s="956" t="n"/>
      <c r="G659" s="956" t="n"/>
      <c r="H659" s="956" t="n"/>
      <c r="I659" s="956" t="n"/>
      <c r="J659" s="956" t="n"/>
      <c r="K659" s="946" t="n"/>
      <c r="L659" s="176" t="n"/>
      <c r="M659" s="176" t="n"/>
      <c r="N659" s="176" t="n"/>
      <c r="O659" s="176" t="n"/>
      <c r="P659" s="176" t="n"/>
      <c r="Q659" s="176" t="n"/>
      <c r="R659" s="176" t="n"/>
      <c r="S659" s="176" t="n"/>
      <c r="T659" s="176" t="n"/>
      <c r="U659" s="176" t="n"/>
      <c r="V659" s="176" t="n"/>
      <c r="W659" s="176" t="n"/>
      <c r="X659" s="176" t="n"/>
      <c r="Y659" s="176" t="n"/>
      <c r="Z659" s="176" t="n"/>
      <c r="AA659" s="176" t="n"/>
      <c r="AB659" s="176" t="n"/>
    </row>
    <row r="660">
      <c r="A660" s="176" t="n"/>
      <c r="B660" s="176" t="n"/>
      <c r="C660" s="176" t="n"/>
      <c r="D660" s="176" t="n"/>
      <c r="E660" s="186" t="n"/>
      <c r="F660" s="956" t="n"/>
      <c r="G660" s="956" t="n"/>
      <c r="H660" s="956" t="n"/>
      <c r="I660" s="956" t="n"/>
      <c r="J660" s="956" t="n"/>
      <c r="K660" s="946" t="n"/>
      <c r="L660" s="176" t="n"/>
      <c r="M660" s="176" t="n"/>
      <c r="N660" s="176" t="n"/>
      <c r="O660" s="176" t="n"/>
      <c r="P660" s="176" t="n"/>
      <c r="Q660" s="176" t="n"/>
      <c r="R660" s="176" t="n"/>
      <c r="S660" s="176" t="n"/>
      <c r="T660" s="176" t="n"/>
      <c r="U660" s="176" t="n"/>
      <c r="V660" s="176" t="n"/>
      <c r="W660" s="176" t="n"/>
      <c r="X660" s="176" t="n"/>
      <c r="Y660" s="176" t="n"/>
      <c r="Z660" s="176" t="n"/>
      <c r="AA660" s="176" t="n"/>
      <c r="AB660" s="176" t="n"/>
    </row>
    <row r="661">
      <c r="A661" s="176" t="n"/>
      <c r="B661" s="176" t="n"/>
      <c r="C661" s="176" t="n"/>
      <c r="D661" s="176" t="n"/>
      <c r="E661" s="186" t="n"/>
      <c r="F661" s="956" t="n"/>
      <c r="G661" s="956" t="n"/>
      <c r="H661" s="956" t="n"/>
      <c r="I661" s="956" t="n"/>
      <c r="J661" s="956" t="n"/>
      <c r="K661" s="946" t="n"/>
      <c r="L661" s="176" t="n"/>
      <c r="M661" s="176" t="n"/>
      <c r="N661" s="176" t="n"/>
      <c r="O661" s="176" t="n"/>
      <c r="P661" s="176" t="n"/>
      <c r="Q661" s="176" t="n"/>
      <c r="R661" s="176" t="n"/>
      <c r="S661" s="176" t="n"/>
      <c r="T661" s="176" t="n"/>
      <c r="U661" s="176" t="n"/>
      <c r="V661" s="176" t="n"/>
      <c r="W661" s="176" t="n"/>
      <c r="X661" s="176" t="n"/>
      <c r="Y661" s="176" t="n"/>
      <c r="Z661" s="176" t="n"/>
      <c r="AA661" s="176" t="n"/>
      <c r="AB661" s="176" t="n"/>
    </row>
    <row r="662">
      <c r="A662" s="176" t="n"/>
      <c r="B662" s="176" t="n"/>
      <c r="C662" s="176" t="n"/>
      <c r="D662" s="176" t="n"/>
      <c r="E662" s="186" t="n"/>
      <c r="F662" s="956" t="n"/>
      <c r="G662" s="956" t="n"/>
      <c r="H662" s="956" t="n"/>
      <c r="I662" s="956" t="n"/>
      <c r="J662" s="956" t="n"/>
      <c r="K662" s="946" t="n"/>
      <c r="L662" s="176" t="n"/>
      <c r="M662" s="176" t="n"/>
      <c r="N662" s="176" t="n"/>
      <c r="O662" s="176" t="n"/>
      <c r="P662" s="176" t="n"/>
      <c r="Q662" s="176" t="n"/>
      <c r="R662" s="176" t="n"/>
      <c r="S662" s="176" t="n"/>
      <c r="T662" s="176" t="n"/>
      <c r="U662" s="176" t="n"/>
      <c r="V662" s="176" t="n"/>
      <c r="W662" s="176" t="n"/>
      <c r="X662" s="176" t="n"/>
      <c r="Y662" s="176" t="n"/>
      <c r="Z662" s="176" t="n"/>
      <c r="AA662" s="176" t="n"/>
      <c r="AB662" s="176" t="n"/>
    </row>
    <row r="663">
      <c r="A663" s="176" t="n"/>
      <c r="B663" s="176" t="n"/>
      <c r="C663" s="176" t="n"/>
      <c r="D663" s="176" t="n"/>
      <c r="E663" s="186" t="n"/>
      <c r="F663" s="956" t="n"/>
      <c r="G663" s="956" t="n"/>
      <c r="H663" s="956" t="n"/>
      <c r="I663" s="956" t="n"/>
      <c r="J663" s="956" t="n"/>
      <c r="K663" s="946" t="n"/>
      <c r="L663" s="176" t="n"/>
      <c r="M663" s="176" t="n"/>
      <c r="N663" s="176" t="n"/>
      <c r="O663" s="176" t="n"/>
      <c r="P663" s="176" t="n"/>
      <c r="Q663" s="176" t="n"/>
      <c r="R663" s="176" t="n"/>
      <c r="S663" s="176" t="n"/>
      <c r="T663" s="176" t="n"/>
      <c r="U663" s="176" t="n"/>
      <c r="V663" s="176" t="n"/>
      <c r="W663" s="176" t="n"/>
      <c r="X663" s="176" t="n"/>
      <c r="Y663" s="176" t="n"/>
      <c r="Z663" s="176" t="n"/>
      <c r="AA663" s="176" t="n"/>
      <c r="AB663" s="176" t="n"/>
    </row>
    <row r="664">
      <c r="A664" s="176" t="n"/>
      <c r="B664" s="176" t="n"/>
      <c r="C664" s="176" t="n"/>
      <c r="D664" s="176" t="n"/>
      <c r="E664" s="186" t="n"/>
      <c r="F664" s="956" t="n"/>
      <c r="G664" s="956" t="n"/>
      <c r="H664" s="956" t="n"/>
      <c r="I664" s="956" t="n"/>
      <c r="J664" s="956" t="n"/>
      <c r="K664" s="946" t="n"/>
      <c r="L664" s="176" t="n"/>
      <c r="M664" s="176" t="n"/>
      <c r="N664" s="176" t="n"/>
      <c r="O664" s="176" t="n"/>
      <c r="P664" s="176" t="n"/>
      <c r="Q664" s="176" t="n"/>
      <c r="R664" s="176" t="n"/>
      <c r="S664" s="176" t="n"/>
      <c r="T664" s="176" t="n"/>
      <c r="U664" s="176" t="n"/>
      <c r="V664" s="176" t="n"/>
      <c r="W664" s="176" t="n"/>
      <c r="X664" s="176" t="n"/>
      <c r="Y664" s="176" t="n"/>
      <c r="Z664" s="176" t="n"/>
      <c r="AA664" s="176" t="n"/>
      <c r="AB664" s="176" t="n"/>
    </row>
    <row r="665">
      <c r="A665" s="176" t="n"/>
      <c r="B665" s="176" t="n"/>
      <c r="C665" s="176" t="n"/>
      <c r="D665" s="176" t="n"/>
      <c r="E665" s="186" t="n"/>
      <c r="F665" s="956" t="n"/>
      <c r="G665" s="956" t="n"/>
      <c r="H665" s="956" t="n"/>
      <c r="I665" s="956" t="n"/>
      <c r="J665" s="956" t="n"/>
      <c r="K665" s="946" t="n"/>
      <c r="L665" s="176" t="n"/>
      <c r="M665" s="176" t="n"/>
      <c r="N665" s="176" t="n"/>
      <c r="O665" s="176" t="n"/>
      <c r="P665" s="176" t="n"/>
      <c r="Q665" s="176" t="n"/>
      <c r="R665" s="176" t="n"/>
      <c r="S665" s="176" t="n"/>
      <c r="T665" s="176" t="n"/>
      <c r="U665" s="176" t="n"/>
      <c r="V665" s="176" t="n"/>
      <c r="W665" s="176" t="n"/>
      <c r="X665" s="176" t="n"/>
      <c r="Y665" s="176" t="n"/>
      <c r="Z665" s="176" t="n"/>
      <c r="AA665" s="176" t="n"/>
      <c r="AB665" s="176" t="n"/>
    </row>
    <row r="666">
      <c r="A666" s="176" t="n"/>
      <c r="B666" s="176" t="n"/>
      <c r="C666" s="176" t="n"/>
      <c r="D666" s="176" t="n"/>
      <c r="E666" s="186" t="n"/>
      <c r="F666" s="956" t="n"/>
      <c r="G666" s="956" t="n"/>
      <c r="H666" s="956" t="n"/>
      <c r="I666" s="956" t="n"/>
      <c r="J666" s="956" t="n"/>
      <c r="K666" s="946" t="n"/>
      <c r="L666" s="176" t="n"/>
      <c r="M666" s="176" t="n"/>
      <c r="N666" s="176" t="n"/>
      <c r="O666" s="176" t="n"/>
      <c r="P666" s="176" t="n"/>
      <c r="Q666" s="176" t="n"/>
      <c r="R666" s="176" t="n"/>
      <c r="S666" s="176" t="n"/>
      <c r="T666" s="176" t="n"/>
      <c r="U666" s="176" t="n"/>
      <c r="V666" s="176" t="n"/>
      <c r="W666" s="176" t="n"/>
      <c r="X666" s="176" t="n"/>
      <c r="Y666" s="176" t="n"/>
      <c r="Z666" s="176" t="n"/>
      <c r="AA666" s="176" t="n"/>
      <c r="AB666" s="176" t="n"/>
    </row>
    <row r="667">
      <c r="A667" s="176" t="n"/>
      <c r="B667" s="176" t="n"/>
      <c r="C667" s="176" t="n"/>
      <c r="D667" s="176" t="n"/>
      <c r="E667" s="186" t="n"/>
      <c r="F667" s="956" t="n"/>
      <c r="G667" s="956" t="n"/>
      <c r="H667" s="956" t="n"/>
      <c r="I667" s="956" t="n"/>
      <c r="J667" s="956" t="n"/>
      <c r="K667" s="946" t="n"/>
      <c r="L667" s="176" t="n"/>
      <c r="M667" s="176" t="n"/>
      <c r="N667" s="176" t="n"/>
      <c r="O667" s="176" t="n"/>
      <c r="P667" s="176" t="n"/>
      <c r="Q667" s="176" t="n"/>
      <c r="R667" s="176" t="n"/>
      <c r="S667" s="176" t="n"/>
      <c r="T667" s="176" t="n"/>
      <c r="U667" s="176" t="n"/>
      <c r="V667" s="176" t="n"/>
      <c r="W667" s="176" t="n"/>
      <c r="X667" s="176" t="n"/>
      <c r="Y667" s="176" t="n"/>
      <c r="Z667" s="176" t="n"/>
      <c r="AA667" s="176" t="n"/>
      <c r="AB667" s="176" t="n"/>
    </row>
    <row r="668">
      <c r="A668" s="176" t="n"/>
      <c r="B668" s="176" t="n"/>
      <c r="C668" s="176" t="n"/>
      <c r="D668" s="176" t="n"/>
      <c r="E668" s="186" t="n"/>
      <c r="F668" s="956" t="n"/>
      <c r="G668" s="956" t="n"/>
      <c r="H668" s="956" t="n"/>
      <c r="I668" s="956" t="n"/>
      <c r="J668" s="956" t="n"/>
      <c r="K668" s="946" t="n"/>
      <c r="L668" s="176" t="n"/>
      <c r="M668" s="176" t="n"/>
      <c r="N668" s="176" t="n"/>
      <c r="O668" s="176" t="n"/>
      <c r="P668" s="176" t="n"/>
      <c r="Q668" s="176" t="n"/>
      <c r="R668" s="176" t="n"/>
      <c r="S668" s="176" t="n"/>
      <c r="T668" s="176" t="n"/>
      <c r="U668" s="176" t="n"/>
      <c r="V668" s="176" t="n"/>
      <c r="W668" s="176" t="n"/>
      <c r="X668" s="176" t="n"/>
      <c r="Y668" s="176" t="n"/>
      <c r="Z668" s="176" t="n"/>
      <c r="AA668" s="176" t="n"/>
      <c r="AB668" s="176" t="n"/>
    </row>
    <row r="669">
      <c r="A669" s="176" t="n"/>
      <c r="B669" s="176" t="n"/>
      <c r="C669" s="176" t="n"/>
      <c r="D669" s="176" t="n"/>
      <c r="E669" s="186" t="n"/>
      <c r="F669" s="956" t="n"/>
      <c r="G669" s="956" t="n"/>
      <c r="H669" s="956" t="n"/>
      <c r="I669" s="956" t="n"/>
      <c r="J669" s="956" t="n"/>
      <c r="K669" s="946" t="n"/>
      <c r="L669" s="176" t="n"/>
      <c r="M669" s="176" t="n"/>
      <c r="N669" s="176" t="n"/>
      <c r="O669" s="176" t="n"/>
      <c r="P669" s="176" t="n"/>
      <c r="Q669" s="176" t="n"/>
      <c r="R669" s="176" t="n"/>
      <c r="S669" s="176" t="n"/>
      <c r="T669" s="176" t="n"/>
      <c r="U669" s="176" t="n"/>
      <c r="V669" s="176" t="n"/>
      <c r="W669" s="176" t="n"/>
      <c r="X669" s="176" t="n"/>
      <c r="Y669" s="176" t="n"/>
      <c r="Z669" s="176" t="n"/>
      <c r="AA669" s="176" t="n"/>
      <c r="AB669" s="176" t="n"/>
    </row>
    <row r="670">
      <c r="A670" s="176" t="n"/>
      <c r="B670" s="176" t="n"/>
      <c r="C670" s="176" t="n"/>
      <c r="D670" s="176" t="n"/>
      <c r="E670" s="186" t="n"/>
      <c r="F670" s="956" t="n"/>
      <c r="G670" s="956" t="n"/>
      <c r="H670" s="956" t="n"/>
      <c r="I670" s="956" t="n"/>
      <c r="J670" s="956" t="n"/>
      <c r="K670" s="946" t="n"/>
      <c r="L670" s="176" t="n"/>
      <c r="M670" s="176" t="n"/>
      <c r="N670" s="176" t="n"/>
      <c r="O670" s="176" t="n"/>
      <c r="P670" s="176" t="n"/>
      <c r="Q670" s="176" t="n"/>
      <c r="R670" s="176" t="n"/>
      <c r="S670" s="176" t="n"/>
      <c r="T670" s="176" t="n"/>
      <c r="U670" s="176" t="n"/>
      <c r="V670" s="176" t="n"/>
      <c r="W670" s="176" t="n"/>
      <c r="X670" s="176" t="n"/>
      <c r="Y670" s="176" t="n"/>
      <c r="Z670" s="176" t="n"/>
      <c r="AA670" s="176" t="n"/>
      <c r="AB670" s="176" t="n"/>
    </row>
    <row r="671">
      <c r="A671" s="176" t="n"/>
      <c r="B671" s="176" t="n"/>
      <c r="C671" s="176" t="n"/>
      <c r="D671" s="176" t="n"/>
      <c r="E671" s="186" t="n"/>
      <c r="F671" s="956" t="n"/>
      <c r="G671" s="956" t="n"/>
      <c r="H671" s="956" t="n"/>
      <c r="I671" s="956" t="n"/>
      <c r="J671" s="956" t="n"/>
      <c r="K671" s="946" t="n"/>
      <c r="L671" s="176" t="n"/>
      <c r="M671" s="176" t="n"/>
      <c r="N671" s="176" t="n"/>
      <c r="O671" s="176" t="n"/>
      <c r="P671" s="176" t="n"/>
      <c r="Q671" s="176" t="n"/>
      <c r="R671" s="176" t="n"/>
      <c r="S671" s="176" t="n"/>
      <c r="T671" s="176" t="n"/>
      <c r="U671" s="176" t="n"/>
      <c r="V671" s="176" t="n"/>
      <c r="W671" s="176" t="n"/>
      <c r="X671" s="176" t="n"/>
      <c r="Y671" s="176" t="n"/>
      <c r="Z671" s="176" t="n"/>
      <c r="AA671" s="176" t="n"/>
      <c r="AB671" s="176" t="n"/>
    </row>
    <row r="672">
      <c r="A672" s="176" t="n"/>
      <c r="B672" s="176" t="n"/>
      <c r="C672" s="176" t="n"/>
      <c r="D672" s="176" t="n"/>
      <c r="E672" s="186" t="n"/>
      <c r="F672" s="956" t="n"/>
      <c r="G672" s="956" t="n"/>
      <c r="H672" s="956" t="n"/>
      <c r="I672" s="956" t="n"/>
      <c r="J672" s="956" t="n"/>
      <c r="K672" s="946" t="n"/>
      <c r="L672" s="176" t="n"/>
      <c r="M672" s="176" t="n"/>
      <c r="N672" s="176" t="n"/>
      <c r="O672" s="176" t="n"/>
      <c r="P672" s="176" t="n"/>
      <c r="Q672" s="176" t="n"/>
      <c r="R672" s="176" t="n"/>
      <c r="S672" s="176" t="n"/>
      <c r="T672" s="176" t="n"/>
      <c r="U672" s="176" t="n"/>
      <c r="V672" s="176" t="n"/>
      <c r="W672" s="176" t="n"/>
      <c r="X672" s="176" t="n"/>
      <c r="Y672" s="176" t="n"/>
      <c r="Z672" s="176" t="n"/>
      <c r="AA672" s="176" t="n"/>
      <c r="AB672" s="176" t="n"/>
    </row>
    <row r="673">
      <c r="A673" s="176" t="n"/>
      <c r="B673" s="176" t="n"/>
      <c r="C673" s="176" t="n"/>
      <c r="D673" s="176" t="n"/>
      <c r="E673" s="186" t="n"/>
      <c r="F673" s="956" t="n"/>
      <c r="G673" s="956" t="n"/>
      <c r="H673" s="956" t="n"/>
      <c r="I673" s="956" t="n"/>
      <c r="J673" s="956" t="n"/>
      <c r="K673" s="946" t="n"/>
      <c r="L673" s="176" t="n"/>
      <c r="M673" s="176" t="n"/>
      <c r="N673" s="176" t="n"/>
      <c r="O673" s="176" t="n"/>
      <c r="P673" s="176" t="n"/>
      <c r="Q673" s="176" t="n"/>
      <c r="R673" s="176" t="n"/>
      <c r="S673" s="176" t="n"/>
      <c r="T673" s="176" t="n"/>
      <c r="U673" s="176" t="n"/>
      <c r="V673" s="176" t="n"/>
      <c r="W673" s="176" t="n"/>
      <c r="X673" s="176" t="n"/>
      <c r="Y673" s="176" t="n"/>
      <c r="Z673" s="176" t="n"/>
      <c r="AA673" s="176" t="n"/>
      <c r="AB673" s="176" t="n"/>
    </row>
    <row r="674">
      <c r="A674" s="176" t="n"/>
      <c r="B674" s="176" t="n"/>
      <c r="C674" s="176" t="n"/>
      <c r="D674" s="176" t="n"/>
      <c r="E674" s="186" t="n"/>
      <c r="F674" s="956" t="n"/>
      <c r="G674" s="956" t="n"/>
      <c r="H674" s="956" t="n"/>
      <c r="I674" s="956" t="n"/>
      <c r="J674" s="956" t="n"/>
      <c r="K674" s="946" t="n"/>
      <c r="L674" s="176" t="n"/>
      <c r="M674" s="176" t="n"/>
      <c r="N674" s="176" t="n"/>
      <c r="O674" s="176" t="n"/>
      <c r="P674" s="176" t="n"/>
      <c r="Q674" s="176" t="n"/>
      <c r="R674" s="176" t="n"/>
      <c r="S674" s="176" t="n"/>
      <c r="T674" s="176" t="n"/>
      <c r="U674" s="176" t="n"/>
      <c r="V674" s="176" t="n"/>
      <c r="W674" s="176" t="n"/>
      <c r="X674" s="176" t="n"/>
      <c r="Y674" s="176" t="n"/>
      <c r="Z674" s="176" t="n"/>
      <c r="AA674" s="176" t="n"/>
      <c r="AB674" s="176" t="n"/>
    </row>
    <row r="675">
      <c r="A675" s="176" t="n"/>
      <c r="B675" s="176" t="n"/>
      <c r="C675" s="176" t="n"/>
      <c r="D675" s="176" t="n"/>
      <c r="E675" s="186" t="n"/>
      <c r="F675" s="956" t="n"/>
      <c r="G675" s="956" t="n"/>
      <c r="H675" s="956" t="n"/>
      <c r="I675" s="956" t="n"/>
      <c r="J675" s="956" t="n"/>
      <c r="K675" s="946" t="n"/>
      <c r="L675" s="176" t="n"/>
      <c r="M675" s="176" t="n"/>
      <c r="N675" s="176" t="n"/>
      <c r="O675" s="176" t="n"/>
      <c r="P675" s="176" t="n"/>
      <c r="Q675" s="176" t="n"/>
      <c r="R675" s="176" t="n"/>
      <c r="S675" s="176" t="n"/>
      <c r="T675" s="176" t="n"/>
      <c r="U675" s="176" t="n"/>
      <c r="V675" s="176" t="n"/>
      <c r="W675" s="176" t="n"/>
      <c r="X675" s="176" t="n"/>
      <c r="Y675" s="176" t="n"/>
      <c r="Z675" s="176" t="n"/>
      <c r="AA675" s="176" t="n"/>
      <c r="AB675" s="176" t="n"/>
    </row>
    <row r="676">
      <c r="A676" s="176" t="n"/>
      <c r="B676" s="176" t="n"/>
      <c r="C676" s="176" t="n"/>
      <c r="D676" s="176" t="n"/>
      <c r="E676" s="186" t="n"/>
      <c r="F676" s="956" t="n"/>
      <c r="G676" s="956" t="n"/>
      <c r="H676" s="956" t="n"/>
      <c r="I676" s="956" t="n"/>
      <c r="J676" s="956" t="n"/>
      <c r="K676" s="946" t="n"/>
      <c r="L676" s="176" t="n"/>
      <c r="M676" s="176" t="n"/>
      <c r="N676" s="176" t="n"/>
      <c r="O676" s="176" t="n"/>
      <c r="P676" s="176" t="n"/>
      <c r="Q676" s="176" t="n"/>
      <c r="R676" s="176" t="n"/>
      <c r="S676" s="176" t="n"/>
      <c r="T676" s="176" t="n"/>
      <c r="U676" s="176" t="n"/>
      <c r="V676" s="176" t="n"/>
      <c r="W676" s="176" t="n"/>
      <c r="X676" s="176" t="n"/>
      <c r="Y676" s="176" t="n"/>
      <c r="Z676" s="176" t="n"/>
      <c r="AA676" s="176" t="n"/>
      <c r="AB676" s="176" t="n"/>
    </row>
    <row r="677">
      <c r="A677" s="176" t="n"/>
      <c r="B677" s="176" t="n"/>
      <c r="C677" s="176" t="n"/>
      <c r="D677" s="176" t="n"/>
      <c r="E677" s="186" t="n"/>
      <c r="F677" s="956" t="n"/>
      <c r="G677" s="956" t="n"/>
      <c r="H677" s="956" t="n"/>
      <c r="I677" s="956" t="n"/>
      <c r="J677" s="956" t="n"/>
      <c r="K677" s="946" t="n"/>
      <c r="L677" s="176" t="n"/>
      <c r="M677" s="176" t="n"/>
      <c r="N677" s="176" t="n"/>
      <c r="O677" s="176" t="n"/>
      <c r="P677" s="176" t="n"/>
      <c r="Q677" s="176" t="n"/>
      <c r="R677" s="176" t="n"/>
      <c r="S677" s="176" t="n"/>
      <c r="T677" s="176" t="n"/>
      <c r="U677" s="176" t="n"/>
      <c r="V677" s="176" t="n"/>
      <c r="W677" s="176" t="n"/>
      <c r="X677" s="176" t="n"/>
      <c r="Y677" s="176" t="n"/>
      <c r="Z677" s="176" t="n"/>
      <c r="AA677" s="176" t="n"/>
      <c r="AB677" s="176" t="n"/>
    </row>
    <row r="678">
      <c r="A678" s="176" t="n"/>
      <c r="B678" s="176" t="n"/>
      <c r="C678" s="176" t="n"/>
      <c r="D678" s="176" t="n"/>
      <c r="E678" s="186" t="n"/>
      <c r="F678" s="956" t="n"/>
      <c r="G678" s="956" t="n"/>
      <c r="H678" s="956" t="n"/>
      <c r="I678" s="956" t="n"/>
      <c r="J678" s="956" t="n"/>
      <c r="K678" s="946" t="n"/>
      <c r="L678" s="176" t="n"/>
      <c r="M678" s="176" t="n"/>
      <c r="N678" s="176" t="n"/>
      <c r="O678" s="176" t="n"/>
      <c r="P678" s="176" t="n"/>
      <c r="Q678" s="176" t="n"/>
      <c r="R678" s="176" t="n"/>
      <c r="S678" s="176" t="n"/>
      <c r="T678" s="176" t="n"/>
      <c r="U678" s="176" t="n"/>
      <c r="V678" s="176" t="n"/>
      <c r="W678" s="176" t="n"/>
      <c r="X678" s="176" t="n"/>
      <c r="Y678" s="176" t="n"/>
      <c r="Z678" s="176" t="n"/>
      <c r="AA678" s="176" t="n"/>
      <c r="AB678" s="176" t="n"/>
    </row>
    <row r="679">
      <c r="A679" s="176" t="n"/>
      <c r="B679" s="176" t="n"/>
      <c r="C679" s="176" t="n"/>
      <c r="D679" s="176" t="n"/>
      <c r="E679" s="186" t="n"/>
      <c r="F679" s="956" t="n"/>
      <c r="G679" s="956" t="n"/>
      <c r="H679" s="956" t="n"/>
      <c r="I679" s="956" t="n"/>
      <c r="J679" s="956" t="n"/>
      <c r="K679" s="946" t="n"/>
      <c r="L679" s="176" t="n"/>
      <c r="M679" s="176" t="n"/>
      <c r="N679" s="176" t="n"/>
      <c r="O679" s="176" t="n"/>
      <c r="P679" s="176" t="n"/>
      <c r="Q679" s="176" t="n"/>
      <c r="R679" s="176" t="n"/>
      <c r="S679" s="176" t="n"/>
      <c r="T679" s="176" t="n"/>
      <c r="U679" s="176" t="n"/>
      <c r="V679" s="176" t="n"/>
      <c r="W679" s="176" t="n"/>
      <c r="X679" s="176" t="n"/>
      <c r="Y679" s="176" t="n"/>
      <c r="Z679" s="176" t="n"/>
      <c r="AA679" s="176" t="n"/>
      <c r="AB679" s="176" t="n"/>
    </row>
    <row r="680">
      <c r="A680" s="176" t="n"/>
      <c r="B680" s="176" t="n"/>
      <c r="C680" s="176" t="n"/>
      <c r="D680" s="176" t="n"/>
      <c r="E680" s="186" t="n"/>
      <c r="F680" s="956" t="n"/>
      <c r="G680" s="956" t="n"/>
      <c r="H680" s="956" t="n"/>
      <c r="I680" s="956" t="n"/>
      <c r="J680" s="956" t="n"/>
      <c r="K680" s="946" t="n"/>
      <c r="L680" s="176" t="n"/>
      <c r="M680" s="176" t="n"/>
      <c r="N680" s="176" t="n"/>
      <c r="O680" s="176" t="n"/>
      <c r="P680" s="176" t="n"/>
      <c r="Q680" s="176" t="n"/>
      <c r="R680" s="176" t="n"/>
      <c r="S680" s="176" t="n"/>
      <c r="T680" s="176" t="n"/>
      <c r="U680" s="176" t="n"/>
      <c r="V680" s="176" t="n"/>
      <c r="W680" s="176" t="n"/>
      <c r="X680" s="176" t="n"/>
      <c r="Y680" s="176" t="n"/>
      <c r="Z680" s="176" t="n"/>
      <c r="AA680" s="176" t="n"/>
      <c r="AB680" s="176" t="n"/>
    </row>
    <row r="681">
      <c r="A681" s="176" t="n"/>
      <c r="B681" s="176" t="n"/>
      <c r="C681" s="176" t="n"/>
      <c r="D681" s="176" t="n"/>
      <c r="E681" s="186" t="n"/>
      <c r="F681" s="956" t="n"/>
      <c r="G681" s="956" t="n"/>
      <c r="H681" s="956" t="n"/>
      <c r="I681" s="956" t="n"/>
      <c r="J681" s="956" t="n"/>
      <c r="K681" s="946" t="n"/>
      <c r="L681" s="176" t="n"/>
      <c r="M681" s="176" t="n"/>
      <c r="N681" s="176" t="n"/>
      <c r="O681" s="176" t="n"/>
      <c r="P681" s="176" t="n"/>
      <c r="Q681" s="176" t="n"/>
      <c r="R681" s="176" t="n"/>
      <c r="S681" s="176" t="n"/>
      <c r="T681" s="176" t="n"/>
      <c r="U681" s="176" t="n"/>
      <c r="V681" s="176" t="n"/>
      <c r="W681" s="176" t="n"/>
      <c r="X681" s="176" t="n"/>
      <c r="Y681" s="176" t="n"/>
      <c r="Z681" s="176" t="n"/>
      <c r="AA681" s="176" t="n"/>
      <c r="AB681" s="176" t="n"/>
    </row>
    <row r="682">
      <c r="A682" s="176" t="n"/>
      <c r="B682" s="176" t="n"/>
      <c r="C682" s="176" t="n"/>
      <c r="D682" s="176" t="n"/>
      <c r="E682" s="186" t="n"/>
      <c r="F682" s="956" t="n"/>
      <c r="G682" s="956" t="n"/>
      <c r="H682" s="956" t="n"/>
      <c r="I682" s="956" t="n"/>
      <c r="J682" s="956" t="n"/>
      <c r="K682" s="946" t="n"/>
      <c r="L682" s="176" t="n"/>
      <c r="M682" s="176" t="n"/>
      <c r="N682" s="176" t="n"/>
      <c r="O682" s="176" t="n"/>
      <c r="P682" s="176" t="n"/>
      <c r="Q682" s="176" t="n"/>
      <c r="R682" s="176" t="n"/>
      <c r="S682" s="176" t="n"/>
      <c r="T682" s="176" t="n"/>
      <c r="U682" s="176" t="n"/>
      <c r="V682" s="176" t="n"/>
      <c r="W682" s="176" t="n"/>
      <c r="X682" s="176" t="n"/>
      <c r="Y682" s="176" t="n"/>
      <c r="Z682" s="176" t="n"/>
      <c r="AA682" s="176" t="n"/>
      <c r="AB682" s="176" t="n"/>
    </row>
    <row r="683">
      <c r="A683" s="176" t="n"/>
      <c r="B683" s="176" t="n"/>
      <c r="C683" s="176" t="n"/>
      <c r="D683" s="176" t="n"/>
      <c r="E683" s="186" t="n"/>
      <c r="F683" s="956" t="n"/>
      <c r="G683" s="956" t="n"/>
      <c r="H683" s="956" t="n"/>
      <c r="I683" s="956" t="n"/>
      <c r="J683" s="956" t="n"/>
      <c r="K683" s="946" t="n"/>
      <c r="L683" s="176" t="n"/>
      <c r="M683" s="176" t="n"/>
      <c r="N683" s="176" t="n"/>
      <c r="O683" s="176" t="n"/>
      <c r="P683" s="176" t="n"/>
      <c r="Q683" s="176" t="n"/>
      <c r="R683" s="176" t="n"/>
      <c r="S683" s="176" t="n"/>
      <c r="T683" s="176" t="n"/>
      <c r="U683" s="176" t="n"/>
      <c r="V683" s="176" t="n"/>
      <c r="W683" s="176" t="n"/>
      <c r="X683" s="176" t="n"/>
      <c r="Y683" s="176" t="n"/>
      <c r="Z683" s="176" t="n"/>
      <c r="AA683" s="176" t="n"/>
      <c r="AB683" s="176" t="n"/>
    </row>
    <row r="684">
      <c r="A684" s="176" t="n"/>
      <c r="B684" s="176" t="n"/>
      <c r="C684" s="176" t="n"/>
      <c r="D684" s="176" t="n"/>
      <c r="E684" s="186" t="n"/>
      <c r="F684" s="956" t="n"/>
      <c r="G684" s="956" t="n"/>
      <c r="H684" s="956" t="n"/>
      <c r="I684" s="956" t="n"/>
      <c r="J684" s="956" t="n"/>
      <c r="K684" s="946" t="n"/>
      <c r="L684" s="176" t="n"/>
      <c r="M684" s="176" t="n"/>
      <c r="N684" s="176" t="n"/>
      <c r="O684" s="176" t="n"/>
      <c r="P684" s="176" t="n"/>
      <c r="Q684" s="176" t="n"/>
      <c r="R684" s="176" t="n"/>
      <c r="S684" s="176" t="n"/>
      <c r="T684" s="176" t="n"/>
      <c r="U684" s="176" t="n"/>
      <c r="V684" s="176" t="n"/>
      <c r="W684" s="176" t="n"/>
      <c r="X684" s="176" t="n"/>
      <c r="Y684" s="176" t="n"/>
      <c r="Z684" s="176" t="n"/>
      <c r="AA684" s="176" t="n"/>
      <c r="AB684" s="176" t="n"/>
    </row>
    <row r="685">
      <c r="A685" s="176" t="n"/>
      <c r="B685" s="176" t="n"/>
      <c r="C685" s="176" t="n"/>
      <c r="D685" s="176" t="n"/>
      <c r="E685" s="186" t="n"/>
      <c r="F685" s="956" t="n"/>
      <c r="G685" s="956" t="n"/>
      <c r="H685" s="956" t="n"/>
      <c r="I685" s="956" t="n"/>
      <c r="J685" s="956" t="n"/>
      <c r="K685" s="946" t="n"/>
      <c r="L685" s="176" t="n"/>
      <c r="M685" s="176" t="n"/>
      <c r="N685" s="176" t="n"/>
      <c r="O685" s="176" t="n"/>
      <c r="P685" s="176" t="n"/>
      <c r="Q685" s="176" t="n"/>
      <c r="R685" s="176" t="n"/>
      <c r="S685" s="176" t="n"/>
      <c r="T685" s="176" t="n"/>
      <c r="U685" s="176" t="n"/>
      <c r="V685" s="176" t="n"/>
      <c r="W685" s="176" t="n"/>
      <c r="X685" s="176" t="n"/>
      <c r="Y685" s="176" t="n"/>
      <c r="Z685" s="176" t="n"/>
      <c r="AA685" s="176" t="n"/>
      <c r="AB685" s="176" t="n"/>
    </row>
    <row r="686">
      <c r="A686" s="176" t="n"/>
      <c r="B686" s="176" t="n"/>
      <c r="C686" s="176" t="n"/>
      <c r="D686" s="176" t="n"/>
      <c r="E686" s="186" t="n"/>
      <c r="F686" s="956" t="n"/>
      <c r="G686" s="956" t="n"/>
      <c r="H686" s="956" t="n"/>
      <c r="I686" s="956" t="n"/>
      <c r="J686" s="956" t="n"/>
      <c r="K686" s="946" t="n"/>
      <c r="L686" s="176" t="n"/>
      <c r="M686" s="176" t="n"/>
      <c r="N686" s="176" t="n"/>
      <c r="O686" s="176" t="n"/>
      <c r="P686" s="176" t="n"/>
      <c r="Q686" s="176" t="n"/>
      <c r="R686" s="176" t="n"/>
      <c r="S686" s="176" t="n"/>
      <c r="T686" s="176" t="n"/>
      <c r="U686" s="176" t="n"/>
      <c r="V686" s="176" t="n"/>
      <c r="W686" s="176" t="n"/>
      <c r="X686" s="176" t="n"/>
      <c r="Y686" s="176" t="n"/>
      <c r="Z686" s="176" t="n"/>
      <c r="AA686" s="176" t="n"/>
      <c r="AB686" s="176" t="n"/>
    </row>
    <row r="687">
      <c r="A687" s="176" t="n"/>
      <c r="B687" s="176" t="n"/>
      <c r="C687" s="176" t="n"/>
      <c r="D687" s="176" t="n"/>
      <c r="E687" s="186" t="n"/>
      <c r="F687" s="956" t="n"/>
      <c r="G687" s="956" t="n"/>
      <c r="H687" s="956" t="n"/>
      <c r="I687" s="956" t="n"/>
      <c r="J687" s="956" t="n"/>
      <c r="K687" s="946" t="n"/>
      <c r="L687" s="176" t="n"/>
      <c r="M687" s="176" t="n"/>
      <c r="N687" s="176" t="n"/>
      <c r="O687" s="176" t="n"/>
      <c r="P687" s="176" t="n"/>
      <c r="Q687" s="176" t="n"/>
      <c r="R687" s="176" t="n"/>
      <c r="S687" s="176" t="n"/>
      <c r="T687" s="176" t="n"/>
      <c r="U687" s="176" t="n"/>
      <c r="V687" s="176" t="n"/>
      <c r="W687" s="176" t="n"/>
      <c r="X687" s="176" t="n"/>
      <c r="Y687" s="176" t="n"/>
      <c r="Z687" s="176" t="n"/>
      <c r="AA687" s="176" t="n"/>
      <c r="AB687" s="176" t="n"/>
    </row>
    <row r="688">
      <c r="A688" s="176" t="n"/>
      <c r="B688" s="176" t="n"/>
      <c r="C688" s="176" t="n"/>
      <c r="D688" s="176" t="n"/>
      <c r="E688" s="186" t="n"/>
      <c r="F688" s="956" t="n"/>
      <c r="G688" s="956" t="n"/>
      <c r="H688" s="956" t="n"/>
      <c r="I688" s="956" t="n"/>
      <c r="J688" s="956" t="n"/>
      <c r="K688" s="946" t="n"/>
      <c r="L688" s="176" t="n"/>
      <c r="M688" s="176" t="n"/>
      <c r="N688" s="176" t="n"/>
      <c r="O688" s="176" t="n"/>
      <c r="P688" s="176" t="n"/>
      <c r="Q688" s="176" t="n"/>
      <c r="R688" s="176" t="n"/>
      <c r="S688" s="176" t="n"/>
      <c r="T688" s="176" t="n"/>
      <c r="U688" s="176" t="n"/>
      <c r="V688" s="176" t="n"/>
      <c r="W688" s="176" t="n"/>
      <c r="X688" s="176" t="n"/>
      <c r="Y688" s="176" t="n"/>
      <c r="Z688" s="176" t="n"/>
      <c r="AA688" s="176" t="n"/>
      <c r="AB688" s="176" t="n"/>
    </row>
    <row r="689">
      <c r="A689" s="176" t="n"/>
      <c r="B689" s="176" t="n"/>
      <c r="C689" s="176" t="n"/>
      <c r="D689" s="176" t="n"/>
      <c r="E689" s="186" t="n"/>
      <c r="F689" s="956" t="n"/>
      <c r="G689" s="956" t="n"/>
      <c r="H689" s="956" t="n"/>
      <c r="I689" s="956" t="n"/>
      <c r="J689" s="956" t="n"/>
      <c r="K689" s="946" t="n"/>
      <c r="L689" s="176" t="n"/>
      <c r="M689" s="176" t="n"/>
      <c r="N689" s="176" t="n"/>
      <c r="O689" s="176" t="n"/>
      <c r="P689" s="176" t="n"/>
      <c r="Q689" s="176" t="n"/>
      <c r="R689" s="176" t="n"/>
      <c r="S689" s="176" t="n"/>
      <c r="T689" s="176" t="n"/>
      <c r="U689" s="176" t="n"/>
      <c r="V689" s="176" t="n"/>
      <c r="W689" s="176" t="n"/>
      <c r="X689" s="176" t="n"/>
      <c r="Y689" s="176" t="n"/>
      <c r="Z689" s="176" t="n"/>
      <c r="AA689" s="176" t="n"/>
      <c r="AB689" s="176" t="n"/>
    </row>
    <row r="690">
      <c r="A690" s="176" t="n"/>
      <c r="B690" s="176" t="n"/>
      <c r="C690" s="176" t="n"/>
      <c r="D690" s="176" t="n"/>
      <c r="E690" s="186" t="n"/>
      <c r="F690" s="956" t="n"/>
      <c r="G690" s="956" t="n"/>
      <c r="H690" s="956" t="n"/>
      <c r="I690" s="956" t="n"/>
      <c r="J690" s="956" t="n"/>
      <c r="K690" s="946" t="n"/>
      <c r="L690" s="176" t="n"/>
      <c r="M690" s="176" t="n"/>
      <c r="N690" s="176" t="n"/>
      <c r="O690" s="176" t="n"/>
      <c r="P690" s="176" t="n"/>
      <c r="Q690" s="176" t="n"/>
      <c r="R690" s="176" t="n"/>
      <c r="S690" s="176" t="n"/>
      <c r="T690" s="176" t="n"/>
      <c r="U690" s="176" t="n"/>
      <c r="V690" s="176" t="n"/>
      <c r="W690" s="176" t="n"/>
      <c r="X690" s="176" t="n"/>
      <c r="Y690" s="176" t="n"/>
      <c r="Z690" s="176" t="n"/>
      <c r="AA690" s="176" t="n"/>
      <c r="AB690" s="176" t="n"/>
    </row>
    <row r="691">
      <c r="A691" s="176" t="n"/>
      <c r="B691" s="176" t="n"/>
      <c r="C691" s="176" t="n"/>
      <c r="D691" s="176" t="n"/>
      <c r="E691" s="186" t="n"/>
      <c r="F691" s="956" t="n"/>
      <c r="G691" s="956" t="n"/>
      <c r="H691" s="956" t="n"/>
      <c r="I691" s="956" t="n"/>
      <c r="J691" s="956" t="n"/>
      <c r="K691" s="946" t="n"/>
      <c r="L691" s="176" t="n"/>
      <c r="M691" s="176" t="n"/>
      <c r="N691" s="176" t="n"/>
      <c r="O691" s="176" t="n"/>
      <c r="P691" s="176" t="n"/>
      <c r="Q691" s="176" t="n"/>
      <c r="R691" s="176" t="n"/>
      <c r="S691" s="176" t="n"/>
      <c r="T691" s="176" t="n"/>
      <c r="U691" s="176" t="n"/>
      <c r="V691" s="176" t="n"/>
      <c r="W691" s="176" t="n"/>
      <c r="X691" s="176" t="n"/>
      <c r="Y691" s="176" t="n"/>
      <c r="Z691" s="176" t="n"/>
      <c r="AA691" s="176" t="n"/>
      <c r="AB691" s="176" t="n"/>
    </row>
    <row r="692">
      <c r="A692" s="176" t="n"/>
      <c r="B692" s="176" t="n"/>
      <c r="C692" s="176" t="n"/>
      <c r="D692" s="176" t="n"/>
      <c r="E692" s="186" t="n"/>
      <c r="F692" s="956" t="n"/>
      <c r="G692" s="956" t="n"/>
      <c r="H692" s="956" t="n"/>
      <c r="I692" s="956" t="n"/>
      <c r="J692" s="956" t="n"/>
      <c r="K692" s="946" t="n"/>
      <c r="L692" s="176" t="n"/>
      <c r="M692" s="176" t="n"/>
      <c r="N692" s="176" t="n"/>
      <c r="O692" s="176" t="n"/>
      <c r="P692" s="176" t="n"/>
      <c r="Q692" s="176" t="n"/>
      <c r="R692" s="176" t="n"/>
      <c r="S692" s="176" t="n"/>
      <c r="T692" s="176" t="n"/>
      <c r="U692" s="176" t="n"/>
      <c r="V692" s="176" t="n"/>
      <c r="W692" s="176" t="n"/>
      <c r="X692" s="176" t="n"/>
      <c r="Y692" s="176" t="n"/>
      <c r="Z692" s="176" t="n"/>
      <c r="AA692" s="176" t="n"/>
      <c r="AB692" s="176" t="n"/>
    </row>
    <row r="693">
      <c r="A693" s="176" t="n"/>
      <c r="B693" s="176" t="n"/>
      <c r="C693" s="176" t="n"/>
      <c r="D693" s="176" t="n"/>
      <c r="E693" s="186" t="n"/>
      <c r="F693" s="956" t="n"/>
      <c r="G693" s="956" t="n"/>
      <c r="H693" s="956" t="n"/>
      <c r="I693" s="956" t="n"/>
      <c r="J693" s="956" t="n"/>
      <c r="K693" s="946" t="n"/>
      <c r="L693" s="176" t="n"/>
      <c r="M693" s="176" t="n"/>
      <c r="N693" s="176" t="n"/>
      <c r="O693" s="176" t="n"/>
      <c r="P693" s="176" t="n"/>
      <c r="Q693" s="176" t="n"/>
      <c r="R693" s="176" t="n"/>
      <c r="S693" s="176" t="n"/>
      <c r="T693" s="176" t="n"/>
      <c r="U693" s="176" t="n"/>
      <c r="V693" s="176" t="n"/>
      <c r="W693" s="176" t="n"/>
      <c r="X693" s="176" t="n"/>
      <c r="Y693" s="176" t="n"/>
      <c r="Z693" s="176" t="n"/>
      <c r="AA693" s="176" t="n"/>
      <c r="AB693" s="176" t="n"/>
    </row>
    <row r="694">
      <c r="A694" s="176" t="n"/>
      <c r="B694" s="176" t="n"/>
      <c r="C694" s="176" t="n"/>
      <c r="D694" s="176" t="n"/>
      <c r="E694" s="186" t="n"/>
      <c r="F694" s="956" t="n"/>
      <c r="G694" s="956" t="n"/>
      <c r="H694" s="956" t="n"/>
      <c r="I694" s="956" t="n"/>
      <c r="J694" s="956" t="n"/>
      <c r="K694" s="946" t="n"/>
      <c r="L694" s="176" t="n"/>
      <c r="M694" s="176" t="n"/>
      <c r="N694" s="176" t="n"/>
      <c r="O694" s="176" t="n"/>
      <c r="P694" s="176" t="n"/>
      <c r="Q694" s="176" t="n"/>
      <c r="R694" s="176" t="n"/>
      <c r="S694" s="176" t="n"/>
      <c r="T694" s="176" t="n"/>
      <c r="U694" s="176" t="n"/>
      <c r="V694" s="176" t="n"/>
      <c r="W694" s="176" t="n"/>
      <c r="X694" s="176" t="n"/>
      <c r="Y694" s="176" t="n"/>
      <c r="Z694" s="176" t="n"/>
      <c r="AA694" s="176" t="n"/>
      <c r="AB694" s="176" t="n"/>
    </row>
    <row r="695">
      <c r="A695" s="176" t="n"/>
      <c r="B695" s="176" t="n"/>
      <c r="C695" s="176" t="n"/>
      <c r="D695" s="176" t="n"/>
      <c r="E695" s="186" t="n"/>
      <c r="F695" s="956" t="n"/>
      <c r="G695" s="956" t="n"/>
      <c r="H695" s="956" t="n"/>
      <c r="I695" s="956" t="n"/>
      <c r="J695" s="956" t="n"/>
      <c r="K695" s="946" t="n"/>
      <c r="L695" s="176" t="n"/>
      <c r="M695" s="176" t="n"/>
      <c r="N695" s="176" t="n"/>
      <c r="O695" s="176" t="n"/>
      <c r="P695" s="176" t="n"/>
      <c r="Q695" s="176" t="n"/>
      <c r="R695" s="176" t="n"/>
      <c r="S695" s="176" t="n"/>
      <c r="T695" s="176" t="n"/>
      <c r="U695" s="176" t="n"/>
      <c r="V695" s="176" t="n"/>
      <c r="W695" s="176" t="n"/>
      <c r="X695" s="176" t="n"/>
      <c r="Y695" s="176" t="n"/>
      <c r="Z695" s="176" t="n"/>
      <c r="AA695" s="176" t="n"/>
      <c r="AB695" s="176" t="n"/>
    </row>
    <row r="696">
      <c r="A696" s="176" t="n"/>
      <c r="B696" s="176" t="n"/>
      <c r="C696" s="176" t="n"/>
      <c r="D696" s="176" t="n"/>
      <c r="E696" s="186" t="n"/>
      <c r="F696" s="956" t="n"/>
      <c r="G696" s="956" t="n"/>
      <c r="H696" s="956" t="n"/>
      <c r="I696" s="956" t="n"/>
      <c r="J696" s="956" t="n"/>
      <c r="K696" s="946" t="n"/>
      <c r="L696" s="176" t="n"/>
      <c r="M696" s="176" t="n"/>
      <c r="N696" s="176" t="n"/>
      <c r="O696" s="176" t="n"/>
      <c r="P696" s="176" t="n"/>
      <c r="Q696" s="176" t="n"/>
      <c r="R696" s="176" t="n"/>
      <c r="S696" s="176" t="n"/>
      <c r="T696" s="176" t="n"/>
      <c r="U696" s="176" t="n"/>
      <c r="V696" s="176" t="n"/>
      <c r="W696" s="176" t="n"/>
      <c r="X696" s="176" t="n"/>
      <c r="Y696" s="176" t="n"/>
      <c r="Z696" s="176" t="n"/>
      <c r="AA696" s="176" t="n"/>
      <c r="AB696" s="176" t="n"/>
    </row>
    <row r="697">
      <c r="A697" s="176" t="n"/>
      <c r="B697" s="176" t="n"/>
      <c r="C697" s="176" t="n"/>
      <c r="D697" s="176" t="n"/>
      <c r="E697" s="186" t="n"/>
      <c r="F697" s="956" t="n"/>
      <c r="G697" s="956" t="n"/>
      <c r="H697" s="956" t="n"/>
      <c r="I697" s="956" t="n"/>
      <c r="J697" s="956" t="n"/>
      <c r="K697" s="946" t="n"/>
      <c r="L697" s="176" t="n"/>
      <c r="M697" s="176" t="n"/>
      <c r="N697" s="176" t="n"/>
      <c r="O697" s="176" t="n"/>
      <c r="P697" s="176" t="n"/>
      <c r="Q697" s="176" t="n"/>
      <c r="R697" s="176" t="n"/>
      <c r="S697" s="176" t="n"/>
      <c r="T697" s="176" t="n"/>
      <c r="U697" s="176" t="n"/>
      <c r="V697" s="176" t="n"/>
      <c r="W697" s="176" t="n"/>
      <c r="X697" s="176" t="n"/>
      <c r="Y697" s="176" t="n"/>
      <c r="Z697" s="176" t="n"/>
      <c r="AA697" s="176" t="n"/>
      <c r="AB697" s="176" t="n"/>
    </row>
    <row r="698">
      <c r="A698" s="176" t="n"/>
      <c r="B698" s="176" t="n"/>
      <c r="C698" s="176" t="n"/>
      <c r="D698" s="176" t="n"/>
      <c r="E698" s="186" t="n"/>
      <c r="F698" s="956" t="n"/>
      <c r="G698" s="956" t="n"/>
      <c r="H698" s="956" t="n"/>
      <c r="I698" s="956" t="n"/>
      <c r="J698" s="956" t="n"/>
      <c r="K698" s="946" t="n"/>
      <c r="L698" s="176" t="n"/>
      <c r="M698" s="176" t="n"/>
      <c r="N698" s="176" t="n"/>
      <c r="O698" s="176" t="n"/>
      <c r="P698" s="176" t="n"/>
      <c r="Q698" s="176" t="n"/>
      <c r="R698" s="176" t="n"/>
      <c r="S698" s="176" t="n"/>
      <c r="T698" s="176" t="n"/>
      <c r="U698" s="176" t="n"/>
      <c r="V698" s="176" t="n"/>
      <c r="W698" s="176" t="n"/>
      <c r="X698" s="176" t="n"/>
      <c r="Y698" s="176" t="n"/>
      <c r="Z698" s="176" t="n"/>
      <c r="AA698" s="176" t="n"/>
      <c r="AB698" s="176" t="n"/>
    </row>
    <row r="699">
      <c r="A699" s="176" t="n"/>
      <c r="B699" s="176" t="n"/>
      <c r="C699" s="176" t="n"/>
      <c r="D699" s="176" t="n"/>
      <c r="E699" s="186" t="n"/>
      <c r="F699" s="956" t="n"/>
      <c r="G699" s="956" t="n"/>
      <c r="H699" s="956" t="n"/>
      <c r="I699" s="956" t="n"/>
      <c r="J699" s="956" t="n"/>
      <c r="K699" s="946" t="n"/>
      <c r="L699" s="176" t="n"/>
      <c r="M699" s="176" t="n"/>
      <c r="N699" s="176" t="n"/>
      <c r="O699" s="176" t="n"/>
      <c r="P699" s="176" t="n"/>
      <c r="Q699" s="176" t="n"/>
      <c r="R699" s="176" t="n"/>
      <c r="S699" s="176" t="n"/>
      <c r="T699" s="176" t="n"/>
      <c r="U699" s="176" t="n"/>
      <c r="V699" s="176" t="n"/>
      <c r="W699" s="176" t="n"/>
      <c r="X699" s="176" t="n"/>
      <c r="Y699" s="176" t="n"/>
      <c r="Z699" s="176" t="n"/>
      <c r="AA699" s="176" t="n"/>
      <c r="AB699" s="176" t="n"/>
    </row>
    <row r="700">
      <c r="A700" s="176" t="n"/>
      <c r="B700" s="176" t="n"/>
      <c r="C700" s="176" t="n"/>
      <c r="D700" s="176" t="n"/>
      <c r="E700" s="186" t="n"/>
      <c r="F700" s="956" t="n"/>
      <c r="G700" s="956" t="n"/>
      <c r="H700" s="956" t="n"/>
      <c r="I700" s="956" t="n"/>
      <c r="J700" s="956" t="n"/>
      <c r="K700" s="946" t="n"/>
      <c r="L700" s="176" t="n"/>
      <c r="M700" s="176" t="n"/>
      <c r="N700" s="176" t="n"/>
      <c r="O700" s="176" t="n"/>
      <c r="P700" s="176" t="n"/>
      <c r="Q700" s="176" t="n"/>
      <c r="R700" s="176" t="n"/>
      <c r="S700" s="176" t="n"/>
      <c r="T700" s="176" t="n"/>
      <c r="U700" s="176" t="n"/>
      <c r="V700" s="176" t="n"/>
      <c r="W700" s="176" t="n"/>
      <c r="X700" s="176" t="n"/>
      <c r="Y700" s="176" t="n"/>
      <c r="Z700" s="176" t="n"/>
      <c r="AA700" s="176" t="n"/>
      <c r="AB700" s="176" t="n"/>
    </row>
    <row r="701">
      <c r="A701" s="176" t="n"/>
      <c r="B701" s="176" t="n"/>
      <c r="C701" s="176" t="n"/>
      <c r="D701" s="176" t="n"/>
      <c r="E701" s="186" t="n"/>
      <c r="F701" s="956" t="n"/>
      <c r="G701" s="956" t="n"/>
      <c r="H701" s="956" t="n"/>
      <c r="I701" s="956" t="n"/>
      <c r="J701" s="956" t="n"/>
      <c r="K701" s="946" t="n"/>
      <c r="L701" s="176" t="n"/>
      <c r="M701" s="176" t="n"/>
      <c r="N701" s="176" t="n"/>
      <c r="O701" s="176" t="n"/>
      <c r="P701" s="176" t="n"/>
      <c r="Q701" s="176" t="n"/>
      <c r="R701" s="176" t="n"/>
      <c r="S701" s="176" t="n"/>
      <c r="T701" s="176" t="n"/>
      <c r="U701" s="176" t="n"/>
      <c r="V701" s="176" t="n"/>
      <c r="W701" s="176" t="n"/>
      <c r="X701" s="176" t="n"/>
      <c r="Y701" s="176" t="n"/>
      <c r="Z701" s="176" t="n"/>
      <c r="AA701" s="176" t="n"/>
      <c r="AB701" s="176" t="n"/>
    </row>
    <row r="702">
      <c r="A702" s="176" t="n"/>
      <c r="B702" s="176" t="n"/>
      <c r="C702" s="176" t="n"/>
      <c r="D702" s="176" t="n"/>
      <c r="E702" s="186" t="n"/>
      <c r="F702" s="956" t="n"/>
      <c r="G702" s="956" t="n"/>
      <c r="H702" s="956" t="n"/>
      <c r="I702" s="956" t="n"/>
      <c r="J702" s="956" t="n"/>
      <c r="K702" s="946" t="n"/>
      <c r="L702" s="176" t="n"/>
      <c r="M702" s="176" t="n"/>
      <c r="N702" s="176" t="n"/>
      <c r="O702" s="176" t="n"/>
      <c r="P702" s="176" t="n"/>
      <c r="Q702" s="176" t="n"/>
      <c r="R702" s="176" t="n"/>
      <c r="S702" s="176" t="n"/>
      <c r="T702" s="176" t="n"/>
      <c r="U702" s="176" t="n"/>
      <c r="V702" s="176" t="n"/>
      <c r="W702" s="176" t="n"/>
      <c r="X702" s="176" t="n"/>
      <c r="Y702" s="176" t="n"/>
      <c r="Z702" s="176" t="n"/>
      <c r="AA702" s="176" t="n"/>
      <c r="AB702" s="176" t="n"/>
    </row>
    <row r="703">
      <c r="A703" s="176" t="n"/>
      <c r="B703" s="176" t="n"/>
      <c r="C703" s="176" t="n"/>
      <c r="D703" s="176" t="n"/>
      <c r="E703" s="186" t="n"/>
      <c r="F703" s="956" t="n"/>
      <c r="G703" s="956" t="n"/>
      <c r="H703" s="956" t="n"/>
      <c r="I703" s="956" t="n"/>
      <c r="J703" s="956" t="n"/>
      <c r="K703" s="946" t="n"/>
      <c r="L703" s="176" t="n"/>
      <c r="M703" s="176" t="n"/>
      <c r="N703" s="176" t="n"/>
      <c r="O703" s="176" t="n"/>
      <c r="P703" s="176" t="n"/>
      <c r="Q703" s="176" t="n"/>
      <c r="R703" s="176" t="n"/>
      <c r="S703" s="176" t="n"/>
      <c r="T703" s="176" t="n"/>
      <c r="U703" s="176" t="n"/>
      <c r="V703" s="176" t="n"/>
      <c r="W703" s="176" t="n"/>
      <c r="X703" s="176" t="n"/>
      <c r="Y703" s="176" t="n"/>
      <c r="Z703" s="176" t="n"/>
      <c r="AA703" s="176" t="n"/>
      <c r="AB703" s="176" t="n"/>
    </row>
    <row r="704">
      <c r="A704" s="176" t="n"/>
      <c r="B704" s="176" t="n"/>
      <c r="C704" s="176" t="n"/>
      <c r="D704" s="176" t="n"/>
      <c r="E704" s="186" t="n"/>
      <c r="F704" s="956" t="n"/>
      <c r="G704" s="956" t="n"/>
      <c r="H704" s="956" t="n"/>
      <c r="I704" s="956" t="n"/>
      <c r="J704" s="956" t="n"/>
      <c r="K704" s="946" t="n"/>
      <c r="L704" s="176" t="n"/>
      <c r="M704" s="176" t="n"/>
      <c r="N704" s="176" t="n"/>
      <c r="O704" s="176" t="n"/>
      <c r="P704" s="176" t="n"/>
      <c r="Q704" s="176" t="n"/>
      <c r="R704" s="176" t="n"/>
      <c r="S704" s="176" t="n"/>
      <c r="T704" s="176" t="n"/>
      <c r="U704" s="176" t="n"/>
      <c r="V704" s="176" t="n"/>
      <c r="W704" s="176" t="n"/>
      <c r="X704" s="176" t="n"/>
      <c r="Y704" s="176" t="n"/>
      <c r="Z704" s="176" t="n"/>
      <c r="AA704" s="176" t="n"/>
      <c r="AB704" s="176" t="n"/>
    </row>
    <row r="705">
      <c r="A705" s="176" t="n"/>
      <c r="B705" s="176" t="n"/>
      <c r="C705" s="176" t="n"/>
      <c r="D705" s="176" t="n"/>
      <c r="E705" s="186" t="n"/>
      <c r="F705" s="956" t="n"/>
      <c r="G705" s="956" t="n"/>
      <c r="H705" s="956" t="n"/>
      <c r="I705" s="956" t="n"/>
      <c r="J705" s="956" t="n"/>
      <c r="K705" s="946" t="n"/>
      <c r="L705" s="176" t="n"/>
      <c r="M705" s="176" t="n"/>
      <c r="N705" s="176" t="n"/>
      <c r="O705" s="176" t="n"/>
      <c r="P705" s="176" t="n"/>
      <c r="Q705" s="176" t="n"/>
      <c r="R705" s="176" t="n"/>
      <c r="S705" s="176" t="n"/>
      <c r="T705" s="176" t="n"/>
      <c r="U705" s="176" t="n"/>
      <c r="V705" s="176" t="n"/>
      <c r="W705" s="176" t="n"/>
      <c r="X705" s="176" t="n"/>
      <c r="Y705" s="176" t="n"/>
      <c r="Z705" s="176" t="n"/>
      <c r="AA705" s="176" t="n"/>
      <c r="AB705" s="176" t="n"/>
    </row>
    <row r="706">
      <c r="A706" s="176" t="n"/>
      <c r="B706" s="176" t="n"/>
      <c r="C706" s="176" t="n"/>
      <c r="D706" s="176" t="n"/>
      <c r="E706" s="186" t="n"/>
      <c r="F706" s="956" t="n"/>
      <c r="G706" s="956" t="n"/>
      <c r="H706" s="956" t="n"/>
      <c r="I706" s="956" t="n"/>
      <c r="J706" s="956" t="n"/>
      <c r="K706" s="946" t="n"/>
      <c r="L706" s="176" t="n"/>
      <c r="M706" s="176" t="n"/>
      <c r="N706" s="176" t="n"/>
      <c r="O706" s="176" t="n"/>
      <c r="P706" s="176" t="n"/>
      <c r="Q706" s="176" t="n"/>
      <c r="R706" s="176" t="n"/>
      <c r="S706" s="176" t="n"/>
      <c r="T706" s="176" t="n"/>
      <c r="U706" s="176" t="n"/>
      <c r="V706" s="176" t="n"/>
      <c r="W706" s="176" t="n"/>
      <c r="X706" s="176" t="n"/>
      <c r="Y706" s="176" t="n"/>
      <c r="Z706" s="176" t="n"/>
      <c r="AA706" s="176" t="n"/>
      <c r="AB706" s="176" t="n"/>
    </row>
    <row r="707">
      <c r="A707" s="176" t="n"/>
      <c r="B707" s="176" t="n"/>
      <c r="C707" s="176" t="n"/>
      <c r="D707" s="176" t="n"/>
      <c r="E707" s="186" t="n"/>
      <c r="F707" s="956" t="n"/>
      <c r="G707" s="956" t="n"/>
      <c r="H707" s="956" t="n"/>
      <c r="I707" s="956" t="n"/>
      <c r="J707" s="956" t="n"/>
      <c r="K707" s="946" t="n"/>
      <c r="L707" s="176" t="n"/>
      <c r="M707" s="176" t="n"/>
      <c r="N707" s="176" t="n"/>
      <c r="O707" s="176" t="n"/>
      <c r="P707" s="176" t="n"/>
      <c r="Q707" s="176" t="n"/>
      <c r="R707" s="176" t="n"/>
      <c r="S707" s="176" t="n"/>
      <c r="T707" s="176" t="n"/>
      <c r="U707" s="176" t="n"/>
      <c r="V707" s="176" t="n"/>
      <c r="W707" s="176" t="n"/>
      <c r="X707" s="176" t="n"/>
      <c r="Y707" s="176" t="n"/>
      <c r="Z707" s="176" t="n"/>
      <c r="AA707" s="176" t="n"/>
      <c r="AB707" s="176" t="n"/>
    </row>
    <row r="708">
      <c r="A708" s="176" t="n"/>
      <c r="B708" s="176" t="n"/>
      <c r="C708" s="176" t="n"/>
      <c r="D708" s="176" t="n"/>
      <c r="E708" s="186" t="n"/>
      <c r="F708" s="956" t="n"/>
      <c r="G708" s="956" t="n"/>
      <c r="H708" s="956" t="n"/>
      <c r="I708" s="956" t="n"/>
      <c r="J708" s="956" t="n"/>
      <c r="K708" s="946" t="n"/>
      <c r="L708" s="176" t="n"/>
      <c r="M708" s="176" t="n"/>
      <c r="N708" s="176" t="n"/>
      <c r="O708" s="176" t="n"/>
      <c r="P708" s="176" t="n"/>
      <c r="Q708" s="176" t="n"/>
      <c r="R708" s="176" t="n"/>
      <c r="S708" s="176" t="n"/>
      <c r="T708" s="176" t="n"/>
      <c r="U708" s="176" t="n"/>
      <c r="V708" s="176" t="n"/>
      <c r="W708" s="176" t="n"/>
      <c r="X708" s="176" t="n"/>
      <c r="Y708" s="176" t="n"/>
      <c r="Z708" s="176" t="n"/>
      <c r="AA708" s="176" t="n"/>
      <c r="AB708" s="176" t="n"/>
    </row>
    <row r="709">
      <c r="A709" s="176" t="n"/>
      <c r="B709" s="176" t="n"/>
      <c r="C709" s="176" t="n"/>
      <c r="D709" s="176" t="n"/>
      <c r="E709" s="186" t="n"/>
      <c r="F709" s="956" t="n"/>
      <c r="G709" s="956" t="n"/>
      <c r="H709" s="956" t="n"/>
      <c r="I709" s="956" t="n"/>
      <c r="J709" s="956" t="n"/>
      <c r="K709" s="946" t="n"/>
      <c r="L709" s="176" t="n"/>
      <c r="M709" s="176" t="n"/>
      <c r="N709" s="176" t="n"/>
      <c r="O709" s="176" t="n"/>
      <c r="P709" s="176" t="n"/>
      <c r="Q709" s="176" t="n"/>
      <c r="R709" s="176" t="n"/>
      <c r="S709" s="176" t="n"/>
      <c r="T709" s="176" t="n"/>
      <c r="U709" s="176" t="n"/>
      <c r="V709" s="176" t="n"/>
      <c r="W709" s="176" t="n"/>
      <c r="X709" s="176" t="n"/>
      <c r="Y709" s="176" t="n"/>
      <c r="Z709" s="176" t="n"/>
      <c r="AA709" s="176" t="n"/>
      <c r="AB709" s="176" t="n"/>
    </row>
    <row r="710">
      <c r="A710" s="176" t="n"/>
      <c r="B710" s="176" t="n"/>
      <c r="C710" s="176" t="n"/>
      <c r="D710" s="176" t="n"/>
      <c r="E710" s="186" t="n"/>
      <c r="F710" s="956" t="n"/>
      <c r="G710" s="956" t="n"/>
      <c r="H710" s="956" t="n"/>
      <c r="I710" s="956" t="n"/>
      <c r="J710" s="956" t="n"/>
      <c r="K710" s="946" t="n"/>
      <c r="L710" s="176" t="n"/>
      <c r="M710" s="176" t="n"/>
      <c r="N710" s="176" t="n"/>
      <c r="O710" s="176" t="n"/>
      <c r="P710" s="176" t="n"/>
      <c r="Q710" s="176" t="n"/>
      <c r="R710" s="176" t="n"/>
      <c r="S710" s="176" t="n"/>
      <c r="T710" s="176" t="n"/>
      <c r="U710" s="176" t="n"/>
      <c r="V710" s="176" t="n"/>
      <c r="W710" s="176" t="n"/>
      <c r="X710" s="176" t="n"/>
      <c r="Y710" s="176" t="n"/>
      <c r="Z710" s="176" t="n"/>
      <c r="AA710" s="176" t="n"/>
      <c r="AB710" s="176" t="n"/>
    </row>
    <row r="711">
      <c r="A711" s="176" t="n"/>
      <c r="B711" s="176" t="n"/>
      <c r="C711" s="176" t="n"/>
      <c r="D711" s="176" t="n"/>
      <c r="E711" s="186" t="n"/>
      <c r="F711" s="956" t="n"/>
      <c r="G711" s="956" t="n"/>
      <c r="H711" s="956" t="n"/>
      <c r="I711" s="956" t="n"/>
      <c r="J711" s="956" t="n"/>
      <c r="K711" s="946" t="n"/>
      <c r="L711" s="176" t="n"/>
      <c r="M711" s="176" t="n"/>
      <c r="N711" s="176" t="n"/>
      <c r="O711" s="176" t="n"/>
      <c r="P711" s="176" t="n"/>
      <c r="Q711" s="176" t="n"/>
      <c r="R711" s="176" t="n"/>
      <c r="S711" s="176" t="n"/>
      <c r="T711" s="176" t="n"/>
      <c r="U711" s="176" t="n"/>
      <c r="V711" s="176" t="n"/>
      <c r="W711" s="176" t="n"/>
      <c r="X711" s="176" t="n"/>
      <c r="Y711" s="176" t="n"/>
      <c r="Z711" s="176" t="n"/>
      <c r="AA711" s="176" t="n"/>
      <c r="AB711" s="176" t="n"/>
    </row>
    <row r="712">
      <c r="A712" s="176" t="n"/>
      <c r="B712" s="176" t="n"/>
      <c r="C712" s="176" t="n"/>
      <c r="D712" s="176" t="n"/>
      <c r="E712" s="186" t="n"/>
      <c r="F712" s="956" t="n"/>
      <c r="G712" s="956" t="n"/>
      <c r="H712" s="956" t="n"/>
      <c r="I712" s="956" t="n"/>
      <c r="J712" s="956" t="n"/>
      <c r="K712" s="946" t="n"/>
      <c r="L712" s="176" t="n"/>
      <c r="M712" s="176" t="n"/>
      <c r="N712" s="176" t="n"/>
      <c r="O712" s="176" t="n"/>
      <c r="P712" s="176" t="n"/>
      <c r="Q712" s="176" t="n"/>
      <c r="R712" s="176" t="n"/>
      <c r="S712" s="176" t="n"/>
      <c r="T712" s="176" t="n"/>
      <c r="U712" s="176" t="n"/>
      <c r="V712" s="176" t="n"/>
      <c r="W712" s="176" t="n"/>
      <c r="X712" s="176" t="n"/>
      <c r="Y712" s="176" t="n"/>
      <c r="Z712" s="176" t="n"/>
      <c r="AA712" s="176" t="n"/>
      <c r="AB712" s="176" t="n"/>
    </row>
    <row r="713">
      <c r="A713" s="176" t="n"/>
      <c r="B713" s="176" t="n"/>
      <c r="C713" s="176" t="n"/>
      <c r="D713" s="176" t="n"/>
      <c r="E713" s="186" t="n"/>
      <c r="F713" s="956" t="n"/>
      <c r="G713" s="956" t="n"/>
      <c r="H713" s="956" t="n"/>
      <c r="I713" s="956" t="n"/>
      <c r="J713" s="956" t="n"/>
      <c r="K713" s="946" t="n"/>
      <c r="L713" s="176" t="n"/>
      <c r="M713" s="176" t="n"/>
      <c r="N713" s="176" t="n"/>
      <c r="O713" s="176" t="n"/>
      <c r="P713" s="176" t="n"/>
      <c r="Q713" s="176" t="n"/>
      <c r="R713" s="176" t="n"/>
      <c r="S713" s="176" t="n"/>
      <c r="T713" s="176" t="n"/>
      <c r="U713" s="176" t="n"/>
      <c r="V713" s="176" t="n"/>
      <c r="W713" s="176" t="n"/>
      <c r="X713" s="176" t="n"/>
      <c r="Y713" s="176" t="n"/>
      <c r="Z713" s="176" t="n"/>
      <c r="AA713" s="176" t="n"/>
      <c r="AB713" s="176" t="n"/>
    </row>
    <row r="714">
      <c r="A714" s="176" t="n"/>
      <c r="B714" s="176" t="n"/>
      <c r="C714" s="176" t="n"/>
      <c r="D714" s="176" t="n"/>
      <c r="E714" s="186" t="n"/>
      <c r="F714" s="956" t="n"/>
      <c r="G714" s="956" t="n"/>
      <c r="H714" s="956" t="n"/>
      <c r="I714" s="956" t="n"/>
      <c r="J714" s="956" t="n"/>
      <c r="K714" s="946" t="n"/>
      <c r="L714" s="176" t="n"/>
      <c r="M714" s="176" t="n"/>
      <c r="N714" s="176" t="n"/>
      <c r="O714" s="176" t="n"/>
      <c r="P714" s="176" t="n"/>
      <c r="Q714" s="176" t="n"/>
      <c r="R714" s="176" t="n"/>
      <c r="S714" s="176" t="n"/>
      <c r="T714" s="176" t="n"/>
      <c r="U714" s="176" t="n"/>
      <c r="V714" s="176" t="n"/>
      <c r="W714" s="176" t="n"/>
      <c r="X714" s="176" t="n"/>
      <c r="Y714" s="176" t="n"/>
      <c r="Z714" s="176" t="n"/>
      <c r="AA714" s="176" t="n"/>
      <c r="AB714" s="176" t="n"/>
    </row>
    <row r="715">
      <c r="A715" s="176" t="n"/>
      <c r="B715" s="176" t="n"/>
      <c r="C715" s="176" t="n"/>
      <c r="D715" s="176" t="n"/>
      <c r="E715" s="186" t="n"/>
      <c r="F715" s="956" t="n"/>
      <c r="G715" s="956" t="n"/>
      <c r="H715" s="956" t="n"/>
      <c r="I715" s="956" t="n"/>
      <c r="J715" s="956" t="n"/>
      <c r="K715" s="946" t="n"/>
      <c r="L715" s="176" t="n"/>
      <c r="M715" s="176" t="n"/>
      <c r="N715" s="176" t="n"/>
      <c r="O715" s="176" t="n"/>
      <c r="P715" s="176" t="n"/>
      <c r="Q715" s="176" t="n"/>
      <c r="R715" s="176" t="n"/>
      <c r="S715" s="176" t="n"/>
      <c r="T715" s="176" t="n"/>
      <c r="U715" s="176" t="n"/>
      <c r="V715" s="176" t="n"/>
      <c r="W715" s="176" t="n"/>
      <c r="X715" s="176" t="n"/>
      <c r="Y715" s="176" t="n"/>
      <c r="Z715" s="176" t="n"/>
      <c r="AA715" s="176" t="n"/>
      <c r="AB715" s="176" t="n"/>
    </row>
    <row r="716">
      <c r="A716" s="176" t="n"/>
      <c r="B716" s="176" t="n"/>
      <c r="C716" s="176" t="n"/>
      <c r="D716" s="176" t="n"/>
      <c r="E716" s="186" t="n"/>
      <c r="F716" s="956" t="n"/>
      <c r="G716" s="956" t="n"/>
      <c r="H716" s="956" t="n"/>
      <c r="I716" s="956" t="n"/>
      <c r="J716" s="956" t="n"/>
      <c r="K716" s="946" t="n"/>
      <c r="L716" s="176" t="n"/>
      <c r="M716" s="176" t="n"/>
      <c r="N716" s="176" t="n"/>
      <c r="O716" s="176" t="n"/>
      <c r="P716" s="176" t="n"/>
      <c r="Q716" s="176" t="n"/>
      <c r="R716" s="176" t="n"/>
      <c r="S716" s="176" t="n"/>
      <c r="T716" s="176" t="n"/>
      <c r="U716" s="176" t="n"/>
      <c r="V716" s="176" t="n"/>
      <c r="W716" s="176" t="n"/>
      <c r="X716" s="176" t="n"/>
      <c r="Y716" s="176" t="n"/>
      <c r="Z716" s="176" t="n"/>
      <c r="AA716" s="176" t="n"/>
      <c r="AB716" s="176" t="n"/>
    </row>
    <row r="717">
      <c r="A717" s="176" t="n"/>
      <c r="B717" s="176" t="n"/>
      <c r="C717" s="176" t="n"/>
      <c r="D717" s="176" t="n"/>
      <c r="E717" s="186" t="n"/>
      <c r="F717" s="956" t="n"/>
      <c r="G717" s="956" t="n"/>
      <c r="H717" s="956" t="n"/>
      <c r="I717" s="956" t="n"/>
      <c r="J717" s="956" t="n"/>
      <c r="K717" s="946" t="n"/>
      <c r="L717" s="176" t="n"/>
      <c r="M717" s="176" t="n"/>
      <c r="N717" s="176" t="n"/>
      <c r="O717" s="176" t="n"/>
      <c r="P717" s="176" t="n"/>
      <c r="Q717" s="176" t="n"/>
      <c r="R717" s="176" t="n"/>
      <c r="S717" s="176" t="n"/>
      <c r="T717" s="176" t="n"/>
      <c r="U717" s="176" t="n"/>
      <c r="V717" s="176" t="n"/>
      <c r="W717" s="176" t="n"/>
      <c r="X717" s="176" t="n"/>
      <c r="Y717" s="176" t="n"/>
      <c r="Z717" s="176" t="n"/>
      <c r="AA717" s="176" t="n"/>
      <c r="AB717" s="176" t="n"/>
    </row>
    <row r="718">
      <c r="A718" s="176" t="n"/>
      <c r="B718" s="176" t="n"/>
      <c r="C718" s="176" t="n"/>
      <c r="D718" s="176" t="n"/>
      <c r="E718" s="186" t="n"/>
      <c r="F718" s="956" t="n"/>
      <c r="G718" s="956" t="n"/>
      <c r="H718" s="956" t="n"/>
      <c r="I718" s="956" t="n"/>
      <c r="J718" s="956" t="n"/>
      <c r="K718" s="946" t="n"/>
      <c r="L718" s="176" t="n"/>
      <c r="M718" s="176" t="n"/>
      <c r="N718" s="176" t="n"/>
      <c r="O718" s="176" t="n"/>
      <c r="P718" s="176" t="n"/>
      <c r="Q718" s="176" t="n"/>
      <c r="R718" s="176" t="n"/>
      <c r="S718" s="176" t="n"/>
      <c r="T718" s="176" t="n"/>
      <c r="U718" s="176" t="n"/>
      <c r="V718" s="176" t="n"/>
      <c r="W718" s="176" t="n"/>
      <c r="X718" s="176" t="n"/>
      <c r="Y718" s="176" t="n"/>
      <c r="Z718" s="176" t="n"/>
      <c r="AA718" s="176" t="n"/>
      <c r="AB718" s="176" t="n"/>
    </row>
    <row r="719">
      <c r="A719" s="176" t="n"/>
      <c r="B719" s="176" t="n"/>
      <c r="C719" s="176" t="n"/>
      <c r="D719" s="176" t="n"/>
      <c r="E719" s="186" t="n"/>
      <c r="F719" s="956" t="n"/>
      <c r="G719" s="956" t="n"/>
      <c r="H719" s="956" t="n"/>
      <c r="I719" s="956" t="n"/>
      <c r="J719" s="956" t="n"/>
      <c r="K719" s="946" t="n"/>
      <c r="L719" s="176" t="n"/>
      <c r="M719" s="176" t="n"/>
      <c r="N719" s="176" t="n"/>
      <c r="O719" s="176" t="n"/>
      <c r="P719" s="176" t="n"/>
      <c r="Q719" s="176" t="n"/>
      <c r="R719" s="176" t="n"/>
      <c r="S719" s="176" t="n"/>
      <c r="T719" s="176" t="n"/>
      <c r="U719" s="176" t="n"/>
      <c r="V719" s="176" t="n"/>
      <c r="W719" s="176" t="n"/>
      <c r="X719" s="176" t="n"/>
      <c r="Y719" s="176" t="n"/>
      <c r="Z719" s="176" t="n"/>
      <c r="AA719" s="176" t="n"/>
      <c r="AB719" s="176" t="n"/>
    </row>
    <row r="720">
      <c r="A720" s="176" t="n"/>
      <c r="B720" s="176" t="n"/>
      <c r="C720" s="176" t="n"/>
      <c r="D720" s="176" t="n"/>
      <c r="E720" s="186" t="n"/>
      <c r="F720" s="956" t="n"/>
      <c r="G720" s="956" t="n"/>
      <c r="H720" s="956" t="n"/>
      <c r="I720" s="956" t="n"/>
      <c r="J720" s="956" t="n"/>
      <c r="K720" s="946" t="n"/>
      <c r="L720" s="176" t="n"/>
      <c r="M720" s="176" t="n"/>
      <c r="N720" s="176" t="n"/>
      <c r="O720" s="176" t="n"/>
      <c r="P720" s="176" t="n"/>
      <c r="Q720" s="176" t="n"/>
      <c r="R720" s="176" t="n"/>
      <c r="S720" s="176" t="n"/>
      <c r="T720" s="176" t="n"/>
      <c r="U720" s="176" t="n"/>
      <c r="V720" s="176" t="n"/>
      <c r="W720" s="176" t="n"/>
      <c r="X720" s="176" t="n"/>
      <c r="Y720" s="176" t="n"/>
      <c r="Z720" s="176" t="n"/>
      <c r="AA720" s="176" t="n"/>
      <c r="AB720" s="176" t="n"/>
    </row>
    <row r="721">
      <c r="A721" s="176" t="n"/>
      <c r="B721" s="176" t="n"/>
      <c r="C721" s="176" t="n"/>
      <c r="D721" s="176" t="n"/>
      <c r="E721" s="186" t="n"/>
      <c r="F721" s="956" t="n"/>
      <c r="G721" s="956" t="n"/>
      <c r="H721" s="956" t="n"/>
      <c r="I721" s="956" t="n"/>
      <c r="J721" s="956" t="n"/>
      <c r="K721" s="946" t="n"/>
      <c r="L721" s="176" t="n"/>
      <c r="M721" s="176" t="n"/>
      <c r="N721" s="176" t="n"/>
      <c r="O721" s="176" t="n"/>
      <c r="P721" s="176" t="n"/>
      <c r="Q721" s="176" t="n"/>
      <c r="R721" s="176" t="n"/>
      <c r="S721" s="176" t="n"/>
      <c r="T721" s="176" t="n"/>
      <c r="U721" s="176" t="n"/>
      <c r="V721" s="176" t="n"/>
      <c r="W721" s="176" t="n"/>
      <c r="X721" s="176" t="n"/>
      <c r="Y721" s="176" t="n"/>
      <c r="Z721" s="176" t="n"/>
      <c r="AA721" s="176" t="n"/>
      <c r="AB721" s="176" t="n"/>
    </row>
    <row r="722">
      <c r="A722" s="176" t="n"/>
      <c r="B722" s="176" t="n"/>
      <c r="C722" s="176" t="n"/>
      <c r="D722" s="176" t="n"/>
      <c r="E722" s="186" t="n"/>
      <c r="F722" s="956" t="n"/>
      <c r="G722" s="956" t="n"/>
      <c r="H722" s="956" t="n"/>
      <c r="I722" s="956" t="n"/>
      <c r="J722" s="956" t="n"/>
      <c r="K722" s="946" t="n"/>
      <c r="L722" s="176" t="n"/>
      <c r="M722" s="176" t="n"/>
      <c r="N722" s="176" t="n"/>
      <c r="O722" s="176" t="n"/>
      <c r="P722" s="176" t="n"/>
      <c r="Q722" s="176" t="n"/>
      <c r="R722" s="176" t="n"/>
      <c r="S722" s="176" t="n"/>
      <c r="T722" s="176" t="n"/>
      <c r="U722" s="176" t="n"/>
      <c r="V722" s="176" t="n"/>
      <c r="W722" s="176" t="n"/>
      <c r="X722" s="176" t="n"/>
      <c r="Y722" s="176" t="n"/>
      <c r="Z722" s="176" t="n"/>
      <c r="AA722" s="176" t="n"/>
      <c r="AB722" s="176" t="n"/>
    </row>
    <row r="723">
      <c r="A723" s="176" t="n"/>
      <c r="B723" s="176" t="n"/>
      <c r="C723" s="176" t="n"/>
      <c r="D723" s="176" t="n"/>
      <c r="E723" s="186" t="n"/>
      <c r="F723" s="956" t="n"/>
      <c r="G723" s="956" t="n"/>
      <c r="H723" s="956" t="n"/>
      <c r="I723" s="956" t="n"/>
      <c r="J723" s="956" t="n"/>
      <c r="K723" s="946" t="n"/>
      <c r="L723" s="176" t="n"/>
      <c r="M723" s="176" t="n"/>
      <c r="N723" s="176" t="n"/>
      <c r="O723" s="176" t="n"/>
      <c r="P723" s="176" t="n"/>
      <c r="Q723" s="176" t="n"/>
      <c r="R723" s="176" t="n"/>
      <c r="S723" s="176" t="n"/>
      <c r="T723" s="176" t="n"/>
      <c r="U723" s="176" t="n"/>
      <c r="V723" s="176" t="n"/>
      <c r="W723" s="176" t="n"/>
      <c r="X723" s="176" t="n"/>
      <c r="Y723" s="176" t="n"/>
      <c r="Z723" s="176" t="n"/>
      <c r="AA723" s="176" t="n"/>
      <c r="AB723" s="176" t="n"/>
    </row>
    <row r="724">
      <c r="A724" s="176" t="n"/>
      <c r="B724" s="176" t="n"/>
      <c r="C724" s="176" t="n"/>
      <c r="D724" s="176" t="n"/>
      <c r="E724" s="186" t="n"/>
      <c r="F724" s="956" t="n"/>
      <c r="G724" s="956" t="n"/>
      <c r="H724" s="956" t="n"/>
      <c r="I724" s="956" t="n"/>
      <c r="J724" s="956" t="n"/>
      <c r="K724" s="946" t="n"/>
      <c r="L724" s="176" t="n"/>
      <c r="M724" s="176" t="n"/>
      <c r="N724" s="176" t="n"/>
      <c r="O724" s="176" t="n"/>
      <c r="P724" s="176" t="n"/>
      <c r="Q724" s="176" t="n"/>
      <c r="R724" s="176" t="n"/>
      <c r="S724" s="176" t="n"/>
      <c r="T724" s="176" t="n"/>
      <c r="U724" s="176" t="n"/>
      <c r="V724" s="176" t="n"/>
      <c r="W724" s="176" t="n"/>
      <c r="X724" s="176" t="n"/>
      <c r="Y724" s="176" t="n"/>
      <c r="Z724" s="176" t="n"/>
      <c r="AA724" s="176" t="n"/>
      <c r="AB724" s="176" t="n"/>
    </row>
    <row r="725">
      <c r="A725" s="176" t="n"/>
      <c r="B725" s="176" t="n"/>
      <c r="C725" s="176" t="n"/>
      <c r="D725" s="176" t="n"/>
      <c r="E725" s="186" t="n"/>
      <c r="F725" s="956" t="n"/>
      <c r="G725" s="956" t="n"/>
      <c r="H725" s="956" t="n"/>
      <c r="I725" s="956" t="n"/>
      <c r="J725" s="956" t="n"/>
      <c r="K725" s="946" t="n"/>
      <c r="L725" s="176" t="n"/>
      <c r="M725" s="176" t="n"/>
      <c r="N725" s="176" t="n"/>
      <c r="O725" s="176" t="n"/>
      <c r="P725" s="176" t="n"/>
      <c r="Q725" s="176" t="n"/>
      <c r="R725" s="176" t="n"/>
      <c r="S725" s="176" t="n"/>
      <c r="T725" s="176" t="n"/>
      <c r="U725" s="176" t="n"/>
      <c r="V725" s="176" t="n"/>
      <c r="W725" s="176" t="n"/>
      <c r="X725" s="176" t="n"/>
      <c r="Y725" s="176" t="n"/>
      <c r="Z725" s="176" t="n"/>
      <c r="AA725" s="176" t="n"/>
      <c r="AB725" s="176" t="n"/>
    </row>
    <row r="726">
      <c r="A726" s="176" t="n"/>
      <c r="B726" s="176" t="n"/>
      <c r="C726" s="176" t="n"/>
      <c r="D726" s="176" t="n"/>
      <c r="E726" s="186" t="n"/>
      <c r="F726" s="956" t="n"/>
      <c r="G726" s="956" t="n"/>
      <c r="H726" s="956" t="n"/>
      <c r="I726" s="956" t="n"/>
      <c r="J726" s="956" t="n"/>
      <c r="K726" s="946" t="n"/>
      <c r="L726" s="176" t="n"/>
      <c r="M726" s="176" t="n"/>
      <c r="N726" s="176" t="n"/>
      <c r="O726" s="176" t="n"/>
      <c r="P726" s="176" t="n"/>
      <c r="Q726" s="176" t="n"/>
      <c r="R726" s="176" t="n"/>
      <c r="S726" s="176" t="n"/>
      <c r="T726" s="176" t="n"/>
      <c r="U726" s="176" t="n"/>
      <c r="V726" s="176" t="n"/>
      <c r="W726" s="176" t="n"/>
      <c r="X726" s="176" t="n"/>
      <c r="Y726" s="176" t="n"/>
      <c r="Z726" s="176" t="n"/>
      <c r="AA726" s="176" t="n"/>
      <c r="AB726" s="176" t="n"/>
    </row>
    <row r="727">
      <c r="A727" s="176" t="n"/>
      <c r="B727" s="176" t="n"/>
      <c r="C727" s="176" t="n"/>
      <c r="D727" s="176" t="n"/>
      <c r="E727" s="186" t="n"/>
      <c r="F727" s="956" t="n"/>
      <c r="G727" s="956" t="n"/>
      <c r="H727" s="956" t="n"/>
      <c r="I727" s="956" t="n"/>
      <c r="J727" s="956" t="n"/>
      <c r="K727" s="946" t="n"/>
      <c r="L727" s="176" t="n"/>
      <c r="M727" s="176" t="n"/>
      <c r="N727" s="176" t="n"/>
      <c r="O727" s="176" t="n"/>
      <c r="P727" s="176" t="n"/>
      <c r="Q727" s="176" t="n"/>
      <c r="R727" s="176" t="n"/>
      <c r="S727" s="176" t="n"/>
      <c r="T727" s="176" t="n"/>
      <c r="U727" s="176" t="n"/>
      <c r="V727" s="176" t="n"/>
      <c r="W727" s="176" t="n"/>
      <c r="X727" s="176" t="n"/>
      <c r="Y727" s="176" t="n"/>
      <c r="Z727" s="176" t="n"/>
      <c r="AA727" s="176" t="n"/>
      <c r="AB727" s="176" t="n"/>
    </row>
    <row r="728">
      <c r="A728" s="176" t="n"/>
      <c r="B728" s="176" t="n"/>
      <c r="C728" s="176" t="n"/>
      <c r="D728" s="176" t="n"/>
      <c r="E728" s="186" t="n"/>
      <c r="F728" s="956" t="n"/>
      <c r="G728" s="956" t="n"/>
      <c r="H728" s="956" t="n"/>
      <c r="I728" s="956" t="n"/>
      <c r="J728" s="956" t="n"/>
      <c r="K728" s="946" t="n"/>
      <c r="L728" s="176" t="n"/>
      <c r="M728" s="176" t="n"/>
      <c r="N728" s="176" t="n"/>
      <c r="O728" s="176" t="n"/>
      <c r="P728" s="176" t="n"/>
      <c r="Q728" s="176" t="n"/>
      <c r="R728" s="176" t="n"/>
      <c r="S728" s="176" t="n"/>
      <c r="T728" s="176" t="n"/>
      <c r="U728" s="176" t="n"/>
      <c r="V728" s="176" t="n"/>
      <c r="W728" s="176" t="n"/>
      <c r="X728" s="176" t="n"/>
      <c r="Y728" s="176" t="n"/>
      <c r="Z728" s="176" t="n"/>
      <c r="AA728" s="176" t="n"/>
      <c r="AB728" s="176" t="n"/>
    </row>
    <row r="729">
      <c r="A729" s="176" t="n"/>
      <c r="B729" s="176" t="n"/>
      <c r="C729" s="176" t="n"/>
      <c r="D729" s="176" t="n"/>
      <c r="E729" s="186" t="n"/>
      <c r="F729" s="956" t="n"/>
      <c r="G729" s="956" t="n"/>
      <c r="H729" s="956" t="n"/>
      <c r="I729" s="956" t="n"/>
      <c r="J729" s="956" t="n"/>
      <c r="K729" s="946" t="n"/>
      <c r="L729" s="176" t="n"/>
      <c r="M729" s="176" t="n"/>
      <c r="N729" s="176" t="n"/>
      <c r="O729" s="176" t="n"/>
      <c r="P729" s="176" t="n"/>
      <c r="Q729" s="176" t="n"/>
      <c r="R729" s="176" t="n"/>
      <c r="S729" s="176" t="n"/>
      <c r="T729" s="176" t="n"/>
      <c r="U729" s="176" t="n"/>
      <c r="V729" s="176" t="n"/>
      <c r="W729" s="176" t="n"/>
      <c r="X729" s="176" t="n"/>
      <c r="Y729" s="176" t="n"/>
      <c r="Z729" s="176" t="n"/>
      <c r="AA729" s="176" t="n"/>
      <c r="AB729" s="176" t="n"/>
    </row>
    <row r="730">
      <c r="A730" s="176" t="n"/>
      <c r="B730" s="176" t="n"/>
      <c r="C730" s="176" t="n"/>
      <c r="D730" s="176" t="n"/>
      <c r="E730" s="186" t="n"/>
      <c r="F730" s="956" t="n"/>
      <c r="G730" s="956" t="n"/>
      <c r="H730" s="956" t="n"/>
      <c r="I730" s="956" t="n"/>
      <c r="J730" s="956" t="n"/>
      <c r="K730" s="946" t="n"/>
      <c r="L730" s="176" t="n"/>
      <c r="M730" s="176" t="n"/>
      <c r="N730" s="176" t="n"/>
      <c r="O730" s="176" t="n"/>
      <c r="P730" s="176" t="n"/>
      <c r="Q730" s="176" t="n"/>
      <c r="R730" s="176" t="n"/>
      <c r="S730" s="176" t="n"/>
      <c r="T730" s="176" t="n"/>
      <c r="U730" s="176" t="n"/>
      <c r="V730" s="176" t="n"/>
      <c r="W730" s="176" t="n"/>
      <c r="X730" s="176" t="n"/>
      <c r="Y730" s="176" t="n"/>
      <c r="Z730" s="176" t="n"/>
      <c r="AA730" s="176" t="n"/>
      <c r="AB730" s="176" t="n"/>
    </row>
    <row r="731">
      <c r="A731" s="176" t="n"/>
      <c r="B731" s="176" t="n"/>
      <c r="C731" s="176" t="n"/>
      <c r="D731" s="176" t="n"/>
      <c r="E731" s="186" t="n"/>
      <c r="F731" s="956" t="n"/>
      <c r="G731" s="956" t="n"/>
      <c r="H731" s="956" t="n"/>
      <c r="I731" s="956" t="n"/>
      <c r="J731" s="956" t="n"/>
      <c r="K731" s="946" t="n"/>
      <c r="L731" s="176" t="n"/>
      <c r="M731" s="176" t="n"/>
      <c r="N731" s="176" t="n"/>
      <c r="O731" s="176" t="n"/>
      <c r="P731" s="176" t="n"/>
      <c r="Q731" s="176" t="n"/>
      <c r="R731" s="176" t="n"/>
      <c r="S731" s="176" t="n"/>
      <c r="T731" s="176" t="n"/>
      <c r="U731" s="176" t="n"/>
      <c r="V731" s="176" t="n"/>
      <c r="W731" s="176" t="n"/>
      <c r="X731" s="176" t="n"/>
      <c r="Y731" s="176" t="n"/>
      <c r="Z731" s="176" t="n"/>
      <c r="AA731" s="176" t="n"/>
      <c r="AB731" s="176" t="n"/>
    </row>
    <row r="732">
      <c r="A732" s="176" t="n"/>
      <c r="B732" s="176" t="n"/>
      <c r="C732" s="176" t="n"/>
      <c r="D732" s="176" t="n"/>
      <c r="E732" s="186" t="n"/>
      <c r="F732" s="956" t="n"/>
      <c r="G732" s="956" t="n"/>
      <c r="H732" s="956" t="n"/>
      <c r="I732" s="956" t="n"/>
      <c r="J732" s="956" t="n"/>
      <c r="K732" s="946" t="n"/>
      <c r="L732" s="176" t="n"/>
      <c r="M732" s="176" t="n"/>
      <c r="N732" s="176" t="n"/>
      <c r="O732" s="176" t="n"/>
      <c r="P732" s="176" t="n"/>
      <c r="Q732" s="176" t="n"/>
      <c r="R732" s="176" t="n"/>
      <c r="S732" s="176" t="n"/>
      <c r="T732" s="176" t="n"/>
      <c r="U732" s="176" t="n"/>
      <c r="V732" s="176" t="n"/>
      <c r="W732" s="176" t="n"/>
      <c r="X732" s="176" t="n"/>
      <c r="Y732" s="176" t="n"/>
      <c r="Z732" s="176" t="n"/>
      <c r="AA732" s="176" t="n"/>
      <c r="AB732" s="176" t="n"/>
    </row>
    <row r="733">
      <c r="A733" s="176" t="n"/>
      <c r="B733" s="176" t="n"/>
      <c r="C733" s="176" t="n"/>
      <c r="D733" s="176" t="n"/>
      <c r="E733" s="186" t="n"/>
      <c r="F733" s="956" t="n"/>
      <c r="G733" s="956" t="n"/>
      <c r="H733" s="956" t="n"/>
      <c r="I733" s="956" t="n"/>
      <c r="J733" s="956" t="n"/>
      <c r="K733" s="946" t="n"/>
      <c r="L733" s="176" t="n"/>
      <c r="M733" s="176" t="n"/>
      <c r="N733" s="176" t="n"/>
      <c r="O733" s="176" t="n"/>
      <c r="P733" s="176" t="n"/>
      <c r="Q733" s="176" t="n"/>
      <c r="R733" s="176" t="n"/>
      <c r="S733" s="176" t="n"/>
      <c r="T733" s="176" t="n"/>
      <c r="U733" s="176" t="n"/>
      <c r="V733" s="176" t="n"/>
      <c r="W733" s="176" t="n"/>
      <c r="X733" s="176" t="n"/>
      <c r="Y733" s="176" t="n"/>
      <c r="Z733" s="176" t="n"/>
      <c r="AA733" s="176" t="n"/>
      <c r="AB733" s="176" t="n"/>
    </row>
    <row r="734">
      <c r="A734" s="176" t="n"/>
      <c r="B734" s="176" t="n"/>
      <c r="C734" s="176" t="n"/>
      <c r="D734" s="176" t="n"/>
      <c r="E734" s="186" t="n"/>
      <c r="F734" s="956" t="n"/>
      <c r="G734" s="956" t="n"/>
      <c r="H734" s="956" t="n"/>
      <c r="I734" s="956" t="n"/>
      <c r="J734" s="956" t="n"/>
      <c r="K734" s="946" t="n"/>
      <c r="L734" s="176" t="n"/>
      <c r="M734" s="176" t="n"/>
      <c r="N734" s="176" t="n"/>
      <c r="O734" s="176" t="n"/>
      <c r="P734" s="176" t="n"/>
      <c r="Q734" s="176" t="n"/>
      <c r="R734" s="176" t="n"/>
      <c r="S734" s="176" t="n"/>
      <c r="T734" s="176" t="n"/>
      <c r="U734" s="176" t="n"/>
      <c r="V734" s="176" t="n"/>
      <c r="W734" s="176" t="n"/>
      <c r="X734" s="176" t="n"/>
      <c r="Y734" s="176" t="n"/>
      <c r="Z734" s="176" t="n"/>
      <c r="AA734" s="176" t="n"/>
      <c r="AB734" s="176" t="n"/>
    </row>
    <row r="735">
      <c r="A735" s="176" t="n"/>
      <c r="B735" s="176" t="n"/>
      <c r="C735" s="176" t="n"/>
      <c r="D735" s="176" t="n"/>
      <c r="E735" s="186" t="n"/>
      <c r="F735" s="956" t="n"/>
      <c r="G735" s="956" t="n"/>
      <c r="H735" s="956" t="n"/>
      <c r="I735" s="956" t="n"/>
      <c r="J735" s="956" t="n"/>
      <c r="K735" s="946" t="n"/>
      <c r="L735" s="176" t="n"/>
      <c r="M735" s="176" t="n"/>
      <c r="N735" s="176" t="n"/>
      <c r="O735" s="176" t="n"/>
      <c r="P735" s="176" t="n"/>
      <c r="Q735" s="176" t="n"/>
      <c r="R735" s="176" t="n"/>
      <c r="S735" s="176" t="n"/>
      <c r="T735" s="176" t="n"/>
      <c r="U735" s="176" t="n"/>
      <c r="V735" s="176" t="n"/>
      <c r="W735" s="176" t="n"/>
      <c r="X735" s="176" t="n"/>
      <c r="Y735" s="176" t="n"/>
      <c r="Z735" s="176" t="n"/>
      <c r="AA735" s="176" t="n"/>
      <c r="AB735" s="176" t="n"/>
    </row>
    <row r="736">
      <c r="A736" s="176" t="n"/>
      <c r="B736" s="176" t="n"/>
      <c r="C736" s="176" t="n"/>
      <c r="D736" s="176" t="n"/>
      <c r="E736" s="186" t="n"/>
      <c r="F736" s="956" t="n"/>
      <c r="G736" s="956" t="n"/>
      <c r="H736" s="956" t="n"/>
      <c r="I736" s="956" t="n"/>
      <c r="J736" s="956" t="n"/>
      <c r="K736" s="946" t="n"/>
      <c r="L736" s="176" t="n"/>
      <c r="M736" s="176" t="n"/>
      <c r="N736" s="176" t="n"/>
      <c r="O736" s="176" t="n"/>
      <c r="P736" s="176" t="n"/>
      <c r="Q736" s="176" t="n"/>
      <c r="R736" s="176" t="n"/>
      <c r="S736" s="176" t="n"/>
      <c r="T736" s="176" t="n"/>
      <c r="U736" s="176" t="n"/>
      <c r="V736" s="176" t="n"/>
      <c r="W736" s="176" t="n"/>
      <c r="X736" s="176" t="n"/>
      <c r="Y736" s="176" t="n"/>
      <c r="Z736" s="176" t="n"/>
      <c r="AA736" s="176" t="n"/>
      <c r="AB736" s="176" t="n"/>
    </row>
    <row r="737">
      <c r="A737" s="176" t="n"/>
      <c r="B737" s="176" t="n"/>
      <c r="C737" s="176" t="n"/>
      <c r="D737" s="176" t="n"/>
      <c r="E737" s="186" t="n"/>
      <c r="F737" s="956" t="n"/>
      <c r="G737" s="956" t="n"/>
      <c r="H737" s="956" t="n"/>
      <c r="I737" s="956" t="n"/>
      <c r="J737" s="956" t="n"/>
      <c r="K737" s="946" t="n"/>
      <c r="L737" s="176" t="n"/>
      <c r="M737" s="176" t="n"/>
      <c r="N737" s="176" t="n"/>
      <c r="O737" s="176" t="n"/>
      <c r="P737" s="176" t="n"/>
      <c r="Q737" s="176" t="n"/>
      <c r="R737" s="176" t="n"/>
      <c r="S737" s="176" t="n"/>
      <c r="T737" s="176" t="n"/>
      <c r="U737" s="176" t="n"/>
      <c r="V737" s="176" t="n"/>
      <c r="W737" s="176" t="n"/>
      <c r="X737" s="176" t="n"/>
      <c r="Y737" s="176" t="n"/>
      <c r="Z737" s="176" t="n"/>
      <c r="AA737" s="176" t="n"/>
      <c r="AB737" s="176" t="n"/>
    </row>
    <row r="738">
      <c r="A738" s="176" t="n"/>
      <c r="B738" s="176" t="n"/>
      <c r="C738" s="176" t="n"/>
      <c r="D738" s="176" t="n"/>
      <c r="E738" s="186" t="n"/>
      <c r="F738" s="956" t="n"/>
      <c r="G738" s="956" t="n"/>
      <c r="H738" s="956" t="n"/>
      <c r="I738" s="956" t="n"/>
      <c r="J738" s="956" t="n"/>
      <c r="K738" s="946" t="n"/>
      <c r="L738" s="176" t="n"/>
      <c r="M738" s="176" t="n"/>
      <c r="N738" s="176" t="n"/>
      <c r="O738" s="176" t="n"/>
      <c r="P738" s="176" t="n"/>
      <c r="Q738" s="176" t="n"/>
      <c r="R738" s="176" t="n"/>
      <c r="S738" s="176" t="n"/>
      <c r="T738" s="176" t="n"/>
      <c r="U738" s="176" t="n"/>
      <c r="V738" s="176" t="n"/>
      <c r="W738" s="176" t="n"/>
      <c r="X738" s="176" t="n"/>
      <c r="Y738" s="176" t="n"/>
      <c r="Z738" s="176" t="n"/>
      <c r="AA738" s="176" t="n"/>
      <c r="AB738" s="176" t="n"/>
    </row>
    <row r="739">
      <c r="A739" s="176" t="n"/>
      <c r="B739" s="176" t="n"/>
      <c r="C739" s="176" t="n"/>
      <c r="D739" s="176" t="n"/>
      <c r="E739" s="186" t="n"/>
      <c r="F739" s="956" t="n"/>
      <c r="G739" s="956" t="n"/>
      <c r="H739" s="956" t="n"/>
      <c r="I739" s="956" t="n"/>
      <c r="J739" s="956" t="n"/>
      <c r="K739" s="946" t="n"/>
      <c r="L739" s="176" t="n"/>
      <c r="M739" s="176" t="n"/>
      <c r="N739" s="176" t="n"/>
      <c r="O739" s="176" t="n"/>
      <c r="P739" s="176" t="n"/>
      <c r="Q739" s="176" t="n"/>
      <c r="R739" s="176" t="n"/>
      <c r="S739" s="176" t="n"/>
      <c r="T739" s="176" t="n"/>
      <c r="U739" s="176" t="n"/>
      <c r="V739" s="176" t="n"/>
      <c r="W739" s="176" t="n"/>
      <c r="X739" s="176" t="n"/>
      <c r="Y739" s="176" t="n"/>
      <c r="Z739" s="176" t="n"/>
      <c r="AA739" s="176" t="n"/>
      <c r="AB739" s="176" t="n"/>
    </row>
    <row r="740">
      <c r="A740" s="176" t="n"/>
      <c r="B740" s="176" t="n"/>
      <c r="C740" s="176" t="n"/>
      <c r="D740" s="176" t="n"/>
      <c r="E740" s="186" t="n"/>
      <c r="F740" s="956" t="n"/>
      <c r="G740" s="956" t="n"/>
      <c r="H740" s="956" t="n"/>
      <c r="I740" s="956" t="n"/>
      <c r="J740" s="956" t="n"/>
      <c r="K740" s="946" t="n"/>
      <c r="L740" s="176" t="n"/>
      <c r="M740" s="176" t="n"/>
      <c r="N740" s="176" t="n"/>
      <c r="O740" s="176" t="n"/>
      <c r="P740" s="176" t="n"/>
      <c r="Q740" s="176" t="n"/>
      <c r="R740" s="176" t="n"/>
      <c r="S740" s="176" t="n"/>
      <c r="T740" s="176" t="n"/>
      <c r="U740" s="176" t="n"/>
      <c r="V740" s="176" t="n"/>
      <c r="W740" s="176" t="n"/>
      <c r="X740" s="176" t="n"/>
      <c r="Y740" s="176" t="n"/>
      <c r="Z740" s="176" t="n"/>
      <c r="AA740" s="176" t="n"/>
      <c r="AB740" s="176" t="n"/>
    </row>
    <row r="741">
      <c r="A741" s="176" t="n"/>
      <c r="B741" s="176" t="n"/>
      <c r="C741" s="176" t="n"/>
      <c r="D741" s="176" t="n"/>
      <c r="E741" s="186" t="n"/>
      <c r="F741" s="956" t="n"/>
      <c r="G741" s="956" t="n"/>
      <c r="H741" s="956" t="n"/>
      <c r="I741" s="956" t="n"/>
      <c r="J741" s="956" t="n"/>
      <c r="K741" s="946" t="n"/>
      <c r="L741" s="176" t="n"/>
      <c r="M741" s="176" t="n"/>
      <c r="N741" s="176" t="n"/>
      <c r="O741" s="176" t="n"/>
      <c r="P741" s="176" t="n"/>
      <c r="Q741" s="176" t="n"/>
      <c r="R741" s="176" t="n"/>
      <c r="S741" s="176" t="n"/>
      <c r="T741" s="176" t="n"/>
      <c r="U741" s="176" t="n"/>
      <c r="V741" s="176" t="n"/>
      <c r="W741" s="176" t="n"/>
      <c r="X741" s="176" t="n"/>
      <c r="Y741" s="176" t="n"/>
      <c r="Z741" s="176" t="n"/>
      <c r="AA741" s="176" t="n"/>
      <c r="AB741" s="176" t="n"/>
    </row>
    <row r="742">
      <c r="A742" s="176" t="n"/>
      <c r="B742" s="176" t="n"/>
      <c r="C742" s="176" t="n"/>
      <c r="D742" s="176" t="n"/>
      <c r="E742" s="186" t="n"/>
      <c r="F742" s="956" t="n"/>
      <c r="G742" s="956" t="n"/>
      <c r="H742" s="956" t="n"/>
      <c r="I742" s="956" t="n"/>
      <c r="J742" s="956" t="n"/>
      <c r="K742" s="946" t="n"/>
      <c r="L742" s="176" t="n"/>
      <c r="M742" s="176" t="n"/>
      <c r="N742" s="176" t="n"/>
      <c r="O742" s="176" t="n"/>
      <c r="P742" s="176" t="n"/>
      <c r="Q742" s="176" t="n"/>
      <c r="R742" s="176" t="n"/>
      <c r="S742" s="176" t="n"/>
      <c r="T742" s="176" t="n"/>
      <c r="U742" s="176" t="n"/>
      <c r="V742" s="176" t="n"/>
      <c r="W742" s="176" t="n"/>
      <c r="X742" s="176" t="n"/>
      <c r="Y742" s="176" t="n"/>
      <c r="Z742" s="176" t="n"/>
      <c r="AA742" s="176" t="n"/>
      <c r="AB742" s="176" t="n"/>
    </row>
    <row r="743">
      <c r="A743" s="176" t="n"/>
      <c r="B743" s="176" t="n"/>
      <c r="C743" s="176" t="n"/>
      <c r="D743" s="176" t="n"/>
      <c r="E743" s="186" t="n"/>
      <c r="F743" s="956" t="n"/>
      <c r="G743" s="956" t="n"/>
      <c r="H743" s="956" t="n"/>
      <c r="I743" s="956" t="n"/>
      <c r="J743" s="956" t="n"/>
      <c r="K743" s="946" t="n"/>
      <c r="L743" s="176" t="n"/>
      <c r="M743" s="176" t="n"/>
      <c r="N743" s="176" t="n"/>
      <c r="O743" s="176" t="n"/>
      <c r="P743" s="176" t="n"/>
      <c r="Q743" s="176" t="n"/>
      <c r="R743" s="176" t="n"/>
      <c r="S743" s="176" t="n"/>
      <c r="T743" s="176" t="n"/>
      <c r="U743" s="176" t="n"/>
      <c r="V743" s="176" t="n"/>
      <c r="W743" s="176" t="n"/>
      <c r="X743" s="176" t="n"/>
      <c r="Y743" s="176" t="n"/>
      <c r="Z743" s="176" t="n"/>
      <c r="AA743" s="176" t="n"/>
      <c r="AB743" s="176" t="n"/>
    </row>
    <row r="744">
      <c r="A744" s="176" t="n"/>
      <c r="B744" s="176" t="n"/>
      <c r="C744" s="176" t="n"/>
      <c r="D744" s="176" t="n"/>
      <c r="E744" s="186" t="n"/>
      <c r="F744" s="956" t="n"/>
      <c r="G744" s="956" t="n"/>
      <c r="H744" s="956" t="n"/>
      <c r="I744" s="956" t="n"/>
      <c r="J744" s="956" t="n"/>
      <c r="K744" s="946" t="n"/>
      <c r="L744" s="176" t="n"/>
      <c r="M744" s="176" t="n"/>
      <c r="N744" s="176" t="n"/>
      <c r="O744" s="176" t="n"/>
      <c r="P744" s="176" t="n"/>
      <c r="Q744" s="176" t="n"/>
      <c r="R744" s="176" t="n"/>
      <c r="S744" s="176" t="n"/>
      <c r="T744" s="176" t="n"/>
      <c r="U744" s="176" t="n"/>
      <c r="V744" s="176" t="n"/>
      <c r="W744" s="176" t="n"/>
      <c r="X744" s="176" t="n"/>
      <c r="Y744" s="176" t="n"/>
      <c r="Z744" s="176" t="n"/>
      <c r="AA744" s="176" t="n"/>
      <c r="AB744" s="176" t="n"/>
    </row>
    <row r="745">
      <c r="A745" s="176" t="n"/>
      <c r="B745" s="176" t="n"/>
      <c r="C745" s="176" t="n"/>
      <c r="D745" s="176" t="n"/>
      <c r="E745" s="186" t="n"/>
      <c r="F745" s="956" t="n"/>
      <c r="G745" s="956" t="n"/>
      <c r="H745" s="956" t="n"/>
      <c r="I745" s="956" t="n"/>
      <c r="J745" s="956" t="n"/>
      <c r="K745" s="946" t="n"/>
      <c r="L745" s="176" t="n"/>
      <c r="M745" s="176" t="n"/>
      <c r="N745" s="176" t="n"/>
      <c r="O745" s="176" t="n"/>
      <c r="P745" s="176" t="n"/>
      <c r="Q745" s="176" t="n"/>
      <c r="R745" s="176" t="n"/>
      <c r="S745" s="176" t="n"/>
      <c r="T745" s="176" t="n"/>
      <c r="U745" s="176" t="n"/>
      <c r="V745" s="176" t="n"/>
      <c r="W745" s="176" t="n"/>
      <c r="X745" s="176" t="n"/>
      <c r="Y745" s="176" t="n"/>
      <c r="Z745" s="176" t="n"/>
      <c r="AA745" s="176" t="n"/>
      <c r="AB745" s="176" t="n"/>
    </row>
    <row r="746">
      <c r="A746" s="176" t="n"/>
      <c r="B746" s="176" t="n"/>
      <c r="C746" s="176" t="n"/>
      <c r="D746" s="176" t="n"/>
      <c r="E746" s="186" t="n"/>
      <c r="F746" s="956" t="n"/>
      <c r="G746" s="956" t="n"/>
      <c r="H746" s="956" t="n"/>
      <c r="I746" s="956" t="n"/>
      <c r="J746" s="956" t="n"/>
      <c r="K746" s="946" t="n"/>
      <c r="L746" s="176" t="n"/>
      <c r="M746" s="176" t="n"/>
      <c r="N746" s="176" t="n"/>
      <c r="O746" s="176" t="n"/>
      <c r="P746" s="176" t="n"/>
      <c r="Q746" s="176" t="n"/>
      <c r="R746" s="176" t="n"/>
      <c r="S746" s="176" t="n"/>
      <c r="T746" s="176" t="n"/>
      <c r="U746" s="176" t="n"/>
      <c r="V746" s="176" t="n"/>
      <c r="W746" s="176" t="n"/>
      <c r="X746" s="176" t="n"/>
      <c r="Y746" s="176" t="n"/>
      <c r="Z746" s="176" t="n"/>
      <c r="AA746" s="176" t="n"/>
      <c r="AB746" s="176" t="n"/>
    </row>
    <row r="747">
      <c r="A747" s="176" t="n"/>
      <c r="B747" s="176" t="n"/>
      <c r="C747" s="176" t="n"/>
      <c r="D747" s="176" t="n"/>
      <c r="E747" s="186" t="n"/>
      <c r="F747" s="956" t="n"/>
      <c r="G747" s="956" t="n"/>
      <c r="H747" s="956" t="n"/>
      <c r="I747" s="956" t="n"/>
      <c r="J747" s="956" t="n"/>
      <c r="K747" s="946" t="n"/>
      <c r="L747" s="176" t="n"/>
      <c r="M747" s="176" t="n"/>
      <c r="N747" s="176" t="n"/>
      <c r="O747" s="176" t="n"/>
      <c r="P747" s="176" t="n"/>
      <c r="Q747" s="176" t="n"/>
      <c r="R747" s="176" t="n"/>
      <c r="S747" s="176" t="n"/>
      <c r="T747" s="176" t="n"/>
      <c r="U747" s="176" t="n"/>
      <c r="V747" s="176" t="n"/>
      <c r="W747" s="176" t="n"/>
      <c r="X747" s="176" t="n"/>
      <c r="Y747" s="176" t="n"/>
      <c r="Z747" s="176" t="n"/>
      <c r="AA747" s="176" t="n"/>
      <c r="AB747" s="176" t="n"/>
    </row>
    <row r="748">
      <c r="A748" s="176" t="n"/>
      <c r="B748" s="176" t="n"/>
      <c r="C748" s="176" t="n"/>
      <c r="D748" s="176" t="n"/>
      <c r="E748" s="186" t="n"/>
      <c r="F748" s="956" t="n"/>
      <c r="G748" s="956" t="n"/>
      <c r="H748" s="956" t="n"/>
      <c r="I748" s="956" t="n"/>
      <c r="J748" s="956" t="n"/>
      <c r="K748" s="946" t="n"/>
      <c r="L748" s="176" t="n"/>
      <c r="M748" s="176" t="n"/>
      <c r="N748" s="176" t="n"/>
      <c r="O748" s="176" t="n"/>
      <c r="P748" s="176" t="n"/>
      <c r="Q748" s="176" t="n"/>
      <c r="R748" s="176" t="n"/>
      <c r="S748" s="176" t="n"/>
      <c r="T748" s="176" t="n"/>
      <c r="U748" s="176" t="n"/>
      <c r="V748" s="176" t="n"/>
      <c r="W748" s="176" t="n"/>
      <c r="X748" s="176" t="n"/>
      <c r="Y748" s="176" t="n"/>
      <c r="Z748" s="176" t="n"/>
      <c r="AA748" s="176" t="n"/>
      <c r="AB748" s="176" t="n"/>
    </row>
    <row r="749">
      <c r="A749" s="176" t="n"/>
      <c r="B749" s="176" t="n"/>
      <c r="C749" s="176" t="n"/>
      <c r="D749" s="176" t="n"/>
      <c r="E749" s="186" t="n"/>
      <c r="F749" s="956" t="n"/>
      <c r="G749" s="956" t="n"/>
      <c r="H749" s="956" t="n"/>
      <c r="I749" s="956" t="n"/>
      <c r="J749" s="956" t="n"/>
      <c r="K749" s="946" t="n"/>
      <c r="L749" s="176" t="n"/>
      <c r="M749" s="176" t="n"/>
      <c r="N749" s="176" t="n"/>
      <c r="O749" s="176" t="n"/>
      <c r="P749" s="176" t="n"/>
      <c r="Q749" s="176" t="n"/>
      <c r="R749" s="176" t="n"/>
      <c r="S749" s="176" t="n"/>
      <c r="T749" s="176" t="n"/>
      <c r="U749" s="176" t="n"/>
      <c r="V749" s="176" t="n"/>
      <c r="W749" s="176" t="n"/>
      <c r="X749" s="176" t="n"/>
      <c r="Y749" s="176" t="n"/>
      <c r="Z749" s="176" t="n"/>
      <c r="AA749" s="176" t="n"/>
      <c r="AB749" s="176" t="n"/>
    </row>
    <row r="750">
      <c r="A750" s="176" t="n"/>
      <c r="B750" s="176" t="n"/>
      <c r="C750" s="176" t="n"/>
      <c r="D750" s="176" t="n"/>
      <c r="E750" s="186" t="n"/>
      <c r="F750" s="956" t="n"/>
      <c r="G750" s="956" t="n"/>
      <c r="H750" s="956" t="n"/>
      <c r="I750" s="956" t="n"/>
      <c r="J750" s="956" t="n"/>
      <c r="K750" s="946" t="n"/>
      <c r="L750" s="176" t="n"/>
      <c r="M750" s="176" t="n"/>
      <c r="N750" s="176" t="n"/>
      <c r="O750" s="176" t="n"/>
      <c r="P750" s="176" t="n"/>
      <c r="Q750" s="176" t="n"/>
      <c r="R750" s="176" t="n"/>
      <c r="S750" s="176" t="n"/>
      <c r="T750" s="176" t="n"/>
      <c r="U750" s="176" t="n"/>
      <c r="V750" s="176" t="n"/>
      <c r="W750" s="176" t="n"/>
      <c r="X750" s="176" t="n"/>
      <c r="Y750" s="176" t="n"/>
      <c r="Z750" s="176" t="n"/>
      <c r="AA750" s="176" t="n"/>
      <c r="AB750" s="176" t="n"/>
    </row>
    <row r="751">
      <c r="A751" s="176" t="n"/>
      <c r="B751" s="176" t="n"/>
      <c r="C751" s="176" t="n"/>
      <c r="D751" s="176" t="n"/>
      <c r="E751" s="186" t="n"/>
      <c r="F751" s="956" t="n"/>
      <c r="G751" s="956" t="n"/>
      <c r="H751" s="956" t="n"/>
      <c r="I751" s="956" t="n"/>
      <c r="J751" s="956" t="n"/>
      <c r="K751" s="946" t="n"/>
      <c r="L751" s="176" t="n"/>
      <c r="M751" s="176" t="n"/>
      <c r="N751" s="176" t="n"/>
      <c r="O751" s="176" t="n"/>
      <c r="P751" s="176" t="n"/>
      <c r="Q751" s="176" t="n"/>
      <c r="R751" s="176" t="n"/>
      <c r="S751" s="176" t="n"/>
      <c r="T751" s="176" t="n"/>
      <c r="U751" s="176" t="n"/>
      <c r="V751" s="176" t="n"/>
      <c r="W751" s="176" t="n"/>
      <c r="X751" s="176" t="n"/>
      <c r="Y751" s="176" t="n"/>
      <c r="Z751" s="176" t="n"/>
      <c r="AA751" s="176" t="n"/>
      <c r="AB751" s="176" t="n"/>
    </row>
    <row r="752">
      <c r="A752" s="176" t="n"/>
      <c r="B752" s="176" t="n"/>
      <c r="C752" s="176" t="n"/>
      <c r="D752" s="176" t="n"/>
      <c r="E752" s="186" t="n"/>
      <c r="F752" s="956" t="n"/>
      <c r="G752" s="956" t="n"/>
      <c r="H752" s="956" t="n"/>
      <c r="I752" s="956" t="n"/>
      <c r="J752" s="956" t="n"/>
      <c r="K752" s="946" t="n"/>
      <c r="L752" s="176" t="n"/>
      <c r="M752" s="176" t="n"/>
      <c r="N752" s="176" t="n"/>
      <c r="O752" s="176" t="n"/>
      <c r="P752" s="176" t="n"/>
      <c r="Q752" s="176" t="n"/>
      <c r="R752" s="176" t="n"/>
      <c r="S752" s="176" t="n"/>
      <c r="T752" s="176" t="n"/>
      <c r="U752" s="176" t="n"/>
      <c r="V752" s="176" t="n"/>
      <c r="W752" s="176" t="n"/>
      <c r="X752" s="176" t="n"/>
      <c r="Y752" s="176" t="n"/>
      <c r="Z752" s="176" t="n"/>
      <c r="AA752" s="176" t="n"/>
      <c r="AB752" s="176" t="n"/>
    </row>
    <row r="753">
      <c r="A753" s="176" t="n"/>
      <c r="B753" s="176" t="n"/>
      <c r="C753" s="176" t="n"/>
      <c r="D753" s="176" t="n"/>
      <c r="E753" s="186" t="n"/>
      <c r="F753" s="956" t="n"/>
      <c r="G753" s="956" t="n"/>
      <c r="H753" s="956" t="n"/>
      <c r="I753" s="956" t="n"/>
      <c r="J753" s="956" t="n"/>
      <c r="K753" s="946" t="n"/>
      <c r="L753" s="176" t="n"/>
      <c r="M753" s="176" t="n"/>
      <c r="N753" s="176" t="n"/>
      <c r="O753" s="176" t="n"/>
      <c r="P753" s="176" t="n"/>
      <c r="Q753" s="176" t="n"/>
      <c r="R753" s="176" t="n"/>
      <c r="S753" s="176" t="n"/>
      <c r="T753" s="176" t="n"/>
      <c r="U753" s="176" t="n"/>
      <c r="V753" s="176" t="n"/>
      <c r="W753" s="176" t="n"/>
      <c r="X753" s="176" t="n"/>
      <c r="Y753" s="176" t="n"/>
      <c r="Z753" s="176" t="n"/>
      <c r="AA753" s="176" t="n"/>
      <c r="AB753" s="176" t="n"/>
    </row>
    <row r="754">
      <c r="A754" s="176" t="n"/>
      <c r="B754" s="176" t="n"/>
      <c r="C754" s="176" t="n"/>
      <c r="D754" s="176" t="n"/>
      <c r="E754" s="186" t="n"/>
      <c r="F754" s="956" t="n"/>
      <c r="G754" s="956" t="n"/>
      <c r="H754" s="956" t="n"/>
      <c r="I754" s="956" t="n"/>
      <c r="J754" s="956" t="n"/>
      <c r="K754" s="946" t="n"/>
      <c r="L754" s="176" t="n"/>
      <c r="M754" s="176" t="n"/>
      <c r="N754" s="176" t="n"/>
      <c r="O754" s="176" t="n"/>
      <c r="P754" s="176" t="n"/>
      <c r="Q754" s="176" t="n"/>
      <c r="R754" s="176" t="n"/>
      <c r="S754" s="176" t="n"/>
      <c r="T754" s="176" t="n"/>
      <c r="U754" s="176" t="n"/>
      <c r="V754" s="176" t="n"/>
      <c r="W754" s="176" t="n"/>
      <c r="X754" s="176" t="n"/>
      <c r="Y754" s="176" t="n"/>
      <c r="Z754" s="176" t="n"/>
      <c r="AA754" s="176" t="n"/>
      <c r="AB754" s="176" t="n"/>
    </row>
    <row r="755">
      <c r="A755" s="176" t="n"/>
      <c r="B755" s="176" t="n"/>
      <c r="C755" s="176" t="n"/>
      <c r="D755" s="176" t="n"/>
      <c r="E755" s="186" t="n"/>
      <c r="F755" s="956" t="n"/>
      <c r="G755" s="956" t="n"/>
      <c r="H755" s="956" t="n"/>
      <c r="I755" s="956" t="n"/>
      <c r="J755" s="956" t="n"/>
      <c r="K755" s="946" t="n"/>
      <c r="L755" s="176" t="n"/>
      <c r="M755" s="176" t="n"/>
      <c r="N755" s="176" t="n"/>
      <c r="O755" s="176" t="n"/>
      <c r="P755" s="176" t="n"/>
      <c r="Q755" s="176" t="n"/>
      <c r="R755" s="176" t="n"/>
      <c r="S755" s="176" t="n"/>
      <c r="T755" s="176" t="n"/>
      <c r="U755" s="176" t="n"/>
      <c r="V755" s="176" t="n"/>
      <c r="W755" s="176" t="n"/>
      <c r="X755" s="176" t="n"/>
      <c r="Y755" s="176" t="n"/>
      <c r="Z755" s="176" t="n"/>
      <c r="AA755" s="176" t="n"/>
      <c r="AB755" s="176" t="n"/>
    </row>
    <row r="756">
      <c r="A756" s="176" t="n"/>
      <c r="B756" s="176" t="n"/>
      <c r="C756" s="176" t="n"/>
      <c r="D756" s="176" t="n"/>
      <c r="E756" s="186" t="n"/>
      <c r="F756" s="956" t="n"/>
      <c r="G756" s="956" t="n"/>
      <c r="H756" s="956" t="n"/>
      <c r="I756" s="956" t="n"/>
      <c r="J756" s="956" t="n"/>
      <c r="K756" s="946" t="n"/>
      <c r="L756" s="176" t="n"/>
      <c r="M756" s="176" t="n"/>
      <c r="N756" s="176" t="n"/>
      <c r="O756" s="176" t="n"/>
      <c r="P756" s="176" t="n"/>
      <c r="Q756" s="176" t="n"/>
      <c r="R756" s="176" t="n"/>
      <c r="S756" s="176" t="n"/>
      <c r="T756" s="176" t="n"/>
      <c r="U756" s="176" t="n"/>
      <c r="V756" s="176" t="n"/>
      <c r="W756" s="176" t="n"/>
      <c r="X756" s="176" t="n"/>
      <c r="Y756" s="176" t="n"/>
      <c r="Z756" s="176" t="n"/>
      <c r="AA756" s="176" t="n"/>
      <c r="AB756" s="176" t="n"/>
    </row>
    <row r="757">
      <c r="A757" s="176" t="n"/>
      <c r="B757" s="176" t="n"/>
      <c r="C757" s="176" t="n"/>
      <c r="D757" s="176" t="n"/>
      <c r="E757" s="186" t="n"/>
      <c r="F757" s="956" t="n"/>
      <c r="G757" s="956" t="n"/>
      <c r="H757" s="956" t="n"/>
      <c r="I757" s="956" t="n"/>
      <c r="J757" s="956" t="n"/>
      <c r="K757" s="946" t="n"/>
      <c r="L757" s="176" t="n"/>
      <c r="M757" s="176" t="n"/>
      <c r="N757" s="176" t="n"/>
      <c r="O757" s="176" t="n"/>
      <c r="P757" s="176" t="n"/>
      <c r="Q757" s="176" t="n"/>
      <c r="R757" s="176" t="n"/>
      <c r="S757" s="176" t="n"/>
      <c r="T757" s="176" t="n"/>
      <c r="U757" s="176" t="n"/>
      <c r="V757" s="176" t="n"/>
      <c r="W757" s="176" t="n"/>
      <c r="X757" s="176" t="n"/>
      <c r="Y757" s="176" t="n"/>
      <c r="Z757" s="176" t="n"/>
      <c r="AA757" s="176" t="n"/>
      <c r="AB757" s="176" t="n"/>
    </row>
    <row r="758">
      <c r="A758" s="176" t="n"/>
      <c r="B758" s="176" t="n"/>
      <c r="C758" s="176" t="n"/>
      <c r="D758" s="176" t="n"/>
      <c r="E758" s="186" t="n"/>
      <c r="F758" s="956" t="n"/>
      <c r="G758" s="956" t="n"/>
      <c r="H758" s="956" t="n"/>
      <c r="I758" s="956" t="n"/>
      <c r="J758" s="956" t="n"/>
      <c r="K758" s="946" t="n"/>
      <c r="L758" s="176" t="n"/>
      <c r="M758" s="176" t="n"/>
      <c r="N758" s="176" t="n"/>
      <c r="O758" s="176" t="n"/>
      <c r="P758" s="176" t="n"/>
      <c r="Q758" s="176" t="n"/>
      <c r="R758" s="176" t="n"/>
      <c r="S758" s="176" t="n"/>
      <c r="T758" s="176" t="n"/>
      <c r="U758" s="176" t="n"/>
      <c r="V758" s="176" t="n"/>
      <c r="W758" s="176" t="n"/>
      <c r="X758" s="176" t="n"/>
      <c r="Y758" s="176" t="n"/>
      <c r="Z758" s="176" t="n"/>
      <c r="AA758" s="176" t="n"/>
      <c r="AB758" s="176" t="n"/>
    </row>
    <row r="759">
      <c r="A759" s="176" t="n"/>
      <c r="B759" s="176" t="n"/>
      <c r="C759" s="176" t="n"/>
      <c r="D759" s="176" t="n"/>
      <c r="E759" s="186" t="n"/>
      <c r="F759" s="956" t="n"/>
      <c r="G759" s="956" t="n"/>
      <c r="H759" s="956" t="n"/>
      <c r="I759" s="956" t="n"/>
      <c r="J759" s="956" t="n"/>
      <c r="K759" s="946" t="n"/>
      <c r="L759" s="176" t="n"/>
      <c r="M759" s="176" t="n"/>
      <c r="N759" s="176" t="n"/>
      <c r="O759" s="176" t="n"/>
      <c r="P759" s="176" t="n"/>
      <c r="Q759" s="176" t="n"/>
      <c r="R759" s="176" t="n"/>
      <c r="S759" s="176" t="n"/>
      <c r="T759" s="176" t="n"/>
      <c r="U759" s="176" t="n"/>
      <c r="V759" s="176" t="n"/>
      <c r="W759" s="176" t="n"/>
      <c r="X759" s="176" t="n"/>
      <c r="Y759" s="176" t="n"/>
      <c r="Z759" s="176" t="n"/>
      <c r="AA759" s="176" t="n"/>
      <c r="AB759" s="176" t="n"/>
    </row>
    <row r="760">
      <c r="A760" s="176" t="n"/>
      <c r="B760" s="176" t="n"/>
      <c r="C760" s="176" t="n"/>
      <c r="D760" s="176" t="n"/>
      <c r="E760" s="186" t="n"/>
      <c r="F760" s="956" t="n"/>
      <c r="G760" s="956" t="n"/>
      <c r="H760" s="956" t="n"/>
      <c r="I760" s="956" t="n"/>
      <c r="J760" s="956" t="n"/>
      <c r="K760" s="946" t="n"/>
      <c r="L760" s="176" t="n"/>
      <c r="M760" s="176" t="n"/>
      <c r="N760" s="176" t="n"/>
      <c r="O760" s="176" t="n"/>
      <c r="P760" s="176" t="n"/>
      <c r="Q760" s="176" t="n"/>
      <c r="R760" s="176" t="n"/>
      <c r="S760" s="176" t="n"/>
      <c r="T760" s="176" t="n"/>
      <c r="U760" s="176" t="n"/>
      <c r="V760" s="176" t="n"/>
      <c r="W760" s="176" t="n"/>
      <c r="X760" s="176" t="n"/>
      <c r="Y760" s="176" t="n"/>
      <c r="Z760" s="176" t="n"/>
      <c r="AA760" s="176" t="n"/>
      <c r="AB760" s="176" t="n"/>
    </row>
    <row r="761">
      <c r="A761" s="176" t="n"/>
      <c r="B761" s="176" t="n"/>
      <c r="C761" s="176" t="n"/>
      <c r="D761" s="176" t="n"/>
      <c r="E761" s="186" t="n"/>
      <c r="F761" s="956" t="n"/>
      <c r="G761" s="956" t="n"/>
      <c r="H761" s="956" t="n"/>
      <c r="I761" s="956" t="n"/>
      <c r="J761" s="956" t="n"/>
      <c r="K761" s="946" t="n"/>
      <c r="L761" s="176" t="n"/>
      <c r="M761" s="176" t="n"/>
      <c r="N761" s="176" t="n"/>
      <c r="O761" s="176" t="n"/>
      <c r="P761" s="176" t="n"/>
      <c r="Q761" s="176" t="n"/>
      <c r="R761" s="176" t="n"/>
      <c r="S761" s="176" t="n"/>
      <c r="T761" s="176" t="n"/>
      <c r="U761" s="176" t="n"/>
      <c r="V761" s="176" t="n"/>
      <c r="W761" s="176" t="n"/>
      <c r="X761" s="176" t="n"/>
      <c r="Y761" s="176" t="n"/>
      <c r="Z761" s="176" t="n"/>
      <c r="AA761" s="176" t="n"/>
      <c r="AB761" s="176" t="n"/>
    </row>
    <row r="762">
      <c r="A762" s="176" t="n"/>
      <c r="B762" s="176" t="n"/>
      <c r="C762" s="176" t="n"/>
      <c r="D762" s="176" t="n"/>
      <c r="E762" s="186" t="n"/>
      <c r="F762" s="956" t="n"/>
      <c r="G762" s="956" t="n"/>
      <c r="H762" s="956" t="n"/>
      <c r="I762" s="956" t="n"/>
      <c r="J762" s="956" t="n"/>
      <c r="K762" s="946" t="n"/>
      <c r="L762" s="176" t="n"/>
      <c r="M762" s="176" t="n"/>
      <c r="N762" s="176" t="n"/>
      <c r="O762" s="176" t="n"/>
      <c r="P762" s="176" t="n"/>
      <c r="Q762" s="176" t="n"/>
      <c r="R762" s="176" t="n"/>
      <c r="S762" s="176" t="n"/>
      <c r="T762" s="176" t="n"/>
      <c r="U762" s="176" t="n"/>
      <c r="V762" s="176" t="n"/>
      <c r="W762" s="176" t="n"/>
      <c r="X762" s="176" t="n"/>
      <c r="Y762" s="176" t="n"/>
      <c r="Z762" s="176" t="n"/>
      <c r="AA762" s="176" t="n"/>
      <c r="AB762" s="176" t="n"/>
    </row>
    <row r="763">
      <c r="A763" s="176" t="n"/>
      <c r="B763" s="176" t="n"/>
      <c r="C763" s="176" t="n"/>
      <c r="D763" s="176" t="n"/>
      <c r="E763" s="186" t="n"/>
      <c r="F763" s="956" t="n"/>
      <c r="G763" s="956" t="n"/>
      <c r="H763" s="956" t="n"/>
      <c r="I763" s="956" t="n"/>
      <c r="J763" s="956" t="n"/>
      <c r="K763" s="946" t="n"/>
      <c r="L763" s="176" t="n"/>
      <c r="M763" s="176" t="n"/>
      <c r="N763" s="176" t="n"/>
      <c r="O763" s="176" t="n"/>
      <c r="P763" s="176" t="n"/>
      <c r="Q763" s="176" t="n"/>
      <c r="R763" s="176" t="n"/>
      <c r="S763" s="176" t="n"/>
      <c r="T763" s="176" t="n"/>
      <c r="U763" s="176" t="n"/>
      <c r="V763" s="176" t="n"/>
      <c r="W763" s="176" t="n"/>
      <c r="X763" s="176" t="n"/>
      <c r="Y763" s="176" t="n"/>
      <c r="Z763" s="176" t="n"/>
      <c r="AA763" s="176" t="n"/>
      <c r="AB763" s="176" t="n"/>
    </row>
    <row r="764">
      <c r="A764" s="176" t="n"/>
      <c r="B764" s="176" t="n"/>
      <c r="C764" s="176" t="n"/>
      <c r="D764" s="176" t="n"/>
      <c r="E764" s="186" t="n"/>
      <c r="F764" s="956" t="n"/>
      <c r="G764" s="956" t="n"/>
      <c r="H764" s="956" t="n"/>
      <c r="I764" s="956" t="n"/>
      <c r="J764" s="956" t="n"/>
      <c r="K764" s="946" t="n"/>
      <c r="L764" s="176" t="n"/>
      <c r="M764" s="176" t="n"/>
      <c r="N764" s="176" t="n"/>
      <c r="O764" s="176" t="n"/>
      <c r="P764" s="176" t="n"/>
      <c r="Q764" s="176" t="n"/>
      <c r="R764" s="176" t="n"/>
      <c r="S764" s="176" t="n"/>
      <c r="T764" s="176" t="n"/>
      <c r="U764" s="176" t="n"/>
      <c r="V764" s="176" t="n"/>
      <c r="W764" s="176" t="n"/>
      <c r="X764" s="176" t="n"/>
      <c r="Y764" s="176" t="n"/>
      <c r="Z764" s="176" t="n"/>
      <c r="AA764" s="176" t="n"/>
      <c r="AB764" s="176" t="n"/>
    </row>
    <row r="765">
      <c r="A765" s="176" t="n"/>
      <c r="B765" s="176" t="n"/>
      <c r="C765" s="176" t="n"/>
      <c r="D765" s="176" t="n"/>
      <c r="E765" s="186" t="n"/>
      <c r="F765" s="956" t="n"/>
      <c r="G765" s="956" t="n"/>
      <c r="H765" s="956" t="n"/>
      <c r="I765" s="956" t="n"/>
      <c r="J765" s="956" t="n"/>
      <c r="K765" s="946" t="n"/>
      <c r="L765" s="176" t="n"/>
      <c r="M765" s="176" t="n"/>
      <c r="N765" s="176" t="n"/>
      <c r="O765" s="176" t="n"/>
      <c r="P765" s="176" t="n"/>
      <c r="Q765" s="176" t="n"/>
      <c r="R765" s="176" t="n"/>
      <c r="S765" s="176" t="n"/>
      <c r="T765" s="176" t="n"/>
      <c r="U765" s="176" t="n"/>
      <c r="V765" s="176" t="n"/>
      <c r="W765" s="176" t="n"/>
      <c r="X765" s="176" t="n"/>
      <c r="Y765" s="176" t="n"/>
      <c r="Z765" s="176" t="n"/>
      <c r="AA765" s="176" t="n"/>
      <c r="AB765" s="176" t="n"/>
    </row>
    <row r="766">
      <c r="A766" s="176" t="n"/>
      <c r="B766" s="176" t="n"/>
      <c r="C766" s="176" t="n"/>
      <c r="D766" s="176" t="n"/>
      <c r="E766" s="186" t="n"/>
      <c r="F766" s="956" t="n"/>
      <c r="G766" s="956" t="n"/>
      <c r="H766" s="956" t="n"/>
      <c r="I766" s="956" t="n"/>
      <c r="J766" s="956" t="n"/>
      <c r="K766" s="946" t="n"/>
      <c r="L766" s="176" t="n"/>
      <c r="M766" s="176" t="n"/>
      <c r="N766" s="176" t="n"/>
      <c r="O766" s="176" t="n"/>
      <c r="P766" s="176" t="n"/>
      <c r="Q766" s="176" t="n"/>
      <c r="R766" s="176" t="n"/>
      <c r="S766" s="176" t="n"/>
      <c r="T766" s="176" t="n"/>
      <c r="U766" s="176" t="n"/>
      <c r="V766" s="176" t="n"/>
      <c r="W766" s="176" t="n"/>
      <c r="X766" s="176" t="n"/>
      <c r="Y766" s="176" t="n"/>
      <c r="Z766" s="176" t="n"/>
      <c r="AA766" s="176" t="n"/>
      <c r="AB766" s="176" t="n"/>
    </row>
    <row r="767">
      <c r="A767" s="176" t="n"/>
      <c r="B767" s="176" t="n"/>
      <c r="C767" s="176" t="n"/>
      <c r="D767" s="176" t="n"/>
      <c r="E767" s="186" t="n"/>
      <c r="F767" s="956" t="n"/>
      <c r="G767" s="956" t="n"/>
      <c r="H767" s="956" t="n"/>
      <c r="I767" s="956" t="n"/>
      <c r="J767" s="956" t="n"/>
      <c r="K767" s="946" t="n"/>
      <c r="L767" s="176" t="n"/>
      <c r="M767" s="176" t="n"/>
      <c r="N767" s="176" t="n"/>
      <c r="O767" s="176" t="n"/>
      <c r="P767" s="176" t="n"/>
      <c r="Q767" s="176" t="n"/>
      <c r="R767" s="176" t="n"/>
      <c r="S767" s="176" t="n"/>
      <c r="T767" s="176" t="n"/>
      <c r="U767" s="176" t="n"/>
      <c r="V767" s="176" t="n"/>
      <c r="W767" s="176" t="n"/>
      <c r="X767" s="176" t="n"/>
      <c r="Y767" s="176" t="n"/>
      <c r="Z767" s="176" t="n"/>
      <c r="AA767" s="176" t="n"/>
      <c r="AB767" s="176" t="n"/>
    </row>
    <row r="768">
      <c r="A768" s="176" t="n"/>
      <c r="B768" s="176" t="n"/>
      <c r="C768" s="176" t="n"/>
      <c r="D768" s="176" t="n"/>
      <c r="E768" s="186" t="n"/>
      <c r="F768" s="956" t="n"/>
      <c r="G768" s="956" t="n"/>
      <c r="H768" s="956" t="n"/>
      <c r="I768" s="956" t="n"/>
      <c r="J768" s="956" t="n"/>
      <c r="K768" s="946" t="n"/>
      <c r="L768" s="176" t="n"/>
      <c r="M768" s="176" t="n"/>
      <c r="N768" s="176" t="n"/>
      <c r="O768" s="176" t="n"/>
      <c r="P768" s="176" t="n"/>
      <c r="Q768" s="176" t="n"/>
      <c r="R768" s="176" t="n"/>
      <c r="S768" s="176" t="n"/>
      <c r="T768" s="176" t="n"/>
      <c r="U768" s="176" t="n"/>
      <c r="V768" s="176" t="n"/>
      <c r="W768" s="176" t="n"/>
      <c r="X768" s="176" t="n"/>
      <c r="Y768" s="176" t="n"/>
      <c r="Z768" s="176" t="n"/>
      <c r="AA768" s="176" t="n"/>
      <c r="AB768" s="176" t="n"/>
    </row>
    <row r="769">
      <c r="A769" s="176" t="n"/>
      <c r="B769" s="176" t="n"/>
      <c r="C769" s="176" t="n"/>
      <c r="D769" s="176" t="n"/>
      <c r="E769" s="186" t="n"/>
      <c r="F769" s="956" t="n"/>
      <c r="G769" s="956" t="n"/>
      <c r="H769" s="956" t="n"/>
      <c r="I769" s="956" t="n"/>
      <c r="J769" s="956" t="n"/>
      <c r="K769" s="946" t="n"/>
      <c r="L769" s="176" t="n"/>
      <c r="M769" s="176" t="n"/>
      <c r="N769" s="176" t="n"/>
      <c r="O769" s="176" t="n"/>
      <c r="P769" s="176" t="n"/>
      <c r="Q769" s="176" t="n"/>
      <c r="R769" s="176" t="n"/>
      <c r="S769" s="176" t="n"/>
      <c r="T769" s="176" t="n"/>
      <c r="U769" s="176" t="n"/>
      <c r="V769" s="176" t="n"/>
      <c r="W769" s="176" t="n"/>
      <c r="X769" s="176" t="n"/>
      <c r="Y769" s="176" t="n"/>
      <c r="Z769" s="176" t="n"/>
      <c r="AA769" s="176" t="n"/>
      <c r="AB769" s="176" t="n"/>
    </row>
    <row r="770">
      <c r="A770" s="176" t="n"/>
      <c r="B770" s="176" t="n"/>
      <c r="C770" s="176" t="n"/>
      <c r="D770" s="176" t="n"/>
      <c r="E770" s="186" t="n"/>
      <c r="F770" s="956" t="n"/>
      <c r="G770" s="956" t="n"/>
      <c r="H770" s="956" t="n"/>
      <c r="I770" s="956" t="n"/>
      <c r="J770" s="956" t="n"/>
      <c r="K770" s="946" t="n"/>
      <c r="L770" s="176" t="n"/>
      <c r="M770" s="176" t="n"/>
      <c r="N770" s="176" t="n"/>
      <c r="O770" s="176" t="n"/>
      <c r="P770" s="176" t="n"/>
      <c r="Q770" s="176" t="n"/>
      <c r="R770" s="176" t="n"/>
      <c r="S770" s="176" t="n"/>
      <c r="T770" s="176" t="n"/>
      <c r="U770" s="176" t="n"/>
      <c r="V770" s="176" t="n"/>
      <c r="W770" s="176" t="n"/>
      <c r="X770" s="176" t="n"/>
      <c r="Y770" s="176" t="n"/>
      <c r="Z770" s="176" t="n"/>
      <c r="AA770" s="176" t="n"/>
      <c r="AB770" s="176" t="n"/>
    </row>
    <row r="771">
      <c r="A771" s="176" t="n"/>
      <c r="B771" s="176" t="n"/>
      <c r="C771" s="176" t="n"/>
      <c r="D771" s="176" t="n"/>
      <c r="E771" s="176" t="n"/>
      <c r="F771" s="213" t="n"/>
      <c r="G771" s="213" t="n"/>
      <c r="H771" s="213" t="n"/>
      <c r="I771" s="213" t="n"/>
      <c r="J771" s="213" t="n"/>
      <c r="K771" s="946" t="n"/>
      <c r="L771" s="176" t="n"/>
      <c r="M771" s="176" t="n"/>
      <c r="N771" s="176" t="n"/>
      <c r="O771" s="176" t="n"/>
      <c r="P771" s="176" t="n"/>
      <c r="Q771" s="176" t="n"/>
      <c r="R771" s="176" t="n"/>
      <c r="S771" s="176" t="n"/>
      <c r="T771" s="176" t="n"/>
      <c r="U771" s="176" t="n"/>
      <c r="V771" s="176" t="n"/>
      <c r="W771" s="176" t="n"/>
      <c r="X771" s="176" t="n"/>
      <c r="Y771" s="176" t="n"/>
      <c r="Z771" s="176" t="n"/>
      <c r="AA771" s="176" t="n"/>
      <c r="AB771" s="176" t="n"/>
    </row>
    <row r="772">
      <c r="A772" s="176" t="n"/>
      <c r="B772" s="176" t="n"/>
      <c r="C772" s="176" t="n"/>
      <c r="D772" s="176" t="n"/>
      <c r="E772" s="176" t="n"/>
      <c r="F772" s="213" t="n"/>
      <c r="G772" s="213" t="n"/>
      <c r="H772" s="213" t="n"/>
      <c r="I772" s="213" t="n"/>
      <c r="J772" s="213" t="n"/>
      <c r="K772" s="946" t="n"/>
      <c r="L772" s="176" t="n"/>
      <c r="M772" s="176" t="n"/>
      <c r="N772" s="176" t="n"/>
      <c r="O772" s="176" t="n"/>
      <c r="P772" s="176" t="n"/>
      <c r="Q772" s="176" t="n"/>
      <c r="R772" s="176" t="n"/>
      <c r="S772" s="176" t="n"/>
      <c r="T772" s="176" t="n"/>
      <c r="U772" s="176" t="n"/>
      <c r="V772" s="176" t="n"/>
      <c r="W772" s="176" t="n"/>
      <c r="X772" s="176" t="n"/>
      <c r="Y772" s="176" t="n"/>
      <c r="Z772" s="176" t="n"/>
      <c r="AA772" s="176" t="n"/>
      <c r="AB772" s="176" t="n"/>
    </row>
    <row r="773">
      <c r="A773" s="176" t="n"/>
      <c r="B773" s="176" t="n"/>
      <c r="C773" s="176" t="n"/>
      <c r="D773" s="176" t="n"/>
      <c r="E773" s="176" t="n"/>
      <c r="F773" s="213" t="n"/>
      <c r="G773" s="213" t="n"/>
      <c r="H773" s="213" t="n"/>
      <c r="I773" s="213" t="n"/>
      <c r="J773" s="213" t="n"/>
      <c r="K773" s="946" t="n"/>
      <c r="L773" s="176" t="n"/>
      <c r="M773" s="176" t="n"/>
      <c r="N773" s="176" t="n"/>
      <c r="O773" s="176" t="n"/>
      <c r="P773" s="176" t="n"/>
      <c r="Q773" s="176" t="n"/>
      <c r="R773" s="176" t="n"/>
      <c r="S773" s="176" t="n"/>
      <c r="T773" s="176" t="n"/>
      <c r="U773" s="176" t="n"/>
      <c r="V773" s="176" t="n"/>
      <c r="W773" s="176" t="n"/>
      <c r="X773" s="176" t="n"/>
      <c r="Y773" s="176" t="n"/>
      <c r="Z773" s="176" t="n"/>
      <c r="AA773" s="176" t="n"/>
      <c r="AB773" s="176" t="n"/>
    </row>
    <row r="774">
      <c r="A774" s="176" t="n"/>
      <c r="B774" s="176" t="n"/>
      <c r="C774" s="176" t="n"/>
      <c r="D774" s="176" t="n"/>
      <c r="E774" s="176" t="n"/>
      <c r="F774" s="213" t="n"/>
      <c r="G774" s="213" t="n"/>
      <c r="H774" s="213" t="n"/>
      <c r="I774" s="213" t="n"/>
      <c r="J774" s="213" t="n"/>
      <c r="K774" s="946" t="n"/>
      <c r="L774" s="176" t="n"/>
      <c r="M774" s="176" t="n"/>
      <c r="N774" s="176" t="n"/>
      <c r="O774" s="176" t="n"/>
      <c r="P774" s="176" t="n"/>
      <c r="Q774" s="176" t="n"/>
      <c r="R774" s="176" t="n"/>
      <c r="S774" s="176" t="n"/>
      <c r="T774" s="176" t="n"/>
      <c r="U774" s="176" t="n"/>
      <c r="V774" s="176" t="n"/>
      <c r="W774" s="176" t="n"/>
      <c r="X774" s="176" t="n"/>
      <c r="Y774" s="176" t="n"/>
      <c r="Z774" s="176" t="n"/>
      <c r="AA774" s="176" t="n"/>
      <c r="AB774" s="176" t="n"/>
    </row>
    <row r="775">
      <c r="A775" s="176" t="n"/>
      <c r="B775" s="176" t="n"/>
      <c r="C775" s="176" t="n"/>
      <c r="D775" s="176" t="n"/>
      <c r="E775" s="176" t="n"/>
      <c r="F775" s="213" t="n"/>
      <c r="G775" s="213" t="n"/>
      <c r="H775" s="213" t="n"/>
      <c r="I775" s="213" t="n"/>
      <c r="J775" s="213" t="n"/>
      <c r="K775" s="946" t="n"/>
      <c r="L775" s="176" t="n"/>
      <c r="M775" s="176" t="n"/>
      <c r="N775" s="176" t="n"/>
      <c r="O775" s="176" t="n"/>
      <c r="P775" s="176" t="n"/>
      <c r="Q775" s="176" t="n"/>
      <c r="R775" s="176" t="n"/>
      <c r="S775" s="176" t="n"/>
      <c r="T775" s="176" t="n"/>
      <c r="U775" s="176" t="n"/>
      <c r="V775" s="176" t="n"/>
      <c r="W775" s="176" t="n"/>
      <c r="X775" s="176" t="n"/>
      <c r="Y775" s="176" t="n"/>
      <c r="Z775" s="176" t="n"/>
      <c r="AA775" s="176" t="n"/>
      <c r="AB775" s="176" t="n"/>
    </row>
    <row r="776">
      <c r="A776" s="176" t="n"/>
      <c r="B776" s="176" t="n"/>
      <c r="C776" s="176" t="n"/>
      <c r="D776" s="176" t="n"/>
      <c r="E776" s="176" t="n"/>
      <c r="F776" s="213" t="n"/>
      <c r="G776" s="213" t="n"/>
      <c r="H776" s="213" t="n"/>
      <c r="I776" s="213" t="n"/>
      <c r="J776" s="213" t="n"/>
      <c r="K776" s="946" t="n"/>
      <c r="L776" s="176" t="n"/>
      <c r="M776" s="176" t="n"/>
      <c r="N776" s="176" t="n"/>
      <c r="O776" s="176" t="n"/>
      <c r="P776" s="176" t="n"/>
      <c r="Q776" s="176" t="n"/>
      <c r="R776" s="176" t="n"/>
      <c r="S776" s="176" t="n"/>
      <c r="T776" s="176" t="n"/>
      <c r="U776" s="176" t="n"/>
      <c r="V776" s="176" t="n"/>
      <c r="W776" s="176" t="n"/>
      <c r="X776" s="176" t="n"/>
      <c r="Y776" s="176" t="n"/>
      <c r="Z776" s="176" t="n"/>
      <c r="AA776" s="176" t="n"/>
      <c r="AB776" s="176" t="n"/>
    </row>
    <row r="777">
      <c r="A777" s="176" t="n"/>
      <c r="B777" s="176" t="n"/>
      <c r="C777" s="176" t="n"/>
      <c r="D777" s="176" t="n"/>
      <c r="E777" s="176" t="n"/>
      <c r="F777" s="213" t="n"/>
      <c r="G777" s="213" t="n"/>
      <c r="H777" s="213" t="n"/>
      <c r="I777" s="213" t="n"/>
      <c r="J777" s="213" t="n"/>
      <c r="K777" s="946" t="n"/>
      <c r="L777" s="176" t="n"/>
      <c r="M777" s="176" t="n"/>
      <c r="N777" s="176" t="n"/>
      <c r="O777" s="176" t="n"/>
      <c r="P777" s="176" t="n"/>
      <c r="Q777" s="176" t="n"/>
      <c r="R777" s="176" t="n"/>
      <c r="S777" s="176" t="n"/>
      <c r="T777" s="176" t="n"/>
      <c r="U777" s="176" t="n"/>
      <c r="V777" s="176" t="n"/>
      <c r="W777" s="176" t="n"/>
      <c r="X777" s="176" t="n"/>
      <c r="Y777" s="176" t="n"/>
      <c r="Z777" s="176" t="n"/>
      <c r="AA777" s="176" t="n"/>
      <c r="AB777" s="176" t="n"/>
    </row>
    <row r="778">
      <c r="A778" s="176" t="n"/>
      <c r="B778" s="176" t="n"/>
      <c r="C778" s="176" t="n"/>
      <c r="D778" s="176" t="n"/>
      <c r="E778" s="176" t="n"/>
      <c r="F778" s="213" t="n"/>
      <c r="G778" s="213" t="n"/>
      <c r="H778" s="213" t="n"/>
      <c r="I778" s="213" t="n"/>
      <c r="J778" s="213" t="n"/>
      <c r="K778" s="946" t="n"/>
      <c r="L778" s="176" t="n"/>
      <c r="M778" s="176" t="n"/>
      <c r="N778" s="176" t="n"/>
      <c r="O778" s="176" t="n"/>
      <c r="P778" s="176" t="n"/>
      <c r="Q778" s="176" t="n"/>
      <c r="R778" s="176" t="n"/>
      <c r="S778" s="176" t="n"/>
      <c r="T778" s="176" t="n"/>
      <c r="U778" s="176" t="n"/>
      <c r="V778" s="176" t="n"/>
      <c r="W778" s="176" t="n"/>
      <c r="X778" s="176" t="n"/>
      <c r="Y778" s="176" t="n"/>
      <c r="Z778" s="176" t="n"/>
      <c r="AA778" s="176" t="n"/>
      <c r="AB778" s="176" t="n"/>
    </row>
    <row r="779">
      <c r="A779" s="176" t="n"/>
      <c r="B779" s="176" t="n"/>
      <c r="C779" s="176" t="n"/>
      <c r="D779" s="176" t="n"/>
      <c r="E779" s="176" t="n"/>
      <c r="F779" s="213" t="n"/>
      <c r="G779" s="213" t="n"/>
      <c r="H779" s="213" t="n"/>
      <c r="I779" s="213" t="n"/>
      <c r="J779" s="213" t="n"/>
      <c r="K779" s="946" t="n"/>
      <c r="L779" s="176" t="n"/>
      <c r="M779" s="176" t="n"/>
      <c r="N779" s="176" t="n"/>
      <c r="O779" s="176" t="n"/>
      <c r="P779" s="176" t="n"/>
      <c r="Q779" s="176" t="n"/>
      <c r="R779" s="176" t="n"/>
      <c r="S779" s="176" t="n"/>
      <c r="T779" s="176" t="n"/>
      <c r="U779" s="176" t="n"/>
      <c r="V779" s="176" t="n"/>
      <c r="W779" s="176" t="n"/>
      <c r="X779" s="176" t="n"/>
      <c r="Y779" s="176" t="n"/>
      <c r="Z779" s="176" t="n"/>
      <c r="AA779" s="176" t="n"/>
      <c r="AB779" s="176" t="n"/>
    </row>
    <row r="780">
      <c r="A780" s="176" t="n"/>
      <c r="B780" s="176" t="n"/>
      <c r="C780" s="176" t="n"/>
      <c r="D780" s="176" t="n"/>
      <c r="E780" s="176" t="n"/>
      <c r="F780" s="213" t="n"/>
      <c r="G780" s="213" t="n"/>
      <c r="H780" s="213" t="n"/>
      <c r="I780" s="213" t="n"/>
      <c r="J780" s="213" t="n"/>
      <c r="K780" s="946" t="n"/>
      <c r="L780" s="176" t="n"/>
      <c r="M780" s="176" t="n"/>
      <c r="N780" s="176" t="n"/>
      <c r="O780" s="176" t="n"/>
      <c r="P780" s="176" t="n"/>
      <c r="Q780" s="176" t="n"/>
      <c r="R780" s="176" t="n"/>
      <c r="S780" s="176" t="n"/>
      <c r="T780" s="176" t="n"/>
      <c r="U780" s="176" t="n"/>
      <c r="V780" s="176" t="n"/>
      <c r="W780" s="176" t="n"/>
      <c r="X780" s="176" t="n"/>
      <c r="Y780" s="176" t="n"/>
      <c r="Z780" s="176" t="n"/>
      <c r="AA780" s="176" t="n"/>
      <c r="AB780" s="176" t="n"/>
    </row>
    <row r="781">
      <c r="A781" s="176" t="n"/>
      <c r="B781" s="176" t="n"/>
      <c r="C781" s="176" t="n"/>
      <c r="D781" s="176" t="n"/>
      <c r="E781" s="176" t="n"/>
      <c r="F781" s="213" t="n"/>
      <c r="G781" s="213" t="n"/>
      <c r="H781" s="213" t="n"/>
      <c r="I781" s="213" t="n"/>
      <c r="J781" s="213" t="n"/>
      <c r="K781" s="946" t="n"/>
      <c r="L781" s="176" t="n"/>
      <c r="M781" s="176" t="n"/>
      <c r="N781" s="176" t="n"/>
      <c r="O781" s="176" t="n"/>
      <c r="P781" s="176" t="n"/>
      <c r="Q781" s="176" t="n"/>
      <c r="R781" s="176" t="n"/>
      <c r="S781" s="176" t="n"/>
      <c r="T781" s="176" t="n"/>
      <c r="U781" s="176" t="n"/>
      <c r="V781" s="176" t="n"/>
      <c r="W781" s="176" t="n"/>
      <c r="X781" s="176" t="n"/>
      <c r="Y781" s="176" t="n"/>
      <c r="Z781" s="176" t="n"/>
      <c r="AA781" s="176" t="n"/>
      <c r="AB781" s="176" t="n"/>
    </row>
    <row r="782">
      <c r="A782" s="176" t="n"/>
      <c r="B782" s="176" t="n"/>
      <c r="C782" s="176" t="n"/>
      <c r="D782" s="176" t="n"/>
      <c r="E782" s="176" t="n"/>
      <c r="F782" s="213" t="n"/>
      <c r="G782" s="213" t="n"/>
      <c r="H782" s="213" t="n"/>
      <c r="I782" s="213" t="n"/>
      <c r="J782" s="213" t="n"/>
      <c r="K782" s="946" t="n"/>
      <c r="L782" s="176" t="n"/>
      <c r="M782" s="176" t="n"/>
      <c r="N782" s="176" t="n"/>
      <c r="O782" s="176" t="n"/>
      <c r="P782" s="176" t="n"/>
      <c r="Q782" s="176" t="n"/>
      <c r="R782" s="176" t="n"/>
      <c r="S782" s="176" t="n"/>
      <c r="T782" s="176" t="n"/>
      <c r="U782" s="176" t="n"/>
      <c r="V782" s="176" t="n"/>
      <c r="W782" s="176" t="n"/>
      <c r="X782" s="176" t="n"/>
      <c r="Y782" s="176" t="n"/>
      <c r="Z782" s="176" t="n"/>
      <c r="AA782" s="176" t="n"/>
      <c r="AB782" s="176" t="n"/>
    </row>
    <row r="783">
      <c r="A783" s="176" t="n"/>
      <c r="B783" s="176" t="n"/>
      <c r="C783" s="176" t="n"/>
      <c r="D783" s="176" t="n"/>
      <c r="E783" s="176" t="n"/>
      <c r="F783" s="213" t="n"/>
      <c r="G783" s="213" t="n"/>
      <c r="H783" s="213" t="n"/>
      <c r="I783" s="213" t="n"/>
      <c r="J783" s="213" t="n"/>
      <c r="K783" s="946" t="n"/>
      <c r="L783" s="176" t="n"/>
      <c r="M783" s="176" t="n"/>
      <c r="N783" s="176" t="n"/>
      <c r="O783" s="176" t="n"/>
      <c r="P783" s="176" t="n"/>
      <c r="Q783" s="176" t="n"/>
      <c r="R783" s="176" t="n"/>
      <c r="S783" s="176" t="n"/>
      <c r="T783" s="176" t="n"/>
      <c r="U783" s="176" t="n"/>
      <c r="V783" s="176" t="n"/>
      <c r="W783" s="176" t="n"/>
      <c r="X783" s="176" t="n"/>
      <c r="Y783" s="176" t="n"/>
      <c r="Z783" s="176" t="n"/>
      <c r="AA783" s="176" t="n"/>
      <c r="AB783" s="176" t="n"/>
    </row>
    <row r="784">
      <c r="A784" s="176" t="n"/>
      <c r="B784" s="176" t="n"/>
      <c r="C784" s="176" t="n"/>
      <c r="D784" s="176" t="n"/>
      <c r="E784" s="176" t="n"/>
      <c r="F784" s="213" t="n"/>
      <c r="G784" s="213" t="n"/>
      <c r="H784" s="213" t="n"/>
      <c r="I784" s="213" t="n"/>
      <c r="J784" s="213" t="n"/>
      <c r="K784" s="946" t="n"/>
      <c r="L784" s="176" t="n"/>
      <c r="M784" s="176" t="n"/>
      <c r="N784" s="176" t="n"/>
      <c r="O784" s="176" t="n"/>
      <c r="P784" s="176" t="n"/>
      <c r="Q784" s="176" t="n"/>
      <c r="R784" s="176" t="n"/>
      <c r="S784" s="176" t="n"/>
      <c r="T784" s="176" t="n"/>
      <c r="U784" s="176" t="n"/>
      <c r="V784" s="176" t="n"/>
      <c r="W784" s="176" t="n"/>
      <c r="X784" s="176" t="n"/>
      <c r="Y784" s="176" t="n"/>
      <c r="Z784" s="176" t="n"/>
      <c r="AA784" s="176" t="n"/>
      <c r="AB784" s="176" t="n"/>
    </row>
    <row r="785">
      <c r="A785" s="176" t="n"/>
      <c r="B785" s="176" t="n"/>
      <c r="C785" s="176" t="n"/>
      <c r="D785" s="176" t="n"/>
      <c r="E785" s="176" t="n"/>
      <c r="F785" s="213" t="n"/>
      <c r="G785" s="213" t="n"/>
      <c r="H785" s="213" t="n"/>
      <c r="I785" s="213" t="n"/>
      <c r="J785" s="213" t="n"/>
      <c r="K785" s="946" t="n"/>
      <c r="L785" s="176" t="n"/>
      <c r="M785" s="176" t="n"/>
      <c r="N785" s="176" t="n"/>
      <c r="O785" s="176" t="n"/>
      <c r="P785" s="176" t="n"/>
      <c r="Q785" s="176" t="n"/>
      <c r="R785" s="176" t="n"/>
      <c r="S785" s="176" t="n"/>
      <c r="T785" s="176" t="n"/>
      <c r="U785" s="176" t="n"/>
      <c r="V785" s="176" t="n"/>
      <c r="W785" s="176" t="n"/>
      <c r="X785" s="176" t="n"/>
      <c r="Y785" s="176" t="n"/>
      <c r="Z785" s="176" t="n"/>
      <c r="AA785" s="176" t="n"/>
      <c r="AB785" s="176" t="n"/>
    </row>
    <row r="786">
      <c r="A786" s="176" t="n"/>
      <c r="B786" s="176" t="n"/>
      <c r="C786" s="176" t="n"/>
      <c r="D786" s="176" t="n"/>
      <c r="E786" s="176" t="n"/>
      <c r="F786" s="213" t="n"/>
      <c r="G786" s="213" t="n"/>
      <c r="H786" s="213" t="n"/>
      <c r="I786" s="213" t="n"/>
      <c r="J786" s="213" t="n"/>
      <c r="K786" s="946" t="n"/>
      <c r="L786" s="176" t="n"/>
      <c r="M786" s="176" t="n"/>
      <c r="N786" s="176" t="n"/>
      <c r="O786" s="176" t="n"/>
      <c r="P786" s="176" t="n"/>
      <c r="Q786" s="176" t="n"/>
      <c r="R786" s="176" t="n"/>
      <c r="S786" s="176" t="n"/>
      <c r="T786" s="176" t="n"/>
      <c r="U786" s="176" t="n"/>
      <c r="V786" s="176" t="n"/>
      <c r="W786" s="176" t="n"/>
      <c r="X786" s="176" t="n"/>
      <c r="Y786" s="176" t="n"/>
      <c r="Z786" s="176" t="n"/>
      <c r="AA786" s="176" t="n"/>
      <c r="AB786" s="176" t="n"/>
    </row>
    <row r="787">
      <c r="A787" s="176" t="n"/>
      <c r="B787" s="176" t="n"/>
      <c r="C787" s="176" t="n"/>
      <c r="D787" s="176" t="n"/>
      <c r="E787" s="176" t="n"/>
      <c r="F787" s="213" t="n"/>
      <c r="G787" s="213" t="n"/>
      <c r="H787" s="213" t="n"/>
      <c r="I787" s="213" t="n"/>
      <c r="J787" s="213" t="n"/>
      <c r="K787" s="946" t="n"/>
      <c r="L787" s="176" t="n"/>
      <c r="M787" s="176" t="n"/>
      <c r="N787" s="176" t="n"/>
      <c r="O787" s="176" t="n"/>
      <c r="P787" s="176" t="n"/>
      <c r="Q787" s="176" t="n"/>
      <c r="R787" s="176" t="n"/>
      <c r="S787" s="176" t="n"/>
      <c r="T787" s="176" t="n"/>
      <c r="U787" s="176" t="n"/>
      <c r="V787" s="176" t="n"/>
      <c r="W787" s="176" t="n"/>
      <c r="X787" s="176" t="n"/>
      <c r="Y787" s="176" t="n"/>
      <c r="Z787" s="176" t="n"/>
      <c r="AA787" s="176" t="n"/>
      <c r="AB787" s="176" t="n"/>
    </row>
    <row r="788">
      <c r="A788" s="176" t="n"/>
      <c r="B788" s="176" t="n"/>
      <c r="C788" s="176" t="n"/>
      <c r="D788" s="176" t="n"/>
      <c r="E788" s="176" t="n"/>
      <c r="F788" s="213" t="n"/>
      <c r="G788" s="213" t="n"/>
      <c r="H788" s="213" t="n"/>
      <c r="I788" s="213" t="n"/>
      <c r="J788" s="213" t="n"/>
      <c r="K788" s="946" t="n"/>
      <c r="L788" s="176" t="n"/>
      <c r="M788" s="176" t="n"/>
      <c r="N788" s="176" t="n"/>
      <c r="O788" s="176" t="n"/>
      <c r="P788" s="176" t="n"/>
      <c r="Q788" s="176" t="n"/>
      <c r="R788" s="176" t="n"/>
      <c r="S788" s="176" t="n"/>
      <c r="T788" s="176" t="n"/>
      <c r="U788" s="176" t="n"/>
      <c r="V788" s="176" t="n"/>
      <c r="W788" s="176" t="n"/>
      <c r="X788" s="176" t="n"/>
      <c r="Y788" s="176" t="n"/>
      <c r="Z788" s="176" t="n"/>
      <c r="AA788" s="176" t="n"/>
      <c r="AB788" s="176" t="n"/>
    </row>
    <row r="789">
      <c r="A789" s="176" t="n"/>
      <c r="B789" s="176" t="n"/>
      <c r="C789" s="176" t="n"/>
      <c r="D789" s="176" t="n"/>
      <c r="E789" s="176" t="n"/>
      <c r="F789" s="213" t="n"/>
      <c r="G789" s="213" t="n"/>
      <c r="H789" s="213" t="n"/>
      <c r="I789" s="213" t="n"/>
      <c r="J789" s="213" t="n"/>
      <c r="K789" s="946" t="n"/>
      <c r="L789" s="176" t="n"/>
      <c r="M789" s="176" t="n"/>
      <c r="N789" s="176" t="n"/>
      <c r="O789" s="176" t="n"/>
      <c r="P789" s="176" t="n"/>
      <c r="Q789" s="176" t="n"/>
      <c r="R789" s="176" t="n"/>
      <c r="S789" s="176" t="n"/>
      <c r="T789" s="176" t="n"/>
      <c r="U789" s="176" t="n"/>
      <c r="V789" s="176" t="n"/>
      <c r="W789" s="176" t="n"/>
      <c r="X789" s="176" t="n"/>
      <c r="Y789" s="176" t="n"/>
      <c r="Z789" s="176" t="n"/>
      <c r="AA789" s="176" t="n"/>
      <c r="AB789" s="176" t="n"/>
    </row>
    <row r="790">
      <c r="A790" s="176" t="n"/>
      <c r="B790" s="176" t="n"/>
      <c r="C790" s="176" t="n"/>
      <c r="D790" s="176" t="n"/>
      <c r="E790" s="176" t="n"/>
      <c r="F790" s="213" t="n"/>
      <c r="G790" s="213" t="n"/>
      <c r="H790" s="213" t="n"/>
      <c r="I790" s="213" t="n"/>
      <c r="J790" s="213" t="n"/>
      <c r="K790" s="946" t="n"/>
      <c r="L790" s="176" t="n"/>
      <c r="M790" s="176" t="n"/>
      <c r="N790" s="176" t="n"/>
      <c r="O790" s="176" t="n"/>
      <c r="P790" s="176" t="n"/>
      <c r="Q790" s="176" t="n"/>
      <c r="R790" s="176" t="n"/>
      <c r="S790" s="176" t="n"/>
      <c r="T790" s="176" t="n"/>
      <c r="U790" s="176" t="n"/>
      <c r="V790" s="176" t="n"/>
      <c r="W790" s="176" t="n"/>
      <c r="X790" s="176" t="n"/>
      <c r="Y790" s="176" t="n"/>
      <c r="Z790" s="176" t="n"/>
      <c r="AA790" s="176" t="n"/>
      <c r="AB790" s="176" t="n"/>
    </row>
    <row r="791">
      <c r="A791" s="176" t="n"/>
      <c r="B791" s="176" t="n"/>
      <c r="C791" s="176" t="n"/>
      <c r="D791" s="176" t="n"/>
      <c r="E791" s="176" t="n"/>
      <c r="F791" s="213" t="n"/>
      <c r="G791" s="213" t="n"/>
      <c r="H791" s="213" t="n"/>
      <c r="I791" s="213" t="n"/>
      <c r="J791" s="213" t="n"/>
      <c r="K791" s="946" t="n"/>
      <c r="L791" s="176" t="n"/>
      <c r="M791" s="176" t="n"/>
      <c r="N791" s="176" t="n"/>
      <c r="O791" s="176" t="n"/>
      <c r="P791" s="176" t="n"/>
      <c r="Q791" s="176" t="n"/>
      <c r="R791" s="176" t="n"/>
      <c r="S791" s="176" t="n"/>
      <c r="T791" s="176" t="n"/>
      <c r="U791" s="176" t="n"/>
      <c r="V791" s="176" t="n"/>
      <c r="W791" s="176" t="n"/>
      <c r="X791" s="176" t="n"/>
      <c r="Y791" s="176" t="n"/>
      <c r="Z791" s="176" t="n"/>
      <c r="AA791" s="176" t="n"/>
      <c r="AB791" s="176" t="n"/>
    </row>
    <row r="792">
      <c r="A792" s="176" t="n"/>
      <c r="B792" s="176" t="n"/>
      <c r="C792" s="176" t="n"/>
      <c r="D792" s="176" t="n"/>
      <c r="E792" s="176" t="n"/>
      <c r="F792" s="213" t="n"/>
      <c r="G792" s="213" t="n"/>
      <c r="H792" s="213" t="n"/>
      <c r="I792" s="213" t="n"/>
      <c r="J792" s="213" t="n"/>
      <c r="K792" s="946" t="n"/>
      <c r="L792" s="176" t="n"/>
      <c r="M792" s="176" t="n"/>
      <c r="N792" s="176" t="n"/>
      <c r="O792" s="176" t="n"/>
      <c r="P792" s="176" t="n"/>
      <c r="Q792" s="176" t="n"/>
      <c r="R792" s="176" t="n"/>
      <c r="S792" s="176" t="n"/>
      <c r="T792" s="176" t="n"/>
      <c r="U792" s="176" t="n"/>
      <c r="V792" s="176" t="n"/>
      <c r="W792" s="176" t="n"/>
      <c r="X792" s="176" t="n"/>
      <c r="Y792" s="176" t="n"/>
      <c r="Z792" s="176" t="n"/>
      <c r="AA792" s="176" t="n"/>
      <c r="AB792" s="176" t="n"/>
    </row>
    <row r="793">
      <c r="A793" s="176" t="n"/>
      <c r="B793" s="176" t="n"/>
      <c r="C793" s="176" t="n"/>
      <c r="D793" s="176" t="n"/>
      <c r="E793" s="176" t="n"/>
      <c r="F793" s="213" t="n"/>
      <c r="G793" s="213" t="n"/>
      <c r="H793" s="213" t="n"/>
      <c r="I793" s="213" t="n"/>
      <c r="J793" s="213" t="n"/>
      <c r="K793" s="946" t="n"/>
      <c r="L793" s="176" t="n"/>
      <c r="M793" s="176" t="n"/>
      <c r="N793" s="176" t="n"/>
      <c r="O793" s="176" t="n"/>
      <c r="P793" s="176" t="n"/>
      <c r="Q793" s="176" t="n"/>
      <c r="R793" s="176" t="n"/>
      <c r="S793" s="176" t="n"/>
      <c r="T793" s="176" t="n"/>
      <c r="U793" s="176" t="n"/>
      <c r="V793" s="176" t="n"/>
      <c r="W793" s="176" t="n"/>
      <c r="X793" s="176" t="n"/>
      <c r="Y793" s="176" t="n"/>
      <c r="Z793" s="176" t="n"/>
      <c r="AA793" s="176" t="n"/>
      <c r="AB793" s="176" t="n"/>
    </row>
    <row r="794">
      <c r="A794" s="176" t="n"/>
      <c r="B794" s="176" t="n"/>
      <c r="C794" s="176" t="n"/>
      <c r="D794" s="176" t="n"/>
      <c r="E794" s="176" t="n"/>
      <c r="F794" s="213" t="n"/>
      <c r="G794" s="213" t="n"/>
      <c r="H794" s="213" t="n"/>
      <c r="I794" s="213" t="n"/>
      <c r="J794" s="213" t="n"/>
      <c r="K794" s="946" t="n"/>
      <c r="L794" s="176" t="n"/>
      <c r="M794" s="176" t="n"/>
      <c r="N794" s="176" t="n"/>
      <c r="O794" s="176" t="n"/>
      <c r="P794" s="176" t="n"/>
      <c r="Q794" s="176" t="n"/>
      <c r="R794" s="176" t="n"/>
      <c r="S794" s="176" t="n"/>
      <c r="T794" s="176" t="n"/>
      <c r="U794" s="176" t="n"/>
      <c r="V794" s="176" t="n"/>
      <c r="W794" s="176" t="n"/>
      <c r="X794" s="176" t="n"/>
      <c r="Y794" s="176" t="n"/>
      <c r="Z794" s="176" t="n"/>
      <c r="AA794" s="176" t="n"/>
      <c r="AB794" s="176" t="n"/>
    </row>
    <row r="795">
      <c r="A795" s="176" t="n"/>
      <c r="B795" s="176" t="n"/>
      <c r="C795" s="176" t="n"/>
      <c r="D795" s="176" t="n"/>
      <c r="E795" s="176" t="n"/>
      <c r="F795" s="213" t="n"/>
      <c r="G795" s="213" t="n"/>
      <c r="H795" s="213" t="n"/>
      <c r="I795" s="213" t="n"/>
      <c r="J795" s="213" t="n"/>
      <c r="K795" s="946" t="n"/>
      <c r="L795" s="176" t="n"/>
      <c r="M795" s="176" t="n"/>
      <c r="N795" s="176" t="n"/>
      <c r="O795" s="176" t="n"/>
      <c r="P795" s="176" t="n"/>
      <c r="Q795" s="176" t="n"/>
      <c r="R795" s="176" t="n"/>
      <c r="S795" s="176" t="n"/>
      <c r="T795" s="176" t="n"/>
      <c r="U795" s="176" t="n"/>
      <c r="V795" s="176" t="n"/>
      <c r="W795" s="176" t="n"/>
      <c r="X795" s="176" t="n"/>
      <c r="Y795" s="176" t="n"/>
      <c r="Z795" s="176" t="n"/>
      <c r="AA795" s="176" t="n"/>
      <c r="AB795" s="176" t="n"/>
    </row>
    <row r="796">
      <c r="A796" s="176" t="n"/>
      <c r="B796" s="176" t="n"/>
      <c r="C796" s="176" t="n"/>
      <c r="D796" s="176" t="n"/>
      <c r="E796" s="176" t="n"/>
      <c r="F796" s="213" t="n"/>
      <c r="G796" s="213" t="n"/>
      <c r="H796" s="213" t="n"/>
      <c r="I796" s="213" t="n"/>
      <c r="J796" s="213" t="n"/>
      <c r="K796" s="946" t="n"/>
      <c r="L796" s="176" t="n"/>
      <c r="M796" s="176" t="n"/>
      <c r="N796" s="176" t="n"/>
      <c r="O796" s="176" t="n"/>
      <c r="P796" s="176" t="n"/>
      <c r="Q796" s="176" t="n"/>
      <c r="R796" s="176" t="n"/>
      <c r="S796" s="176" t="n"/>
      <c r="T796" s="176" t="n"/>
      <c r="U796" s="176" t="n"/>
      <c r="V796" s="176" t="n"/>
      <c r="W796" s="176" t="n"/>
      <c r="X796" s="176" t="n"/>
      <c r="Y796" s="176" t="n"/>
      <c r="Z796" s="176" t="n"/>
      <c r="AA796" s="176" t="n"/>
      <c r="AB796" s="176" t="n"/>
    </row>
    <row r="797">
      <c r="A797" s="176" t="n"/>
      <c r="B797" s="176" t="n"/>
      <c r="C797" s="176" t="n"/>
      <c r="D797" s="176" t="n"/>
      <c r="E797" s="176" t="n"/>
      <c r="F797" s="213" t="n"/>
      <c r="G797" s="213" t="n"/>
      <c r="H797" s="213" t="n"/>
      <c r="I797" s="213" t="n"/>
      <c r="J797" s="213" t="n"/>
      <c r="K797" s="946" t="n"/>
      <c r="L797" s="176" t="n"/>
      <c r="M797" s="176" t="n"/>
      <c r="N797" s="176" t="n"/>
      <c r="O797" s="176" t="n"/>
      <c r="P797" s="176" t="n"/>
      <c r="Q797" s="176" t="n"/>
      <c r="R797" s="176" t="n"/>
      <c r="S797" s="176" t="n"/>
      <c r="T797" s="176" t="n"/>
      <c r="U797" s="176" t="n"/>
      <c r="V797" s="176" t="n"/>
      <c r="W797" s="176" t="n"/>
      <c r="X797" s="176" t="n"/>
      <c r="Y797" s="176" t="n"/>
      <c r="Z797" s="176" t="n"/>
      <c r="AA797" s="176" t="n"/>
      <c r="AB797" s="176" t="n"/>
    </row>
    <row r="798">
      <c r="A798" s="176" t="n"/>
      <c r="B798" s="176" t="n"/>
      <c r="C798" s="176" t="n"/>
      <c r="D798" s="176" t="n"/>
      <c r="E798" s="176" t="n"/>
      <c r="F798" s="213" t="n"/>
      <c r="G798" s="213" t="n"/>
      <c r="H798" s="213" t="n"/>
      <c r="I798" s="213" t="n"/>
      <c r="J798" s="213" t="n"/>
      <c r="K798" s="946" t="n"/>
      <c r="L798" s="176" t="n"/>
      <c r="M798" s="176" t="n"/>
      <c r="N798" s="176" t="n"/>
      <c r="O798" s="176" t="n"/>
      <c r="P798" s="176" t="n"/>
      <c r="Q798" s="176" t="n"/>
      <c r="R798" s="176" t="n"/>
      <c r="S798" s="176" t="n"/>
      <c r="T798" s="176" t="n"/>
      <c r="U798" s="176" t="n"/>
      <c r="V798" s="176" t="n"/>
      <c r="W798" s="176" t="n"/>
      <c r="X798" s="176" t="n"/>
      <c r="Y798" s="176" t="n"/>
      <c r="Z798" s="176" t="n"/>
      <c r="AA798" s="176" t="n"/>
      <c r="AB798" s="176" t="n"/>
    </row>
    <row r="799">
      <c r="A799" s="176" t="n"/>
      <c r="B799" s="176" t="n"/>
      <c r="C799" s="176" t="n"/>
      <c r="D799" s="176" t="n"/>
      <c r="E799" s="176" t="n"/>
      <c r="F799" s="213" t="n"/>
      <c r="G799" s="213" t="n"/>
      <c r="H799" s="213" t="n"/>
      <c r="I799" s="213" t="n"/>
      <c r="J799" s="213" t="n"/>
      <c r="K799" s="946" t="n"/>
      <c r="L799" s="176" t="n"/>
      <c r="M799" s="176" t="n"/>
      <c r="N799" s="176" t="n"/>
      <c r="O799" s="176" t="n"/>
      <c r="P799" s="176" t="n"/>
      <c r="Q799" s="176" t="n"/>
      <c r="R799" s="176" t="n"/>
      <c r="S799" s="176" t="n"/>
      <c r="T799" s="176" t="n"/>
      <c r="U799" s="176" t="n"/>
      <c r="V799" s="176" t="n"/>
      <c r="W799" s="176" t="n"/>
      <c r="X799" s="176" t="n"/>
      <c r="Y799" s="176" t="n"/>
      <c r="Z799" s="176" t="n"/>
      <c r="AA799" s="176" t="n"/>
      <c r="AB799" s="176" t="n"/>
    </row>
    <row r="800">
      <c r="A800" s="176" t="n"/>
      <c r="B800" s="176" t="n"/>
      <c r="C800" s="176" t="n"/>
      <c r="D800" s="176" t="n"/>
      <c r="E800" s="176" t="n"/>
      <c r="F800" s="213" t="n"/>
      <c r="G800" s="213" t="n"/>
      <c r="H800" s="213" t="n"/>
      <c r="I800" s="213" t="n"/>
      <c r="J800" s="213" t="n"/>
      <c r="K800" s="946" t="n"/>
      <c r="L800" s="176" t="n"/>
      <c r="M800" s="176" t="n"/>
      <c r="N800" s="176" t="n"/>
      <c r="O800" s="176" t="n"/>
      <c r="P800" s="176" t="n"/>
      <c r="Q800" s="176" t="n"/>
      <c r="R800" s="176" t="n"/>
      <c r="S800" s="176" t="n"/>
      <c r="T800" s="176" t="n"/>
      <c r="U800" s="176" t="n"/>
      <c r="V800" s="176" t="n"/>
      <c r="W800" s="176" t="n"/>
      <c r="X800" s="176" t="n"/>
      <c r="Y800" s="176" t="n"/>
      <c r="Z800" s="176" t="n"/>
      <c r="AA800" s="176" t="n"/>
      <c r="AB800" s="176" t="n"/>
    </row>
    <row r="801">
      <c r="A801" s="176" t="n"/>
      <c r="B801" s="176" t="n"/>
      <c r="C801" s="176" t="n"/>
      <c r="D801" s="176" t="n"/>
      <c r="E801" s="176" t="n"/>
      <c r="F801" s="213" t="n"/>
      <c r="G801" s="213" t="n"/>
      <c r="H801" s="213" t="n"/>
      <c r="I801" s="213" t="n"/>
      <c r="J801" s="213" t="n"/>
      <c r="K801" s="946" t="n"/>
      <c r="L801" s="176" t="n"/>
      <c r="M801" s="176" t="n"/>
      <c r="N801" s="176" t="n"/>
      <c r="O801" s="176" t="n"/>
      <c r="P801" s="176" t="n"/>
      <c r="Q801" s="176" t="n"/>
      <c r="R801" s="176" t="n"/>
      <c r="S801" s="176" t="n"/>
      <c r="T801" s="176" t="n"/>
      <c r="U801" s="176" t="n"/>
      <c r="V801" s="176" t="n"/>
      <c r="W801" s="176" t="n"/>
      <c r="X801" s="176" t="n"/>
      <c r="Y801" s="176" t="n"/>
      <c r="Z801" s="176" t="n"/>
      <c r="AA801" s="176" t="n"/>
      <c r="AB801" s="176" t="n"/>
    </row>
    <row r="802">
      <c r="A802" s="176" t="n"/>
      <c r="B802" s="176" t="n"/>
      <c r="C802" s="176" t="n"/>
      <c r="D802" s="176" t="n"/>
      <c r="E802" s="176" t="n"/>
      <c r="F802" s="213" t="n"/>
      <c r="G802" s="213" t="n"/>
      <c r="H802" s="213" t="n"/>
      <c r="I802" s="213" t="n"/>
      <c r="J802" s="213" t="n"/>
      <c r="K802" s="946" t="n"/>
      <c r="L802" s="176" t="n"/>
      <c r="M802" s="176" t="n"/>
      <c r="N802" s="176" t="n"/>
      <c r="O802" s="176" t="n"/>
      <c r="P802" s="176" t="n"/>
      <c r="Q802" s="176" t="n"/>
      <c r="R802" s="176" t="n"/>
      <c r="S802" s="176" t="n"/>
      <c r="T802" s="176" t="n"/>
      <c r="U802" s="176" t="n"/>
      <c r="V802" s="176" t="n"/>
      <c r="W802" s="176" t="n"/>
      <c r="X802" s="176" t="n"/>
      <c r="Y802" s="176" t="n"/>
      <c r="Z802" s="176" t="n"/>
      <c r="AA802" s="176" t="n"/>
      <c r="AB802" s="176" t="n"/>
    </row>
    <row r="803">
      <c r="A803" s="176" t="n"/>
      <c r="B803" s="176" t="n"/>
      <c r="C803" s="176" t="n"/>
      <c r="D803" s="176" t="n"/>
      <c r="E803" s="176" t="n"/>
      <c r="F803" s="213" t="n"/>
      <c r="G803" s="213" t="n"/>
      <c r="H803" s="213" t="n"/>
      <c r="I803" s="213" t="n"/>
      <c r="J803" s="213" t="n"/>
      <c r="K803" s="946" t="n"/>
      <c r="L803" s="176" t="n"/>
      <c r="M803" s="176" t="n"/>
      <c r="N803" s="176" t="n"/>
      <c r="O803" s="176" t="n"/>
      <c r="P803" s="176" t="n"/>
      <c r="Q803" s="176" t="n"/>
      <c r="R803" s="176" t="n"/>
      <c r="S803" s="176" t="n"/>
      <c r="T803" s="176" t="n"/>
      <c r="U803" s="176" t="n"/>
      <c r="V803" s="176" t="n"/>
      <c r="W803" s="176" t="n"/>
      <c r="X803" s="176" t="n"/>
      <c r="Y803" s="176" t="n"/>
      <c r="Z803" s="176" t="n"/>
      <c r="AA803" s="176" t="n"/>
      <c r="AB803" s="176" t="n"/>
    </row>
    <row r="804">
      <c r="A804" s="176" t="n"/>
      <c r="B804" s="176" t="n"/>
      <c r="C804" s="176" t="n"/>
      <c r="D804" s="176" t="n"/>
      <c r="E804" s="176" t="n"/>
      <c r="F804" s="213" t="n"/>
      <c r="G804" s="213" t="n"/>
      <c r="H804" s="213" t="n"/>
      <c r="I804" s="213" t="n"/>
      <c r="J804" s="213" t="n"/>
      <c r="K804" s="946" t="n"/>
      <c r="L804" s="176" t="n"/>
      <c r="M804" s="176" t="n"/>
      <c r="N804" s="176" t="n"/>
      <c r="O804" s="176" t="n"/>
      <c r="P804" s="176" t="n"/>
      <c r="Q804" s="176" t="n"/>
      <c r="R804" s="176" t="n"/>
      <c r="S804" s="176" t="n"/>
      <c r="T804" s="176" t="n"/>
      <c r="U804" s="176" t="n"/>
      <c r="V804" s="176" t="n"/>
      <c r="W804" s="176" t="n"/>
      <c r="X804" s="176" t="n"/>
      <c r="Y804" s="176" t="n"/>
      <c r="Z804" s="176" t="n"/>
      <c r="AA804" s="176" t="n"/>
      <c r="AB804" s="176" t="n"/>
    </row>
    <row r="805">
      <c r="A805" s="176" t="n"/>
      <c r="B805" s="176" t="n"/>
      <c r="C805" s="176" t="n"/>
      <c r="D805" s="176" t="n"/>
      <c r="E805" s="176" t="n"/>
      <c r="F805" s="213" t="n"/>
      <c r="G805" s="213" t="n"/>
      <c r="H805" s="213" t="n"/>
      <c r="I805" s="213" t="n"/>
      <c r="J805" s="213" t="n"/>
      <c r="K805" s="946" t="n"/>
      <c r="L805" s="176" t="n"/>
      <c r="M805" s="176" t="n"/>
      <c r="N805" s="176" t="n"/>
      <c r="O805" s="176" t="n"/>
      <c r="P805" s="176" t="n"/>
      <c r="Q805" s="176" t="n"/>
      <c r="R805" s="176" t="n"/>
      <c r="S805" s="176" t="n"/>
      <c r="T805" s="176" t="n"/>
      <c r="U805" s="176" t="n"/>
      <c r="V805" s="176" t="n"/>
      <c r="W805" s="176" t="n"/>
      <c r="X805" s="176" t="n"/>
      <c r="Y805" s="176" t="n"/>
      <c r="Z805" s="176" t="n"/>
      <c r="AA805" s="176" t="n"/>
      <c r="AB805" s="176" t="n"/>
    </row>
    <row r="806">
      <c r="A806" s="176" t="n"/>
      <c r="B806" s="176" t="n"/>
      <c r="C806" s="176" t="n"/>
      <c r="D806" s="176" t="n"/>
      <c r="E806" s="176" t="n"/>
      <c r="F806" s="213" t="n"/>
      <c r="G806" s="213" t="n"/>
      <c r="H806" s="213" t="n"/>
      <c r="I806" s="213" t="n"/>
      <c r="J806" s="213" t="n"/>
      <c r="K806" s="946" t="n"/>
      <c r="L806" s="176" t="n"/>
      <c r="M806" s="176" t="n"/>
      <c r="N806" s="176" t="n"/>
      <c r="O806" s="176" t="n"/>
      <c r="P806" s="176" t="n"/>
      <c r="Q806" s="176" t="n"/>
      <c r="R806" s="176" t="n"/>
      <c r="S806" s="176" t="n"/>
      <c r="T806" s="176" t="n"/>
      <c r="U806" s="176" t="n"/>
      <c r="V806" s="176" t="n"/>
      <c r="W806" s="176" t="n"/>
      <c r="X806" s="176" t="n"/>
      <c r="Y806" s="176" t="n"/>
      <c r="Z806" s="176" t="n"/>
      <c r="AA806" s="176" t="n"/>
      <c r="AB806" s="176" t="n"/>
    </row>
    <row r="807">
      <c r="A807" s="176" t="n"/>
      <c r="B807" s="176" t="n"/>
      <c r="C807" s="176" t="n"/>
      <c r="D807" s="176" t="n"/>
      <c r="E807" s="176" t="n"/>
      <c r="F807" s="213" t="n"/>
      <c r="G807" s="213" t="n"/>
      <c r="H807" s="213" t="n"/>
      <c r="I807" s="213" t="n"/>
      <c r="J807" s="213" t="n"/>
      <c r="K807" s="946" t="n"/>
      <c r="L807" s="176" t="n"/>
      <c r="M807" s="176" t="n"/>
      <c r="N807" s="176" t="n"/>
      <c r="O807" s="176" t="n"/>
      <c r="P807" s="176" t="n"/>
      <c r="Q807" s="176" t="n"/>
      <c r="R807" s="176" t="n"/>
      <c r="S807" s="176" t="n"/>
      <c r="T807" s="176" t="n"/>
      <c r="U807" s="176" t="n"/>
      <c r="V807" s="176" t="n"/>
      <c r="W807" s="176" t="n"/>
      <c r="X807" s="176" t="n"/>
      <c r="Y807" s="176" t="n"/>
      <c r="Z807" s="176" t="n"/>
      <c r="AA807" s="176" t="n"/>
      <c r="AB807" s="176" t="n"/>
    </row>
    <row r="808">
      <c r="A808" s="176" t="n"/>
      <c r="B808" s="176" t="n"/>
      <c r="C808" s="176" t="n"/>
      <c r="D808" s="176" t="n"/>
      <c r="E808" s="176" t="n"/>
      <c r="F808" s="213" t="n"/>
      <c r="G808" s="213" t="n"/>
      <c r="H808" s="213" t="n"/>
      <c r="I808" s="213" t="n"/>
      <c r="J808" s="213" t="n"/>
      <c r="K808" s="946" t="n"/>
      <c r="L808" s="176" t="n"/>
      <c r="M808" s="176" t="n"/>
      <c r="N808" s="176" t="n"/>
      <c r="O808" s="176" t="n"/>
      <c r="P808" s="176" t="n"/>
      <c r="Q808" s="176" t="n"/>
      <c r="R808" s="176" t="n"/>
      <c r="S808" s="176" t="n"/>
      <c r="T808" s="176" t="n"/>
      <c r="U808" s="176" t="n"/>
      <c r="V808" s="176" t="n"/>
      <c r="W808" s="176" t="n"/>
      <c r="X808" s="176" t="n"/>
      <c r="Y808" s="176" t="n"/>
      <c r="Z808" s="176" t="n"/>
      <c r="AA808" s="176" t="n"/>
      <c r="AB808" s="176" t="n"/>
    </row>
    <row r="809">
      <c r="A809" s="176" t="n"/>
      <c r="B809" s="176" t="n"/>
      <c r="C809" s="176" t="n"/>
      <c r="D809" s="176" t="n"/>
      <c r="E809" s="176" t="n"/>
      <c r="F809" s="213" t="n"/>
      <c r="G809" s="213" t="n"/>
      <c r="H809" s="213" t="n"/>
      <c r="I809" s="213" t="n"/>
      <c r="J809" s="213" t="n"/>
      <c r="K809" s="946" t="n"/>
      <c r="L809" s="176" t="n"/>
      <c r="M809" s="176" t="n"/>
      <c r="N809" s="176" t="n"/>
      <c r="O809" s="176" t="n"/>
      <c r="P809" s="176" t="n"/>
      <c r="Q809" s="176" t="n"/>
      <c r="R809" s="176" t="n"/>
      <c r="S809" s="176" t="n"/>
      <c r="T809" s="176" t="n"/>
      <c r="U809" s="176" t="n"/>
      <c r="V809" s="176" t="n"/>
      <c r="W809" s="176" t="n"/>
      <c r="X809" s="176" t="n"/>
      <c r="Y809" s="176" t="n"/>
      <c r="Z809" s="176" t="n"/>
      <c r="AA809" s="176" t="n"/>
      <c r="AB809" s="176" t="n"/>
    </row>
    <row r="810">
      <c r="A810" s="176" t="n"/>
      <c r="B810" s="176" t="n"/>
      <c r="C810" s="176" t="n"/>
      <c r="D810" s="176" t="n"/>
      <c r="E810" s="176" t="n"/>
      <c r="F810" s="213" t="n"/>
      <c r="G810" s="213" t="n"/>
      <c r="H810" s="213" t="n"/>
      <c r="I810" s="213" t="n"/>
      <c r="J810" s="213" t="n"/>
      <c r="K810" s="946" t="n"/>
      <c r="L810" s="176" t="n"/>
      <c r="M810" s="176" t="n"/>
      <c r="N810" s="176" t="n"/>
      <c r="O810" s="176" t="n"/>
      <c r="P810" s="176" t="n"/>
      <c r="Q810" s="176" t="n"/>
      <c r="R810" s="176" t="n"/>
      <c r="S810" s="176" t="n"/>
      <c r="T810" s="176" t="n"/>
      <c r="U810" s="176" t="n"/>
      <c r="V810" s="176" t="n"/>
      <c r="W810" s="176" t="n"/>
      <c r="X810" s="176" t="n"/>
      <c r="Y810" s="176" t="n"/>
      <c r="Z810" s="176" t="n"/>
      <c r="AA810" s="176" t="n"/>
      <c r="AB810" s="176" t="n"/>
    </row>
    <row r="811">
      <c r="A811" s="176" t="n"/>
      <c r="B811" s="176" t="n"/>
      <c r="C811" s="176" t="n"/>
      <c r="D811" s="176" t="n"/>
      <c r="E811" s="176" t="n"/>
      <c r="F811" s="213" t="n"/>
      <c r="G811" s="213" t="n"/>
      <c r="H811" s="213" t="n"/>
      <c r="I811" s="213" t="n"/>
      <c r="J811" s="213" t="n"/>
      <c r="K811" s="946" t="n"/>
      <c r="L811" s="176" t="n"/>
      <c r="M811" s="176" t="n"/>
      <c r="N811" s="176" t="n"/>
      <c r="O811" s="176" t="n"/>
      <c r="P811" s="176" t="n"/>
      <c r="Q811" s="176" t="n"/>
      <c r="R811" s="176" t="n"/>
      <c r="S811" s="176" t="n"/>
      <c r="T811" s="176" t="n"/>
      <c r="U811" s="176" t="n"/>
      <c r="V811" s="176" t="n"/>
      <c r="W811" s="176" t="n"/>
      <c r="X811" s="176" t="n"/>
      <c r="Y811" s="176" t="n"/>
      <c r="Z811" s="176" t="n"/>
      <c r="AA811" s="176" t="n"/>
      <c r="AB811" s="176" t="n"/>
    </row>
    <row r="812">
      <c r="A812" s="176" t="n"/>
      <c r="B812" s="176" t="n"/>
      <c r="C812" s="176" t="n"/>
      <c r="D812" s="176" t="n"/>
      <c r="E812" s="176" t="n"/>
      <c r="F812" s="213" t="n"/>
      <c r="G812" s="213" t="n"/>
      <c r="H812" s="213" t="n"/>
      <c r="I812" s="213" t="n"/>
      <c r="J812" s="213" t="n"/>
      <c r="K812" s="946" t="n"/>
      <c r="L812" s="176" t="n"/>
      <c r="M812" s="176" t="n"/>
      <c r="N812" s="176" t="n"/>
      <c r="O812" s="176" t="n"/>
      <c r="P812" s="176" t="n"/>
      <c r="Q812" s="176" t="n"/>
      <c r="R812" s="176" t="n"/>
      <c r="S812" s="176" t="n"/>
      <c r="T812" s="176" t="n"/>
      <c r="U812" s="176" t="n"/>
      <c r="V812" s="176" t="n"/>
      <c r="W812" s="176" t="n"/>
      <c r="X812" s="176" t="n"/>
      <c r="Y812" s="176" t="n"/>
      <c r="Z812" s="176" t="n"/>
      <c r="AA812" s="176" t="n"/>
      <c r="AB812" s="176" t="n"/>
    </row>
    <row r="813">
      <c r="A813" s="176" t="n"/>
      <c r="B813" s="176" t="n"/>
      <c r="C813" s="176" t="n"/>
      <c r="D813" s="176" t="n"/>
      <c r="E813" s="176" t="n"/>
      <c r="F813" s="213" t="n"/>
      <c r="G813" s="213" t="n"/>
      <c r="H813" s="213" t="n"/>
      <c r="I813" s="213" t="n"/>
      <c r="J813" s="213" t="n"/>
      <c r="K813" s="946" t="n"/>
      <c r="L813" s="176" t="n"/>
      <c r="M813" s="176" t="n"/>
      <c r="N813" s="176" t="n"/>
      <c r="O813" s="176" t="n"/>
      <c r="P813" s="176" t="n"/>
      <c r="Q813" s="176" t="n"/>
      <c r="R813" s="176" t="n"/>
      <c r="S813" s="176" t="n"/>
      <c r="T813" s="176" t="n"/>
      <c r="U813" s="176" t="n"/>
      <c r="V813" s="176" t="n"/>
      <c r="W813" s="176" t="n"/>
      <c r="X813" s="176" t="n"/>
      <c r="Y813" s="176" t="n"/>
      <c r="Z813" s="176" t="n"/>
      <c r="AA813" s="176" t="n"/>
      <c r="AB813" s="176" t="n"/>
    </row>
    <row r="814">
      <c r="A814" s="176" t="n"/>
      <c r="B814" s="176" t="n"/>
      <c r="C814" s="176" t="n"/>
      <c r="D814" s="176" t="n"/>
      <c r="E814" s="176" t="n"/>
      <c r="F814" s="213" t="n"/>
      <c r="G814" s="213" t="n"/>
      <c r="H814" s="213" t="n"/>
      <c r="I814" s="213" t="n"/>
      <c r="J814" s="213" t="n"/>
      <c r="K814" s="946" t="n"/>
      <c r="L814" s="176" t="n"/>
      <c r="M814" s="176" t="n"/>
      <c r="N814" s="176" t="n"/>
      <c r="O814" s="176" t="n"/>
      <c r="P814" s="176" t="n"/>
      <c r="Q814" s="176" t="n"/>
      <c r="R814" s="176" t="n"/>
      <c r="S814" s="176" t="n"/>
      <c r="T814" s="176" t="n"/>
      <c r="U814" s="176" t="n"/>
      <c r="V814" s="176" t="n"/>
      <c r="W814" s="176" t="n"/>
      <c r="X814" s="176" t="n"/>
      <c r="Y814" s="176" t="n"/>
      <c r="Z814" s="176" t="n"/>
      <c r="AA814" s="176" t="n"/>
      <c r="AB814" s="176" t="n"/>
    </row>
    <row r="815">
      <c r="A815" s="176" t="n"/>
      <c r="B815" s="176" t="n"/>
      <c r="C815" s="176" t="n"/>
      <c r="D815" s="176" t="n"/>
      <c r="E815" s="176" t="n"/>
      <c r="F815" s="213" t="n"/>
      <c r="G815" s="213" t="n"/>
      <c r="H815" s="213" t="n"/>
      <c r="I815" s="213" t="n"/>
      <c r="J815" s="213" t="n"/>
      <c r="K815" s="946" t="n"/>
      <c r="L815" s="176" t="n"/>
      <c r="M815" s="176" t="n"/>
      <c r="N815" s="176" t="n"/>
      <c r="O815" s="176" t="n"/>
      <c r="P815" s="176" t="n"/>
      <c r="Q815" s="176" t="n"/>
      <c r="R815" s="176" t="n"/>
      <c r="S815" s="176" t="n"/>
      <c r="T815" s="176" t="n"/>
      <c r="U815" s="176" t="n"/>
      <c r="V815" s="176" t="n"/>
      <c r="W815" s="176" t="n"/>
      <c r="X815" s="176" t="n"/>
      <c r="Y815" s="176" t="n"/>
      <c r="Z815" s="176" t="n"/>
      <c r="AA815" s="176" t="n"/>
      <c r="AB815" s="176" t="n"/>
    </row>
    <row r="816">
      <c r="A816" s="176" t="n"/>
      <c r="B816" s="176" t="n"/>
      <c r="C816" s="176" t="n"/>
      <c r="D816" s="176" t="n"/>
      <c r="E816" s="176" t="n"/>
      <c r="F816" s="213" t="n"/>
      <c r="G816" s="213" t="n"/>
      <c r="H816" s="213" t="n"/>
      <c r="I816" s="213" t="n"/>
      <c r="J816" s="213" t="n"/>
      <c r="K816" s="946" t="n"/>
      <c r="L816" s="176" t="n"/>
      <c r="M816" s="176" t="n"/>
      <c r="N816" s="176" t="n"/>
      <c r="O816" s="176" t="n"/>
      <c r="P816" s="176" t="n"/>
      <c r="Q816" s="176" t="n"/>
      <c r="R816" s="176" t="n"/>
      <c r="S816" s="176" t="n"/>
      <c r="T816" s="176" t="n"/>
      <c r="U816" s="176" t="n"/>
      <c r="V816" s="176" t="n"/>
      <c r="W816" s="176" t="n"/>
      <c r="X816" s="176" t="n"/>
      <c r="Y816" s="176" t="n"/>
      <c r="Z816" s="176" t="n"/>
      <c r="AA816" s="176" t="n"/>
      <c r="AB816" s="176" t="n"/>
    </row>
    <row r="817">
      <c r="A817" s="176" t="n"/>
      <c r="B817" s="176" t="n"/>
      <c r="C817" s="176" t="n"/>
      <c r="D817" s="176" t="n"/>
      <c r="E817" s="176" t="n"/>
      <c r="F817" s="213" t="n"/>
      <c r="G817" s="213" t="n"/>
      <c r="H817" s="213" t="n"/>
      <c r="I817" s="213" t="n"/>
      <c r="J817" s="213" t="n"/>
      <c r="K817" s="946" t="n"/>
      <c r="L817" s="176" t="n"/>
      <c r="M817" s="176" t="n"/>
      <c r="N817" s="176" t="n"/>
      <c r="O817" s="176" t="n"/>
      <c r="P817" s="176" t="n"/>
      <c r="Q817" s="176" t="n"/>
      <c r="R817" s="176" t="n"/>
      <c r="S817" s="176" t="n"/>
      <c r="T817" s="176" t="n"/>
      <c r="U817" s="176" t="n"/>
      <c r="V817" s="176" t="n"/>
      <c r="W817" s="176" t="n"/>
      <c r="X817" s="176" t="n"/>
      <c r="Y817" s="176" t="n"/>
      <c r="Z817" s="176" t="n"/>
      <c r="AA817" s="176" t="n"/>
      <c r="AB817" s="176" t="n"/>
    </row>
    <row r="818">
      <c r="A818" s="176" t="n"/>
      <c r="B818" s="176" t="n"/>
      <c r="C818" s="176" t="n"/>
      <c r="D818" s="176" t="n"/>
      <c r="E818" s="176" t="n"/>
      <c r="F818" s="213" t="n"/>
      <c r="G818" s="213" t="n"/>
      <c r="H818" s="213" t="n"/>
      <c r="I818" s="213" t="n"/>
      <c r="J818" s="213" t="n"/>
      <c r="K818" s="946" t="n"/>
      <c r="L818" s="176" t="n"/>
      <c r="M818" s="176" t="n"/>
      <c r="N818" s="176" t="n"/>
      <c r="O818" s="176" t="n"/>
      <c r="P818" s="176" t="n"/>
      <c r="Q818" s="176" t="n"/>
      <c r="R818" s="176" t="n"/>
      <c r="S818" s="176" t="n"/>
      <c r="T818" s="176" t="n"/>
      <c r="U818" s="176" t="n"/>
      <c r="V818" s="176" t="n"/>
      <c r="W818" s="176" t="n"/>
      <c r="X818" s="176" t="n"/>
      <c r="Y818" s="176" t="n"/>
      <c r="Z818" s="176" t="n"/>
      <c r="AA818" s="176" t="n"/>
      <c r="AB818" s="176" t="n"/>
    </row>
    <row r="819">
      <c r="A819" s="176" t="n"/>
      <c r="B819" s="176" t="n"/>
      <c r="C819" s="176" t="n"/>
      <c r="D819" s="176" t="n"/>
      <c r="E819" s="176" t="n"/>
      <c r="F819" s="213" t="n"/>
      <c r="G819" s="213" t="n"/>
      <c r="H819" s="213" t="n"/>
      <c r="I819" s="213" t="n"/>
      <c r="J819" s="213" t="n"/>
      <c r="K819" s="946" t="n"/>
      <c r="L819" s="176" t="n"/>
      <c r="M819" s="176" t="n"/>
      <c r="N819" s="176" t="n"/>
      <c r="O819" s="176" t="n"/>
      <c r="P819" s="176" t="n"/>
      <c r="Q819" s="176" t="n"/>
      <c r="R819" s="176" t="n"/>
      <c r="S819" s="176" t="n"/>
      <c r="T819" s="176" t="n"/>
      <c r="U819" s="176" t="n"/>
      <c r="V819" s="176" t="n"/>
      <c r="W819" s="176" t="n"/>
      <c r="X819" s="176" t="n"/>
      <c r="Y819" s="176" t="n"/>
      <c r="Z819" s="176" t="n"/>
      <c r="AA819" s="176" t="n"/>
      <c r="AB819" s="176" t="n"/>
    </row>
    <row r="820">
      <c r="A820" s="176" t="n"/>
      <c r="B820" s="176" t="n"/>
      <c r="C820" s="176" t="n"/>
      <c r="D820" s="176" t="n"/>
      <c r="E820" s="176" t="n"/>
      <c r="F820" s="213" t="n"/>
      <c r="G820" s="213" t="n"/>
      <c r="H820" s="213" t="n"/>
      <c r="I820" s="213" t="n"/>
      <c r="J820" s="213" t="n"/>
      <c r="K820" s="946" t="n"/>
      <c r="L820" s="176" t="n"/>
      <c r="M820" s="176" t="n"/>
      <c r="N820" s="176" t="n"/>
      <c r="O820" s="176" t="n"/>
      <c r="P820" s="176" t="n"/>
      <c r="Q820" s="176" t="n"/>
      <c r="R820" s="176" t="n"/>
      <c r="S820" s="176" t="n"/>
      <c r="T820" s="176" t="n"/>
      <c r="U820" s="176" t="n"/>
      <c r="V820" s="176" t="n"/>
      <c r="W820" s="176" t="n"/>
      <c r="X820" s="176" t="n"/>
      <c r="Y820" s="176" t="n"/>
      <c r="Z820" s="176" t="n"/>
      <c r="AA820" s="176" t="n"/>
      <c r="AB820" s="176" t="n"/>
    </row>
    <row r="821">
      <c r="A821" s="176" t="n"/>
      <c r="B821" s="176" t="n"/>
      <c r="C821" s="176" t="n"/>
      <c r="D821" s="176" t="n"/>
      <c r="E821" s="176" t="n"/>
      <c r="F821" s="213" t="n"/>
      <c r="G821" s="213" t="n"/>
      <c r="H821" s="213" t="n"/>
      <c r="I821" s="213" t="n"/>
      <c r="J821" s="213" t="n"/>
      <c r="K821" s="946" t="n"/>
      <c r="L821" s="176" t="n"/>
      <c r="M821" s="176" t="n"/>
      <c r="N821" s="176" t="n"/>
      <c r="O821" s="176" t="n"/>
      <c r="P821" s="176" t="n"/>
      <c r="Q821" s="176" t="n"/>
      <c r="R821" s="176" t="n"/>
      <c r="S821" s="176" t="n"/>
      <c r="T821" s="176" t="n"/>
      <c r="U821" s="176" t="n"/>
      <c r="V821" s="176" t="n"/>
      <c r="W821" s="176" t="n"/>
      <c r="X821" s="176" t="n"/>
      <c r="Y821" s="176" t="n"/>
      <c r="Z821" s="176" t="n"/>
      <c r="AA821" s="176" t="n"/>
      <c r="AB821" s="176" t="n"/>
    </row>
    <row r="822">
      <c r="A822" s="176" t="n"/>
      <c r="B822" s="176" t="n"/>
      <c r="C822" s="176" t="n"/>
      <c r="D822" s="176" t="n"/>
      <c r="E822" s="176" t="n"/>
      <c r="F822" s="213" t="n"/>
      <c r="G822" s="213" t="n"/>
      <c r="H822" s="213" t="n"/>
      <c r="I822" s="213" t="n"/>
      <c r="J822" s="213" t="n"/>
      <c r="K822" s="946" t="n"/>
      <c r="L822" s="176" t="n"/>
      <c r="M822" s="176" t="n"/>
      <c r="N822" s="176" t="n"/>
      <c r="O822" s="176" t="n"/>
      <c r="P822" s="176" t="n"/>
      <c r="Q822" s="176" t="n"/>
      <c r="R822" s="176" t="n"/>
      <c r="S822" s="176" t="n"/>
      <c r="T822" s="176" t="n"/>
      <c r="U822" s="176" t="n"/>
      <c r="V822" s="176" t="n"/>
      <c r="W822" s="176" t="n"/>
      <c r="X822" s="176" t="n"/>
      <c r="Y822" s="176" t="n"/>
      <c r="Z822" s="176" t="n"/>
      <c r="AA822" s="176" t="n"/>
      <c r="AB822" s="176" t="n"/>
    </row>
    <row r="823">
      <c r="A823" s="176" t="n"/>
      <c r="B823" s="176" t="n"/>
      <c r="C823" s="176" t="n"/>
      <c r="D823" s="176" t="n"/>
      <c r="E823" s="176" t="n"/>
      <c r="F823" s="213" t="n"/>
      <c r="G823" s="213" t="n"/>
      <c r="H823" s="213" t="n"/>
      <c r="I823" s="213" t="n"/>
      <c r="J823" s="213" t="n"/>
      <c r="K823" s="946" t="n"/>
      <c r="L823" s="176" t="n"/>
      <c r="M823" s="176" t="n"/>
      <c r="N823" s="176" t="n"/>
      <c r="O823" s="176" t="n"/>
      <c r="P823" s="176" t="n"/>
      <c r="Q823" s="176" t="n"/>
      <c r="R823" s="176" t="n"/>
      <c r="S823" s="176" t="n"/>
      <c r="T823" s="176" t="n"/>
      <c r="U823" s="176" t="n"/>
      <c r="V823" s="176" t="n"/>
      <c r="W823" s="176" t="n"/>
      <c r="X823" s="176" t="n"/>
      <c r="Y823" s="176" t="n"/>
      <c r="Z823" s="176" t="n"/>
      <c r="AA823" s="176" t="n"/>
      <c r="AB823" s="176" t="n"/>
    </row>
    <row r="824">
      <c r="A824" s="176" t="n"/>
      <c r="B824" s="176" t="n"/>
      <c r="C824" s="176" t="n"/>
      <c r="D824" s="176" t="n"/>
      <c r="E824" s="176" t="n"/>
      <c r="F824" s="213" t="n"/>
      <c r="G824" s="213" t="n"/>
      <c r="H824" s="213" t="n"/>
      <c r="I824" s="213" t="n"/>
      <c r="J824" s="213" t="n"/>
      <c r="K824" s="946" t="n"/>
      <c r="L824" s="176" t="n"/>
      <c r="M824" s="176" t="n"/>
      <c r="N824" s="176" t="n"/>
      <c r="O824" s="176" t="n"/>
      <c r="P824" s="176" t="n"/>
      <c r="Q824" s="176" t="n"/>
      <c r="R824" s="176" t="n"/>
      <c r="S824" s="176" t="n"/>
      <c r="T824" s="176" t="n"/>
      <c r="U824" s="176" t="n"/>
      <c r="V824" s="176" t="n"/>
      <c r="W824" s="176" t="n"/>
      <c r="X824" s="176" t="n"/>
      <c r="Y824" s="176" t="n"/>
      <c r="Z824" s="176" t="n"/>
      <c r="AA824" s="176" t="n"/>
      <c r="AB824" s="176" t="n"/>
    </row>
    <row r="825">
      <c r="A825" s="176" t="n"/>
      <c r="B825" s="176" t="n"/>
      <c r="C825" s="176" t="n"/>
      <c r="D825" s="176" t="n"/>
      <c r="E825" s="176" t="n"/>
      <c r="F825" s="213" t="n"/>
      <c r="G825" s="213" t="n"/>
      <c r="H825" s="213" t="n"/>
      <c r="I825" s="213" t="n"/>
      <c r="J825" s="213" t="n"/>
      <c r="K825" s="946" t="n"/>
      <c r="L825" s="176" t="n"/>
      <c r="M825" s="176" t="n"/>
      <c r="N825" s="176" t="n"/>
      <c r="O825" s="176" t="n"/>
      <c r="P825" s="176" t="n"/>
      <c r="Q825" s="176" t="n"/>
      <c r="R825" s="176" t="n"/>
      <c r="S825" s="176" t="n"/>
      <c r="T825" s="176" t="n"/>
      <c r="U825" s="176" t="n"/>
      <c r="V825" s="176" t="n"/>
      <c r="W825" s="176" t="n"/>
      <c r="X825" s="176" t="n"/>
      <c r="Y825" s="176" t="n"/>
      <c r="Z825" s="176" t="n"/>
      <c r="AA825" s="176" t="n"/>
      <c r="AB825" s="176" t="n"/>
    </row>
    <row r="826">
      <c r="A826" s="176" t="n"/>
      <c r="B826" s="176" t="n"/>
      <c r="C826" s="176" t="n"/>
      <c r="D826" s="176" t="n"/>
      <c r="E826" s="176" t="n"/>
      <c r="F826" s="213" t="n"/>
      <c r="G826" s="213" t="n"/>
      <c r="H826" s="213" t="n"/>
      <c r="I826" s="213" t="n"/>
      <c r="J826" s="213" t="n"/>
      <c r="K826" s="946" t="n"/>
      <c r="L826" s="176" t="n"/>
      <c r="M826" s="176" t="n"/>
      <c r="N826" s="176" t="n"/>
      <c r="O826" s="176" t="n"/>
      <c r="P826" s="176" t="n"/>
      <c r="Q826" s="176" t="n"/>
      <c r="R826" s="176" t="n"/>
      <c r="S826" s="176" t="n"/>
      <c r="T826" s="176" t="n"/>
      <c r="U826" s="176" t="n"/>
      <c r="V826" s="176" t="n"/>
      <c r="W826" s="176" t="n"/>
      <c r="X826" s="176" t="n"/>
      <c r="Y826" s="176" t="n"/>
      <c r="Z826" s="176" t="n"/>
      <c r="AA826" s="176" t="n"/>
      <c r="AB826" s="176" t="n"/>
    </row>
    <row r="827">
      <c r="A827" s="176" t="n"/>
      <c r="B827" s="176" t="n"/>
      <c r="C827" s="176" t="n"/>
      <c r="D827" s="176" t="n"/>
      <c r="E827" s="176" t="n"/>
      <c r="F827" s="213" t="n"/>
      <c r="G827" s="213" t="n"/>
      <c r="H827" s="213" t="n"/>
      <c r="I827" s="213" t="n"/>
      <c r="J827" s="213" t="n"/>
      <c r="K827" s="946" t="n"/>
      <c r="L827" s="176" t="n"/>
      <c r="M827" s="176" t="n"/>
      <c r="N827" s="176" t="n"/>
      <c r="O827" s="176" t="n"/>
      <c r="P827" s="176" t="n"/>
      <c r="Q827" s="176" t="n"/>
      <c r="R827" s="176" t="n"/>
      <c r="S827" s="176" t="n"/>
      <c r="T827" s="176" t="n"/>
      <c r="U827" s="176" t="n"/>
      <c r="V827" s="176" t="n"/>
      <c r="W827" s="176" t="n"/>
      <c r="X827" s="176" t="n"/>
      <c r="Y827" s="176" t="n"/>
      <c r="Z827" s="176" t="n"/>
      <c r="AA827" s="176" t="n"/>
      <c r="AB827" s="176" t="n"/>
    </row>
    <row r="828">
      <c r="A828" s="176" t="n"/>
      <c r="B828" s="176" t="n"/>
      <c r="C828" s="176" t="n"/>
      <c r="D828" s="176" t="n"/>
      <c r="E828" s="176" t="n"/>
      <c r="F828" s="213" t="n"/>
      <c r="G828" s="213" t="n"/>
      <c r="H828" s="213" t="n"/>
      <c r="I828" s="213" t="n"/>
      <c r="J828" s="213" t="n"/>
      <c r="K828" s="946" t="n"/>
      <c r="L828" s="176" t="n"/>
      <c r="M828" s="176" t="n"/>
      <c r="N828" s="176" t="n"/>
      <c r="O828" s="176" t="n"/>
      <c r="P828" s="176" t="n"/>
      <c r="Q828" s="176" t="n"/>
      <c r="R828" s="176" t="n"/>
      <c r="S828" s="176" t="n"/>
      <c r="T828" s="176" t="n"/>
      <c r="U828" s="176" t="n"/>
      <c r="V828" s="176" t="n"/>
      <c r="W828" s="176" t="n"/>
      <c r="X828" s="176" t="n"/>
      <c r="Y828" s="176" t="n"/>
      <c r="Z828" s="176" t="n"/>
      <c r="AA828" s="176" t="n"/>
      <c r="AB828" s="176" t="n"/>
    </row>
    <row r="829">
      <c r="A829" s="176" t="n"/>
      <c r="B829" s="176" t="n"/>
      <c r="C829" s="176" t="n"/>
      <c r="D829" s="176" t="n"/>
      <c r="E829" s="176" t="n"/>
      <c r="F829" s="213" t="n"/>
      <c r="G829" s="213" t="n"/>
      <c r="H829" s="213" t="n"/>
      <c r="I829" s="213" t="n"/>
      <c r="J829" s="213" t="n"/>
      <c r="K829" s="946" t="n"/>
      <c r="L829" s="176" t="n"/>
      <c r="M829" s="176" t="n"/>
      <c r="N829" s="176" t="n"/>
      <c r="O829" s="176" t="n"/>
      <c r="P829" s="176" t="n"/>
      <c r="Q829" s="176" t="n"/>
      <c r="R829" s="176" t="n"/>
      <c r="S829" s="176" t="n"/>
      <c r="T829" s="176" t="n"/>
      <c r="U829" s="176" t="n"/>
      <c r="V829" s="176" t="n"/>
      <c r="W829" s="176" t="n"/>
      <c r="X829" s="176" t="n"/>
      <c r="Y829" s="176" t="n"/>
      <c r="Z829" s="176" t="n"/>
      <c r="AA829" s="176" t="n"/>
      <c r="AB829" s="176" t="n"/>
    </row>
    <row r="830">
      <c r="A830" s="176" t="n"/>
      <c r="B830" s="176" t="n"/>
      <c r="C830" s="176" t="n"/>
      <c r="D830" s="176" t="n"/>
      <c r="E830" s="176" t="n"/>
      <c r="F830" s="213" t="n"/>
      <c r="G830" s="213" t="n"/>
      <c r="H830" s="213" t="n"/>
      <c r="I830" s="213" t="n"/>
      <c r="J830" s="213" t="n"/>
      <c r="K830" s="946" t="n"/>
      <c r="L830" s="176" t="n"/>
      <c r="M830" s="176" t="n"/>
      <c r="N830" s="176" t="n"/>
      <c r="O830" s="176" t="n"/>
      <c r="P830" s="176" t="n"/>
      <c r="Q830" s="176" t="n"/>
      <c r="R830" s="176" t="n"/>
      <c r="S830" s="176" t="n"/>
      <c r="T830" s="176" t="n"/>
      <c r="U830" s="176" t="n"/>
      <c r="V830" s="176" t="n"/>
      <c r="W830" s="176" t="n"/>
      <c r="X830" s="176" t="n"/>
      <c r="Y830" s="176" t="n"/>
      <c r="Z830" s="176" t="n"/>
      <c r="AA830" s="176" t="n"/>
      <c r="AB830" s="176" t="n"/>
    </row>
    <row r="831">
      <c r="A831" s="176" t="n"/>
      <c r="B831" s="176" t="n"/>
      <c r="C831" s="176" t="n"/>
      <c r="D831" s="176" t="n"/>
      <c r="E831" s="176" t="n"/>
      <c r="F831" s="213" t="n"/>
      <c r="G831" s="213" t="n"/>
      <c r="H831" s="213" t="n"/>
      <c r="I831" s="213" t="n"/>
      <c r="J831" s="213" t="n"/>
      <c r="K831" s="946" t="n"/>
      <c r="L831" s="176" t="n"/>
      <c r="M831" s="176" t="n"/>
      <c r="N831" s="176" t="n"/>
      <c r="O831" s="176" t="n"/>
      <c r="P831" s="176" t="n"/>
      <c r="Q831" s="176" t="n"/>
      <c r="R831" s="176" t="n"/>
      <c r="S831" s="176" t="n"/>
      <c r="T831" s="176" t="n"/>
      <c r="U831" s="176" t="n"/>
      <c r="V831" s="176" t="n"/>
      <c r="W831" s="176" t="n"/>
      <c r="X831" s="176" t="n"/>
      <c r="Y831" s="176" t="n"/>
      <c r="Z831" s="176" t="n"/>
      <c r="AA831" s="176" t="n"/>
      <c r="AB831" s="176" t="n"/>
    </row>
    <row r="832">
      <c r="A832" s="176" t="n"/>
      <c r="B832" s="176" t="n"/>
      <c r="C832" s="176" t="n"/>
      <c r="D832" s="176" t="n"/>
      <c r="E832" s="176" t="n"/>
      <c r="F832" s="213" t="n"/>
      <c r="G832" s="213" t="n"/>
      <c r="H832" s="213" t="n"/>
      <c r="I832" s="213" t="n"/>
      <c r="J832" s="213" t="n"/>
      <c r="K832" s="946" t="n"/>
      <c r="L832" s="176" t="n"/>
      <c r="M832" s="176" t="n"/>
      <c r="N832" s="176" t="n"/>
      <c r="O832" s="176" t="n"/>
      <c r="P832" s="176" t="n"/>
      <c r="Q832" s="176" t="n"/>
      <c r="R832" s="176" t="n"/>
      <c r="S832" s="176" t="n"/>
      <c r="T832" s="176" t="n"/>
      <c r="U832" s="176" t="n"/>
      <c r="V832" s="176" t="n"/>
      <c r="W832" s="176" t="n"/>
      <c r="X832" s="176" t="n"/>
      <c r="Y832" s="176" t="n"/>
      <c r="Z832" s="176" t="n"/>
      <c r="AA832" s="176" t="n"/>
      <c r="AB832" s="176" t="n"/>
    </row>
    <row r="833">
      <c r="A833" s="176" t="n"/>
      <c r="B833" s="176" t="n"/>
      <c r="C833" s="176" t="n"/>
      <c r="D833" s="176" t="n"/>
      <c r="E833" s="176" t="n"/>
      <c r="F833" s="213" t="n"/>
      <c r="G833" s="213" t="n"/>
      <c r="H833" s="213" t="n"/>
      <c r="I833" s="213" t="n"/>
      <c r="J833" s="213" t="n"/>
      <c r="K833" s="946" t="n"/>
      <c r="L833" s="176" t="n"/>
      <c r="M833" s="176" t="n"/>
      <c r="N833" s="176" t="n"/>
      <c r="O833" s="176" t="n"/>
      <c r="P833" s="176" t="n"/>
      <c r="Q833" s="176" t="n"/>
      <c r="R833" s="176" t="n"/>
      <c r="S833" s="176" t="n"/>
      <c r="T833" s="176" t="n"/>
      <c r="U833" s="176" t="n"/>
      <c r="V833" s="176" t="n"/>
      <c r="W833" s="176" t="n"/>
      <c r="X833" s="176" t="n"/>
      <c r="Y833" s="176" t="n"/>
      <c r="Z833" s="176" t="n"/>
      <c r="AA833" s="176" t="n"/>
      <c r="AB833" s="176" t="n"/>
    </row>
    <row r="834">
      <c r="A834" s="176" t="n"/>
      <c r="B834" s="176" t="n"/>
      <c r="C834" s="176" t="n"/>
      <c r="D834" s="176" t="n"/>
      <c r="E834" s="176" t="n"/>
      <c r="F834" s="213" t="n"/>
      <c r="G834" s="213" t="n"/>
      <c r="H834" s="213" t="n"/>
      <c r="I834" s="213" t="n"/>
      <c r="J834" s="213" t="n"/>
      <c r="K834" s="946" t="n"/>
      <c r="L834" s="176" t="n"/>
      <c r="M834" s="176" t="n"/>
      <c r="N834" s="176" t="n"/>
      <c r="O834" s="176" t="n"/>
      <c r="P834" s="176" t="n"/>
      <c r="Q834" s="176" t="n"/>
      <c r="R834" s="176" t="n"/>
      <c r="S834" s="176" t="n"/>
      <c r="T834" s="176" t="n"/>
      <c r="U834" s="176" t="n"/>
      <c r="V834" s="176" t="n"/>
      <c r="W834" s="176" t="n"/>
      <c r="X834" s="176" t="n"/>
      <c r="Y834" s="176" t="n"/>
      <c r="Z834" s="176" t="n"/>
      <c r="AA834" s="176" t="n"/>
      <c r="AB834" s="176" t="n"/>
    </row>
    <row r="835">
      <c r="A835" s="176" t="n"/>
      <c r="B835" s="176" t="n"/>
      <c r="C835" s="176" t="n"/>
      <c r="D835" s="176" t="n"/>
      <c r="E835" s="176" t="n"/>
      <c r="F835" s="213" t="n"/>
      <c r="G835" s="213" t="n"/>
      <c r="H835" s="213" t="n"/>
      <c r="I835" s="213" t="n"/>
      <c r="J835" s="213" t="n"/>
      <c r="K835" s="946" t="n"/>
      <c r="L835" s="176" t="n"/>
      <c r="M835" s="176" t="n"/>
      <c r="N835" s="176" t="n"/>
      <c r="O835" s="176" t="n"/>
      <c r="P835" s="176" t="n"/>
      <c r="Q835" s="176" t="n"/>
      <c r="R835" s="176" t="n"/>
      <c r="S835" s="176" t="n"/>
      <c r="T835" s="176" t="n"/>
      <c r="U835" s="176" t="n"/>
      <c r="V835" s="176" t="n"/>
      <c r="W835" s="176" t="n"/>
      <c r="X835" s="176" t="n"/>
      <c r="Y835" s="176" t="n"/>
      <c r="Z835" s="176" t="n"/>
      <c r="AA835" s="176" t="n"/>
      <c r="AB835" s="176" t="n"/>
    </row>
    <row r="836">
      <c r="A836" s="176" t="n"/>
      <c r="B836" s="176" t="n"/>
      <c r="C836" s="176" t="n"/>
      <c r="D836" s="176" t="n"/>
      <c r="E836" s="176" t="n"/>
      <c r="F836" s="213" t="n"/>
      <c r="G836" s="213" t="n"/>
      <c r="H836" s="213" t="n"/>
      <c r="I836" s="213" t="n"/>
      <c r="J836" s="213" t="n"/>
      <c r="K836" s="946" t="n"/>
      <c r="L836" s="176" t="n"/>
      <c r="M836" s="176" t="n"/>
      <c r="N836" s="176" t="n"/>
      <c r="O836" s="176" t="n"/>
      <c r="P836" s="176" t="n"/>
      <c r="Q836" s="176" t="n"/>
      <c r="R836" s="176" t="n"/>
      <c r="S836" s="176" t="n"/>
      <c r="T836" s="176" t="n"/>
      <c r="U836" s="176" t="n"/>
      <c r="V836" s="176" t="n"/>
      <c r="W836" s="176" t="n"/>
      <c r="X836" s="176" t="n"/>
      <c r="Y836" s="176" t="n"/>
      <c r="Z836" s="176" t="n"/>
      <c r="AA836" s="176" t="n"/>
      <c r="AB836" s="176" t="n"/>
    </row>
    <row r="837">
      <c r="A837" s="176" t="n"/>
      <c r="B837" s="176" t="n"/>
      <c r="C837" s="176" t="n"/>
      <c r="D837" s="176" t="n"/>
      <c r="E837" s="176" t="n"/>
      <c r="F837" s="213" t="n"/>
      <c r="G837" s="213" t="n"/>
      <c r="H837" s="213" t="n"/>
      <c r="I837" s="213" t="n"/>
      <c r="J837" s="213" t="n"/>
      <c r="K837" s="946" t="n"/>
      <c r="L837" s="176" t="n"/>
      <c r="M837" s="176" t="n"/>
      <c r="N837" s="176" t="n"/>
      <c r="O837" s="176" t="n"/>
      <c r="P837" s="176" t="n"/>
      <c r="Q837" s="176" t="n"/>
      <c r="R837" s="176" t="n"/>
      <c r="S837" s="176" t="n"/>
      <c r="T837" s="176" t="n"/>
      <c r="U837" s="176" t="n"/>
      <c r="V837" s="176" t="n"/>
      <c r="W837" s="176" t="n"/>
      <c r="X837" s="176" t="n"/>
      <c r="Y837" s="176" t="n"/>
      <c r="Z837" s="176" t="n"/>
      <c r="AA837" s="176" t="n"/>
      <c r="AB837" s="176" t="n"/>
    </row>
    <row r="838">
      <c r="A838" s="176" t="n"/>
      <c r="B838" s="176" t="n"/>
      <c r="C838" s="176" t="n"/>
      <c r="D838" s="176" t="n"/>
      <c r="E838" s="176" t="n"/>
      <c r="F838" s="213" t="n"/>
      <c r="G838" s="213" t="n"/>
      <c r="H838" s="213" t="n"/>
      <c r="I838" s="213" t="n"/>
      <c r="J838" s="213" t="n"/>
      <c r="K838" s="946" t="n"/>
      <c r="L838" s="176" t="n"/>
      <c r="M838" s="176" t="n"/>
      <c r="N838" s="176" t="n"/>
      <c r="O838" s="176" t="n"/>
      <c r="P838" s="176" t="n"/>
      <c r="Q838" s="176" t="n"/>
      <c r="R838" s="176" t="n"/>
      <c r="S838" s="176" t="n"/>
      <c r="T838" s="176" t="n"/>
      <c r="U838" s="176" t="n"/>
      <c r="V838" s="176" t="n"/>
      <c r="W838" s="176" t="n"/>
      <c r="X838" s="176" t="n"/>
      <c r="Y838" s="176" t="n"/>
      <c r="Z838" s="176" t="n"/>
      <c r="AA838" s="176" t="n"/>
      <c r="AB838" s="176" t="n"/>
    </row>
    <row r="839">
      <c r="A839" s="176" t="n"/>
      <c r="B839" s="176" t="n"/>
      <c r="C839" s="176" t="n"/>
      <c r="D839" s="176" t="n"/>
      <c r="E839" s="176" t="n"/>
      <c r="F839" s="213" t="n"/>
      <c r="G839" s="213" t="n"/>
      <c r="H839" s="213" t="n"/>
      <c r="I839" s="213" t="n"/>
      <c r="J839" s="213" t="n"/>
      <c r="K839" s="946" t="n"/>
      <c r="L839" s="176" t="n"/>
      <c r="M839" s="176" t="n"/>
      <c r="N839" s="176" t="n"/>
      <c r="O839" s="176" t="n"/>
      <c r="P839" s="176" t="n"/>
      <c r="Q839" s="176" t="n"/>
      <c r="R839" s="176" t="n"/>
      <c r="S839" s="176" t="n"/>
      <c r="T839" s="176" t="n"/>
      <c r="U839" s="176" t="n"/>
      <c r="V839" s="176" t="n"/>
      <c r="W839" s="176" t="n"/>
      <c r="X839" s="176" t="n"/>
      <c r="Y839" s="176" t="n"/>
      <c r="Z839" s="176" t="n"/>
      <c r="AA839" s="176" t="n"/>
      <c r="AB839" s="176" t="n"/>
    </row>
    <row r="840">
      <c r="A840" s="176" t="n"/>
      <c r="B840" s="176" t="n"/>
      <c r="C840" s="176" t="n"/>
      <c r="D840" s="176" t="n"/>
      <c r="E840" s="176" t="n"/>
      <c r="F840" s="213" t="n"/>
      <c r="G840" s="213" t="n"/>
      <c r="H840" s="213" t="n"/>
      <c r="I840" s="213" t="n"/>
      <c r="J840" s="213" t="n"/>
      <c r="K840" s="946" t="n"/>
      <c r="L840" s="176" t="n"/>
      <c r="M840" s="176" t="n"/>
      <c r="N840" s="176" t="n"/>
      <c r="O840" s="176" t="n"/>
      <c r="P840" s="176" t="n"/>
      <c r="Q840" s="176" t="n"/>
      <c r="R840" s="176" t="n"/>
      <c r="S840" s="176" t="n"/>
      <c r="T840" s="176" t="n"/>
      <c r="U840" s="176" t="n"/>
      <c r="V840" s="176" t="n"/>
      <c r="W840" s="176" t="n"/>
      <c r="X840" s="176" t="n"/>
      <c r="Y840" s="176" t="n"/>
      <c r="Z840" s="176" t="n"/>
      <c r="AA840" s="176" t="n"/>
      <c r="AB840" s="176" t="n"/>
    </row>
    <row r="841">
      <c r="A841" s="176" t="n"/>
      <c r="B841" s="176" t="n"/>
      <c r="C841" s="176" t="n"/>
      <c r="D841" s="176" t="n"/>
      <c r="E841" s="176" t="n"/>
      <c r="F841" s="213" t="n"/>
      <c r="G841" s="213" t="n"/>
      <c r="H841" s="213" t="n"/>
      <c r="I841" s="213" t="n"/>
      <c r="J841" s="213" t="n"/>
      <c r="K841" s="946" t="n"/>
      <c r="L841" s="176" t="n"/>
      <c r="M841" s="176" t="n"/>
      <c r="N841" s="176" t="n"/>
      <c r="O841" s="176" t="n"/>
      <c r="P841" s="176" t="n"/>
      <c r="Q841" s="176" t="n"/>
      <c r="R841" s="176" t="n"/>
      <c r="S841" s="176" t="n"/>
      <c r="T841" s="176" t="n"/>
      <c r="U841" s="176" t="n"/>
      <c r="V841" s="176" t="n"/>
      <c r="W841" s="176" t="n"/>
      <c r="X841" s="176" t="n"/>
      <c r="Y841" s="176" t="n"/>
      <c r="Z841" s="176" t="n"/>
      <c r="AA841" s="176" t="n"/>
      <c r="AB841" s="176" t="n"/>
    </row>
    <row r="842">
      <c r="A842" s="176" t="n"/>
      <c r="B842" s="176" t="n"/>
      <c r="C842" s="176" t="n"/>
      <c r="D842" s="176" t="n"/>
      <c r="E842" s="176" t="n"/>
      <c r="F842" s="213" t="n"/>
      <c r="G842" s="213" t="n"/>
      <c r="H842" s="213" t="n"/>
      <c r="I842" s="213" t="n"/>
      <c r="J842" s="213" t="n"/>
      <c r="K842" s="946" t="n"/>
      <c r="L842" s="176" t="n"/>
      <c r="M842" s="176" t="n"/>
      <c r="N842" s="176" t="n"/>
      <c r="O842" s="176" t="n"/>
      <c r="P842" s="176" t="n"/>
      <c r="Q842" s="176" t="n"/>
      <c r="R842" s="176" t="n"/>
      <c r="S842" s="176" t="n"/>
      <c r="T842" s="176" t="n"/>
      <c r="U842" s="176" t="n"/>
      <c r="V842" s="176" t="n"/>
      <c r="W842" s="176" t="n"/>
      <c r="X842" s="176" t="n"/>
      <c r="Y842" s="176" t="n"/>
      <c r="Z842" s="176" t="n"/>
      <c r="AA842" s="176" t="n"/>
      <c r="AB842" s="176" t="n"/>
    </row>
    <row r="843">
      <c r="A843" s="176" t="n"/>
      <c r="B843" s="176" t="n"/>
      <c r="C843" s="176" t="n"/>
      <c r="D843" s="176" t="n"/>
      <c r="E843" s="176" t="n"/>
      <c r="F843" s="213" t="n"/>
      <c r="G843" s="213" t="n"/>
      <c r="H843" s="213" t="n"/>
      <c r="I843" s="213" t="n"/>
      <c r="J843" s="213" t="n"/>
      <c r="K843" s="946" t="n"/>
      <c r="L843" s="176" t="n"/>
      <c r="M843" s="176" t="n"/>
      <c r="N843" s="176" t="n"/>
      <c r="O843" s="176" t="n"/>
      <c r="P843" s="176" t="n"/>
      <c r="Q843" s="176" t="n"/>
      <c r="R843" s="176" t="n"/>
      <c r="S843" s="176" t="n"/>
      <c r="T843" s="176" t="n"/>
      <c r="U843" s="176" t="n"/>
      <c r="V843" s="176" t="n"/>
      <c r="W843" s="176" t="n"/>
      <c r="X843" s="176" t="n"/>
      <c r="Y843" s="176" t="n"/>
      <c r="Z843" s="176" t="n"/>
      <c r="AA843" s="176" t="n"/>
      <c r="AB843" s="176" t="n"/>
    </row>
    <row r="844">
      <c r="A844" s="176" t="n"/>
      <c r="B844" s="176" t="n"/>
      <c r="C844" s="176" t="n"/>
      <c r="D844" s="176" t="n"/>
      <c r="E844" s="176" t="n"/>
      <c r="F844" s="213" t="n"/>
      <c r="G844" s="213" t="n"/>
      <c r="H844" s="213" t="n"/>
      <c r="I844" s="213" t="n"/>
      <c r="J844" s="213" t="n"/>
      <c r="K844" s="946" t="n"/>
      <c r="L844" s="176" t="n"/>
      <c r="M844" s="176" t="n"/>
      <c r="N844" s="176" t="n"/>
      <c r="O844" s="176" t="n"/>
      <c r="P844" s="176" t="n"/>
      <c r="Q844" s="176" t="n"/>
      <c r="R844" s="176" t="n"/>
      <c r="S844" s="176" t="n"/>
      <c r="T844" s="176" t="n"/>
      <c r="U844" s="176" t="n"/>
      <c r="V844" s="176" t="n"/>
      <c r="W844" s="176" t="n"/>
      <c r="X844" s="176" t="n"/>
      <c r="Y844" s="176" t="n"/>
      <c r="Z844" s="176" t="n"/>
      <c r="AA844" s="176" t="n"/>
      <c r="AB844" s="176" t="n"/>
    </row>
    <row r="845">
      <c r="A845" s="176" t="n"/>
      <c r="B845" s="176" t="n"/>
      <c r="C845" s="176" t="n"/>
      <c r="D845" s="176" t="n"/>
      <c r="E845" s="176" t="n"/>
      <c r="F845" s="213" t="n"/>
      <c r="G845" s="213" t="n"/>
      <c r="H845" s="213" t="n"/>
      <c r="I845" s="213" t="n"/>
      <c r="J845" s="213" t="n"/>
      <c r="K845" s="946" t="n"/>
      <c r="L845" s="176" t="n"/>
      <c r="M845" s="176" t="n"/>
      <c r="N845" s="176" t="n"/>
      <c r="O845" s="176" t="n"/>
      <c r="P845" s="176" t="n"/>
      <c r="Q845" s="176" t="n"/>
      <c r="R845" s="176" t="n"/>
      <c r="S845" s="176" t="n"/>
      <c r="T845" s="176" t="n"/>
      <c r="U845" s="176" t="n"/>
      <c r="V845" s="176" t="n"/>
      <c r="W845" s="176" t="n"/>
      <c r="X845" s="176" t="n"/>
      <c r="Y845" s="176" t="n"/>
      <c r="Z845" s="176" t="n"/>
      <c r="AA845" s="176" t="n"/>
      <c r="AB845" s="176" t="n"/>
    </row>
    <row r="846">
      <c r="A846" s="176" t="n"/>
      <c r="B846" s="176" t="n"/>
      <c r="C846" s="176" t="n"/>
      <c r="D846" s="176" t="n"/>
      <c r="E846" s="176" t="n"/>
      <c r="F846" s="213" t="n"/>
      <c r="G846" s="213" t="n"/>
      <c r="H846" s="213" t="n"/>
      <c r="I846" s="213" t="n"/>
      <c r="J846" s="213" t="n"/>
      <c r="K846" s="946" t="n"/>
      <c r="L846" s="176" t="n"/>
      <c r="M846" s="176" t="n"/>
      <c r="N846" s="176" t="n"/>
      <c r="O846" s="176" t="n"/>
      <c r="P846" s="176" t="n"/>
      <c r="Q846" s="176" t="n"/>
      <c r="R846" s="176" t="n"/>
      <c r="S846" s="176" t="n"/>
      <c r="T846" s="176" t="n"/>
      <c r="U846" s="176" t="n"/>
      <c r="V846" s="176" t="n"/>
      <c r="W846" s="176" t="n"/>
      <c r="X846" s="176" t="n"/>
      <c r="Y846" s="176" t="n"/>
      <c r="Z846" s="176" t="n"/>
      <c r="AA846" s="176" t="n"/>
      <c r="AB846" s="176" t="n"/>
    </row>
    <row r="847">
      <c r="A847" s="176" t="n"/>
      <c r="B847" s="176" t="n"/>
      <c r="C847" s="176" t="n"/>
      <c r="D847" s="176" t="n"/>
      <c r="E847" s="176" t="n"/>
      <c r="F847" s="213" t="n"/>
      <c r="G847" s="213" t="n"/>
      <c r="H847" s="213" t="n"/>
      <c r="I847" s="213" t="n"/>
      <c r="J847" s="213" t="n"/>
      <c r="K847" s="946" t="n"/>
      <c r="L847" s="176" t="n"/>
      <c r="M847" s="176" t="n"/>
      <c r="N847" s="176" t="n"/>
      <c r="O847" s="176" t="n"/>
      <c r="P847" s="176" t="n"/>
      <c r="Q847" s="176" t="n"/>
      <c r="R847" s="176" t="n"/>
      <c r="S847" s="176" t="n"/>
      <c r="T847" s="176" t="n"/>
      <c r="U847" s="176" t="n"/>
      <c r="V847" s="176" t="n"/>
      <c r="W847" s="176" t="n"/>
      <c r="X847" s="176" t="n"/>
      <c r="Y847" s="176" t="n"/>
      <c r="Z847" s="176" t="n"/>
      <c r="AA847" s="176" t="n"/>
      <c r="AB847" s="176" t="n"/>
    </row>
    <row r="848">
      <c r="A848" s="176" t="n"/>
      <c r="B848" s="176" t="n"/>
      <c r="C848" s="176" t="n"/>
      <c r="D848" s="176" t="n"/>
      <c r="E848" s="176" t="n"/>
      <c r="F848" s="213" t="n"/>
      <c r="G848" s="213" t="n"/>
      <c r="H848" s="213" t="n"/>
      <c r="I848" s="213" t="n"/>
      <c r="J848" s="213" t="n"/>
      <c r="K848" s="946" t="n"/>
      <c r="L848" s="176" t="n"/>
      <c r="M848" s="176" t="n"/>
      <c r="N848" s="176" t="n"/>
      <c r="O848" s="176" t="n"/>
      <c r="P848" s="176" t="n"/>
      <c r="Q848" s="176" t="n"/>
      <c r="R848" s="176" t="n"/>
      <c r="S848" s="176" t="n"/>
      <c r="T848" s="176" t="n"/>
      <c r="U848" s="176" t="n"/>
      <c r="V848" s="176" t="n"/>
      <c r="W848" s="176" t="n"/>
      <c r="X848" s="176" t="n"/>
      <c r="Y848" s="176" t="n"/>
      <c r="Z848" s="176" t="n"/>
      <c r="AA848" s="176" t="n"/>
      <c r="AB848" s="176" t="n"/>
    </row>
    <row r="849">
      <c r="A849" s="176" t="n"/>
      <c r="B849" s="176" t="n"/>
      <c r="C849" s="176" t="n"/>
      <c r="D849" s="176" t="n"/>
      <c r="E849" s="176" t="n"/>
      <c r="F849" s="213" t="n"/>
      <c r="G849" s="213" t="n"/>
      <c r="H849" s="213" t="n"/>
      <c r="I849" s="213" t="n"/>
      <c r="J849" s="213" t="n"/>
      <c r="K849" s="946" t="n"/>
      <c r="L849" s="176" t="n"/>
      <c r="M849" s="176" t="n"/>
      <c r="N849" s="176" t="n"/>
      <c r="O849" s="176" t="n"/>
      <c r="P849" s="176" t="n"/>
      <c r="Q849" s="176" t="n"/>
      <c r="R849" s="176" t="n"/>
      <c r="S849" s="176" t="n"/>
      <c r="T849" s="176" t="n"/>
      <c r="U849" s="176" t="n"/>
      <c r="V849" s="176" t="n"/>
      <c r="W849" s="176" t="n"/>
      <c r="X849" s="176" t="n"/>
      <c r="Y849" s="176" t="n"/>
      <c r="Z849" s="176" t="n"/>
      <c r="AA849" s="176" t="n"/>
      <c r="AB849" s="176" t="n"/>
    </row>
    <row r="850">
      <c r="A850" s="176" t="n"/>
      <c r="B850" s="176" t="n"/>
      <c r="C850" s="176" t="n"/>
      <c r="D850" s="176" t="n"/>
      <c r="E850" s="176" t="n"/>
      <c r="F850" s="213" t="n"/>
      <c r="G850" s="213" t="n"/>
      <c r="H850" s="213" t="n"/>
      <c r="I850" s="213" t="n"/>
      <c r="J850" s="213" t="n"/>
      <c r="K850" s="946" t="n"/>
      <c r="L850" s="176" t="n"/>
      <c r="M850" s="176" t="n"/>
      <c r="N850" s="176" t="n"/>
      <c r="O850" s="176" t="n"/>
      <c r="P850" s="176" t="n"/>
      <c r="Q850" s="176" t="n"/>
      <c r="R850" s="176" t="n"/>
      <c r="S850" s="176" t="n"/>
      <c r="T850" s="176" t="n"/>
      <c r="U850" s="176" t="n"/>
      <c r="V850" s="176" t="n"/>
      <c r="W850" s="176" t="n"/>
      <c r="X850" s="176" t="n"/>
      <c r="Y850" s="176" t="n"/>
      <c r="Z850" s="176" t="n"/>
      <c r="AA850" s="176" t="n"/>
      <c r="AB850" s="176" t="n"/>
    </row>
    <row r="851">
      <c r="A851" s="176" t="n"/>
      <c r="B851" s="176" t="n"/>
      <c r="C851" s="176" t="n"/>
      <c r="D851" s="176" t="n"/>
      <c r="E851" s="176" t="n"/>
      <c r="F851" s="213" t="n"/>
      <c r="G851" s="213" t="n"/>
      <c r="H851" s="213" t="n"/>
      <c r="I851" s="213" t="n"/>
      <c r="J851" s="213" t="n"/>
      <c r="K851" s="946" t="n"/>
      <c r="L851" s="176" t="n"/>
      <c r="M851" s="176" t="n"/>
      <c r="N851" s="176" t="n"/>
      <c r="O851" s="176" t="n"/>
      <c r="P851" s="176" t="n"/>
      <c r="Q851" s="176" t="n"/>
      <c r="R851" s="176" t="n"/>
      <c r="S851" s="176" t="n"/>
      <c r="T851" s="176" t="n"/>
      <c r="U851" s="176" t="n"/>
      <c r="V851" s="176" t="n"/>
      <c r="W851" s="176" t="n"/>
      <c r="X851" s="176" t="n"/>
      <c r="Y851" s="176" t="n"/>
      <c r="Z851" s="176" t="n"/>
      <c r="AA851" s="176" t="n"/>
      <c r="AB851" s="176" t="n"/>
    </row>
    <row r="852">
      <c r="A852" s="176" t="n"/>
      <c r="B852" s="176" t="n"/>
      <c r="C852" s="176" t="n"/>
      <c r="D852" s="176" t="n"/>
      <c r="E852" s="176" t="n"/>
      <c r="F852" s="213" t="n"/>
      <c r="G852" s="213" t="n"/>
      <c r="H852" s="213" t="n"/>
      <c r="I852" s="213" t="n"/>
      <c r="J852" s="213" t="n"/>
      <c r="K852" s="946" t="n"/>
      <c r="L852" s="176" t="n"/>
      <c r="M852" s="176" t="n"/>
      <c r="N852" s="176" t="n"/>
      <c r="O852" s="176" t="n"/>
      <c r="P852" s="176" t="n"/>
      <c r="Q852" s="176" t="n"/>
      <c r="R852" s="176" t="n"/>
      <c r="S852" s="176" t="n"/>
      <c r="T852" s="176" t="n"/>
      <c r="U852" s="176" t="n"/>
      <c r="V852" s="176" t="n"/>
      <c r="W852" s="176" t="n"/>
      <c r="X852" s="176" t="n"/>
      <c r="Y852" s="176" t="n"/>
      <c r="Z852" s="176" t="n"/>
      <c r="AA852" s="176" t="n"/>
      <c r="AB852" s="176" t="n"/>
    </row>
    <row r="853">
      <c r="A853" s="176" t="n"/>
      <c r="B853" s="176" t="n"/>
      <c r="C853" s="176" t="n"/>
      <c r="D853" s="176" t="n"/>
      <c r="E853" s="176" t="n"/>
      <c r="F853" s="213" t="n"/>
      <c r="G853" s="213" t="n"/>
      <c r="H853" s="213" t="n"/>
      <c r="I853" s="213" t="n"/>
      <c r="J853" s="213" t="n"/>
      <c r="K853" s="946" t="n"/>
      <c r="L853" s="176" t="n"/>
      <c r="M853" s="176" t="n"/>
      <c r="N853" s="176" t="n"/>
      <c r="O853" s="176" t="n"/>
      <c r="P853" s="176" t="n"/>
      <c r="Q853" s="176" t="n"/>
      <c r="R853" s="176" t="n"/>
      <c r="S853" s="176" t="n"/>
      <c r="T853" s="176" t="n"/>
      <c r="U853" s="176" t="n"/>
      <c r="V853" s="176" t="n"/>
      <c r="W853" s="176" t="n"/>
      <c r="X853" s="176" t="n"/>
      <c r="Y853" s="176" t="n"/>
      <c r="Z853" s="176" t="n"/>
      <c r="AA853" s="176" t="n"/>
      <c r="AB853" s="176" t="n"/>
    </row>
    <row r="854">
      <c r="A854" s="176" t="n"/>
      <c r="B854" s="176" t="n"/>
      <c r="C854" s="176" t="n"/>
      <c r="D854" s="176" t="n"/>
      <c r="E854" s="176" t="n"/>
      <c r="F854" s="213" t="n"/>
      <c r="G854" s="213" t="n"/>
      <c r="H854" s="213" t="n"/>
      <c r="I854" s="213" t="n"/>
      <c r="J854" s="213" t="n"/>
      <c r="K854" s="946" t="n"/>
      <c r="L854" s="176" t="n"/>
      <c r="M854" s="176" t="n"/>
      <c r="N854" s="176" t="n"/>
      <c r="O854" s="176" t="n"/>
      <c r="P854" s="176" t="n"/>
      <c r="Q854" s="176" t="n"/>
      <c r="R854" s="176" t="n"/>
      <c r="S854" s="176" t="n"/>
      <c r="T854" s="176" t="n"/>
      <c r="U854" s="176" t="n"/>
      <c r="V854" s="176" t="n"/>
      <c r="W854" s="176" t="n"/>
      <c r="X854" s="176" t="n"/>
      <c r="Y854" s="176" t="n"/>
      <c r="Z854" s="176" t="n"/>
      <c r="AA854" s="176" t="n"/>
      <c r="AB854" s="176" t="n"/>
    </row>
    <row r="855">
      <c r="A855" s="176" t="n"/>
      <c r="B855" s="176" t="n"/>
      <c r="C855" s="176" t="n"/>
      <c r="D855" s="176" t="n"/>
      <c r="E855" s="176" t="n"/>
      <c r="F855" s="213" t="n"/>
      <c r="G855" s="213" t="n"/>
      <c r="H855" s="213" t="n"/>
      <c r="I855" s="213" t="n"/>
      <c r="J855" s="213" t="n"/>
      <c r="K855" s="946" t="n"/>
      <c r="L855" s="176" t="n"/>
      <c r="M855" s="176" t="n"/>
      <c r="N855" s="176" t="n"/>
      <c r="O855" s="176" t="n"/>
      <c r="P855" s="176" t="n"/>
      <c r="Q855" s="176" t="n"/>
      <c r="R855" s="176" t="n"/>
      <c r="S855" s="176" t="n"/>
      <c r="T855" s="176" t="n"/>
      <c r="U855" s="176" t="n"/>
      <c r="V855" s="176" t="n"/>
      <c r="W855" s="176" t="n"/>
      <c r="X855" s="176" t="n"/>
      <c r="Y855" s="176" t="n"/>
      <c r="Z855" s="176" t="n"/>
      <c r="AA855" s="176" t="n"/>
      <c r="AB855" s="176" t="n"/>
    </row>
    <row r="856">
      <c r="A856" s="176" t="n"/>
      <c r="B856" s="176" t="n"/>
      <c r="C856" s="176" t="n"/>
      <c r="D856" s="176" t="n"/>
      <c r="E856" s="176" t="n"/>
      <c r="F856" s="213" t="n"/>
      <c r="G856" s="213" t="n"/>
      <c r="H856" s="213" t="n"/>
      <c r="I856" s="213" t="n"/>
      <c r="J856" s="213" t="n"/>
      <c r="K856" s="946" t="n"/>
      <c r="L856" s="176" t="n"/>
      <c r="M856" s="176" t="n"/>
      <c r="N856" s="176" t="n"/>
      <c r="O856" s="176" t="n"/>
      <c r="P856" s="176" t="n"/>
      <c r="Q856" s="176" t="n"/>
      <c r="R856" s="176" t="n"/>
      <c r="S856" s="176" t="n"/>
      <c r="T856" s="176" t="n"/>
      <c r="U856" s="176" t="n"/>
      <c r="V856" s="176" t="n"/>
      <c r="W856" s="176" t="n"/>
      <c r="X856" s="176" t="n"/>
      <c r="Y856" s="176" t="n"/>
      <c r="Z856" s="176" t="n"/>
      <c r="AA856" s="176" t="n"/>
      <c r="AB856" s="176" t="n"/>
    </row>
    <row r="857">
      <c r="A857" s="176" t="n"/>
      <c r="B857" s="176" t="n"/>
      <c r="C857" s="176" t="n"/>
      <c r="D857" s="176" t="n"/>
      <c r="E857" s="176" t="n"/>
      <c r="F857" s="213" t="n"/>
      <c r="G857" s="213" t="n"/>
      <c r="H857" s="213" t="n"/>
      <c r="I857" s="213" t="n"/>
      <c r="J857" s="213" t="n"/>
      <c r="K857" s="946" t="n"/>
      <c r="L857" s="176" t="n"/>
      <c r="M857" s="176" t="n"/>
      <c r="N857" s="176" t="n"/>
      <c r="O857" s="176" t="n"/>
      <c r="P857" s="176" t="n"/>
      <c r="Q857" s="176" t="n"/>
      <c r="R857" s="176" t="n"/>
      <c r="S857" s="176" t="n"/>
      <c r="T857" s="176" t="n"/>
      <c r="U857" s="176" t="n"/>
      <c r="V857" s="176" t="n"/>
      <c r="W857" s="176" t="n"/>
      <c r="X857" s="176" t="n"/>
      <c r="Y857" s="176" t="n"/>
      <c r="Z857" s="176" t="n"/>
      <c r="AA857" s="176" t="n"/>
      <c r="AB857" s="176" t="n"/>
    </row>
    <row r="858">
      <c r="A858" s="176" t="n"/>
      <c r="B858" s="176" t="n"/>
      <c r="C858" s="176" t="n"/>
      <c r="D858" s="176" t="n"/>
      <c r="E858" s="176" t="n"/>
      <c r="F858" s="213" t="n"/>
      <c r="G858" s="213" t="n"/>
      <c r="H858" s="213" t="n"/>
      <c r="I858" s="213" t="n"/>
      <c r="J858" s="213" t="n"/>
      <c r="K858" s="946" t="n"/>
      <c r="L858" s="176" t="n"/>
      <c r="M858" s="176" t="n"/>
      <c r="N858" s="176" t="n"/>
      <c r="O858" s="176" t="n"/>
      <c r="P858" s="176" t="n"/>
      <c r="Q858" s="176" t="n"/>
      <c r="R858" s="176" t="n"/>
      <c r="S858" s="176" t="n"/>
      <c r="T858" s="176" t="n"/>
      <c r="U858" s="176" t="n"/>
      <c r="V858" s="176" t="n"/>
      <c r="W858" s="176" t="n"/>
      <c r="X858" s="176" t="n"/>
      <c r="Y858" s="176" t="n"/>
      <c r="Z858" s="176" t="n"/>
      <c r="AA858" s="176" t="n"/>
      <c r="AB858" s="176" t="n"/>
    </row>
    <row r="859">
      <c r="A859" s="176" t="n"/>
      <c r="B859" s="176" t="n"/>
      <c r="C859" s="176" t="n"/>
      <c r="D859" s="176" t="n"/>
      <c r="E859" s="176" t="n"/>
      <c r="F859" s="213" t="n"/>
      <c r="G859" s="213" t="n"/>
      <c r="H859" s="213" t="n"/>
      <c r="I859" s="213" t="n"/>
      <c r="J859" s="213" t="n"/>
      <c r="K859" s="946" t="n"/>
      <c r="L859" s="176" t="n"/>
      <c r="M859" s="176" t="n"/>
      <c r="N859" s="176" t="n"/>
      <c r="O859" s="176" t="n"/>
      <c r="P859" s="176" t="n"/>
      <c r="Q859" s="176" t="n"/>
      <c r="R859" s="176" t="n"/>
      <c r="S859" s="176" t="n"/>
      <c r="T859" s="176" t="n"/>
      <c r="U859" s="176" t="n"/>
      <c r="V859" s="176" t="n"/>
      <c r="W859" s="176" t="n"/>
      <c r="X859" s="176" t="n"/>
      <c r="Y859" s="176" t="n"/>
      <c r="Z859" s="176" t="n"/>
      <c r="AA859" s="176" t="n"/>
      <c r="AB859" s="176" t="n"/>
    </row>
    <row r="860">
      <c r="A860" s="176" t="n"/>
      <c r="B860" s="176" t="n"/>
      <c r="C860" s="176" t="n"/>
      <c r="D860" s="176" t="n"/>
      <c r="E860" s="176" t="n"/>
      <c r="F860" s="213" t="n"/>
      <c r="G860" s="213" t="n"/>
      <c r="H860" s="213" t="n"/>
      <c r="I860" s="213" t="n"/>
      <c r="J860" s="213" t="n"/>
      <c r="K860" s="946" t="n"/>
      <c r="L860" s="176" t="n"/>
      <c r="M860" s="176" t="n"/>
      <c r="N860" s="176" t="n"/>
      <c r="O860" s="176" t="n"/>
      <c r="P860" s="176" t="n"/>
      <c r="Q860" s="176" t="n"/>
      <c r="R860" s="176" t="n"/>
      <c r="S860" s="176" t="n"/>
      <c r="T860" s="176" t="n"/>
      <c r="U860" s="176" t="n"/>
      <c r="V860" s="176" t="n"/>
      <c r="W860" s="176" t="n"/>
      <c r="X860" s="176" t="n"/>
      <c r="Y860" s="176" t="n"/>
      <c r="Z860" s="176" t="n"/>
      <c r="AA860" s="176" t="n"/>
      <c r="AB860" s="176" t="n"/>
    </row>
    <row r="861">
      <c r="A861" s="176" t="n"/>
      <c r="B861" s="176" t="n"/>
      <c r="C861" s="176" t="n"/>
      <c r="D861" s="176" t="n"/>
      <c r="E861" s="176" t="n"/>
      <c r="F861" s="213" t="n"/>
      <c r="G861" s="213" t="n"/>
      <c r="H861" s="213" t="n"/>
      <c r="I861" s="213" t="n"/>
      <c r="J861" s="213" t="n"/>
      <c r="K861" s="946" t="n"/>
      <c r="L861" s="176" t="n"/>
      <c r="M861" s="176" t="n"/>
      <c r="N861" s="176" t="n"/>
      <c r="O861" s="176" t="n"/>
      <c r="P861" s="176" t="n"/>
      <c r="Q861" s="176" t="n"/>
      <c r="R861" s="176" t="n"/>
      <c r="S861" s="176" t="n"/>
      <c r="T861" s="176" t="n"/>
      <c r="U861" s="176" t="n"/>
      <c r="V861" s="176" t="n"/>
      <c r="W861" s="176" t="n"/>
      <c r="X861" s="176" t="n"/>
      <c r="Y861" s="176" t="n"/>
      <c r="Z861" s="176" t="n"/>
      <c r="AA861" s="176" t="n"/>
      <c r="AB861" s="176" t="n"/>
    </row>
    <row r="862">
      <c r="A862" s="176" t="n"/>
      <c r="B862" s="176" t="n"/>
      <c r="C862" s="176" t="n"/>
      <c r="D862" s="176" t="n"/>
      <c r="E862" s="176" t="n"/>
      <c r="F862" s="213" t="n"/>
      <c r="G862" s="213" t="n"/>
      <c r="H862" s="213" t="n"/>
      <c r="I862" s="213" t="n"/>
      <c r="J862" s="213" t="n"/>
      <c r="K862" s="946" t="n"/>
      <c r="L862" s="176" t="n"/>
      <c r="M862" s="176" t="n"/>
      <c r="N862" s="176" t="n"/>
      <c r="O862" s="176" t="n"/>
      <c r="P862" s="176" t="n"/>
      <c r="Q862" s="176" t="n"/>
      <c r="R862" s="176" t="n"/>
      <c r="S862" s="176" t="n"/>
      <c r="T862" s="176" t="n"/>
      <c r="U862" s="176" t="n"/>
      <c r="V862" s="176" t="n"/>
      <c r="W862" s="176" t="n"/>
      <c r="X862" s="176" t="n"/>
      <c r="Y862" s="176" t="n"/>
      <c r="Z862" s="176" t="n"/>
      <c r="AA862" s="176" t="n"/>
      <c r="AB862" s="176" t="n"/>
    </row>
    <row r="863">
      <c r="A863" s="176" t="n"/>
      <c r="B863" s="176" t="n"/>
      <c r="C863" s="176" t="n"/>
      <c r="D863" s="176" t="n"/>
      <c r="E863" s="176" t="n"/>
      <c r="F863" s="213" t="n"/>
      <c r="G863" s="213" t="n"/>
      <c r="H863" s="213" t="n"/>
      <c r="I863" s="213" t="n"/>
      <c r="J863" s="213" t="n"/>
      <c r="K863" s="946" t="n"/>
      <c r="L863" s="176" t="n"/>
      <c r="M863" s="176" t="n"/>
      <c r="N863" s="176" t="n"/>
      <c r="O863" s="176" t="n"/>
      <c r="P863" s="176" t="n"/>
      <c r="Q863" s="176" t="n"/>
      <c r="R863" s="176" t="n"/>
      <c r="S863" s="176" t="n"/>
      <c r="T863" s="176" t="n"/>
      <c r="U863" s="176" t="n"/>
      <c r="V863" s="176" t="n"/>
      <c r="W863" s="176" t="n"/>
      <c r="X863" s="176" t="n"/>
      <c r="Y863" s="176" t="n"/>
      <c r="Z863" s="176" t="n"/>
      <c r="AA863" s="176" t="n"/>
      <c r="AB863" s="176" t="n"/>
    </row>
    <row r="864">
      <c r="A864" s="176" t="n"/>
      <c r="B864" s="176" t="n"/>
      <c r="C864" s="176" t="n"/>
      <c r="D864" s="176" t="n"/>
      <c r="E864" s="176" t="n"/>
      <c r="F864" s="213" t="n"/>
      <c r="G864" s="213" t="n"/>
      <c r="H864" s="213" t="n"/>
      <c r="I864" s="213" t="n"/>
      <c r="J864" s="213" t="n"/>
      <c r="K864" s="946" t="n"/>
      <c r="L864" s="176" t="n"/>
      <c r="M864" s="176" t="n"/>
      <c r="N864" s="176" t="n"/>
      <c r="O864" s="176" t="n"/>
      <c r="P864" s="176" t="n"/>
      <c r="Q864" s="176" t="n"/>
      <c r="R864" s="176" t="n"/>
      <c r="S864" s="176" t="n"/>
      <c r="T864" s="176" t="n"/>
      <c r="U864" s="176" t="n"/>
      <c r="V864" s="176" t="n"/>
      <c r="W864" s="176" t="n"/>
      <c r="X864" s="176" t="n"/>
      <c r="Y864" s="176" t="n"/>
      <c r="Z864" s="176" t="n"/>
      <c r="AA864" s="176" t="n"/>
      <c r="AB864" s="176" t="n"/>
    </row>
    <row r="865">
      <c r="A865" s="176" t="n"/>
      <c r="B865" s="176" t="n"/>
      <c r="C865" s="176" t="n"/>
      <c r="D865" s="176" t="n"/>
      <c r="E865" s="176" t="n"/>
      <c r="F865" s="213" t="n"/>
      <c r="G865" s="213" t="n"/>
      <c r="H865" s="213" t="n"/>
      <c r="I865" s="213" t="n"/>
      <c r="J865" s="213" t="n"/>
      <c r="K865" s="946" t="n"/>
      <c r="L865" s="176" t="n"/>
      <c r="M865" s="176" t="n"/>
      <c r="N865" s="176" t="n"/>
      <c r="O865" s="176" t="n"/>
      <c r="P865" s="176" t="n"/>
      <c r="Q865" s="176" t="n"/>
      <c r="R865" s="176" t="n"/>
      <c r="S865" s="176" t="n"/>
      <c r="T865" s="176" t="n"/>
      <c r="U865" s="176" t="n"/>
      <c r="V865" s="176" t="n"/>
      <c r="W865" s="176" t="n"/>
      <c r="X865" s="176" t="n"/>
      <c r="Y865" s="176" t="n"/>
      <c r="Z865" s="176" t="n"/>
      <c r="AA865" s="176" t="n"/>
      <c r="AB865" s="176" t="n"/>
    </row>
    <row r="866">
      <c r="A866" s="176" t="n"/>
      <c r="B866" s="176" t="n"/>
      <c r="C866" s="176" t="n"/>
      <c r="D866" s="176" t="n"/>
      <c r="E866" s="176" t="n"/>
      <c r="F866" s="213" t="n"/>
      <c r="G866" s="213" t="n"/>
      <c r="H866" s="213" t="n"/>
      <c r="I866" s="213" t="n"/>
      <c r="J866" s="213" t="n"/>
      <c r="K866" s="946" t="n"/>
      <c r="L866" s="176" t="n"/>
      <c r="M866" s="176" t="n"/>
      <c r="N866" s="176" t="n"/>
      <c r="O866" s="176" t="n"/>
      <c r="P866" s="176" t="n"/>
      <c r="Q866" s="176" t="n"/>
      <c r="R866" s="176" t="n"/>
      <c r="S866" s="176" t="n"/>
      <c r="T866" s="176" t="n"/>
      <c r="U866" s="176" t="n"/>
      <c r="V866" s="176" t="n"/>
      <c r="W866" s="176" t="n"/>
      <c r="X866" s="176" t="n"/>
      <c r="Y866" s="176" t="n"/>
      <c r="Z866" s="176" t="n"/>
      <c r="AA866" s="176" t="n"/>
      <c r="AB866" s="176" t="n"/>
    </row>
    <row r="867">
      <c r="A867" s="176" t="n"/>
      <c r="B867" s="176" t="n"/>
      <c r="C867" s="176" t="n"/>
      <c r="D867" s="176" t="n"/>
      <c r="E867" s="176" t="n"/>
      <c r="F867" s="213" t="n"/>
      <c r="G867" s="213" t="n"/>
      <c r="H867" s="213" t="n"/>
      <c r="I867" s="213" t="n"/>
      <c r="J867" s="213" t="n"/>
      <c r="K867" s="946" t="n"/>
      <c r="L867" s="176" t="n"/>
      <c r="M867" s="176" t="n"/>
      <c r="N867" s="176" t="n"/>
      <c r="O867" s="176" t="n"/>
      <c r="P867" s="176" t="n"/>
      <c r="Q867" s="176" t="n"/>
      <c r="R867" s="176" t="n"/>
      <c r="S867" s="176" t="n"/>
      <c r="T867" s="176" t="n"/>
      <c r="U867" s="176" t="n"/>
      <c r="V867" s="176" t="n"/>
      <c r="W867" s="176" t="n"/>
      <c r="X867" s="176" t="n"/>
      <c r="Y867" s="176" t="n"/>
      <c r="Z867" s="176" t="n"/>
      <c r="AA867" s="176" t="n"/>
      <c r="AB867" s="176" t="n"/>
    </row>
    <row r="868">
      <c r="A868" s="176" t="n"/>
      <c r="B868" s="176" t="n"/>
      <c r="C868" s="176" t="n"/>
      <c r="D868" s="176" t="n"/>
      <c r="E868" s="176" t="n"/>
      <c r="F868" s="213" t="n"/>
      <c r="G868" s="213" t="n"/>
      <c r="H868" s="213" t="n"/>
      <c r="I868" s="213" t="n"/>
      <c r="J868" s="213" t="n"/>
      <c r="K868" s="946" t="n"/>
      <c r="L868" s="176" t="n"/>
      <c r="M868" s="176" t="n"/>
      <c r="N868" s="176" t="n"/>
      <c r="O868" s="176" t="n"/>
      <c r="P868" s="176" t="n"/>
      <c r="Q868" s="176" t="n"/>
      <c r="R868" s="176" t="n"/>
      <c r="S868" s="176" t="n"/>
      <c r="T868" s="176" t="n"/>
      <c r="U868" s="176" t="n"/>
      <c r="V868" s="176" t="n"/>
      <c r="W868" s="176" t="n"/>
      <c r="X868" s="176" t="n"/>
      <c r="Y868" s="176" t="n"/>
      <c r="Z868" s="176" t="n"/>
      <c r="AA868" s="176" t="n"/>
      <c r="AB868" s="176" t="n"/>
    </row>
    <row r="869">
      <c r="A869" s="176" t="n"/>
      <c r="B869" s="176" t="n"/>
      <c r="C869" s="176" t="n"/>
      <c r="D869" s="176" t="n"/>
      <c r="E869" s="176" t="n"/>
      <c r="F869" s="213" t="n"/>
      <c r="G869" s="213" t="n"/>
      <c r="H869" s="213" t="n"/>
      <c r="I869" s="213" t="n"/>
      <c r="J869" s="213" t="n"/>
      <c r="K869" s="946" t="n"/>
      <c r="L869" s="176" t="n"/>
      <c r="M869" s="176" t="n"/>
      <c r="N869" s="176" t="n"/>
      <c r="O869" s="176" t="n"/>
      <c r="P869" s="176" t="n"/>
      <c r="Q869" s="176" t="n"/>
      <c r="R869" s="176" t="n"/>
      <c r="S869" s="176" t="n"/>
      <c r="T869" s="176" t="n"/>
      <c r="U869" s="176" t="n"/>
      <c r="V869" s="176" t="n"/>
      <c r="W869" s="176" t="n"/>
      <c r="X869" s="176" t="n"/>
      <c r="Y869" s="176" t="n"/>
      <c r="Z869" s="176" t="n"/>
      <c r="AA869" s="176" t="n"/>
      <c r="AB869" s="176" t="n"/>
    </row>
    <row r="870">
      <c r="A870" s="176" t="n"/>
      <c r="B870" s="176" t="n"/>
      <c r="C870" s="176" t="n"/>
      <c r="D870" s="176" t="n"/>
      <c r="E870" s="176" t="n"/>
      <c r="F870" s="213" t="n"/>
      <c r="G870" s="213" t="n"/>
      <c r="H870" s="213" t="n"/>
      <c r="I870" s="213" t="n"/>
      <c r="J870" s="213" t="n"/>
      <c r="K870" s="946" t="n"/>
      <c r="L870" s="176" t="n"/>
      <c r="M870" s="176" t="n"/>
      <c r="N870" s="176" t="n"/>
      <c r="O870" s="176" t="n"/>
      <c r="P870" s="176" t="n"/>
      <c r="Q870" s="176" t="n"/>
      <c r="R870" s="176" t="n"/>
      <c r="S870" s="176" t="n"/>
      <c r="T870" s="176" t="n"/>
      <c r="U870" s="176" t="n"/>
      <c r="V870" s="176" t="n"/>
      <c r="W870" s="176" t="n"/>
      <c r="X870" s="176" t="n"/>
      <c r="Y870" s="176" t="n"/>
      <c r="Z870" s="176" t="n"/>
      <c r="AA870" s="176" t="n"/>
      <c r="AB870" s="176" t="n"/>
    </row>
    <row r="871">
      <c r="A871" s="176" t="n"/>
      <c r="B871" s="176" t="n"/>
      <c r="C871" s="176" t="n"/>
      <c r="D871" s="176" t="n"/>
      <c r="E871" s="176" t="n"/>
      <c r="F871" s="213" t="n"/>
      <c r="G871" s="213" t="n"/>
      <c r="H871" s="213" t="n"/>
      <c r="I871" s="213" t="n"/>
      <c r="J871" s="213" t="n"/>
      <c r="K871" s="946" t="n"/>
      <c r="L871" s="176" t="n"/>
      <c r="M871" s="176" t="n"/>
      <c r="N871" s="176" t="n"/>
      <c r="O871" s="176" t="n"/>
      <c r="P871" s="176" t="n"/>
      <c r="Q871" s="176" t="n"/>
      <c r="R871" s="176" t="n"/>
      <c r="S871" s="176" t="n"/>
      <c r="T871" s="176" t="n"/>
      <c r="U871" s="176" t="n"/>
      <c r="V871" s="176" t="n"/>
      <c r="W871" s="176" t="n"/>
      <c r="X871" s="176" t="n"/>
      <c r="Y871" s="176" t="n"/>
      <c r="Z871" s="176" t="n"/>
      <c r="AA871" s="176" t="n"/>
      <c r="AB871" s="176" t="n"/>
    </row>
    <row r="872">
      <c r="A872" s="176" t="n"/>
      <c r="B872" s="176" t="n"/>
      <c r="C872" s="176" t="n"/>
      <c r="D872" s="176" t="n"/>
      <c r="E872" s="176" t="n"/>
      <c r="F872" s="213" t="n"/>
      <c r="G872" s="213" t="n"/>
      <c r="H872" s="213" t="n"/>
      <c r="I872" s="213" t="n"/>
      <c r="J872" s="213" t="n"/>
      <c r="K872" s="946" t="n"/>
      <c r="L872" s="176" t="n"/>
      <c r="M872" s="176" t="n"/>
      <c r="N872" s="176" t="n"/>
      <c r="O872" s="176" t="n"/>
      <c r="P872" s="176" t="n"/>
      <c r="Q872" s="176" t="n"/>
      <c r="R872" s="176" t="n"/>
      <c r="S872" s="176" t="n"/>
      <c r="T872" s="176" t="n"/>
      <c r="U872" s="176" t="n"/>
      <c r="V872" s="176" t="n"/>
      <c r="W872" s="176" t="n"/>
      <c r="X872" s="176" t="n"/>
      <c r="Y872" s="176" t="n"/>
      <c r="Z872" s="176" t="n"/>
      <c r="AA872" s="176" t="n"/>
      <c r="AB872" s="176" t="n"/>
    </row>
    <row r="873">
      <c r="A873" s="176" t="n"/>
      <c r="B873" s="176" t="n"/>
      <c r="C873" s="176" t="n"/>
      <c r="D873" s="176" t="n"/>
      <c r="E873" s="176" t="n"/>
      <c r="F873" s="213" t="n"/>
      <c r="G873" s="213" t="n"/>
      <c r="H873" s="213" t="n"/>
      <c r="I873" s="213" t="n"/>
      <c r="J873" s="213" t="n"/>
      <c r="K873" s="946" t="n"/>
      <c r="L873" s="176" t="n"/>
      <c r="M873" s="176" t="n"/>
      <c r="N873" s="176" t="n"/>
      <c r="O873" s="176" t="n"/>
      <c r="P873" s="176" t="n"/>
      <c r="Q873" s="176" t="n"/>
      <c r="R873" s="176" t="n"/>
      <c r="S873" s="176" t="n"/>
      <c r="T873" s="176" t="n"/>
      <c r="U873" s="176" t="n"/>
      <c r="V873" s="176" t="n"/>
      <c r="W873" s="176" t="n"/>
      <c r="X873" s="176" t="n"/>
      <c r="Y873" s="176" t="n"/>
      <c r="Z873" s="176" t="n"/>
      <c r="AA873" s="176" t="n"/>
      <c r="AB873" s="176" t="n"/>
    </row>
    <row r="874">
      <c r="A874" s="176" t="n"/>
      <c r="B874" s="176" t="n"/>
      <c r="C874" s="176" t="n"/>
      <c r="D874" s="176" t="n"/>
      <c r="E874" s="176" t="n"/>
      <c r="F874" s="213" t="n"/>
      <c r="G874" s="213" t="n"/>
      <c r="H874" s="213" t="n"/>
      <c r="I874" s="213" t="n"/>
      <c r="J874" s="213" t="n"/>
      <c r="K874" s="946" t="n"/>
      <c r="L874" s="176" t="n"/>
      <c r="M874" s="176" t="n"/>
      <c r="N874" s="176" t="n"/>
      <c r="O874" s="176" t="n"/>
      <c r="P874" s="176" t="n"/>
      <c r="Q874" s="176" t="n"/>
      <c r="R874" s="176" t="n"/>
      <c r="S874" s="176" t="n"/>
      <c r="T874" s="176" t="n"/>
      <c r="U874" s="176" t="n"/>
      <c r="V874" s="176" t="n"/>
      <c r="W874" s="176" t="n"/>
      <c r="X874" s="176" t="n"/>
      <c r="Y874" s="176" t="n"/>
      <c r="Z874" s="176" t="n"/>
      <c r="AA874" s="176" t="n"/>
      <c r="AB874" s="176" t="n"/>
    </row>
    <row r="875">
      <c r="A875" s="176" t="n"/>
      <c r="B875" s="176" t="n"/>
      <c r="C875" s="176" t="n"/>
      <c r="D875" s="176" t="n"/>
      <c r="E875" s="176" t="n"/>
      <c r="F875" s="213" t="n"/>
      <c r="G875" s="213" t="n"/>
      <c r="H875" s="213" t="n"/>
      <c r="I875" s="213" t="n"/>
      <c r="J875" s="213" t="n"/>
      <c r="K875" s="946" t="n"/>
      <c r="L875" s="176" t="n"/>
      <c r="M875" s="176" t="n"/>
      <c r="N875" s="176" t="n"/>
      <c r="O875" s="176" t="n"/>
      <c r="P875" s="176" t="n"/>
      <c r="Q875" s="176" t="n"/>
      <c r="R875" s="176" t="n"/>
      <c r="S875" s="176" t="n"/>
      <c r="T875" s="176" t="n"/>
      <c r="U875" s="176" t="n"/>
      <c r="V875" s="176" t="n"/>
      <c r="W875" s="176" t="n"/>
      <c r="X875" s="176" t="n"/>
      <c r="Y875" s="176" t="n"/>
      <c r="Z875" s="176" t="n"/>
      <c r="AA875" s="176" t="n"/>
      <c r="AB875" s="176" t="n"/>
    </row>
    <row r="876">
      <c r="A876" s="176" t="n"/>
      <c r="B876" s="176" t="n"/>
      <c r="C876" s="176" t="n"/>
      <c r="D876" s="176" t="n"/>
      <c r="E876" s="176" t="n"/>
      <c r="F876" s="213" t="n"/>
      <c r="G876" s="213" t="n"/>
      <c r="H876" s="213" t="n"/>
      <c r="I876" s="213" t="n"/>
      <c r="J876" s="213" t="n"/>
      <c r="K876" s="946" t="n"/>
      <c r="L876" s="176" t="n"/>
      <c r="M876" s="176" t="n"/>
      <c r="N876" s="176" t="n"/>
      <c r="O876" s="176" t="n"/>
      <c r="P876" s="176" t="n"/>
      <c r="Q876" s="176" t="n"/>
      <c r="R876" s="176" t="n"/>
      <c r="S876" s="176" t="n"/>
      <c r="T876" s="176" t="n"/>
      <c r="U876" s="176" t="n"/>
      <c r="V876" s="176" t="n"/>
      <c r="W876" s="176" t="n"/>
      <c r="X876" s="176" t="n"/>
      <c r="Y876" s="176" t="n"/>
      <c r="Z876" s="176" t="n"/>
      <c r="AA876" s="176" t="n"/>
      <c r="AB876" s="176" t="n"/>
    </row>
    <row r="877">
      <c r="A877" s="176" t="n"/>
      <c r="B877" s="176" t="n"/>
      <c r="C877" s="176" t="n"/>
      <c r="D877" s="176" t="n"/>
      <c r="E877" s="176" t="n"/>
      <c r="F877" s="213" t="n"/>
      <c r="G877" s="213" t="n"/>
      <c r="H877" s="213" t="n"/>
      <c r="I877" s="213" t="n"/>
      <c r="J877" s="213" t="n"/>
      <c r="K877" s="946" t="n"/>
      <c r="L877" s="176" t="n"/>
      <c r="M877" s="176" t="n"/>
      <c r="N877" s="176" t="n"/>
      <c r="O877" s="176" t="n"/>
      <c r="P877" s="176" t="n"/>
      <c r="Q877" s="176" t="n"/>
      <c r="R877" s="176" t="n"/>
      <c r="S877" s="176" t="n"/>
      <c r="T877" s="176" t="n"/>
      <c r="U877" s="176" t="n"/>
      <c r="V877" s="176" t="n"/>
      <c r="W877" s="176" t="n"/>
      <c r="X877" s="176" t="n"/>
      <c r="Y877" s="176" t="n"/>
      <c r="Z877" s="176" t="n"/>
      <c r="AA877" s="176" t="n"/>
      <c r="AB877" s="176" t="n"/>
    </row>
    <row r="878">
      <c r="A878" s="176" t="n"/>
      <c r="B878" s="176" t="n"/>
      <c r="C878" s="176" t="n"/>
      <c r="D878" s="176" t="n"/>
      <c r="E878" s="176" t="n"/>
      <c r="F878" s="213" t="n"/>
      <c r="G878" s="213" t="n"/>
      <c r="H878" s="213" t="n"/>
      <c r="I878" s="213" t="n"/>
      <c r="J878" s="213" t="n"/>
      <c r="K878" s="946" t="n"/>
      <c r="L878" s="176" t="n"/>
      <c r="M878" s="176" t="n"/>
      <c r="N878" s="176" t="n"/>
      <c r="O878" s="176" t="n"/>
      <c r="P878" s="176" t="n"/>
      <c r="Q878" s="176" t="n"/>
      <c r="R878" s="176" t="n"/>
      <c r="S878" s="176" t="n"/>
      <c r="T878" s="176" t="n"/>
      <c r="U878" s="176" t="n"/>
      <c r="V878" s="176" t="n"/>
      <c r="W878" s="176" t="n"/>
      <c r="X878" s="176" t="n"/>
      <c r="Y878" s="176" t="n"/>
      <c r="Z878" s="176" t="n"/>
      <c r="AA878" s="176" t="n"/>
      <c r="AB878" s="176" t="n"/>
    </row>
    <row r="879">
      <c r="A879" s="176" t="n"/>
      <c r="B879" s="176" t="n"/>
      <c r="C879" s="176" t="n"/>
      <c r="D879" s="176" t="n"/>
      <c r="E879" s="176" t="n"/>
      <c r="F879" s="213" t="n"/>
      <c r="G879" s="213" t="n"/>
      <c r="H879" s="213" t="n"/>
      <c r="I879" s="213" t="n"/>
      <c r="J879" s="213" t="n"/>
      <c r="K879" s="946" t="n"/>
      <c r="L879" s="176" t="n"/>
      <c r="M879" s="176" t="n"/>
      <c r="N879" s="176" t="n"/>
      <c r="O879" s="176" t="n"/>
      <c r="P879" s="176" t="n"/>
      <c r="Q879" s="176" t="n"/>
      <c r="R879" s="176" t="n"/>
      <c r="S879" s="176" t="n"/>
      <c r="T879" s="176" t="n"/>
      <c r="U879" s="176" t="n"/>
      <c r="V879" s="176" t="n"/>
      <c r="W879" s="176" t="n"/>
      <c r="X879" s="176" t="n"/>
      <c r="Y879" s="176" t="n"/>
      <c r="Z879" s="176" t="n"/>
      <c r="AA879" s="176" t="n"/>
      <c r="AB879" s="176" t="n"/>
    </row>
    <row r="880">
      <c r="A880" s="176" t="n"/>
      <c r="B880" s="176" t="n"/>
      <c r="C880" s="176" t="n"/>
      <c r="D880" s="176" t="n"/>
      <c r="E880" s="176" t="n"/>
      <c r="F880" s="213" t="n"/>
      <c r="G880" s="213" t="n"/>
      <c r="H880" s="213" t="n"/>
      <c r="I880" s="213" t="n"/>
      <c r="J880" s="213" t="n"/>
      <c r="K880" s="946" t="n"/>
      <c r="L880" s="176" t="n"/>
      <c r="M880" s="176" t="n"/>
      <c r="N880" s="176" t="n"/>
      <c r="O880" s="176" t="n"/>
      <c r="P880" s="176" t="n"/>
      <c r="Q880" s="176" t="n"/>
      <c r="R880" s="176" t="n"/>
      <c r="S880" s="176" t="n"/>
      <c r="T880" s="176" t="n"/>
      <c r="U880" s="176" t="n"/>
      <c r="V880" s="176" t="n"/>
      <c r="W880" s="176" t="n"/>
      <c r="X880" s="176" t="n"/>
      <c r="Y880" s="176" t="n"/>
      <c r="Z880" s="176" t="n"/>
      <c r="AA880" s="176" t="n"/>
      <c r="AB880" s="176" t="n"/>
    </row>
    <row r="881">
      <c r="A881" s="176" t="n"/>
      <c r="B881" s="176" t="n"/>
      <c r="C881" s="176" t="n"/>
      <c r="D881" s="176" t="n"/>
      <c r="E881" s="176" t="n"/>
      <c r="F881" s="213" t="n"/>
      <c r="G881" s="213" t="n"/>
      <c r="H881" s="213" t="n"/>
      <c r="I881" s="213" t="n"/>
      <c r="J881" s="213" t="n"/>
      <c r="K881" s="946" t="n"/>
      <c r="L881" s="176" t="n"/>
      <c r="M881" s="176" t="n"/>
      <c r="N881" s="176" t="n"/>
      <c r="O881" s="176" t="n"/>
      <c r="P881" s="176" t="n"/>
      <c r="Q881" s="176" t="n"/>
      <c r="R881" s="176" t="n"/>
      <c r="S881" s="176" t="n"/>
      <c r="T881" s="176" t="n"/>
      <c r="U881" s="176" t="n"/>
      <c r="V881" s="176" t="n"/>
      <c r="W881" s="176" t="n"/>
      <c r="X881" s="176" t="n"/>
      <c r="Y881" s="176" t="n"/>
      <c r="Z881" s="176" t="n"/>
      <c r="AA881" s="176" t="n"/>
      <c r="AB881" s="176" t="n"/>
    </row>
    <row r="882">
      <c r="A882" s="176" t="n"/>
      <c r="B882" s="176" t="n"/>
      <c r="C882" s="176" t="n"/>
      <c r="D882" s="176" t="n"/>
      <c r="E882" s="176" t="n"/>
      <c r="F882" s="213" t="n"/>
      <c r="G882" s="213" t="n"/>
      <c r="H882" s="213" t="n"/>
      <c r="I882" s="213" t="n"/>
      <c r="J882" s="213" t="n"/>
      <c r="K882" s="946" t="n"/>
      <c r="L882" s="176" t="n"/>
      <c r="M882" s="176" t="n"/>
      <c r="N882" s="176" t="n"/>
      <c r="O882" s="176" t="n"/>
      <c r="P882" s="176" t="n"/>
      <c r="Q882" s="176" t="n"/>
      <c r="R882" s="176" t="n"/>
      <c r="S882" s="176" t="n"/>
      <c r="T882" s="176" t="n"/>
      <c r="U882" s="176" t="n"/>
      <c r="V882" s="176" t="n"/>
      <c r="W882" s="176" t="n"/>
      <c r="X882" s="176" t="n"/>
      <c r="Y882" s="176" t="n"/>
      <c r="Z882" s="176" t="n"/>
      <c r="AA882" s="176" t="n"/>
      <c r="AB882" s="176" t="n"/>
    </row>
    <row r="883">
      <c r="A883" s="176" t="n"/>
      <c r="B883" s="176" t="n"/>
      <c r="C883" s="176" t="n"/>
      <c r="D883" s="176" t="n"/>
      <c r="E883" s="176" t="n"/>
      <c r="F883" s="213" t="n"/>
      <c r="G883" s="213" t="n"/>
      <c r="H883" s="213" t="n"/>
      <c r="I883" s="213" t="n"/>
      <c r="J883" s="213" t="n"/>
      <c r="K883" s="946" t="n"/>
      <c r="L883" s="176" t="n"/>
      <c r="M883" s="176" t="n"/>
      <c r="N883" s="176" t="n"/>
      <c r="O883" s="176" t="n"/>
      <c r="P883" s="176" t="n"/>
      <c r="Q883" s="176" t="n"/>
      <c r="R883" s="176" t="n"/>
      <c r="S883" s="176" t="n"/>
      <c r="T883" s="176" t="n"/>
      <c r="U883" s="176" t="n"/>
      <c r="V883" s="176" t="n"/>
      <c r="W883" s="176" t="n"/>
      <c r="X883" s="176" t="n"/>
      <c r="Y883" s="176" t="n"/>
      <c r="Z883" s="176" t="n"/>
      <c r="AA883" s="176" t="n"/>
      <c r="AB883" s="176" t="n"/>
    </row>
    <row r="884">
      <c r="A884" s="176" t="n"/>
      <c r="B884" s="176" t="n"/>
      <c r="C884" s="176" t="n"/>
      <c r="D884" s="176" t="n"/>
      <c r="E884" s="176" t="n"/>
      <c r="F884" s="213" t="n"/>
      <c r="G884" s="213" t="n"/>
      <c r="H884" s="213" t="n"/>
      <c r="I884" s="213" t="n"/>
      <c r="J884" s="213" t="n"/>
      <c r="K884" s="946" t="n"/>
      <c r="L884" s="176" t="n"/>
      <c r="M884" s="176" t="n"/>
      <c r="N884" s="176" t="n"/>
      <c r="O884" s="176" t="n"/>
      <c r="P884" s="176" t="n"/>
      <c r="Q884" s="176" t="n"/>
      <c r="R884" s="176" t="n"/>
      <c r="S884" s="176" t="n"/>
      <c r="T884" s="176" t="n"/>
      <c r="U884" s="176" t="n"/>
      <c r="V884" s="176" t="n"/>
      <c r="W884" s="176" t="n"/>
      <c r="X884" s="176" t="n"/>
      <c r="Y884" s="176" t="n"/>
      <c r="Z884" s="176" t="n"/>
      <c r="AA884" s="176" t="n"/>
      <c r="AB884" s="176" t="n"/>
    </row>
    <row r="885">
      <c r="A885" s="176" t="n"/>
      <c r="B885" s="176" t="n"/>
      <c r="C885" s="176" t="n"/>
      <c r="D885" s="176" t="n"/>
      <c r="E885" s="176" t="n"/>
      <c r="F885" s="213" t="n"/>
      <c r="G885" s="213" t="n"/>
      <c r="H885" s="213" t="n"/>
      <c r="I885" s="213" t="n"/>
      <c r="J885" s="213" t="n"/>
      <c r="K885" s="946" t="n"/>
      <c r="L885" s="176" t="n"/>
      <c r="M885" s="176" t="n"/>
      <c r="N885" s="176" t="n"/>
      <c r="O885" s="176" t="n"/>
      <c r="P885" s="176" t="n"/>
      <c r="Q885" s="176" t="n"/>
      <c r="R885" s="176" t="n"/>
      <c r="S885" s="176" t="n"/>
      <c r="T885" s="176" t="n"/>
      <c r="U885" s="176" t="n"/>
      <c r="V885" s="176" t="n"/>
      <c r="W885" s="176" t="n"/>
      <c r="X885" s="176" t="n"/>
      <c r="Y885" s="176" t="n"/>
      <c r="Z885" s="176" t="n"/>
      <c r="AA885" s="176" t="n"/>
      <c r="AB885" s="176" t="n"/>
    </row>
    <row r="886">
      <c r="A886" s="176" t="n"/>
      <c r="B886" s="176" t="n"/>
      <c r="C886" s="176" t="n"/>
      <c r="D886" s="176" t="n"/>
      <c r="E886" s="176" t="n"/>
      <c r="F886" s="213" t="n"/>
      <c r="G886" s="213" t="n"/>
      <c r="H886" s="213" t="n"/>
      <c r="I886" s="213" t="n"/>
      <c r="J886" s="213" t="n"/>
      <c r="K886" s="946" t="n"/>
      <c r="L886" s="176" t="n"/>
      <c r="M886" s="176" t="n"/>
      <c r="N886" s="176" t="n"/>
      <c r="O886" s="176" t="n"/>
      <c r="P886" s="176" t="n"/>
      <c r="Q886" s="176" t="n"/>
      <c r="R886" s="176" t="n"/>
      <c r="S886" s="176" t="n"/>
      <c r="T886" s="176" t="n"/>
      <c r="U886" s="176" t="n"/>
      <c r="V886" s="176" t="n"/>
      <c r="W886" s="176" t="n"/>
      <c r="X886" s="176" t="n"/>
      <c r="Y886" s="176" t="n"/>
      <c r="Z886" s="176" t="n"/>
      <c r="AA886" s="176" t="n"/>
      <c r="AB886" s="176" t="n"/>
    </row>
    <row r="887">
      <c r="A887" s="176" t="n"/>
      <c r="B887" s="176" t="n"/>
      <c r="C887" s="176" t="n"/>
      <c r="D887" s="176" t="n"/>
      <c r="E887" s="176" t="n"/>
      <c r="F887" s="213" t="n"/>
      <c r="G887" s="213" t="n"/>
      <c r="H887" s="213" t="n"/>
      <c r="I887" s="213" t="n"/>
      <c r="J887" s="213" t="n"/>
      <c r="K887" s="946" t="n"/>
      <c r="L887" s="176" t="n"/>
      <c r="M887" s="176" t="n"/>
      <c r="N887" s="176" t="n"/>
      <c r="O887" s="176" t="n"/>
      <c r="P887" s="176" t="n"/>
      <c r="Q887" s="176" t="n"/>
      <c r="R887" s="176" t="n"/>
      <c r="S887" s="176" t="n"/>
      <c r="T887" s="176" t="n"/>
      <c r="U887" s="176" t="n"/>
      <c r="V887" s="176" t="n"/>
      <c r="W887" s="176" t="n"/>
      <c r="X887" s="176" t="n"/>
      <c r="Y887" s="176" t="n"/>
      <c r="Z887" s="176" t="n"/>
      <c r="AA887" s="176" t="n"/>
      <c r="AB887" s="176" t="n"/>
    </row>
    <row r="888">
      <c r="A888" s="176" t="n"/>
      <c r="B888" s="176" t="n"/>
      <c r="C888" s="176" t="n"/>
      <c r="D888" s="176" t="n"/>
      <c r="E888" s="176" t="n"/>
      <c r="F888" s="213" t="n"/>
      <c r="G888" s="213" t="n"/>
      <c r="H888" s="213" t="n"/>
      <c r="I888" s="213" t="n"/>
      <c r="J888" s="213" t="n"/>
      <c r="K888" s="946" t="n"/>
      <c r="L888" s="176" t="n"/>
      <c r="M888" s="176" t="n"/>
      <c r="N888" s="176" t="n"/>
      <c r="O888" s="176" t="n"/>
      <c r="P888" s="176" t="n"/>
      <c r="Q888" s="176" t="n"/>
      <c r="R888" s="176" t="n"/>
      <c r="S888" s="176" t="n"/>
      <c r="T888" s="176" t="n"/>
      <c r="U888" s="176" t="n"/>
      <c r="V888" s="176" t="n"/>
      <c r="W888" s="176" t="n"/>
      <c r="X888" s="176" t="n"/>
      <c r="Y888" s="176" t="n"/>
      <c r="Z888" s="176" t="n"/>
      <c r="AA888" s="176" t="n"/>
      <c r="AB888" s="176" t="n"/>
    </row>
    <row r="889">
      <c r="A889" s="176" t="n"/>
      <c r="B889" s="176" t="n"/>
      <c r="C889" s="176" t="n"/>
      <c r="D889" s="176" t="n"/>
      <c r="E889" s="176" t="n"/>
      <c r="F889" s="213" t="n"/>
      <c r="G889" s="213" t="n"/>
      <c r="H889" s="213" t="n"/>
      <c r="I889" s="213" t="n"/>
      <c r="J889" s="213" t="n"/>
      <c r="K889" s="946" t="n"/>
      <c r="L889" s="176" t="n"/>
      <c r="M889" s="176" t="n"/>
      <c r="N889" s="176" t="n"/>
      <c r="O889" s="176" t="n"/>
      <c r="P889" s="176" t="n"/>
      <c r="Q889" s="176" t="n"/>
      <c r="R889" s="176" t="n"/>
      <c r="S889" s="176" t="n"/>
      <c r="T889" s="176" t="n"/>
      <c r="U889" s="176" t="n"/>
      <c r="V889" s="176" t="n"/>
      <c r="W889" s="176" t="n"/>
      <c r="X889" s="176" t="n"/>
      <c r="Y889" s="176" t="n"/>
      <c r="Z889" s="176" t="n"/>
      <c r="AA889" s="176" t="n"/>
      <c r="AB889" s="176" t="n"/>
    </row>
    <row r="890">
      <c r="A890" s="176" t="n"/>
      <c r="B890" s="176" t="n"/>
      <c r="C890" s="176" t="n"/>
      <c r="D890" s="176" t="n"/>
      <c r="E890" s="176" t="n"/>
      <c r="F890" s="213" t="n"/>
      <c r="G890" s="213" t="n"/>
      <c r="H890" s="213" t="n"/>
      <c r="I890" s="213" t="n"/>
      <c r="J890" s="213" t="n"/>
      <c r="K890" s="946" t="n"/>
      <c r="L890" s="176" t="n"/>
      <c r="M890" s="176" t="n"/>
      <c r="N890" s="176" t="n"/>
      <c r="O890" s="176" t="n"/>
      <c r="P890" s="176" t="n"/>
      <c r="Q890" s="176" t="n"/>
      <c r="R890" s="176" t="n"/>
      <c r="S890" s="176" t="n"/>
      <c r="T890" s="176" t="n"/>
      <c r="U890" s="176" t="n"/>
      <c r="V890" s="176" t="n"/>
      <c r="W890" s="176" t="n"/>
      <c r="X890" s="176" t="n"/>
      <c r="Y890" s="176" t="n"/>
      <c r="Z890" s="176" t="n"/>
      <c r="AA890" s="176" t="n"/>
      <c r="AB890" s="176" t="n"/>
    </row>
    <row r="891">
      <c r="A891" s="176" t="n"/>
      <c r="B891" s="176" t="n"/>
      <c r="C891" s="176" t="n"/>
      <c r="D891" s="176" t="n"/>
      <c r="E891" s="176" t="n"/>
      <c r="F891" s="213" t="n"/>
      <c r="G891" s="213" t="n"/>
      <c r="H891" s="213" t="n"/>
      <c r="I891" s="213" t="n"/>
      <c r="J891" s="213" t="n"/>
      <c r="K891" s="946" t="n"/>
      <c r="L891" s="176" t="n"/>
      <c r="M891" s="176" t="n"/>
      <c r="N891" s="176" t="n"/>
      <c r="O891" s="176" t="n"/>
      <c r="P891" s="176" t="n"/>
      <c r="Q891" s="176" t="n"/>
      <c r="R891" s="176" t="n"/>
      <c r="S891" s="176" t="n"/>
      <c r="T891" s="176" t="n"/>
      <c r="U891" s="176" t="n"/>
      <c r="V891" s="176" t="n"/>
      <c r="W891" s="176" t="n"/>
      <c r="X891" s="176" t="n"/>
      <c r="Y891" s="176" t="n"/>
      <c r="Z891" s="176" t="n"/>
      <c r="AA891" s="176" t="n"/>
      <c r="AB891" s="176" t="n"/>
    </row>
    <row r="892">
      <c r="A892" s="176" t="n"/>
      <c r="B892" s="176" t="n"/>
      <c r="C892" s="176" t="n"/>
      <c r="D892" s="176" t="n"/>
      <c r="E892" s="176" t="n"/>
      <c r="F892" s="213" t="n"/>
      <c r="G892" s="213" t="n"/>
      <c r="H892" s="213" t="n"/>
      <c r="I892" s="213" t="n"/>
      <c r="J892" s="213" t="n"/>
      <c r="K892" s="946" t="n"/>
      <c r="L892" s="176" t="n"/>
      <c r="M892" s="176" t="n"/>
      <c r="N892" s="176" t="n"/>
      <c r="O892" s="176" t="n"/>
      <c r="P892" s="176" t="n"/>
      <c r="Q892" s="176" t="n"/>
      <c r="R892" s="176" t="n"/>
      <c r="S892" s="176" t="n"/>
      <c r="T892" s="176" t="n"/>
      <c r="U892" s="176" t="n"/>
      <c r="V892" s="176" t="n"/>
      <c r="W892" s="176" t="n"/>
      <c r="X892" s="176" t="n"/>
      <c r="Y892" s="176" t="n"/>
      <c r="Z892" s="176" t="n"/>
      <c r="AA892" s="176" t="n"/>
      <c r="AB892" s="176" t="n"/>
    </row>
    <row r="893">
      <c r="A893" s="176" t="n"/>
      <c r="B893" s="176" t="n"/>
      <c r="C893" s="176" t="n"/>
      <c r="D893" s="176" t="n"/>
      <c r="E893" s="176" t="n"/>
      <c r="F893" s="213" t="n"/>
      <c r="G893" s="213" t="n"/>
      <c r="H893" s="213" t="n"/>
      <c r="I893" s="213" t="n"/>
      <c r="J893" s="213" t="n"/>
      <c r="K893" s="946" t="n"/>
      <c r="L893" s="176" t="n"/>
      <c r="M893" s="176" t="n"/>
      <c r="N893" s="176" t="n"/>
      <c r="O893" s="176" t="n"/>
      <c r="P893" s="176" t="n"/>
      <c r="Q893" s="176" t="n"/>
      <c r="R893" s="176" t="n"/>
      <c r="S893" s="176" t="n"/>
      <c r="T893" s="176" t="n"/>
      <c r="U893" s="176" t="n"/>
      <c r="V893" s="176" t="n"/>
      <c r="W893" s="176" t="n"/>
      <c r="X893" s="176" t="n"/>
      <c r="Y893" s="176" t="n"/>
      <c r="Z893" s="176" t="n"/>
      <c r="AA893" s="176" t="n"/>
      <c r="AB893" s="176" t="n"/>
    </row>
    <row r="894">
      <c r="A894" s="176" t="n"/>
      <c r="B894" s="176" t="n"/>
      <c r="C894" s="176" t="n"/>
      <c r="D894" s="176" t="n"/>
      <c r="E894" s="176" t="n"/>
      <c r="F894" s="213" t="n"/>
      <c r="G894" s="213" t="n"/>
      <c r="H894" s="213" t="n"/>
      <c r="I894" s="213" t="n"/>
      <c r="J894" s="213" t="n"/>
      <c r="K894" s="946" t="n"/>
      <c r="L894" s="176" t="n"/>
      <c r="M894" s="176" t="n"/>
      <c r="N894" s="176" t="n"/>
      <c r="O894" s="176" t="n"/>
      <c r="P894" s="176" t="n"/>
      <c r="Q894" s="176" t="n"/>
      <c r="R894" s="176" t="n"/>
      <c r="S894" s="176" t="n"/>
      <c r="T894" s="176" t="n"/>
      <c r="U894" s="176" t="n"/>
      <c r="V894" s="176" t="n"/>
      <c r="W894" s="176" t="n"/>
      <c r="X894" s="176" t="n"/>
      <c r="Y894" s="176" t="n"/>
      <c r="Z894" s="176" t="n"/>
      <c r="AA894" s="176" t="n"/>
      <c r="AB894" s="176" t="n"/>
    </row>
    <row r="895">
      <c r="A895" s="176" t="n"/>
      <c r="B895" s="176" t="n"/>
      <c r="C895" s="176" t="n"/>
      <c r="D895" s="176" t="n"/>
      <c r="E895" s="176" t="n"/>
      <c r="F895" s="213" t="n"/>
      <c r="G895" s="213" t="n"/>
      <c r="H895" s="213" t="n"/>
      <c r="I895" s="213" t="n"/>
      <c r="J895" s="213" t="n"/>
      <c r="K895" s="946" t="n"/>
      <c r="L895" s="176" t="n"/>
      <c r="M895" s="176" t="n"/>
      <c r="N895" s="176" t="n"/>
      <c r="O895" s="176" t="n"/>
      <c r="P895" s="176" t="n"/>
      <c r="Q895" s="176" t="n"/>
      <c r="R895" s="176" t="n"/>
      <c r="S895" s="176" t="n"/>
      <c r="T895" s="176" t="n"/>
      <c r="U895" s="176" t="n"/>
      <c r="V895" s="176" t="n"/>
      <c r="W895" s="176" t="n"/>
      <c r="X895" s="176" t="n"/>
      <c r="Y895" s="176" t="n"/>
      <c r="Z895" s="176" t="n"/>
      <c r="AA895" s="176" t="n"/>
      <c r="AB895" s="176" t="n"/>
    </row>
    <row r="896">
      <c r="A896" s="176" t="n"/>
      <c r="B896" s="176" t="n"/>
      <c r="C896" s="176" t="n"/>
      <c r="D896" s="176" t="n"/>
      <c r="E896" s="176" t="n"/>
      <c r="F896" s="213" t="n"/>
      <c r="G896" s="213" t="n"/>
      <c r="H896" s="213" t="n"/>
      <c r="I896" s="213" t="n"/>
      <c r="J896" s="213" t="n"/>
      <c r="K896" s="946" t="n"/>
      <c r="L896" s="176" t="n"/>
      <c r="M896" s="176" t="n"/>
      <c r="N896" s="176" t="n"/>
      <c r="O896" s="176" t="n"/>
      <c r="P896" s="176" t="n"/>
      <c r="Q896" s="176" t="n"/>
      <c r="R896" s="176" t="n"/>
      <c r="S896" s="176" t="n"/>
      <c r="T896" s="176" t="n"/>
      <c r="U896" s="176" t="n"/>
      <c r="V896" s="176" t="n"/>
      <c r="W896" s="176" t="n"/>
      <c r="X896" s="176" t="n"/>
      <c r="Y896" s="176" t="n"/>
      <c r="Z896" s="176" t="n"/>
      <c r="AA896" s="176" t="n"/>
      <c r="AB896" s="176" t="n"/>
    </row>
    <row r="897">
      <c r="A897" s="176" t="n"/>
      <c r="B897" s="176" t="n"/>
      <c r="C897" s="176" t="n"/>
      <c r="D897" s="176" t="n"/>
      <c r="E897" s="176" t="n"/>
      <c r="F897" s="213" t="n"/>
      <c r="G897" s="213" t="n"/>
      <c r="H897" s="213" t="n"/>
      <c r="I897" s="213" t="n"/>
      <c r="J897" s="213" t="n"/>
      <c r="K897" s="946" t="n"/>
      <c r="L897" s="176" t="n"/>
      <c r="M897" s="176" t="n"/>
      <c r="N897" s="176" t="n"/>
      <c r="O897" s="176" t="n"/>
      <c r="P897" s="176" t="n"/>
      <c r="Q897" s="176" t="n"/>
      <c r="R897" s="176" t="n"/>
      <c r="S897" s="176" t="n"/>
      <c r="T897" s="176" t="n"/>
      <c r="U897" s="176" t="n"/>
      <c r="V897" s="176" t="n"/>
      <c r="W897" s="176" t="n"/>
      <c r="X897" s="176" t="n"/>
      <c r="Y897" s="176" t="n"/>
      <c r="Z897" s="176" t="n"/>
      <c r="AA897" s="176" t="n"/>
      <c r="AB897" s="176" t="n"/>
    </row>
    <row r="898">
      <c r="A898" s="176" t="n"/>
      <c r="B898" s="176" t="n"/>
      <c r="C898" s="176" t="n"/>
      <c r="D898" s="176" t="n"/>
      <c r="E898" s="176" t="n"/>
      <c r="F898" s="213" t="n"/>
      <c r="G898" s="213" t="n"/>
      <c r="H898" s="213" t="n"/>
      <c r="I898" s="213" t="n"/>
      <c r="J898" s="213" t="n"/>
      <c r="K898" s="946" t="n"/>
      <c r="L898" s="176" t="n"/>
      <c r="M898" s="176" t="n"/>
      <c r="N898" s="176" t="n"/>
      <c r="O898" s="176" t="n"/>
      <c r="P898" s="176" t="n"/>
      <c r="Q898" s="176" t="n"/>
      <c r="R898" s="176" t="n"/>
      <c r="S898" s="176" t="n"/>
      <c r="T898" s="176" t="n"/>
      <c r="U898" s="176" t="n"/>
      <c r="V898" s="176" t="n"/>
      <c r="W898" s="176" t="n"/>
      <c r="X898" s="176" t="n"/>
      <c r="Y898" s="176" t="n"/>
      <c r="Z898" s="176" t="n"/>
      <c r="AA898" s="176" t="n"/>
      <c r="AB898" s="176" t="n"/>
    </row>
    <row r="899">
      <c r="A899" s="176" t="n"/>
      <c r="B899" s="176" t="n"/>
      <c r="C899" s="176" t="n"/>
      <c r="D899" s="176" t="n"/>
      <c r="E899" s="176" t="n"/>
      <c r="F899" s="213" t="n"/>
      <c r="G899" s="213" t="n"/>
      <c r="H899" s="213" t="n"/>
      <c r="I899" s="213" t="n"/>
      <c r="J899" s="213" t="n"/>
      <c r="K899" s="946" t="n"/>
      <c r="L899" s="176" t="n"/>
      <c r="M899" s="176" t="n"/>
      <c r="N899" s="176" t="n"/>
      <c r="O899" s="176" t="n"/>
      <c r="P899" s="176" t="n"/>
      <c r="Q899" s="176" t="n"/>
      <c r="R899" s="176" t="n"/>
      <c r="S899" s="176" t="n"/>
      <c r="T899" s="176" t="n"/>
      <c r="U899" s="176" t="n"/>
      <c r="V899" s="176" t="n"/>
      <c r="W899" s="176" t="n"/>
      <c r="X899" s="176" t="n"/>
      <c r="Y899" s="176" t="n"/>
      <c r="Z899" s="176" t="n"/>
      <c r="AA899" s="176" t="n"/>
      <c r="AB899" s="176" t="n"/>
    </row>
    <row r="900">
      <c r="A900" s="176" t="n"/>
      <c r="B900" s="176" t="n"/>
      <c r="C900" s="176" t="n"/>
      <c r="D900" s="176" t="n"/>
      <c r="E900" s="176" t="n"/>
      <c r="F900" s="213" t="n"/>
      <c r="G900" s="213" t="n"/>
      <c r="H900" s="213" t="n"/>
      <c r="I900" s="213" t="n"/>
      <c r="J900" s="213" t="n"/>
      <c r="K900" s="946" t="n"/>
      <c r="L900" s="176" t="n"/>
      <c r="M900" s="176" t="n"/>
      <c r="N900" s="176" t="n"/>
      <c r="O900" s="176" t="n"/>
      <c r="P900" s="176" t="n"/>
      <c r="Q900" s="176" t="n"/>
      <c r="R900" s="176" t="n"/>
      <c r="S900" s="176" t="n"/>
      <c r="T900" s="176" t="n"/>
      <c r="U900" s="176" t="n"/>
      <c r="V900" s="176" t="n"/>
      <c r="W900" s="176" t="n"/>
      <c r="X900" s="176" t="n"/>
      <c r="Y900" s="176" t="n"/>
      <c r="Z900" s="176" t="n"/>
      <c r="AA900" s="176" t="n"/>
      <c r="AB900" s="176" t="n"/>
    </row>
    <row r="901">
      <c r="A901" s="176" t="n"/>
      <c r="B901" s="176" t="n"/>
      <c r="C901" s="176" t="n"/>
      <c r="D901" s="176" t="n"/>
      <c r="E901" s="176" t="n"/>
      <c r="F901" s="213" t="n"/>
      <c r="G901" s="213" t="n"/>
      <c r="H901" s="213" t="n"/>
      <c r="I901" s="213" t="n"/>
      <c r="J901" s="213" t="n"/>
      <c r="K901" s="946" t="n"/>
      <c r="L901" s="176" t="n"/>
      <c r="M901" s="176" t="n"/>
      <c r="N901" s="176" t="n"/>
      <c r="O901" s="176" t="n"/>
      <c r="P901" s="176" t="n"/>
      <c r="Q901" s="176" t="n"/>
      <c r="R901" s="176" t="n"/>
      <c r="S901" s="176" t="n"/>
      <c r="T901" s="176" t="n"/>
      <c r="U901" s="176" t="n"/>
      <c r="V901" s="176" t="n"/>
      <c r="W901" s="176" t="n"/>
      <c r="X901" s="176" t="n"/>
      <c r="Y901" s="176" t="n"/>
      <c r="Z901" s="176" t="n"/>
      <c r="AA901" s="176" t="n"/>
      <c r="AB901" s="176" t="n"/>
    </row>
    <row r="902">
      <c r="A902" s="176" t="n"/>
      <c r="B902" s="176" t="n"/>
      <c r="C902" s="176" t="n"/>
      <c r="D902" s="176" t="n"/>
      <c r="E902" s="176" t="n"/>
      <c r="F902" s="213" t="n"/>
      <c r="G902" s="213" t="n"/>
      <c r="H902" s="213" t="n"/>
      <c r="I902" s="213" t="n"/>
      <c r="J902" s="213" t="n"/>
      <c r="K902" s="946" t="n"/>
      <c r="L902" s="176" t="n"/>
      <c r="M902" s="176" t="n"/>
      <c r="N902" s="176" t="n"/>
      <c r="O902" s="176" t="n"/>
      <c r="P902" s="176" t="n"/>
      <c r="Q902" s="176" t="n"/>
      <c r="R902" s="176" t="n"/>
      <c r="S902" s="176" t="n"/>
      <c r="T902" s="176" t="n"/>
      <c r="U902" s="176" t="n"/>
      <c r="V902" s="176" t="n"/>
      <c r="W902" s="176" t="n"/>
      <c r="X902" s="176" t="n"/>
      <c r="Y902" s="176" t="n"/>
      <c r="Z902" s="176" t="n"/>
      <c r="AA902" s="176" t="n"/>
      <c r="AB902" s="176" t="n"/>
    </row>
    <row r="903">
      <c r="A903" s="176" t="n"/>
      <c r="B903" s="176" t="n"/>
      <c r="C903" s="176" t="n"/>
      <c r="D903" s="176" t="n"/>
      <c r="E903" s="176" t="n"/>
      <c r="F903" s="213" t="n"/>
      <c r="G903" s="213" t="n"/>
      <c r="H903" s="213" t="n"/>
      <c r="I903" s="213" t="n"/>
      <c r="J903" s="213" t="n"/>
      <c r="K903" s="946" t="n"/>
      <c r="L903" s="176" t="n"/>
      <c r="M903" s="176" t="n"/>
      <c r="N903" s="176" t="n"/>
      <c r="O903" s="176" t="n"/>
      <c r="P903" s="176" t="n"/>
      <c r="Q903" s="176" t="n"/>
      <c r="R903" s="176" t="n"/>
      <c r="S903" s="176" t="n"/>
      <c r="T903" s="176" t="n"/>
      <c r="U903" s="176" t="n"/>
      <c r="V903" s="176" t="n"/>
      <c r="W903" s="176" t="n"/>
      <c r="X903" s="176" t="n"/>
      <c r="Y903" s="176" t="n"/>
      <c r="Z903" s="176" t="n"/>
      <c r="AA903" s="176" t="n"/>
      <c r="AB903" s="176" t="n"/>
    </row>
    <row r="904">
      <c r="A904" s="176" t="n"/>
      <c r="B904" s="176" t="n"/>
      <c r="C904" s="176" t="n"/>
      <c r="D904" s="176" t="n"/>
      <c r="E904" s="176" t="n"/>
      <c r="F904" s="213" t="n"/>
      <c r="G904" s="213" t="n"/>
      <c r="H904" s="213" t="n"/>
      <c r="I904" s="213" t="n"/>
      <c r="J904" s="213" t="n"/>
      <c r="K904" s="946" t="n"/>
      <c r="L904" s="176" t="n"/>
      <c r="M904" s="176" t="n"/>
      <c r="N904" s="176" t="n"/>
      <c r="O904" s="176" t="n"/>
      <c r="P904" s="176" t="n"/>
      <c r="Q904" s="176" t="n"/>
      <c r="R904" s="176" t="n"/>
      <c r="S904" s="176" t="n"/>
      <c r="T904" s="176" t="n"/>
      <c r="U904" s="176" t="n"/>
      <c r="V904" s="176" t="n"/>
      <c r="W904" s="176" t="n"/>
      <c r="X904" s="176" t="n"/>
      <c r="Y904" s="176" t="n"/>
      <c r="Z904" s="176" t="n"/>
      <c r="AA904" s="176" t="n"/>
      <c r="AB904" s="176" t="n"/>
    </row>
    <row r="905">
      <c r="A905" s="176" t="n"/>
      <c r="B905" s="176" t="n"/>
      <c r="C905" s="176" t="n"/>
      <c r="D905" s="176" t="n"/>
      <c r="E905" s="176" t="n"/>
      <c r="F905" s="213" t="n"/>
      <c r="G905" s="213" t="n"/>
      <c r="H905" s="213" t="n"/>
      <c r="I905" s="213" t="n"/>
      <c r="J905" s="213" t="n"/>
      <c r="K905" s="946" t="n"/>
      <c r="L905" s="176" t="n"/>
      <c r="M905" s="176" t="n"/>
      <c r="N905" s="176" t="n"/>
      <c r="O905" s="176" t="n"/>
      <c r="P905" s="176" t="n"/>
      <c r="Q905" s="176" t="n"/>
      <c r="R905" s="176" t="n"/>
      <c r="S905" s="176" t="n"/>
      <c r="T905" s="176" t="n"/>
      <c r="U905" s="176" t="n"/>
      <c r="V905" s="176" t="n"/>
      <c r="W905" s="176" t="n"/>
      <c r="X905" s="176" t="n"/>
      <c r="Y905" s="176" t="n"/>
      <c r="Z905" s="176" t="n"/>
      <c r="AA905" s="176" t="n"/>
      <c r="AB905" s="176" t="n"/>
    </row>
    <row r="906">
      <c r="A906" s="176" t="n"/>
      <c r="B906" s="176" t="n"/>
      <c r="C906" s="176" t="n"/>
      <c r="D906" s="176" t="n"/>
      <c r="E906" s="176" t="n"/>
      <c r="F906" s="213" t="n"/>
      <c r="G906" s="213" t="n"/>
      <c r="H906" s="213" t="n"/>
      <c r="I906" s="213" t="n"/>
      <c r="J906" s="213" t="n"/>
      <c r="K906" s="946" t="n"/>
      <c r="L906" s="176" t="n"/>
      <c r="M906" s="176" t="n"/>
      <c r="N906" s="176" t="n"/>
      <c r="O906" s="176" t="n"/>
      <c r="P906" s="176" t="n"/>
      <c r="Q906" s="176" t="n"/>
      <c r="R906" s="176" t="n"/>
      <c r="S906" s="176" t="n"/>
      <c r="T906" s="176" t="n"/>
      <c r="U906" s="176" t="n"/>
      <c r="V906" s="176" t="n"/>
      <c r="W906" s="176" t="n"/>
      <c r="X906" s="176" t="n"/>
      <c r="Y906" s="176" t="n"/>
      <c r="Z906" s="176" t="n"/>
      <c r="AA906" s="176" t="n"/>
      <c r="AB906" s="176" t="n"/>
    </row>
    <row r="907">
      <c r="A907" s="176" t="n"/>
      <c r="B907" s="176" t="n"/>
      <c r="C907" s="176" t="n"/>
      <c r="D907" s="176" t="n"/>
      <c r="E907" s="176" t="n"/>
      <c r="F907" s="213" t="n"/>
      <c r="G907" s="213" t="n"/>
      <c r="H907" s="213" t="n"/>
      <c r="I907" s="213" t="n"/>
      <c r="J907" s="213" t="n"/>
      <c r="K907" s="946" t="n"/>
      <c r="L907" s="176" t="n"/>
      <c r="M907" s="176" t="n"/>
      <c r="N907" s="176" t="n"/>
      <c r="O907" s="176" t="n"/>
      <c r="P907" s="176" t="n"/>
      <c r="Q907" s="176" t="n"/>
      <c r="R907" s="176" t="n"/>
      <c r="S907" s="176" t="n"/>
      <c r="T907" s="176" t="n"/>
      <c r="U907" s="176" t="n"/>
      <c r="V907" s="176" t="n"/>
      <c r="W907" s="176" t="n"/>
      <c r="X907" s="176" t="n"/>
      <c r="Y907" s="176" t="n"/>
      <c r="Z907" s="176" t="n"/>
      <c r="AA907" s="176" t="n"/>
      <c r="AB907" s="176" t="n"/>
    </row>
    <row r="908">
      <c r="A908" s="176" t="n"/>
      <c r="B908" s="176" t="n"/>
      <c r="C908" s="176" t="n"/>
      <c r="D908" s="176" t="n"/>
      <c r="E908" s="176" t="n"/>
      <c r="F908" s="213" t="n"/>
      <c r="G908" s="213" t="n"/>
      <c r="H908" s="213" t="n"/>
      <c r="I908" s="213" t="n"/>
      <c r="J908" s="213" t="n"/>
      <c r="K908" s="946" t="n"/>
      <c r="L908" s="176" t="n"/>
      <c r="M908" s="176" t="n"/>
      <c r="N908" s="176" t="n"/>
      <c r="O908" s="176" t="n"/>
      <c r="P908" s="176" t="n"/>
      <c r="Q908" s="176" t="n"/>
      <c r="R908" s="176" t="n"/>
      <c r="S908" s="176" t="n"/>
      <c r="T908" s="176" t="n"/>
      <c r="U908" s="176" t="n"/>
      <c r="V908" s="176" t="n"/>
      <c r="W908" s="176" t="n"/>
      <c r="X908" s="176" t="n"/>
      <c r="Y908" s="176" t="n"/>
      <c r="Z908" s="176" t="n"/>
      <c r="AA908" s="176" t="n"/>
      <c r="AB908" s="176" t="n"/>
    </row>
    <row r="909">
      <c r="A909" s="176" t="n"/>
      <c r="B909" s="176" t="n"/>
      <c r="C909" s="176" t="n"/>
      <c r="D909" s="176" t="n"/>
      <c r="E909" s="176" t="n"/>
      <c r="F909" s="213" t="n"/>
      <c r="G909" s="213" t="n"/>
      <c r="H909" s="213" t="n"/>
      <c r="I909" s="213" t="n"/>
      <c r="J909" s="213" t="n"/>
      <c r="K909" s="946" t="n"/>
      <c r="L909" s="176" t="n"/>
      <c r="M909" s="176" t="n"/>
      <c r="N909" s="176" t="n"/>
      <c r="O909" s="176" t="n"/>
      <c r="P909" s="176" t="n"/>
      <c r="Q909" s="176" t="n"/>
      <c r="R909" s="176" t="n"/>
      <c r="S909" s="176" t="n"/>
      <c r="T909" s="176" t="n"/>
      <c r="U909" s="176" t="n"/>
      <c r="V909" s="176" t="n"/>
      <c r="W909" s="176" t="n"/>
      <c r="X909" s="176" t="n"/>
      <c r="Y909" s="176" t="n"/>
      <c r="Z909" s="176" t="n"/>
      <c r="AA909" s="176" t="n"/>
      <c r="AB909" s="176" t="n"/>
    </row>
    <row r="910">
      <c r="A910" s="176" t="n"/>
      <c r="B910" s="176" t="n"/>
      <c r="C910" s="176" t="n"/>
      <c r="D910" s="176" t="n"/>
      <c r="E910" s="176" t="n"/>
      <c r="F910" s="213" t="n"/>
      <c r="G910" s="213" t="n"/>
      <c r="H910" s="213" t="n"/>
      <c r="I910" s="213" t="n"/>
      <c r="J910" s="213" t="n"/>
      <c r="K910" s="946" t="n"/>
      <c r="L910" s="176" t="n"/>
      <c r="M910" s="176" t="n"/>
      <c r="N910" s="176" t="n"/>
      <c r="O910" s="176" t="n"/>
      <c r="P910" s="176" t="n"/>
      <c r="Q910" s="176" t="n"/>
      <c r="R910" s="176" t="n"/>
      <c r="S910" s="176" t="n"/>
      <c r="T910" s="176" t="n"/>
      <c r="U910" s="176" t="n"/>
      <c r="V910" s="176" t="n"/>
      <c r="W910" s="176" t="n"/>
      <c r="X910" s="176" t="n"/>
      <c r="Y910" s="176" t="n"/>
      <c r="Z910" s="176" t="n"/>
      <c r="AA910" s="176" t="n"/>
      <c r="AB910" s="176" t="n"/>
    </row>
    <row r="911">
      <c r="A911" s="176" t="n"/>
      <c r="B911" s="176" t="n"/>
      <c r="C911" s="176" t="n"/>
      <c r="D911" s="176" t="n"/>
      <c r="E911" s="176" t="n"/>
      <c r="F911" s="213" t="n"/>
      <c r="G911" s="213" t="n"/>
      <c r="H911" s="213" t="n"/>
      <c r="I911" s="213" t="n"/>
      <c r="J911" s="213" t="n"/>
      <c r="K911" s="946" t="n"/>
      <c r="L911" s="176" t="n"/>
      <c r="M911" s="176" t="n"/>
      <c r="N911" s="176" t="n"/>
      <c r="O911" s="176" t="n"/>
      <c r="P911" s="176" t="n"/>
      <c r="Q911" s="176" t="n"/>
      <c r="R911" s="176" t="n"/>
      <c r="S911" s="176" t="n"/>
      <c r="T911" s="176" t="n"/>
      <c r="U911" s="176" t="n"/>
      <c r="V911" s="176" t="n"/>
      <c r="W911" s="176" t="n"/>
      <c r="X911" s="176" t="n"/>
      <c r="Y911" s="176" t="n"/>
      <c r="Z911" s="176" t="n"/>
      <c r="AA911" s="176" t="n"/>
      <c r="AB911" s="176" t="n"/>
    </row>
    <row r="912">
      <c r="A912" s="176" t="n"/>
      <c r="B912" s="176" t="n"/>
      <c r="C912" s="176" t="n"/>
      <c r="D912" s="176" t="n"/>
      <c r="E912" s="176" t="n"/>
      <c r="F912" s="213" t="n"/>
      <c r="G912" s="213" t="n"/>
      <c r="H912" s="213" t="n"/>
      <c r="I912" s="213" t="n"/>
      <c r="J912" s="213" t="n"/>
      <c r="K912" s="946" t="n"/>
      <c r="L912" s="176" t="n"/>
      <c r="M912" s="176" t="n"/>
      <c r="N912" s="176" t="n"/>
      <c r="O912" s="176" t="n"/>
      <c r="P912" s="176" t="n"/>
      <c r="Q912" s="176" t="n"/>
      <c r="R912" s="176" t="n"/>
      <c r="S912" s="176" t="n"/>
      <c r="T912" s="176" t="n"/>
      <c r="U912" s="176" t="n"/>
      <c r="V912" s="176" t="n"/>
      <c r="W912" s="176" t="n"/>
      <c r="X912" s="176" t="n"/>
      <c r="Y912" s="176" t="n"/>
      <c r="Z912" s="176" t="n"/>
      <c r="AA912" s="176" t="n"/>
      <c r="AB912" s="176" t="n"/>
    </row>
    <row r="913">
      <c r="A913" s="176" t="n"/>
      <c r="B913" s="176" t="n"/>
      <c r="C913" s="176" t="n"/>
      <c r="D913" s="176" t="n"/>
      <c r="E913" s="176" t="n"/>
      <c r="F913" s="213" t="n"/>
      <c r="G913" s="213" t="n"/>
      <c r="H913" s="213" t="n"/>
      <c r="I913" s="213" t="n"/>
      <c r="J913" s="213" t="n"/>
      <c r="K913" s="946" t="n"/>
      <c r="L913" s="176" t="n"/>
      <c r="M913" s="176" t="n"/>
      <c r="N913" s="176" t="n"/>
      <c r="O913" s="176" t="n"/>
      <c r="P913" s="176" t="n"/>
      <c r="Q913" s="176" t="n"/>
      <c r="R913" s="176" t="n"/>
      <c r="S913" s="176" t="n"/>
      <c r="T913" s="176" t="n"/>
      <c r="U913" s="176" t="n"/>
      <c r="V913" s="176" t="n"/>
      <c r="W913" s="176" t="n"/>
      <c r="X913" s="176" t="n"/>
      <c r="Y913" s="176" t="n"/>
      <c r="Z913" s="176" t="n"/>
      <c r="AA913" s="176" t="n"/>
      <c r="AB913" s="176" t="n"/>
    </row>
    <row r="914">
      <c r="A914" s="176" t="n"/>
      <c r="B914" s="176" t="n"/>
      <c r="C914" s="176" t="n"/>
      <c r="D914" s="176" t="n"/>
      <c r="E914" s="176" t="n"/>
      <c r="F914" s="213" t="n"/>
      <c r="G914" s="213" t="n"/>
      <c r="H914" s="213" t="n"/>
      <c r="I914" s="213" t="n"/>
      <c r="J914" s="213" t="n"/>
      <c r="K914" s="946" t="n"/>
      <c r="L914" s="176" t="n"/>
      <c r="M914" s="176" t="n"/>
      <c r="N914" s="176" t="n"/>
      <c r="O914" s="176" t="n"/>
      <c r="P914" s="176" t="n"/>
      <c r="Q914" s="176" t="n"/>
      <c r="R914" s="176" t="n"/>
      <c r="S914" s="176" t="n"/>
      <c r="T914" s="176" t="n"/>
      <c r="U914" s="176" t="n"/>
      <c r="V914" s="176" t="n"/>
      <c r="W914" s="176" t="n"/>
      <c r="X914" s="176" t="n"/>
      <c r="Y914" s="176" t="n"/>
      <c r="Z914" s="176" t="n"/>
      <c r="AA914" s="176" t="n"/>
      <c r="AB914" s="176" t="n"/>
    </row>
    <row r="915">
      <c r="A915" s="176" t="n"/>
      <c r="B915" s="176" t="n"/>
      <c r="C915" s="176" t="n"/>
      <c r="D915" s="176" t="n"/>
      <c r="E915" s="176" t="n"/>
      <c r="F915" s="213" t="n"/>
      <c r="G915" s="213" t="n"/>
      <c r="H915" s="213" t="n"/>
      <c r="I915" s="213" t="n"/>
      <c r="J915" s="213" t="n"/>
      <c r="K915" s="946" t="n"/>
      <c r="L915" s="176" t="n"/>
      <c r="M915" s="176" t="n"/>
      <c r="N915" s="176" t="n"/>
      <c r="O915" s="176" t="n"/>
      <c r="P915" s="176" t="n"/>
      <c r="Q915" s="176" t="n"/>
      <c r="R915" s="176" t="n"/>
      <c r="S915" s="176" t="n"/>
      <c r="T915" s="176" t="n"/>
      <c r="U915" s="176" t="n"/>
      <c r="V915" s="176" t="n"/>
      <c r="W915" s="176" t="n"/>
      <c r="X915" s="176" t="n"/>
      <c r="Y915" s="176" t="n"/>
      <c r="Z915" s="176" t="n"/>
      <c r="AA915" s="176" t="n"/>
      <c r="AB915" s="176" t="n"/>
    </row>
    <row r="916">
      <c r="A916" s="176" t="n"/>
      <c r="B916" s="176" t="n"/>
      <c r="C916" s="176" t="n"/>
      <c r="D916" s="176" t="n"/>
      <c r="E916" s="176" t="n"/>
      <c r="F916" s="213" t="n"/>
      <c r="G916" s="213" t="n"/>
      <c r="H916" s="213" t="n"/>
      <c r="I916" s="213" t="n"/>
      <c r="J916" s="213" t="n"/>
      <c r="K916" s="946" t="n"/>
      <c r="L916" s="176" t="n"/>
      <c r="M916" s="176" t="n"/>
      <c r="N916" s="176" t="n"/>
      <c r="O916" s="176" t="n"/>
      <c r="P916" s="176" t="n"/>
      <c r="Q916" s="176" t="n"/>
      <c r="R916" s="176" t="n"/>
      <c r="S916" s="176" t="n"/>
      <c r="T916" s="176" t="n"/>
      <c r="U916" s="176" t="n"/>
      <c r="V916" s="176" t="n"/>
      <c r="W916" s="176" t="n"/>
      <c r="X916" s="176" t="n"/>
      <c r="Y916" s="176" t="n"/>
      <c r="Z916" s="176" t="n"/>
      <c r="AA916" s="176" t="n"/>
      <c r="AB916" s="176" t="n"/>
    </row>
    <row r="917">
      <c r="A917" s="176" t="n"/>
      <c r="B917" s="176" t="n"/>
      <c r="C917" s="176" t="n"/>
      <c r="D917" s="176" t="n"/>
      <c r="E917" s="176" t="n"/>
      <c r="F917" s="213" t="n"/>
      <c r="G917" s="213" t="n"/>
      <c r="H917" s="213" t="n"/>
      <c r="I917" s="213" t="n"/>
      <c r="J917" s="213" t="n"/>
      <c r="K917" s="946" t="n"/>
      <c r="L917" s="176" t="n"/>
      <c r="M917" s="176" t="n"/>
      <c r="N917" s="176" t="n"/>
      <c r="O917" s="176" t="n"/>
      <c r="P917" s="176" t="n"/>
      <c r="Q917" s="176" t="n"/>
      <c r="R917" s="176" t="n"/>
      <c r="S917" s="176" t="n"/>
      <c r="T917" s="176" t="n"/>
      <c r="U917" s="176" t="n"/>
      <c r="V917" s="176" t="n"/>
      <c r="W917" s="176" t="n"/>
      <c r="X917" s="176" t="n"/>
      <c r="Y917" s="176" t="n"/>
      <c r="Z917" s="176" t="n"/>
      <c r="AA917" s="176" t="n"/>
      <c r="AB917" s="176" t="n"/>
    </row>
    <row r="918">
      <c r="A918" s="176" t="n"/>
      <c r="B918" s="176" t="n"/>
      <c r="C918" s="176" t="n"/>
      <c r="D918" s="176" t="n"/>
      <c r="E918" s="176" t="n"/>
      <c r="F918" s="213" t="n"/>
      <c r="G918" s="213" t="n"/>
      <c r="H918" s="213" t="n"/>
      <c r="I918" s="213" t="n"/>
      <c r="J918" s="213" t="n"/>
      <c r="K918" s="946" t="n"/>
      <c r="L918" s="176" t="n"/>
      <c r="M918" s="176" t="n"/>
      <c r="N918" s="176" t="n"/>
      <c r="O918" s="176" t="n"/>
      <c r="P918" s="176" t="n"/>
      <c r="Q918" s="176" t="n"/>
      <c r="R918" s="176" t="n"/>
      <c r="S918" s="176" t="n"/>
      <c r="T918" s="176" t="n"/>
      <c r="U918" s="176" t="n"/>
      <c r="V918" s="176" t="n"/>
      <c r="W918" s="176" t="n"/>
      <c r="X918" s="176" t="n"/>
      <c r="Y918" s="176" t="n"/>
      <c r="Z918" s="176" t="n"/>
      <c r="AA918" s="176" t="n"/>
      <c r="AB918" s="176" t="n"/>
    </row>
    <row r="919">
      <c r="A919" s="176" t="n"/>
      <c r="B919" s="176" t="n"/>
      <c r="C919" s="176" t="n"/>
      <c r="D919" s="176" t="n"/>
      <c r="E919" s="176" t="n"/>
      <c r="F919" s="213" t="n"/>
      <c r="G919" s="213" t="n"/>
      <c r="H919" s="213" t="n"/>
      <c r="I919" s="213" t="n"/>
      <c r="J919" s="213" t="n"/>
      <c r="K919" s="946" t="n"/>
      <c r="L919" s="176" t="n"/>
      <c r="M919" s="176" t="n"/>
      <c r="N919" s="176" t="n"/>
      <c r="O919" s="176" t="n"/>
      <c r="P919" s="176" t="n"/>
      <c r="Q919" s="176" t="n"/>
      <c r="R919" s="176" t="n"/>
      <c r="S919" s="176" t="n"/>
      <c r="T919" s="176" t="n"/>
      <c r="U919" s="176" t="n"/>
      <c r="V919" s="176" t="n"/>
      <c r="W919" s="176" t="n"/>
      <c r="X919" s="176" t="n"/>
      <c r="Y919" s="176" t="n"/>
      <c r="Z919" s="176" t="n"/>
      <c r="AA919" s="176" t="n"/>
      <c r="AB919" s="176" t="n"/>
    </row>
    <row r="920">
      <c r="A920" s="176" t="n"/>
      <c r="B920" s="176" t="n"/>
      <c r="C920" s="176" t="n"/>
      <c r="D920" s="176" t="n"/>
      <c r="E920" s="176" t="n"/>
      <c r="F920" s="213" t="n"/>
      <c r="G920" s="213" t="n"/>
      <c r="H920" s="213" t="n"/>
      <c r="I920" s="213" t="n"/>
      <c r="J920" s="213" t="n"/>
      <c r="K920" s="946" t="n"/>
      <c r="L920" s="176" t="n"/>
      <c r="M920" s="176" t="n"/>
      <c r="N920" s="176" t="n"/>
      <c r="O920" s="176" t="n"/>
      <c r="P920" s="176" t="n"/>
      <c r="Q920" s="176" t="n"/>
      <c r="R920" s="176" t="n"/>
      <c r="S920" s="176" t="n"/>
      <c r="T920" s="176" t="n"/>
      <c r="U920" s="176" t="n"/>
      <c r="V920" s="176" t="n"/>
      <c r="W920" s="176" t="n"/>
      <c r="X920" s="176" t="n"/>
      <c r="Y920" s="176" t="n"/>
      <c r="Z920" s="176" t="n"/>
      <c r="AA920" s="176" t="n"/>
      <c r="AB920" s="176" t="n"/>
    </row>
    <row r="921">
      <c r="A921" s="176" t="n"/>
      <c r="B921" s="176" t="n"/>
      <c r="C921" s="176" t="n"/>
      <c r="D921" s="176" t="n"/>
      <c r="E921" s="176" t="n"/>
      <c r="F921" s="213" t="n"/>
      <c r="G921" s="213" t="n"/>
      <c r="H921" s="213" t="n"/>
      <c r="I921" s="213" t="n"/>
      <c r="J921" s="213" t="n"/>
      <c r="K921" s="946" t="n"/>
      <c r="L921" s="176" t="n"/>
      <c r="M921" s="176" t="n"/>
      <c r="N921" s="176" t="n"/>
      <c r="O921" s="176" t="n"/>
      <c r="P921" s="176" t="n"/>
      <c r="Q921" s="176" t="n"/>
      <c r="R921" s="176" t="n"/>
      <c r="S921" s="176" t="n"/>
      <c r="T921" s="176" t="n"/>
      <c r="U921" s="176" t="n"/>
      <c r="V921" s="176" t="n"/>
      <c r="W921" s="176" t="n"/>
      <c r="X921" s="176" t="n"/>
      <c r="Y921" s="176" t="n"/>
      <c r="Z921" s="176" t="n"/>
      <c r="AA921" s="176" t="n"/>
      <c r="AB921" s="176" t="n"/>
    </row>
    <row r="922">
      <c r="A922" s="176" t="n"/>
      <c r="B922" s="176" t="n"/>
      <c r="C922" s="176" t="n"/>
      <c r="D922" s="176" t="n"/>
      <c r="E922" s="176" t="n"/>
      <c r="F922" s="213" t="n"/>
      <c r="G922" s="213" t="n"/>
      <c r="H922" s="213" t="n"/>
      <c r="I922" s="213" t="n"/>
      <c r="J922" s="213" t="n"/>
      <c r="K922" s="946" t="n"/>
      <c r="L922" s="176" t="n"/>
      <c r="M922" s="176" t="n"/>
      <c r="N922" s="176" t="n"/>
      <c r="O922" s="176" t="n"/>
      <c r="P922" s="176" t="n"/>
      <c r="Q922" s="176" t="n"/>
      <c r="R922" s="176" t="n"/>
      <c r="S922" s="176" t="n"/>
      <c r="T922" s="176" t="n"/>
      <c r="U922" s="176" t="n"/>
      <c r="V922" s="176" t="n"/>
      <c r="W922" s="176" t="n"/>
      <c r="X922" s="176" t="n"/>
      <c r="Y922" s="176" t="n"/>
      <c r="Z922" s="176" t="n"/>
      <c r="AA922" s="176" t="n"/>
      <c r="AB922" s="176" t="n"/>
    </row>
    <row r="923">
      <c r="A923" s="176" t="n"/>
      <c r="B923" s="176" t="n"/>
      <c r="C923" s="176" t="n"/>
      <c r="D923" s="176" t="n"/>
      <c r="E923" s="176" t="n"/>
      <c r="F923" s="213" t="n"/>
      <c r="G923" s="213" t="n"/>
      <c r="H923" s="213" t="n"/>
      <c r="I923" s="213" t="n"/>
      <c r="J923" s="213" t="n"/>
      <c r="K923" s="946" t="n"/>
      <c r="L923" s="176" t="n"/>
      <c r="M923" s="176" t="n"/>
      <c r="N923" s="176" t="n"/>
      <c r="O923" s="176" t="n"/>
      <c r="P923" s="176" t="n"/>
      <c r="Q923" s="176" t="n"/>
      <c r="R923" s="176" t="n"/>
      <c r="S923" s="176" t="n"/>
      <c r="T923" s="176" t="n"/>
      <c r="U923" s="176" t="n"/>
      <c r="V923" s="176" t="n"/>
      <c r="W923" s="176" t="n"/>
      <c r="X923" s="176" t="n"/>
      <c r="Y923" s="176" t="n"/>
      <c r="Z923" s="176" t="n"/>
      <c r="AA923" s="176" t="n"/>
      <c r="AB923" s="176" t="n"/>
    </row>
    <row r="924">
      <c r="A924" s="176" t="n"/>
      <c r="B924" s="176" t="n"/>
      <c r="C924" s="176" t="n"/>
      <c r="D924" s="176" t="n"/>
      <c r="E924" s="176" t="n"/>
      <c r="F924" s="213" t="n"/>
      <c r="G924" s="213" t="n"/>
      <c r="H924" s="213" t="n"/>
      <c r="I924" s="213" t="n"/>
      <c r="J924" s="213" t="n"/>
      <c r="K924" s="946" t="n"/>
      <c r="L924" s="176" t="n"/>
      <c r="M924" s="176" t="n"/>
      <c r="N924" s="176" t="n"/>
      <c r="O924" s="176" t="n"/>
      <c r="P924" s="176" t="n"/>
      <c r="Q924" s="176" t="n"/>
      <c r="R924" s="176" t="n"/>
      <c r="S924" s="176" t="n"/>
      <c r="T924" s="176" t="n"/>
      <c r="U924" s="176" t="n"/>
      <c r="V924" s="176" t="n"/>
      <c r="W924" s="176" t="n"/>
      <c r="X924" s="176" t="n"/>
      <c r="Y924" s="176" t="n"/>
      <c r="Z924" s="176" t="n"/>
      <c r="AA924" s="176" t="n"/>
      <c r="AB924" s="176" t="n"/>
    </row>
    <row r="925">
      <c r="A925" s="176" t="n"/>
      <c r="B925" s="176" t="n"/>
      <c r="C925" s="176" t="n"/>
      <c r="D925" s="176" t="n"/>
      <c r="E925" s="176" t="n"/>
      <c r="F925" s="213" t="n"/>
      <c r="G925" s="213" t="n"/>
      <c r="H925" s="213" t="n"/>
      <c r="I925" s="213" t="n"/>
      <c r="J925" s="213" t="n"/>
      <c r="K925" s="946" t="n"/>
      <c r="L925" s="176" t="n"/>
      <c r="M925" s="176" t="n"/>
      <c r="N925" s="176" t="n"/>
      <c r="O925" s="176" t="n"/>
      <c r="P925" s="176" t="n"/>
      <c r="Q925" s="176" t="n"/>
      <c r="R925" s="176" t="n"/>
      <c r="S925" s="176" t="n"/>
      <c r="T925" s="176" t="n"/>
      <c r="U925" s="176" t="n"/>
      <c r="V925" s="176" t="n"/>
      <c r="W925" s="176" t="n"/>
      <c r="X925" s="176" t="n"/>
      <c r="Y925" s="176" t="n"/>
      <c r="Z925" s="176" t="n"/>
      <c r="AA925" s="176" t="n"/>
      <c r="AB925" s="176" t="n"/>
    </row>
    <row r="926">
      <c r="A926" s="176" t="n"/>
      <c r="B926" s="176" t="n"/>
      <c r="C926" s="176" t="n"/>
      <c r="D926" s="176" t="n"/>
      <c r="E926" s="176" t="n"/>
      <c r="F926" s="213" t="n"/>
      <c r="G926" s="213" t="n"/>
      <c r="H926" s="213" t="n"/>
      <c r="I926" s="213" t="n"/>
      <c r="J926" s="213" t="n"/>
      <c r="K926" s="946" t="n"/>
      <c r="L926" s="176" t="n"/>
      <c r="M926" s="176" t="n"/>
      <c r="N926" s="176" t="n"/>
      <c r="O926" s="176" t="n"/>
      <c r="P926" s="176" t="n"/>
      <c r="Q926" s="176" t="n"/>
      <c r="R926" s="176" t="n"/>
      <c r="S926" s="176" t="n"/>
      <c r="T926" s="176" t="n"/>
      <c r="U926" s="176" t="n"/>
      <c r="V926" s="176" t="n"/>
      <c r="W926" s="176" t="n"/>
      <c r="X926" s="176" t="n"/>
      <c r="Y926" s="176" t="n"/>
      <c r="Z926" s="176" t="n"/>
      <c r="AA926" s="176" t="n"/>
      <c r="AB926" s="176" t="n"/>
    </row>
    <row r="927">
      <c r="A927" s="176" t="n"/>
      <c r="B927" s="176" t="n"/>
      <c r="C927" s="176" t="n"/>
      <c r="D927" s="176" t="n"/>
      <c r="E927" s="176" t="n"/>
      <c r="F927" s="213" t="n"/>
      <c r="G927" s="213" t="n"/>
      <c r="H927" s="213" t="n"/>
      <c r="I927" s="213" t="n"/>
      <c r="J927" s="213" t="n"/>
      <c r="K927" s="946" t="n"/>
      <c r="L927" s="176" t="n"/>
      <c r="M927" s="176" t="n"/>
      <c r="N927" s="176" t="n"/>
      <c r="O927" s="176" t="n"/>
      <c r="P927" s="176" t="n"/>
      <c r="Q927" s="176" t="n"/>
      <c r="R927" s="176" t="n"/>
      <c r="S927" s="176" t="n"/>
      <c r="T927" s="176" t="n"/>
      <c r="U927" s="176" t="n"/>
      <c r="V927" s="176" t="n"/>
      <c r="W927" s="176" t="n"/>
      <c r="X927" s="176" t="n"/>
      <c r="Y927" s="176" t="n"/>
      <c r="Z927" s="176" t="n"/>
      <c r="AA927" s="176" t="n"/>
      <c r="AB927" s="176" t="n"/>
    </row>
    <row r="928">
      <c r="A928" s="176" t="n"/>
      <c r="B928" s="176" t="n"/>
      <c r="C928" s="176" t="n"/>
      <c r="D928" s="176" t="n"/>
      <c r="E928" s="176" t="n"/>
      <c r="F928" s="213" t="n"/>
      <c r="G928" s="213" t="n"/>
      <c r="H928" s="213" t="n"/>
      <c r="I928" s="213" t="n"/>
      <c r="J928" s="213" t="n"/>
      <c r="K928" s="946" t="n"/>
      <c r="L928" s="176" t="n"/>
      <c r="M928" s="176" t="n"/>
      <c r="N928" s="176" t="n"/>
      <c r="O928" s="176" t="n"/>
      <c r="P928" s="176" t="n"/>
      <c r="Q928" s="176" t="n"/>
      <c r="R928" s="176" t="n"/>
      <c r="S928" s="176" t="n"/>
      <c r="T928" s="176" t="n"/>
      <c r="U928" s="176" t="n"/>
      <c r="V928" s="176" t="n"/>
      <c r="W928" s="176" t="n"/>
      <c r="X928" s="176" t="n"/>
      <c r="Y928" s="176" t="n"/>
      <c r="Z928" s="176" t="n"/>
      <c r="AA928" s="176" t="n"/>
      <c r="AB928" s="176" t="n"/>
    </row>
    <row r="929">
      <c r="A929" s="176" t="n"/>
      <c r="B929" s="176" t="n"/>
      <c r="C929" s="176" t="n"/>
      <c r="D929" s="176" t="n"/>
      <c r="E929" s="176" t="n"/>
      <c r="F929" s="213" t="n"/>
      <c r="G929" s="213" t="n"/>
      <c r="H929" s="213" t="n"/>
      <c r="I929" s="213" t="n"/>
      <c r="J929" s="213" t="n"/>
      <c r="K929" s="946" t="n"/>
      <c r="L929" s="176" t="n"/>
      <c r="M929" s="176" t="n"/>
      <c r="N929" s="176" t="n"/>
      <c r="O929" s="176" t="n"/>
      <c r="P929" s="176" t="n"/>
      <c r="Q929" s="176" t="n"/>
      <c r="R929" s="176" t="n"/>
      <c r="S929" s="176" t="n"/>
      <c r="T929" s="176" t="n"/>
      <c r="U929" s="176" t="n"/>
      <c r="V929" s="176" t="n"/>
      <c r="W929" s="176" t="n"/>
      <c r="X929" s="176" t="n"/>
      <c r="Y929" s="176" t="n"/>
      <c r="Z929" s="176" t="n"/>
      <c r="AA929" s="176" t="n"/>
      <c r="AB929" s="176" t="n"/>
    </row>
    <row r="930">
      <c r="A930" s="176" t="n"/>
      <c r="B930" s="176" t="n"/>
      <c r="C930" s="176" t="n"/>
      <c r="D930" s="176" t="n"/>
      <c r="E930" s="176" t="n"/>
      <c r="F930" s="213" t="n"/>
      <c r="G930" s="213" t="n"/>
      <c r="H930" s="213" t="n"/>
      <c r="I930" s="213" t="n"/>
      <c r="J930" s="213" t="n"/>
      <c r="K930" s="946" t="n"/>
      <c r="L930" s="176" t="n"/>
      <c r="M930" s="176" t="n"/>
      <c r="N930" s="176" t="n"/>
      <c r="O930" s="176" t="n"/>
      <c r="P930" s="176" t="n"/>
      <c r="Q930" s="176" t="n"/>
      <c r="R930" s="176" t="n"/>
      <c r="S930" s="176" t="n"/>
      <c r="T930" s="176" t="n"/>
      <c r="U930" s="176" t="n"/>
      <c r="V930" s="176" t="n"/>
      <c r="W930" s="176" t="n"/>
      <c r="X930" s="176" t="n"/>
      <c r="Y930" s="176" t="n"/>
      <c r="Z930" s="176" t="n"/>
      <c r="AA930" s="176" t="n"/>
      <c r="AB930" s="176" t="n"/>
    </row>
    <row r="931">
      <c r="A931" s="176" t="n"/>
      <c r="B931" s="176" t="n"/>
      <c r="C931" s="176" t="n"/>
      <c r="D931" s="176" t="n"/>
      <c r="E931" s="176" t="n"/>
      <c r="F931" s="213" t="n"/>
      <c r="G931" s="213" t="n"/>
      <c r="H931" s="213" t="n"/>
      <c r="I931" s="213" t="n"/>
      <c r="J931" s="213" t="n"/>
      <c r="K931" s="946" t="n"/>
      <c r="L931" s="176" t="n"/>
      <c r="M931" s="176" t="n"/>
      <c r="N931" s="176" t="n"/>
      <c r="O931" s="176" t="n"/>
      <c r="P931" s="176" t="n"/>
      <c r="Q931" s="176" t="n"/>
      <c r="R931" s="176" t="n"/>
      <c r="S931" s="176" t="n"/>
      <c r="T931" s="176" t="n"/>
      <c r="U931" s="176" t="n"/>
      <c r="V931" s="176" t="n"/>
      <c r="W931" s="176" t="n"/>
      <c r="X931" s="176" t="n"/>
      <c r="Y931" s="176" t="n"/>
      <c r="Z931" s="176" t="n"/>
      <c r="AA931" s="176" t="n"/>
      <c r="AB931" s="176" t="n"/>
    </row>
    <row r="932">
      <c r="A932" s="176" t="n"/>
      <c r="B932" s="176" t="n"/>
      <c r="C932" s="176" t="n"/>
      <c r="D932" s="176" t="n"/>
      <c r="E932" s="176" t="n"/>
      <c r="F932" s="213" t="n"/>
      <c r="G932" s="213" t="n"/>
      <c r="H932" s="213" t="n"/>
      <c r="I932" s="213" t="n"/>
      <c r="J932" s="213" t="n"/>
      <c r="K932" s="946" t="n"/>
      <c r="L932" s="176" t="n"/>
      <c r="M932" s="176" t="n"/>
      <c r="N932" s="176" t="n"/>
      <c r="O932" s="176" t="n"/>
      <c r="P932" s="176" t="n"/>
      <c r="Q932" s="176" t="n"/>
      <c r="R932" s="176" t="n"/>
      <c r="S932" s="176" t="n"/>
      <c r="T932" s="176" t="n"/>
      <c r="U932" s="176" t="n"/>
      <c r="V932" s="176" t="n"/>
      <c r="W932" s="176" t="n"/>
      <c r="X932" s="176" t="n"/>
      <c r="Y932" s="176" t="n"/>
      <c r="Z932" s="176" t="n"/>
      <c r="AA932" s="176" t="n"/>
      <c r="AB932" s="176" t="n"/>
    </row>
    <row r="933">
      <c r="A933" s="176" t="n"/>
      <c r="B933" s="176" t="n"/>
      <c r="C933" s="176" t="n"/>
      <c r="D933" s="176" t="n"/>
      <c r="E933" s="176" t="n"/>
      <c r="F933" s="213" t="n"/>
      <c r="G933" s="213" t="n"/>
      <c r="H933" s="213" t="n"/>
      <c r="I933" s="213" t="n"/>
      <c r="J933" s="213" t="n"/>
      <c r="K933" s="946" t="n"/>
      <c r="L933" s="176" t="n"/>
      <c r="M933" s="176" t="n"/>
      <c r="N933" s="176" t="n"/>
      <c r="O933" s="176" t="n"/>
      <c r="P933" s="176" t="n"/>
      <c r="Q933" s="176" t="n"/>
      <c r="R933" s="176" t="n"/>
      <c r="S933" s="176" t="n"/>
      <c r="T933" s="176" t="n"/>
      <c r="U933" s="176" t="n"/>
      <c r="V933" s="176" t="n"/>
      <c r="W933" s="176" t="n"/>
      <c r="X933" s="176" t="n"/>
      <c r="Y933" s="176" t="n"/>
      <c r="Z933" s="176" t="n"/>
      <c r="AA933" s="176" t="n"/>
      <c r="AB933" s="176" t="n"/>
    </row>
    <row r="934">
      <c r="A934" s="176" t="n"/>
      <c r="B934" s="176" t="n"/>
      <c r="C934" s="176" t="n"/>
      <c r="D934" s="176" t="n"/>
      <c r="E934" s="176" t="n"/>
      <c r="F934" s="213" t="n"/>
      <c r="G934" s="213" t="n"/>
      <c r="H934" s="213" t="n"/>
      <c r="I934" s="213" t="n"/>
      <c r="J934" s="213" t="n"/>
      <c r="K934" s="946" t="n"/>
      <c r="L934" s="176" t="n"/>
      <c r="M934" s="176" t="n"/>
      <c r="N934" s="176" t="n"/>
      <c r="O934" s="176" t="n"/>
      <c r="P934" s="176" t="n"/>
      <c r="Q934" s="176" t="n"/>
      <c r="R934" s="176" t="n"/>
      <c r="S934" s="176" t="n"/>
      <c r="T934" s="176" t="n"/>
      <c r="U934" s="176" t="n"/>
      <c r="V934" s="176" t="n"/>
      <c r="W934" s="176" t="n"/>
      <c r="X934" s="176" t="n"/>
      <c r="Y934" s="176" t="n"/>
      <c r="Z934" s="176" t="n"/>
      <c r="AA934" s="176" t="n"/>
      <c r="AB934" s="176" t="n"/>
    </row>
    <row r="935">
      <c r="A935" s="176" t="n"/>
      <c r="B935" s="176" t="n"/>
      <c r="C935" s="176" t="n"/>
      <c r="D935" s="176" t="n"/>
      <c r="E935" s="176" t="n"/>
      <c r="F935" s="213" t="n"/>
      <c r="G935" s="213" t="n"/>
      <c r="H935" s="213" t="n"/>
      <c r="I935" s="213" t="n"/>
      <c r="J935" s="213" t="n"/>
      <c r="K935" s="946" t="n"/>
      <c r="L935" s="176" t="n"/>
      <c r="M935" s="176" t="n"/>
      <c r="N935" s="176" t="n"/>
      <c r="O935" s="176" t="n"/>
      <c r="P935" s="176" t="n"/>
      <c r="Q935" s="176" t="n"/>
      <c r="R935" s="176" t="n"/>
      <c r="S935" s="176" t="n"/>
      <c r="T935" s="176" t="n"/>
      <c r="U935" s="176" t="n"/>
      <c r="V935" s="176" t="n"/>
      <c r="W935" s="176" t="n"/>
      <c r="X935" s="176" t="n"/>
      <c r="Y935" s="176" t="n"/>
      <c r="Z935" s="176" t="n"/>
      <c r="AA935" s="176" t="n"/>
      <c r="AB935" s="176" t="n"/>
    </row>
    <row r="936">
      <c r="A936" s="176" t="n"/>
      <c r="B936" s="176" t="n"/>
      <c r="C936" s="176" t="n"/>
      <c r="D936" s="176" t="n"/>
      <c r="E936" s="176" t="n"/>
      <c r="F936" s="213" t="n"/>
      <c r="G936" s="213" t="n"/>
      <c r="H936" s="213" t="n"/>
      <c r="I936" s="213" t="n"/>
      <c r="J936" s="213" t="n"/>
      <c r="K936" s="946" t="n"/>
      <c r="L936" s="176" t="n"/>
      <c r="M936" s="176" t="n"/>
      <c r="N936" s="176" t="n"/>
      <c r="O936" s="176" t="n"/>
      <c r="P936" s="176" t="n"/>
      <c r="Q936" s="176" t="n"/>
      <c r="R936" s="176" t="n"/>
      <c r="S936" s="176" t="n"/>
      <c r="T936" s="176" t="n"/>
      <c r="U936" s="176" t="n"/>
      <c r="V936" s="176" t="n"/>
      <c r="W936" s="176" t="n"/>
      <c r="X936" s="176" t="n"/>
      <c r="Y936" s="176" t="n"/>
      <c r="Z936" s="176" t="n"/>
      <c r="AA936" s="176" t="n"/>
      <c r="AB936" s="176" t="n"/>
    </row>
    <row r="937">
      <c r="A937" s="176" t="n"/>
      <c r="B937" s="176" t="n"/>
      <c r="C937" s="176" t="n"/>
      <c r="D937" s="176" t="n"/>
      <c r="E937" s="176" t="n"/>
      <c r="F937" s="213" t="n"/>
      <c r="G937" s="213" t="n"/>
      <c r="H937" s="213" t="n"/>
      <c r="I937" s="213" t="n"/>
      <c r="J937" s="213" t="n"/>
      <c r="K937" s="946" t="n"/>
      <c r="L937" s="176" t="n"/>
      <c r="M937" s="176" t="n"/>
      <c r="N937" s="176" t="n"/>
      <c r="O937" s="176" t="n"/>
      <c r="P937" s="176" t="n"/>
      <c r="Q937" s="176" t="n"/>
      <c r="R937" s="176" t="n"/>
      <c r="S937" s="176" t="n"/>
      <c r="T937" s="176" t="n"/>
      <c r="U937" s="176" t="n"/>
      <c r="V937" s="176" t="n"/>
      <c r="W937" s="176" t="n"/>
      <c r="X937" s="176" t="n"/>
      <c r="Y937" s="176" t="n"/>
      <c r="Z937" s="176" t="n"/>
      <c r="AA937" s="176" t="n"/>
      <c r="AB937" s="176" t="n"/>
    </row>
    <row r="938">
      <c r="A938" s="176" t="n"/>
      <c r="B938" s="176" t="n"/>
      <c r="C938" s="176" t="n"/>
      <c r="D938" s="176" t="n"/>
      <c r="E938" s="176" t="n"/>
      <c r="F938" s="213" t="n"/>
      <c r="G938" s="213" t="n"/>
      <c r="H938" s="213" t="n"/>
      <c r="I938" s="213" t="n"/>
      <c r="J938" s="213" t="n"/>
      <c r="K938" s="946" t="n"/>
      <c r="L938" s="176" t="n"/>
      <c r="M938" s="176" t="n"/>
      <c r="N938" s="176" t="n"/>
      <c r="O938" s="176" t="n"/>
      <c r="P938" s="176" t="n"/>
      <c r="Q938" s="176" t="n"/>
      <c r="R938" s="176" t="n"/>
      <c r="S938" s="176" t="n"/>
      <c r="T938" s="176" t="n"/>
      <c r="U938" s="176" t="n"/>
      <c r="V938" s="176" t="n"/>
      <c r="W938" s="176" t="n"/>
      <c r="X938" s="176" t="n"/>
      <c r="Y938" s="176" t="n"/>
      <c r="Z938" s="176" t="n"/>
      <c r="AA938" s="176" t="n"/>
      <c r="AB938" s="176" t="n"/>
    </row>
    <row r="939">
      <c r="A939" s="176" t="n"/>
      <c r="B939" s="176" t="n"/>
      <c r="C939" s="176" t="n"/>
      <c r="D939" s="176" t="n"/>
      <c r="E939" s="176" t="n"/>
      <c r="F939" s="213" t="n"/>
      <c r="G939" s="213" t="n"/>
      <c r="H939" s="213" t="n"/>
      <c r="I939" s="213" t="n"/>
      <c r="J939" s="213" t="n"/>
      <c r="K939" s="946" t="n"/>
      <c r="L939" s="176" t="n"/>
      <c r="M939" s="176" t="n"/>
      <c r="N939" s="176" t="n"/>
      <c r="O939" s="176" t="n"/>
      <c r="P939" s="176" t="n"/>
      <c r="Q939" s="176" t="n"/>
      <c r="R939" s="176" t="n"/>
      <c r="S939" s="176" t="n"/>
      <c r="T939" s="176" t="n"/>
      <c r="U939" s="176" t="n"/>
      <c r="V939" s="176" t="n"/>
      <c r="W939" s="176" t="n"/>
      <c r="X939" s="176" t="n"/>
      <c r="Y939" s="176" t="n"/>
      <c r="Z939" s="176" t="n"/>
      <c r="AA939" s="176" t="n"/>
      <c r="AB939" s="176" t="n"/>
    </row>
    <row r="940">
      <c r="A940" s="176" t="n"/>
      <c r="B940" s="176" t="n"/>
      <c r="C940" s="176" t="n"/>
      <c r="D940" s="176" t="n"/>
      <c r="E940" s="176" t="n"/>
      <c r="F940" s="213" t="n"/>
      <c r="G940" s="213" t="n"/>
      <c r="H940" s="213" t="n"/>
      <c r="I940" s="213" t="n"/>
      <c r="J940" s="213" t="n"/>
      <c r="K940" s="946" t="n"/>
      <c r="L940" s="176" t="n"/>
      <c r="M940" s="176" t="n"/>
      <c r="N940" s="176" t="n"/>
      <c r="O940" s="176" t="n"/>
      <c r="P940" s="176" t="n"/>
      <c r="Q940" s="176" t="n"/>
      <c r="R940" s="176" t="n"/>
      <c r="S940" s="176" t="n"/>
      <c r="T940" s="176" t="n"/>
      <c r="U940" s="176" t="n"/>
      <c r="V940" s="176" t="n"/>
      <c r="W940" s="176" t="n"/>
      <c r="X940" s="176" t="n"/>
      <c r="Y940" s="176" t="n"/>
      <c r="Z940" s="176" t="n"/>
      <c r="AA940" s="176" t="n"/>
      <c r="AB940" s="176" t="n"/>
    </row>
    <row r="941">
      <c r="A941" s="176" t="n"/>
      <c r="B941" s="176" t="n"/>
      <c r="C941" s="176" t="n"/>
      <c r="D941" s="176" t="n"/>
      <c r="E941" s="176" t="n"/>
      <c r="F941" s="213" t="n"/>
      <c r="G941" s="213" t="n"/>
      <c r="H941" s="213" t="n"/>
      <c r="I941" s="213" t="n"/>
      <c r="J941" s="213" t="n"/>
      <c r="K941" s="946" t="n"/>
      <c r="L941" s="176" t="n"/>
      <c r="M941" s="176" t="n"/>
      <c r="N941" s="176" t="n"/>
      <c r="O941" s="176" t="n"/>
      <c r="P941" s="176" t="n"/>
      <c r="Q941" s="176" t="n"/>
      <c r="R941" s="176" t="n"/>
      <c r="S941" s="176" t="n"/>
      <c r="T941" s="176" t="n"/>
      <c r="U941" s="176" t="n"/>
      <c r="V941" s="176" t="n"/>
      <c r="W941" s="176" t="n"/>
      <c r="X941" s="176" t="n"/>
      <c r="Y941" s="176" t="n"/>
      <c r="Z941" s="176" t="n"/>
      <c r="AA941" s="176" t="n"/>
      <c r="AB941" s="176" t="n"/>
    </row>
    <row r="942">
      <c r="A942" s="176" t="n"/>
      <c r="B942" s="176" t="n"/>
      <c r="C942" s="176" t="n"/>
      <c r="D942" s="176" t="n"/>
      <c r="E942" s="176" t="n"/>
      <c r="F942" s="213" t="n"/>
      <c r="G942" s="213" t="n"/>
      <c r="H942" s="213" t="n"/>
      <c r="I942" s="213" t="n"/>
      <c r="J942" s="213" t="n"/>
      <c r="K942" s="946" t="n"/>
      <c r="L942" s="176" t="n"/>
      <c r="M942" s="176" t="n"/>
      <c r="N942" s="176" t="n"/>
      <c r="O942" s="176" t="n"/>
      <c r="P942" s="176" t="n"/>
      <c r="Q942" s="176" t="n"/>
      <c r="R942" s="176" t="n"/>
      <c r="S942" s="176" t="n"/>
      <c r="T942" s="176" t="n"/>
      <c r="U942" s="176" t="n"/>
      <c r="V942" s="176" t="n"/>
      <c r="W942" s="176" t="n"/>
      <c r="X942" s="176" t="n"/>
      <c r="Y942" s="176" t="n"/>
      <c r="Z942" s="176" t="n"/>
      <c r="AA942" s="176" t="n"/>
      <c r="AB942" s="176" t="n"/>
    </row>
    <row r="943">
      <c r="A943" s="176" t="n"/>
      <c r="B943" s="176" t="n"/>
      <c r="C943" s="176" t="n"/>
      <c r="D943" s="176" t="n"/>
      <c r="E943" s="176" t="n"/>
      <c r="F943" s="213" t="n"/>
      <c r="G943" s="213" t="n"/>
      <c r="H943" s="213" t="n"/>
      <c r="I943" s="213" t="n"/>
      <c r="J943" s="213" t="n"/>
      <c r="K943" s="946" t="n"/>
      <c r="L943" s="176" t="n"/>
      <c r="M943" s="176" t="n"/>
      <c r="N943" s="176" t="n"/>
      <c r="O943" s="176" t="n"/>
      <c r="P943" s="176" t="n"/>
      <c r="Q943" s="176" t="n"/>
      <c r="R943" s="176" t="n"/>
      <c r="S943" s="176" t="n"/>
      <c r="T943" s="176" t="n"/>
      <c r="U943" s="176" t="n"/>
      <c r="V943" s="176" t="n"/>
      <c r="W943" s="176" t="n"/>
      <c r="X943" s="176" t="n"/>
      <c r="Y943" s="176" t="n"/>
      <c r="Z943" s="176" t="n"/>
      <c r="AA943" s="176" t="n"/>
      <c r="AB943" s="176" t="n"/>
    </row>
    <row r="944">
      <c r="A944" s="176" t="n"/>
      <c r="B944" s="176" t="n"/>
      <c r="C944" s="176" t="n"/>
      <c r="D944" s="176" t="n"/>
      <c r="E944" s="176" t="n"/>
      <c r="F944" s="213" t="n"/>
      <c r="G944" s="213" t="n"/>
      <c r="H944" s="213" t="n"/>
      <c r="I944" s="213" t="n"/>
      <c r="J944" s="213" t="n"/>
      <c r="K944" s="946" t="n"/>
      <c r="L944" s="176" t="n"/>
      <c r="M944" s="176" t="n"/>
      <c r="N944" s="176" t="n"/>
      <c r="O944" s="176" t="n"/>
      <c r="P944" s="176" t="n"/>
      <c r="Q944" s="176" t="n"/>
      <c r="R944" s="176" t="n"/>
      <c r="S944" s="176" t="n"/>
      <c r="T944" s="176" t="n"/>
      <c r="U944" s="176" t="n"/>
      <c r="V944" s="176" t="n"/>
      <c r="W944" s="176" t="n"/>
      <c r="X944" s="176" t="n"/>
      <c r="Y944" s="176" t="n"/>
      <c r="Z944" s="176" t="n"/>
      <c r="AA944" s="176" t="n"/>
      <c r="AB944" s="176" t="n"/>
    </row>
    <row r="945">
      <c r="A945" s="176" t="n"/>
      <c r="B945" s="176" t="n"/>
      <c r="C945" s="176" t="n"/>
      <c r="D945" s="176" t="n"/>
      <c r="E945" s="176" t="n"/>
      <c r="F945" s="213" t="n"/>
      <c r="G945" s="213" t="n"/>
      <c r="H945" s="213" t="n"/>
      <c r="I945" s="213" t="n"/>
      <c r="J945" s="213" t="n"/>
      <c r="K945" s="946" t="n"/>
      <c r="L945" s="176" t="n"/>
      <c r="M945" s="176" t="n"/>
      <c r="N945" s="176" t="n"/>
      <c r="O945" s="176" t="n"/>
      <c r="P945" s="176" t="n"/>
      <c r="Q945" s="176" t="n"/>
      <c r="R945" s="176" t="n"/>
      <c r="S945" s="176" t="n"/>
      <c r="T945" s="176" t="n"/>
      <c r="U945" s="176" t="n"/>
      <c r="V945" s="176" t="n"/>
      <c r="W945" s="176" t="n"/>
      <c r="X945" s="176" t="n"/>
      <c r="Y945" s="176" t="n"/>
      <c r="Z945" s="176" t="n"/>
      <c r="AA945" s="176" t="n"/>
      <c r="AB945" s="176" t="n"/>
    </row>
    <row r="946">
      <c r="A946" s="176" t="n"/>
      <c r="B946" s="176" t="n"/>
      <c r="C946" s="176" t="n"/>
      <c r="D946" s="176" t="n"/>
      <c r="E946" s="176" t="n"/>
      <c r="F946" s="213" t="n"/>
      <c r="G946" s="213" t="n"/>
      <c r="H946" s="213" t="n"/>
      <c r="I946" s="213" t="n"/>
      <c r="J946" s="213" t="n"/>
      <c r="K946" s="946" t="n"/>
      <c r="L946" s="176" t="n"/>
      <c r="M946" s="176" t="n"/>
      <c r="N946" s="176" t="n"/>
      <c r="O946" s="176" t="n"/>
      <c r="P946" s="176" t="n"/>
      <c r="Q946" s="176" t="n"/>
      <c r="R946" s="176" t="n"/>
      <c r="S946" s="176" t="n"/>
      <c r="T946" s="176" t="n"/>
      <c r="U946" s="176" t="n"/>
      <c r="V946" s="176" t="n"/>
      <c r="W946" s="176" t="n"/>
      <c r="X946" s="176" t="n"/>
      <c r="Y946" s="176" t="n"/>
      <c r="Z946" s="176" t="n"/>
      <c r="AA946" s="176" t="n"/>
      <c r="AB946" s="176" t="n"/>
    </row>
    <row r="947">
      <c r="A947" s="176" t="n"/>
      <c r="B947" s="176" t="n"/>
      <c r="C947" s="176" t="n"/>
      <c r="D947" s="176" t="n"/>
      <c r="E947" s="176" t="n"/>
      <c r="F947" s="213" t="n"/>
      <c r="G947" s="213" t="n"/>
      <c r="H947" s="213" t="n"/>
      <c r="I947" s="213" t="n"/>
      <c r="J947" s="213" t="n"/>
      <c r="K947" s="946" t="n"/>
      <c r="L947" s="176" t="n"/>
      <c r="M947" s="176" t="n"/>
      <c r="N947" s="176" t="n"/>
      <c r="O947" s="176" t="n"/>
      <c r="P947" s="176" t="n"/>
      <c r="Q947" s="176" t="n"/>
      <c r="R947" s="176" t="n"/>
      <c r="S947" s="176" t="n"/>
      <c r="T947" s="176" t="n"/>
      <c r="U947" s="176" t="n"/>
      <c r="V947" s="176" t="n"/>
      <c r="W947" s="176" t="n"/>
      <c r="X947" s="176" t="n"/>
      <c r="Y947" s="176" t="n"/>
      <c r="Z947" s="176" t="n"/>
      <c r="AA947" s="176" t="n"/>
      <c r="AB947" s="176" t="n"/>
    </row>
    <row r="948">
      <c r="A948" s="176" t="n"/>
      <c r="B948" s="176" t="n"/>
      <c r="C948" s="176" t="n"/>
      <c r="D948" s="176" t="n"/>
      <c r="E948" s="176" t="n"/>
      <c r="F948" s="213" t="n"/>
      <c r="G948" s="213" t="n"/>
      <c r="H948" s="213" t="n"/>
      <c r="I948" s="213" t="n"/>
      <c r="J948" s="213" t="n"/>
      <c r="K948" s="946" t="n"/>
      <c r="L948" s="176" t="n"/>
      <c r="M948" s="176" t="n"/>
      <c r="N948" s="176" t="n"/>
      <c r="O948" s="176" t="n"/>
      <c r="P948" s="176" t="n"/>
      <c r="Q948" s="176" t="n"/>
      <c r="R948" s="176" t="n"/>
      <c r="S948" s="176" t="n"/>
      <c r="T948" s="176" t="n"/>
      <c r="U948" s="176" t="n"/>
      <c r="V948" s="176" t="n"/>
      <c r="W948" s="176" t="n"/>
      <c r="X948" s="176" t="n"/>
      <c r="Y948" s="176" t="n"/>
      <c r="Z948" s="176" t="n"/>
      <c r="AA948" s="176" t="n"/>
      <c r="AB948" s="176" t="n"/>
    </row>
    <row r="949">
      <c r="A949" s="176" t="n"/>
      <c r="B949" s="176" t="n"/>
      <c r="C949" s="176" t="n"/>
      <c r="D949" s="176" t="n"/>
      <c r="E949" s="176" t="n"/>
      <c r="F949" s="213" t="n"/>
      <c r="G949" s="213" t="n"/>
      <c r="H949" s="213" t="n"/>
      <c r="I949" s="213" t="n"/>
      <c r="J949" s="213" t="n"/>
      <c r="K949" s="946" t="n"/>
      <c r="L949" s="176" t="n"/>
      <c r="M949" s="176" t="n"/>
      <c r="N949" s="176" t="n"/>
      <c r="O949" s="176" t="n"/>
      <c r="P949" s="176" t="n"/>
      <c r="Q949" s="176" t="n"/>
      <c r="R949" s="176" t="n"/>
      <c r="S949" s="176" t="n"/>
      <c r="T949" s="176" t="n"/>
      <c r="U949" s="176" t="n"/>
      <c r="V949" s="176" t="n"/>
      <c r="W949" s="176" t="n"/>
      <c r="X949" s="176" t="n"/>
      <c r="Y949" s="176" t="n"/>
      <c r="Z949" s="176" t="n"/>
      <c r="AA949" s="176" t="n"/>
      <c r="AB949" s="176" t="n"/>
    </row>
    <row r="950">
      <c r="A950" s="176" t="n"/>
      <c r="B950" s="176" t="n"/>
      <c r="C950" s="176" t="n"/>
      <c r="D950" s="176" t="n"/>
      <c r="E950" s="176" t="n"/>
      <c r="F950" s="213" t="n"/>
      <c r="G950" s="213" t="n"/>
      <c r="H950" s="213" t="n"/>
      <c r="I950" s="213" t="n"/>
      <c r="J950" s="213" t="n"/>
      <c r="K950" s="946" t="n"/>
      <c r="L950" s="176" t="n"/>
      <c r="M950" s="176" t="n"/>
      <c r="N950" s="176" t="n"/>
      <c r="O950" s="176" t="n"/>
      <c r="P950" s="176" t="n"/>
      <c r="Q950" s="176" t="n"/>
      <c r="R950" s="176" t="n"/>
      <c r="S950" s="176" t="n"/>
      <c r="T950" s="176" t="n"/>
      <c r="U950" s="176" t="n"/>
      <c r="V950" s="176" t="n"/>
      <c r="W950" s="176" t="n"/>
      <c r="X950" s="176" t="n"/>
      <c r="Y950" s="176" t="n"/>
      <c r="Z950" s="176" t="n"/>
      <c r="AA950" s="176" t="n"/>
      <c r="AB950" s="176" t="n"/>
    </row>
    <row r="951">
      <c r="A951" s="176" t="n"/>
      <c r="B951" s="176" t="n"/>
      <c r="C951" s="176" t="n"/>
      <c r="D951" s="176" t="n"/>
      <c r="E951" s="176" t="n"/>
      <c r="F951" s="213" t="n"/>
      <c r="G951" s="213" t="n"/>
      <c r="H951" s="213" t="n"/>
      <c r="I951" s="213" t="n"/>
      <c r="J951" s="213" t="n"/>
      <c r="K951" s="946" t="n"/>
      <c r="L951" s="176" t="n"/>
      <c r="M951" s="176" t="n"/>
      <c r="N951" s="176" t="n"/>
      <c r="O951" s="176" t="n"/>
      <c r="P951" s="176" t="n"/>
      <c r="Q951" s="176" t="n"/>
      <c r="R951" s="176" t="n"/>
      <c r="S951" s="176" t="n"/>
      <c r="T951" s="176" t="n"/>
      <c r="U951" s="176" t="n"/>
      <c r="V951" s="176" t="n"/>
      <c r="W951" s="176" t="n"/>
      <c r="X951" s="176" t="n"/>
      <c r="Y951" s="176" t="n"/>
      <c r="Z951" s="176" t="n"/>
      <c r="AA951" s="176" t="n"/>
      <c r="AB951" s="176" t="n"/>
    </row>
    <row r="952">
      <c r="A952" s="176" t="n"/>
      <c r="B952" s="176" t="n"/>
      <c r="C952" s="176" t="n"/>
      <c r="D952" s="176" t="n"/>
      <c r="E952" s="176" t="n"/>
      <c r="F952" s="213" t="n"/>
      <c r="G952" s="213" t="n"/>
      <c r="H952" s="213" t="n"/>
      <c r="I952" s="213" t="n"/>
      <c r="J952" s="213" t="n"/>
      <c r="K952" s="946" t="n"/>
      <c r="L952" s="176" t="n"/>
      <c r="M952" s="176" t="n"/>
      <c r="N952" s="176" t="n"/>
      <c r="O952" s="176" t="n"/>
      <c r="P952" s="176" t="n"/>
      <c r="Q952" s="176" t="n"/>
      <c r="R952" s="176" t="n"/>
      <c r="S952" s="176" t="n"/>
      <c r="T952" s="176" t="n"/>
      <c r="U952" s="176" t="n"/>
      <c r="V952" s="176" t="n"/>
      <c r="W952" s="176" t="n"/>
      <c r="X952" s="176" t="n"/>
      <c r="Y952" s="176" t="n"/>
      <c r="Z952" s="176" t="n"/>
      <c r="AA952" s="176" t="n"/>
      <c r="AB952" s="176" t="n"/>
    </row>
    <row r="953">
      <c r="A953" s="176" t="n"/>
      <c r="B953" s="176" t="n"/>
      <c r="C953" s="176" t="n"/>
      <c r="D953" s="176" t="n"/>
      <c r="E953" s="176" t="n"/>
      <c r="F953" s="213" t="n"/>
      <c r="G953" s="213" t="n"/>
      <c r="H953" s="213" t="n"/>
      <c r="I953" s="213" t="n"/>
      <c r="J953" s="213" t="n"/>
      <c r="K953" s="946" t="n"/>
      <c r="L953" s="176" t="n"/>
      <c r="M953" s="176" t="n"/>
      <c r="N953" s="176" t="n"/>
      <c r="O953" s="176" t="n"/>
      <c r="P953" s="176" t="n"/>
      <c r="Q953" s="176" t="n"/>
      <c r="R953" s="176" t="n"/>
      <c r="S953" s="176" t="n"/>
      <c r="T953" s="176" t="n"/>
      <c r="U953" s="176" t="n"/>
      <c r="V953" s="176" t="n"/>
      <c r="W953" s="176" t="n"/>
      <c r="X953" s="176" t="n"/>
      <c r="Y953" s="176" t="n"/>
      <c r="Z953" s="176" t="n"/>
      <c r="AA953" s="176" t="n"/>
      <c r="AB953" s="176" t="n"/>
    </row>
    <row r="954">
      <c r="A954" s="176" t="n"/>
      <c r="B954" s="176" t="n"/>
      <c r="C954" s="176" t="n"/>
      <c r="D954" s="176" t="n"/>
      <c r="E954" s="176" t="n"/>
      <c r="F954" s="213" t="n"/>
      <c r="G954" s="213" t="n"/>
      <c r="H954" s="213" t="n"/>
      <c r="I954" s="213" t="n"/>
      <c r="J954" s="213" t="n"/>
      <c r="K954" s="946" t="n"/>
      <c r="L954" s="176" t="n"/>
      <c r="M954" s="176" t="n"/>
      <c r="N954" s="176" t="n"/>
      <c r="O954" s="176" t="n"/>
      <c r="P954" s="176" t="n"/>
      <c r="Q954" s="176" t="n"/>
      <c r="R954" s="176" t="n"/>
      <c r="S954" s="176" t="n"/>
      <c r="T954" s="176" t="n"/>
      <c r="U954" s="176" t="n"/>
      <c r="V954" s="176" t="n"/>
      <c r="W954" s="176" t="n"/>
      <c r="X954" s="176" t="n"/>
      <c r="Y954" s="176" t="n"/>
      <c r="Z954" s="176" t="n"/>
      <c r="AA954" s="176" t="n"/>
      <c r="AB954" s="176" t="n"/>
    </row>
    <row r="955">
      <c r="A955" s="176" t="n"/>
      <c r="B955" s="176" t="n"/>
      <c r="C955" s="176" t="n"/>
      <c r="D955" s="176" t="n"/>
      <c r="E955" s="176" t="n"/>
      <c r="F955" s="213" t="n"/>
      <c r="G955" s="213" t="n"/>
      <c r="H955" s="213" t="n"/>
      <c r="I955" s="213" t="n"/>
      <c r="J955" s="213" t="n"/>
      <c r="K955" s="946" t="n"/>
      <c r="L955" s="176" t="n"/>
      <c r="M955" s="176" t="n"/>
      <c r="N955" s="176" t="n"/>
      <c r="O955" s="176" t="n"/>
      <c r="P955" s="176" t="n"/>
      <c r="Q955" s="176" t="n"/>
      <c r="R955" s="176" t="n"/>
      <c r="S955" s="176" t="n"/>
      <c r="T955" s="176" t="n"/>
      <c r="U955" s="176" t="n"/>
      <c r="V955" s="176" t="n"/>
      <c r="W955" s="176" t="n"/>
      <c r="X955" s="176" t="n"/>
      <c r="Y955" s="176" t="n"/>
      <c r="Z955" s="176" t="n"/>
      <c r="AA955" s="176" t="n"/>
      <c r="AB955" s="176" t="n"/>
    </row>
    <row r="956">
      <c r="A956" s="176" t="n"/>
      <c r="B956" s="176" t="n"/>
      <c r="C956" s="176" t="n"/>
      <c r="D956" s="176" t="n"/>
      <c r="E956" s="176" t="n"/>
      <c r="F956" s="213" t="n"/>
      <c r="G956" s="213" t="n"/>
      <c r="H956" s="213" t="n"/>
      <c r="I956" s="213" t="n"/>
      <c r="J956" s="213" t="n"/>
      <c r="K956" s="946" t="n"/>
      <c r="L956" s="176" t="n"/>
      <c r="M956" s="176" t="n"/>
      <c r="N956" s="176" t="n"/>
      <c r="O956" s="176" t="n"/>
      <c r="P956" s="176" t="n"/>
      <c r="Q956" s="176" t="n"/>
      <c r="R956" s="176" t="n"/>
      <c r="S956" s="176" t="n"/>
      <c r="T956" s="176" t="n"/>
      <c r="U956" s="176" t="n"/>
      <c r="V956" s="176" t="n"/>
      <c r="W956" s="176" t="n"/>
      <c r="X956" s="176" t="n"/>
      <c r="Y956" s="176" t="n"/>
      <c r="Z956" s="176" t="n"/>
      <c r="AA956" s="176" t="n"/>
      <c r="AB956" s="176" t="n"/>
    </row>
    <row r="957">
      <c r="A957" s="176" t="n"/>
      <c r="B957" s="176" t="n"/>
      <c r="C957" s="176" t="n"/>
      <c r="D957" s="176" t="n"/>
      <c r="E957" s="176" t="n"/>
      <c r="F957" s="213" t="n"/>
      <c r="G957" s="213" t="n"/>
      <c r="H957" s="213" t="n"/>
      <c r="I957" s="213" t="n"/>
      <c r="J957" s="213" t="n"/>
      <c r="K957" s="946" t="n"/>
      <c r="L957" s="176" t="n"/>
      <c r="M957" s="176" t="n"/>
      <c r="N957" s="176" t="n"/>
      <c r="O957" s="176" t="n"/>
      <c r="P957" s="176" t="n"/>
      <c r="Q957" s="176" t="n"/>
      <c r="R957" s="176" t="n"/>
      <c r="S957" s="176" t="n"/>
      <c r="T957" s="176" t="n"/>
      <c r="U957" s="176" t="n"/>
      <c r="V957" s="176" t="n"/>
      <c r="W957" s="176" t="n"/>
      <c r="X957" s="176" t="n"/>
      <c r="Y957" s="176" t="n"/>
      <c r="Z957" s="176" t="n"/>
      <c r="AA957" s="176" t="n"/>
      <c r="AB957" s="176" t="n"/>
    </row>
    <row r="958">
      <c r="A958" s="176" t="n"/>
      <c r="B958" s="176" t="n"/>
      <c r="C958" s="176" t="n"/>
      <c r="D958" s="176" t="n"/>
      <c r="E958" s="176" t="n"/>
      <c r="F958" s="213" t="n"/>
      <c r="G958" s="213" t="n"/>
      <c r="H958" s="213" t="n"/>
      <c r="I958" s="213" t="n"/>
      <c r="J958" s="213" t="n"/>
      <c r="K958" s="946" t="n"/>
      <c r="L958" s="176" t="n"/>
      <c r="M958" s="176" t="n"/>
      <c r="N958" s="176" t="n"/>
      <c r="O958" s="176" t="n"/>
      <c r="P958" s="176" t="n"/>
      <c r="Q958" s="176" t="n"/>
      <c r="R958" s="176" t="n"/>
      <c r="S958" s="176" t="n"/>
      <c r="T958" s="176" t="n"/>
      <c r="U958" s="176" t="n"/>
      <c r="V958" s="176" t="n"/>
      <c r="W958" s="176" t="n"/>
      <c r="X958" s="176" t="n"/>
      <c r="Y958" s="176" t="n"/>
      <c r="Z958" s="176" t="n"/>
      <c r="AA958" s="176" t="n"/>
      <c r="AB958" s="176" t="n"/>
    </row>
    <row r="959">
      <c r="A959" s="176" t="n"/>
      <c r="B959" s="176" t="n"/>
      <c r="C959" s="176" t="n"/>
      <c r="D959" s="176" t="n"/>
      <c r="E959" s="176" t="n"/>
      <c r="F959" s="213" t="n"/>
      <c r="G959" s="213" t="n"/>
      <c r="H959" s="213" t="n"/>
      <c r="I959" s="213" t="n"/>
      <c r="J959" s="213" t="n"/>
      <c r="K959" s="946" t="n"/>
      <c r="L959" s="176" t="n"/>
      <c r="M959" s="176" t="n"/>
      <c r="N959" s="176" t="n"/>
      <c r="O959" s="176" t="n"/>
      <c r="P959" s="176" t="n"/>
      <c r="Q959" s="176" t="n"/>
      <c r="R959" s="176" t="n"/>
      <c r="S959" s="176" t="n"/>
      <c r="T959" s="176" t="n"/>
      <c r="U959" s="176" t="n"/>
      <c r="V959" s="176" t="n"/>
      <c r="W959" s="176" t="n"/>
      <c r="X959" s="176" t="n"/>
      <c r="Y959" s="176" t="n"/>
      <c r="Z959" s="176" t="n"/>
      <c r="AA959" s="176" t="n"/>
      <c r="AB959" s="176" t="n"/>
    </row>
    <row r="960">
      <c r="A960" s="176" t="n"/>
      <c r="B960" s="176" t="n"/>
      <c r="C960" s="176" t="n"/>
      <c r="D960" s="176" t="n"/>
      <c r="E960" s="176" t="n"/>
      <c r="F960" s="213" t="n"/>
      <c r="G960" s="213" t="n"/>
      <c r="H960" s="213" t="n"/>
      <c r="I960" s="213" t="n"/>
      <c r="J960" s="213" t="n"/>
      <c r="K960" s="946" t="n"/>
      <c r="L960" s="176" t="n"/>
      <c r="M960" s="176" t="n"/>
      <c r="N960" s="176" t="n"/>
      <c r="O960" s="176" t="n"/>
      <c r="P960" s="176" t="n"/>
      <c r="Q960" s="176" t="n"/>
      <c r="R960" s="176" t="n"/>
      <c r="S960" s="176" t="n"/>
      <c r="T960" s="176" t="n"/>
      <c r="U960" s="176" t="n"/>
      <c r="V960" s="176" t="n"/>
      <c r="W960" s="176" t="n"/>
      <c r="X960" s="176" t="n"/>
      <c r="Y960" s="176" t="n"/>
      <c r="Z960" s="176" t="n"/>
      <c r="AA960" s="176" t="n"/>
      <c r="AB960" s="176" t="n"/>
    </row>
    <row r="961">
      <c r="A961" s="176" t="n"/>
      <c r="B961" s="176" t="n"/>
      <c r="C961" s="176" t="n"/>
      <c r="D961" s="176" t="n"/>
      <c r="E961" s="176" t="n"/>
      <c r="F961" s="213" t="n"/>
      <c r="G961" s="213" t="n"/>
      <c r="H961" s="213" t="n"/>
      <c r="I961" s="213" t="n"/>
      <c r="J961" s="213" t="n"/>
      <c r="K961" s="946" t="n"/>
      <c r="L961" s="176" t="n"/>
      <c r="M961" s="176" t="n"/>
      <c r="N961" s="176" t="n"/>
      <c r="O961" s="176" t="n"/>
      <c r="P961" s="176" t="n"/>
      <c r="Q961" s="176" t="n"/>
      <c r="R961" s="176" t="n"/>
      <c r="S961" s="176" t="n"/>
      <c r="T961" s="176" t="n"/>
      <c r="U961" s="176" t="n"/>
      <c r="V961" s="176" t="n"/>
      <c r="W961" s="176" t="n"/>
      <c r="X961" s="176" t="n"/>
      <c r="Y961" s="176" t="n"/>
      <c r="Z961" s="176" t="n"/>
      <c r="AA961" s="176" t="n"/>
      <c r="AB961" s="176" t="n"/>
    </row>
    <row r="962">
      <c r="A962" s="176" t="n"/>
      <c r="B962" s="176" t="n"/>
      <c r="C962" s="176" t="n"/>
      <c r="D962" s="176" t="n"/>
      <c r="E962" s="176" t="n"/>
      <c r="F962" s="213" t="n"/>
      <c r="G962" s="213" t="n"/>
      <c r="H962" s="213" t="n"/>
      <c r="I962" s="213" t="n"/>
      <c r="J962" s="213" t="n"/>
      <c r="K962" s="946" t="n"/>
      <c r="L962" s="176" t="n"/>
      <c r="M962" s="176" t="n"/>
      <c r="N962" s="176" t="n"/>
      <c r="O962" s="176" t="n"/>
      <c r="P962" s="176" t="n"/>
      <c r="Q962" s="176" t="n"/>
      <c r="R962" s="176" t="n"/>
      <c r="S962" s="176" t="n"/>
      <c r="T962" s="176" t="n"/>
      <c r="U962" s="176" t="n"/>
      <c r="V962" s="176" t="n"/>
      <c r="W962" s="176" t="n"/>
      <c r="X962" s="176" t="n"/>
      <c r="Y962" s="176" t="n"/>
      <c r="Z962" s="176" t="n"/>
      <c r="AA962" s="176" t="n"/>
      <c r="AB962" s="176" t="n"/>
    </row>
    <row r="963">
      <c r="A963" s="176" t="n"/>
      <c r="B963" s="176" t="n"/>
      <c r="C963" s="176" t="n"/>
      <c r="D963" s="176" t="n"/>
      <c r="E963" s="176" t="n"/>
      <c r="F963" s="213" t="n"/>
      <c r="G963" s="213" t="n"/>
      <c r="H963" s="213" t="n"/>
      <c r="I963" s="213" t="n"/>
      <c r="J963" s="213" t="n"/>
      <c r="K963" s="946" t="n"/>
      <c r="L963" s="176" t="n"/>
      <c r="M963" s="176" t="n"/>
      <c r="N963" s="176" t="n"/>
      <c r="O963" s="176" t="n"/>
      <c r="P963" s="176" t="n"/>
      <c r="Q963" s="176" t="n"/>
      <c r="R963" s="176" t="n"/>
      <c r="S963" s="176" t="n"/>
      <c r="T963" s="176" t="n"/>
      <c r="U963" s="176" t="n"/>
      <c r="V963" s="176" t="n"/>
      <c r="W963" s="176" t="n"/>
      <c r="X963" s="176" t="n"/>
      <c r="Y963" s="176" t="n"/>
      <c r="Z963" s="176" t="n"/>
      <c r="AA963" s="176" t="n"/>
      <c r="AB963" s="176" t="n"/>
    </row>
    <row r="964">
      <c r="A964" s="176" t="n"/>
      <c r="B964" s="176" t="n"/>
      <c r="C964" s="176" t="n"/>
      <c r="D964" s="176" t="n"/>
      <c r="E964" s="176" t="n"/>
      <c r="F964" s="213" t="n"/>
      <c r="G964" s="213" t="n"/>
      <c r="H964" s="213" t="n"/>
      <c r="I964" s="213" t="n"/>
      <c r="J964" s="213" t="n"/>
      <c r="K964" s="946" t="n"/>
      <c r="L964" s="176" t="n"/>
      <c r="M964" s="176" t="n"/>
      <c r="N964" s="176" t="n"/>
      <c r="O964" s="176" t="n"/>
      <c r="P964" s="176" t="n"/>
      <c r="Q964" s="176" t="n"/>
      <c r="R964" s="176" t="n"/>
      <c r="S964" s="176" t="n"/>
      <c r="T964" s="176" t="n"/>
      <c r="U964" s="176" t="n"/>
      <c r="V964" s="176" t="n"/>
      <c r="W964" s="176" t="n"/>
      <c r="X964" s="176" t="n"/>
      <c r="Y964" s="176" t="n"/>
      <c r="Z964" s="176" t="n"/>
      <c r="AA964" s="176" t="n"/>
      <c r="AB964" s="176" t="n"/>
    </row>
    <row r="965">
      <c r="A965" s="176" t="n"/>
      <c r="B965" s="176" t="n"/>
      <c r="C965" s="176" t="n"/>
      <c r="D965" s="176" t="n"/>
      <c r="E965" s="176" t="n"/>
      <c r="F965" s="213" t="n"/>
      <c r="G965" s="213" t="n"/>
      <c r="H965" s="213" t="n"/>
      <c r="I965" s="213" t="n"/>
      <c r="J965" s="213" t="n"/>
      <c r="K965" s="946" t="n"/>
      <c r="L965" s="176" t="n"/>
      <c r="M965" s="176" t="n"/>
      <c r="N965" s="176" t="n"/>
      <c r="O965" s="176" t="n"/>
      <c r="P965" s="176" t="n"/>
      <c r="Q965" s="176" t="n"/>
      <c r="R965" s="176" t="n"/>
      <c r="S965" s="176" t="n"/>
      <c r="T965" s="176" t="n"/>
      <c r="U965" s="176" t="n"/>
      <c r="V965" s="176" t="n"/>
      <c r="W965" s="176" t="n"/>
      <c r="X965" s="176" t="n"/>
      <c r="Y965" s="176" t="n"/>
      <c r="Z965" s="176" t="n"/>
      <c r="AA965" s="176" t="n"/>
      <c r="AB965" s="176" t="n"/>
    </row>
    <row r="966">
      <c r="A966" s="176" t="n"/>
      <c r="B966" s="176" t="n"/>
      <c r="C966" s="176" t="n"/>
      <c r="D966" s="176" t="n"/>
      <c r="E966" s="176" t="n"/>
      <c r="F966" s="213" t="n"/>
      <c r="G966" s="213" t="n"/>
      <c r="H966" s="213" t="n"/>
      <c r="I966" s="213" t="n"/>
      <c r="J966" s="213" t="n"/>
      <c r="K966" s="946" t="n"/>
      <c r="L966" s="176" t="n"/>
      <c r="M966" s="176" t="n"/>
      <c r="N966" s="176" t="n"/>
      <c r="O966" s="176" t="n"/>
      <c r="P966" s="176" t="n"/>
      <c r="Q966" s="176" t="n"/>
      <c r="R966" s="176" t="n"/>
      <c r="S966" s="176" t="n"/>
      <c r="T966" s="176" t="n"/>
      <c r="U966" s="176" t="n"/>
      <c r="V966" s="176" t="n"/>
      <c r="W966" s="176" t="n"/>
      <c r="X966" s="176" t="n"/>
      <c r="Y966" s="176" t="n"/>
      <c r="Z966" s="176" t="n"/>
      <c r="AA966" s="176" t="n"/>
      <c r="AB966" s="176" t="n"/>
    </row>
    <row r="967">
      <c r="A967" s="176" t="n"/>
      <c r="B967" s="176" t="n"/>
      <c r="C967" s="176" t="n"/>
      <c r="D967" s="176" t="n"/>
      <c r="E967" s="176" t="n"/>
      <c r="F967" s="213" t="n"/>
      <c r="G967" s="213" t="n"/>
      <c r="H967" s="213" t="n"/>
      <c r="I967" s="213" t="n"/>
      <c r="J967" s="213" t="n"/>
      <c r="K967" s="946" t="n"/>
      <c r="L967" s="176" t="n"/>
      <c r="M967" s="176" t="n"/>
      <c r="N967" s="176" t="n"/>
      <c r="O967" s="176" t="n"/>
      <c r="P967" s="176" t="n"/>
      <c r="Q967" s="176" t="n"/>
      <c r="R967" s="176" t="n"/>
      <c r="S967" s="176" t="n"/>
      <c r="T967" s="176" t="n"/>
      <c r="U967" s="176" t="n"/>
      <c r="V967" s="176" t="n"/>
      <c r="W967" s="176" t="n"/>
      <c r="X967" s="176" t="n"/>
      <c r="Y967" s="176" t="n"/>
      <c r="Z967" s="176" t="n"/>
      <c r="AA967" s="176" t="n"/>
      <c r="AB967" s="176" t="n"/>
    </row>
    <row r="968">
      <c r="A968" s="176" t="n"/>
      <c r="B968" s="176" t="n"/>
      <c r="C968" s="176" t="n"/>
      <c r="D968" s="176" t="n"/>
      <c r="E968" s="176" t="n"/>
      <c r="F968" s="213" t="n"/>
      <c r="G968" s="213" t="n"/>
      <c r="H968" s="213" t="n"/>
      <c r="I968" s="213" t="n"/>
      <c r="J968" s="213" t="n"/>
      <c r="K968" s="946" t="n"/>
      <c r="L968" s="176" t="n"/>
      <c r="M968" s="176" t="n"/>
      <c r="N968" s="176" t="n"/>
      <c r="O968" s="176" t="n"/>
      <c r="P968" s="176" t="n"/>
      <c r="Q968" s="176" t="n"/>
      <c r="R968" s="176" t="n"/>
      <c r="S968" s="176" t="n"/>
      <c r="T968" s="176" t="n"/>
      <c r="U968" s="176" t="n"/>
      <c r="V968" s="176" t="n"/>
      <c r="W968" s="176" t="n"/>
      <c r="X968" s="176" t="n"/>
      <c r="Y968" s="176" t="n"/>
      <c r="Z968" s="176" t="n"/>
      <c r="AA968" s="176" t="n"/>
      <c r="AB968" s="176" t="n"/>
    </row>
    <row r="969">
      <c r="A969" s="176" t="n"/>
      <c r="B969" s="176" t="n"/>
      <c r="C969" s="176" t="n"/>
      <c r="D969" s="176" t="n"/>
      <c r="E969" s="176" t="n"/>
      <c r="F969" s="213" t="n"/>
      <c r="G969" s="213" t="n"/>
      <c r="H969" s="213" t="n"/>
      <c r="I969" s="213" t="n"/>
      <c r="J969" s="213" t="n"/>
      <c r="K969" s="946" t="n"/>
      <c r="L969" s="176" t="n"/>
      <c r="M969" s="176" t="n"/>
      <c r="N969" s="176" t="n"/>
      <c r="O969" s="176" t="n"/>
      <c r="P969" s="176" t="n"/>
      <c r="Q969" s="176" t="n"/>
      <c r="R969" s="176" t="n"/>
      <c r="S969" s="176" t="n"/>
      <c r="T969" s="176" t="n"/>
      <c r="U969" s="176" t="n"/>
      <c r="V969" s="176" t="n"/>
      <c r="W969" s="176" t="n"/>
      <c r="X969" s="176" t="n"/>
      <c r="Y969" s="176" t="n"/>
      <c r="Z969" s="176" t="n"/>
      <c r="AA969" s="176" t="n"/>
      <c r="AB969" s="176" t="n"/>
    </row>
    <row r="970">
      <c r="A970" s="176" t="n"/>
      <c r="B970" s="176" t="n"/>
      <c r="C970" s="176" t="n"/>
      <c r="D970" s="176" t="n"/>
      <c r="E970" s="176" t="n"/>
      <c r="F970" s="213" t="n"/>
      <c r="G970" s="213" t="n"/>
      <c r="H970" s="213" t="n"/>
      <c r="I970" s="213" t="n"/>
      <c r="J970" s="213" t="n"/>
      <c r="K970" s="946" t="n"/>
      <c r="L970" s="176" t="n"/>
      <c r="M970" s="176" t="n"/>
      <c r="N970" s="176" t="n"/>
      <c r="O970" s="176" t="n"/>
      <c r="P970" s="176" t="n"/>
      <c r="Q970" s="176" t="n"/>
      <c r="R970" s="176" t="n"/>
      <c r="S970" s="176" t="n"/>
      <c r="T970" s="176" t="n"/>
      <c r="U970" s="176" t="n"/>
      <c r="V970" s="176" t="n"/>
      <c r="W970" s="176" t="n"/>
      <c r="X970" s="176" t="n"/>
      <c r="Y970" s="176" t="n"/>
      <c r="Z970" s="176" t="n"/>
      <c r="AA970" s="176" t="n"/>
      <c r="AB970" s="176" t="n"/>
    </row>
    <row r="971">
      <c r="A971" s="176" t="n"/>
      <c r="B971" s="176" t="n"/>
      <c r="C971" s="176" t="n"/>
      <c r="D971" s="176" t="n"/>
      <c r="E971" s="176" t="n"/>
      <c r="F971" s="213" t="n"/>
      <c r="G971" s="213" t="n"/>
      <c r="H971" s="213" t="n"/>
      <c r="I971" s="213" t="n"/>
      <c r="J971" s="213" t="n"/>
      <c r="K971" s="946" t="n"/>
      <c r="L971" s="176" t="n"/>
      <c r="M971" s="176" t="n"/>
      <c r="N971" s="176" t="n"/>
      <c r="O971" s="176" t="n"/>
      <c r="P971" s="176" t="n"/>
      <c r="Q971" s="176" t="n"/>
      <c r="R971" s="176" t="n"/>
      <c r="S971" s="176" t="n"/>
      <c r="T971" s="176" t="n"/>
      <c r="U971" s="176" t="n"/>
      <c r="V971" s="176" t="n"/>
      <c r="W971" s="176" t="n"/>
      <c r="X971" s="176" t="n"/>
      <c r="Y971" s="176" t="n"/>
      <c r="Z971" s="176" t="n"/>
      <c r="AA971" s="176" t="n"/>
      <c r="AB971" s="176" t="n"/>
    </row>
    <row r="972">
      <c r="A972" s="176" t="n"/>
      <c r="B972" s="176" t="n"/>
      <c r="C972" s="176" t="n"/>
      <c r="D972" s="176" t="n"/>
      <c r="E972" s="176" t="n"/>
      <c r="F972" s="213" t="n"/>
      <c r="G972" s="213" t="n"/>
      <c r="H972" s="213" t="n"/>
      <c r="I972" s="213" t="n"/>
      <c r="J972" s="213" t="n"/>
      <c r="K972" s="946" t="n"/>
      <c r="L972" s="176" t="n"/>
      <c r="M972" s="176" t="n"/>
      <c r="N972" s="176" t="n"/>
      <c r="O972" s="176" t="n"/>
      <c r="P972" s="176" t="n"/>
      <c r="Q972" s="176" t="n"/>
      <c r="R972" s="176" t="n"/>
      <c r="S972" s="176" t="n"/>
      <c r="T972" s="176" t="n"/>
      <c r="U972" s="176" t="n"/>
      <c r="V972" s="176" t="n"/>
      <c r="W972" s="176" t="n"/>
      <c r="X972" s="176" t="n"/>
      <c r="Y972" s="176" t="n"/>
      <c r="Z972" s="176" t="n"/>
      <c r="AA972" s="176" t="n"/>
      <c r="AB972" s="176" t="n"/>
    </row>
    <row r="973">
      <c r="A973" s="176" t="n"/>
      <c r="B973" s="176" t="n"/>
      <c r="C973" s="176" t="n"/>
      <c r="D973" s="176" t="n"/>
      <c r="E973" s="176" t="n"/>
      <c r="F973" s="213" t="n"/>
      <c r="G973" s="213" t="n"/>
      <c r="H973" s="213" t="n"/>
      <c r="I973" s="213" t="n"/>
      <c r="J973" s="213" t="n"/>
      <c r="K973" s="946" t="n"/>
      <c r="L973" s="176" t="n"/>
      <c r="M973" s="176" t="n"/>
      <c r="N973" s="176" t="n"/>
      <c r="O973" s="176" t="n"/>
      <c r="P973" s="176" t="n"/>
      <c r="Q973" s="176" t="n"/>
      <c r="R973" s="176" t="n"/>
      <c r="S973" s="176" t="n"/>
      <c r="T973" s="176" t="n"/>
      <c r="U973" s="176" t="n"/>
      <c r="V973" s="176" t="n"/>
      <c r="W973" s="176" t="n"/>
      <c r="X973" s="176" t="n"/>
      <c r="Y973" s="176" t="n"/>
      <c r="Z973" s="176" t="n"/>
      <c r="AA973" s="176" t="n"/>
      <c r="AB973" s="176" t="n"/>
    </row>
    <row r="974">
      <c r="A974" s="176" t="n"/>
      <c r="B974" s="176" t="n"/>
      <c r="C974" s="176" t="n"/>
      <c r="D974" s="176" t="n"/>
      <c r="E974" s="176" t="n"/>
      <c r="F974" s="213" t="n"/>
      <c r="G974" s="213" t="n"/>
      <c r="H974" s="213" t="n"/>
      <c r="I974" s="213" t="n"/>
      <c r="J974" s="213" t="n"/>
      <c r="K974" s="946" t="n"/>
      <c r="L974" s="176" t="n"/>
      <c r="M974" s="176" t="n"/>
      <c r="N974" s="176" t="n"/>
      <c r="O974" s="176" t="n"/>
      <c r="P974" s="176" t="n"/>
      <c r="Q974" s="176" t="n"/>
      <c r="R974" s="176" t="n"/>
      <c r="S974" s="176" t="n"/>
      <c r="T974" s="176" t="n"/>
      <c r="U974" s="176" t="n"/>
      <c r="V974" s="176" t="n"/>
      <c r="W974" s="176" t="n"/>
      <c r="X974" s="176" t="n"/>
      <c r="Y974" s="176" t="n"/>
      <c r="Z974" s="176" t="n"/>
      <c r="AA974" s="176" t="n"/>
      <c r="AB974" s="176" t="n"/>
    </row>
    <row r="975">
      <c r="A975" s="176" t="n"/>
      <c r="B975" s="176" t="n"/>
      <c r="C975" s="176" t="n"/>
      <c r="D975" s="176" t="n"/>
      <c r="E975" s="176" t="n"/>
      <c r="F975" s="213" t="n"/>
      <c r="G975" s="213" t="n"/>
      <c r="H975" s="213" t="n"/>
      <c r="I975" s="213" t="n"/>
      <c r="J975" s="213" t="n"/>
      <c r="K975" s="946" t="n"/>
      <c r="L975" s="176" t="n"/>
      <c r="M975" s="176" t="n"/>
      <c r="N975" s="176" t="n"/>
      <c r="O975" s="176" t="n"/>
      <c r="P975" s="176" t="n"/>
      <c r="Q975" s="176" t="n"/>
      <c r="R975" s="176" t="n"/>
      <c r="S975" s="176" t="n"/>
      <c r="T975" s="176" t="n"/>
      <c r="U975" s="176" t="n"/>
      <c r="V975" s="176" t="n"/>
      <c r="W975" s="176" t="n"/>
      <c r="X975" s="176" t="n"/>
      <c r="Y975" s="176" t="n"/>
      <c r="Z975" s="176" t="n"/>
      <c r="AA975" s="176" t="n"/>
      <c r="AB975" s="176" t="n"/>
    </row>
    <row r="976">
      <c r="A976" s="176" t="n"/>
      <c r="B976" s="176" t="n"/>
      <c r="C976" s="176" t="n"/>
      <c r="D976" s="176" t="n"/>
      <c r="E976" s="176" t="n"/>
      <c r="F976" s="213" t="n"/>
      <c r="G976" s="213" t="n"/>
      <c r="H976" s="213" t="n"/>
      <c r="I976" s="213" t="n"/>
      <c r="J976" s="213" t="n"/>
      <c r="K976" s="946" t="n"/>
      <c r="L976" s="176" t="n"/>
      <c r="M976" s="176" t="n"/>
      <c r="N976" s="176" t="n"/>
      <c r="O976" s="176" t="n"/>
      <c r="P976" s="176" t="n"/>
      <c r="Q976" s="176" t="n"/>
      <c r="R976" s="176" t="n"/>
      <c r="S976" s="176" t="n"/>
      <c r="T976" s="176" t="n"/>
      <c r="U976" s="176" t="n"/>
      <c r="V976" s="176" t="n"/>
      <c r="W976" s="176" t="n"/>
      <c r="X976" s="176" t="n"/>
      <c r="Y976" s="176" t="n"/>
      <c r="Z976" s="176" t="n"/>
      <c r="AA976" s="176" t="n"/>
      <c r="AB976" s="176" t="n"/>
    </row>
    <row r="977">
      <c r="A977" s="176" t="n"/>
      <c r="B977" s="176" t="n"/>
      <c r="C977" s="176" t="n"/>
      <c r="D977" s="176" t="n"/>
      <c r="E977" s="176" t="n"/>
      <c r="F977" s="213" t="n"/>
      <c r="G977" s="213" t="n"/>
      <c r="H977" s="213" t="n"/>
      <c r="I977" s="213" t="n"/>
      <c r="J977" s="213" t="n"/>
      <c r="K977" s="946" t="n"/>
      <c r="L977" s="176" t="n"/>
      <c r="M977" s="176" t="n"/>
      <c r="N977" s="176" t="n"/>
      <c r="O977" s="176" t="n"/>
      <c r="P977" s="176" t="n"/>
      <c r="Q977" s="176" t="n"/>
      <c r="R977" s="176" t="n"/>
      <c r="S977" s="176" t="n"/>
      <c r="T977" s="176" t="n"/>
      <c r="U977" s="176" t="n"/>
      <c r="V977" s="176" t="n"/>
      <c r="W977" s="176" t="n"/>
      <c r="X977" s="176" t="n"/>
      <c r="Y977" s="176" t="n"/>
      <c r="Z977" s="176" t="n"/>
      <c r="AA977" s="176" t="n"/>
      <c r="AB977" s="176" t="n"/>
    </row>
    <row r="978">
      <c r="A978" s="176" t="n"/>
      <c r="B978" s="176" t="n"/>
      <c r="C978" s="176" t="n"/>
      <c r="D978" s="176" t="n"/>
      <c r="E978" s="176" t="n"/>
      <c r="F978" s="213" t="n"/>
      <c r="G978" s="213" t="n"/>
      <c r="H978" s="213" t="n"/>
      <c r="I978" s="213" t="n"/>
      <c r="J978" s="213" t="n"/>
      <c r="K978" s="946" t="n"/>
      <c r="L978" s="176" t="n"/>
      <c r="M978" s="176" t="n"/>
      <c r="N978" s="176" t="n"/>
      <c r="O978" s="176" t="n"/>
      <c r="P978" s="176" t="n"/>
      <c r="Q978" s="176" t="n"/>
      <c r="R978" s="176" t="n"/>
      <c r="S978" s="176" t="n"/>
      <c r="T978" s="176" t="n"/>
      <c r="U978" s="176" t="n"/>
      <c r="V978" s="176" t="n"/>
      <c r="W978" s="176" t="n"/>
      <c r="X978" s="176" t="n"/>
      <c r="Y978" s="176" t="n"/>
      <c r="Z978" s="176" t="n"/>
      <c r="AA978" s="176" t="n"/>
      <c r="AB978" s="176" t="n"/>
    </row>
    <row r="979">
      <c r="A979" s="176" t="n"/>
      <c r="B979" s="176" t="n"/>
      <c r="C979" s="176" t="n"/>
      <c r="D979" s="176" t="n"/>
      <c r="E979" s="176" t="n"/>
      <c r="F979" s="213" t="n"/>
      <c r="G979" s="213" t="n"/>
      <c r="H979" s="213" t="n"/>
      <c r="I979" s="213" t="n"/>
      <c r="J979" s="213" t="n"/>
      <c r="K979" s="946" t="n"/>
      <c r="L979" s="176" t="n"/>
      <c r="M979" s="176" t="n"/>
      <c r="N979" s="176" t="n"/>
      <c r="O979" s="176" t="n"/>
      <c r="P979" s="176" t="n"/>
      <c r="Q979" s="176" t="n"/>
      <c r="R979" s="176" t="n"/>
      <c r="S979" s="176" t="n"/>
      <c r="T979" s="176" t="n"/>
      <c r="U979" s="176" t="n"/>
      <c r="V979" s="176" t="n"/>
      <c r="W979" s="176" t="n"/>
      <c r="X979" s="176" t="n"/>
      <c r="Y979" s="176" t="n"/>
      <c r="Z979" s="176" t="n"/>
      <c r="AA979" s="176" t="n"/>
      <c r="AB979" s="176" t="n"/>
    </row>
    <row r="980">
      <c r="A980" s="176" t="n"/>
      <c r="B980" s="176" t="n"/>
      <c r="C980" s="176" t="n"/>
      <c r="D980" s="176" t="n"/>
      <c r="E980" s="176" t="n"/>
      <c r="F980" s="213" t="n"/>
      <c r="G980" s="213" t="n"/>
      <c r="H980" s="213" t="n"/>
      <c r="I980" s="213" t="n"/>
      <c r="J980" s="213" t="n"/>
      <c r="K980" s="946" t="n"/>
      <c r="L980" s="176" t="n"/>
      <c r="M980" s="176" t="n"/>
      <c r="N980" s="176" t="n"/>
      <c r="O980" s="176" t="n"/>
      <c r="P980" s="176" t="n"/>
      <c r="Q980" s="176" t="n"/>
      <c r="R980" s="176" t="n"/>
      <c r="S980" s="176" t="n"/>
      <c r="T980" s="176" t="n"/>
      <c r="U980" s="176" t="n"/>
      <c r="V980" s="176" t="n"/>
      <c r="W980" s="176" t="n"/>
      <c r="X980" s="176" t="n"/>
      <c r="Y980" s="176" t="n"/>
      <c r="Z980" s="176" t="n"/>
      <c r="AA980" s="176" t="n"/>
      <c r="AB980" s="176" t="n"/>
    </row>
    <row r="981">
      <c r="A981" s="176" t="n"/>
      <c r="B981" s="176" t="n"/>
      <c r="C981" s="176" t="n"/>
      <c r="D981" s="176" t="n"/>
      <c r="E981" s="176" t="n"/>
      <c r="F981" s="213" t="n"/>
      <c r="G981" s="213" t="n"/>
      <c r="H981" s="213" t="n"/>
      <c r="I981" s="213" t="n"/>
      <c r="J981" s="213" t="n"/>
      <c r="K981" s="946" t="n"/>
      <c r="L981" s="176" t="n"/>
      <c r="M981" s="176" t="n"/>
      <c r="N981" s="176" t="n"/>
      <c r="O981" s="176" t="n"/>
      <c r="P981" s="176" t="n"/>
      <c r="Q981" s="176" t="n"/>
      <c r="R981" s="176" t="n"/>
      <c r="S981" s="176" t="n"/>
      <c r="T981" s="176" t="n"/>
      <c r="U981" s="176" t="n"/>
      <c r="V981" s="176" t="n"/>
      <c r="W981" s="176" t="n"/>
      <c r="X981" s="176" t="n"/>
      <c r="Y981" s="176" t="n"/>
      <c r="Z981" s="176" t="n"/>
      <c r="AA981" s="176" t="n"/>
      <c r="AB981" s="176" t="n"/>
    </row>
    <row r="982">
      <c r="A982" s="176" t="n"/>
      <c r="B982" s="176" t="n"/>
      <c r="C982" s="176" t="n"/>
      <c r="D982" s="176" t="n"/>
      <c r="E982" s="176" t="n"/>
      <c r="F982" s="213" t="n"/>
      <c r="G982" s="213" t="n"/>
      <c r="H982" s="213" t="n"/>
      <c r="I982" s="213" t="n"/>
      <c r="J982" s="213" t="n"/>
      <c r="K982" s="946" t="n"/>
      <c r="L982" s="176" t="n"/>
      <c r="M982" s="176" t="n"/>
      <c r="N982" s="176" t="n"/>
      <c r="O982" s="176" t="n"/>
      <c r="P982" s="176" t="n"/>
      <c r="Q982" s="176" t="n"/>
      <c r="R982" s="176" t="n"/>
      <c r="S982" s="176" t="n"/>
      <c r="T982" s="176" t="n"/>
      <c r="U982" s="176" t="n"/>
      <c r="V982" s="176" t="n"/>
      <c r="W982" s="176" t="n"/>
      <c r="X982" s="176" t="n"/>
      <c r="Y982" s="176" t="n"/>
      <c r="Z982" s="176" t="n"/>
      <c r="AA982" s="176" t="n"/>
      <c r="AB982" s="176" t="n"/>
    </row>
    <row r="983">
      <c r="A983" s="176" t="n"/>
      <c r="B983" s="176" t="n"/>
      <c r="C983" s="176" t="n"/>
      <c r="D983" s="176" t="n"/>
      <c r="E983" s="176" t="n"/>
      <c r="F983" s="213" t="n"/>
      <c r="G983" s="213" t="n"/>
      <c r="H983" s="213" t="n"/>
      <c r="I983" s="213" t="n"/>
      <c r="J983" s="213" t="n"/>
      <c r="K983" s="946" t="n"/>
      <c r="L983" s="176" t="n"/>
      <c r="M983" s="176" t="n"/>
      <c r="N983" s="176" t="n"/>
      <c r="O983" s="176" t="n"/>
      <c r="P983" s="176" t="n"/>
      <c r="Q983" s="176" t="n"/>
      <c r="R983" s="176" t="n"/>
      <c r="S983" s="176" t="n"/>
      <c r="T983" s="176" t="n"/>
      <c r="U983" s="176" t="n"/>
      <c r="V983" s="176" t="n"/>
      <c r="W983" s="176" t="n"/>
      <c r="X983" s="176" t="n"/>
      <c r="Y983" s="176" t="n"/>
      <c r="Z983" s="176" t="n"/>
      <c r="AA983" s="176" t="n"/>
      <c r="AB983" s="176" t="n"/>
    </row>
    <row r="984">
      <c r="A984" s="176" t="n"/>
      <c r="B984" s="176" t="n"/>
      <c r="C984" s="176" t="n"/>
      <c r="D984" s="176" t="n"/>
      <c r="E984" s="176" t="n"/>
      <c r="F984" s="213" t="n"/>
      <c r="G984" s="213" t="n"/>
      <c r="H984" s="213" t="n"/>
      <c r="I984" s="213" t="n"/>
      <c r="J984" s="213" t="n"/>
      <c r="K984" s="946" t="n"/>
      <c r="L984" s="176" t="n"/>
      <c r="M984" s="176" t="n"/>
      <c r="N984" s="176" t="n"/>
      <c r="O984" s="176" t="n"/>
      <c r="P984" s="176" t="n"/>
      <c r="Q984" s="176" t="n"/>
      <c r="R984" s="176" t="n"/>
      <c r="S984" s="176" t="n"/>
      <c r="T984" s="176" t="n"/>
      <c r="U984" s="176" t="n"/>
      <c r="V984" s="176" t="n"/>
      <c r="W984" s="176" t="n"/>
      <c r="X984" s="176" t="n"/>
      <c r="Y984" s="176" t="n"/>
      <c r="Z984" s="176" t="n"/>
      <c r="AA984" s="176" t="n"/>
      <c r="AB984" s="176" t="n"/>
    </row>
    <row r="985">
      <c r="A985" s="176" t="n"/>
      <c r="B985" s="176" t="n"/>
      <c r="C985" s="176" t="n"/>
      <c r="D985" s="176" t="n"/>
      <c r="E985" s="176" t="n"/>
      <c r="F985" s="213" t="n"/>
      <c r="G985" s="213" t="n"/>
      <c r="H985" s="213" t="n"/>
      <c r="I985" s="213" t="n"/>
      <c r="J985" s="213" t="n"/>
      <c r="K985" s="946" t="n"/>
      <c r="L985" s="176" t="n"/>
      <c r="M985" s="176" t="n"/>
      <c r="N985" s="176" t="n"/>
      <c r="O985" s="176" t="n"/>
      <c r="P985" s="176" t="n"/>
      <c r="Q985" s="176" t="n"/>
      <c r="R985" s="176" t="n"/>
      <c r="S985" s="176" t="n"/>
      <c r="T985" s="176" t="n"/>
      <c r="U985" s="176" t="n"/>
      <c r="V985" s="176" t="n"/>
      <c r="W985" s="176" t="n"/>
      <c r="X985" s="176" t="n"/>
      <c r="Y985" s="176" t="n"/>
      <c r="Z985" s="176" t="n"/>
      <c r="AA985" s="176" t="n"/>
      <c r="AB985" s="176" t="n"/>
    </row>
    <row r="986">
      <c r="A986" s="176" t="n"/>
      <c r="B986" s="176" t="n"/>
      <c r="C986" s="176" t="n"/>
      <c r="D986" s="176" t="n"/>
      <c r="E986" s="176" t="n"/>
      <c r="F986" s="213" t="n"/>
      <c r="G986" s="213" t="n"/>
      <c r="H986" s="213" t="n"/>
      <c r="I986" s="213" t="n"/>
      <c r="J986" s="213" t="n"/>
      <c r="K986" s="946" t="n"/>
      <c r="L986" s="176" t="n"/>
      <c r="M986" s="176" t="n"/>
      <c r="N986" s="176" t="n"/>
      <c r="O986" s="176" t="n"/>
      <c r="P986" s="176" t="n"/>
      <c r="Q986" s="176" t="n"/>
      <c r="R986" s="176" t="n"/>
      <c r="S986" s="176" t="n"/>
      <c r="T986" s="176" t="n"/>
      <c r="U986" s="176" t="n"/>
      <c r="V986" s="176" t="n"/>
      <c r="W986" s="176" t="n"/>
      <c r="X986" s="176" t="n"/>
      <c r="Y986" s="176" t="n"/>
      <c r="Z986" s="176" t="n"/>
      <c r="AA986" s="176" t="n"/>
      <c r="AB986" s="176" t="n"/>
    </row>
    <row r="987">
      <c r="A987" s="176" t="n"/>
      <c r="B987" s="176" t="n"/>
      <c r="C987" s="176" t="n"/>
      <c r="D987" s="176" t="n"/>
      <c r="E987" s="176" t="n"/>
      <c r="F987" s="213" t="n"/>
      <c r="G987" s="213" t="n"/>
      <c r="H987" s="213" t="n"/>
      <c r="I987" s="213" t="n"/>
      <c r="J987" s="213" t="n"/>
      <c r="K987" s="946" t="n"/>
      <c r="L987" s="176" t="n"/>
      <c r="M987" s="176" t="n"/>
      <c r="N987" s="176" t="n"/>
      <c r="O987" s="176" t="n"/>
      <c r="P987" s="176" t="n"/>
      <c r="Q987" s="176" t="n"/>
      <c r="R987" s="176" t="n"/>
      <c r="S987" s="176" t="n"/>
      <c r="T987" s="176" t="n"/>
      <c r="U987" s="176" t="n"/>
      <c r="V987" s="176" t="n"/>
      <c r="W987" s="176" t="n"/>
      <c r="X987" s="176" t="n"/>
      <c r="Y987" s="176" t="n"/>
      <c r="Z987" s="176" t="n"/>
      <c r="AA987" s="176" t="n"/>
      <c r="AB987" s="176" t="n"/>
    </row>
    <row r="988">
      <c r="A988" s="176" t="n"/>
      <c r="B988" s="176" t="n"/>
      <c r="C988" s="176" t="n"/>
      <c r="D988" s="176" t="n"/>
      <c r="E988" s="176" t="n"/>
      <c r="F988" s="213" t="n"/>
      <c r="G988" s="213" t="n"/>
      <c r="H988" s="213" t="n"/>
      <c r="I988" s="213" t="n"/>
      <c r="J988" s="213" t="n"/>
      <c r="K988" s="946" t="n"/>
      <c r="L988" s="176" t="n"/>
      <c r="M988" s="176" t="n"/>
      <c r="N988" s="176" t="n"/>
      <c r="O988" s="176" t="n"/>
      <c r="P988" s="176" t="n"/>
      <c r="Q988" s="176" t="n"/>
      <c r="R988" s="176" t="n"/>
      <c r="S988" s="176" t="n"/>
      <c r="T988" s="176" t="n"/>
      <c r="U988" s="176" t="n"/>
      <c r="V988" s="176" t="n"/>
      <c r="W988" s="176" t="n"/>
      <c r="X988" s="176" t="n"/>
      <c r="Y988" s="176" t="n"/>
      <c r="Z988" s="176" t="n"/>
      <c r="AA988" s="176" t="n"/>
      <c r="AB988" s="176" t="n"/>
    </row>
    <row r="989">
      <c r="A989" s="176" t="n"/>
      <c r="B989" s="176" t="n"/>
      <c r="C989" s="176" t="n"/>
      <c r="D989" s="176" t="n"/>
      <c r="E989" s="176" t="n"/>
      <c r="F989" s="213" t="n"/>
      <c r="G989" s="213" t="n"/>
      <c r="H989" s="213" t="n"/>
      <c r="I989" s="213" t="n"/>
      <c r="J989" s="213" t="n"/>
      <c r="K989" s="946" t="n"/>
      <c r="L989" s="176" t="n"/>
      <c r="M989" s="176" t="n"/>
      <c r="N989" s="176" t="n"/>
      <c r="O989" s="176" t="n"/>
      <c r="P989" s="176" t="n"/>
      <c r="Q989" s="176" t="n"/>
      <c r="R989" s="176" t="n"/>
      <c r="S989" s="176" t="n"/>
      <c r="T989" s="176" t="n"/>
      <c r="U989" s="176" t="n"/>
      <c r="V989" s="176" t="n"/>
      <c r="W989" s="176" t="n"/>
      <c r="X989" s="176" t="n"/>
      <c r="Y989" s="176" t="n"/>
      <c r="Z989" s="176" t="n"/>
      <c r="AA989" s="176" t="n"/>
      <c r="AB989" s="176" t="n"/>
    </row>
    <row r="990">
      <c r="A990" s="176" t="n"/>
      <c r="B990" s="176" t="n"/>
      <c r="C990" s="176" t="n"/>
      <c r="D990" s="176" t="n"/>
      <c r="E990" s="176" t="n"/>
      <c r="F990" s="213" t="n"/>
      <c r="G990" s="213" t="n"/>
      <c r="H990" s="213" t="n"/>
      <c r="I990" s="213" t="n"/>
      <c r="J990" s="213" t="n"/>
      <c r="K990" s="946" t="n"/>
      <c r="L990" s="176" t="n"/>
      <c r="M990" s="176" t="n"/>
      <c r="N990" s="176" t="n"/>
      <c r="O990" s="176" t="n"/>
      <c r="P990" s="176" t="n"/>
      <c r="Q990" s="176" t="n"/>
      <c r="R990" s="176" t="n"/>
      <c r="S990" s="176" t="n"/>
      <c r="T990" s="176" t="n"/>
      <c r="U990" s="176" t="n"/>
      <c r="V990" s="176" t="n"/>
      <c r="W990" s="176" t="n"/>
      <c r="X990" s="176" t="n"/>
      <c r="Y990" s="176" t="n"/>
      <c r="Z990" s="176" t="n"/>
      <c r="AA990" s="176" t="n"/>
      <c r="AB990" s="176" t="n"/>
    </row>
    <row r="991">
      <c r="A991" s="176" t="n"/>
      <c r="B991" s="176" t="n"/>
      <c r="C991" s="176" t="n"/>
      <c r="D991" s="176" t="n"/>
      <c r="E991" s="176" t="n"/>
      <c r="F991" s="213" t="n"/>
      <c r="G991" s="213" t="n"/>
      <c r="H991" s="213" t="n"/>
      <c r="I991" s="213" t="n"/>
      <c r="J991" s="213" t="n"/>
      <c r="K991" s="946" t="n"/>
      <c r="L991" s="176" t="n"/>
      <c r="M991" s="176" t="n"/>
      <c r="N991" s="176" t="n"/>
      <c r="O991" s="176" t="n"/>
      <c r="P991" s="176" t="n"/>
      <c r="Q991" s="176" t="n"/>
      <c r="R991" s="176" t="n"/>
      <c r="S991" s="176" t="n"/>
      <c r="T991" s="176" t="n"/>
      <c r="U991" s="176" t="n"/>
      <c r="V991" s="176" t="n"/>
      <c r="W991" s="176" t="n"/>
      <c r="X991" s="176" t="n"/>
      <c r="Y991" s="176" t="n"/>
      <c r="Z991" s="176" t="n"/>
      <c r="AA991" s="176" t="n"/>
      <c r="AB991" s="176" t="n"/>
    </row>
    <row r="992">
      <c r="A992" s="176" t="n"/>
      <c r="B992" s="176" t="n"/>
      <c r="C992" s="176" t="n"/>
      <c r="D992" s="176" t="n"/>
      <c r="E992" s="176" t="n"/>
      <c r="F992" s="213" t="n"/>
      <c r="G992" s="213" t="n"/>
      <c r="H992" s="213" t="n"/>
      <c r="I992" s="213" t="n"/>
      <c r="J992" s="213" t="n"/>
      <c r="K992" s="946" t="n"/>
      <c r="L992" s="176" t="n"/>
      <c r="M992" s="176" t="n"/>
      <c r="N992" s="176" t="n"/>
      <c r="O992" s="176" t="n"/>
      <c r="P992" s="176" t="n"/>
      <c r="Q992" s="176" t="n"/>
      <c r="R992" s="176" t="n"/>
      <c r="S992" s="176" t="n"/>
      <c r="T992" s="176" t="n"/>
      <c r="U992" s="176" t="n"/>
      <c r="V992" s="176" t="n"/>
      <c r="W992" s="176" t="n"/>
      <c r="X992" s="176" t="n"/>
      <c r="Y992" s="176" t="n"/>
      <c r="Z992" s="176" t="n"/>
      <c r="AA992" s="176" t="n"/>
      <c r="AB992" s="176" t="n"/>
    </row>
    <row r="993">
      <c r="A993" s="176" t="n"/>
      <c r="B993" s="176" t="n"/>
      <c r="C993" s="176" t="n"/>
      <c r="D993" s="176" t="n"/>
      <c r="E993" s="176" t="n"/>
      <c r="F993" s="213" t="n"/>
      <c r="G993" s="213" t="n"/>
      <c r="H993" s="213" t="n"/>
      <c r="I993" s="213" t="n"/>
      <c r="J993" s="213" t="n"/>
      <c r="K993" s="946" t="n"/>
      <c r="L993" s="176" t="n"/>
      <c r="M993" s="176" t="n"/>
      <c r="N993" s="176" t="n"/>
      <c r="O993" s="176" t="n"/>
      <c r="P993" s="176" t="n"/>
      <c r="Q993" s="176" t="n"/>
      <c r="R993" s="176" t="n"/>
      <c r="S993" s="176" t="n"/>
      <c r="T993" s="176" t="n"/>
      <c r="U993" s="176" t="n"/>
      <c r="V993" s="176" t="n"/>
      <c r="W993" s="176" t="n"/>
      <c r="X993" s="176" t="n"/>
      <c r="Y993" s="176" t="n"/>
      <c r="Z993" s="176" t="n"/>
      <c r="AA993" s="176" t="n"/>
      <c r="AB993" s="176" t="n"/>
    </row>
    <row r="994">
      <c r="A994" s="176" t="n"/>
      <c r="B994" s="176" t="n"/>
      <c r="C994" s="176" t="n"/>
      <c r="D994" s="176" t="n"/>
      <c r="E994" s="176" t="n"/>
      <c r="F994" s="213" t="n"/>
      <c r="G994" s="213" t="n"/>
      <c r="H994" s="213" t="n"/>
      <c r="I994" s="213" t="n"/>
      <c r="J994" s="213" t="n"/>
      <c r="K994" s="946" t="n"/>
      <c r="L994" s="176" t="n"/>
      <c r="M994" s="176" t="n"/>
      <c r="N994" s="176" t="n"/>
      <c r="O994" s="176" t="n"/>
      <c r="P994" s="176" t="n"/>
      <c r="Q994" s="176" t="n"/>
      <c r="R994" s="176" t="n"/>
      <c r="S994" s="176" t="n"/>
      <c r="T994" s="176" t="n"/>
      <c r="U994" s="176" t="n"/>
      <c r="V994" s="176" t="n"/>
      <c r="W994" s="176" t="n"/>
      <c r="X994" s="176" t="n"/>
      <c r="Y994" s="176" t="n"/>
      <c r="Z994" s="176" t="n"/>
      <c r="AA994" s="176" t="n"/>
      <c r="AB994" s="176" t="n"/>
    </row>
    <row r="995">
      <c r="A995" s="176" t="n"/>
      <c r="B995" s="176" t="n"/>
      <c r="C995" s="176" t="n"/>
      <c r="D995" s="176" t="n"/>
      <c r="E995" s="176" t="n"/>
      <c r="F995" s="213" t="n"/>
      <c r="G995" s="213" t="n"/>
      <c r="H995" s="213" t="n"/>
      <c r="I995" s="213" t="n"/>
      <c r="J995" s="213" t="n"/>
      <c r="K995" s="946" t="n"/>
      <c r="L995" s="176" t="n"/>
      <c r="M995" s="176" t="n"/>
      <c r="N995" s="176" t="n"/>
      <c r="O995" s="176" t="n"/>
      <c r="P995" s="176" t="n"/>
      <c r="Q995" s="176" t="n"/>
      <c r="R995" s="176" t="n"/>
      <c r="S995" s="176" t="n"/>
      <c r="T995" s="176" t="n"/>
      <c r="U995" s="176" t="n"/>
      <c r="V995" s="176" t="n"/>
      <c r="W995" s="176" t="n"/>
      <c r="X995" s="176" t="n"/>
      <c r="Y995" s="176" t="n"/>
      <c r="Z995" s="176" t="n"/>
      <c r="AA995" s="176" t="n"/>
      <c r="AB995" s="176" t="n"/>
    </row>
    <row r="996">
      <c r="A996" s="176" t="n"/>
      <c r="B996" s="176" t="n"/>
      <c r="C996" s="176" t="n"/>
      <c r="D996" s="176" t="n"/>
      <c r="E996" s="176" t="n"/>
      <c r="F996" s="213" t="n"/>
      <c r="G996" s="213" t="n"/>
      <c r="H996" s="213" t="n"/>
      <c r="I996" s="213" t="n"/>
      <c r="J996" s="213" t="n"/>
      <c r="K996" s="946" t="n"/>
      <c r="L996" s="176" t="n"/>
      <c r="M996" s="176" t="n"/>
      <c r="N996" s="176" t="n"/>
      <c r="O996" s="176" t="n"/>
      <c r="P996" s="176" t="n"/>
      <c r="Q996" s="176" t="n"/>
      <c r="R996" s="176" t="n"/>
      <c r="S996" s="176" t="n"/>
      <c r="T996" s="176" t="n"/>
      <c r="U996" s="176" t="n"/>
      <c r="V996" s="176" t="n"/>
      <c r="W996" s="176" t="n"/>
      <c r="X996" s="176" t="n"/>
      <c r="Y996" s="176" t="n"/>
      <c r="Z996" s="176" t="n"/>
      <c r="AA996" s="176" t="n"/>
      <c r="AB996" s="176" t="n"/>
    </row>
    <row r="997">
      <c r="A997" s="176" t="n"/>
      <c r="B997" s="176" t="n"/>
      <c r="C997" s="176" t="n"/>
      <c r="D997" s="176" t="n"/>
      <c r="E997" s="176" t="n"/>
      <c r="F997" s="213" t="n"/>
      <c r="G997" s="213" t="n"/>
      <c r="H997" s="213" t="n"/>
      <c r="I997" s="213" t="n"/>
      <c r="J997" s="213" t="n"/>
      <c r="K997" s="946" t="n"/>
      <c r="L997" s="176" t="n"/>
      <c r="M997" s="176" t="n"/>
      <c r="N997" s="176" t="n"/>
      <c r="O997" s="176" t="n"/>
      <c r="P997" s="176" t="n"/>
      <c r="Q997" s="176" t="n"/>
      <c r="R997" s="176" t="n"/>
      <c r="S997" s="176" t="n"/>
      <c r="T997" s="176" t="n"/>
      <c r="U997" s="176" t="n"/>
      <c r="V997" s="176" t="n"/>
      <c r="W997" s="176" t="n"/>
      <c r="X997" s="176" t="n"/>
      <c r="Y997" s="176" t="n"/>
      <c r="Z997" s="176" t="n"/>
      <c r="AA997" s="176" t="n"/>
      <c r="AB997" s="176" t="n"/>
    </row>
    <row r="998">
      <c r="A998" s="176" t="n"/>
      <c r="B998" s="176" t="n"/>
      <c r="C998" s="176" t="n"/>
      <c r="D998" s="176" t="n"/>
      <c r="E998" s="176" t="n"/>
      <c r="F998" s="213" t="n"/>
      <c r="G998" s="213" t="n"/>
      <c r="H998" s="213" t="n"/>
      <c r="I998" s="213" t="n"/>
      <c r="J998" s="213" t="n"/>
      <c r="K998" s="946" t="n"/>
      <c r="L998" s="176" t="n"/>
      <c r="M998" s="176" t="n"/>
      <c r="N998" s="176" t="n"/>
      <c r="O998" s="176" t="n"/>
      <c r="P998" s="176" t="n"/>
      <c r="Q998" s="176" t="n"/>
      <c r="R998" s="176" t="n"/>
      <c r="S998" s="176" t="n"/>
      <c r="T998" s="176" t="n"/>
      <c r="U998" s="176" t="n"/>
      <c r="V998" s="176" t="n"/>
      <c r="W998" s="176" t="n"/>
      <c r="X998" s="176" t="n"/>
      <c r="Y998" s="176" t="n"/>
      <c r="Z998" s="176" t="n"/>
      <c r="AA998" s="176" t="n"/>
      <c r="AB998" s="176" t="n"/>
    </row>
    <row r="999">
      <c r="A999" s="176" t="n"/>
      <c r="B999" s="176" t="n"/>
      <c r="C999" s="176" t="n"/>
      <c r="D999" s="176" t="n"/>
      <c r="E999" s="176" t="n"/>
      <c r="F999" s="213" t="n"/>
      <c r="G999" s="213" t="n"/>
      <c r="H999" s="213" t="n"/>
      <c r="I999" s="213" t="n"/>
      <c r="J999" s="213" t="n"/>
      <c r="K999" s="946" t="n"/>
      <c r="L999" s="176" t="n"/>
      <c r="M999" s="176" t="n"/>
      <c r="N999" s="176" t="n"/>
      <c r="O999" s="176" t="n"/>
      <c r="P999" s="176" t="n"/>
      <c r="Q999" s="176" t="n"/>
      <c r="R999" s="176" t="n"/>
      <c r="S999" s="176" t="n"/>
      <c r="T999" s="176" t="n"/>
      <c r="U999" s="176" t="n"/>
      <c r="V999" s="176" t="n"/>
      <c r="W999" s="176" t="n"/>
      <c r="X999" s="176" t="n"/>
      <c r="Y999" s="176" t="n"/>
      <c r="Z999" s="176" t="n"/>
      <c r="AA999" s="176" t="n"/>
      <c r="AB999" s="176" t="n"/>
    </row>
    <row r="1000">
      <c r="A1000" s="176" t="n"/>
      <c r="B1000" s="176" t="n"/>
      <c r="C1000" s="176" t="n"/>
      <c r="D1000" s="176" t="n"/>
      <c r="E1000" s="176" t="n"/>
      <c r="F1000" s="213" t="n"/>
      <c r="G1000" s="213" t="n"/>
      <c r="H1000" s="213" t="n"/>
      <c r="I1000" s="213" t="n"/>
      <c r="J1000" s="213" t="n"/>
      <c r="K1000" s="946" t="n"/>
      <c r="L1000" s="176" t="n"/>
      <c r="M1000" s="176" t="n"/>
      <c r="N1000" s="176" t="n"/>
      <c r="O1000" s="176" t="n"/>
      <c r="P1000" s="176" t="n"/>
      <c r="Q1000" s="176" t="n"/>
      <c r="R1000" s="176" t="n"/>
      <c r="S1000" s="176" t="n"/>
      <c r="T1000" s="176" t="n"/>
      <c r="U1000" s="176" t="n"/>
      <c r="V1000" s="176" t="n"/>
      <c r="W1000" s="176" t="n"/>
      <c r="X1000" s="176" t="n"/>
      <c r="Y1000" s="176" t="n"/>
      <c r="Z1000" s="176" t="n"/>
      <c r="AA1000" s="176" t="n"/>
      <c r="AB1000" s="176" t="n"/>
    </row>
    <row r="1001">
      <c r="A1001" s="176" t="n"/>
      <c r="B1001" s="176" t="n"/>
      <c r="C1001" s="176" t="n"/>
      <c r="D1001" s="176" t="n"/>
      <c r="E1001" s="176" t="n"/>
      <c r="F1001" s="213" t="n"/>
      <c r="G1001" s="213" t="n"/>
      <c r="H1001" s="213" t="n"/>
      <c r="I1001" s="213" t="n"/>
      <c r="J1001" s="213" t="n"/>
      <c r="K1001" s="946" t="n"/>
      <c r="L1001" s="176" t="n"/>
      <c r="M1001" s="176" t="n"/>
      <c r="N1001" s="176" t="n"/>
      <c r="O1001" s="176" t="n"/>
      <c r="P1001" s="176" t="n"/>
      <c r="Q1001" s="176" t="n"/>
      <c r="R1001" s="176" t="n"/>
      <c r="S1001" s="176" t="n"/>
      <c r="T1001" s="176" t="n"/>
      <c r="U1001" s="176" t="n"/>
      <c r="V1001" s="176" t="n"/>
      <c r="W1001" s="176" t="n"/>
      <c r="X1001" s="176" t="n"/>
      <c r="Y1001" s="176" t="n"/>
      <c r="Z1001" s="176" t="n"/>
      <c r="AA1001" s="176" t="n"/>
      <c r="AB1001" s="176" t="n"/>
    </row>
    <row r="1002">
      <c r="A1002" s="176" t="n"/>
      <c r="B1002" s="176" t="n"/>
      <c r="C1002" s="176" t="n"/>
      <c r="D1002" s="176" t="n"/>
      <c r="E1002" s="176" t="n"/>
      <c r="F1002" s="213" t="n"/>
      <c r="G1002" s="213" t="n"/>
      <c r="H1002" s="213" t="n"/>
      <c r="I1002" s="213" t="n"/>
      <c r="J1002" s="213" t="n"/>
      <c r="K1002" s="946" t="n"/>
      <c r="L1002" s="176" t="n"/>
      <c r="M1002" s="176" t="n"/>
      <c r="N1002" s="176" t="n"/>
      <c r="O1002" s="176" t="n"/>
      <c r="P1002" s="176" t="n"/>
      <c r="Q1002" s="176" t="n"/>
      <c r="R1002" s="176" t="n"/>
      <c r="S1002" s="176" t="n"/>
      <c r="T1002" s="176" t="n"/>
      <c r="U1002" s="176" t="n"/>
      <c r="V1002" s="176" t="n"/>
      <c r="W1002" s="176" t="n"/>
      <c r="X1002" s="176" t="n"/>
      <c r="Y1002" s="176" t="n"/>
      <c r="Z1002" s="176" t="n"/>
      <c r="AA1002" s="176" t="n"/>
      <c r="AB1002" s="176" t="n"/>
    </row>
    <row r="1003">
      <c r="A1003" s="176" t="n"/>
      <c r="B1003" s="176" t="n"/>
      <c r="C1003" s="176" t="n"/>
      <c r="D1003" s="176" t="n"/>
      <c r="E1003" s="176" t="n"/>
      <c r="F1003" s="213" t="n"/>
      <c r="G1003" s="213" t="n"/>
      <c r="H1003" s="213" t="n"/>
      <c r="I1003" s="213" t="n"/>
      <c r="J1003" s="213" t="n"/>
      <c r="K1003" s="946" t="n"/>
      <c r="L1003" s="176" t="n"/>
      <c r="M1003" s="176" t="n"/>
      <c r="N1003" s="176" t="n"/>
      <c r="O1003" s="176" t="n"/>
      <c r="P1003" s="176" t="n"/>
      <c r="Q1003" s="176" t="n"/>
      <c r="R1003" s="176" t="n"/>
      <c r="S1003" s="176" t="n"/>
      <c r="T1003" s="176" t="n"/>
      <c r="U1003" s="176" t="n"/>
      <c r="V1003" s="176" t="n"/>
      <c r="W1003" s="176" t="n"/>
      <c r="X1003" s="176" t="n"/>
      <c r="Y1003" s="176" t="n"/>
      <c r="Z1003" s="176" t="n"/>
      <c r="AA1003" s="176" t="n"/>
      <c r="AB1003" s="176"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2026-06-19T06:59:38Z</dcterms:modified>
  <cp:lastModifiedBy>michael janabi</cp:lastModifiedBy>
</cp:coreProperties>
</file>