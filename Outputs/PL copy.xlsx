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opherhoward/Desktop/"/>
    </mc:Choice>
  </mc:AlternateContent>
  <xr:revisionPtr revIDLastSave="0" documentId="13_ncr:1_{ED3CAA1E-A0C4-1D4E-845C-8ABFFD06F520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Sheet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4" i="1" l="1"/>
  <c r="Q92" i="1"/>
  <c r="Q91" i="1"/>
  <c r="Q90" i="1"/>
  <c r="Q82" i="1"/>
  <c r="Q83" i="1"/>
  <c r="Q84" i="1"/>
  <c r="Q85" i="1"/>
  <c r="Q86" i="1"/>
  <c r="Q87" i="1"/>
  <c r="Q88" i="1"/>
  <c r="Q89" i="1"/>
  <c r="Q81" i="1"/>
  <c r="Q79" i="1"/>
  <c r="Q74" i="1"/>
  <c r="Q75" i="1"/>
  <c r="Q77" i="1"/>
  <c r="Q78" i="1"/>
  <c r="Q73" i="1"/>
  <c r="Q71" i="1"/>
  <c r="Q64" i="1"/>
  <c r="Q65" i="1"/>
  <c r="Q66" i="1"/>
  <c r="Q67" i="1"/>
  <c r="Q68" i="1"/>
  <c r="Q69" i="1"/>
  <c r="Q70" i="1"/>
  <c r="Q63" i="1"/>
  <c r="Q61" i="1"/>
  <c r="Q60" i="1"/>
  <c r="Q58" i="1"/>
  <c r="Q50" i="1"/>
  <c r="Q51" i="1"/>
  <c r="Q52" i="1"/>
  <c r="Q53" i="1"/>
  <c r="Q54" i="1"/>
  <c r="Q55" i="1"/>
  <c r="Q56" i="1"/>
  <c r="Q57" i="1"/>
  <c r="Q49" i="1"/>
  <c r="Q47" i="1"/>
  <c r="Q46" i="1"/>
  <c r="Q45" i="1"/>
  <c r="Q44" i="1"/>
  <c r="Q42" i="1"/>
  <c r="Q41" i="1"/>
  <c r="Q40" i="1"/>
  <c r="Q38" i="1"/>
  <c r="Q37" i="1"/>
  <c r="Q34" i="1"/>
  <c r="Q33" i="1"/>
  <c r="Q27" i="1"/>
  <c r="Q28" i="1"/>
  <c r="Q29" i="1"/>
  <c r="Q30" i="1"/>
  <c r="Q31" i="1"/>
  <c r="Q32" i="1"/>
  <c r="Q26" i="1"/>
  <c r="Q25" i="1"/>
  <c r="Q23" i="1"/>
  <c r="Q21" i="1"/>
  <c r="Q18" i="1"/>
  <c r="Q17" i="1"/>
  <c r="Q12" i="1"/>
  <c r="Q11" i="1"/>
  <c r="Q10" i="1"/>
  <c r="Q9" i="1"/>
  <c r="Q8" i="1"/>
  <c r="D94" i="1"/>
  <c r="E94" i="1"/>
  <c r="F94" i="1"/>
  <c r="G94" i="1"/>
  <c r="H94" i="1"/>
  <c r="I94" i="1"/>
  <c r="J94" i="1"/>
  <c r="K94" i="1"/>
  <c r="L94" i="1"/>
  <c r="M94" i="1"/>
  <c r="N94" i="1"/>
  <c r="O94" i="1"/>
  <c r="C94" i="1"/>
  <c r="D92" i="1"/>
  <c r="E92" i="1"/>
  <c r="F92" i="1"/>
  <c r="G92" i="1"/>
  <c r="H92" i="1"/>
  <c r="I92" i="1"/>
  <c r="J92" i="1"/>
  <c r="K92" i="1"/>
  <c r="L92" i="1"/>
  <c r="M92" i="1"/>
  <c r="N92" i="1"/>
  <c r="O92" i="1"/>
  <c r="C92" i="1"/>
  <c r="D45" i="1"/>
  <c r="E45" i="1"/>
  <c r="F45" i="1"/>
  <c r="G45" i="1"/>
  <c r="H45" i="1"/>
  <c r="I45" i="1"/>
  <c r="J45" i="1"/>
  <c r="K45" i="1"/>
  <c r="L45" i="1"/>
  <c r="M45" i="1"/>
  <c r="N45" i="1"/>
  <c r="O45" i="1"/>
  <c r="C45" i="1"/>
  <c r="D34" i="1"/>
  <c r="E34" i="1"/>
  <c r="F34" i="1"/>
  <c r="G34" i="1"/>
  <c r="H34" i="1"/>
  <c r="I34" i="1"/>
  <c r="J34" i="1"/>
  <c r="K34" i="1"/>
  <c r="L34" i="1"/>
  <c r="M34" i="1"/>
  <c r="N34" i="1"/>
  <c r="O34" i="1"/>
  <c r="C34" i="1"/>
</calcChain>
</file>

<file path=xl/sharedStrings.xml><?xml version="1.0" encoding="utf-8"?>
<sst xmlns="http://schemas.openxmlformats.org/spreadsheetml/2006/main" count="162" uniqueCount="113">
  <si>
    <t>Profit &amp; Loss 12 Month Recap</t>
  </si>
  <si>
    <t>Property: Whaleshead Beach Resort</t>
  </si>
  <si>
    <t>Monthly recap 11/01/24 - 10/31/25  (accrual basis)</t>
  </si>
  <si>
    <t>NOV 24</t>
  </si>
  <si>
    <t>DEC 24</t>
  </si>
  <si>
    <t>JAN 25</t>
  </si>
  <si>
    <t>FEB 25</t>
  </si>
  <si>
    <t>MAR 25</t>
  </si>
  <si>
    <t>APR 25</t>
  </si>
  <si>
    <t>MAY 25</t>
  </si>
  <si>
    <t>JUN 25</t>
  </si>
  <si>
    <t>JUL 25</t>
  </si>
  <si>
    <t>AUG 25</t>
  </si>
  <si>
    <t>SEP 25</t>
  </si>
  <si>
    <t>OCT 25</t>
  </si>
  <si>
    <t>TOTAL</t>
  </si>
  <si>
    <t>INCOME</t>
  </si>
  <si>
    <t xml:space="preserve">    4100 Rental Income (non-posting)</t>
  </si>
  <si>
    <t xml:space="preserve">        4101 Lot Rent</t>
  </si>
  <si>
    <t xml:space="preserve">        4103 Long Term RV Lot Rent</t>
  </si>
  <si>
    <t xml:space="preserve">        4108 Storage Unit Rent</t>
  </si>
  <si>
    <t xml:space="preserve">        4110 Retail Unit Rent</t>
  </si>
  <si>
    <t xml:space="preserve">        4100 Total Rental Income (non-posting)</t>
  </si>
  <si>
    <t xml:space="preserve">    4130 Concession Credits (non-posting)</t>
  </si>
  <si>
    <t xml:space="preserve">        4131 Move in Specials</t>
  </si>
  <si>
    <t xml:space="preserve">        4130 Total Concession Credits (non-posting)</t>
  </si>
  <si>
    <t xml:space="preserve">    4300 Maintenance Income (non-posting)</t>
  </si>
  <si>
    <t xml:space="preserve">        4304 Damages</t>
  </si>
  <si>
    <t xml:space="preserve">        4300 Total Maintenance Income (non-posting)</t>
  </si>
  <si>
    <t xml:space="preserve">    4400 Utility Income (non-posting)</t>
  </si>
  <si>
    <t xml:space="preserve">        4402 Water &amp; Sewer</t>
  </si>
  <si>
    <t xml:space="preserve">        4403 Electric</t>
  </si>
  <si>
    <t xml:space="preserve">        4404 Garbage</t>
  </si>
  <si>
    <t xml:space="preserve">        4400 Total Utility Income (non-posting)</t>
  </si>
  <si>
    <t xml:space="preserve">    4900 Other Property Income (non-posting)</t>
  </si>
  <si>
    <t xml:space="preserve">        4905 Recovered Legal/Court Fees</t>
  </si>
  <si>
    <t xml:space="preserve">        4907 Violation Fines</t>
  </si>
  <si>
    <t xml:space="preserve">        4908 Payment Processing Fee</t>
  </si>
  <si>
    <t xml:space="preserve">        4909 Cable Revenue Sharing</t>
  </si>
  <si>
    <t xml:space="preserve">        4910 Rental Pool Revenue Sharing</t>
  </si>
  <si>
    <t xml:space="preserve">        4913 Application Fees</t>
  </si>
  <si>
    <t xml:space="preserve">        4914 Late Fees</t>
  </si>
  <si>
    <t xml:space="preserve">        4915 NSF Fees</t>
  </si>
  <si>
    <t xml:space="preserve">        4900 Total Other Property Income (non-posting)</t>
  </si>
  <si>
    <t>EXPENSE</t>
  </si>
  <si>
    <t xml:space="preserve">    5000 Management Fees Expense</t>
  </si>
  <si>
    <t xml:space="preserve">    5001 Advertising</t>
  </si>
  <si>
    <t xml:space="preserve">    5050 Insurance Expense (non-posting)</t>
  </si>
  <si>
    <t xml:space="preserve">        5051 Car Insurance Expense</t>
  </si>
  <si>
    <t xml:space="preserve">        5053 Liability Insurance Expense</t>
  </si>
  <si>
    <t xml:space="preserve">        5050 Total Insurance Expense (non-posting)</t>
  </si>
  <si>
    <t xml:space="preserve">    5060 Legal and Other Professional Fees (non-posting)</t>
  </si>
  <si>
    <t xml:space="preserve">        5062 Legal Fees</t>
  </si>
  <si>
    <t xml:space="preserve">        5060 Total Legal and Other Professional Fees (non-posting)</t>
  </si>
  <si>
    <t xml:space="preserve">    5070 Licenses &amp; Permits</t>
  </si>
  <si>
    <t xml:space="preserve">    5072 Dues &amp; Subscriptions</t>
  </si>
  <si>
    <t xml:space="preserve">    5100 Repairs &amp; Maintenance Expense (non-posting)</t>
  </si>
  <si>
    <t xml:space="preserve">        5102 Tree Maintenance</t>
  </si>
  <si>
    <t xml:space="preserve">        5103 Pest Control</t>
  </si>
  <si>
    <t xml:space="preserve">        5104 Grounds Maintenance</t>
  </si>
  <si>
    <t xml:space="preserve">        5107 Septic Pumping &amp; Repair</t>
  </si>
  <si>
    <t xml:space="preserve">        5108 Plumbing</t>
  </si>
  <si>
    <t xml:space="preserve">        5109 Miscellaneous Repairs Expense</t>
  </si>
  <si>
    <t xml:space="preserve">        5110 Equipment Repairs &amp; Parts</t>
  </si>
  <si>
    <t xml:space="preserve">        5111 Electrical &amp; Gas Repairs</t>
  </si>
  <si>
    <t xml:space="preserve">        5200 Park Supplies</t>
  </si>
  <si>
    <t xml:space="preserve">        5100 Total Repairs &amp; Maintenance Expense (non-posting)</t>
  </si>
  <si>
    <t xml:space="preserve">    5300 Taxes Expense (non-posting)</t>
  </si>
  <si>
    <t xml:space="preserve">        5301 Property Taxes</t>
  </si>
  <si>
    <t xml:space="preserve">        5300 Total Taxes Expense (non-posting)</t>
  </si>
  <si>
    <t xml:space="preserve">    5400 Utilities Expense (non-posting)</t>
  </si>
  <si>
    <t xml:space="preserve">        5401 Fuel for Vehicles</t>
  </si>
  <si>
    <t xml:space="preserve">        5402 Water &amp; Sewer</t>
  </si>
  <si>
    <t xml:space="preserve">        5403 Water Testing</t>
  </si>
  <si>
    <t xml:space="preserve">        5404 Electric</t>
  </si>
  <si>
    <t xml:space="preserve">        5405 Garbage</t>
  </si>
  <si>
    <t xml:space="preserve">        5406 Gas &amp; Propane</t>
  </si>
  <si>
    <t xml:space="preserve">        5407 Tenant Cable TV</t>
  </si>
  <si>
    <t xml:space="preserve">        5409 Rentals - Coin Laundry</t>
  </si>
  <si>
    <t xml:space="preserve">        5400 Total Utilities Expense (non-posting)</t>
  </si>
  <si>
    <t xml:space="preserve">    5600 Office Expense (non-posting)</t>
  </si>
  <si>
    <t xml:space="preserve">        5601 Office Supplies</t>
  </si>
  <si>
    <t xml:space="preserve">        5602 Internet Services</t>
  </si>
  <si>
    <t xml:space="preserve">        5603 Telephone Services</t>
  </si>
  <si>
    <t xml:space="preserve">        5605 Postage</t>
  </si>
  <si>
    <t xml:space="preserve">        5606 Background Checks</t>
  </si>
  <si>
    <t xml:space="preserve">        5650 Bank Fees</t>
  </si>
  <si>
    <t xml:space="preserve">        5600 Total Office Expense (non-posting)</t>
  </si>
  <si>
    <t xml:space="preserve">    5700 Personnel</t>
  </si>
  <si>
    <t xml:space="preserve">        5701 Wages, Salary</t>
  </si>
  <si>
    <t xml:space="preserve">        5702 Health Insurance</t>
  </si>
  <si>
    <t xml:space="preserve">        5703 Casual Labour</t>
  </si>
  <si>
    <t xml:space="preserve">        5704 Unemployment Insurance</t>
  </si>
  <si>
    <t xml:space="preserve">        5705 Payroll Service Fee</t>
  </si>
  <si>
    <t xml:space="preserve">        5706 FUTA</t>
  </si>
  <si>
    <t xml:space="preserve">        5708 Social Security Tax</t>
  </si>
  <si>
    <t xml:space="preserve">        5713 OR Workers Benefit Fund</t>
  </si>
  <si>
    <t xml:space="preserve">        5716 Worker's Comp Insurance</t>
  </si>
  <si>
    <t xml:space="preserve">        5700 Total Personnel</t>
  </si>
  <si>
    <t xml:space="preserve">    6120 Bad Debt</t>
  </si>
  <si>
    <t>NOI</t>
  </si>
  <si>
    <t>TOTAL INCOME</t>
  </si>
  <si>
    <t>TOTAL EXPENSE</t>
  </si>
  <si>
    <t>PRO FORMA</t>
  </si>
  <si>
    <t>NOTES TO PRO FORMA</t>
  </si>
  <si>
    <t>March 2026 Rent Roll + 11 infilled units rented @ $1,250/mo</t>
  </si>
  <si>
    <t>March 2026 Rent Roll</t>
  </si>
  <si>
    <t>T12</t>
  </si>
  <si>
    <t>Discontinued</t>
  </si>
  <si>
    <t>Non-recurring</t>
  </si>
  <si>
    <t>Last quarter annualized. Switched insurance policies</t>
  </si>
  <si>
    <t>T12; payment processing fees, offset by revenue above</t>
  </si>
  <si>
    <t>Seller Specific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</si>
</sst>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0"/>
      <color rgb="FF000000"/>
      <name val="Arial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/>
    <xf numFmtId="49" fontId="2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center" vertical="top"/>
    </xf>
    <xf numFmtId="49" fontId="3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5" fillId="0" borderId="0" xfId="0" applyNumberFormat="1" applyFont="1" applyAlignment="1">
      <alignment horizontal="left" vertical="top"/>
    </xf>
    <xf numFmtId="44" fontId="3" fillId="0" borderId="0" xfId="1" applyFont="1" applyAlignment="1">
      <alignment horizontal="center" vertical="top"/>
    </xf>
    <xf numFmtId="44" fontId="2" fillId="0" borderId="0" xfId="1" applyFont="1" applyAlignment="1"/>
    <xf numFmtId="44" fontId="2" fillId="0" borderId="0" xfId="1" applyFont="1" applyAlignment="1">
      <alignment horizontal="center" vertical="top"/>
    </xf>
    <xf numFmtId="44" fontId="4" fillId="0" borderId="0" xfId="1" applyFont="1" applyAlignment="1">
      <alignment horizontal="center" vertical="top"/>
    </xf>
    <xf numFmtId="44" fontId="3" fillId="0" borderId="1" xfId="1" applyFont="1" applyBorder="1" applyAlignment="1">
      <alignment horizontal="center" vertical="top"/>
    </xf>
    <xf numFmtId="44" fontId="3" fillId="0" borderId="0" xfId="1" applyFont="1" applyAlignment="1">
      <alignment vertical="top"/>
    </xf>
    <xf numFmtId="44" fontId="1" fillId="0" borderId="0" xfId="1" applyFont="1" applyAlignment="1">
      <alignment horizontal="right" vertical="top"/>
    </xf>
    <xf numFmtId="44" fontId="3" fillId="0" borderId="2" xfId="1" applyFont="1" applyBorder="1" applyAlignment="1">
      <alignment horizontal="right" vertical="top"/>
    </xf>
    <xf numFmtId="44" fontId="3" fillId="0" borderId="0" xfId="1" applyFont="1" applyBorder="1" applyAlignment="1">
      <alignment horizontal="right" vertical="top"/>
    </xf>
    <xf numFmtId="9" fontId="2" fillId="0" borderId="0" xfId="0" applyNumberFormat="1" applyFont="1" applyAlignment="1">
      <alignment horizontal="left"/>
    </xf>
    <xf numFmtId="44" fontId="3" fillId="2" borderId="2" xfId="1" applyFont="1" applyFill="1" applyBorder="1" applyAlignment="1">
      <alignment horizontal="right"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4"/>
  <sheetViews>
    <sheetView tabSelected="1" zoomScale="107" workbookViewId="0">
      <pane xSplit="2" ySplit="5" topLeftCell="E6" activePane="bottomRight" state="frozen"/>
      <selection pane="topRight" activeCell="C1" sqref="C1"/>
      <selection pane="bottomLeft" activeCell="A6" sqref="A6"/>
      <selection pane="bottomRight" activeCell="K18" sqref="K18"/>
    </sheetView>
  </sheetViews>
  <sheetFormatPr baseColWidth="10" defaultColWidth="8.83203125" defaultRowHeight="13" x14ac:dyDescent="0.15"/>
  <cols>
    <col min="1" max="1" width="3.83203125" style="1" customWidth="1"/>
    <col min="2" max="2" width="50.83203125" style="1" customWidth="1"/>
    <col min="3" max="15" width="15.83203125" style="9" customWidth="1"/>
    <col min="16" max="16" width="3.83203125" style="9" customWidth="1"/>
    <col min="17" max="17" width="15.83203125" style="9" customWidth="1"/>
    <col min="18" max="18" width="54.33203125" style="1" customWidth="1"/>
    <col min="19" max="16384" width="8.83203125" style="1"/>
  </cols>
  <sheetData>
    <row r="1" spans="1:18" ht="25" x14ac:dyDescent="0.15">
      <c r="A1" s="7" t="s">
        <v>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8" x14ac:dyDescent="0.15">
      <c r="A2" s="2" t="s">
        <v>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8" x14ac:dyDescent="0.15">
      <c r="A3" s="3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8" x14ac:dyDescent="0.15">
      <c r="B4" s="4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1:18" x14ac:dyDescent="0.15">
      <c r="C5" s="12" t="s">
        <v>3</v>
      </c>
      <c r="D5" s="12" t="s">
        <v>4</v>
      </c>
      <c r="E5" s="12" t="s">
        <v>5</v>
      </c>
      <c r="F5" s="12" t="s">
        <v>6</v>
      </c>
      <c r="G5" s="12" t="s">
        <v>7</v>
      </c>
      <c r="H5" s="12" t="s">
        <v>8</v>
      </c>
      <c r="I5" s="12" t="s">
        <v>9</v>
      </c>
      <c r="J5" s="12" t="s">
        <v>10</v>
      </c>
      <c r="K5" s="12" t="s">
        <v>11</v>
      </c>
      <c r="L5" s="12" t="s">
        <v>12</v>
      </c>
      <c r="M5" s="12" t="s">
        <v>13</v>
      </c>
      <c r="N5" s="12" t="s">
        <v>14</v>
      </c>
      <c r="O5" s="12" t="s">
        <v>15</v>
      </c>
      <c r="P5" s="12"/>
      <c r="Q5" s="12" t="s">
        <v>103</v>
      </c>
      <c r="R5" s="12" t="s">
        <v>104</v>
      </c>
    </row>
    <row r="6" spans="1:18" x14ac:dyDescent="0.15">
      <c r="A6" s="5" t="s">
        <v>16</v>
      </c>
      <c r="B6" s="5"/>
      <c r="C6" s="13"/>
      <c r="D6" s="13"/>
    </row>
    <row r="7" spans="1:18" x14ac:dyDescent="0.15">
      <c r="B7" s="6" t="s">
        <v>17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8" x14ac:dyDescent="0.15">
      <c r="B8" s="6" t="s">
        <v>18</v>
      </c>
      <c r="C8" s="14">
        <v>88056</v>
      </c>
      <c r="D8" s="14">
        <v>88063.94</v>
      </c>
      <c r="E8" s="14">
        <v>95245</v>
      </c>
      <c r="F8" s="14">
        <v>96356</v>
      </c>
      <c r="G8" s="14">
        <v>97084</v>
      </c>
      <c r="H8" s="14">
        <v>97396</v>
      </c>
      <c r="I8" s="14">
        <v>97648</v>
      </c>
      <c r="J8" s="14">
        <v>97396.53</v>
      </c>
      <c r="K8" s="14">
        <v>96074</v>
      </c>
      <c r="L8" s="14">
        <v>97095</v>
      </c>
      <c r="M8" s="14">
        <v>97095</v>
      </c>
      <c r="N8" s="14">
        <v>97095</v>
      </c>
      <c r="O8" s="14">
        <v>1144604.47</v>
      </c>
      <c r="P8" s="14"/>
      <c r="Q8" s="9">
        <f>(102219+(11*1250))*12</f>
        <v>1391628</v>
      </c>
      <c r="R8" s="1" t="s">
        <v>105</v>
      </c>
    </row>
    <row r="9" spans="1:18" x14ac:dyDescent="0.15">
      <c r="B9" s="6" t="s">
        <v>19</v>
      </c>
      <c r="C9" s="14">
        <v>17051</v>
      </c>
      <c r="D9" s="14">
        <v>14962</v>
      </c>
      <c r="E9" s="14">
        <v>15578</v>
      </c>
      <c r="F9" s="14">
        <v>15645</v>
      </c>
      <c r="G9" s="14">
        <v>14563</v>
      </c>
      <c r="H9" s="14">
        <v>14831</v>
      </c>
      <c r="I9" s="14">
        <v>14090</v>
      </c>
      <c r="J9" s="14">
        <v>14090</v>
      </c>
      <c r="K9" s="14">
        <v>13416</v>
      </c>
      <c r="L9" s="14">
        <v>12742</v>
      </c>
      <c r="M9" s="14">
        <v>12742</v>
      </c>
      <c r="N9" s="14">
        <v>12995.2</v>
      </c>
      <c r="O9" s="14">
        <v>172705.2</v>
      </c>
      <c r="P9" s="14"/>
      <c r="Q9" s="9">
        <f>13299*12</f>
        <v>159588</v>
      </c>
      <c r="R9" s="1" t="s">
        <v>106</v>
      </c>
    </row>
    <row r="10" spans="1:18" x14ac:dyDescent="0.15">
      <c r="B10" s="6" t="s">
        <v>20</v>
      </c>
      <c r="C10" s="14">
        <v>75</v>
      </c>
      <c r="D10" s="14">
        <v>75</v>
      </c>
      <c r="E10" s="14">
        <v>75</v>
      </c>
      <c r="F10" s="14">
        <v>75</v>
      </c>
      <c r="G10" s="14">
        <v>75</v>
      </c>
      <c r="H10" s="14">
        <v>75</v>
      </c>
      <c r="I10" s="14">
        <v>75</v>
      </c>
      <c r="J10" s="14">
        <v>75</v>
      </c>
      <c r="K10" s="14">
        <v>75</v>
      </c>
      <c r="L10" s="14">
        <v>75</v>
      </c>
      <c r="M10" s="14">
        <v>75</v>
      </c>
      <c r="N10" s="14">
        <v>75</v>
      </c>
      <c r="O10" s="14">
        <v>900</v>
      </c>
      <c r="P10" s="14"/>
      <c r="Q10" s="9">
        <f>O10</f>
        <v>900</v>
      </c>
      <c r="R10" s="1" t="s">
        <v>106</v>
      </c>
    </row>
    <row r="11" spans="1:18" x14ac:dyDescent="0.15">
      <c r="B11" s="6" t="s">
        <v>21</v>
      </c>
      <c r="C11" s="14">
        <v>1200</v>
      </c>
      <c r="D11" s="14">
        <v>1200</v>
      </c>
      <c r="E11" s="14">
        <v>425.81</v>
      </c>
      <c r="F11" s="14">
        <v>0</v>
      </c>
      <c r="G11" s="14">
        <v>1200</v>
      </c>
      <c r="H11" s="14">
        <v>1200</v>
      </c>
      <c r="I11" s="14">
        <v>1200</v>
      </c>
      <c r="J11" s="14">
        <v>1200</v>
      </c>
      <c r="K11" s="14">
        <v>1200</v>
      </c>
      <c r="L11" s="14">
        <v>1200</v>
      </c>
      <c r="M11" s="14">
        <v>1200</v>
      </c>
      <c r="N11" s="14">
        <v>1200</v>
      </c>
      <c r="O11" s="14">
        <v>12425.81</v>
      </c>
      <c r="P11" s="14"/>
      <c r="Q11" s="9">
        <f>1300*12</f>
        <v>15600</v>
      </c>
      <c r="R11" s="1" t="s">
        <v>106</v>
      </c>
    </row>
    <row r="12" spans="1:18" x14ac:dyDescent="0.15">
      <c r="B12" s="6" t="s">
        <v>22</v>
      </c>
      <c r="C12" s="14">
        <v>106382</v>
      </c>
      <c r="D12" s="14">
        <v>104300.94</v>
      </c>
      <c r="E12" s="14">
        <v>111323.81</v>
      </c>
      <c r="F12" s="14">
        <v>112076</v>
      </c>
      <c r="G12" s="14">
        <v>112922</v>
      </c>
      <c r="H12" s="14">
        <v>113502</v>
      </c>
      <c r="I12" s="14">
        <v>113013</v>
      </c>
      <c r="J12" s="14">
        <v>112761.53</v>
      </c>
      <c r="K12" s="14">
        <v>110765</v>
      </c>
      <c r="L12" s="14">
        <v>111112</v>
      </c>
      <c r="M12" s="14">
        <v>111112</v>
      </c>
      <c r="N12" s="14">
        <v>111365.2</v>
      </c>
      <c r="O12" s="14">
        <v>1330635.48</v>
      </c>
      <c r="P12" s="14"/>
      <c r="Q12" s="9">
        <f>SUM(Q8:Q11)</f>
        <v>1567716</v>
      </c>
    </row>
    <row r="13" spans="1:18" x14ac:dyDescent="0.15">
      <c r="B13" s="6" t="s">
        <v>23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8" x14ac:dyDescent="0.15">
      <c r="B14" s="6" t="s">
        <v>24</v>
      </c>
      <c r="C14" s="14">
        <v>-84</v>
      </c>
      <c r="D14" s="14">
        <v>-84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-168</v>
      </c>
      <c r="P14" s="14"/>
      <c r="Q14" s="9">
        <v>0</v>
      </c>
      <c r="R14" s="1" t="s">
        <v>108</v>
      </c>
    </row>
    <row r="15" spans="1:18" x14ac:dyDescent="0.15">
      <c r="B15" s="6" t="s">
        <v>25</v>
      </c>
      <c r="C15" s="14">
        <v>-84</v>
      </c>
      <c r="D15" s="14">
        <v>-84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-168</v>
      </c>
      <c r="P15" s="14"/>
      <c r="Q15" s="9">
        <v>0</v>
      </c>
    </row>
    <row r="16" spans="1:18" x14ac:dyDescent="0.15">
      <c r="B16" s="6" t="s">
        <v>26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</row>
    <row r="17" spans="2:18" x14ac:dyDescent="0.15">
      <c r="B17" s="6" t="s">
        <v>27</v>
      </c>
      <c r="C17" s="14">
        <v>0</v>
      </c>
      <c r="D17" s="14">
        <v>0</v>
      </c>
      <c r="E17" s="14">
        <v>0</v>
      </c>
      <c r="F17" s="14">
        <v>0</v>
      </c>
      <c r="G17" s="14">
        <v>1250.6500000000001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1250.6500000000001</v>
      </c>
      <c r="P17" s="14"/>
      <c r="Q17" s="9">
        <f>O17</f>
        <v>1250.6500000000001</v>
      </c>
      <c r="R17" s="1" t="s">
        <v>107</v>
      </c>
    </row>
    <row r="18" spans="2:18" x14ac:dyDescent="0.15">
      <c r="B18" s="6" t="s">
        <v>28</v>
      </c>
      <c r="C18" s="14">
        <v>0</v>
      </c>
      <c r="D18" s="14">
        <v>0</v>
      </c>
      <c r="E18" s="14">
        <v>0</v>
      </c>
      <c r="F18" s="14">
        <v>0</v>
      </c>
      <c r="G18" s="14">
        <v>1250.6500000000001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1250.6500000000001</v>
      </c>
      <c r="P18" s="14"/>
      <c r="Q18" s="9">
        <f>Q17</f>
        <v>1250.6500000000001</v>
      </c>
    </row>
    <row r="19" spans="2:18" x14ac:dyDescent="0.15">
      <c r="B19" s="6" t="s">
        <v>29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</row>
    <row r="20" spans="2:18" x14ac:dyDescent="0.15">
      <c r="B20" s="6" t="s">
        <v>30</v>
      </c>
      <c r="C20" s="14">
        <v>0</v>
      </c>
      <c r="D20" s="14">
        <v>0</v>
      </c>
      <c r="E20" s="14">
        <v>0</v>
      </c>
      <c r="F20" s="14">
        <v>-1709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-1709</v>
      </c>
      <c r="P20" s="14"/>
      <c r="Q20" s="9">
        <v>0</v>
      </c>
      <c r="R20" s="1" t="s">
        <v>109</v>
      </c>
    </row>
    <row r="21" spans="2:18" x14ac:dyDescent="0.15">
      <c r="B21" s="6" t="s">
        <v>31</v>
      </c>
      <c r="C21" s="14">
        <v>5895.17</v>
      </c>
      <c r="D21" s="14">
        <v>7136.87</v>
      </c>
      <c r="E21" s="14">
        <v>8138.93</v>
      </c>
      <c r="F21" s="14">
        <v>7443.4</v>
      </c>
      <c r="G21" s="14">
        <v>9404.69</v>
      </c>
      <c r="H21" s="14">
        <v>7438.49</v>
      </c>
      <c r="I21" s="14">
        <v>6708.47</v>
      </c>
      <c r="J21" s="14">
        <v>6135.98</v>
      </c>
      <c r="K21" s="14">
        <v>6004.45</v>
      </c>
      <c r="L21" s="14">
        <v>5116.7299999999996</v>
      </c>
      <c r="M21" s="14">
        <v>4779.05</v>
      </c>
      <c r="N21" s="14">
        <v>4944.79</v>
      </c>
      <c r="O21" s="14">
        <v>79147.02</v>
      </c>
      <c r="P21" s="14"/>
      <c r="Q21" s="9">
        <f>O21</f>
        <v>79147.02</v>
      </c>
      <c r="R21" s="1" t="s">
        <v>107</v>
      </c>
    </row>
    <row r="22" spans="2:18" x14ac:dyDescent="0.15">
      <c r="B22" s="6" t="s">
        <v>32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30</v>
      </c>
      <c r="O22" s="14">
        <v>30</v>
      </c>
      <c r="P22" s="14"/>
      <c r="Q22" s="9">
        <v>0</v>
      </c>
      <c r="R22" s="1" t="s">
        <v>109</v>
      </c>
    </row>
    <row r="23" spans="2:18" x14ac:dyDescent="0.15">
      <c r="B23" s="6" t="s">
        <v>33</v>
      </c>
      <c r="C23" s="14">
        <v>5895.17</v>
      </c>
      <c r="D23" s="14">
        <v>7136.87</v>
      </c>
      <c r="E23" s="14">
        <v>8138.93</v>
      </c>
      <c r="F23" s="14">
        <v>5734.4</v>
      </c>
      <c r="G23" s="14">
        <v>9404.69</v>
      </c>
      <c r="H23" s="14">
        <v>7438.49</v>
      </c>
      <c r="I23" s="14">
        <v>6708.47</v>
      </c>
      <c r="J23" s="14">
        <v>6135.98</v>
      </c>
      <c r="K23" s="14">
        <v>6004.45</v>
      </c>
      <c r="L23" s="14">
        <v>5116.7299999999996</v>
      </c>
      <c r="M23" s="14">
        <v>4779.05</v>
      </c>
      <c r="N23" s="14">
        <v>4974.79</v>
      </c>
      <c r="O23" s="14">
        <v>77468.02</v>
      </c>
      <c r="P23" s="14"/>
      <c r="Q23" s="9">
        <f>SUM(Q20:Q22)</f>
        <v>79147.02</v>
      </c>
    </row>
    <row r="24" spans="2:18" x14ac:dyDescent="0.15">
      <c r="B24" s="6" t="s">
        <v>34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</row>
    <row r="25" spans="2:18" x14ac:dyDescent="0.15">
      <c r="B25" s="6" t="s">
        <v>35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1305.25</v>
      </c>
      <c r="J25" s="14">
        <v>1878.5</v>
      </c>
      <c r="K25" s="14">
        <v>0</v>
      </c>
      <c r="L25" s="14">
        <v>0</v>
      </c>
      <c r="M25" s="14">
        <v>0</v>
      </c>
      <c r="N25" s="14">
        <v>0</v>
      </c>
      <c r="O25" s="14">
        <v>3183.75</v>
      </c>
      <c r="P25" s="14"/>
      <c r="Q25" s="9">
        <f>O25</f>
        <v>3183.75</v>
      </c>
      <c r="R25" s="1" t="s">
        <v>107</v>
      </c>
    </row>
    <row r="26" spans="2:18" x14ac:dyDescent="0.15">
      <c r="B26" s="6" t="s">
        <v>36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50</v>
      </c>
      <c r="K26" s="14">
        <v>0</v>
      </c>
      <c r="L26" s="14">
        <v>25</v>
      </c>
      <c r="M26" s="14">
        <v>-25</v>
      </c>
      <c r="N26" s="14">
        <v>0</v>
      </c>
      <c r="O26" s="14">
        <v>50</v>
      </c>
      <c r="P26" s="14"/>
      <c r="Q26" s="9">
        <f>O26</f>
        <v>50</v>
      </c>
      <c r="R26" s="1" t="s">
        <v>107</v>
      </c>
    </row>
    <row r="27" spans="2:18" x14ac:dyDescent="0.15">
      <c r="B27" s="6" t="s">
        <v>37</v>
      </c>
      <c r="C27" s="14">
        <v>630.54</v>
      </c>
      <c r="D27" s="14">
        <v>692.09</v>
      </c>
      <c r="E27" s="14">
        <v>635.05999999999995</v>
      </c>
      <c r="F27" s="14">
        <v>627.78</v>
      </c>
      <c r="G27" s="14">
        <v>666.63</v>
      </c>
      <c r="H27" s="14">
        <v>646.82000000000005</v>
      </c>
      <c r="I27" s="14">
        <v>562.24</v>
      </c>
      <c r="J27" s="14">
        <v>572.17999999999995</v>
      </c>
      <c r="K27" s="14">
        <v>514.04</v>
      </c>
      <c r="L27" s="14">
        <v>539.64</v>
      </c>
      <c r="M27" s="14">
        <v>548.87</v>
      </c>
      <c r="N27" s="14">
        <v>524.01</v>
      </c>
      <c r="O27" s="14">
        <v>7159.9</v>
      </c>
      <c r="P27" s="14"/>
      <c r="Q27" s="9">
        <f t="shared" ref="Q27:Q32" si="0">O27</f>
        <v>7159.9</v>
      </c>
      <c r="R27" s="1" t="s">
        <v>107</v>
      </c>
    </row>
    <row r="28" spans="2:18" x14ac:dyDescent="0.15">
      <c r="B28" s="6" t="s">
        <v>38</v>
      </c>
      <c r="C28" s="14">
        <v>203</v>
      </c>
      <c r="D28" s="14">
        <v>202.5</v>
      </c>
      <c r="E28" s="14">
        <v>228.27</v>
      </c>
      <c r="F28" s="14">
        <v>228.27</v>
      </c>
      <c r="G28" s="14">
        <v>228.29</v>
      </c>
      <c r="H28" s="14">
        <v>242.84</v>
      </c>
      <c r="I28" s="14">
        <v>242.84</v>
      </c>
      <c r="J28" s="14">
        <v>242.84</v>
      </c>
      <c r="K28" s="14">
        <v>225</v>
      </c>
      <c r="L28" s="14">
        <v>225</v>
      </c>
      <c r="M28" s="14">
        <v>195</v>
      </c>
      <c r="N28" s="14">
        <v>195</v>
      </c>
      <c r="O28" s="14">
        <v>2658.85</v>
      </c>
      <c r="P28" s="14"/>
      <c r="Q28" s="9">
        <f t="shared" si="0"/>
        <v>2658.85</v>
      </c>
      <c r="R28" s="1" t="s">
        <v>107</v>
      </c>
    </row>
    <row r="29" spans="2:18" x14ac:dyDescent="0.15">
      <c r="B29" s="6" t="s">
        <v>39</v>
      </c>
      <c r="C29" s="14">
        <v>1129.6400000000001</v>
      </c>
      <c r="D29" s="14">
        <v>953.07</v>
      </c>
      <c r="E29" s="14">
        <v>840.65</v>
      </c>
      <c r="F29" s="14">
        <v>851.25</v>
      </c>
      <c r="G29" s="14">
        <v>1855.27</v>
      </c>
      <c r="H29" s="14">
        <v>1698.5</v>
      </c>
      <c r="I29" s="14">
        <v>2361.5100000000002</v>
      </c>
      <c r="J29" s="14">
        <v>2752.75</v>
      </c>
      <c r="K29" s="14">
        <v>3719.63</v>
      </c>
      <c r="L29" s="14">
        <v>3819.32</v>
      </c>
      <c r="M29" s="14">
        <v>2792.13</v>
      </c>
      <c r="N29" s="14">
        <v>0</v>
      </c>
      <c r="O29" s="14">
        <v>22773.72</v>
      </c>
      <c r="P29" s="14"/>
      <c r="Q29" s="9">
        <f t="shared" si="0"/>
        <v>22773.72</v>
      </c>
      <c r="R29" s="1" t="s">
        <v>107</v>
      </c>
    </row>
    <row r="30" spans="2:18" x14ac:dyDescent="0.15">
      <c r="B30" s="6" t="s">
        <v>40</v>
      </c>
      <c r="C30" s="14">
        <v>200</v>
      </c>
      <c r="D30" s="14">
        <v>100</v>
      </c>
      <c r="E30" s="14">
        <v>0</v>
      </c>
      <c r="F30" s="14">
        <v>250</v>
      </c>
      <c r="G30" s="14">
        <v>100</v>
      </c>
      <c r="H30" s="14">
        <v>0</v>
      </c>
      <c r="I30" s="14">
        <v>0</v>
      </c>
      <c r="J30" s="14">
        <v>0</v>
      </c>
      <c r="K30" s="14">
        <v>50</v>
      </c>
      <c r="L30" s="14">
        <v>0</v>
      </c>
      <c r="M30" s="14">
        <v>0</v>
      </c>
      <c r="N30" s="14">
        <v>150</v>
      </c>
      <c r="O30" s="14">
        <v>850</v>
      </c>
      <c r="P30" s="14"/>
      <c r="Q30" s="9">
        <f t="shared" si="0"/>
        <v>850</v>
      </c>
      <c r="R30" s="1" t="s">
        <v>107</v>
      </c>
    </row>
    <row r="31" spans="2:18" x14ac:dyDescent="0.15">
      <c r="B31" s="6" t="s">
        <v>41</v>
      </c>
      <c r="C31" s="14">
        <v>350</v>
      </c>
      <c r="D31" s="14">
        <v>400</v>
      </c>
      <c r="E31" s="14">
        <v>450</v>
      </c>
      <c r="F31" s="14">
        <v>650</v>
      </c>
      <c r="G31" s="14">
        <v>500</v>
      </c>
      <c r="H31" s="14">
        <v>550</v>
      </c>
      <c r="I31" s="14">
        <v>650</v>
      </c>
      <c r="J31" s="14">
        <v>423.56</v>
      </c>
      <c r="K31" s="14">
        <v>500</v>
      </c>
      <c r="L31" s="14">
        <v>350</v>
      </c>
      <c r="M31" s="14">
        <v>200</v>
      </c>
      <c r="N31" s="14">
        <v>500</v>
      </c>
      <c r="O31" s="14">
        <v>5523.56</v>
      </c>
      <c r="P31" s="14"/>
      <c r="Q31" s="9">
        <f t="shared" si="0"/>
        <v>5523.56</v>
      </c>
      <c r="R31" s="1" t="s">
        <v>107</v>
      </c>
    </row>
    <row r="32" spans="2:18" x14ac:dyDescent="0.15">
      <c r="B32" s="6" t="s">
        <v>42</v>
      </c>
      <c r="C32" s="14">
        <v>50</v>
      </c>
      <c r="D32" s="14">
        <v>0</v>
      </c>
      <c r="E32" s="14">
        <v>25</v>
      </c>
      <c r="F32" s="14">
        <v>25</v>
      </c>
      <c r="G32" s="14">
        <v>25</v>
      </c>
      <c r="H32" s="14">
        <v>75</v>
      </c>
      <c r="I32" s="14">
        <v>50</v>
      </c>
      <c r="J32" s="14">
        <v>0</v>
      </c>
      <c r="K32" s="14">
        <v>25</v>
      </c>
      <c r="L32" s="14">
        <v>100</v>
      </c>
      <c r="M32" s="14">
        <v>0</v>
      </c>
      <c r="N32" s="14">
        <v>0</v>
      </c>
      <c r="O32" s="14">
        <v>375</v>
      </c>
      <c r="P32" s="14"/>
      <c r="Q32" s="9">
        <f t="shared" si="0"/>
        <v>375</v>
      </c>
      <c r="R32" s="1" t="s">
        <v>107</v>
      </c>
    </row>
    <row r="33" spans="1:18" x14ac:dyDescent="0.15">
      <c r="B33" s="6" t="s">
        <v>43</v>
      </c>
      <c r="C33" s="14">
        <v>2563.1799999999998</v>
      </c>
      <c r="D33" s="14">
        <v>2347.66</v>
      </c>
      <c r="E33" s="14">
        <v>2178.98</v>
      </c>
      <c r="F33" s="14">
        <v>2632.3</v>
      </c>
      <c r="G33" s="14">
        <v>3375.19</v>
      </c>
      <c r="H33" s="14">
        <v>3213.16</v>
      </c>
      <c r="I33" s="14">
        <v>5171.84</v>
      </c>
      <c r="J33" s="14">
        <v>5919.83</v>
      </c>
      <c r="K33" s="14">
        <v>5033.67</v>
      </c>
      <c r="L33" s="14">
        <v>5058.96</v>
      </c>
      <c r="M33" s="14">
        <v>3711</v>
      </c>
      <c r="N33" s="14">
        <v>1369.01</v>
      </c>
      <c r="O33" s="14">
        <v>42574.78</v>
      </c>
      <c r="P33" s="14"/>
      <c r="Q33" s="9">
        <f>SUM(Q25:Q32)</f>
        <v>42574.78</v>
      </c>
    </row>
    <row r="34" spans="1:18" x14ac:dyDescent="0.15">
      <c r="A34" s="5" t="s">
        <v>101</v>
      </c>
      <c r="B34" s="5"/>
      <c r="C34" s="15">
        <f>SUM(C12,C15,C18,C23,C33)</f>
        <v>114756.34999999999</v>
      </c>
      <c r="D34" s="15">
        <f t="shared" ref="D34:Q34" si="1">SUM(D12,D15,D18,D23,D33)</f>
        <v>113701.47</v>
      </c>
      <c r="E34" s="15">
        <f t="shared" si="1"/>
        <v>121641.71999999999</v>
      </c>
      <c r="F34" s="15">
        <f t="shared" si="1"/>
        <v>120442.7</v>
      </c>
      <c r="G34" s="15">
        <f t="shared" si="1"/>
        <v>126952.53</v>
      </c>
      <c r="H34" s="15">
        <f t="shared" si="1"/>
        <v>124153.65000000001</v>
      </c>
      <c r="I34" s="15">
        <f t="shared" si="1"/>
        <v>124893.31</v>
      </c>
      <c r="J34" s="15">
        <f t="shared" si="1"/>
        <v>124817.34</v>
      </c>
      <c r="K34" s="15">
        <f t="shared" si="1"/>
        <v>121803.12</v>
      </c>
      <c r="L34" s="15">
        <f t="shared" si="1"/>
        <v>121287.69</v>
      </c>
      <c r="M34" s="15">
        <f t="shared" si="1"/>
        <v>119602.05</v>
      </c>
      <c r="N34" s="15">
        <f t="shared" si="1"/>
        <v>117708.99999999999</v>
      </c>
      <c r="O34" s="15">
        <f t="shared" si="1"/>
        <v>1451760.93</v>
      </c>
      <c r="P34" s="15"/>
      <c r="Q34" s="15">
        <f t="shared" si="1"/>
        <v>1690688.45</v>
      </c>
    </row>
    <row r="35" spans="1:18" x14ac:dyDescent="0.15">
      <c r="A35" s="5"/>
      <c r="B35" s="5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</row>
    <row r="36" spans="1:18" x14ac:dyDescent="0.15">
      <c r="A36" s="5" t="s">
        <v>44</v>
      </c>
      <c r="B36" s="5"/>
      <c r="C36" s="13"/>
      <c r="D36" s="13"/>
    </row>
    <row r="37" spans="1:18" x14ac:dyDescent="0.15">
      <c r="B37" s="6" t="s">
        <v>45</v>
      </c>
      <c r="C37" s="14">
        <v>3420.21</v>
      </c>
      <c r="D37" s="14">
        <v>4344.21</v>
      </c>
      <c r="E37" s="14">
        <v>3638.85</v>
      </c>
      <c r="F37" s="14">
        <v>3638.84</v>
      </c>
      <c r="G37" s="14">
        <v>3723.95</v>
      </c>
      <c r="H37" s="14">
        <v>3673.68</v>
      </c>
      <c r="I37" s="14">
        <v>3638.72</v>
      </c>
      <c r="J37" s="14">
        <v>3620.6</v>
      </c>
      <c r="K37" s="14">
        <v>3544.15</v>
      </c>
      <c r="L37" s="14">
        <v>3520.16</v>
      </c>
      <c r="M37" s="14">
        <v>3506.55</v>
      </c>
      <c r="N37" s="14">
        <v>3530.05</v>
      </c>
      <c r="O37" s="14">
        <v>43799.97</v>
      </c>
      <c r="P37" s="14"/>
      <c r="Q37" s="9">
        <f>Q34*0.03</f>
        <v>50720.6535</v>
      </c>
      <c r="R37" s="17">
        <v>0.03</v>
      </c>
    </row>
    <row r="38" spans="1:18" x14ac:dyDescent="0.15">
      <c r="B38" s="6" t="s">
        <v>46</v>
      </c>
      <c r="C38" s="14">
        <v>0</v>
      </c>
      <c r="D38" s="14">
        <v>1448</v>
      </c>
      <c r="E38" s="14">
        <v>58.2</v>
      </c>
      <c r="F38" s="14">
        <v>58.2</v>
      </c>
      <c r="G38" s="14">
        <v>58.2</v>
      </c>
      <c r="H38" s="14">
        <v>58.2</v>
      </c>
      <c r="I38" s="14">
        <v>202.12</v>
      </c>
      <c r="J38" s="14">
        <v>58.2</v>
      </c>
      <c r="K38" s="14">
        <v>58.19</v>
      </c>
      <c r="L38" s="14">
        <v>310.27999999999997</v>
      </c>
      <c r="M38" s="14">
        <v>100.48</v>
      </c>
      <c r="N38" s="14">
        <v>58.19</v>
      </c>
      <c r="O38" s="14">
        <v>2468.2600000000002</v>
      </c>
      <c r="P38" s="14"/>
      <c r="Q38" s="9">
        <f>O38</f>
        <v>2468.2600000000002</v>
      </c>
      <c r="R38" s="1" t="s">
        <v>107</v>
      </c>
    </row>
    <row r="39" spans="1:18" x14ac:dyDescent="0.15">
      <c r="B39" s="6" t="s">
        <v>47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</row>
    <row r="40" spans="1:18" x14ac:dyDescent="0.15">
      <c r="B40" s="6" t="s">
        <v>48</v>
      </c>
      <c r="C40" s="14">
        <v>0</v>
      </c>
      <c r="D40" s="14">
        <v>0</v>
      </c>
      <c r="E40" s="14">
        <v>0</v>
      </c>
      <c r="F40" s="14">
        <v>0</v>
      </c>
      <c r="G40" s="14">
        <v>137.25</v>
      </c>
      <c r="H40" s="14">
        <v>109.8</v>
      </c>
      <c r="I40" s="14">
        <v>109.8</v>
      </c>
      <c r="J40" s="14">
        <v>109.8</v>
      </c>
      <c r="K40" s="14">
        <v>109.8</v>
      </c>
      <c r="L40" s="14">
        <v>109.8</v>
      </c>
      <c r="M40" s="14">
        <v>119.5</v>
      </c>
      <c r="N40" s="14">
        <v>119.5</v>
      </c>
      <c r="O40" s="14">
        <v>925.25</v>
      </c>
      <c r="P40" s="14"/>
      <c r="Q40" s="9">
        <f>SUM(K40:N40)*3</f>
        <v>1375.8000000000002</v>
      </c>
      <c r="R40" s="1" t="s">
        <v>110</v>
      </c>
    </row>
    <row r="41" spans="1:18" x14ac:dyDescent="0.15">
      <c r="B41" s="6" t="s">
        <v>49</v>
      </c>
      <c r="C41" s="14">
        <v>3230.91</v>
      </c>
      <c r="D41" s="14">
        <v>3234.24</v>
      </c>
      <c r="E41" s="14">
        <v>3224.27</v>
      </c>
      <c r="F41" s="14">
        <v>3230.91</v>
      </c>
      <c r="G41" s="14">
        <v>3230.91</v>
      </c>
      <c r="H41" s="14">
        <v>3230.91</v>
      </c>
      <c r="I41" s="14">
        <v>3230.91</v>
      </c>
      <c r="J41" s="14">
        <v>3230.91</v>
      </c>
      <c r="K41" s="14">
        <v>2675.19</v>
      </c>
      <c r="L41" s="14">
        <v>2675.19</v>
      </c>
      <c r="M41" s="14">
        <v>2675.19</v>
      </c>
      <c r="N41" s="14">
        <v>2886.18</v>
      </c>
      <c r="O41" s="14">
        <v>36755.72</v>
      </c>
      <c r="P41" s="14"/>
      <c r="Q41" s="9">
        <f>SUM(K41:N41)*3</f>
        <v>32735.25</v>
      </c>
      <c r="R41" s="1" t="s">
        <v>110</v>
      </c>
    </row>
    <row r="42" spans="1:18" x14ac:dyDescent="0.15">
      <c r="B42" s="6" t="s">
        <v>50</v>
      </c>
      <c r="C42" s="14">
        <v>3230.91</v>
      </c>
      <c r="D42" s="14">
        <v>3234.24</v>
      </c>
      <c r="E42" s="14">
        <v>3224.27</v>
      </c>
      <c r="F42" s="14">
        <v>3230.91</v>
      </c>
      <c r="G42" s="14">
        <v>3368.16</v>
      </c>
      <c r="H42" s="14">
        <v>3340.71</v>
      </c>
      <c r="I42" s="14">
        <v>3340.71</v>
      </c>
      <c r="J42" s="14">
        <v>3340.71</v>
      </c>
      <c r="K42" s="14">
        <v>2784.99</v>
      </c>
      <c r="L42" s="14">
        <v>2784.99</v>
      </c>
      <c r="M42" s="14">
        <v>2794.69</v>
      </c>
      <c r="N42" s="14">
        <v>3005.68</v>
      </c>
      <c r="O42" s="14">
        <v>37680.97</v>
      </c>
      <c r="P42" s="14"/>
      <c r="Q42" s="9">
        <f>SUM(Q40:Q41)</f>
        <v>34111.050000000003</v>
      </c>
    </row>
    <row r="43" spans="1:18" x14ac:dyDescent="0.15">
      <c r="B43" s="6" t="s">
        <v>51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1:18" x14ac:dyDescent="0.15">
      <c r="B44" s="6" t="s">
        <v>52</v>
      </c>
      <c r="C44" s="14">
        <v>385</v>
      </c>
      <c r="D44" s="14">
        <v>0</v>
      </c>
      <c r="E44" s="14">
        <v>0</v>
      </c>
      <c r="F44" s="14">
        <v>0</v>
      </c>
      <c r="G44" s="14">
        <v>330</v>
      </c>
      <c r="H44" s="14">
        <v>0</v>
      </c>
      <c r="I44" s="14">
        <v>1305.25</v>
      </c>
      <c r="J44" s="14">
        <v>1878.5</v>
      </c>
      <c r="K44" s="14">
        <v>247.5</v>
      </c>
      <c r="L44" s="14">
        <v>55</v>
      </c>
      <c r="M44" s="14">
        <v>0</v>
      </c>
      <c r="N44" s="14">
        <v>0</v>
      </c>
      <c r="O44" s="14">
        <v>4201.25</v>
      </c>
      <c r="P44" s="14"/>
      <c r="Q44" s="9">
        <f>O44</f>
        <v>4201.25</v>
      </c>
      <c r="R44" s="1" t="s">
        <v>107</v>
      </c>
    </row>
    <row r="45" spans="1:18" x14ac:dyDescent="0.15">
      <c r="B45" s="6" t="s">
        <v>53</v>
      </c>
      <c r="C45" s="14">
        <f>C44</f>
        <v>385</v>
      </c>
      <c r="D45" s="14">
        <f t="shared" ref="D45:O45" si="2">D44</f>
        <v>0</v>
      </c>
      <c r="E45" s="14">
        <f t="shared" si="2"/>
        <v>0</v>
      </c>
      <c r="F45" s="14">
        <f t="shared" si="2"/>
        <v>0</v>
      </c>
      <c r="G45" s="14">
        <f t="shared" si="2"/>
        <v>330</v>
      </c>
      <c r="H45" s="14">
        <f t="shared" si="2"/>
        <v>0</v>
      </c>
      <c r="I45" s="14">
        <f t="shared" si="2"/>
        <v>1305.25</v>
      </c>
      <c r="J45" s="14">
        <f t="shared" si="2"/>
        <v>1878.5</v>
      </c>
      <c r="K45" s="14">
        <f t="shared" si="2"/>
        <v>247.5</v>
      </c>
      <c r="L45" s="14">
        <f t="shared" si="2"/>
        <v>55</v>
      </c>
      <c r="M45" s="14">
        <f t="shared" si="2"/>
        <v>0</v>
      </c>
      <c r="N45" s="14">
        <f t="shared" si="2"/>
        <v>0</v>
      </c>
      <c r="O45" s="14">
        <f t="shared" si="2"/>
        <v>4201.25</v>
      </c>
      <c r="P45" s="14"/>
      <c r="Q45" s="9">
        <f>Q44</f>
        <v>4201.25</v>
      </c>
    </row>
    <row r="46" spans="1:18" x14ac:dyDescent="0.15">
      <c r="B46" s="6" t="s">
        <v>54</v>
      </c>
      <c r="C46" s="14">
        <v>418.5</v>
      </c>
      <c r="D46" s="14">
        <v>103.5</v>
      </c>
      <c r="E46" s="14">
        <v>103.5</v>
      </c>
      <c r="F46" s="14">
        <v>103.5</v>
      </c>
      <c r="G46" s="14">
        <v>103.5</v>
      </c>
      <c r="H46" s="14">
        <v>103.5</v>
      </c>
      <c r="I46" s="14">
        <v>231.63</v>
      </c>
      <c r="J46" s="14">
        <v>103.5</v>
      </c>
      <c r="K46" s="14">
        <v>103.5</v>
      </c>
      <c r="L46" s="14">
        <v>103.5</v>
      </c>
      <c r="M46" s="14">
        <v>103.5</v>
      </c>
      <c r="N46" s="14">
        <v>203.5</v>
      </c>
      <c r="O46" s="14">
        <v>1785.13</v>
      </c>
      <c r="P46" s="14"/>
      <c r="Q46" s="9">
        <f>O46</f>
        <v>1785.13</v>
      </c>
      <c r="R46" s="1" t="s">
        <v>107</v>
      </c>
    </row>
    <row r="47" spans="1:18" x14ac:dyDescent="0.15">
      <c r="B47" s="6" t="s">
        <v>55</v>
      </c>
      <c r="C47" s="14">
        <v>0</v>
      </c>
      <c r="D47" s="14">
        <v>0</v>
      </c>
      <c r="E47" s="14">
        <v>0</v>
      </c>
      <c r="F47" s="14">
        <v>0</v>
      </c>
      <c r="G47" s="14">
        <v>162.5</v>
      </c>
      <c r="H47" s="14">
        <v>162.5</v>
      </c>
      <c r="I47" s="14">
        <v>162.5</v>
      </c>
      <c r="J47" s="14">
        <v>162.5</v>
      </c>
      <c r="K47" s="14">
        <v>162.5</v>
      </c>
      <c r="L47" s="14">
        <v>162.5</v>
      </c>
      <c r="M47" s="14">
        <v>162.5</v>
      </c>
      <c r="N47" s="14">
        <v>162.5</v>
      </c>
      <c r="O47" s="14">
        <v>1300</v>
      </c>
      <c r="P47" s="14"/>
      <c r="Q47" s="9">
        <f>O47</f>
        <v>1300</v>
      </c>
      <c r="R47" s="1" t="s">
        <v>107</v>
      </c>
    </row>
    <row r="48" spans="1:18" x14ac:dyDescent="0.15">
      <c r="B48" s="6" t="s">
        <v>56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</row>
    <row r="49" spans="2:18" x14ac:dyDescent="0.15">
      <c r="B49" s="6" t="s">
        <v>57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1500</v>
      </c>
      <c r="N49" s="14">
        <v>1500</v>
      </c>
      <c r="O49" s="14">
        <v>3000</v>
      </c>
      <c r="P49" s="14"/>
      <c r="Q49" s="9">
        <f>O49</f>
        <v>3000</v>
      </c>
      <c r="R49" s="1" t="s">
        <v>107</v>
      </c>
    </row>
    <row r="50" spans="2:18" x14ac:dyDescent="0.15">
      <c r="B50" s="6" t="s">
        <v>58</v>
      </c>
      <c r="C50" s="14">
        <v>0</v>
      </c>
      <c r="D50" s="14">
        <v>0</v>
      </c>
      <c r="E50" s="14">
        <v>11.99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11.99</v>
      </c>
      <c r="P50" s="14"/>
      <c r="Q50" s="9">
        <f t="shared" ref="Q50:Q57" si="3">O50</f>
        <v>11.99</v>
      </c>
      <c r="R50" s="1" t="s">
        <v>107</v>
      </c>
    </row>
    <row r="51" spans="2:18" x14ac:dyDescent="0.15">
      <c r="B51" s="6" t="s">
        <v>59</v>
      </c>
      <c r="C51" s="14">
        <v>0</v>
      </c>
      <c r="D51" s="14">
        <v>0</v>
      </c>
      <c r="E51" s="14">
        <v>39</v>
      </c>
      <c r="F51" s="14">
        <v>0</v>
      </c>
      <c r="G51" s="14">
        <v>52</v>
      </c>
      <c r="H51" s="14">
        <v>22.98</v>
      </c>
      <c r="I51" s="14">
        <v>956.19</v>
      </c>
      <c r="J51" s="14">
        <v>423.6</v>
      </c>
      <c r="K51" s="14">
        <v>147.38</v>
      </c>
      <c r="L51" s="14">
        <v>560.66</v>
      </c>
      <c r="M51" s="14">
        <v>4229.84</v>
      </c>
      <c r="N51" s="14">
        <v>4500</v>
      </c>
      <c r="O51" s="14">
        <v>10931.65</v>
      </c>
      <c r="P51" s="14"/>
      <c r="Q51" s="9">
        <f t="shared" si="3"/>
        <v>10931.65</v>
      </c>
      <c r="R51" s="1" t="s">
        <v>107</v>
      </c>
    </row>
    <row r="52" spans="2:18" x14ac:dyDescent="0.15">
      <c r="B52" s="6" t="s">
        <v>60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875</v>
      </c>
      <c r="M52" s="14">
        <v>0</v>
      </c>
      <c r="N52" s="14">
        <v>0</v>
      </c>
      <c r="O52" s="14">
        <v>875</v>
      </c>
      <c r="P52" s="14"/>
      <c r="Q52" s="9">
        <f t="shared" si="3"/>
        <v>875</v>
      </c>
      <c r="R52" s="1" t="s">
        <v>107</v>
      </c>
    </row>
    <row r="53" spans="2:18" x14ac:dyDescent="0.15">
      <c r="B53" s="6" t="s">
        <v>61</v>
      </c>
      <c r="C53" s="14">
        <v>0</v>
      </c>
      <c r="D53" s="14">
        <v>0</v>
      </c>
      <c r="E53" s="14">
        <v>193.79</v>
      </c>
      <c r="F53" s="14">
        <v>156.91</v>
      </c>
      <c r="G53" s="14">
        <v>128.71</v>
      </c>
      <c r="H53" s="14">
        <v>978.54</v>
      </c>
      <c r="I53" s="14">
        <v>0</v>
      </c>
      <c r="J53" s="14">
        <v>23.8</v>
      </c>
      <c r="K53" s="14">
        <v>452.69</v>
      </c>
      <c r="L53" s="14">
        <v>907.51</v>
      </c>
      <c r="M53" s="14">
        <v>43.85</v>
      </c>
      <c r="N53" s="14">
        <v>0</v>
      </c>
      <c r="O53" s="14">
        <v>2885.8</v>
      </c>
      <c r="P53" s="14"/>
      <c r="Q53" s="9">
        <f t="shared" si="3"/>
        <v>2885.8</v>
      </c>
      <c r="R53" s="1" t="s">
        <v>107</v>
      </c>
    </row>
    <row r="54" spans="2:18" x14ac:dyDescent="0.15">
      <c r="B54" s="6" t="s">
        <v>62</v>
      </c>
      <c r="C54" s="14">
        <v>0</v>
      </c>
      <c r="D54" s="14">
        <v>45.98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45.98</v>
      </c>
      <c r="P54" s="14"/>
      <c r="Q54" s="9">
        <f t="shared" si="3"/>
        <v>45.98</v>
      </c>
      <c r="R54" s="1" t="s">
        <v>107</v>
      </c>
    </row>
    <row r="55" spans="2:18" x14ac:dyDescent="0.15">
      <c r="B55" s="6" t="s">
        <v>63</v>
      </c>
      <c r="C55" s="14">
        <v>799.99</v>
      </c>
      <c r="D55" s="14">
        <v>0</v>
      </c>
      <c r="E55" s="14">
        <v>179.95</v>
      </c>
      <c r="F55" s="14">
        <v>49.97</v>
      </c>
      <c r="G55" s="14">
        <v>109.99</v>
      </c>
      <c r="H55" s="14">
        <v>59.98</v>
      </c>
      <c r="I55" s="14">
        <v>98.92</v>
      </c>
      <c r="J55" s="14">
        <v>0</v>
      </c>
      <c r="K55" s="14">
        <v>283.87</v>
      </c>
      <c r="L55" s="14">
        <v>0</v>
      </c>
      <c r="M55" s="14">
        <v>0</v>
      </c>
      <c r="N55" s="14">
        <v>0</v>
      </c>
      <c r="O55" s="14">
        <v>1582.67</v>
      </c>
      <c r="P55" s="14"/>
      <c r="Q55" s="9">
        <f t="shared" si="3"/>
        <v>1582.67</v>
      </c>
      <c r="R55" s="1" t="s">
        <v>107</v>
      </c>
    </row>
    <row r="56" spans="2:18" x14ac:dyDescent="0.15">
      <c r="B56" s="6" t="s">
        <v>64</v>
      </c>
      <c r="C56" s="14">
        <v>0</v>
      </c>
      <c r="D56" s="14">
        <v>0</v>
      </c>
      <c r="E56" s="14">
        <v>280.41000000000003</v>
      </c>
      <c r="F56" s="14">
        <v>0</v>
      </c>
      <c r="G56" s="14">
        <v>324.99</v>
      </c>
      <c r="H56" s="14">
        <v>0</v>
      </c>
      <c r="I56" s="14">
        <v>0</v>
      </c>
      <c r="J56" s="14">
        <v>154.97999999999999</v>
      </c>
      <c r="K56" s="14">
        <v>0</v>
      </c>
      <c r="L56" s="14">
        <v>0</v>
      </c>
      <c r="M56" s="14">
        <v>0</v>
      </c>
      <c r="N56" s="14">
        <v>0</v>
      </c>
      <c r="O56" s="14">
        <v>760.38</v>
      </c>
      <c r="P56" s="14"/>
      <c r="Q56" s="9">
        <f t="shared" si="3"/>
        <v>760.38</v>
      </c>
      <c r="R56" s="1" t="s">
        <v>107</v>
      </c>
    </row>
    <row r="57" spans="2:18" x14ac:dyDescent="0.15">
      <c r="B57" s="6" t="s">
        <v>65</v>
      </c>
      <c r="C57" s="14">
        <v>961.98</v>
      </c>
      <c r="D57" s="14">
        <v>401.93</v>
      </c>
      <c r="E57" s="14">
        <v>1133.6600000000001</v>
      </c>
      <c r="F57" s="14">
        <v>253.12</v>
      </c>
      <c r="G57" s="14">
        <v>330.02</v>
      </c>
      <c r="H57" s="14">
        <v>144.84</v>
      </c>
      <c r="I57" s="14">
        <v>218.69</v>
      </c>
      <c r="J57" s="14">
        <v>174.35</v>
      </c>
      <c r="K57" s="14">
        <v>149.33000000000001</v>
      </c>
      <c r="L57" s="14">
        <v>185.95</v>
      </c>
      <c r="M57" s="14">
        <v>311.08</v>
      </c>
      <c r="N57" s="14">
        <v>0</v>
      </c>
      <c r="O57" s="14">
        <v>4264.95</v>
      </c>
      <c r="P57" s="14"/>
      <c r="Q57" s="9">
        <f t="shared" si="3"/>
        <v>4264.95</v>
      </c>
      <c r="R57" s="1" t="s">
        <v>107</v>
      </c>
    </row>
    <row r="58" spans="2:18" x14ac:dyDescent="0.15">
      <c r="B58" s="6" t="s">
        <v>66</v>
      </c>
      <c r="C58" s="14">
        <v>1761.97</v>
      </c>
      <c r="D58" s="14">
        <v>447.91</v>
      </c>
      <c r="E58" s="14">
        <v>1838.8</v>
      </c>
      <c r="F58" s="14">
        <v>460</v>
      </c>
      <c r="G58" s="14">
        <v>945.71</v>
      </c>
      <c r="H58" s="14">
        <v>1206.3399999999999</v>
      </c>
      <c r="I58" s="14">
        <v>1273.8</v>
      </c>
      <c r="J58" s="14">
        <v>776.73</v>
      </c>
      <c r="K58" s="14">
        <v>1033.27</v>
      </c>
      <c r="L58" s="14">
        <v>2529.12</v>
      </c>
      <c r="M58" s="14">
        <v>6084.77</v>
      </c>
      <c r="N58" s="14">
        <v>6000</v>
      </c>
      <c r="O58" s="14">
        <v>24358.42</v>
      </c>
      <c r="P58" s="14"/>
      <c r="Q58" s="9">
        <f>SUM(Q49:Q57)</f>
        <v>24358.42</v>
      </c>
    </row>
    <row r="59" spans="2:18" x14ac:dyDescent="0.15">
      <c r="B59" s="6" t="s">
        <v>67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</row>
    <row r="60" spans="2:18" x14ac:dyDescent="0.15">
      <c r="B60" s="6" t="s">
        <v>68</v>
      </c>
      <c r="C60" s="14">
        <v>1243.4100000000001</v>
      </c>
      <c r="D60" s="14">
        <v>1243.4100000000001</v>
      </c>
      <c r="E60" s="14">
        <v>1492.92</v>
      </c>
      <c r="F60" s="14">
        <v>1243.4100000000001</v>
      </c>
      <c r="G60" s="14">
        <v>1243.4100000000001</v>
      </c>
      <c r="H60" s="14">
        <v>1463.39</v>
      </c>
      <c r="I60" s="14">
        <v>1243.4100000000001</v>
      </c>
      <c r="J60" s="14">
        <v>1243.43</v>
      </c>
      <c r="K60" s="14">
        <v>1243.43</v>
      </c>
      <c r="L60" s="14">
        <v>1243.43</v>
      </c>
      <c r="M60" s="14">
        <v>1243.43</v>
      </c>
      <c r="N60" s="14">
        <v>1243.43</v>
      </c>
      <c r="O60" s="14">
        <v>15390.51</v>
      </c>
      <c r="P60" s="14"/>
      <c r="Q60" s="9">
        <f>O60</f>
        <v>15390.51</v>
      </c>
      <c r="R60" s="1" t="s">
        <v>107</v>
      </c>
    </row>
    <row r="61" spans="2:18" x14ac:dyDescent="0.15">
      <c r="B61" s="6" t="s">
        <v>69</v>
      </c>
      <c r="C61" s="14">
        <v>1243.4100000000001</v>
      </c>
      <c r="D61" s="14">
        <v>1243.4100000000001</v>
      </c>
      <c r="E61" s="14">
        <v>1492.92</v>
      </c>
      <c r="F61" s="14">
        <v>1243.4100000000001</v>
      </c>
      <c r="G61" s="14">
        <v>1243.4100000000001</v>
      </c>
      <c r="H61" s="14">
        <v>1463.39</v>
      </c>
      <c r="I61" s="14">
        <v>1243.4100000000001</v>
      </c>
      <c r="J61" s="14">
        <v>1243.43</v>
      </c>
      <c r="K61" s="14">
        <v>1243.43</v>
      </c>
      <c r="L61" s="14">
        <v>1243.43</v>
      </c>
      <c r="M61" s="14">
        <v>1243.43</v>
      </c>
      <c r="N61" s="14">
        <v>1243.43</v>
      </c>
      <c r="O61" s="14">
        <v>15390.51</v>
      </c>
      <c r="P61" s="14"/>
      <c r="Q61" s="9">
        <f>Q60</f>
        <v>15390.51</v>
      </c>
    </row>
    <row r="62" spans="2:18" x14ac:dyDescent="0.15">
      <c r="B62" s="6" t="s">
        <v>70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</row>
    <row r="63" spans="2:18" x14ac:dyDescent="0.15">
      <c r="B63" s="6" t="s">
        <v>71</v>
      </c>
      <c r="C63" s="14">
        <v>0</v>
      </c>
      <c r="D63" s="14">
        <v>75.48</v>
      </c>
      <c r="E63" s="14">
        <v>185.18</v>
      </c>
      <c r="F63" s="14">
        <v>75.209999999999994</v>
      </c>
      <c r="G63" s="14">
        <v>135.36000000000001</v>
      </c>
      <c r="H63" s="14">
        <v>108.36</v>
      </c>
      <c r="I63" s="14">
        <v>109.17</v>
      </c>
      <c r="J63" s="14">
        <v>134.91999999999999</v>
      </c>
      <c r="K63" s="14">
        <v>139.94</v>
      </c>
      <c r="L63" s="14">
        <v>37.24</v>
      </c>
      <c r="M63" s="14">
        <v>0</v>
      </c>
      <c r="N63" s="14">
        <v>0</v>
      </c>
      <c r="O63" s="14">
        <v>1000.86</v>
      </c>
      <c r="P63" s="14"/>
      <c r="Q63" s="9">
        <f>O63</f>
        <v>1000.86</v>
      </c>
      <c r="R63" s="1" t="s">
        <v>107</v>
      </c>
    </row>
    <row r="64" spans="2:18" x14ac:dyDescent="0.15">
      <c r="B64" s="6" t="s">
        <v>72</v>
      </c>
      <c r="C64" s="14">
        <v>1742.75</v>
      </c>
      <c r="D64" s="14">
        <v>5356.91</v>
      </c>
      <c r="E64" s="14">
        <v>4854.3900000000003</v>
      </c>
      <c r="F64" s="14">
        <v>5684.17</v>
      </c>
      <c r="G64" s="14">
        <v>2829.28</v>
      </c>
      <c r="H64" s="14">
        <v>3249.08</v>
      </c>
      <c r="I64" s="14">
        <v>2909.62</v>
      </c>
      <c r="J64" s="14">
        <v>2510.64</v>
      </c>
      <c r="K64" s="14">
        <v>4832.1400000000003</v>
      </c>
      <c r="L64" s="14">
        <v>3850.64</v>
      </c>
      <c r="M64" s="14">
        <v>3078.27</v>
      </c>
      <c r="N64" s="14">
        <v>4330.2700000000004</v>
      </c>
      <c r="O64" s="14">
        <v>45228.160000000003</v>
      </c>
      <c r="P64" s="14"/>
      <c r="Q64" s="9">
        <f t="shared" ref="Q64:Q70" si="4">O64</f>
        <v>45228.160000000003</v>
      </c>
      <c r="R64" s="1" t="s">
        <v>107</v>
      </c>
    </row>
    <row r="65" spans="2:18" x14ac:dyDescent="0.15">
      <c r="B65" s="6" t="s">
        <v>73</v>
      </c>
      <c r="C65" s="14">
        <v>862.42</v>
      </c>
      <c r="D65" s="14">
        <v>55</v>
      </c>
      <c r="E65" s="14">
        <v>2082.1</v>
      </c>
      <c r="F65" s="14">
        <v>955</v>
      </c>
      <c r="G65" s="14">
        <v>990</v>
      </c>
      <c r="H65" s="14">
        <v>900</v>
      </c>
      <c r="I65" s="14">
        <v>935</v>
      </c>
      <c r="J65" s="14">
        <v>917.3</v>
      </c>
      <c r="K65" s="14">
        <v>897.3</v>
      </c>
      <c r="L65" s="14">
        <v>0</v>
      </c>
      <c r="M65" s="14">
        <v>1755</v>
      </c>
      <c r="N65" s="14">
        <v>1700</v>
      </c>
      <c r="O65" s="14">
        <v>12049.12</v>
      </c>
      <c r="P65" s="14"/>
      <c r="Q65" s="9">
        <f t="shared" si="4"/>
        <v>12049.12</v>
      </c>
      <c r="R65" s="1" t="s">
        <v>107</v>
      </c>
    </row>
    <row r="66" spans="2:18" x14ac:dyDescent="0.15">
      <c r="B66" s="6" t="s">
        <v>74</v>
      </c>
      <c r="C66" s="14">
        <v>6947.07</v>
      </c>
      <c r="D66" s="14">
        <v>8871.7900000000009</v>
      </c>
      <c r="E66" s="14">
        <v>8845.15</v>
      </c>
      <c r="F66" s="14">
        <v>9808.06</v>
      </c>
      <c r="G66" s="14">
        <v>9372.18</v>
      </c>
      <c r="H66" s="14">
        <v>9800.4</v>
      </c>
      <c r="I66" s="14">
        <v>7480.45</v>
      </c>
      <c r="J66" s="14">
        <v>7135.25</v>
      </c>
      <c r="K66" s="14">
        <v>6309.76</v>
      </c>
      <c r="L66" s="14">
        <v>6385.77</v>
      </c>
      <c r="M66" s="14">
        <v>6149.59</v>
      </c>
      <c r="N66" s="14">
        <v>6204.09</v>
      </c>
      <c r="O66" s="14">
        <v>93309.56</v>
      </c>
      <c r="P66" s="14"/>
      <c r="Q66" s="9">
        <f t="shared" si="4"/>
        <v>93309.56</v>
      </c>
      <c r="R66" s="1" t="s">
        <v>107</v>
      </c>
    </row>
    <row r="67" spans="2:18" x14ac:dyDescent="0.15">
      <c r="B67" s="6" t="s">
        <v>75</v>
      </c>
      <c r="C67" s="14">
        <v>1676.5</v>
      </c>
      <c r="D67" s="14">
        <v>2209.9</v>
      </c>
      <c r="E67" s="14">
        <v>2020.55</v>
      </c>
      <c r="F67" s="14">
        <v>1804.37</v>
      </c>
      <c r="G67" s="14">
        <v>2280.27</v>
      </c>
      <c r="H67" s="14">
        <v>1771.04</v>
      </c>
      <c r="I67" s="14">
        <v>1893.85</v>
      </c>
      <c r="J67" s="14">
        <v>1957.44</v>
      </c>
      <c r="K67" s="14">
        <v>1964.24</v>
      </c>
      <c r="L67" s="14">
        <v>1848.32</v>
      </c>
      <c r="M67" s="14">
        <v>1928.85</v>
      </c>
      <c r="N67" s="14">
        <v>1083.92</v>
      </c>
      <c r="O67" s="14">
        <v>22439.25</v>
      </c>
      <c r="P67" s="14"/>
      <c r="Q67" s="9">
        <f t="shared" si="4"/>
        <v>22439.25</v>
      </c>
      <c r="R67" s="1" t="s">
        <v>107</v>
      </c>
    </row>
    <row r="68" spans="2:18" x14ac:dyDescent="0.15">
      <c r="B68" s="6" t="s">
        <v>76</v>
      </c>
      <c r="C68" s="14">
        <v>0</v>
      </c>
      <c r="D68" s="14">
        <v>0</v>
      </c>
      <c r="E68" s="14">
        <v>0</v>
      </c>
      <c r="F68" s="14">
        <v>0</v>
      </c>
      <c r="G68" s="14">
        <v>1794.08</v>
      </c>
      <c r="H68" s="14">
        <v>0</v>
      </c>
      <c r="I68" s="14">
        <v>0</v>
      </c>
      <c r="J68" s="14">
        <v>12</v>
      </c>
      <c r="K68" s="14">
        <v>0</v>
      </c>
      <c r="L68" s="14">
        <v>0</v>
      </c>
      <c r="M68" s="14">
        <v>0</v>
      </c>
      <c r="N68" s="14">
        <v>0</v>
      </c>
      <c r="O68" s="14">
        <v>1806.08</v>
      </c>
      <c r="P68" s="14"/>
      <c r="Q68" s="9">
        <f t="shared" si="4"/>
        <v>1806.08</v>
      </c>
      <c r="R68" s="1" t="s">
        <v>107</v>
      </c>
    </row>
    <row r="69" spans="2:18" x14ac:dyDescent="0.15">
      <c r="B69" s="6" t="s">
        <v>77</v>
      </c>
      <c r="C69" s="14">
        <v>5429.57</v>
      </c>
      <c r="D69" s="14">
        <v>5428.21</v>
      </c>
      <c r="E69" s="14">
        <v>5856.82</v>
      </c>
      <c r="F69" s="14">
        <v>5856.82</v>
      </c>
      <c r="G69" s="14">
        <v>5856.82</v>
      </c>
      <c r="H69" s="14">
        <v>5856.82</v>
      </c>
      <c r="I69" s="14">
        <v>5856.82</v>
      </c>
      <c r="J69" s="14">
        <v>5856.82</v>
      </c>
      <c r="K69" s="14">
        <v>5856.82</v>
      </c>
      <c r="L69" s="14">
        <v>5856.82</v>
      </c>
      <c r="M69" s="14">
        <v>5856.82</v>
      </c>
      <c r="N69" s="14">
        <v>5856.82</v>
      </c>
      <c r="O69" s="14">
        <v>69425.98</v>
      </c>
      <c r="P69" s="14"/>
      <c r="Q69" s="9">
        <f t="shared" si="4"/>
        <v>69425.98</v>
      </c>
      <c r="R69" s="1" t="s">
        <v>107</v>
      </c>
    </row>
    <row r="70" spans="2:18" x14ac:dyDescent="0.15">
      <c r="B70" s="6" t="s">
        <v>78</v>
      </c>
      <c r="C70" s="14">
        <v>90</v>
      </c>
      <c r="D70" s="14">
        <v>90</v>
      </c>
      <c r="E70" s="14">
        <v>90</v>
      </c>
      <c r="F70" s="14">
        <v>90</v>
      </c>
      <c r="G70" s="14">
        <v>90</v>
      </c>
      <c r="H70" s="14">
        <v>90</v>
      </c>
      <c r="I70" s="14">
        <v>90</v>
      </c>
      <c r="J70" s="14">
        <v>90</v>
      </c>
      <c r="K70" s="14">
        <v>90</v>
      </c>
      <c r="L70" s="14">
        <v>90</v>
      </c>
      <c r="M70" s="14">
        <v>90</v>
      </c>
      <c r="N70" s="14">
        <v>90</v>
      </c>
      <c r="O70" s="14">
        <v>1080</v>
      </c>
      <c r="P70" s="14"/>
      <c r="Q70" s="9">
        <f t="shared" si="4"/>
        <v>1080</v>
      </c>
      <c r="R70" s="1" t="s">
        <v>107</v>
      </c>
    </row>
    <row r="71" spans="2:18" x14ac:dyDescent="0.15">
      <c r="B71" s="6" t="s">
        <v>79</v>
      </c>
      <c r="C71" s="14">
        <v>16748.310000000001</v>
      </c>
      <c r="D71" s="14">
        <v>22087.29</v>
      </c>
      <c r="E71" s="14">
        <v>23934.19</v>
      </c>
      <c r="F71" s="14">
        <v>24273.63</v>
      </c>
      <c r="G71" s="14">
        <v>23347.99</v>
      </c>
      <c r="H71" s="14">
        <v>21775.7</v>
      </c>
      <c r="I71" s="14">
        <v>19274.91</v>
      </c>
      <c r="J71" s="14">
        <v>18614.37</v>
      </c>
      <c r="K71" s="14">
        <v>20090.2</v>
      </c>
      <c r="L71" s="14">
        <v>18068.79</v>
      </c>
      <c r="M71" s="14">
        <v>18858.53</v>
      </c>
      <c r="N71" s="14">
        <v>19265.099999999999</v>
      </c>
      <c r="O71" s="14">
        <v>246339.01</v>
      </c>
      <c r="P71" s="14"/>
      <c r="Q71" s="9">
        <f>SUM(Q63:Q70)</f>
        <v>246339.01</v>
      </c>
    </row>
    <row r="72" spans="2:18" x14ac:dyDescent="0.15">
      <c r="B72" s="6" t="s">
        <v>80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</row>
    <row r="73" spans="2:18" x14ac:dyDescent="0.15">
      <c r="B73" s="6" t="s">
        <v>81</v>
      </c>
      <c r="C73" s="14">
        <v>89.49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75.25</v>
      </c>
      <c r="K73" s="14">
        <v>0</v>
      </c>
      <c r="L73" s="14">
        <v>0</v>
      </c>
      <c r="M73" s="14">
        <v>43.32</v>
      </c>
      <c r="N73" s="14">
        <v>0</v>
      </c>
      <c r="O73" s="14">
        <v>208.06</v>
      </c>
      <c r="P73" s="14"/>
      <c r="Q73" s="9">
        <f>O73</f>
        <v>208.06</v>
      </c>
      <c r="R73" s="1" t="s">
        <v>107</v>
      </c>
    </row>
    <row r="74" spans="2:18" x14ac:dyDescent="0.15">
      <c r="B74" s="6" t="s">
        <v>82</v>
      </c>
      <c r="C74" s="14">
        <v>219.99</v>
      </c>
      <c r="D74" s="14">
        <v>103.86</v>
      </c>
      <c r="E74" s="14">
        <v>99.99</v>
      </c>
      <c r="F74" s="14">
        <v>99.99</v>
      </c>
      <c r="G74" s="14">
        <v>99.99</v>
      </c>
      <c r="H74" s="14">
        <v>99.99</v>
      </c>
      <c r="I74" s="14">
        <v>99.99</v>
      </c>
      <c r="J74" s="14">
        <v>99.99</v>
      </c>
      <c r="K74" s="14">
        <v>99.99</v>
      </c>
      <c r="L74" s="14">
        <v>99.99</v>
      </c>
      <c r="M74" s="14">
        <v>99.99</v>
      </c>
      <c r="N74" s="14">
        <v>99.99</v>
      </c>
      <c r="O74" s="14">
        <v>1323.75</v>
      </c>
      <c r="P74" s="14"/>
      <c r="Q74" s="9">
        <f t="shared" ref="Q74:Q78" si="5">O74</f>
        <v>1323.75</v>
      </c>
      <c r="R74" s="1" t="s">
        <v>107</v>
      </c>
    </row>
    <row r="75" spans="2:18" x14ac:dyDescent="0.15">
      <c r="B75" s="6" t="s">
        <v>83</v>
      </c>
      <c r="C75" s="14">
        <v>95</v>
      </c>
      <c r="D75" s="14">
        <v>61.61</v>
      </c>
      <c r="E75" s="14">
        <v>60</v>
      </c>
      <c r="F75" s="14">
        <v>60</v>
      </c>
      <c r="G75" s="14">
        <v>60</v>
      </c>
      <c r="H75" s="14">
        <v>30</v>
      </c>
      <c r="I75" s="14">
        <v>30</v>
      </c>
      <c r="J75" s="14">
        <v>30</v>
      </c>
      <c r="K75" s="14">
        <v>30</v>
      </c>
      <c r="L75" s="14">
        <v>30</v>
      </c>
      <c r="M75" s="14">
        <v>15</v>
      </c>
      <c r="N75" s="14">
        <v>0</v>
      </c>
      <c r="O75" s="14">
        <v>501.61</v>
      </c>
      <c r="P75" s="14"/>
      <c r="Q75" s="9">
        <f t="shared" si="5"/>
        <v>501.61</v>
      </c>
      <c r="R75" s="1" t="s">
        <v>107</v>
      </c>
    </row>
    <row r="76" spans="2:18" x14ac:dyDescent="0.15">
      <c r="B76" s="6" t="s">
        <v>84</v>
      </c>
      <c r="C76" s="14">
        <v>60.18</v>
      </c>
      <c r="D76" s="14">
        <v>60.14</v>
      </c>
      <c r="E76" s="14">
        <v>85.9</v>
      </c>
      <c r="F76" s="14">
        <v>113.89</v>
      </c>
      <c r="G76" s="14">
        <v>130.12</v>
      </c>
      <c r="H76" s="14">
        <v>167.45</v>
      </c>
      <c r="I76" s="14">
        <v>73.78</v>
      </c>
      <c r="J76" s="14">
        <v>89.59</v>
      </c>
      <c r="K76" s="14">
        <v>113.79</v>
      </c>
      <c r="L76" s="14">
        <v>85.95</v>
      </c>
      <c r="M76" s="14">
        <v>141.47999999999999</v>
      </c>
      <c r="N76" s="14">
        <v>67.36</v>
      </c>
      <c r="O76" s="14">
        <v>1189.6300000000001</v>
      </c>
      <c r="P76" s="14"/>
      <c r="Q76" s="9">
        <v>0</v>
      </c>
      <c r="R76" s="1" t="s">
        <v>112</v>
      </c>
    </row>
    <row r="77" spans="2:18" x14ac:dyDescent="0.15">
      <c r="B77" s="6" t="s">
        <v>85</v>
      </c>
      <c r="C77" s="14">
        <v>94</v>
      </c>
      <c r="D77" s="14">
        <v>45.5</v>
      </c>
      <c r="E77" s="14">
        <v>0</v>
      </c>
      <c r="F77" s="14">
        <v>113.75</v>
      </c>
      <c r="G77" s="14">
        <v>45.5</v>
      </c>
      <c r="H77" s="14">
        <v>0</v>
      </c>
      <c r="I77" s="14">
        <v>0</v>
      </c>
      <c r="J77" s="14">
        <v>91</v>
      </c>
      <c r="K77" s="14">
        <v>0</v>
      </c>
      <c r="L77" s="14">
        <v>0</v>
      </c>
      <c r="M77" s="14">
        <v>0</v>
      </c>
      <c r="N77" s="14">
        <v>68.25</v>
      </c>
      <c r="O77" s="14">
        <v>458</v>
      </c>
      <c r="P77" s="14"/>
      <c r="Q77" s="9">
        <f t="shared" si="5"/>
        <v>458</v>
      </c>
      <c r="R77" s="1" t="s">
        <v>107</v>
      </c>
    </row>
    <row r="78" spans="2:18" x14ac:dyDescent="0.15">
      <c r="B78" s="6" t="s">
        <v>86</v>
      </c>
      <c r="C78" s="14">
        <v>757.42</v>
      </c>
      <c r="D78" s="14">
        <v>802.72</v>
      </c>
      <c r="E78" s="14">
        <v>780.66</v>
      </c>
      <c r="F78" s="14">
        <v>718.74</v>
      </c>
      <c r="G78" s="14">
        <v>813.06</v>
      </c>
      <c r="H78" s="14">
        <v>740.97</v>
      </c>
      <c r="I78" s="14">
        <v>683.7</v>
      </c>
      <c r="J78" s="14">
        <v>691.65</v>
      </c>
      <c r="K78" s="14">
        <v>637.94000000000005</v>
      </c>
      <c r="L78" s="14">
        <v>680.35</v>
      </c>
      <c r="M78" s="14">
        <v>661.49</v>
      </c>
      <c r="N78" s="14">
        <v>0</v>
      </c>
      <c r="O78" s="14">
        <v>7968.7</v>
      </c>
      <c r="P78" s="14"/>
      <c r="Q78" s="9">
        <f t="shared" si="5"/>
        <v>7968.7</v>
      </c>
      <c r="R78" s="1" t="s">
        <v>111</v>
      </c>
    </row>
    <row r="79" spans="2:18" x14ac:dyDescent="0.15">
      <c r="B79" s="6" t="s">
        <v>87</v>
      </c>
      <c r="C79" s="14">
        <v>1316.08</v>
      </c>
      <c r="D79" s="14">
        <v>1073.83</v>
      </c>
      <c r="E79" s="14">
        <v>1026.55</v>
      </c>
      <c r="F79" s="14">
        <v>1106.3699999999999</v>
      </c>
      <c r="G79" s="14">
        <v>1148.67</v>
      </c>
      <c r="H79" s="14">
        <v>1038.4100000000001</v>
      </c>
      <c r="I79" s="14">
        <v>887.47</v>
      </c>
      <c r="J79" s="14">
        <v>1077.48</v>
      </c>
      <c r="K79" s="14">
        <v>881.72</v>
      </c>
      <c r="L79" s="14">
        <v>896.29</v>
      </c>
      <c r="M79" s="14">
        <v>961.28</v>
      </c>
      <c r="N79" s="14">
        <v>235.6</v>
      </c>
      <c r="O79" s="14">
        <v>11649.75</v>
      </c>
      <c r="P79" s="14"/>
      <c r="Q79" s="9">
        <f>SUM(Q73:Q78)</f>
        <v>10460.119999999999</v>
      </c>
    </row>
    <row r="80" spans="2:18" x14ac:dyDescent="0.15">
      <c r="B80" s="6" t="s">
        <v>88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</row>
    <row r="81" spans="1:18" x14ac:dyDescent="0.15">
      <c r="B81" s="6" t="s">
        <v>89</v>
      </c>
      <c r="C81" s="14">
        <v>2392.2800000000002</v>
      </c>
      <c r="D81" s="14">
        <v>2576.1999999999998</v>
      </c>
      <c r="E81" s="14">
        <v>5146.42</v>
      </c>
      <c r="F81" s="14">
        <v>5145.7</v>
      </c>
      <c r="G81" s="14">
        <v>4240.97</v>
      </c>
      <c r="H81" s="14">
        <v>5086.9399999999996</v>
      </c>
      <c r="I81" s="14">
        <v>4434.42</v>
      </c>
      <c r="J81" s="14">
        <v>6775.43</v>
      </c>
      <c r="K81" s="14">
        <v>6311.33</v>
      </c>
      <c r="L81" s="14">
        <v>6118.65</v>
      </c>
      <c r="M81" s="14">
        <v>421.74</v>
      </c>
      <c r="N81" s="14">
        <v>0</v>
      </c>
      <c r="O81" s="14">
        <v>48650.080000000002</v>
      </c>
      <c r="P81" s="14"/>
      <c r="Q81" s="9">
        <f>O81</f>
        <v>48650.080000000002</v>
      </c>
      <c r="R81" s="1" t="s">
        <v>107</v>
      </c>
    </row>
    <row r="82" spans="1:18" x14ac:dyDescent="0.15">
      <c r="B82" s="6" t="s">
        <v>90</v>
      </c>
      <c r="C82" s="14">
        <v>0</v>
      </c>
      <c r="D82" s="14">
        <v>0</v>
      </c>
      <c r="E82" s="14">
        <v>128.1</v>
      </c>
      <c r="F82" s="14">
        <v>128.1</v>
      </c>
      <c r="G82" s="14">
        <v>128.1</v>
      </c>
      <c r="H82" s="14">
        <v>128.1</v>
      </c>
      <c r="I82" s="14">
        <v>128.38</v>
      </c>
      <c r="J82" s="14">
        <v>128.38</v>
      </c>
      <c r="K82" s="14">
        <v>128.38</v>
      </c>
      <c r="L82" s="14">
        <v>128.38</v>
      </c>
      <c r="M82" s="14">
        <v>0</v>
      </c>
      <c r="N82" s="14">
        <v>0</v>
      </c>
      <c r="O82" s="14">
        <v>1025.92</v>
      </c>
      <c r="P82" s="14"/>
      <c r="Q82" s="9">
        <f t="shared" ref="Q82:Q89" si="6">O82</f>
        <v>1025.92</v>
      </c>
      <c r="R82" s="1" t="s">
        <v>107</v>
      </c>
    </row>
    <row r="83" spans="1:18" x14ac:dyDescent="0.15">
      <c r="B83" s="6" t="s">
        <v>91</v>
      </c>
      <c r="C83" s="14">
        <v>0</v>
      </c>
      <c r="D83" s="14">
        <v>0</v>
      </c>
      <c r="E83" s="14">
        <v>510</v>
      </c>
      <c r="F83" s="14">
        <v>0</v>
      </c>
      <c r="G83" s="14">
        <v>880</v>
      </c>
      <c r="H83" s="14">
        <v>0</v>
      </c>
      <c r="I83" s="14">
        <v>0</v>
      </c>
      <c r="J83" s="14">
        <v>0</v>
      </c>
      <c r="K83" s="14">
        <v>225</v>
      </c>
      <c r="L83" s="14">
        <v>90</v>
      </c>
      <c r="M83" s="14">
        <v>10400</v>
      </c>
      <c r="N83" s="14">
        <v>10400</v>
      </c>
      <c r="O83" s="14">
        <v>22505</v>
      </c>
      <c r="P83" s="14"/>
      <c r="Q83" s="9">
        <f t="shared" si="6"/>
        <v>22505</v>
      </c>
      <c r="R83" s="1" t="s">
        <v>107</v>
      </c>
    </row>
    <row r="84" spans="1:18" x14ac:dyDescent="0.15">
      <c r="B84" s="6" t="s">
        <v>92</v>
      </c>
      <c r="C84" s="14">
        <v>336.63</v>
      </c>
      <c r="D84" s="14">
        <v>373.1</v>
      </c>
      <c r="E84" s="14">
        <v>371.72</v>
      </c>
      <c r="F84" s="14">
        <v>377.08</v>
      </c>
      <c r="G84" s="14">
        <v>322.83</v>
      </c>
      <c r="H84" s="14">
        <v>271.31</v>
      </c>
      <c r="I84" s="14">
        <v>229.84</v>
      </c>
      <c r="J84" s="14">
        <v>274.04000000000002</v>
      </c>
      <c r="K84" s="14">
        <v>272.5</v>
      </c>
      <c r="L84" s="14">
        <v>266.63</v>
      </c>
      <c r="M84" s="14">
        <v>22.77</v>
      </c>
      <c r="N84" s="14">
        <v>0</v>
      </c>
      <c r="O84" s="14">
        <v>3118.45</v>
      </c>
      <c r="P84" s="14"/>
      <c r="Q84" s="9">
        <f t="shared" si="6"/>
        <v>3118.45</v>
      </c>
      <c r="R84" s="1" t="s">
        <v>107</v>
      </c>
    </row>
    <row r="85" spans="1:18" x14ac:dyDescent="0.15">
      <c r="B85" s="6" t="s">
        <v>93</v>
      </c>
      <c r="C85" s="14">
        <v>145.11000000000001</v>
      </c>
      <c r="D85" s="14">
        <v>193.48</v>
      </c>
      <c r="E85" s="14">
        <v>193.48</v>
      </c>
      <c r="F85" s="14">
        <v>193.48</v>
      </c>
      <c r="G85" s="14">
        <v>193.48</v>
      </c>
      <c r="H85" s="14">
        <v>96.74</v>
      </c>
      <c r="I85" s="14">
        <v>96.74</v>
      </c>
      <c r="J85" s="14">
        <v>103.46</v>
      </c>
      <c r="K85" s="14">
        <v>103.46</v>
      </c>
      <c r="L85" s="14">
        <v>103.46</v>
      </c>
      <c r="M85" s="14">
        <v>51.73</v>
      </c>
      <c r="N85" s="14">
        <v>0</v>
      </c>
      <c r="O85" s="14">
        <v>1474.62</v>
      </c>
      <c r="P85" s="14"/>
      <c r="Q85" s="9">
        <f t="shared" si="6"/>
        <v>1474.62</v>
      </c>
      <c r="R85" s="1" t="s">
        <v>107</v>
      </c>
    </row>
    <row r="86" spans="1:18" x14ac:dyDescent="0.15">
      <c r="B86" s="6" t="s">
        <v>94</v>
      </c>
      <c r="C86" s="14">
        <v>0</v>
      </c>
      <c r="D86" s="14">
        <v>14.04</v>
      </c>
      <c r="E86" s="14">
        <v>41.29</v>
      </c>
      <c r="F86" s="14">
        <v>26.91</v>
      </c>
      <c r="G86" s="14">
        <v>10.78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93.02</v>
      </c>
      <c r="P86" s="14"/>
      <c r="Q86" s="9">
        <f t="shared" si="6"/>
        <v>93.02</v>
      </c>
      <c r="R86" s="1" t="s">
        <v>107</v>
      </c>
    </row>
    <row r="87" spans="1:18" x14ac:dyDescent="0.15">
      <c r="B87" s="6" t="s">
        <v>95</v>
      </c>
      <c r="C87" s="14">
        <v>476.89</v>
      </c>
      <c r="D87" s="14">
        <v>528.55999999999995</v>
      </c>
      <c r="E87" s="14">
        <v>526.59</v>
      </c>
      <c r="F87" s="14">
        <v>534.19000000000005</v>
      </c>
      <c r="G87" s="14">
        <v>457.34</v>
      </c>
      <c r="H87" s="14">
        <v>384.35</v>
      </c>
      <c r="I87" s="14">
        <v>325.60000000000002</v>
      </c>
      <c r="J87" s="14">
        <v>393.01</v>
      </c>
      <c r="K87" s="14">
        <v>390.84</v>
      </c>
      <c r="L87" s="14">
        <v>382.54</v>
      </c>
      <c r="M87" s="14">
        <v>32.270000000000003</v>
      </c>
      <c r="N87" s="14">
        <v>0</v>
      </c>
      <c r="O87" s="14">
        <v>4432.18</v>
      </c>
      <c r="P87" s="14"/>
      <c r="Q87" s="9">
        <f t="shared" si="6"/>
        <v>4432.18</v>
      </c>
      <c r="R87" s="1" t="s">
        <v>107</v>
      </c>
    </row>
    <row r="88" spans="1:18" x14ac:dyDescent="0.15">
      <c r="B88" s="6" t="s">
        <v>96</v>
      </c>
      <c r="C88" s="14">
        <v>27.08</v>
      </c>
      <c r="D88" s="14">
        <v>29.97</v>
      </c>
      <c r="E88" s="14">
        <v>29.87</v>
      </c>
      <c r="F88" s="14">
        <v>30.74</v>
      </c>
      <c r="G88" s="14">
        <v>26.22</v>
      </c>
      <c r="H88" s="14">
        <v>21.73</v>
      </c>
      <c r="I88" s="14">
        <v>18.52</v>
      </c>
      <c r="J88" s="14">
        <v>22.07</v>
      </c>
      <c r="K88" s="14">
        <v>21.73</v>
      </c>
      <c r="L88" s="14">
        <v>21.45</v>
      </c>
      <c r="M88" s="14">
        <v>1.85</v>
      </c>
      <c r="N88" s="14">
        <v>0</v>
      </c>
      <c r="O88" s="14">
        <v>251.23</v>
      </c>
      <c r="P88" s="14"/>
      <c r="Q88" s="9">
        <f t="shared" si="6"/>
        <v>251.23</v>
      </c>
      <c r="R88" s="1" t="s">
        <v>107</v>
      </c>
    </row>
    <row r="89" spans="1:18" x14ac:dyDescent="0.15">
      <c r="B89" s="6" t="s">
        <v>97</v>
      </c>
      <c r="C89" s="14">
        <v>167.65</v>
      </c>
      <c r="D89" s="14">
        <v>197.33</v>
      </c>
      <c r="E89" s="14">
        <v>182.79</v>
      </c>
      <c r="F89" s="14">
        <v>211.7</v>
      </c>
      <c r="G89" s="14">
        <v>174.71</v>
      </c>
      <c r="H89" s="14">
        <v>144.66</v>
      </c>
      <c r="I89" s="14">
        <v>129.72</v>
      </c>
      <c r="J89" s="14">
        <v>157.33000000000001</v>
      </c>
      <c r="K89" s="14">
        <v>137.03</v>
      </c>
      <c r="L89" s="14">
        <v>143.62</v>
      </c>
      <c r="M89" s="14">
        <v>13.2</v>
      </c>
      <c r="N89" s="14">
        <v>0</v>
      </c>
      <c r="O89" s="14">
        <v>1659.74</v>
      </c>
      <c r="P89" s="14"/>
      <c r="Q89" s="9">
        <f t="shared" si="6"/>
        <v>1659.74</v>
      </c>
      <c r="R89" s="1" t="s">
        <v>107</v>
      </c>
    </row>
    <row r="90" spans="1:18" x14ac:dyDescent="0.15">
      <c r="B90" s="6" t="s">
        <v>98</v>
      </c>
      <c r="C90" s="14">
        <v>5423.04</v>
      </c>
      <c r="D90" s="14">
        <v>5790.08</v>
      </c>
      <c r="E90" s="14">
        <v>9007.66</v>
      </c>
      <c r="F90" s="14">
        <v>8342.9</v>
      </c>
      <c r="G90" s="14">
        <v>8129.43</v>
      </c>
      <c r="H90" s="14">
        <v>7828.83</v>
      </c>
      <c r="I90" s="14">
        <v>7058.22</v>
      </c>
      <c r="J90" s="14">
        <v>9548.7199999999993</v>
      </c>
      <c r="K90" s="14">
        <v>9080.27</v>
      </c>
      <c r="L90" s="14">
        <v>8744.73</v>
      </c>
      <c r="M90" s="14">
        <v>13938.46</v>
      </c>
      <c r="N90" s="14">
        <v>10400</v>
      </c>
      <c r="O90" s="14">
        <v>103292.34</v>
      </c>
      <c r="P90" s="14"/>
      <c r="Q90" s="9">
        <f>SUM(Q81:Q89)</f>
        <v>83210.239999999991</v>
      </c>
    </row>
    <row r="91" spans="1:18" x14ac:dyDescent="0.15">
      <c r="B91" s="6" t="s">
        <v>99</v>
      </c>
      <c r="C91" s="14">
        <v>35.6</v>
      </c>
      <c r="D91" s="14">
        <v>6151.01</v>
      </c>
      <c r="E91" s="14">
        <v>0</v>
      </c>
      <c r="F91" s="14">
        <v>1886.84</v>
      </c>
      <c r="G91" s="14">
        <v>0</v>
      </c>
      <c r="H91" s="14">
        <v>3846.97</v>
      </c>
      <c r="I91" s="14">
        <v>10326.98</v>
      </c>
      <c r="J91" s="14">
        <v>3814.3</v>
      </c>
      <c r="K91" s="14">
        <v>0</v>
      </c>
      <c r="L91" s="14">
        <v>0</v>
      </c>
      <c r="M91" s="14">
        <v>0</v>
      </c>
      <c r="N91" s="14">
        <v>0</v>
      </c>
      <c r="O91" s="14">
        <v>26061.7</v>
      </c>
      <c r="P91" s="14"/>
      <c r="Q91" s="9">
        <f>O91</f>
        <v>26061.7</v>
      </c>
      <c r="R91" s="1" t="s">
        <v>107</v>
      </c>
    </row>
    <row r="92" spans="1:18" x14ac:dyDescent="0.15">
      <c r="A92" s="5" t="s">
        <v>102</v>
      </c>
      <c r="B92" s="5"/>
      <c r="C92" s="15">
        <f>SUM(C37,C38,C42,C45:C47,C58,C61,C71,C79,C90,C91)</f>
        <v>33983.03</v>
      </c>
      <c r="D92" s="15">
        <f t="shared" ref="D92:Q92" si="7">SUM(D37,D38,D42,D45:D47,D58,D61,D71,D79,D90,D91)</f>
        <v>45923.48</v>
      </c>
      <c r="E92" s="15">
        <f t="shared" si="7"/>
        <v>44324.94</v>
      </c>
      <c r="F92" s="15">
        <f t="shared" si="7"/>
        <v>44344.600000000006</v>
      </c>
      <c r="G92" s="15">
        <f t="shared" si="7"/>
        <v>42561.52</v>
      </c>
      <c r="H92" s="15">
        <f t="shared" si="7"/>
        <v>44498.23</v>
      </c>
      <c r="I92" s="15">
        <f t="shared" si="7"/>
        <v>48945.72</v>
      </c>
      <c r="J92" s="15">
        <f t="shared" si="7"/>
        <v>44239.040000000001</v>
      </c>
      <c r="K92" s="15">
        <f t="shared" si="7"/>
        <v>39229.72</v>
      </c>
      <c r="L92" s="15">
        <f t="shared" si="7"/>
        <v>38418.79</v>
      </c>
      <c r="M92" s="15">
        <f t="shared" si="7"/>
        <v>47754.189999999995</v>
      </c>
      <c r="N92" s="15">
        <f t="shared" si="7"/>
        <v>44104.049999999996</v>
      </c>
      <c r="O92" s="15">
        <f t="shared" si="7"/>
        <v>518327.31</v>
      </c>
      <c r="P92" s="15"/>
      <c r="Q92" s="15">
        <f t="shared" si="7"/>
        <v>500406.34350000002</v>
      </c>
    </row>
    <row r="93" spans="1:18" x14ac:dyDescent="0.15">
      <c r="A93" s="5"/>
      <c r="B93" s="5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</row>
    <row r="94" spans="1:18" x14ac:dyDescent="0.15">
      <c r="A94" s="5" t="s">
        <v>100</v>
      </c>
      <c r="B94" s="5"/>
      <c r="C94" s="15">
        <f>C34-C92</f>
        <v>80773.319999999992</v>
      </c>
      <c r="D94" s="15">
        <f t="shared" ref="D94:Q94" si="8">D34-D92</f>
        <v>67777.989999999991</v>
      </c>
      <c r="E94" s="15">
        <f t="shared" si="8"/>
        <v>77316.779999999984</v>
      </c>
      <c r="F94" s="15">
        <f t="shared" si="8"/>
        <v>76098.099999999991</v>
      </c>
      <c r="G94" s="15">
        <f t="shared" si="8"/>
        <v>84391.010000000009</v>
      </c>
      <c r="H94" s="15">
        <f t="shared" si="8"/>
        <v>79655.420000000013</v>
      </c>
      <c r="I94" s="15">
        <f t="shared" si="8"/>
        <v>75947.59</v>
      </c>
      <c r="J94" s="15">
        <f t="shared" si="8"/>
        <v>80578.299999999988</v>
      </c>
      <c r="K94" s="15">
        <f t="shared" si="8"/>
        <v>82573.399999999994</v>
      </c>
      <c r="L94" s="15">
        <f t="shared" si="8"/>
        <v>82868.899999999994</v>
      </c>
      <c r="M94" s="15">
        <f t="shared" si="8"/>
        <v>71847.860000000015</v>
      </c>
      <c r="N94" s="15">
        <f t="shared" si="8"/>
        <v>73604.949999999983</v>
      </c>
      <c r="O94" s="15">
        <f t="shared" si="8"/>
        <v>933433.61999999988</v>
      </c>
      <c r="P94" s="15"/>
      <c r="Q94" s="18">
        <f t="shared" si="8"/>
        <v>1190282.1065</v>
      </c>
    </row>
  </sheetData>
  <pageMargins left="0.5" right="0.5" top="0" bottom="0" header="0.5" footer="0.5"/>
  <pageSetup orientation="landscape"/>
  <rowBreaks count="2" manualBreakCount="2">
    <brk id="42" min="1" max="21" man="1"/>
    <brk id="89" min="1" max="2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 Ho</cp:lastModifiedBy>
  <dcterms:modified xsi:type="dcterms:W3CDTF">2025-11-04T00:25:42Z</dcterms:modified>
</cp:coreProperties>
</file>